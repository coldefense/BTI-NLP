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ioner input" sheetId="1" r:id="rId5"/>
    <sheet state="visible" name="entity tagged" sheetId="2" r:id="rId6"/>
    <sheet state="hidden" name="uncertain" sheetId="3" r:id="rId7"/>
    <sheet state="visible" name="help sheet" sheetId="4" r:id="rId8"/>
    <sheet state="visible" name="missing inputs" sheetId="5" r:id="rId9"/>
    <sheet state="visible" name="Sheet6" sheetId="6" r:id="rId10"/>
  </sheets>
  <definedNames/>
  <calcPr/>
</workbook>
</file>

<file path=xl/sharedStrings.xml><?xml version="1.0" encoding="utf-8"?>
<sst xmlns="http://schemas.openxmlformats.org/spreadsheetml/2006/main" count="16025" uniqueCount="5311">
  <si>
    <t>15485686|t|ATP is synthesized by coupling a reaction that is highly energetically favorable to an energetically unfavorable phosphorylation reaction in which a phosphate group is added to ADP (adenosine diphosphate)</t>
  </si>
  <si>
    <t>15485686|a|OBJECTIVE: not even. METHODS: not even. RESULTS: not even. CONCLUSIONS: not even.</t>
  </si>
  <si>
    <t>15485686|t|Hexokinase catalyzes a phosphorylation reaction (an event) that converts glucose to glucose-6-phosphate, which is one of the reactions in a glycolysis pathway;</t>
  </si>
  <si>
    <t>15485686|t|The amino acid side chains of the four histones in the nucleosome core are subjected to a remarkable variety of covalent modifications, including the acetylation of lysines, the mono-, di-, and trimethylation of lysines, and the phosphorylation of serines</t>
  </si>
  <si>
    <t>15485686|t|Much of the decrease in translation is caused by the phosphorylation of the translation initiation factor eIF2 by specific protein kinases that respond to the changes in conditions.</t>
  </si>
  <si>
    <t>15485686|t|This leads to phosphorylation of tyrosine side chains on the cytosolic part of the receptor, creating phosphotyrosine docking sites for various intracellular signaling proteins that relay the signal</t>
  </si>
  <si>
    <t>15485686|t|Activated TGFβ/activin receptors phosphorylate Smad2 or Smad3, while activated BMP receptors phosphorylate Smad1, Smad5, or Smad8.</t>
  </si>
  <si>
    <t>15485686|t|Phosphorylation of stathmin inhibits its binding to tubulin, and signals that cause stathmin phosphorylation can increase the rate of microtubule elongation and suppress dynamic instability.</t>
  </si>
  <si>
    <t>15485686|t|The cell lysate is then separated by SDS-PAGE gel, and phosphorylation of p38 is detected by Western blotting</t>
  </si>
  <si>
    <t>15485686|t|In addition, we present the techniques used to determine the effect these mutations have on activity of the Ras/MAPK pathway through Western blot analysis of the phosphorylation of endogenous ERK1/2,</t>
  </si>
  <si>
    <t>15485686|t|Phosphorylation of both the threonine and tyrosine within this signature sequence is required for MAPK activation</t>
  </si>
  <si>
    <t>15485686|t|Fructose 2,6-bisphosphate is formed by phosphorylation of fructose-6-phosphate by phosphofructokinase-2.</t>
  </si>
  <si>
    <t>15485686|t|D-Glyceraldehyde enters glycolysis via phosphorylation to glyceraldehyde-3-phosphate catalyzed by triokinase.</t>
  </si>
  <si>
    <t>15485686|t|Galactokinase catalyzes the phosphorylation of galactose, using ATP as phosphate donor (Figure 20–6). Galactose-1-phosphate reacts with UDPGlc to form uridine diphosphate galactose (UDPGal) and glucose-1-phosphate, in a reaction catalyzed by galactose-1-phosphate uridyl transferase.</t>
  </si>
  <si>
    <t>15485686|t|Phosphorylation of carbamate by the second ATP then forms carbamoyl phosphate.</t>
  </si>
  <si>
    <t>15485686|t|Similarly, deoxycytidine kinase (EC 2.7.1.24 phosphorylates deoxycytidine and 2′- deoxyguanosine, forming dCMP and dGMP, respectively</t>
  </si>
  <si>
    <t>15485686|t|Insulin and mitogenic growth polypeptides, or growth factors (eg, IGF-1, PDGF, interleukin-2, and angiotensin II) activate the PI3 kinase/AKT kinase signaling pathways, which activate the mTOR kinase, and results in the phosphorylation of 4E-BP. Phosphorylated 4E-BP dissociates from 4E, and the latter is then able to form the 4F complex and bind to the mRNA cap.</t>
  </si>
  <si>
    <t>15485686|t|Optimal induction of NF-kB target genes also requires phosphorylation of NF-kB proteins, such as p65, within their transactivation domain by a variety of kinases in response to distinct stimuli.</t>
  </si>
  <si>
    <t>15485686|t|The ankyrin-containing and inhibitory molecule p105 is also subjected to TNFa and IKK-mediated phosphorylation on Ser927 and Ser932</t>
  </si>
  <si>
    <t>15485686|t|In addition, glycogen synthase kinase 3b (GSK3b) phosphorylates p105 on Ser903 and Ser907 and stabilizes p105 by preventing its degradation in unstimulated cells</t>
  </si>
  <si>
    <t>15485686|t|After stimulus-induced IkBa-degradation, activated PKA phosphorylates p65 on Ser276</t>
  </si>
  <si>
    <t>15485686|t|Ser276 of p65 is also phosphorylated by the mitogen- and stress-activated protein kinase-1 (MSK1) in the nucleus, and this phosphorylation is required for an optimal TNFa-mediated NF-kB activation</t>
  </si>
  <si>
    <t>15485686|t|Ser311 is another residue within the N-terminal Rel homology domain (RHD) domain that is targeted for phosphorylation by another kinase – protein kinase C (PKC)-z – in TNFa-stimulated cells</t>
  </si>
  <si>
    <t>15485686|t|IL-1b stimulation also triggers p65 phosphorylation within minutes in the cytoplasm and CK2 activity associated with this NF-kB protein has been reported and This cytoplasmic CKII activity is also associated with p65 upon TNFa stimulation and targets Ser529 of this substrate</t>
  </si>
  <si>
    <t>15485686|t|Phosphorylation of RelB at Thr84 and Ser552 in cells stimulated by 12-O-tetradecanoylphorbol 13-acetate and ionomycin triggers degradation of RelB via the proteasome pathway but, again, the identity of the kinase that phosphorylates RelB at these residues is unknown at present</t>
  </si>
  <si>
    <t>15485686|t|Indeed, PKA-mediated phosphorylation at Ser337, which is located within the Rel homology domain, enhances the p50 DNA-binding abilities</t>
  </si>
  <si>
    <t>15485686|t|ERK1/2 primarily phosphorylates c-Fos for inflammatory cytokine production</t>
  </si>
  <si>
    <t>15485686|t|c-Jun is primarily phosphorylated by JNK which also promotes the nuclear translocation of ATF4 to form heterodimers with c-Jun for AP-1 activation</t>
  </si>
  <si>
    <t>15485686|t|p38 phosphorylates members of the myocyte-enhancer factor 2 (MEF2) family of transcription factors, MEF2A and MEF2C, downstream of activated TLRs to control anti-inflammatory IL-10 production [49] as well as stimulating expression of c-Jun, thereby influencing AP-1-mediated cytokine expression</t>
  </si>
  <si>
    <t>15485686|t|ERK2-mediated phosphorylation of PARP1 has been shown to control NF-κB transcriptional activation in response to TNF stimulation, indicating how ERK1/2 can play a role in NF-κB regulation in response to other inflammatory mediators.</t>
  </si>
  <si>
    <t>15485686|t|After liberation from p105, TPL2 directly phosphorylates MEK and thereby activates downstream ERK MAPK signalling</t>
  </si>
  <si>
    <t>15485686|t|This is initiated by phosphorylation of CARMA1 by activated PKCθ, which is required for its oligomerization and association with BCL10</t>
  </si>
  <si>
    <t>15485686|t|mTORC2 phosphorylates AKT at S473 and PKCθ at S660/676 to induce Th1 and Th2 differentiation respectively</t>
  </si>
  <si>
    <t>15485686|t|IL-2-inducible T cell kinase (ITK) is also associated with PIP3, and this kinase is important for phosphorylation and activation of PLCγ1.</t>
  </si>
  <si>
    <t>15485686|t|Upon TCR stimulation, SLP-76 gets phosphorylated by ZAP-70 at its multiple tyrosine residues, which serve as binding sites for various SH2 domain-containing proteins.</t>
  </si>
  <si>
    <t>15485686|t|Within the TNFR1 signaling complex I, the kinase TAK1 phosphorylates and activates IKK</t>
  </si>
  <si>
    <t>15485686|t|protein kinase RNA-like ER kinase (PERK), which reduces general protein synthesis by phosphorylation of eukaryotic initiation factor 2alpha (eIF2α) but also promotes enhanced translation of selected mRNAs including that encoding the transcription factor ATF4</t>
  </si>
  <si>
    <t>15485686|t|Neither has intrinsic kinase activity or is known to be phosphotylated by a membrane bound or cytoplasmic kinases, but recently murine TNFR-1 has been shown to be preferentially phosphorylated by mitogen activated protein kinase (MAPK) on Thr-236 and Ser-270  and humanTNFR-1 to be phosphorylated on Tyr-331</t>
  </si>
  <si>
    <t>15485686|t|At the membrane, Akt/PKB is phosphorylated on two key residues: Thr308 (T308) of the activation loop by PDK1 and Ser473 (S473) in the hydrophobic motif of the C-terminal tail by a kinase whose identity has been elusive</t>
  </si>
  <si>
    <t>15485686|t|Moreover, FAK phosphorylation is reduced in unloaded human skeletal muscle suggesting that it is a reasonable candidate for sensing mechanical loads</t>
  </si>
  <si>
    <t>15485686|t|Akt phosphorylation was increased by 1.5-fold above rest immediately and 4 h after acute exercise in both the endurance and resistance modes</t>
  </si>
  <si>
    <t>15485686|t|Acute exercise before training in both modes of exercise increased p70S6K phosphorylation above resting values immediately after exercise</t>
  </si>
  <si>
    <t>15485686|t|rpS6 phosphorylation was significantly increased by 1.8-fold 4 h after acute resistance exercise before training</t>
  </si>
  <si>
    <t>15485686|t|In the untrained state, eIF4E phosphorylation did not change immediately after acute exercise in either mode</t>
  </si>
  <si>
    <t>15485686|t|AMPK phosphorylation increased by 6-fold immediately after acute exercise of both modes in both the untrained and trained states, but returned to baseline values by 4 h after exercise</t>
  </si>
  <si>
    <t>15485686|t|After both modes of training resting FAK phosphorylation was significantly greater than before training</t>
  </si>
  <si>
    <t>15485686|t|In the absence of a Wnt signal, GSK3 is active and phosphorylates Axin, and b-catenin.</t>
  </si>
  <si>
    <t>15485686|t|Phosphorylation of a unique 572 amino acid sequence within the N2-B domain (N2-Bus) by cAMPdependent protein kinase (PK)A lowers passive stiffness in rat, bovine, and human myocardium via yet unknown mech anisms</t>
  </si>
  <si>
    <t>15485686|t|We wanted to know whether cGMP-activated PKG can phosphorylate titin in mammalian, particularly human, heart and whether this posttranslational modification can improve diastolic function by reducing titin-based stiffness.</t>
  </si>
  <si>
    <t>15485686|t|membrane binding of newly-synthesized PKC, binding of sphingosine to Rac-bound PAK, phosphorylation of p70S6 kinase and p90RSK by MAPK (and possibly other pathways), and binding of Rho to PRK.</t>
  </si>
  <si>
    <t>15485686|t|Interestingly, the hydrophobic motif of PKB/Akt has a very low affinity for PDK-1, and mounting evidence suggests that mechanisms other than docking to the hydrophobic site may determine the phosphorylation of PKB/Akt by PDK-1</t>
  </si>
  <si>
    <t>15485686|t|Furthermore, AMPK phosphorylates PGC1a directly both in vitro and in cells.</t>
  </si>
  <si>
    <t>15485686|t|These direct phosphorylations of the PGC1a protein at threonine-177 and serine-538 are required for the PGC1a dependent induction of the PGC1a promoter</t>
  </si>
  <si>
    <t>15485686|t|fatty acid oxidation is acutely increased by phosphorylation of acetyl-CoA-carboxylase-2 (ACC-2) leading to a decrease in malonyl-CoA, an inhibitor of carnitine Opalmitoyltransferase-1.</t>
  </si>
  <si>
    <t>15485686|t|The ability of CDC2 to phosphorylate Bcl-2 was confirmed by in vitro kinase assay with a highly purified CDC2-cyclin B complex.</t>
  </si>
  <si>
    <t>15485686|t|To convincingly demonstrate that Bcl-2 is phosphorylated by CDC2, we carried out in vitro kinase assays using a highly purified CDC2-cyclin B complex. This complex efficiently phosphorylated histone H1, a specific substrate of CDC2 (27), in a dose-dependent manner, confirming that its activity is maintained in vitro</t>
  </si>
  <si>
    <t>15485686|t|LPS-induced SQSTM1 secretion requires SQSTM1 phosphorylation at Ser403, and this process is positively regulated by STING1/STING/TMEM173 (stimulator of interferon response cGAMP interactor 1)-dependent TBK1 (TANK binding kinase 1) activation.</t>
  </si>
  <si>
    <t>15485686|t|rSQSTM1-mediated phosphorylation of INSR causes subsequent phosphorylation of PLCG1 (phospholipase C gamma 1) and PTK2B/PYK2 (protein tyrosine kinase 2 beta), leading to the phosphorylation of RELA/p65 (RELA proto-oncogene, NF-kB subunit) during NFKB activation.</t>
  </si>
  <si>
    <t>15485686|t|Activated TBK1, in turn, phosphorylates STING at Ser366 (unless otherwise indicated, we refer to the human protein sequence) in the CTT, which is part of a pLxIS motif (in which p represents the hydrophilic residue, x represents any residue and S represents the phosphorylation site) and which allows the STING–TBK1 complex to recruit IRF3</t>
  </si>
  <si>
    <t>15485686|t|TBK1 then phosphorylates IRF3, enabling its dimerization, nuclear translocation and target gene induction.</t>
  </si>
  <si>
    <t>15485686|t|In the present report, we investigated the effect of curcumin on constitutively active and IL-6-inducible STAT3 phosphorylation in MM cells.</t>
  </si>
  <si>
    <t>15485686|t|Our results show that IFN-alpha induced STAT1 phosphorylation, and curcumin suppressed the phosphorylation in a time-dependent manner</t>
  </si>
  <si>
    <t>15485686|t|Because IL-6 is a growth factor for MM and induces STAT3 phosphorylation</t>
  </si>
  <si>
    <t>15485686|t|AG490 is considered to be an inhibitor of JAK2, a kinase that phosphorylates STAT3.</t>
  </si>
  <si>
    <t>15485686|t|LLL12 specifically inhibited STAT3 phosphorylation, nuclear localization, DNA binding activity, down-regulated STAT3 downstream genes, and induced apoptosis in MM cells.</t>
  </si>
  <si>
    <t>15485686|t|LLL12 also inhibited STAT3 phosphorylation induced by interleukin-6 (IL-6) and interferon-a but not STAT1, STAT2, STAT4 and STAT6 phosphorylation induced by interferon-a, interferon-c and IL-4 indicating the selectivity of LLL12 for STAT3.</t>
  </si>
  <si>
    <t>15485686|t|STAT3 activation occurs through phosphorylation of the tyrosine 705 (Tyr705) residue, leading to dimerization and translocation from the cytoplasm to the nucleus.</t>
  </si>
  <si>
    <t>15485686|t|we demonstrate that TFAM is phosphorylated within its HMG box 1 (HMG1) by cAMP-dependent protein kinase in mitochondria</t>
  </si>
  <si>
    <t>15485686|t|The PKA inhibitors H89 or KT5720 blocked phosphorylation of overexpressed TFAM at serine 55</t>
  </si>
  <si>
    <t>15485686|t|The activity of PKAa was confirmed by its phosphorylation of histone deacetylase 8 (HDAC8) at serine 39</t>
  </si>
  <si>
    <t>15485686|t|human Ago2 is phosphorylated at serine-387 leading to altered cellular localization</t>
  </si>
  <si>
    <t>15485686|t|Our findings suggest that BRD4-driven Pol II phosphorylation at serine 2 plays an important role in regulating lineage- specific gene transcription in human CD4+ T cells.</t>
  </si>
  <si>
    <t>15485686|t|Phosphorylation of serine 5 (Ser-5) in the C-terminal domain of RNA polymerase II (Pol II)3 is associated with initiation</t>
  </si>
  <si>
    <t>15485686|t|In response to postprandial increase in insulin, Akt phosphorylation of T308 and S473 correlated significantly with sites on TBC1D1 (T596) and TBC1D4 (S318, S341, S704).</t>
  </si>
  <si>
    <t>15485686|t|Exercise induced phosphorylation of TBC1D1 (S237, T596) that correlated significantly with activity of the α2/β2/γ3 AMPK trimer, whereas TBC1D4 phosphorylation (S341, S704) with exercise correlated with activity of the α2/β2/γ1 AMPK trime</t>
  </si>
  <si>
    <t>15485686|t|Phosphorylation of AMPK on T172 is essential for its activation and S221 on ACC is a well-established AMPK target</t>
  </si>
  <si>
    <t>15485686|t|Full activation of Akt requires phosphorylation of T308 and S473</t>
  </si>
  <si>
    <t>15485686|t|In the fasted state, phosphorylation of T308 did not increase significantly with exercise</t>
  </si>
  <si>
    <t>15485686|t|In the fed state, on the other hand, T308 phosphorylation was significantly increased in both the rested and exercised leg.</t>
  </si>
  <si>
    <t>15485686|t|Phosphorylation of AMPK at T172 correlates well with total AMPK kinase activity in human skeletal muscle during whole body exercise</t>
  </si>
  <si>
    <t>15485686|t|On the other hand, T596 phosphorylation was regulated by both exercise (70%) and physiological insulin (35%), and the two stimuli combined gave an additive response</t>
  </si>
  <si>
    <t>15485686|t|In addition, S660 has been shown to be phosphorylated in response to exercise in human skeletal muscle</t>
  </si>
  <si>
    <t>15485686|t|Here we show that both S660 and S700 are phosphorylated exclusively by exercise and not by physiological insulin in human skeletal muscle</t>
  </si>
  <si>
    <t>15485686|t|Recent studies have suggested that the enzymatic activity of DNMT1 is possibly modulated by phosphorylation of serine/threonine residues located in the N-terminal domain of the enzyme</t>
  </si>
  <si>
    <t>15485686|t|Our data suggest that phosphorylation of DNMT1 at Ser154 by CDKs is important for enzymatic activity and protein stability of DNMT1</t>
  </si>
  <si>
    <t>15485686|t|In the present work, we report that members of the cyclin-dependent kinase (CDK) family, including CDK1, 2 and 5, can phosphorylate human DNMT1 at Ser154.</t>
  </si>
  <si>
    <t>15485686|t|After this key step, Dbf4-dependent kinase (DDK) and cyclin-dependent kinases (Cdks) phosphorylate MCM2–7, leading to the recruitment of Cdc45 and GINS (Go, Ichi, Ni, and San) to form the CMG (Cdc45–MCMs–GINS) replicative helicase complex</t>
  </si>
  <si>
    <t>15485686|t|In general, Cdc7 phosphorylation of MCMs is essential for the initiation of DNA replication</t>
  </si>
  <si>
    <t>15485686|t|Cdk2/CycE phosphorylation of MCM3 Thr-722 promoted its chromatin loading</t>
  </si>
  <si>
    <t>15485686|t|it was found that both Cdk2/CycE and Cdk1/CycB phosphorylate MCM7 at Ser-121</t>
  </si>
  <si>
    <t>15485686|t|Similarly, Cdk1/2-dependent phosphorylation of MCM4 at multiple sites decreases the binding of MCM complex to DNA, avoiding re-replication during mitosis</t>
  </si>
  <si>
    <t>15485686|t|Interestingly, studies on the nuclear localization of chromatin-bound MCM4, phosphorylated at the Ser-3 and Ser-32 by Cdk2, showed that the nuclear localization was not generally colocalized with replicating DNA</t>
  </si>
  <si>
    <t>15485686|t|It was suggested by Shi et al. that ATM phosphorylated human MCM3 C-terminal at Ser-728, in response to DNA damage.</t>
  </si>
  <si>
    <t>15485686|t|Whereas ATR phosphorylated MCM2 at Ser-108 in response to multiple forms of DNA damage and stalling of replication forks including: IR, UV light, HU, and polyamides</t>
  </si>
  <si>
    <t>15485686|t|MCM7 phosphorylation at Tyr-600 mediated by epidermal growth factor receptor (EGFR)-p56Lyn-axis promotes MCM complex assembly and chromatin loading, consequently enhancing DNA synthesis and cancer cell proliferation</t>
  </si>
  <si>
    <t>15485686|t|MCM3 was reported to be phosphorylated by death-associated protein kinase (DAPK) at Ser-160</t>
  </si>
  <si>
    <t>15485686|t|MCM4 was phosphorylated by Epstein–Barr virus-encoded protein kinase (EBV-PK) at Thr-19 and Thr-110</t>
  </si>
  <si>
    <t>15485686|t|SIK1-dependent MCM2 phosphorylation, mediated by Sld5, is required for MCM helicase activity, but it does not affect the chromatin association of MCM2</t>
  </si>
  <si>
    <t>15485686|t|Here we show that c-Src phosphorylates human HNF4α on three tyrosines in an interdependent and isoform-specific fashion.</t>
  </si>
  <si>
    <t>15485686|t|We also show that the phosphorylation is influenced by the SH2 and SH3 domains of Src and by SNPs in HNF4α.</t>
  </si>
  <si>
    <t>15485686|t|Phosphorylation of Nrf2 at Ser-40 through a PKCbased mechanism has been reported to play a critical role in the dissociation of Nrf2 from Keap1, an negative regulator of Nrf2</t>
  </si>
  <si>
    <t>15485686|t|The best characterized ligands for the AhR include halogenated aromatic hydrocarbons (HAHs), such as the polychlorinated dibenzo-p-dioxins, dibenzofurans, and biphenyls, and polycyclic aromatic hydrocarbons (PAHs). HAHs, such as 2,3,7,8-tetrachlorodibenzo-p-dioxin (TCDD, dioxin) generally have the highest affinities for the AhR</t>
  </si>
  <si>
    <t>15485686|t| The IGFBPs bind IGF-I and IGF-II in the circulation to prolong their half-lives and modulate tissue access, thereby controlling IGF function.</t>
  </si>
  <si>
    <t>15485686|t|Schutz et al. found a 4-12-fold and 100-fold increase in the kinetic off-rate and affinity for the binding of T cell receptor (TCR) and peptide major histocompatibility complex (pMHC),</t>
  </si>
  <si>
    <t>15485686|t|For CB1 we also modeled the whole N-terminal part and we have simulated the entrance of two agonists, anandamide and Delta9-THC, into the structure of CB1. For the S1P1 receptor, the SMD simulations of ligand pulling were performed for two agonists of that receptor, sphingosine-1-phosphate (S1P) and fingolimod-(S)-phosphate ((S)-FTY720-P). For the LPA1 receptor, the similar SMD simulations were performed for lysophosphatidic acid, which is the endogenous agonist of that receptor.</t>
  </si>
  <si>
    <t>15485686|t|build a structural model of the NPY-Y5 R complex guided by the experimental data... further show that the other two natural ligands of Y5 R, peptide YY (PYY) and pancreatic polypeptide (PP) dock to the receptor in a similar pose.</t>
  </si>
  <si>
    <t>15485686|t|Here we describe a fast, high-throughput FP assay to quantify the binding of fluorescently labeled inositol 1,4,5-trisphosphate (IP3) to N-terminal fragments of the IP3 receptor</t>
  </si>
  <si>
    <t>15485686|t|It is regulated by the TR native ligand triiodothyronine (T3), which displays anticooperative behavior to the RXR ligand 9-cis retinoic acid (9C).</t>
  </si>
  <si>
    <t>15485686|t|From the simulations, both the agonist progesterone (P4) and the selective PR modulator (SPRM) asoprisnil induces agonistic-like helix 12 conformations (the "closed" states) in PR LBD</t>
  </si>
  <si>
    <t>15485686|t|The most potent and selective ligands being 8c (ICI 118,551-Gly-Ala-BODIPY-FL-X; beta2AR pKD 7.48), 9c (ICI 118,551-betaAla-betaAla-BODIPY-FL-X; beta2AR pKD 7.48), 12a (ICI 118,551-PEG-BODIPY-X-630/650; beta2AR pKD 7.56), and 12b (ICI 118,551-PEG-BODIPY-FL; beta2AR pKD 7.42)</t>
  </si>
  <si>
    <t>15485686|t|Functionalized gamma-butyrolactone and oxazolidinone-based ligands, in particular, are pharmacologically important scaffolds in drug discovery research and have been thoroughly examined for sigma2 receptor efficacy.</t>
  </si>
  <si>
    <t>15485686|t|Melatonin receptors (MT1 and MT2 in humans) are family A G protein-coupled receptors that respond to the neurohormone melatonin to regulate circadian rhythm and sleep.</t>
  </si>
  <si>
    <t>15485686|t|We combined supervised molecular dynamics (SuMD) and classic molecular dynamics (cMD) simulations to study the binding of the calcitonin gene-related peptide (CGRP) to the CGRP receptor (CGRPR).</t>
  </si>
  <si>
    <t>15485686|t|Guided by crystal structures of our lead compound JH112 and the approved hypnotic drug suvorexant bound to OX1R and OX2R, respectively,</t>
  </si>
  <si>
    <t>15485686|t|Galanin regulate its physiologic and pathologic functions by interacting with three G-protein coupled receptors; GalR1, GalR2 and GalR3.</t>
  </si>
  <si>
    <t>15485686|t|Chemerin, a mediator of innate immunity, mainly acts on chemokine-like receptor 1 (CMKLR1) to induce the migration of macrophages and dendritic cells.</t>
  </si>
  <si>
    <t>15485686|t|we present the establishment of a homogeneous live cell-based BRET binding assay for the histamine H2 receptor with different fluorescently labeled squaramide-type compounds synthesized in the course of this study. Py-1-labeled ligand 8 (UR-KAT478) was found to be most suitable in BRET saturation binding experiments with respect to receptor affinity</t>
  </si>
  <si>
    <t>15485686|t|The kinetics of binding of tri-N-acetylglucosamine (NAG3) to hen egg-white lysozyme (HEWL) was investigated previously by several groups</t>
  </si>
  <si>
    <t>15485686|t|eported values of the dissociation constants (KD) for the binding of galectin-3 to galactose-beta1,4-glucose (lactose), for example, range from 16 to 860 muM...reported KD of methyl-(Gal-beta1,4-Glc) (methyllactose) is 224 muM.</t>
  </si>
  <si>
    <t>15485686|t|Here we report two near-atomic resolution cryo-EM structures of PAC1R activated by PACAP38 or maxadilan, providing structural insights into two distinct ligand binding modes.</t>
  </si>
  <si>
    <t>15485686|t|Here we investigate the binding affinities of oxytocin (OT) and vasopressin (AVP) at the oxytocin receptor (OTR) and the vasopressin V1a receptor (V1aR), both of which are present in numerous in brain regions associated with social behavior.</t>
  </si>
  <si>
    <t>15485686|t|Herein, we present a structural model for a channel pore and a d-fructose-binding site in BmGr9.</t>
  </si>
  <si>
    <t>15485686|t|The aim of this study was to characterise interactions between the TRP cation channel subfamily melastatin member 4 (TRPM4) and endogenous intracellular modulators:calcium-binding proteins (calmodulin (CaM) and S100A1) and phosphatidylinositol 4, 5-bisphosphate (PIP2).</t>
  </si>
  <si>
    <t>15485686|t|The chemokine CXCL8 (also known as interleukin-8, abbreviated IL-8) and its G-protein-coupled receptors CXCR1 and CXCR2 are crucial elements in this process, and also the development of many cancers.</t>
  </si>
  <si>
    <t>15485686|t|Here we describe an example of applying single-molecule dynamic force spectroscopy to study the binding of epidermal growth factor (EGF) to its receptor EGFR</t>
  </si>
  <si>
    <t>15485686|t|The palm region in BMP-9 interacts with the type I receptor (ALK1, grey), the knuckle epitope interacts with the type II receptor (ActRIIB, orange).</t>
  </si>
  <si>
    <t>15485686|t|In contrast to BMPs and activins, TGF-β 1-3 have a specific type II receptor, TGFBRII.</t>
  </si>
  <si>
    <t>15485686|t|Inhibin A, like activin A, binds ActRIIA and ActRIIB.</t>
  </si>
  <si>
    <t>15485686|t|BMP-3 is also considered to be an antagonistic ligand, as it has no known type I receptor but can compete with activin and BMP-4 for binding to ActRIIB</t>
  </si>
  <si>
    <t>15485686|t|Lefty1 and lefty2 are unusual ligands in that they share a uniquely extended C-terminal sequence, and do not form covalent dimers as they lack the cysteine residue required for dimerization. Nevertheless, they competed with nodal for binding to ActRIIA and ActRIIB and inhibited Nodal signaling</t>
  </si>
  <si>
    <t>15485686|t|Two examples are GDF-11 and GDF-8 (myostatin), which activate SMAD2/3 via the type I receptors ALK4, ALK5, or ALK7</t>
  </si>
  <si>
    <t>15485686|t|For example, activin A activates the SMAD2/3 branch via the type I receptor ALK4. However, activin A may also form an inhibitory NSC with ALK2, as it inhibited BMP-6 and BMP-7 signaling in cells where ALK2 is the main type I receptor</t>
  </si>
  <si>
    <t>15485686|t|Tumor necrosis factor (TNF) receptor associated factor-2 (TRAF2) has been originally identified as a protein interacting with TNF receptor 2 (TNFR2) but also binds to several other receptors of the TNF receptor superfamily (TNFRSF).</t>
  </si>
  <si>
    <t>15485686|t|While activated TNFR2 directly binds TRAF2 and TRAF1, cIAP1 and cIAP2 are indirectly recruited to TNFR2 by help of TRAF2.</t>
  </si>
  <si>
    <t>15485686|t|In RNA virus-infected cells cytosolic double-stranded (ds) RNA is recognized by RIG1 and/or the RIG1-like receptor (RLR) melanoma differentiation-associated 5 (MDA5)</t>
  </si>
  <si>
    <t>15485686|t|The RLR filaments in turn bind to mitochondria antiviral signaling protein (MAVS; also named VISA, IPS-1, or Cardif) and nucleate the formation MAVS filaments</t>
  </si>
  <si>
    <t>15485686|t|TRAF2 and TRAF5 on the one side and TRAF3 and TRAF6 on the other side bind to different binding motifs in MAVS</t>
  </si>
  <si>
    <t>15485686|t|In contrast to receptors of the TNFRSF, RIG1 and MDA5 not only stimulate the activation of NFκB transcription factors by help of the TRAF proteins but also engage IRF3 and IRF7.</t>
  </si>
  <si>
    <t>15485686|t|It is worth mentioning that the RLR LGP2 associates with the C-terminus of TRAF2, TRAF3, TRAF5, and TRAF6 and acts as a pan-inhibitor of stimuli using these TRAF proteins for activation of the classical NFκB pathway</t>
  </si>
  <si>
    <t>15485686|t|Many of the triggers of apoptotic JNK signaling engage the JNK pathway by TRAF2-dependent activation of the MAP3K apoptosis signal-regulating kinase 1 (ASK1). The latter is kept inactive in cells by binding to thioredoxin (Trx).</t>
  </si>
  <si>
    <t>15485686|t|ROS formation, e.g., in response to TNF, results in dissociation of the ASK1-Trx complex giving TRAF2 access to ASK1.</t>
  </si>
  <si>
    <t>15485686|t|Worth mentioning, TRAF2 has also been found to bind and stimulate the mammalian ste20-like kinase 1 (MST1)</t>
  </si>
  <si>
    <t>15485686|t|Bcl-2 and Bcl-xL attenuate autophagy by binding and inhibition of Beclin-1, thereby hindering the latter to stimulate the ULK1 complex, which promotes autophagosome initiating vesicle nucleation.</t>
  </si>
  <si>
    <t>15485686|t|Similarly, the anti-inflammatory triterpene celastrol binds to Nur77, resulting in enhanced TRAF2-Nur77 interaction and eventually mitophagy</t>
  </si>
  <si>
    <t>15485686|t|More important, TRAF2 binds and stabilizes the β-catenin-TNIK-TCF4 complex thereby crucially contributing to TCF4 activation</t>
  </si>
  <si>
    <t>15485686|t|Jia et al. reported recently that TRAF2 binds LRPPRC to ubiquitinate argininosuccinate synthase 1 marking this enzyme for degradation resulting in reduced arginine synthesis</t>
  </si>
  <si>
    <t>15485686|t|Binding of TNFα to the 75 kDa TNFR-2 is not sufﬁcient to attain cytotoxicity (Thoma et al., 1990),but rather binding to the 55 kDa TNFR-1 is sufﬁcient to attain TNFα mediated cell killing (Van Ostade et al.,1993).</t>
  </si>
  <si>
    <t>15485686|t|Decoy receptors (DcR1, DcR2, and DcR3) sequester Trail (DcR1 and DCR2) and Fas (DcR3) ligands, thereby preventing apoptosis (Ashkenazi and Dixit,1999).</t>
  </si>
  <si>
    <t>15485686|t|The differences were par-ticularly marked for CD40L, which binds to CD40 and does not bind to TNFR-1 or TNFR-2.</t>
  </si>
  <si>
    <t>15485686|t|Model complexes of TNFα with receptors TNFR-1 and TNFR-2 suggest that Arg31 of TNFα forms an ionic interaction with a Glu residue in both receptors.</t>
  </si>
  <si>
    <t>15485686|t|The complex between TNFβ and the extracellulardomain of TNFR-1 was the ﬁrst view of the receptor</t>
  </si>
  <si>
    <t>15485686|t|Most recently the structure of extracellular fragment of DR5 (residues 58 –184 or 1–130) complexed with its TRAIL/Ap02L ligand (residues 91–281 or 114 –281) emerged from two different groups</t>
  </si>
  <si>
    <t>15485686|t|RAF2 (TNFR associated factor 2) binds to the cytoplasmic domain of TNF receptors such as TNFR-1 and CD40 and medi-ates signal transduction</t>
  </si>
  <si>
    <t>15485686|t|RANK is the sole sig-nalling receptor for the ligand RANKL (also known asTRANCE/ODF) and its activation is important for dif-ferentiation and activation of osteoclasts, which arenecessary for bone resorption and remodelling</t>
  </si>
  <si>
    <t>15485686|t|Predicted tertiary and quaternary structures of a chimeric TNF inhibitor molecule generated by linking the extracellular domainof TNFR-1 to domains CH2, CH3, and CH4 of an IgG Heavy Chain.</t>
  </si>
  <si>
    <t>15485686|t|The enzyme hexokinase binds glucose and ATP so as to catalyze a reaction between them, actin molecules bind to each other to assemble into actin filaments</t>
  </si>
  <si>
    <t>15485686|t|When both α subunits bind acetylcholine, the channel undergoes a conformational change that opens the gate by an outward rotation.</t>
  </si>
  <si>
    <t>15485686|t|Resident ER membrane proteins, for example, contain signals that bind directly to COPI coats ...Most membrane proteins that function at the interface between the ER and Golgi apparatus, including v- and t-SNAREs and some cargo receptors, use this retrieval pathway</t>
  </si>
  <si>
    <t>15485686|t|Soluble ER resident proteins must bind to specialized receptor proteins such as the KDEL receptor</t>
  </si>
  <si>
    <t>15485686|t|the LDL receptor diffuses until an endocytosis signal in its cytoplasmic tail binds the adaptor protein AP2 after AP2’s conformation has been locally unlocked by binding to PI(4,5)P2 on the plasma membrane.</t>
  </si>
  <si>
    <t>15485686|t|Cell-surface transferrin receptors deliver transferrin with its bound iron to early endosomes by receptor-mediated endocytosis.</t>
  </si>
  <si>
    <t>15485686|t|IRS1 binds to specific phosphorylated tyrosines on the activated receptor and is then phosphorylated at multiple sites</t>
  </si>
  <si>
    <t>15485686|t|Nerve growth factor (NGF) to bind to its specific RTK (called TrkA) at the end of a long nerve cell axon and signal to the cell body of the same cell a long distance away.</t>
  </si>
  <si>
    <t>15485686|t|The PI 3-kinase produces PI(3,4,5)P3, which serves as a docking site for two serine/threonine kinases with PH domains—Akt and the phosphoinositide-dependent kinase PDK1—and brings them into proximity at the plasma membrane.</t>
  </si>
  <si>
    <t>15485686|t|Activated TGFβ/activin receptors phosphorylate Smad2 or Smad3, while activated BMP receptors phosphorylate Smad1, Smad5, or Smad8. Once one of these receptor-activated Smads (R-Smads) has been phosphorylated, it binds to Smad4 (called a co-Smad), which can form a complex with any of the five R-Smads</t>
  </si>
  <si>
    <t>15485686|t|Hedgehog signaling begins at a cell-surface receptor called Patched, which employs a convoluted mechanism to activate a group of transcription regulators called Gli proteins</t>
  </si>
  <si>
    <t>15485686|t|Activation of the Fas receptor on the surface of a target cell by Fas ligand on the surface of a killer (cytotoxic) lymphocyte</t>
  </si>
  <si>
    <t>15485686|t|the integrin-linked kinase (ILK) and its binding partners pinch and parvin, which together form a trimeric complex that serves as an organizing hub at many junctions.</t>
  </si>
  <si>
    <t>15485686|t|Cell–matrix junctions also employ several actin-binding proteins, such as vinculin, zyxin, VASP, and a-actinin, to promote the assembly and organization of actin filaments.</t>
  </si>
  <si>
    <t>15485686|t|Notch is a transmembrane receptor protein (and latent transcription regulator) involved in many cell-fate choices in animal development, for example in the specification of nerve cells from ectodermal epithelium. Its ligands are cell-surface proteins such as Delta and Serrate.</t>
  </si>
  <si>
    <t>15485686|t|Many types of migrating cells are guided by chemotaxis that depends on a G-protein-coupled receptor, called CXCR4, which is activated by an extracellular ligand, CXCL12.</t>
  </si>
  <si>
    <t>15485686|t|An important example is HIV, which requires two types of receptors to enter a host cell. Its primary receptor is CD4, a cell-surface protein on helper T cells and macrophages... It also requires a co-receptor, which is either CCR5 (a receptor for β-chemokines) or CXCR4 (a receptor for α-chemokines), depending on the particular variant of the virus.</t>
  </si>
  <si>
    <t>15485686|t|The natural ligand for the chemokine receptors (Sdf1 for CXCR4; RANTES, MIP-1α, or MIP-1β for CCR5) blocks co-receptor function and prevents viral invasion.</t>
  </si>
  <si>
    <t>15485686|t|A human makes at least 10 different TLRs, each recognizing distinct ligands: TLR3, for example, recognizes double-stranded viral RNA in the endosomal lumen; TLR4 recognizes lipopolysaccharide (LPS) on the outer membrane of Gram-negative bacteria; TLR5 recognizes the protein that forms the bacterial flagellum; TLR7 and TLR8 recognize single- stranded viral RNA; and TLR9 recognizes short, unmethylated sequences of bacterial, viral, or protozoan DNA, called CpG motifs, which are uncommon in vertebrate DNA.</t>
  </si>
  <si>
    <t>15485686|t|For a naïve T cell, an activated dendritic cell provides the co-stimulatory signals; these include the transmembrane B7 proteins, which are recognized by the co-receptor protein CD28 on the surface of the T cell.</t>
  </si>
  <si>
    <t>15485686|t|For a B cell, an effector TFH cell provides the co-stimulatory signals; these include the transmembrane CD40 ligand, which binds to CD40 receptors on the B cell</t>
  </si>
  <si>
    <t>15485686|t|PD1 is expressed on activated T cells, and its prolonged binding to its cell-surface ligand (PDL1 or PDL2) on various cell types, including cancer cells, inhibits the activity of the T cells.</t>
  </si>
  <si>
    <t>15485686|t|The structure of the β2-adrenergic receptor, a receptor for the neurotransmitter epinephrine, illustrates the typical cylindrical arrangement of the seven transmembrane helices in a GPCR.</t>
  </si>
  <si>
    <t>15485686|t|When ephrin binding acti- vates the Eph receptor, the receptor activates a cytoplasmic tyrosine kinase that phosphorylates ephexin on a tyrosine, enhancing the ability of ephexin to activate the Rho protein RhoA.</t>
  </si>
  <si>
    <t>15485686|t|the bacterial activator protein CAP has to bind cyclic AMP (cAMP) before it can bind to DNA</t>
  </si>
  <si>
    <t>15485686|t|The binding of cAMP to the regulatory subunits of the PKA tetramer induces a conformational change</t>
  </si>
  <si>
    <t>15485686|t|The Rev protein interacts with a nuclear export receptor (Crm1), which directs the movement of viral RNAs through nuclear pores into the cytosol despite the presence of intron sequences.</t>
  </si>
  <si>
    <t>15485686|t|the ganglioside GM1 acts as a cell-surface receptor for the bacterial toxin that causes the debilitating diarrhea of cholera. Cholera toxin binds to and enters only those cells that have GM1 on their surface</t>
  </si>
  <si>
    <t>15485686|t|strychnine, for example, binds to glycine receptors and prevents their inhibitory action</t>
  </si>
  <si>
    <t>15485686|t|When a signal sequence binds, SRP exposes a binding site for an SRP recep­tor, which is a transmembrane protein complex in the rough ER membrane.</t>
  </si>
  <si>
    <t>15485686|t|Two proteins at the ER membrane called Get1 and Get2 serve not only as the receptor for Get3</t>
  </si>
  <si>
    <t>15485686|t|Each AP2 complex binds four PI(4,5)P2 molecules</t>
  </si>
  <si>
    <t>15485686|t|a specific Sar1 GEF embedded in the ER membrane binds to cytosolic Sar1</t>
  </si>
  <si>
    <t>15485686|t|Transmembrane M6P receptor proteins, which are present in the TGN, recognize the M6P groups and bind to the lysosomal hydrolases on the lumenal side of the membrane and to adaptor proteins in assembling clathrin coats on the cytosolic side.</t>
  </si>
  <si>
    <t>15485686|t|Inositol 1,4,5-trisphosphate (IP3) diffuses through the cytosol and releases Ca2+ from the ER by binding to and opening IP3-gated Ca2+-release channels (IP3 receptors) in the ER membrane</t>
  </si>
  <si>
    <t>15485686|t|Calmodulin functions as a multi- purpose intracellular Ca2+ receptor, governing many Ca2+-regulated processes.</t>
  </si>
  <si>
    <t>15485686|t|In some target cells, including smooth muscle cells, NO binds reversibly to iron in the active site of guanylyl cyclase, stimulating synthesis of cyclic GMP</t>
  </si>
  <si>
    <t>15485686|t|Frizzled contains an extracellular domain that binds with high affinity to Wnt, due in part to a hydrophobic pocket on the receptor domain that interacts with the lipid modification on Wnt; this lipid is therefore required for Wnt signaling. LRP interacts with a different site on Wnt.</t>
  </si>
  <si>
    <t>15485686|t|The laminin molecules that generate the initial sheet structure first join to each other while bound to receptors on the surface of the cells. The cell-surface receptors are primarily members of the integrin family, but another important type of laminin receptor is dystroglycan, a highly glycosylated transmembrane protein.</t>
  </si>
  <si>
    <t>15485686|t|α5β1 is a fibronectin receptor and α6β1 is a laminin receptor on many types of cells</t>
  </si>
  <si>
    <t>15485686|t|Toll and Torso are receptor proteins that are distributed all over the membrane but are activated only at the sites indicated by the coloring, through localized exposure to the extracellular ligands Spaetzle (the ligand for Toll) and Trunk (the ligand for Torso).</t>
  </si>
  <si>
    <t>15485686|t|The second transgene, CreERT2 (brown), encodes a chimeric form of the Cre recombinase called CreERT, which consists of the Cre recombinase linked to the estrogen receptor protein; this enzyme becomes active as a recombinase only when it binds the artificial estrogen analog tamoxifen</t>
  </si>
  <si>
    <t>15485686|t|an envelope protein of herpes simplex virus, for example, binds to heparan sulfate proteoglycans on the surface of certain vertebrate host cells, and simian virus 40 (SV40) binds to a glycolipid.</t>
  </si>
  <si>
    <t>15485686|t|The IgE tail region binds to another class of Fc receptors on the surface of mast cells in tissues and of basophils in the blood</t>
  </si>
  <si>
    <t>15485686|t|A monoclonal antibody called trastuzumab (trade name Herceptin), which binds to Her2 and inhibits its function, slows the growth of human breast cancers that overexpress Her2</t>
  </si>
  <si>
    <t>15485686|t|the lymphocytes stop rolling, and they crawl out of the blood vessel into the lymph node by using yet another cell adhesion protein called CD31</t>
  </si>
  <si>
    <t>15485686|t|The C-terminus of ubiquitin is initially activated by being linked via a high-energy thioester bond to a cysteine side chain on the E1 protein. This reaction requires ATP, and it proceeds via a covalent AMP–ubiquitin intermediate.</t>
  </si>
  <si>
    <t>15485686|t|The activated ubiquitin on E1, also known as the ubiquitin-activating enzyme, is then transferred to the cysteine on an E2 molecule.</t>
  </si>
  <si>
    <t>15485686|t|the activity of a ubiquitin ligase is turned on either by E3 phosphorylation or by an allosteric transition in an E3 protein caused by its binding to a specific small or large mol - ecule.</t>
  </si>
  <si>
    <t>15485686|t|For example, the anaphase-promoting complex/cyclosome (APC/C) is a multisubunit ubiquitin ligase that is activated by a cell-cycle-timed subunit addition at mitosis.</t>
  </si>
  <si>
    <t>15485686|t|Not all proteins that bind to activated RTKs via SH2 domains help to relay the signal onward. Some act to decrease the signaling process, providing negative feedback. One example is the c-Cbl protein, which can dock on some activated receptors and catalyze their ubiquitylation, covalently adding one or more ubiqui- tin molecules to specific sites on the receptor.</t>
  </si>
  <si>
    <t>15485686|t|Smad7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co-Smad, Smad4, and inhibit it, either by preventing its binding to R-Smads or by promoting its ubiquitylation and degradation.</t>
  </si>
  <si>
    <t>15485686|t|The complex contains at least four other proteins, including a protein kinase called casein kinase 1 (CK1), which phosphorylates the β-catenin on a serine, priming it for further phosphorylation by another protein kinase called glycogen synthase kinase 3 (GSK3). This final phosphorylation marks the protein for ubiquitylation and rapid degradation in proteasomes.</t>
  </si>
  <si>
    <t>15485686|t|The binding of TNFα causes a rearrangement of the clustered cytosolic tails of the receptors, which now recruit various signaling proteins, resulting in the activation of a protein kinase that phosphorylates and activates IκB kinase kinase (IKK). IKK is a heterotrimer composed of two kinase subunits (IKKα and IKKβ) and a regulatory subunit called NEMO. IKKβ then phosphorylates IκB on two serines, which marks the protein for ubiquitylation and degradation in proteasomes.</t>
  </si>
  <si>
    <t>15485686|t|active CTR1 stimulates the ubiquitylation and degradation in proteasomes of a nuclear transcription regulator called EIN3, which is required for the transcription of ethylene-responsive genes.</t>
  </si>
  <si>
    <t>15485686|t|The auxin receptor proteins are located mainly in the nucleus. When activated by auxin binding, the receptor– auxin complex recruits a ubiquitin ligase, which ubiquitylates the Aux/IAA protein, marking it for degradation in proteasomes. ARF is now free to activate the transcription of auxin-responsive genes.</t>
  </si>
  <si>
    <t>15485686|t|First, a protein called geminin is labeled with a green fluorescent protein. This protein is targeted for degradation by the APC/C, a ubiquitin ligase that is active from metaphase to the end of G1 (as discussed later). Thus, the green fluorescence of this protein is seen from early S phase to mid-mitosis. A second protein, called Cdt1, is tagged with a red fluorescent protein. This protein is targeted for ubiquitylation and destruction from late G1 to telophase of mitosis.</t>
  </si>
  <si>
    <t>15485686|t|The APC/C catalyzes the ubiquitylation and destruction of two major proteins. The first is securin; its destruction in metaphase activates a protease that separates the sister-chromatid pairs and unleashes anaphase, as described later. The S- and M-cyclins are the second major targets of the APC/C.</t>
  </si>
  <si>
    <t>15485686|t|The cell-cycle control system also employs another ubiquitin ligase called SCF (see Figure 3–67). Its major role in the cell cycle is to ubiquitylate certain CKI proteins in late G1, thereby helping to control the activation of S-Cdks and DNA replication</t>
  </si>
  <si>
    <t>15485686|t|Like Cdh1, Sic1 is inhibited by M-Cdk, which phosphorylates Sic1 during mitosis and thereby promotes its ubiquitylation by SCF</t>
  </si>
  <si>
    <t>15485686|t|p27 suppresses G1/S-Cdk and S-Cdk activities in G1; helps cells withdraw from cell cycle when they terminally differentiate; phosphorylation by Cdk2 triggers its ubiquitylation by SCF</t>
  </si>
  <si>
    <t>15485686|t|APC/C catalyzes ubiquitylation of regulatory proteins involved primarily in exit from mitosis, including securin and S-cyclins and M-cyclins; regulated by association with activating subunits Cdc20 or Cdh1</t>
  </si>
  <si>
    <t>15485686|t|SCF employs various substrate-binding (F-box) subunits to catalyze ubiquitylation of regulatory proteins involved in G1 control, including some CKIs (Sic1 in budding yeast, p27 in mammals)</t>
  </si>
  <si>
    <t>15485686|t|CRL4–Cdt2 catalyzes ubiquitylation of the replication regulator Cdt1 during S phase, thereby suppressing further loading of Mcm helicase at origin</t>
  </si>
  <si>
    <t>15485686|t|Also, the association of Cdt1 with a protein at active replication forks stimulates Cdt1 ubiquitylation by a ubiquitin ligase called CRL4–Cdt2, leading to Cdt1 degradation.</t>
  </si>
  <si>
    <t>15485686|t|The activation of APC/C by Cdc20 leads to the ubiquitylation and destruction of securin</t>
  </si>
  <si>
    <t>15485686|t|Mdm2 normally binds to p53 and promotes its ubiquitylation and destruction in proteasomes.</t>
  </si>
  <si>
    <t>15485686|t|Rad6 is known to direct mono-ubiquitination of histone H2B, which is involved in regulating gene transcription in the nucleus.</t>
  </si>
  <si>
    <t>15485686|t|The resulting K48-linked and K11-linked ubiquitin chains do not only represent a signal for degradation by the proteasome but are also recognized by the AAA+ ATPase Cdc48 and get in the process of retrotranslocation modified by enzymes bound to Cdc48.</t>
  </si>
  <si>
    <t>15485686|t|Although Ubc7 is the main E2 enzyme that cooperates with the Hrd1 E3 ligase, the central component of the Hrd complex, Ubc6 interacts with another E3 ligase complex, the Doa10 complex.</t>
  </si>
  <si>
    <t>15485686|t|In addition, detailed biochemical studies have shown that binding enhances the ubiquitination reaction by an allosteric mechanism. Ubc7 bound to the isolated U7BR showed strongly enhanced ubiquitination activity, independently of the presence of E3 ligases.</t>
  </si>
  <si>
    <t>15485686|t|In mammalian cells the ERAD E3 ligase gp78 contains in addition to the G2BR domain that binds to the E2 enzyme Ube2g2 also a CUE domain that recognizes the hydrophobic patch of ubiquitin similar to other CUE domains.</t>
  </si>
  <si>
    <t>15485686|t|In vitro experiments with poly-ubiquitinated Hrd1 suggested that in general Cdc48 acts before Otu1-mediated trimming of the ubiquitin chains occurs. These investigations also suggested that Ubx2 prevents premature de-ubiquitination before substrate extraction by competing with Otu1 for binding to Cdc48.</t>
  </si>
  <si>
    <t>15485686|t|On the opposite side of the nucleosome, two tandem zinc fingers in AEBP2 contact the ubiquitin attached to the other H2A subunit in the complex through the Ile44 hydrophobic patch.</t>
  </si>
  <si>
    <t>15485686|t| RYBP is a ubiquitin-binding protein: this interaction is mediated by its zinc-finger domain, which is similar in sequence to NZF zinc-fingers known to bind ubiquitin. Ubiquitin binding by RYBP is important for PRC2-independent PRC1 recruitment in the context of X-chromosome inactivation in female ES cells.</t>
  </si>
  <si>
    <t>15485686|t|The structure also revealed roles for the nucleosome itself in positioning the H2AK15-linked ubiquitin. First, direct contacts were observed between ubiquitin and the H2B C-terminal alpha helix</t>
  </si>
  <si>
    <t>15485686|t|For ubiquitination assay, we expect to detect the protein of IGF2BP1 ubiquitination increased by E3 ligase. As shown in Figure 2, FBXO45 enhanced IGF2BP1 polyubiquitination, while the K190A or K450A mutants significantly blocked this action.</t>
  </si>
  <si>
    <t>15485686|t|A good example is polyubiquitination of RIPK1 by the TRAF2-cIAP1-Ubc13-UbcH5 complex, which modulates K63-linked ubiquitination of RIPK1 (see Figure 2 in the main text).</t>
  </si>
  <si>
    <t>15485686|t|In the context of BCR activation, TRAF3 essentially functions as a bridge to transfer K48-linked ubiquitin chains to NF-kappaB-inducing kinase (NIK) via the ubiquitin ligase complex (TRAF2-TRAF6-cIAP1/2).</t>
  </si>
  <si>
    <t>15485686|t| A20 negatively regulates NF-kappaB signaling by inhibiting E3 ligase or substrate activity (TRAF2, TRAF6, cIAP1, RIPK1, and MALT1)</t>
  </si>
  <si>
    <t>15485686|t|A20 functions to deubiquitinate K63-ubiquitin linkages conjugated to MALT1 of CBM-Ubc13-TRAF6 complex and impairs TCR-induced NF-kappaB signaling; A20 also undergoes proteasomal degradation to restore TCR/CD28-induced IKK activation.</t>
  </si>
  <si>
    <t>15485686|t|OTUD7B is a DUB that deubiquitinates K63-assembled ubiquitin chains from GbetaL, a substrate for TRAF2 E3 ligase.</t>
  </si>
  <si>
    <t>15485686|t| USP49, a ubiquitin-specific protease, interacts with and deubiquitinates STING after HSV-1 infection.</t>
  </si>
  <si>
    <t>15485686|t|The SARS-CoV-2 PLPro protein inhibits TLR-7 signaling by deubiquitinating K63 linkages from TRAF3 and TRAF6 in human promonocyte cells that were stably transfected.</t>
  </si>
  <si>
    <t>15485686|t|The IAP family of proteins, including cIAP1, cIAP2, and XIAP, have E3 ubiquitin protein ligase activity. TRAF2 and TRAF6 form a complex with cIAP1/2 to conjugate K63-linked ubiquitin chains catalyzed by Ubc13, followed by NF-kappaB or MAPK activation in human immune cell activation via antigen and pattern recognition receptors (PRRs)</t>
  </si>
  <si>
    <t>15485686|t|K63-linked polyubiquitin chains (red ovals) and linear polyubiquitin chains (green ovals) catalyzed by Ubc13-Uev1a and UbcH5/linear ubiquitin chain assembly complex (LUBAC) are necessary for efficient activation of immune and antiviral cell signaling pathways.</t>
  </si>
  <si>
    <t>15485686|t|The tumor necrosis factor receptor 1 (TNFR1)-induced non-canonical mechanism involves K48-ubiquitin chain-mediated degradation of TNF receptor-associated factor 3 (TRAF3) by cellular inhibitor of apoptosis proteins 1/2 (cIAP1/2), release of TRAF2/TRAF6 for K63 ubiquitination, and activation of non-canonical nuclear factor KappaB (NF-kappaB)/MAPK.</t>
  </si>
  <si>
    <t>15485686|t|Recently, Ubc13 was also shown to associate with NLRP3, catalyze K63-linked ubiquitination of NLRP3 and activate the inflammasome</t>
  </si>
  <si>
    <t>15485686|t|NLRC5 undergoes K63 ubiquitination in the presence of TRAF2 or TRAF6 and ubiquitinated NLRC5 regulates the catalytic function of the IKK complex.</t>
  </si>
  <si>
    <t>15485686|t|NLRX1 is another non-inflammasome NLR that binds to TRAF6 and when stimulated with LPS, undergoes K63-linked ubiquitination; ubiquitinated NLRX1 inhibits IKK and NF-kappaB activation, as shown in overexpressed 293Ts (Box 3).</t>
  </si>
  <si>
    <t>15485686|t|One of the components of LUBAC is the ubiquitin ligase HOIL-1 which has been shown to generate oxyester linkages on several proteins and on linear polysaccharides. We show that HOIL-1 activity requires linear tetra-Ub binding which enables HOIL-1 to mono-ubiquitylate linear Ub chains and polysaccharides.</t>
  </si>
  <si>
    <t>15485686|t|It has been shown that HOIL-1L mono-ubiquitylates several immune signaling proteins such as MyD88 (Myeloid differentiation factor 88), the IL-1 receptor associated kinases IRAK1and IRAK2 by catalyzing formation of an ester bond between the hydroxy group of serine or threonine residues and the C-terminal glycine of Ub.</t>
  </si>
  <si>
    <t>15485686|t|E3 ubiquitin ligases that can catalyze the ubiquitylation of Notch include Itch, Ligand of Numb-Protein X (LNX), Deltex (DTX), Mind bomb (Mib) 1, Mib2, Neuralized (Neur) 1, and Neur2.</t>
  </si>
  <si>
    <t>15485686|t|However, Zhao Y et al. reported that Cbl-b, together with Stub1, regulates thymic-derived CD4+ CD25+ regulatory T cells (tTregs) development by targeting Foxp3 for ubiquitination and degradation in the proteasome</t>
  </si>
  <si>
    <t>15485686|t|Membrane-associated RING-CH1 (MARCH1) is an E3 ubiquitin ligase that regulates MHCII ubiquitination</t>
  </si>
  <si>
    <t>15485686|t|Another E3 ligase, MARCH8, is responsible for MHC II ubiquitination specifically in thymic epithelial cells.</t>
  </si>
  <si>
    <t>15485686|t|Cdt2 binds directly onto proliferating cell nuclear antigen (PCNA) loaded on DNA, which serves as a landing pad for the independent recruitment of the ubiquitin ligase and its substrates.</t>
  </si>
  <si>
    <t>15485686|t|Moreover, it was shown that mK3 could facilitate ubiquitination of a single serine, threonine or lysine (but not cysteine) residue placed close to the C-terminus of the cytosolic tail of MHC-I HC, resulting in its efficient degradation.</t>
  </si>
  <si>
    <t>15485686|t|These surprising findings were extended to show that, even in the context of the native sequence, serine residues were preferentially ubiquitinated over lysine residues in a reaction catalysed by the E2 Ube2j2, a tail-anchored ER membrane protein, which was shown to be the cognate E2 of mK3.</t>
  </si>
  <si>
    <t>15485686|t|We also showed that during zebrafish development, the ribosome was ubiquitinated by Znf598, an E3 ubiquitin ligase that activates RQC. Ribosomal protein Rps10/eS10 was found to be a key ubiquitinated protein during development.</t>
  </si>
  <si>
    <t>15485686|t|Upon stimulation with inflammatory cytokines such as TNF-alpha, LUBAC conjugates an M1-polyubiquitin chain onto NF-kappaB-essential modulator (NEMO), receptor-interacting Ser/Thr kinase 1 (RIPK1), and other proteins.</t>
  </si>
  <si>
    <t>15485686|t|A much more recent line of evidence for DDR leading to this atypical ubiquitination stems from the research on HUWE1, an E3 ligase that generates the majority of cellular K6-linked species upon inhibition of the valosin-containing protein (VCP/p97/Cdc48).</t>
  </si>
  <si>
    <t>15485686|t|E4B belongs to the U-box E3 ubiquitin ligase family and functions as either an E3 or an E4 enzyme in protein ubiquitination. Lu et al. studied the differential degradation of TRA2A and PYCR2 by E3 ubiquitin ligase E4B. In their study, they validated the ubiquitination of TRA2A and PYCR2 by E4B in vitro and in mammalian cells. They found that E4B mediated the degradation by forming K11- and K48- linked polyubiquitin chains on TRA2A and PYCR2, respectively.</t>
  </si>
  <si>
    <t>15485686|t|Polyubiquitination of IRAK-1 and TRAF6 is induced by stimulation of interleukin-1 receptor (IL-1R) or of TLRs by pathogens.</t>
  </si>
  <si>
    <t>15485686|t|For example, the UBE2E family of E2 enzymes directly ubiquitinate the substrate SETDB1 in a manner independent of ubiquitin ligase E3, and conjugated ubiquitin is protected from active deubiquitination.</t>
  </si>
  <si>
    <t>15485686|t|Our results are consistent with a model in which BRD1732 is ubiquitinated by RNF19 proteins, and accumulation of the resulting ubiquitin-BRD1732 conjugate leads to competitive inhibition of the ubiquitin-proteasome system (Fig. 4F).</t>
  </si>
  <si>
    <t>15485686|t|The N-terminal end of proteins can be also targeted for ubiquitination. The ubiquitin-conjugating enzyme, UBE2W catalyzes ubiquitination on the N-terminal end of UCHL1 and UCHL5, altering their DUB activity. There are also several other proteins such as FKBP1A, SURF4, DUT, GADD45A, TXNL1, EIFR3G, TAM1, STAM, and PAPOLA targeted for the N-terminal ubiquitination in which the role of ubiquitination and the responsible enzymes remain unclear.</t>
  </si>
  <si>
    <t>15485686|t|Ubiquitination of LPS is catalyzed by the RING-type ubiquitin ligase RNF213/Mysterin (Fig. 3 B), a distinct E3 ligase linked to Moyamoya disease, a cerebrovascular disorder.</t>
  </si>
  <si>
    <t>15485686|t|More recently, sugars (glycogen and maltoheptaose) were shown to be ubiquitinated by the RBR-type ubiquitin ligase HOIL-1 (Fig. 3 C). Sugar ubiquitination by HOIL-1 with the E2 UbcH7 has been confirmed in vitro.</t>
  </si>
  <si>
    <t>15485686|t|Rad6-Rad18 is the E2 ubiquitin-conjugating enzyme/E3 ubiquitin ligase that catalyzes the mono-ubiquitylation of PCNA.</t>
  </si>
  <si>
    <t>15485686|t|Yeast Rad5 is a 134 kDa protein that has two functions. First, it is an E3 ubiquitin ligase that binds Ubc13-Mms2 and forms K63-linked poly-ubiquitin chains on mono-ubiquitylated PCNA.</t>
  </si>
  <si>
    <t>15485686|t|A substantial amount of evidence suggests that the Rad18 protein, which is the E3 ubiquitin ligase responsible for PCNA mono-ubiquitylation, and the Rad5 protein, which is the E3 ubiquitin ligase responsible for PCNA poly-ubiquitylation, play a more direct role in orchestrating the events leading to DNA damage bypass than was originally thought.</t>
  </si>
  <si>
    <t>15485686|t|IκBα ubiquitination occurs when IκBα is phosphorylated at Ser32/Ser36. Phosphorylation of Ser32/Ser36 allows certain ubiquitin E3 ligases to recognize IκBα. Ubiquitinated IκBα is then recognized by the proteasome complex, which leads to its degradation.</t>
  </si>
  <si>
    <t>15485686|t|Depending on the linkage between ubiquitin molecules, these chains can encode distinct information. For example, chains linked through Lys48 of ubiquitin (K48-linked chains) are a targeting device for protein degradation by the 26S proteasome</t>
  </si>
  <si>
    <t>15485686|t|Ubiquitin moieties are linked by an isopeptide bond between a Gly76 carboxyl group and either a Lys sidechain primary amino group (Lys6, Lys11, Lys27, Lys29, Lys33, Lys48, or Lys63) or the ubiquitin amino terminus (Met1)</t>
  </si>
  <si>
    <t>15485686|t|The specific enzymes that</t>
  </si>
  <si>
    <t>catalyze modification by ubiquitin-like proteins are somewhat</t>
  </si>
  <si>
    <t>different from those involved in conjugation of ubiquitin,</t>
  </si>
  <si>
    <t>though they utilize a similar mechanism. Thus SUMO (Small</t>
  </si>
  <si>
    <t>Ubiquitin MOdifier), for example, is conjugated by a</t>
  </si>
  <si>
    <t>heterodimeric E1-Aos1/Uba2, and the E2-conjugating enzyme</t>
  </si>
  <si>
    <t>Ubc9.</t>
  </si>
  <si>
    <t>15485686|t|IKK then phosphorylates IκBα to target IκBα for K48 polyubiquitination, which leads to the degradation of ubiquitinated IκBα by the proteasome, allowing the p50/RelA complex to enter the nucleus and activate target genes.</t>
  </si>
  <si>
    <t>15485686|t|In the non-canonical pathway, under unstimulated conditions, NIK is persistently degraded by the proteasome due to K48 polyubiquitination by cIAP1/2 because the TRAF2/TRAF3 heterodimer acts as a molecular bridge between NIK and cIAP1/2.</t>
  </si>
  <si>
    <t>15485686|t|We focused on the E3 activity of TRAF6 and found that, upon IL-1 stimulation, TAK1 undergoes K63-type polyubiquitination catalyzed by TRAF6 (E3) and Ubc13 (E2), which is required for TAK1 activation.</t>
  </si>
  <si>
    <t>15485686|t|BRCA1 polyubiquitinates CSB and this polyubiquitination and subsequent degradation of CSB occur following UV irradiation, even in the absence of Cockayne syndrome A (CSA) protein.</t>
  </si>
  <si>
    <t>15485686|t|BRCA1 associates with RNA polymerase II (RNAPII)( 14 ) and mediates the ubiquitination of RNAPII following UV irradiation</t>
  </si>
  <si>
    <t>15485686|t|Hypoxia inducible factor (HIF)-mediated response to hypoxic conditions is turned off by VHL-mediated ubiquitination of HIFα. To achieve this, VHL binds HIFα and recruits it to a specific E3 ubiquitin ligase complex, a Cullin-RING-ligase.</t>
  </si>
  <si>
    <t>15485686|t|The F-box protein Skp2 mediates c-Myc ubiquitylation by binding to the MB2 domain.</t>
  </si>
  <si>
    <t>15485686|t|In this study, RagA was modified by polyubiquitination in an amino acid-sensitive manner. By screening a series of E3 ligases, RNF152, a lysosomal E3 ligase, was identified to mediate K63-linked polyubiquitination of RagA.</t>
  </si>
  <si>
    <t>15485686|t|Moreover, SKP2, another E3 ligase, could mediate RagA polyubiquitination on lysine 15.</t>
  </si>
  <si>
    <t>15485686|t|In addition to RNF152/SKP2, TRAF6, an E3 ligase, is also reported to regulate mTOR translocation to the lysosome in response to amino acid stimulation by catalyzing the K63 ubiquitination of mTOR in the form of the p62-TRAF6 heterodimer complex.</t>
  </si>
  <si>
    <t>15485686|t|In this process, FBXW7 directly binds to mTOR and mediates its degradation by the proteasome (Fig. 2a)</t>
  </si>
  <si>
    <t>15485686|t|RNF168 plays a central role in the DNA damage response (DDR) by ubiquitylating histone H2A at K13 and K15.</t>
  </si>
  <si>
    <t>15485686|t|Briefly, Rsp5 (NEDD4 in human cells) is responsible for generating a K63 linked poly-ubiquitin chain on RPB1, which is then trimmed to mono-ubiquitylation by the Rsp5-associated deubiquitinating enzyme (DUB) Ubp2.</t>
  </si>
  <si>
    <t>15485686|t|While this two-ligase system has been successfully reconstituted for yeast and mammalian factors in vitro , the human E3 ligase VHL has also been shown to ubiquitylate RPB1 in vivo .</t>
  </si>
  <si>
    <t>15485686|t|Consequently, p-T58-MYC is recognized by SCFFbw7 for K48-linked ubiquitination and degradation through the proteasome system.</t>
  </si>
  <si>
    <t>15485686|t|As the substrate-binding subunit of the SCFSkp2 ubiquitin ligase complex, Skp2 was shown to bind to the MBII and bHLH-LZ domains of MYC and can mediate its ubiquitination and degradation during the G1/S transition of the cell cycle.</t>
  </si>
  <si>
    <t>15485686|t| SCFFBXO32 targets MYC for proteasome degradation by promoting MYC ubiquitination at K326 via K48-linked ubiquitin chains independently of T58 or S62 phosphorylation. FBXO32 interacts with MYC at MBII, MBIV and a PEST (rich in proline, glutamic acid, serine and threonine) domain.</t>
  </si>
  <si>
    <t>15485686|t|SPOP mediates ubiquitination and degradation of MYC by directly binding to MYC, while this binding is attenuated by the prostate cancer-associated mutations, SPOPF102C and SPOPF133V.</t>
  </si>
  <si>
    <t>15485686|t|Recently, LINC01638 lncRNA has been shown to stabilize MYC by blocking the binding between SPOP and MYC and thus inhibiting SPOP- induced MYC ubiquitination and degradation in TNBCs, indicating a new RNA-mediated mechanism utilized by cancer cells to stabilize MYC protein.</t>
  </si>
  <si>
    <t>15485686|t|However, subsequent studies showed that Pirh2 binds to MYC and mediates MYC polyubiquitination and proteasome degradation, suggesting that Pirh2 is a bona fide ubiquitin E3 ligase for MYC.</t>
  </si>
  <si>
    <t>15485686|t| TRUSS interacts with both MYC and N-MYC at their C-terminal bHLH-LZ domain, thus mediating DCX-dependent MYC ubiquitination and degradation.</t>
  </si>
  <si>
    <t>15485686|t|It has been shown that CHIP mediates polyubiquitination of MYC for degradation and suppresses MYC activity.</t>
  </si>
  <si>
    <t>text</t>
  </si>
  <si>
    <t>text index</t>
  </si>
  <si>
    <t>entity pair index</t>
  </si>
  <si>
    <t>sentence</t>
  </si>
  <si>
    <t>label (0/1/2/3)</t>
  </si>
  <si>
    <t xml:space="preserve">uncertain? </t>
  </si>
  <si>
    <t>who</t>
  </si>
  <si>
    <t>review</t>
  </si>
  <si>
    <t>reviewer agree (orig label)?</t>
  </si>
  <si>
    <t>Remarks</t>
  </si>
  <si>
    <t>Other relations</t>
  </si>
  <si>
    <t>entity tagging issues</t>
  </si>
  <si>
    <t>@CHEMICAL$ is synthesized by coupling a reaction that is highly energetically favorable to an energetically unfavorable phosphorylation reaction in which a @CHEMICAL$ group is added to ADP (adenosine diphosphate)</t>
  </si>
  <si>
    <t>Jiaying</t>
  </si>
  <si>
    <t>Ana</t>
  </si>
  <si>
    <t>no relation</t>
  </si>
  <si>
    <t>@CHEMICAL$ is synthesized by coupling a reaction that is highly energetically favorable to an energetically unfavorable phosphorylation reaction in which a phosphate group is added to @CHEMICAL$ (adenosine diphosphate)</t>
  </si>
  <si>
    <t>phosphorylation</t>
  </si>
  <si>
    <t>@CHEMICAL$ is synthesized by coupling a reaction that is highly energetically favorable to an energetically unfavorable phosphorylation reaction in which a phosphate group is added to ADP (@CHEMICAL$)</t>
  </si>
  <si>
    <t>LRB</t>
  </si>
  <si>
    <t>ATP is synthesized by coupling a reaction that is highly energetically favorable to an energetically unfavorable phosphorylation reaction in which a @CHEMICAL$ group is added to @CHEMICAL$ (adenosine diphosphate)</t>
  </si>
  <si>
    <t>Y</t>
  </si>
  <si>
    <t xml:space="preserve">N </t>
  </si>
  <si>
    <t>ADP receiving phosphate to form ATP is common in many biochemical reactions... is this meaningful? Or should we only care about the entity catalysing the phosphorylation of ADP to form ATP?</t>
  </si>
  <si>
    <t>ubiquitylation</t>
  </si>
  <si>
    <t>ATP is synthesized by coupling a reaction that is highly energetically favorable to an energetically unfavorable phosphorylation reaction in which a @CHEMICAL$ group is added to ADP (@CHEMICAL$)</t>
  </si>
  <si>
    <t>uncertain</t>
  </si>
  <si>
    <t>ATP is synthesized by coupling a reaction that is highly energetically favorable to an energetically unfavorable phosphorylation reaction in which a phosphate group is added to @CHEMICAL$ (@CHEMICAL$)</t>
  </si>
  <si>
    <t>total</t>
  </si>
  <si>
    <t>@GENE$ catalyzes a phosphorylation reaction (an event) that converts @CHEMICAL$ to glucose-6-phosphate, which is one of the reactions in a glycolysis pathway;</t>
  </si>
  <si>
    <t>@GENE$ catalyzes a phosphorylation reaction (an event) that converts glucose to @CHEMICAL$, which is one of the reactions in a glycolysis pathway;</t>
  </si>
  <si>
    <t>Hexokinase catalyzes a phosphorylation reaction (an event) that converts @CHEMICAL$ to @CHEMICAL$, which is one of the reactions in a glycolysis pathway;</t>
  </si>
  <si>
    <t>The amino acid side chains of the four histones in the nucleosome core are subjected to a remarkable variety of covalent modifications, including the acetylation of lysines, the mono-, di-, and trimethylation of lysines, and the phosphorylation of serines</t>
  </si>
  <si>
    <t>"histones" should be tagged as @GENE$?</t>
  </si>
  <si>
    <t>Histones should be tagged as @GENE$</t>
  </si>
  <si>
    <t>Much of the decrease in translation is caused by the phosphorylation of the translation initiation factor @GENE$ by specific protein kinases that respond to the changes in conditions.</t>
  </si>
  <si>
    <t>(would be a phosphorylation relation if the protein kinases were specified in surrounding sentences)</t>
  </si>
  <si>
    <t>This leads to phosphorylation of tyrosine side chains on the cytosolic part of the receptor, creating @CHEMICAL$ docking sites for various intracellular signaling proteins that relay the signal</t>
  </si>
  <si>
    <t>Activated @GENE$/@GENE$ phosphorylate Smad2 or Smad3, while activated BMP receptors phosphorylate Smad1, Smad5, or Smad8.</t>
  </si>
  <si>
    <t>Activated @GENE$/activin receptors phosphorylate @GENE$ or Smad3, while activated BMP receptors phosphorylate Smad1, Smad5, or Smad8.</t>
  </si>
  <si>
    <t>Activated @GENE$/activin receptors phosphorylate Smad2 or @GENE$, while activated BMP receptors phosphorylate Smad1, Smad5, or Smad8.</t>
  </si>
  <si>
    <t>Activated @GENE$/activin receptors phosphorylate Smad2 or Smad3, while activated @GENE$ phosphorylate Smad1, Smad5, or Smad8.</t>
  </si>
  <si>
    <t>Activated @GENE$/activin receptors phosphorylate Smad2 or Smad3, while activated BMP receptors phosphorylate @GENE$, Smad5, or Smad8.</t>
  </si>
  <si>
    <t>Activated @GENE$/activin receptors phosphorylate Smad2 or Smad3, while activated BMP receptors phosphorylate Smad1, @GENE$, or Smad8.</t>
  </si>
  <si>
    <t>Activated @GENE$/activin receptors phosphorylate Smad2 or Smad3, while activated BMP receptors phosphorylate Smad1, Smad5, or @GENE$.</t>
  </si>
  <si>
    <t>Activated TGFβ/@GENE$ phosphorylate @GENE$ or Smad3, while activated BMP receptors phosphorylate Smad1, Smad5, or Smad8.</t>
  </si>
  <si>
    <t>Activated TGFβ/@GENE$ phosphorylate Smad2 or @GENE$, while activated BMP receptors phosphorylate Smad1, Smad5, or Smad8.</t>
  </si>
  <si>
    <t>Activated TGFβ/@GENE$ phosphorylate Smad2 or Smad3, while activated @GENE$ phosphorylate Smad1, Smad5, or Smad8.</t>
  </si>
  <si>
    <t>Activated TGFβ/@GENE$ phosphorylate Smad2 or Smad3, while activated BMP receptors phosphorylate @GENE$, Smad5, or Smad8.</t>
  </si>
  <si>
    <t>Activated TGFβ/@GENE$ phosphorylate Smad2 or Smad3, while activated BMP receptors phosphorylate Smad1, @GENE$, or Smad8.</t>
  </si>
  <si>
    <t>Activated TGFβ/@GENE$ phosphorylate Smad2 or Smad3, while activated BMP receptors phosphorylate Smad1, Smad5, or @GENE$.</t>
  </si>
  <si>
    <t>Activated TGFβ/activin receptors phosphorylate @GENE$ or @GENE$, while activated BMP receptors phosphorylate Smad1, Smad5, or Smad8.</t>
  </si>
  <si>
    <t>Activated TGFβ/activin receptors phosphorylate @GENE$ or Smad3, while activated @GENE$ phosphorylate Smad1, Smad5, or Smad8.</t>
  </si>
  <si>
    <t>Activated TGFβ/activin receptors phosphorylate @GENE$ or Smad3, while activated BMP receptors phosphorylate @GENE$, Smad5, or Smad8.</t>
  </si>
  <si>
    <t>Activated TGFβ/activin receptors phosphorylate @GENE$ or Smad3, while activated BMP receptors phosphorylate Smad1, @GENE$, or Smad8.</t>
  </si>
  <si>
    <t>Activated TGFβ/activin receptors phosphorylate @GENE$ or Smad3, while activated BMP receptors phosphorylate Smad1, Smad5, or @GENE$.</t>
  </si>
  <si>
    <t>Activated TGFβ/activin receptors phosphorylate Smad2 or @GENE$, while activated @GENE$ phosphorylate Smad1, Smad5, or Smad8.</t>
  </si>
  <si>
    <t>Activated TGFβ/activin receptors phosphorylate Smad2 or @GENE$, while activated BMP receptors phosphorylate @GENE$, Smad5, or Smad8.</t>
  </si>
  <si>
    <t>Activated TGFβ/activin receptors phosphorylate Smad2 or @GENE$, while activated BMP receptors phosphorylate Smad1, @GENE$, or Smad8.</t>
  </si>
  <si>
    <t>Activated TGFβ/activin receptors phosphorylate Smad2 or @GENE$, while activated BMP receptors phosphorylate Smad1, Smad5, or @GENE$.</t>
  </si>
  <si>
    <t>Activated TGFβ/activin receptors phosphorylate Smad2 or Smad3, while activated @GENE$ phosphorylate @GENE$, Smad5, or Smad8.</t>
  </si>
  <si>
    <t>Activated TGFβ/activin receptors phosphorylate Smad2 or Smad3, while activated @GENE$ phosphorylate Smad1, @GENE$, or Smad8.</t>
  </si>
  <si>
    <t>Activated TGFβ/activin receptors phosphorylate Smad2 or Smad3, while activated @GENE$ phosphorylate Smad1, Smad5, or @GENE$.</t>
  </si>
  <si>
    <t>Activated TGFβ/activin receptors phosphorylate Smad2 or Smad3, while activated BMP receptors phosphorylate @GENE$, @GENE$, or Smad8.</t>
  </si>
  <si>
    <t>Activated TGFβ/activin receptors phosphorylate Smad2 or Smad3, while activated BMP receptors phosphorylate @GENE$, Smad5, or @GENE$.</t>
  </si>
  <si>
    <t>Activated TGFβ/activin receptors phosphorylate Smad2 or Smad3, while activated BMP receptors phosphorylate Smad1, @GENE$, or @GENE$.</t>
  </si>
  <si>
    <t>Phosphorylation of @GENE$ inhibits its binding to @GENE$, and signals that cause stathmin phosphorylation can increase the rate of microtubule elongation and suppress dynamic instability.</t>
  </si>
  <si>
    <t>N</t>
  </si>
  <si>
    <t xml:space="preserve">Protein binding, interaction (does this count as ligand-receptor binding?) </t>
  </si>
  <si>
    <t>Phosphorylation of @GENE$ inhibits its binding to tubulin, and signals that cause @GENE$ phosphorylation can increase the rate of microtubule elongation and suppress dynamic instability.</t>
  </si>
  <si>
    <t>Phosphorylation of stathmin inhibits its binding to @GENE$, and signals that cause @GENE$ phosphorylation can increase the rate of microtubule elongation and suppress dynamic instability.</t>
  </si>
  <si>
    <t>The cell lysate is then separated by @CHEMICAL$-PAGE gel, and phosphorylation of @GENE$ is detected by Western blotting</t>
  </si>
  <si>
    <t>In addition, we present the techniques used to determine the effect these mutations have on activity of the @GENE$/@GENE$ pathway through Western blot analysis of the phosphorylation of endogenous ERK1/2,</t>
  </si>
  <si>
    <t>In addition, we present the techniques used to determine the effect these mutations have on activity of the @GENE$/MAPK pathway through Western blot analysis of the phosphorylation of endogenous @GENE$,</t>
  </si>
  <si>
    <t xml:space="preserve">Could be association (downstream phosphorylation cascade) </t>
  </si>
  <si>
    <t>In addition, we present the techniques used to determine the effect these mutations have on activity of the Ras/@GENE$ pathway through Western blot analysis of the phosphorylation of endogenous @GENE$,</t>
  </si>
  <si>
    <t>Phosphorylation of both the threonine and tyrosine within this signature sequence is required for @GENE$ activation</t>
  </si>
  <si>
    <t>@CHEMICAL$ is formed by phosphorylation of @CHEMICAL$ by phosphofructokinase-2.</t>
  </si>
  <si>
    <t>@CHEMICAL$ is formed by phosphorylation of fructose-6-phosphate by @GENE$.</t>
  </si>
  <si>
    <t>Fructose 2,6-bisphosphate is formed by phosphorylation of @CHEMICAL$ by @GENE$.</t>
  </si>
  <si>
    <t>@CHEMICAL$ enters glycolysis via phosphorylation to @CHEMICAL$ catalyzed by triokinase.</t>
  </si>
  <si>
    <t>Should be 0 - Triokinase phosphorylates D-glyceraldehyde, not G3P</t>
  </si>
  <si>
    <t>@CHEMICAL$ enters glycolysis via phosphorylation to glyceraldehyde-3-phosphate catalyzed by @GENE$.</t>
  </si>
  <si>
    <t>Should be 1 - Triokinase phosphorylates D-glyceraldehyde</t>
  </si>
  <si>
    <t>D-Glyceraldehyde enters glycolysis via phosphorylation to @CHEMICAL$ catalyzed by @GENE$.</t>
  </si>
  <si>
    <t xml:space="preserve">Should be 1? - Triokinase catalyses the phosphorylation? </t>
  </si>
  <si>
    <t>@GENE$ catalyzes the phosphorylation of @CHEMICAL$, using ATP as phosphate donor (Figure 20–6). Galactose-1-phosphate reacts with UDPGlc to form uridine diphosphate galactose (UDPGal) and glucose-1-phosphate, in a reaction catalyzed by galactose-1-phosphate uridyl transferase.</t>
  </si>
  <si>
    <t>(Galactokinase, catalyses phosphorylation, galactose)</t>
  </si>
  <si>
    <t>@GENE$ catalyzes the phosphorylation of galactose, using @CHEMICAL$ as phosphate donor (Figure 20–6). Galactose-1-phosphate reacts with UDPGlc to form uridine diphosphate galactose (UDPGal) and glucose-1-phosphate, in a reaction catalyzed by galactose-1-phosphate uridyl transferase.</t>
  </si>
  <si>
    <t>(ATP, donates phosphate, galactose)</t>
  </si>
  <si>
    <t>@GENE$ catalyzes the phosphorylation of galactose, using ATP as @CHEMICAL$ donor (Figure 20–6). Galactose-1-phosphate reacts with UDPGlc to form uridine diphosphate galactose (UDPGal) and glucose-1-phosphate, in a reaction catalyzed by galactose-1-phosphate uridyl transferase.</t>
  </si>
  <si>
    <t>@GENE$ catalyzes the phosphorylation of galactose, using ATP as phosphate donor (Figure 20–6). @CHEMICAL$ reacts with UDPGlc to form uridine diphosphate galactose (UDPGal) and glucose-1-phosphate, in a reaction catalyzed by galactose-1-phosphate uridyl transferase.</t>
  </si>
  <si>
    <t>@GENE$ catalyzes the phosphorylation of galactose, using ATP as phosphate donor (Figure 20–6). Galactose-1-phosphate reacts with @GENE$ to form uridine diphosphate galactose (UDPGal) and glucose-1-phosphate, in a reaction catalyzed by galactose-1-phosphate uridyl transferase.</t>
  </si>
  <si>
    <t>@GENE$ catalyzes the phosphorylation of galactose, using ATP as phosphate donor (Figure 20–6). Galactose-1-phosphate reacts with UDPGlc to form @CHEMICAL$ (UDPGal) and glucose-1-phosphate, in a reaction catalyzed by galactose-1-phosphate uridyl transferase.</t>
  </si>
  <si>
    <t>@GENE$ catalyzes the phosphorylation of galactose, using ATP as phosphate donor (Figure 20–6). Galactose-1-phosphate reacts with UDPGlc to form uridine diphosphate galactose (@CHEMICAL$) and glucose-1-phosphate, in a reaction catalyzed by galactose-1-phosphate uridyl transferase.</t>
  </si>
  <si>
    <t>@GENE$ catalyzes the phosphorylation of galactose, using ATP as phosphate donor (Figure 20–6). Galactose-1-phosphate reacts with UDPGlc to form uridine diphosphate galactose (UDPGal) and @CHEMICAL$, in a reaction catalyzed by galactose-1-phosphate uridyl transferase.</t>
  </si>
  <si>
    <t>@GENE$ catalyzes the phosphorylation of galactose, using ATP as phosphate donor (Figure 20–6). Galactose-1-phosphate reacts with UDPGlc to form uridine diphosphate galactose (UDPGal) and glucose-1-phosphate, in a reaction catalyzed by @GENE$.</t>
  </si>
  <si>
    <t>Galactokinase catalyzes the phosphorylation of @CHEMICAL$, using @CHEMICAL$ as phosphate donor (Figure 20–6). Galactose-1-phosphate reacts with UDPGlc to form uridine diphosphate galactose (UDPGal) and glucose-1-phosphate, in a reaction catalyzed by galactose-1-phosphate uridyl transferase.</t>
  </si>
  <si>
    <t>ATP is the phosphate donor in many biochemical reactions... is this meaningful? Or do we only care about the entity catalysing the phosphorylation and the entity receiving the phosphate group?</t>
  </si>
  <si>
    <t>Galactokinase catalyzes the phosphorylation of @CHEMICAL$, using ATP as @CHEMICAL$ donor (Figure 20–6). Galactose-1-phosphate reacts with UDPGlc to form uridine diphosphate galactose (UDPGal) and glucose-1-phosphate, in a reaction catalyzed by galactose-1-phosphate uridyl transferase.</t>
  </si>
  <si>
    <t>Galactokinase catalyzes the phosphorylation of @CHEMICAL$, using ATP as phosphate donor (Figure 20–6). @CHEMICAL$ reacts with UDPGlc to form uridine diphosphate galactose (UDPGal) and glucose-1-phosphate, in a reaction catalyzed by galactose-1-phosphate uridyl transferase.</t>
  </si>
  <si>
    <t>Galactokinase catalyzes the phosphorylation of @CHEMICAL$, using ATP as phosphate donor (Figure 20–6). Galactose-1-phosphate reacts with @GENE$ to form uridine diphosphate galactose (UDPGal) and glucose-1-phosphate, in a reaction catalyzed by galactose-1-phosphate uridyl transferase.</t>
  </si>
  <si>
    <t>Galactokinase catalyzes the phosphorylation of @CHEMICAL$, using ATP as phosphate donor (Figure 20–6). Galactose-1-phosphate reacts with UDPGlc to form @CHEMICAL$ (UDPGal) and glucose-1-phosphate, in a reaction catalyzed by galactose-1-phosphate uridyl transferase.</t>
  </si>
  <si>
    <t>Galactokinase catalyzes the phosphorylation of @CHEMICAL$, using ATP as phosphate donor (Figure 20–6). Galactose-1-phosphate reacts with UDPGlc to form uridine diphosphate galactose (@CHEMICAL$) and glucose-1-phosphate, in a reaction catalyzed by galactose-1-phosphate uridyl transferase.</t>
  </si>
  <si>
    <t>Galactokinase catalyzes the phosphorylation of @CHEMICAL$, using ATP as phosphate donor (Figure 20–6). Galactose-1-phosphate reacts with UDPGlc to form uridine diphosphate galactose (UDPGal) and @CHEMICAL$, in a reaction catalyzed by galactose-1-phosphate uridyl transferase.</t>
  </si>
  <si>
    <t>Galactokinase catalyzes the phosphorylation of @CHEMICAL$, using ATP as phosphate donor (Figure 20–6). Galactose-1-phosphate reacts with UDPGlc to form uridine diphosphate galactose (UDPGal) and glucose-1-phosphate, in a reaction catalyzed by @GENE$.</t>
  </si>
  <si>
    <t>Galactokinase catalyzes the phosphorylation of galactose, using @CHEMICAL$ as @CHEMICAL$ donor (Figure 20–6). Galactose-1-phosphate reacts with UDPGlc to form uridine diphosphate galactose (UDPGal) and glucose-1-phosphate, in a reaction catalyzed by galactose-1-phosphate uridyl transferase.</t>
  </si>
  <si>
    <t>Galactokinase catalyzes the phosphorylation of galactose, using @CHEMICAL$ as phosphate donor (Figure 20–6). @CHEMICAL$ reacts with UDPGlc to form uridine diphosphate galactose (UDPGal) and glucose-1-phosphate, in a reaction catalyzed by galactose-1-phosphate uridyl transferase.</t>
  </si>
  <si>
    <t>Galactokinase catalyzes the phosphorylation of galactose, using @CHEMICAL$ as phosphate donor (Figure 20–6). Galactose-1-phosphate reacts with @GENE$ to form uridine diphosphate galactose (UDPGal) and glucose-1-phosphate, in a reaction catalyzed by galactose-1-phosphate uridyl transferase.</t>
  </si>
  <si>
    <t>Galactokinase catalyzes the phosphorylation of galactose, using @CHEMICAL$ as phosphate donor (Figure 20–6). Galactose-1-phosphate reacts with UDPGlc to form @CHEMICAL$ (UDPGal) and glucose-1-phosphate, in a reaction catalyzed by galactose-1-phosphate uridyl transferase.</t>
  </si>
  <si>
    <t>Galactokinase catalyzes the phosphorylation of galactose, using @CHEMICAL$ as phosphate donor (Figure 20–6). Galactose-1-phosphate reacts with UDPGlc to form uridine diphosphate galactose (@CHEMICAL$) and glucose-1-phosphate, in a reaction catalyzed by galactose-1-phosphate uridyl transferase.</t>
  </si>
  <si>
    <t>Galactokinase catalyzes the phosphorylation of galactose, using @CHEMICAL$ as phosphate donor (Figure 20–6). Galactose-1-phosphate reacts with UDPGlc to form uridine diphosphate galactose (UDPGal) and @CHEMICAL$, in a reaction catalyzed by galactose-1-phosphate uridyl transferase.</t>
  </si>
  <si>
    <t>Galactokinase catalyzes the phosphorylation of galactose, using @CHEMICAL$ as phosphate donor (Figure 20–6). Galactose-1-phosphate reacts with UDPGlc to form uridine diphosphate galactose (UDPGal) and glucose-1-phosphate, in a reaction catalyzed by @GENE$.</t>
  </si>
  <si>
    <t>Galactokinase catalyzes the phosphorylation of galactose, using ATP as @CHEMICAL$ donor (Figure 20–6). @CHEMICAL$ reacts with UDPGlc to form uridine diphosphate galactose (UDPGal) and glucose-1-phosphate, in a reaction catalyzed by galactose-1-phosphate uridyl transferase.</t>
  </si>
  <si>
    <t>Galactokinase catalyzes the phosphorylation of galactose, using ATP as @CHEMICAL$ donor (Figure 20–6). Galactose-1-phosphate reacts with @GENE$ to form uridine diphosphate galactose (UDPGal) and glucose-1-phosphate, in a reaction catalyzed by galactose-1-phosphate uridyl transferase.</t>
  </si>
  <si>
    <t>Galactokinase catalyzes the phosphorylation of galactose, using ATP as @CHEMICAL$ donor (Figure 20–6). Galactose-1-phosphate reacts with UDPGlc to form @CHEMICAL$ (UDPGal) and glucose-1-phosphate, in a reaction catalyzed by galactose-1-phosphate uridyl transferase.</t>
  </si>
  <si>
    <t>Galactokinase catalyzes the phosphorylation of galactose, using ATP as @CHEMICAL$ donor (Figure 20–6). Galactose-1-phosphate reacts with UDPGlc to form uridine diphosphate galactose (@CHEMICAL$) and glucose-1-phosphate, in a reaction catalyzed by galactose-1-phosphate uridyl transferase.</t>
  </si>
  <si>
    <t>Galactokinase catalyzes the phosphorylation of galactose, using ATP as @CHEMICAL$ donor (Figure 20–6). Galactose-1-phosphate reacts with UDPGlc to form uridine diphosphate galactose (UDPGal) and @CHEMICAL$, in a reaction catalyzed by galactose-1-phosphate uridyl transferase.</t>
  </si>
  <si>
    <t>Galactokinase catalyzes the phosphorylation of galactose, using ATP as @CHEMICAL$ donor (Figure 20–6). Galactose-1-phosphate reacts with UDPGlc to form uridine diphosphate galactose (UDPGal) and glucose-1-phosphate, in a reaction catalyzed by @GENE$.</t>
  </si>
  <si>
    <t>Galactokinase catalyzes the phosphorylation of galactose, using ATP as phosphate donor (Figure 20–6). @CHEMICAL$ reacts with @GENE$ to form uridine diphosphate galactose (UDPGal) and glucose-1-phosphate, in a reaction catalyzed by galactose-1-phosphate uridyl transferase.</t>
  </si>
  <si>
    <t>Galactokinase catalyzes the phosphorylation of galactose, using ATP as phosphate donor (Figure 20–6). @CHEMICAL$ reacts with UDPGlc to form @CHEMICAL$ (UDPGal) and glucose-1-phosphate, in a reaction catalyzed by galactose-1-phosphate uridyl transferase.</t>
  </si>
  <si>
    <t>Galactokinase catalyzes the phosphorylation of galactose, using ATP as phosphate donor (Figure 20–6). @CHEMICAL$ reacts with UDPGlc to form uridine diphosphate galactose (@CHEMICAL$) and glucose-1-phosphate, in a reaction catalyzed by galactose-1-phosphate uridyl transferase.</t>
  </si>
  <si>
    <t>Galactokinase catalyzes the phosphorylation of galactose, using ATP as phosphate donor (Figure 20–6). @CHEMICAL$ reacts with UDPGlc to form uridine diphosphate galactose (UDPGal) and @CHEMICAL$, in a reaction catalyzed by galactose-1-phosphate uridyl transferase.</t>
  </si>
  <si>
    <t>Galactokinase catalyzes the phosphorylation of galactose, using ATP as phosphate donor (Figure 20–6). @CHEMICAL$ reacts with UDPGlc to form uridine diphosphate galactose (UDPGal) and glucose-1-phosphate, in a reaction catalyzed by @GENE$.</t>
  </si>
  <si>
    <t>Galactokinase catalyzes the phosphorylation of galactose, using ATP as phosphate donor (Figure 20–6). Galactose-1-phosphate reacts with @GENE$ to form @CHEMICAL$ (UDPGal) and glucose-1-phosphate, in a reaction catalyzed by galactose-1-phosphate uridyl transferase.</t>
  </si>
  <si>
    <t>Galactokinase catalyzes the phosphorylation of galactose, using ATP as phosphate donor (Figure 20–6). Galactose-1-phosphate reacts with @GENE$ to form uridine diphosphate galactose (@CHEMICAL$) and glucose-1-phosphate, in a reaction catalyzed by galactose-1-phosphate uridyl transferase.</t>
  </si>
  <si>
    <t>Galactokinase catalyzes the phosphorylation of galactose, using ATP as phosphate donor (Figure 20–6). Galactose-1-phosphate reacts with @GENE$ to form uridine diphosphate galactose (UDPGal) and @CHEMICAL$, in a reaction catalyzed by galactose-1-phosphate uridyl transferase.</t>
  </si>
  <si>
    <t>Galactokinase catalyzes the phosphorylation of galactose, using ATP as phosphate donor (Figure 20–6). Galactose-1-phosphate reacts with @GENE$ to form uridine diphosphate galactose (UDPGal) and glucose-1-phosphate, in a reaction catalyzed by @GENE$.</t>
  </si>
  <si>
    <t>Galactokinase catalyzes the phosphorylation of galactose, using ATP as phosphate donor (Figure 20–6). Galactose-1-phosphate reacts with UDPGlc to form @CHEMICAL$ (@CHEMICAL$) and glucose-1-phosphate, in a reaction catalyzed by galactose-1-phosphate uridyl transferase.</t>
  </si>
  <si>
    <t>Galactokinase catalyzes the phosphorylation of galactose, using ATP as phosphate donor (Figure 20–6). Galactose-1-phosphate reacts with UDPGlc to form @CHEMICAL$ (UDPGal) and @CHEMICAL$, in a reaction catalyzed by galactose-1-phosphate uridyl transferase.</t>
  </si>
  <si>
    <t>Galactokinase catalyzes the phosphorylation of galactose, using ATP as phosphate donor (Figure 20–6). Galactose-1-phosphate reacts with UDPGlc to form @CHEMICAL$ (UDPGal) and glucose-1-phosphate, in a reaction catalyzed by @GENE$.</t>
  </si>
  <si>
    <t>Galactokinase catalyzes the phosphorylation of galactose, using ATP as phosphate donor (Figure 20–6). Galactose-1-phosphate reacts with UDPGlc to form uridine diphosphate galactose (@CHEMICAL$) and @CHEMICAL$, in a reaction catalyzed by galactose-1-phosphate uridyl transferase.</t>
  </si>
  <si>
    <t>Galactokinase catalyzes the phosphorylation of galactose, using ATP as phosphate donor (Figure 20–6). Galactose-1-phosphate reacts with UDPGlc to form uridine diphosphate galactose (@CHEMICAL$) and glucose-1-phosphate, in a reaction catalyzed by @GENE$.</t>
  </si>
  <si>
    <t>Galactokinase catalyzes the phosphorylation of galactose, using ATP as phosphate donor (Figure 20–6). Galactose-1-phosphate reacts with UDPGlc to form uridine diphosphate galactose (UDPGal) and @CHEMICAL$, in a reaction catalyzed by @GENE$.</t>
  </si>
  <si>
    <t>Phosphorylation of @CHEMICAL$ by the second @CHEMICAL$ then forms carbamoyl phosphate.</t>
  </si>
  <si>
    <t>(Carbamate , Phosphorylation , carbamoyl phosphate)</t>
  </si>
  <si>
    <t>Phosphorylation of @CHEMICAL$ by the second ATP then forms @CHEMICAL$.</t>
  </si>
  <si>
    <t>Phosphorylation of carbamate by the second @CHEMICAL$ then forms @CHEMICAL$.</t>
  </si>
  <si>
    <t>Similarly, @GENE$ (EC 2.7.1.24 phosphorylates @CHEMICAL$ and 2′- deoxyguanosine, forming dCMP and dGMP, respectively</t>
  </si>
  <si>
    <t>(deoxycytidine kinase, phosphorylates, deoxycitidine)</t>
  </si>
  <si>
    <t>Similarly, @GENE$ (EC 2.7.1.24 phosphorylates deoxycytidine and @CHEMICAL$, forming dCMP and dGMP, respectively</t>
  </si>
  <si>
    <t>(deoxycytidine kinase, phosphorylates, deoxyguanosine)</t>
  </si>
  <si>
    <t>Similarly, @GENE$ (EC 2.7.1.24 phosphorylates deoxycytidine and 2′- deoxyguanosine, forming @CHEMICAL$ and dGMP, respectively</t>
  </si>
  <si>
    <t>Similarly, @GENE$ (EC 2.7.1.24 phosphorylates deoxycytidine and 2′- deoxyguanosine, forming dCMP and @CHEMICAL$, respectively</t>
  </si>
  <si>
    <t>Similarly, deoxycytidine kinase (EC 2.7.1.24 phosphorylates @CHEMICAL$ and @CHEMICAL$, forming dCMP and dGMP, respectively</t>
  </si>
  <si>
    <t>Similarly, deoxycytidine kinase (EC 2.7.1.24 phosphorylates @CHEMICAL$ and 2′- deoxyguanosine, forming @CHEMICAL$ and dGMP, respectively</t>
  </si>
  <si>
    <t>Similarly, deoxycytidine kinase (EC 2.7.1.24 phosphorylates @CHEMICAL$ and 2′- deoxyguanosine, forming dCMP and @CHEMICAL$, respectively</t>
  </si>
  <si>
    <t>Similarly, deoxycytidine kinase (EC 2.7.1.24 phosphorylates deoxycytidine and @CHEMICAL$, forming @CHEMICAL$ and dGMP, respectively</t>
  </si>
  <si>
    <t>Similarly, deoxycytidine kinase (EC 2.7.1.24 phosphorylates deoxycytidine and @CHEMICAL$, forming dCMP and @CHEMICAL$, respectively</t>
  </si>
  <si>
    <t>Similarly, deoxycytidine kinase (EC 2.7.1.24 phosphorylates deoxycytidine and 2′- deoxyguanosine, forming @CHEMICAL$ and @CHEMICAL$, respectively</t>
  </si>
  <si>
    <t>@GENE$ and mitogenic growth polypeptides, or growth factors (eg, @GENE$, PDGF, interleukin-2, and angiotensin II) activate the PI3 kinase/AKT kinase signaling pathways, which activate the mTOR kinase, and results in the phosphorylation of 4E-BP. Phosphorylated 4E-BP dissociates from 4E, and the latter is then able to form the 4F complex and bind to the mRNA cap.</t>
  </si>
  <si>
    <t>@GENE$ and mitogenic growth polypeptides, or growth factors (eg, IGF-1, @GENE$, interleukin-2, and angiotensin II) activate the PI3 kinase/AKT kinase signaling pathways, which activate the mTOR kinase, and results in the phosphorylation of 4E-BP. Phosphorylated 4E-BP dissociates from 4E, and the latter is then able to form the 4F complex and bind to the mRNA cap.</t>
  </si>
  <si>
    <t>@GENE$ and mitogenic growth polypeptides, or growth factors (eg, IGF-1, PDGF, @GENE$, and angiotensin II) activate the PI3 kinase/AKT kinase signaling pathways, which activate the mTOR kinase, and results in the phosphorylation of 4E-BP. Phosphorylated 4E-BP dissociates from 4E, and the latter is then able to form the 4F complex and bind to the mRNA cap.</t>
  </si>
  <si>
    <t>@GENE$ and mitogenic growth polypeptides, or growth factors (eg, IGF-1, PDGF, interleukin-2, and @GENE$) activate the PI3 kinase/AKT kinase signaling pathways, which activate the mTOR kinase, and results in the phosphorylation of 4E-BP. Phosphorylated 4E-BP dissociates from 4E, and the latter is then able to form the 4F complex and bind to the mRNA cap.</t>
  </si>
  <si>
    <t>@GENE$ and mitogenic growth polypeptides, or growth factors (eg, IGF-1, PDGF, interleukin-2, and angiotensin II) activate the @GENE$/AKT kinase signaling pathways, which activate the mTOR kinase, and results in the phosphorylation of 4E-BP. Phosphorylated 4E-BP dissociates from 4E, and the latter is then able to form the 4F complex and bind to the mRNA cap.</t>
  </si>
  <si>
    <r>
      <rPr>
        <rFont val="Arial"/>
        <color theme="1"/>
        <sz val="10.0"/>
      </rPr>
      <t xml:space="preserve">Signalling cascade
</t>
    </r>
    <r>
      <rPr>
        <rFont val="Arial"/>
        <color rgb="FF4A86E8"/>
        <sz val="10.0"/>
      </rPr>
      <t>Should be 1</t>
    </r>
  </si>
  <si>
    <t>Activation = interact?</t>
  </si>
  <si>
    <t>@GENE$ and mitogenic growth polypeptides, or growth factors (eg, IGF-1, PDGF, interleukin-2, and angiotensin II) activate the PI3 kinase/@GENE$ signaling pathways, which activate the mTOR kinase, and results in the phosphorylation of 4E-BP. Phosphorylated 4E-BP dissociates from 4E, and the latter is then able to form the 4F complex and bind to the mRNA cap.</t>
  </si>
  <si>
    <r>
      <rPr>
        <rFont val="Arial"/>
        <color theme="1"/>
        <sz val="10.0"/>
      </rPr>
      <t xml:space="preserve">Signalling cascade
</t>
    </r>
    <r>
      <rPr>
        <rFont val="Arial"/>
        <color rgb="FF4A86E8"/>
        <sz val="10.0"/>
      </rPr>
      <t>Should be 1</t>
    </r>
  </si>
  <si>
    <t>@GENE$ and mitogenic growth polypeptides, or growth factors (eg, IGF-1, PDGF, interleukin-2, and angiotensin II) activate the PI3 kinase/AKT kinase signaling pathways, which activate the @GENE$, and results in the phosphorylation of 4E-BP. Phosphorylated 4E-BP dissociates from 4E, and the latter is then able to form the 4F complex and bind to the mRNA cap.</t>
  </si>
  <si>
    <r>
      <rPr>
        <rFont val="Arial"/>
        <color theme="1"/>
        <sz val="10.0"/>
      </rPr>
      <t xml:space="preserve">Signalling cascade
</t>
    </r>
    <r>
      <rPr>
        <rFont val="Arial"/>
        <color rgb="FF4A86E8"/>
        <sz val="10.0"/>
      </rPr>
      <t>Should be 1</t>
    </r>
  </si>
  <si>
    <t>@GENE$ and mitogenic growth polypeptides, or growth factors (eg, IGF-1, PDGF, interleukin-2, and angiotensin II) activate the PI3 kinase/AKT kinase signaling pathways, which activate the mTOR kinase, and results in the phosphorylation of @GENE$. Phosphorylated 4E-BP dissociates from 4E, and the latter is then able to form the 4F complex and bind to the mRNA cap.</t>
  </si>
  <si>
    <r>
      <rPr>
        <rFont val="Arial"/>
        <color theme="1"/>
        <sz val="10.0"/>
      </rPr>
      <t xml:space="preserve">Indirect phosphorylation via signalling cascade
</t>
    </r>
    <r>
      <rPr>
        <rFont val="Arial"/>
        <color rgb="FF4A86E8"/>
        <sz val="10.0"/>
      </rPr>
      <t>Should be 1</t>
    </r>
  </si>
  <si>
    <t>@GENE$ and mitogenic growth polypeptides, or growth factors (eg, IGF-1, PDGF, interleukin-2, and angiotensin II) activate the PI3 kinase/AKT kinase signaling pathways, which activate the mTOR kinase, and results in the phosphorylation of 4E-BP. Phosphorylated @GENE$ dissociates from 4E, and the latter is then able to form the 4F complex and bind to the mRNA cap.</t>
  </si>
  <si>
    <r>
      <rPr>
        <rFont val="Arial"/>
        <color theme="1"/>
        <sz val="10.0"/>
      </rPr>
      <t xml:space="preserve">Should be 0 - "phosphorylated 4E-BP" refers to an already phosphorylated entity, shouldn't be tagged as an entity phosphorylated by insulin
</t>
    </r>
    <r>
      <rPr>
        <rFont val="Arial"/>
        <color rgb="FF4A86E8"/>
        <sz val="10.0"/>
      </rPr>
      <t>But the tag is on 4E-BP? not "phosphorylated 4E-BP"?</t>
    </r>
  </si>
  <si>
    <t>@GENE$ and mitogenic growth polypeptides, or growth factors (eg, IGF-1, PDGF, interleukin-2, and angiotensin II) activate the PI3 kinase/AKT kinase signaling pathways, which activate the mTOR kinase, and results in the phosphorylation of 4E-BP. Phosphorylated 4E-BP dissociates from @GENE$, and the latter is then able to form the 4F complex and bind to the mRNA cap.</t>
  </si>
  <si>
    <t>@GENE$ and mitogenic growth polypeptides, or growth factors (eg, IGF-1, PDGF, interleukin-2, and angiotensin II) activate the PI3 kinase/AKT kinase signaling pathways, which activate the mTOR kinase, and results in the phosphorylation of 4E-BP. Phosphorylated 4E-BP dissociates from 4E, and the latter is then able to form the @GENE$ complex and bind to the mRNA cap.</t>
  </si>
  <si>
    <t>Insulin and mitogenic growth polypeptides, or growth factors (eg, @GENE$, @GENE$, interleukin-2, and angiotensin II) activate the PI3 kinase/AKT kinase signaling pathways, which activate the mTOR kinase, and results in the phosphorylation of 4E-BP. Phosphorylated 4E-BP dissociates from 4E, and the latter is then able to form the 4F complex and bind to the mRNA cap.</t>
  </si>
  <si>
    <t>Insulin and mitogenic growth polypeptides, or growth factors (eg, @GENE$, PDGF, @GENE$, and angiotensin II) activate the PI3 kinase/AKT kinase signaling pathways, which activate the mTOR kinase, and results in the phosphorylation of 4E-BP. Phosphorylated 4E-BP dissociates from 4E, and the latter is then able to form the 4F complex and bind to the mRNA cap.</t>
  </si>
  <si>
    <t>Insulin and mitogenic growth polypeptides, or growth factors (eg, @GENE$, PDGF, interleukin-2, and @GENE$) activate the PI3 kinase/AKT kinase signaling pathways, which activate the mTOR kinase, and results in the phosphorylation of 4E-BP. Phosphorylated 4E-BP dissociates from 4E, and the latter is then able to form the 4F complex and bind to the mRNA cap.</t>
  </si>
  <si>
    <t>Insulin and mitogenic growth polypeptides, or growth factors (eg, @GENE$, PDGF, interleukin-2, and angiotensin II) activate the @GENE$/AKT kinase signaling pathways, which activate the mTOR kinase, and results in the phosphorylation of 4E-BP. Phosphorylated 4E-BP dissociates from 4E, and the latter is then able to form the 4F complex and bind to the mRNA cap.</t>
  </si>
  <si>
    <t>Signalling cascade</t>
  </si>
  <si>
    <t>Insulin and mitogenic growth polypeptides, or growth factors (eg, @GENE$, PDGF, interleukin-2, and angiotensin II) activate the PI3 kinase/@GENE$ signaling pathways, which activate the mTOR kinase, and results in the phosphorylation of 4E-BP. Phosphorylated 4E-BP dissociates from 4E, and the latter is then able to form the 4F complex and bind to the mRNA cap.</t>
  </si>
  <si>
    <t>Insulin and mitogenic growth polypeptides, or growth factors (eg, @GENE$, PDGF, interleukin-2, and angiotensin II) activate the PI3 kinase/AKT kinase signaling pathways, which activate the @GENE$, and results in the phosphorylation of 4E-BP. Phosphorylated 4E-BP dissociates from 4E, and the latter is then able to form the 4F complex and bind to the mRNA cap.</t>
  </si>
  <si>
    <t>Insulin and mitogenic growth polypeptides, or growth factors (eg, @GENE$, PDGF, interleukin-2, and angiotensin II) activate the PI3 kinase/AKT kinase signaling pathways, which activate the mTOR kinase, and results in the phosphorylation of @GENE$. Phosphorylated 4E-BP dissociates from 4E, and the latter is then able to form the 4F complex and bind to the mRNA cap.</t>
  </si>
  <si>
    <t>Indirect phosphorylation via signalling cascade</t>
  </si>
  <si>
    <t>Insulin and mitogenic growth polypeptides, or growth factors (eg, @GENE$, PDGF, interleukin-2, and angiotensin II) activate the PI3 kinase/AKT kinase signaling pathways, which activate the mTOR kinase, and results in the phosphorylation of 4E-BP. Phosphorylated @GENE$ dissociates from 4E, and the latter is then able to form the 4F complex and bind to the mRNA cap.</t>
  </si>
  <si>
    <t>Should be 0 - "phosphorylated 4E-BP" refers to an already phosphorylated entity, shouldn't be tagged as an entity phosphorylated by insulin</t>
  </si>
  <si>
    <t>Insulin and mitogenic growth polypeptides, or growth factors (eg, @GENE$, PDGF, interleukin-2, and angiotensin II) activate the PI3 kinase/AKT kinase signaling pathways, which activate the mTOR kinase, and results in the phosphorylation of 4E-BP. Phosphorylated 4E-BP dissociates from @GENE$, and the latter is then able to form the 4F complex and bind to the mRNA cap.</t>
  </si>
  <si>
    <t>Insulin and mitogenic growth polypeptides, or growth factors (eg, @GENE$, PDGF, interleukin-2, and angiotensin II) activate the PI3 kinase/AKT kinase signaling pathways, which activate the mTOR kinase, and results in the phosphorylation of 4E-BP. Phosphorylated 4E-BP dissociates from 4E, and the latter is then able to form the @GENE$ complex and bind to the mRNA cap.</t>
  </si>
  <si>
    <t>Insulin and mitogenic growth polypeptides, or growth factors (eg, IGF-1, @GENE$, @GENE$, and angiotensin II) activate the PI3 kinase/AKT kinase signaling pathways, which activate the mTOR kinase, and results in the phosphorylation of 4E-BP. Phosphorylated 4E-BP dissociates from 4E, and the latter is then able to form the 4F complex and bind to the mRNA cap.</t>
  </si>
  <si>
    <t>Insulin and mitogenic growth polypeptides, or growth factors (eg, IGF-1, @GENE$, interleukin-2, and @GENE$) activate the PI3 kinase/AKT kinase signaling pathways, which activate the mTOR kinase, and results in the phosphorylation of 4E-BP. Phosphorylated 4E-BP dissociates from 4E, and the latter is then able to form the 4F complex and bind to the mRNA cap.</t>
  </si>
  <si>
    <t>Insulin and mitogenic growth polypeptides, or growth factors (eg, IGF-1, @GENE$, interleukin-2, and angiotensin II) activate the @GENE$/AKT kinase signaling pathways, which activate the mTOR kinase, and results in the phosphorylation of 4E-BP. Phosphorylated 4E-BP dissociates from 4E, and the latter is then able to form the 4F complex and bind to the mRNA cap.</t>
  </si>
  <si>
    <t>Insulin and mitogenic growth polypeptides, or growth factors (eg, IGF-1, @GENE$, interleukin-2, and angiotensin II) activate the PI3 kinase/@GENE$ signaling pathways, which activate the mTOR kinase, and results in the phosphorylation of 4E-BP. Phosphorylated 4E-BP dissociates from 4E, and the latter is then able to form the 4F complex and bind to the mRNA cap.</t>
  </si>
  <si>
    <t>Insulin and mitogenic growth polypeptides, or growth factors (eg, IGF-1, @GENE$, interleukin-2, and angiotensin II) activate the PI3 kinase/AKT kinase signaling pathways, which activate the @GENE$, and results in the phosphorylation of 4E-BP. Phosphorylated 4E-BP dissociates from 4E, and the latter is then able to form the 4F complex and bind to the mRNA cap.</t>
  </si>
  <si>
    <t>Insulin and mitogenic growth polypeptides, or growth factors (eg, IGF-1, @GENE$, interleukin-2, and angiotensin II) activate the PI3 kinase/AKT kinase signaling pathways, which activate the mTOR kinase, and results in the phosphorylation of @GENE$. Phosphorylated 4E-BP dissociates from 4E, and the latter is then able to form the 4F complex and bind to the mRNA cap.</t>
  </si>
  <si>
    <t>Insulin and mitogenic growth polypeptides, or growth factors (eg, IGF-1, @GENE$, interleukin-2, and angiotensin II) activate the PI3 kinase/AKT kinase signaling pathways, which activate the mTOR kinase, and results in the phosphorylation of 4E-BP. Phosphorylated @GENE$ dissociates from 4E, and the latter is then able to form the 4F complex and bind to the mRNA cap.</t>
  </si>
  <si>
    <t>Insulin and mitogenic growth polypeptides, or growth factors (eg, IGF-1, @GENE$, interleukin-2, and angiotensin II) activate the PI3 kinase/AKT kinase signaling pathways, which activate the mTOR kinase, and results in the phosphorylation of 4E-BP. Phosphorylated 4E-BP dissociates from @GENE$, and the latter is then able to form the 4F complex and bind to the mRNA cap.</t>
  </si>
  <si>
    <t>Insulin and mitogenic growth polypeptides, or growth factors (eg, IGF-1, @GENE$, interleukin-2, and angiotensin II) activate the PI3 kinase/AKT kinase signaling pathways, which activate the mTOR kinase, and results in the phosphorylation of 4E-BP. Phosphorylated 4E-BP dissociates from 4E, and the latter is then able to form the @GENE$ complex and bind to the mRNA cap.</t>
  </si>
  <si>
    <t>Insulin and mitogenic growth polypeptides, or growth factors (eg, IGF-1, PDGF, @GENE$, and @GENE$) activate the PI3 kinase/AKT kinase signaling pathways, which activate the mTOR kinase, and results in the phosphorylation of 4E-BP. Phosphorylated 4E-BP dissociates from 4E, and the latter is then able to form the 4F complex and bind to the mRNA cap.</t>
  </si>
  <si>
    <t>Insulin and mitogenic growth polypeptides, or growth factors (eg, IGF-1, PDGF, @GENE$, and angiotensin II) activate the @GENE$/AKT kinase signaling pathways, which activate the mTOR kinase, and results in the phosphorylation of 4E-BP. Phosphorylated 4E-BP dissociates from 4E, and the latter is then able to form the 4F complex and bind to the mRNA cap.</t>
  </si>
  <si>
    <t>Insulin and mitogenic growth polypeptides, or growth factors (eg, IGF-1, PDGF, @GENE$, and angiotensin II) activate the PI3 kinase/@GENE$ signaling pathways, which activate the mTOR kinase, and results in the phosphorylation of 4E-BP. Phosphorylated 4E-BP dissociates from 4E, and the latter is then able to form the 4F complex and bind to the mRNA cap.</t>
  </si>
  <si>
    <t>Insulin and mitogenic growth polypeptides, or growth factors (eg, IGF-1, PDGF, @GENE$, and angiotensin II) activate the PI3 kinase/AKT kinase signaling pathways, which activate the @GENE$, and results in the phosphorylation of 4E-BP. Phosphorylated 4E-BP dissociates from 4E, and the latter is then able to form the 4F complex and bind to the mRNA cap.</t>
  </si>
  <si>
    <t>Insulin and mitogenic growth polypeptides, or growth factors (eg, IGF-1, PDGF, @GENE$, and angiotensin II) activate the PI3 kinase/AKT kinase signaling pathways, which activate the mTOR kinase, and results in the phosphorylation of @GENE$. Phosphorylated 4E-BP dissociates from 4E, and the latter is then able to form the 4F complex and bind to the mRNA cap.</t>
  </si>
  <si>
    <t>Insulin and mitogenic growth polypeptides, or growth factors (eg, IGF-1, PDGF, @GENE$, and angiotensin II) activate the PI3 kinase/AKT kinase signaling pathways, which activate the mTOR kinase, and results in the phosphorylation of 4E-BP. Phosphorylated @GENE$ dissociates from 4E, and the latter is then able to form the 4F complex and bind to the mRNA cap.</t>
  </si>
  <si>
    <t>Insulin and mitogenic growth polypeptides, or growth factors (eg, IGF-1, PDGF, @GENE$, and angiotensin II) activate the PI3 kinase/AKT kinase signaling pathways, which activate the mTOR kinase, and results in the phosphorylation of 4E-BP. Phosphorylated 4E-BP dissociates from @GENE$, and the latter is then able to form the 4F complex and bind to the mRNA cap.</t>
  </si>
  <si>
    <t>Insulin and mitogenic growth polypeptides, or growth factors (eg, IGF-1, PDGF, @GENE$, and angiotensin II) activate the PI3 kinase/AKT kinase signaling pathways, which activate the mTOR kinase, and results in the phosphorylation of 4E-BP. Phosphorylated 4E-BP dissociates from 4E, and the latter is then able to form the @GENE$ complex and bind to the mRNA cap.</t>
  </si>
  <si>
    <t>Insulin and mitogenic growth polypeptides, or growth factors (eg, IGF-1, PDGF, interleukin-2, and @GENE$) activate the @GENE$/AKT kinase signaling pathways, which activate the mTOR kinase, and results in the phosphorylation of 4E-BP. Phosphorylated 4E-BP dissociates from 4E, and the latter is then able to form the 4F complex and bind to the mRNA cap.</t>
  </si>
  <si>
    <t>Insulin and mitogenic growth polypeptides, or growth factors (eg, IGF-1, PDGF, interleukin-2, and @GENE$) activate the PI3 kinase/@GENE$ signaling pathways, which activate the mTOR kinase, and results in the phosphorylation of 4E-BP. Phosphorylated 4E-BP dissociates from 4E, and the latter is then able to form the 4F complex and bind to the mRNA cap.</t>
  </si>
  <si>
    <t>Insulin and mitogenic growth polypeptides, or growth factors (eg, IGF-1, PDGF, interleukin-2, and @GENE$) activate the PI3 kinase/AKT kinase signaling pathways, which activate the @GENE$, and results in the phosphorylation of 4E-BP. Phosphorylated 4E-BP dissociates from 4E, and the latter is then able to form the 4F complex and bind to the mRNA cap.</t>
  </si>
  <si>
    <t>Insulin and mitogenic growth polypeptides, or growth factors (eg, IGF-1, PDGF, interleukin-2, and @GENE$) activate the PI3 kinase/AKT kinase signaling pathways, which activate the mTOR kinase, and results in the phosphorylation of @GENE$. Phosphorylated 4E-BP dissociates from 4E, and the latter is then able to form the 4F complex and bind to the mRNA cap.</t>
  </si>
  <si>
    <t>Insulin and mitogenic growth polypeptides, or growth factors (eg, IGF-1, PDGF, interleukin-2, and @GENE$) activate the PI3 kinase/AKT kinase signaling pathways, which activate the mTOR kinase, and results in the phosphorylation of 4E-BP. Phosphorylated @GENE$ dissociates from 4E, and the latter is then able to form the 4F complex and bind to the mRNA cap.</t>
  </si>
  <si>
    <t>Insulin and mitogenic growth polypeptides, or growth factors (eg, IGF-1, PDGF, interleukin-2, and @GENE$) activate the PI3 kinase/AKT kinase signaling pathways, which activate the mTOR kinase, and results in the phosphorylation of 4E-BP. Phosphorylated 4E-BP dissociates from @GENE$, and the latter is then able to form the 4F complex and bind to the mRNA cap.</t>
  </si>
  <si>
    <t>Insulin and mitogenic growth polypeptides, or growth factors (eg, IGF-1, PDGF, interleukin-2, and @GENE$) activate the PI3 kinase/AKT kinase signaling pathways, which activate the mTOR kinase, and results in the phosphorylation of 4E-BP. Phosphorylated 4E-BP dissociates from 4E, and the latter is then able to form the @GENE$ complex and bind to the mRNA cap.</t>
  </si>
  <si>
    <t>Insulin and mitogenic growth polypeptides, or growth factors (eg, IGF-1, PDGF, interleukin-2, and angiotensin II) activate the @GENE$/@GENE$ signaling pathways, which activate the mTOR kinase, and results in the phosphorylation of 4E-BP. Phosphorylated 4E-BP dissociates from 4E, and the latter is then able to form the 4F complex and bind to the mRNA cap.</t>
  </si>
  <si>
    <t>Insulin and mitogenic growth polypeptides, or growth factors (eg, IGF-1, PDGF, interleukin-2, and angiotensin II) activate the @GENE$/AKT kinase signaling pathways, which activate the @GENE$, and results in the phosphorylation of 4E-BP. Phosphorylated 4E-BP dissociates from 4E, and the latter is then able to form the 4F complex and bind to the mRNA cap.</t>
  </si>
  <si>
    <t>Insulin and mitogenic growth polypeptides, or growth factors (eg, IGF-1, PDGF, interleukin-2, and angiotensin II) activate the @GENE$/AKT kinase signaling pathways, which activate the mTOR kinase, and results in the phosphorylation of @GENE$. Phosphorylated 4E-BP dissociates from 4E, and the latter is then able to form the 4F complex and bind to the mRNA cap.</t>
  </si>
  <si>
    <t>Should be 1? - Indirect phosphorylation via signalling cascade</t>
  </si>
  <si>
    <t>Insulin and mitogenic growth polypeptides, or growth factors (eg, IGF-1, PDGF, interleukin-2, and angiotensin II) activate the @GENE$/AKT kinase signaling pathways, which activate the mTOR kinase, and results in the phosphorylation of 4E-BP. Phosphorylated @GENE$ dissociates from 4E, and the latter is then able to form the 4F complex and bind to the mRNA cap.</t>
  </si>
  <si>
    <t>Insulin and mitogenic growth polypeptides, or growth factors (eg, IGF-1, PDGF, interleukin-2, and angiotensin II) activate the @GENE$/AKT kinase signaling pathways, which activate the mTOR kinase, and results in the phosphorylation of 4E-BP. Phosphorylated 4E-BP dissociates from @GENE$, and the latter is then able to form the 4F complex and bind to the mRNA cap.</t>
  </si>
  <si>
    <t>Insulin and mitogenic growth polypeptides, or growth factors (eg, IGF-1, PDGF, interleukin-2, and angiotensin II) activate the @GENE$/AKT kinase signaling pathways, which activate the mTOR kinase, and results in the phosphorylation of 4E-BP. Phosphorylated 4E-BP dissociates from 4E, and the latter is then able to form the @GENE$ complex and bind to the mRNA cap.</t>
  </si>
  <si>
    <t>Insulin and mitogenic growth polypeptides, or growth factors (eg, IGF-1, PDGF, interleukin-2, and angiotensin II) activate the PI3 kinase/@GENE$ signaling pathways, which activate the @GENE$, and results in the phosphorylation of 4E-BP. Phosphorylated 4E-BP dissociates from 4E, and the latter is then able to form the 4F complex and bind to the mRNA cap.</t>
  </si>
  <si>
    <t>Insulin and mitogenic growth polypeptides, or growth factors (eg, IGF-1, PDGF, interleukin-2, and angiotensin II) activate the PI3 kinase/@GENE$ signaling pathways, which activate the mTOR kinase, and results in the phosphorylation of @GENE$. Phosphorylated 4E-BP dissociates from 4E, and the latter is then able to form the 4F complex and bind to the mRNA cap.</t>
  </si>
  <si>
    <t>Insulin and mitogenic growth polypeptides, or growth factors (eg, IGF-1, PDGF, interleukin-2, and angiotensin II) activate the PI3 kinase/@GENE$ signaling pathways, which activate the mTOR kinase, and results in the phosphorylation of 4E-BP. Phosphorylated @GENE$ dissociates from 4E, and the latter is then able to form the 4F complex and bind to the mRNA cap.</t>
  </si>
  <si>
    <t>Insulin and mitogenic growth polypeptides, or growth factors (eg, IGF-1, PDGF, interleukin-2, and angiotensin II) activate the PI3 kinase/@GENE$ signaling pathways, which activate the mTOR kinase, and results in the phosphorylation of 4E-BP. Phosphorylated 4E-BP dissociates from @GENE$, and the latter is then able to form the 4F complex and bind to the mRNA cap.</t>
  </si>
  <si>
    <t>Insulin and mitogenic growth polypeptides, or growth factors (eg, IGF-1, PDGF, interleukin-2, and angiotensin II) activate the PI3 kinase/@GENE$ signaling pathways, which activate the mTOR kinase, and results in the phosphorylation of 4E-BP. Phosphorylated 4E-BP dissociates from 4E, and the latter is then able to form the @GENE$ complex and bind to the mRNA cap.</t>
  </si>
  <si>
    <t>Insulin and mitogenic growth polypeptides, or growth factors (eg, IGF-1, PDGF, interleukin-2, and angiotensin II) activate the PI3 kinase/AKT kinase signaling pathways, which activate the @GENE$, and results in the phosphorylation of @GENE$. Phosphorylated 4E-BP dissociates from 4E, and the latter is then able to form the 4F complex and bind to the mRNA cap.</t>
  </si>
  <si>
    <t>Should be 1? - mTOR activation leads to phosphorylation of 4E-BP</t>
  </si>
  <si>
    <t>Insulin and mitogenic growth polypeptides, or growth factors (eg, IGF-1, PDGF, interleukin-2, and angiotensin II) activate the PI3 kinase/AKT kinase signaling pathways, which activate the @GENE$, and results in the phosphorylation of 4E-BP. Phosphorylated @GENE$ dissociates from 4E, and the latter is then able to form the 4F complex and bind to the mRNA cap.</t>
  </si>
  <si>
    <t>Insulin and mitogenic growth polypeptides, or growth factors (eg, IGF-1, PDGF, interleukin-2, and angiotensin II) activate the PI3 kinase/AKT kinase signaling pathways, which activate the @GENE$, and results in the phosphorylation of 4E-BP. Phosphorylated 4E-BP dissociates from @GENE$, and the latter is then able to form the 4F complex and bind to the mRNA cap.</t>
  </si>
  <si>
    <t>Insulin and mitogenic growth polypeptides, or growth factors (eg, IGF-1, PDGF, interleukin-2, and angiotensin II) activate the PI3 kinase/AKT kinase signaling pathways, which activate the @GENE$, and results in the phosphorylation of 4E-BP. Phosphorylated 4E-BP dissociates from 4E, and the latter is then able to form the @GENE$ complex and bind to the mRNA cap.</t>
  </si>
  <si>
    <t>Insulin and mitogenic growth polypeptides, or growth factors (eg, IGF-1, PDGF, interleukin-2, and angiotensin II) activate the PI3 kinase/AKT kinase signaling pathways, which activate the mTOR kinase, and results in the phosphorylation of @GENE$. Phosphorylated @GENE$ dissociates from 4E, and the latter is then able to form the 4F complex and bind to the mRNA cap.</t>
  </si>
  <si>
    <t>Insulin and mitogenic growth polypeptides, or growth factors (eg, IGF-1, PDGF, interleukin-2, and angiotensin II) activate the PI3 kinase/AKT kinase signaling pathways, which activate the mTOR kinase, and results in the phosphorylation of @GENE$. Phosphorylated 4E-BP dissociates from @GENE$, and the latter is then able to form the 4F complex and bind to the mRNA cap.</t>
  </si>
  <si>
    <t>Insulin and mitogenic growth polypeptides, or growth factors (eg, IGF-1, PDGF, interleukin-2, and angiotensin II) activate the PI3 kinase/AKT kinase signaling pathways, which activate the mTOR kinase, and results in the phosphorylation of @GENE$. Phosphorylated 4E-BP dissociates from 4E, and the latter is then able to form the @GENE$ complex and bind to the mRNA cap.</t>
  </si>
  <si>
    <t>Insulin and mitogenic growth polypeptides, or growth factors (eg, IGF-1, PDGF, interleukin-2, and angiotensin II) activate the PI3 kinase/AKT kinase signaling pathways, which activate the mTOR kinase, and results in the phosphorylation of 4E-BP. Phosphorylated @GENE$ dissociates from @GENE$, and the latter is then able to form the 4F complex and bind to the mRNA cap.</t>
  </si>
  <si>
    <t>Insulin and mitogenic growth polypeptides, or growth factors (eg, IGF-1, PDGF, interleukin-2, and angiotensin II) activate the PI3 kinase/AKT kinase signaling pathways, which activate the mTOR kinase, and results in the phosphorylation of 4E-BP. Phosphorylated @GENE$ dissociates from 4E, and the latter is then able to form the @GENE$ complex and bind to the mRNA cap.</t>
  </si>
  <si>
    <t>Insulin and mitogenic growth polypeptides, or growth factors (eg, IGF-1, PDGF, interleukin-2, and angiotensin II) activate the PI3 kinase/AKT kinase signaling pathways, which activate the mTOR kinase, and results in the phosphorylation of 4E-BP. Phosphorylated 4E-BP dissociates from @GENE$, and the latter is then able to form the @GENE$ complex and bind to the mRNA cap.</t>
  </si>
  <si>
    <t>Optimal induction of @GENE$ target genes also requires phosphorylation of @GENE$ proteins, such as p65, within their transactivation domain by a variety of kinases in response to distinct stimuli.</t>
  </si>
  <si>
    <t>(would be a phosphorylation relation if the kinases were specified in surrounding sentences)</t>
  </si>
  <si>
    <t>Correlation, interaction, association, causation between NF-kB target genes and NF-kB proteins e.g. p65</t>
  </si>
  <si>
    <t>Optimal induction of @GENE$ target genes also requires phosphorylation of NF-kB proteins, such as @GENE$, within their transactivation domain by a variety of kinases in response to distinct stimuli.</t>
  </si>
  <si>
    <t>Optimal induction of NF-kB target genes also requires phosphorylation of @GENE$ proteins, such as @GENE$, within their transactivation domain by a variety of kinases in response to distinct stimuli.</t>
  </si>
  <si>
    <t>The @GENE$-containing and inhibitory molecule @GENE$ is also subjected to TNFa and IKK-mediated phosphorylation on Ser927 and Ser932</t>
  </si>
  <si>
    <t>(TNFa, mediates phosphorylation, p105)</t>
  </si>
  <si>
    <t>The @GENE$-containing and inhibitory molecule p105 is also subjected to @GENE$ and IKK-mediated phosphorylation on Ser927 and Ser932</t>
  </si>
  <si>
    <t>(IKK, mediates phosphorylation, p105)</t>
  </si>
  <si>
    <t>The @GENE$-containing and inhibitory molecule p105 is also subjected to TNFa and @GENE$-mediated phosphorylation on Ser927 and Ser932</t>
  </si>
  <si>
    <t>The ankyrin-containing and inhibitory molecule @GENE$ is also subjected to @GENE$ and IKK-mediated phosphorylation on Ser927 and Ser932</t>
  </si>
  <si>
    <t>The ankyrin-containing and inhibitory molecule @GENE$ is also subjected to TNFa and @GENE$-mediated phosphorylation on Ser927 and Ser932</t>
  </si>
  <si>
    <t>The ankyrin-containing and inhibitory molecule p105 is also subjected to @GENE$ and @GENE$-mediated phosphorylation on Ser927 and Ser932</t>
  </si>
  <si>
    <t>In addition, @GENE$ (@GENE$) phosphorylates p105 on Ser903 and Ser907 and stabilizes p105 by preventing its degradation in unstimulated cells</t>
  </si>
  <si>
    <t>(GSK3b, phosphorylates, p105)</t>
  </si>
  <si>
    <t>In addition, @GENE$ (GSK3b) phosphorylates @GENE$ on Ser903 and Ser907 and stabilizes p105 by preventing its degradation in unstimulated cells</t>
  </si>
  <si>
    <t>In addition, @GENE$ (GSK3b) phosphorylates p105 on Ser903 and Ser907 and stabilizes @GENE$ by preventing its degradation in unstimulated cells</t>
  </si>
  <si>
    <t>In addition, glycogen synthase kinase 3b (@GENE$) phosphorylates @GENE$ on Ser903 and Ser907 and stabilizes p105 by preventing its degradation in unstimulated cells</t>
  </si>
  <si>
    <t>In addition, glycogen synthase kinase 3b (@GENE$) phosphorylates p105 on Ser903 and Ser907 and stabilizes @GENE$ by preventing its degradation in unstimulated cells</t>
  </si>
  <si>
    <t>In addition, glycogen synthase kinase 3b (GSK3b) phosphorylates @GENE$ on Ser903 and Ser907 and stabilizes @GENE$ by preventing its degradation in unstimulated cells</t>
  </si>
  <si>
    <t>After stimulus-induced @GENE$-degradation, activated @GENE$ phosphorylates p65 on Ser276</t>
  </si>
  <si>
    <t>(PKA, phosphorylates, p65)</t>
  </si>
  <si>
    <t>Negative correlation: IkBa and PKA; IkBa and p65 phosphorylation</t>
  </si>
  <si>
    <t>After stimulus-induced @GENE$-degradation, activated PKA phosphorylates @GENE$ on Ser276</t>
  </si>
  <si>
    <t>After stimulus-induced IkBa-degradation, activated @GENE$ phosphorylates @GENE$ on Ser276</t>
  </si>
  <si>
    <t>Ser276 of @GENE$ is also phosphorylated by the @GENE$ (MSK1) in the nucleus, and this phosphorylation is required for an optimal TNFa-mediated NF-kB activation</t>
  </si>
  <si>
    <t>(p65, phosphorylated by, MSK1)</t>
  </si>
  <si>
    <t>Ser276 of @GENE$ is also phosphorylated by the mitogen- and stress-activated protein kinase-1 (@GENE$) in the nucleus, and this phosphorylation is required for an optimal TNFa-mediated NF-kB activation</t>
  </si>
  <si>
    <t>Ser276 of @GENE$ is also phosphorylated by the mitogen- and stress-activated protein kinase-1 (MSK1) in the nucleus, and this phosphorylation is required for an optimal @GENE$-mediated NF-kB activation</t>
  </si>
  <si>
    <t>Ser276 of @GENE$ is also phosphorylated by the mitogen- and stress-activated protein kinase-1 (MSK1) in the nucleus, and this phosphorylation is required for an optimal TNFa-mediated @GENE$ activation</t>
  </si>
  <si>
    <t>p65 phosphorylation required for NF-kB activation = interaction/causation/positive correlation?</t>
  </si>
  <si>
    <t>Ser276 of p65 is also phosphorylated by the @GENE$ (@GENE$) in the nucleus, and this phosphorylation is required for an optimal TNFa-mediated NF-kB activation</t>
  </si>
  <si>
    <t>Ser276 of p65 is also phosphorylated by the @GENE$ (MSK1) in the nucleus, and this phosphorylation is required for an optimal @GENE$-mediated NF-kB activation</t>
  </si>
  <si>
    <t>Ser276 of p65 is also phosphorylated by the @GENE$ (MSK1) in the nucleus, and this phosphorylation is required for an optimal TNFa-mediated @GENE$ activation</t>
  </si>
  <si>
    <t>MSK1 phosphorylates p65, required for NF-kB activation = interaction/causation/positive correlation?</t>
  </si>
  <si>
    <t>Ser276 of p65 is also phosphorylated by the mitogen- and stress-activated protein kinase-1 (@GENE$) in the nucleus, and this phosphorylation is required for an optimal @GENE$-mediated NF-kB activation</t>
  </si>
  <si>
    <t>Ser276 of p65 is also phosphorylated by the mitogen- and stress-activated protein kinase-1 (@GENE$) in the nucleus, and this phosphorylation is required for an optimal TNFa-mediated @GENE$ activation</t>
  </si>
  <si>
    <t>Ser276 of p65 is also phosphorylated by the mitogen- and stress-activated protein kinase-1 (MSK1) in the nucleus, and this phosphorylation is required for an optimal @GENE$-mediated @GENE$ activation</t>
  </si>
  <si>
    <t>TNFa mediates NF-kB activation = interaction/causation/positive correlation?</t>
  </si>
  <si>
    <t>Ser311 is another residue within the N-terminal Rel homology domain (RHD) domain that is targeted for phosphorylation by another kinase – @GENE$ (@GENE$)-z – in TNFa-stimulated cells</t>
  </si>
  <si>
    <t>Ser311 is another residue within the N-terminal Rel homology domain (RHD) domain that is targeted for phosphorylation by another kinase – @GENE$ (PKC)-z – in @GENE$-stimulated cells</t>
  </si>
  <si>
    <t>PKCz and TNFa: positive correlation/interaction?</t>
  </si>
  <si>
    <t>Ser311 is another residue within the N-terminal Rel homology domain (RHD) domain that is targeted for phosphorylation by another kinase – protein kinase C (@GENE$)-z – in @GENE$-stimulated cells</t>
  </si>
  <si>
    <t>@GENE$ stimulation also triggers @GENE$ phosphorylation within minutes in the cytoplasm and CK2 activity associated with this NF-kB protein has been reported and This cytoplasmic CKII activity is also associated with p65 upon TNFa stimulation and targets Ser529 of this substrate</t>
  </si>
  <si>
    <t>(IL-1b, stimulates phosphorylation, p65 protein)</t>
  </si>
  <si>
    <t>@GENE$ stimulation also triggers p65 phosphorylation within minutes in the cytoplasm and @GENE$ activity associated with this NF-kB protein has been reported and This cytoplasmic CKII activity is also associated with p65 upon TNFa stimulation and targets Ser529 of this substrate</t>
  </si>
  <si>
    <t>(CKII, catalyze phosphorylation, p65 protein)
[Jiaying] IL-1b stimulation triggers p65 phosphorylation, after which CK2 activity is reported, but unclear if CK2 activity is gained via CK2 phosphorylation or whether p65 phosphorylation is due to CK2?</t>
  </si>
  <si>
    <t>@GENE$ stimulation also triggers p65 phosphorylation within minutes in the cytoplasm and CK2 activity associated with this @GENE$ protein has been reported and This cytoplasmic CKII activity is also associated with p65 upon TNFa stimulation and targets Ser529 of this substrate</t>
  </si>
  <si>
    <t>Should be 1 - IL-1b triggers p65 phosphorylation, p65 is a NF-kB protein</t>
  </si>
  <si>
    <t>@GENE$ stimulation also triggers p65 phosphorylation within minutes in the cytoplasm and CK2 activity associated with this NF-kB protein has been reported and This cytoplasmic @GENE$ activity is also associated with p65 upon TNFa stimulation and targets Ser529 of this substrate</t>
  </si>
  <si>
    <t>@GENE$ stimulation also triggers p65 phosphorylation within minutes in the cytoplasm and CK2 activity associated with this NF-kB protein has been reported and This cytoplasmic CKII activity is also associated with @GENE$ upon TNFa stimulation and targets Ser529 of this substrate</t>
  </si>
  <si>
    <t>@GENE$ stimulation also triggers p65 phosphorylation within minutes in the cytoplasm and CK2 activity associated with this NF-kB protein has been reported and This cytoplasmic CKII activity is also associated with p65 upon @GENE$ stimulation and targets Ser529 of this substrate</t>
  </si>
  <si>
    <t>IL-1b stimulation also triggers @GENE$ phosphorylation within minutes in the cytoplasm and @GENE$ activity associated with this NF-kB protein has been reported and This cytoplasmic CKII activity is also associated with p65 upon TNFa stimulation and targets Ser529 of this substrate</t>
  </si>
  <si>
    <t>Unclear whether p65 phosphorylation is due to CK2?</t>
  </si>
  <si>
    <t>IL-1b stimulation also triggers @GENE$ phosphorylation within minutes in the cytoplasm and CK2 activity associated with this @GENE$ protein has been reported and This cytoplasmic CKII activity is also associated with p65 upon TNFa stimulation and targets Ser529 of this substrate</t>
  </si>
  <si>
    <t>IL-1b stimulation also triggers @GENE$ phosphorylation within minutes in the cytoplasm and CK2 activity associated with this NF-kB protein has been reported and This cytoplasmic @GENE$ activity is also associated with p65 upon TNFa stimulation and targets Ser529 of this substrate</t>
  </si>
  <si>
    <t>IL-1b stimulation also triggers @GENE$ phosphorylation within minutes in the cytoplasm and CK2 activity associated with this NF-kB protein has been reported and This cytoplasmic CKII activity is also associated with @GENE$ upon TNFa stimulation and targets Ser529 of this substrate</t>
  </si>
  <si>
    <t>IL-1b stimulation also triggers @GENE$ phosphorylation within minutes in the cytoplasm and CK2 activity associated with this NF-kB protein has been reported and This cytoplasmic CKII activity is also associated with p65 upon @GENE$ stimulation and targets Ser529 of this substrate</t>
  </si>
  <si>
    <r>
      <rPr>
        <rFont val="Arial"/>
        <color theme="1"/>
        <sz val="10.0"/>
      </rPr>
      <t xml:space="preserve">Could be 1 - IL-1b stimulation triggers p65 phosphorylation, after which CK2 activity is reported. If CK2 activity is an indication of p65 phosphorylation, then can it be inferred from the text alone that TNFa stimulation also induces p65 phosphorylation?
</t>
    </r>
    <r>
      <rPr>
        <rFont val="Arial"/>
        <color rgb="FF4A86E8"/>
        <sz val="10.0"/>
      </rPr>
      <t>From the text alone, it seems unclear and I viewed it as just an association relation.</t>
    </r>
  </si>
  <si>
    <t>IL-1b stimulation also triggers p65 phosphorylation within minutes in the cytoplasm and @GENE$ activity associated with this @GENE$ protein has been reported and This cytoplasmic CKII activity is also associated with p65 upon TNFa stimulation and targets Ser529 of this substrate</t>
  </si>
  <si>
    <t>IL-1b stimulation also triggers p65 phosphorylation within minutes in the cytoplasm and @GENE$ activity associated with this NF-kB protein has been reported and This cytoplasmic @GENE$ activity is also associated with p65 upon TNFa stimulation and targets Ser529 of this substrate</t>
  </si>
  <si>
    <t>IL-1b stimulation also triggers p65 phosphorylation within minutes in the cytoplasm and @GENE$ activity associated with this NF-kB protein has been reported and This cytoplasmic CKII activity is also associated with @GENE$ upon TNFa stimulation and targets Ser529 of this substrate</t>
  </si>
  <si>
    <t>IL-1b stimulation also triggers p65 phosphorylation within minutes in the cytoplasm and @GENE$ activity associated with this NF-kB protein has been reported and This cytoplasmic CKII activity is also associated with p65 upon @GENE$ stimulation and targets Ser529 of this substrate</t>
  </si>
  <si>
    <t>IL-1b stimulation also triggers p65 phosphorylation within minutes in the cytoplasm and CK2 activity associated with this @GENE$ protein has been reported and This cytoplasmic @GENE$ activity is also associated with p65 upon TNFa stimulation and targets Ser529 of this substrate</t>
  </si>
  <si>
    <t>IL-1b stimulation also triggers p65 phosphorylation within minutes in the cytoplasm and CK2 activity associated with this @GENE$ protein has been reported and This cytoplasmic CKII activity is also associated with @GENE$ upon TNFa stimulation and targets Ser529 of this substrate</t>
  </si>
  <si>
    <t>IL-1b stimulation also triggers p65 phosphorylation within minutes in the cytoplasm and CK2 activity associated with this @GENE$ protein has been reported and This cytoplasmic CKII activity is also associated with p65 upon @GENE$ stimulation and targets Ser529 of this substrate</t>
  </si>
  <si>
    <t>Could be 1 - IL-1b stimulation triggers p65 phosphorylation, after which CK2 activity is reported. If CK2 activity is an indication of p65 phosphorylation, then can it be inferred from the text alone that TNFa stimulation also induces p65 (NF-kB) phosphorylation?</t>
  </si>
  <si>
    <t>IL-1b stimulation also triggers p65 phosphorylation within minutes in the cytoplasm and CK2 activity associated with this NF-kB protein has been reported and This cytoplasmic @GENE$ activity is also associated with @GENE$ upon TNFa stimulation and targets Ser529 of this substrate</t>
  </si>
  <si>
    <t>IL-1b stimulation also triggers p65 phosphorylation within minutes in the cytoplasm and CK2 activity associated with this NF-kB protein has been reported and This cytoplasmic @GENE$ activity is also associated with p65 upon @GENE$ stimulation and targets Ser529 of this substrate</t>
  </si>
  <si>
    <t>IL-1b stimulation also triggers p65 phosphorylation within minutes in the cytoplasm and CK2 activity associated with this NF-kB protein has been reported and This cytoplasmic CKII activity is also associated with @GENE$ upon @GENE$ stimulation and targets Ser529 of this substrate</t>
  </si>
  <si>
    <t>Could be 1 - IL-1b stimulation triggers p65 phosphorylation, after which CK2 activity is reported. If CK2 activity is an indication of p65 phosphorylation, then can it be inferred from the text alone that TNFa stimulation also induces p65 phosphorylation?</t>
  </si>
  <si>
    <t>Phosphorylation of @GENE$ at Thr84 and Ser552 in cells stimulated by @CHEMICAL$ and ionomycin triggers degradation of RelB via the proteasome pathway but, again, the identity of the kinase that phosphorylates RelB at these residues is unknown at present</t>
  </si>
  <si>
    <t>(12-O-tetradecanoylphorbol 13-acetate and ionomycin, stimulates phosphorylation, RelB)</t>
  </si>
  <si>
    <t>Phosphorylation of @GENE$ at Thr84 and Ser552 in cells stimulated by 12-O-tetradecanoylphorbol 13-acetate and @CHEMICAL$ triggers degradation of RelB via the proteasome pathway but, again, the identity of the kinase that phosphorylates RelB at these residues is unknown at present</t>
  </si>
  <si>
    <t>Phosphorylation of @GENE$ at Thr84 and Ser552 in cells stimulated by 12-O-tetradecanoylphorbol 13-acetate and ionomycin triggers degradation of @GENE$ via the proteasome pathway but, again, the identity of the kinase that phosphorylates RelB at these residues is unknown at present</t>
  </si>
  <si>
    <t>Phosphorylation of @GENE$ at Thr84 and Ser552 in cells stimulated by 12-O-tetradecanoylphorbol 13-acetate and ionomycin triggers degradation of RelB via the proteasome pathway but, again, the identity of the kinase that phosphorylates @GENE$ at these residues is unknown at present</t>
  </si>
  <si>
    <t>Phosphorylation of RelB at Thr84 and Ser552 in cells stimulated by @CHEMICAL$ and @CHEMICAL$ triggers degradation of RelB via the proteasome pathway but, again, the identity of the kinase that phosphorylates RelB at these residues is unknown at present</t>
  </si>
  <si>
    <t>Phosphorylation of RelB at Thr84 and Ser552 in cells stimulated by @CHEMICAL$ and ionomycin triggers degradation of @GENE$ via the proteasome pathway but, again, the identity of the kinase that phosphorylates RelB at these residues is unknown at present</t>
  </si>
  <si>
    <r>
      <rPr>
        <rFont val="Arial"/>
        <color theme="1"/>
        <sz val="10.0"/>
      </rPr>
      <t xml:space="preserve">Should this be 0 if the next statement is 0? </t>
    </r>
    <r>
      <rPr>
        <rFont val="Arial"/>
        <color rgb="FF4A86E8"/>
        <sz val="10.0"/>
      </rPr>
      <t>Clause issue</t>
    </r>
  </si>
  <si>
    <t>Phosphorylation of RelB at Thr84 and Ser552 in cells stimulated by @CHEMICAL$ and ionomycin triggers degradation of RelB via the proteasome pathway but, again, the identity of the kinase that phosphorylates @GENE$ at these residues is unknown at present</t>
  </si>
  <si>
    <r>
      <rPr>
        <rFont val="Arial"/>
        <color theme="1"/>
        <sz val="10.0"/>
      </rPr>
      <t>Should this be 1 if the previous statement is 1?</t>
    </r>
    <r>
      <rPr>
        <rFont val="Arial"/>
        <color rgb="FF4A86E8"/>
        <sz val="10.0"/>
      </rPr>
      <t>Should be 1</t>
    </r>
  </si>
  <si>
    <t>Phosphorylation of RelB at Thr84 and Ser552 in cells stimulated by 12-O-tetradecanoylphorbol 13-acetate and @CHEMICAL$ triggers degradation of @GENE$ via the proteasome pathway but, again, the identity of the kinase that phosphorylates RelB at these residues is unknown at present</t>
  </si>
  <si>
    <r>
      <rPr>
        <rFont val="Arial"/>
        <color theme="1"/>
        <sz val="10.0"/>
      </rPr>
      <t>Should this be 0 if the next statement is 0?</t>
    </r>
    <r>
      <rPr>
        <rFont val="Arial"/>
        <color rgb="FF4A86E8"/>
        <sz val="10.0"/>
      </rPr>
      <t>Should be 1</t>
    </r>
  </si>
  <si>
    <t>Phosphorylation of RelB at Thr84 and Ser552 in cells stimulated by 12-O-tetradecanoylphorbol 13-acetate and @CHEMICAL$ triggers degradation of RelB via the proteasome pathway but, again, the identity of the kinase that phosphorylates @GENE$ at these residues is unknown at present</t>
  </si>
  <si>
    <r>
      <rPr>
        <rFont val="Arial"/>
        <color theme="1"/>
        <sz val="10.0"/>
      </rPr>
      <t xml:space="preserve">Should this be 1 if the previous statement is 1? </t>
    </r>
    <r>
      <rPr>
        <rFont val="Arial"/>
        <color rgb="FF4A86E8"/>
        <sz val="10.0"/>
      </rPr>
      <t>Should be 1</t>
    </r>
  </si>
  <si>
    <t>Phosphorylation of RelB at Thr84 and Ser552 in cells stimulated by 12-O-tetradecanoylphorbol 13-acetate and ionomycin triggers degradation of @GENE$ via the proteasome pathway but, again, the identity of the kinase that phosphorylates @GENE$ at these residues is unknown at present</t>
  </si>
  <si>
    <t>Indeed, @GENE$-mediated phosphorylation at @VARIANT$, which is located within the Rel homology domain, enhances the p50 DNA-binding abilities</t>
  </si>
  <si>
    <t>(PKA, catalyze, Phosphorylation p50 at Ser337)</t>
  </si>
  <si>
    <t>Indeed, @GENE$-mediated phosphorylation at Ser337, which is located within the Rel homology domain, enhances the @GENE$ DNA-binding abilities</t>
  </si>
  <si>
    <t>Should be 1 - Ser337 is within the Rel homology domain of p50?</t>
  </si>
  <si>
    <t>Indeed, PKA-mediated phosphorylation at @VARIANT$, which is located within the Rel homology domain, enhances the @GENE$ DNA-binding abilities</t>
  </si>
  <si>
    <t>If Ser337 is highlighted as a variant here, why are other variants in previous input sentences not entity-tagged as variants?</t>
  </si>
  <si>
    <t>@GENE$ primarily phosphorylates @GENE$ for inflammatory cytokine production</t>
  </si>
  <si>
    <t>@GENE$ primarily phosphorylates c-Fos for @GENE$ production</t>
  </si>
  <si>
    <t>ERK1/2 primarily phosphorylates @GENE$ for @GENE$ production</t>
  </si>
  <si>
    <t>@GENE$ is primarily phosphorylated by @GENE$ which also promotes the nuclear translocation of ATF4 to form heterodimers with c-Jun for AP-1 activation</t>
  </si>
  <si>
    <t>(JNK, phosphorylates, c-Jun)</t>
  </si>
  <si>
    <t>@GENE$ is primarily phosphorylated by JNK which also promotes the nuclear translocation of @GENE$ to form heterodimers with c-Jun for AP-1 activation</t>
  </si>
  <si>
    <t>@GENE$ is primarily phosphorylated by JNK which also promotes the nuclear translocation of ATF4 to form heterodimers with @GENE$ for AP-1 activation</t>
  </si>
  <si>
    <r>
      <rPr>
        <rFont val="Arial"/>
        <color theme="1"/>
        <sz val="10.0"/>
      </rPr>
      <t xml:space="preserve">Should be 1 if below tagged pair is 1? </t>
    </r>
    <r>
      <rPr>
        <rFont val="Arial"/>
        <color rgb="FF4A86E8"/>
        <sz val="10.0"/>
      </rPr>
      <t>Should be 0 (both tagged entities are c-Jun)</t>
    </r>
  </si>
  <si>
    <t>@GENE$ is primarily phosphorylated by JNK which also promotes the nuclear translocation of ATF4 to form heterodimers with c-Jun for @GENE$ activation</t>
  </si>
  <si>
    <t>c-Jun is primarily phosphorylated by @GENE$ which also promotes the nuclear translocation of @GENE$ to form heterodimers with c-Jun for AP-1 activation</t>
  </si>
  <si>
    <t>c-Jun is primarily phosphorylated by @GENE$ which also promotes the nuclear translocation of ATF4 to form heterodimers with @GENE$ for AP-1 activation</t>
  </si>
  <si>
    <r>
      <rPr>
        <rFont val="Arial"/>
        <color theme="1"/>
        <sz val="10.0"/>
      </rPr>
      <t xml:space="preserve">Should be 0 if above tagged pair is 0? </t>
    </r>
    <r>
      <rPr>
        <rFont val="Arial"/>
        <color rgb="FF4A86E8"/>
        <sz val="10.0"/>
      </rPr>
      <t>Should be 0- issue with clasues</t>
    </r>
  </si>
  <si>
    <t>c-Jun is primarily phosphorylated by @GENE$ which also promotes the nuclear translocation of ATF4 to form heterodimers with c-Jun for @GENE$ activation</t>
  </si>
  <si>
    <t>c-Jun is primarily phosphorylated by JNK which also promotes the nuclear translocation of @GENE$ to form heterodimers with @GENE$ for AP-1 activation</t>
  </si>
  <si>
    <t>Protein-protein interaction</t>
  </si>
  <si>
    <t>c-Jun is primarily phosphorylated by JNK which also promotes the nuclear translocation of @GENE$ to form heterodimers with c-Jun for @GENE$ activation</t>
  </si>
  <si>
    <t>Activation = stimulate?</t>
  </si>
  <si>
    <t>c-Jun is primarily phosphorylated by JNK which also promotes the nuclear translocation of ATF4 to form heterodimers with @GENE$ for @GENE$ activation</t>
  </si>
  <si>
    <t>@GENE$ phosphorylates members of the @GENE$ (MEF2) family of transcription factors, MEF2A and MEF2C, downstream of activated TLRs to control anti-inflammatory IL-10 production [49] as well as stimulating expression of c-Jun, thereby influencing AP-1-mediated cytokine expression</t>
  </si>
  <si>
    <t>(p38, phosphorylates, MEF2C)</t>
  </si>
  <si>
    <t>@GENE$ phosphorylates members of the myocyte-enhancer factor 2 (@GENE$) family of transcription factors, MEF2A and MEF2C, downstream of activated TLRs to control anti-inflammatory IL-10 production [49] as well as stimulating expression of c-Jun, thereby influencing AP-1-mediated cytokine expression</t>
  </si>
  <si>
    <t>(p38, phosphorylates, MEF2A)</t>
  </si>
  <si>
    <t>@GENE$ phosphorylates members of the myocyte-enhancer factor 2 (MEF2) family of transcription factors, @GENE$ and MEF2C, downstream of activated TLRs to control anti-inflammatory IL-10 production [49] as well as stimulating expression of c-Jun, thereby influencing AP-1-mediated cytokine expression</t>
  </si>
  <si>
    <t>@GENE$ phosphorylates members of the myocyte-enhancer factor 2 (MEF2) family of transcription factors, MEF2A and @GENE$, downstream of activated TLRs to control anti-inflammatory IL-10 production [49] as well as stimulating expression of c-Jun, thereby influencing AP-1-mediated cytokine expression</t>
  </si>
  <si>
    <t>@GENE$ phosphorylates members of the myocyte-enhancer factor 2 (MEF2) family of transcription factors, MEF2A and MEF2C, downstream of activated @GENE$ to control anti-inflammatory IL-10 production [49] as well as stimulating expression of c-Jun, thereby influencing AP-1-mediated cytokine expression</t>
  </si>
  <si>
    <t>TLRs activate p38 = stimulation?</t>
  </si>
  <si>
    <t>@GENE$ phosphorylates members of the myocyte-enhancer factor 2 (MEF2) family of transcription factors, MEF2A and MEF2C, downstream of activated TLRs to control anti-inflammatory @GENE$ production [49] as well as stimulating expression of c-Jun, thereby influencing AP-1-mediated cytokine expression</t>
  </si>
  <si>
    <t xml:space="preserve">p38 controls IL-10 production = stimulation, positive/negative correlation? </t>
  </si>
  <si>
    <t>@GENE$ phosphorylates members of the myocyte-enhancer factor 2 (MEF2) family of transcription factors, MEF2A and MEF2C, downstream of activated TLRs to control anti-inflammatory IL-10 production [49] as well as stimulating expression of @GENE$, thereby influencing AP-1-mediated cytokine expression</t>
  </si>
  <si>
    <t>p38 stimulates c-Jun expression = stimulation, positive correlation</t>
  </si>
  <si>
    <t>@GENE$ phosphorylates members of the myocyte-enhancer factor 2 (MEF2) family of transcription factors, MEF2A and MEF2C, downstream of activated TLRs to control anti-inflammatory IL-10 production [49] as well as stimulating expression of c-Jun, thereby influencing @GENE$-mediated cytokine expression</t>
  </si>
  <si>
    <t>p38 "influences" AP-1-mediated cytokine expression = positive/negative correlation</t>
  </si>
  <si>
    <t>p38 phosphorylates members of the @GENE$ (@GENE$) family of transcription factors, MEF2A and MEF2C, downstream of activated TLRs to control anti-inflammatory IL-10 production [49] as well as stimulating expression of c-Jun, thereby influencing AP-1-mediated cytokine expression</t>
  </si>
  <si>
    <t>p38 phosphorylates members of the @GENE$ (MEF2) family of transcription factors, @GENE$ and MEF2C, downstream of activated TLRs to control anti-inflammatory IL-10 production [49] as well as stimulating expression of c-Jun, thereby influencing AP-1-mediated cytokine expression</t>
  </si>
  <si>
    <t>p38 phosphorylates members of the @GENE$ (MEF2) family of transcription factors, MEF2A and @GENE$, downstream of activated TLRs to control anti-inflammatory IL-10 production [49] as well as stimulating expression of c-Jun, thereby influencing AP-1-mediated cytokine expression</t>
  </si>
  <si>
    <t>p38 phosphorylates members of the @GENE$ (MEF2) family of transcription factors, MEF2A and MEF2C, downstream of activated @GENE$ to control anti-inflammatory IL-10 production [49] as well as stimulating expression of c-Jun, thereby influencing AP-1-mediated cytokine expression</t>
  </si>
  <si>
    <t>MEF2s downstream of activated TLRs = stimulation, positive correlation?</t>
  </si>
  <si>
    <t>p38 phosphorylates members of the @GENE$ (MEF2) family of transcription factors, MEF2A and MEF2C, downstream of activated TLRs to control anti-inflammatory @GENE$ production [49] as well as stimulating expression of c-Jun, thereby influencing AP-1-mediated cytokine expression</t>
  </si>
  <si>
    <t xml:space="preserve">MEF2A/C control IL-10 production = stimulation, positive/negative correlation? </t>
  </si>
  <si>
    <t>p38 phosphorylates members of the @GENE$ (MEF2) family of transcription factors, MEF2A and MEF2C, downstream of activated TLRs to control anti-inflammatory IL-10 production [49] as well as stimulating expression of @GENE$, thereby influencing AP-1-mediated cytokine expression</t>
  </si>
  <si>
    <t>MEF2A/C stimulate c-Jun expression = stimulation, positive correlation</t>
  </si>
  <si>
    <t>p38 phosphorylates members of the @GENE$ (MEF2) family of transcription factors, MEF2A and MEF2C, downstream of activated TLRs to control anti-inflammatory IL-10 production [49] as well as stimulating expression of c-Jun, thereby influencing @GENE$-mediated cytokine expression</t>
  </si>
  <si>
    <t>MEF2A/C "influence" AP-1-mediated cytokine expression = positive/negative correlation</t>
  </si>
  <si>
    <t>p38 phosphorylates members of the myocyte-enhancer factor 2 (@GENE$) family of transcription factors, @GENE$ and MEF2C, downstream of activated TLRs to control anti-inflammatory IL-10 production [49] as well as stimulating expression of c-Jun, thereby influencing AP-1-mediated cytokine expression</t>
  </si>
  <si>
    <t>p38 phosphorylates members of the myocyte-enhancer factor 2 (@GENE$) family of transcription factors, MEF2A and @GENE$, downstream of activated TLRs to control anti-inflammatory IL-10 production [49] as well as stimulating expression of c-Jun, thereby influencing AP-1-mediated cytokine expression</t>
  </si>
  <si>
    <t>p38 phosphorylates members of the myocyte-enhancer factor 2 (@GENE$) family of transcription factors, MEF2A and MEF2C, downstream of activated @GENE$ to control anti-inflammatory IL-10 production [49] as well as stimulating expression of c-Jun, thereby influencing AP-1-mediated cytokine expression</t>
  </si>
  <si>
    <t>p38 phosphorylates members of the myocyte-enhancer factor 2 (@GENE$) family of transcription factors, MEF2A and MEF2C, downstream of activated TLRs to control anti-inflammatory @GENE$ production [49] as well as stimulating expression of c-Jun, thereby influencing AP-1-mediated cytokine expression</t>
  </si>
  <si>
    <t>p38 phosphorylates members of the myocyte-enhancer factor 2 (@GENE$) family of transcription factors, MEF2A and MEF2C, downstream of activated TLRs to control anti-inflammatory IL-10 production [49] as well as stimulating expression of @GENE$, thereby influencing AP-1-mediated cytokine expression</t>
  </si>
  <si>
    <t>p38 phosphorylates members of the myocyte-enhancer factor 2 (@GENE$) family of transcription factors, MEF2A and MEF2C, downstream of activated TLRs to control anti-inflammatory IL-10 production [49] as well as stimulating expression of c-Jun, thereby influencing @GENE$-mediated cytokine expression</t>
  </si>
  <si>
    <t>p38 phosphorylates members of the myocyte-enhancer factor 2 (MEF2) family of transcription factors, @GENE$ and @GENE$, downstream of activated TLRs to control anti-inflammatory IL-10 production [49] as well as stimulating expression of c-Jun, thereby influencing AP-1-mediated cytokine expression</t>
  </si>
  <si>
    <t>p38 phosphorylates members of the myocyte-enhancer factor 2 (MEF2) family of transcription factors, @GENE$ and MEF2C, downstream of activated @GENE$ to control anti-inflammatory IL-10 production [49] as well as stimulating expression of c-Jun, thereby influencing AP-1-mediated cytokine expression</t>
  </si>
  <si>
    <t>MEF2A/C downstream of activated TLRs = stimulation, positive correlation?</t>
  </si>
  <si>
    <t>p38 phosphorylates members of the myocyte-enhancer factor 2 (MEF2) family of transcription factors, @GENE$ and MEF2C, downstream of activated TLRs to control anti-inflammatory @GENE$ production [49] as well as stimulating expression of c-Jun, thereby influencing AP-1-mediated cytokine expression</t>
  </si>
  <si>
    <t>p38 phosphorylates members of the myocyte-enhancer factor 2 (MEF2) family of transcription factors, @GENE$ and MEF2C, downstream of activated TLRs to control anti-inflammatory IL-10 production [49] as well as stimulating expression of @GENE$, thereby influencing AP-1-mediated cytokine expression</t>
  </si>
  <si>
    <t>p38 phosphorylates members of the myocyte-enhancer factor 2 (MEF2) family of transcription factors, @GENE$ and MEF2C, downstream of activated TLRs to control anti-inflammatory IL-10 production [49] as well as stimulating expression of c-Jun, thereby influencing @GENE$-mediated cytokine expression</t>
  </si>
  <si>
    <t>p38 phosphorylates members of the myocyte-enhancer factor 2 (MEF2) family of transcription factors, MEF2A and @GENE$, downstream of activated @GENE$ to control anti-inflammatory IL-10 production [49] as well as stimulating expression of c-Jun, thereby influencing AP-1-mediated cytokine expression</t>
  </si>
  <si>
    <t>p38 phosphorylates members of the myocyte-enhancer factor 2 (MEF2) family of transcription factors, MEF2A and @GENE$, downstream of activated TLRs to control anti-inflammatory @GENE$ production [49] as well as stimulating expression of c-Jun, thereby influencing AP-1-mediated cytokine expression</t>
  </si>
  <si>
    <t>p38 phosphorylates members of the myocyte-enhancer factor 2 (MEF2) family of transcription factors, MEF2A and @GENE$, downstream of activated TLRs to control anti-inflammatory IL-10 production [49] as well as stimulating expression of @GENE$, thereby influencing AP-1-mediated cytokine expression</t>
  </si>
  <si>
    <t>p38 phosphorylates members of the myocyte-enhancer factor 2 (MEF2) family of transcription factors, MEF2A and @GENE$, downstream of activated TLRs to control anti-inflammatory IL-10 production [49] as well as stimulating expression of c-Jun, thereby influencing @GENE$-mediated cytokine expression</t>
  </si>
  <si>
    <t>p38 phosphorylates members of the myocyte-enhancer factor 2 (MEF2) family of transcription factors, MEF2A and MEF2C, downstream of activated @GENE$ to control anti-inflammatory @GENE$ production [49] as well as stimulating expression of c-Jun, thereby influencing AP-1-mediated cytokine expression</t>
  </si>
  <si>
    <t xml:space="preserve">activated TLRs = p38 phosphorylation of MEF2A/C to control IL-10 production = stimulation, positive/negative correlation? </t>
  </si>
  <si>
    <t>p38 phosphorylates members of the myocyte-enhancer factor 2 (MEF2) family of transcription factors, MEF2A and MEF2C, downstream of activated @GENE$ to control anti-inflammatory IL-10 production [49] as well as stimulating expression of @GENE$, thereby influencing AP-1-mediated cytokine expression</t>
  </si>
  <si>
    <t>activated TLRs = p38 phosphorylation of MEF2A/C to stimulate c-Jun expression = stimulation, positive correlation</t>
  </si>
  <si>
    <t>p38 phosphorylates members of the myocyte-enhancer factor 2 (MEF2) family of transcription factors, MEF2A and MEF2C, downstream of activated @GENE$ to control anti-inflammatory IL-10 production [49] as well as stimulating expression of c-Jun, thereby influencing @GENE$-mediated cytokine expression</t>
  </si>
  <si>
    <t>activated TLRs = p38 phosphorylation of MEF2A/C to "influence" AP-1-mediated cytokine expression = positive/negative correlation</t>
  </si>
  <si>
    <t>p38 phosphorylates members of the myocyte-enhancer factor 2 (MEF2) family of transcription factors, MEF2A and MEF2C, downstream of activated TLRs to control anti-inflammatory @GENE$ production [49] as well as stimulating expression of @GENE$, thereby influencing AP-1-mediated cytokine expression</t>
  </si>
  <si>
    <t>p38 phosphorylates members of the myocyte-enhancer factor 2 (MEF2) family of transcription factors, MEF2A and MEF2C, downstream of activated TLRs to control anti-inflammatory @GENE$ production [49] as well as stimulating expression of c-Jun, thereby influencing @GENE$-mediated cytokine expression</t>
  </si>
  <si>
    <t>p38 phosphorylates members of the myocyte-enhancer factor 2 (MEF2) family of transcription factors, MEF2A and MEF2C, downstream of activated TLRs to control anti-inflammatory IL-10 production [49] as well as stimulating expression of @GENE$, thereby influencing @GENE$-mediated cytokine expression</t>
  </si>
  <si>
    <t>expression of c-Jun "influences" AP-1-mediated cytokine expression = positive/negative correlation</t>
  </si>
  <si>
    <t>@GENE$-mediated phosphorylation of @GENE$ has been shown to control NF-κB transcriptional activation in response to TNF stimulation, indicating how ERK1/2 can play a role in NF-κB regulation in response to other inflammatory mediators.</t>
  </si>
  <si>
    <t>(ERK2,  phosphorylates, PAPR1)</t>
  </si>
  <si>
    <t>@GENE$-mediated phosphorylation of PARP1 has been shown to control @GENE$ transcriptional activation in response to TNF stimulation, indicating how ERK1/2 can play a role in NF-κB regulation in response to other inflammatory mediators.</t>
  </si>
  <si>
    <t>@GENE$-mediated phosphorylation of PARP1 has been shown to control NF-κB transcriptional activation in response to @GENE$ stimulation, indicating how ERK1/2 can play a role in NF-κB regulation in response to other inflammatory mediators.</t>
  </si>
  <si>
    <t>@GENE$-mediated phosphorylation of PARP1 has been shown to control NF-κB transcriptional activation in response to TNF stimulation, indicating how @GENE$ can play a role in NF-κB regulation in response to other inflammatory mediators.</t>
  </si>
  <si>
    <t>@GENE$-mediated phosphorylation of PARP1 has been shown to control NF-κB transcriptional activation in response to TNF stimulation, indicating how ERK1/2 can play a role in @GENE$ regulation in response to other inflammatory mediators.</t>
  </si>
  <si>
    <t>@GENE$-mediated phosphorylation of PARP1 has been shown to control NF-κB transcriptional activation in response to TNF stimulation, indicating how ERK1/2 can play a role in NF-κB regulation in response to other @DISEASE$ mediators.</t>
  </si>
  <si>
    <t>Is "inflammatory" supposed to be tagged as "disease"?</t>
  </si>
  <si>
    <t>ERK2-mediated phosphorylation of @GENE$ has been shown to control @GENE$ transcriptional activation in response to TNF stimulation, indicating how ERK1/2 can play a role in NF-κB regulation in response to other inflammatory mediators.</t>
  </si>
  <si>
    <t>PARP1 controls NF-kB activation = positive/negative correlation</t>
  </si>
  <si>
    <t>ERK2-mediated phosphorylation of @GENE$ has been shown to control NF-κB transcriptional activation in response to @GENE$ stimulation, indicating how ERK1/2 can play a role in NF-κB regulation in response to other inflammatory mediators.</t>
  </si>
  <si>
    <t>PARP1 controls NF-kB activation downstream of TNF stimulation = possible positive/negative correlation?</t>
  </si>
  <si>
    <t>ERK2-mediated phosphorylation of @GENE$ has been shown to control NF-κB transcriptional activation in response to TNF stimulation, indicating how @GENE$ can play a role in NF-κB regulation in response to other inflammatory mediators.</t>
  </si>
  <si>
    <t>ERK2-mediated phosphorylation of @GENE$ has been shown to control NF-κB transcriptional activation in response to TNF stimulation, indicating how ERK1/2 can play a role in @GENE$ regulation in response to other inflammatory mediators.</t>
  </si>
  <si>
    <t>ERK2-mediated phosphorylation of @GENE$ has been shown to control NF-κB transcriptional activation in response to TNF stimulation, indicating how ERK1/2 can play a role in NF-κB regulation in response to other @DISEASE$ mediators.</t>
  </si>
  <si>
    <t>ERK2-mediated phosphorylation of PARP1 has been shown to control @GENE$ transcriptional activation in response to @GENE$ stimulation, indicating how ERK1/2 can play a role in NF-κB regulation in response to other inflammatory mediators.</t>
  </si>
  <si>
    <t>NF-kB activation downstream of TNF stimulation = positive/negative correlation</t>
  </si>
  <si>
    <t>ERK2-mediated phosphorylation of PARP1 has been shown to control @GENE$ transcriptional activation in response to TNF stimulation, indicating how @GENE$ can play a role in NF-κB regulation in response to other inflammatory mediators.</t>
  </si>
  <si>
    <t>ERK2-mediated phosphorylation of PARP1 has been shown to control @GENE$ transcriptional activation in response to TNF stimulation, indicating how ERK1/2 can play a role in @GENE$ regulation in response to other inflammatory mediators.</t>
  </si>
  <si>
    <t>ERK2-mediated phosphorylation of PARP1 has been shown to control @GENE$ transcriptional activation in response to TNF stimulation, indicating how ERK1/2 can play a role in NF-κB regulation in response to other @DISEASE$ mediators.</t>
  </si>
  <si>
    <t>ERK2-mediated phosphorylation of PARP1 has been shown to control NF-κB transcriptional activation in response to @GENE$ stimulation, indicating how @GENE$ can play a role in NF-κB regulation in response to other inflammatory mediators.</t>
  </si>
  <si>
    <t>ERK2-mediated phosphorylation of PARP1 has been shown to control NF-κB transcriptional activation in response to @GENE$ stimulation, indicating how ERK1/2 can play a role in @GENE$ regulation in response to other inflammatory mediators.</t>
  </si>
  <si>
    <t>ERK2-mediated phosphorylation of PARP1 has been shown to control NF-κB transcriptional activation in response to @GENE$ stimulation, indicating how ERK1/2 can play a role in NF-κB regulation in response to other @DISEASE$ mediators.</t>
  </si>
  <si>
    <t>ERK2-mediated phosphorylation of PARP1 has been shown to control NF-κB transcriptional activation in response to TNF stimulation, indicating how @GENE$ can play a role in @GENE$ regulation in response to other inflammatory mediators.</t>
  </si>
  <si>
    <t>ERK1/2 can play a role in NF-kB regulation = positive/negative correlation, stimulation, inhibition</t>
  </si>
  <si>
    <t>ERK2-mediated phosphorylation of PARP1 has been shown to control NF-κB transcriptional activation in response to TNF stimulation, indicating how @GENE$ can play a role in NF-κB regulation in response to other @DISEASE$ mediators.</t>
  </si>
  <si>
    <t>ERK2-mediated phosphorylation of PARP1 has been shown to control NF-κB transcriptional activation in response to TNF stimulation, indicating how ERK1/2 can play a role in @GENE$ regulation in response to other @DISEASE$ mediators.</t>
  </si>
  <si>
    <t>After liberation from @GENE$, @GENE$ directly phosphorylates MEK and thereby activates downstream ERK MAPK signalling</t>
  </si>
  <si>
    <t>(TLP2,  phosphorylates, MEK)</t>
  </si>
  <si>
    <t>p105 sequesters/binds TPL2 = interaction</t>
  </si>
  <si>
    <t>After liberation from @GENE$, TPL2 directly phosphorylates @GENE$ and thereby activates downstream ERK MAPK signalling</t>
  </si>
  <si>
    <t>After liberation from @GENE$, TPL2 directly phosphorylates MEK and thereby activates downstream @GENE$ signalling</t>
  </si>
  <si>
    <t>After liberation from p105, @GENE$ directly phosphorylates @GENE$ and thereby activates downstream ERK MAPK signalling</t>
  </si>
  <si>
    <t>After liberation from p105, @GENE$ directly phosphorylates MEK and thereby activates downstream @GENE$ signalling</t>
  </si>
  <si>
    <t>TPL2 activates ERK/MAPK via phosphorylating MEK = positive correlation, stimulation</t>
  </si>
  <si>
    <t>After liberation from p105, TPL2 directly phosphorylates @GENE$ and thereby activates downstream @GENE$ signalling</t>
  </si>
  <si>
    <t>phosphorylated MEK activates ERK/MAPK = positive correlation, stimulation</t>
  </si>
  <si>
    <t>This is initiated by phosphorylation of @GENE$ by activated @GENE$, which is required for its oligomerization and association with BCL10</t>
  </si>
  <si>
    <t>(PKCθ,  phosphorylates, CARMA1)</t>
  </si>
  <si>
    <t>This is initiated by phosphorylation of @GENE$ by activated PKCθ, which is required for its oligomerization and association with @GENE$</t>
  </si>
  <si>
    <t>phosphorylated CARMA1 associates with BCL10 = interaction</t>
  </si>
  <si>
    <t>This is initiated by phosphorylation of CARMA1 by activated @GENE$, which is required for its oligomerization and association with @GENE$</t>
  </si>
  <si>
    <t>activated PKCθ phosphorylates CARMA1 which must be phosphorylated before associating with BCL10 = positive correlation</t>
  </si>
  <si>
    <t>@GENE$ phosphorylates @GENE$ at S473 and PKCθ at S660/676 to induce Th1 and Th2 differentiation respectively</t>
  </si>
  <si>
    <t>(mTORC2,  phosphorylates, AKT at Ser473)</t>
  </si>
  <si>
    <t>@GENE$ phosphorylates AKT at S473 and @GENE$ at S660/676 to induce Th1 and Th2 differentiation respectively</t>
  </si>
  <si>
    <t>(mTORC2,  phosphorylates, PKCθ at Ser676 / Ser660)</t>
  </si>
  <si>
    <t>mTORC2 phosphorylates @GENE$ at S473 and @GENE$ at S660/676 to induce Th1 and Th2 differentiation respectively</t>
  </si>
  <si>
    <t>@GENE$ (@GENE$) is also associated with PIP3, and this kinase is important for phosphorylation and activation of PLCγ1.</t>
  </si>
  <si>
    <t>(IITK,  phosphorylates, PLCG1)</t>
  </si>
  <si>
    <t>@GENE$ (ITK) is also associated with @GENE$, and this kinase is important for phosphorylation and activation of PLCγ1.</t>
  </si>
  <si>
    <t>@GENE$ (ITK) is also associated with PIP3, and this kinase is important for phosphorylation and activation of @GENE$.</t>
  </si>
  <si>
    <t>ITK activates PLCg1 = stimulation</t>
  </si>
  <si>
    <t>IL-2-inducible T cell kinase (@GENE$) is also associated with @GENE$, and this kinase is important for phosphorylation and activation of PLCγ1.</t>
  </si>
  <si>
    <t>IL-2-inducible T cell kinase (@GENE$) is also associated with PIP3, and this kinase is important for phosphorylation and activation of @GENE$.</t>
  </si>
  <si>
    <t>IL-2-inducible T cell kinase (ITK) is also associated with @GENE$, and this kinase is important for phosphorylation and activation of @GENE$.</t>
  </si>
  <si>
    <t>Upon @GENE$ stimulation, @GENE$ gets phosphorylated by ZAP-70 at its multiple tyrosine residues, which serve as binding sites for various SH2 domain-containing proteins.</t>
  </si>
  <si>
    <t>Should be 1 - TCR stimulation indirectly causes SLP-76 phosphorylation via ZAP-70</t>
  </si>
  <si>
    <t>Upon @GENE$ stimulation, SLP-76 gets phosphorylated by @GENE$ at its multiple tyrosine residues, which serve as binding sites for various SH2 domain-containing proteins.</t>
  </si>
  <si>
    <t>Could it be 1? - TCR stimulation causes ZAP-70 to phosphorylate SLP-76</t>
  </si>
  <si>
    <t>Upon @GENE$ stimulation, SLP-76 gets phosphorylated by ZAP-70 at its multiple tyrosine residues, which serve as binding sites for various @GENE$.</t>
  </si>
  <si>
    <t>Upon TCR stimulation, @GENE$ gets phosphorylated by @GENE$ at its multiple tyrosine residues, which serve as binding sites for various SH2 domain-containing proteins.</t>
  </si>
  <si>
    <t>(ZAP-70,  phosphorylates, SLP-76)</t>
  </si>
  <si>
    <t>Upon TCR stimulation, @GENE$ gets phosphorylated by ZAP-70 at its multiple tyrosine residues, which serve as binding sites for various @GENE$.</t>
  </si>
  <si>
    <t>Upon TCR stimulation, SLP-76 gets phosphorylated by @GENE$ at its multiple tyrosine residues, which serve as binding sites for various @GENE$.</t>
  </si>
  <si>
    <t>Within the @GENE$ signaling complex I, the kinase @GENE$ phosphorylates and activates IKK</t>
  </si>
  <si>
    <t>(TAK1 kinase,  phosphorylates, IKK)</t>
  </si>
  <si>
    <t>TAK1 within TNFR1 signalling complex = protein-protein interaction?</t>
  </si>
  <si>
    <t>Within the @GENE$ signaling complex I, the kinase TAK1 phosphorylates and activates @GENE$</t>
  </si>
  <si>
    <t>Within the TNFR1 signaling complex I, the kinase @GENE$ phosphorylates and activates @GENE$</t>
  </si>
  <si>
    <t>TAK1 activates IKK = stimulation, positive correlation</t>
  </si>
  <si>
    <t>@GENE$ (@GENE$), which reduces general protein synthesis by phosphorylation of eukaryotic initiation factor 2alpha (eIF2α) but also promotes enhanced translation of selected mRNAs including that encoding the transcription factor ATF4</t>
  </si>
  <si>
    <t>(PERK, phosphorylates, eIF2α)</t>
  </si>
  <si>
    <t>@GENE$ (PERK), which reduces general protein synthesis by phosphorylation of @GENE$ (eIF2α) but also promotes enhanced translation of selected mRNAs including that encoding the transcription factor ATF4</t>
  </si>
  <si>
    <t>@GENE$ (PERK), which reduces general protein synthesis by phosphorylation of eukaryotic initiation factor 2alpha (@GENE$) but also promotes enhanced translation of selected mRNAs including that encoding the transcription factor ATF4</t>
  </si>
  <si>
    <t>@GENE$ (PERK), which reduces general protein synthesis by phosphorylation of eukaryotic initiation factor 2alpha (eIF2α) but also promotes enhanced translation of selected mRNAs including that encoding the transcription factor @GENE$</t>
  </si>
  <si>
    <t>PERK promotes enhanced translation of ATF4 = stimulation, positive correlation</t>
  </si>
  <si>
    <t>protein kinase RNA-like ER kinase (@GENE$), which reduces general protein synthesis by phosphorylation of @GENE$ (eIF2α) but also promotes enhanced translation of selected mRNAs including that encoding the transcription factor ATF4</t>
  </si>
  <si>
    <t>protein kinase RNA-like ER kinase (@GENE$), which reduces general protein synthesis by phosphorylation of eukaryotic initiation factor 2alpha (@GENE$) but also promotes enhanced translation of selected mRNAs including that encoding the transcription factor ATF4</t>
  </si>
  <si>
    <t>protein kinase RNA-like ER kinase (@GENE$), which reduces general protein synthesis by phosphorylation of eukaryotic initiation factor 2alpha (eIF2α) but also promotes enhanced translation of selected mRNAs including that encoding the transcription factor @GENE$</t>
  </si>
  <si>
    <t>protein kinase RNA-like ER kinase (PERK), which reduces general protein synthesis by phosphorylation of @GENE$ (@GENE$) but also promotes enhanced translation of selected mRNAs including that encoding the transcription factor ATF4</t>
  </si>
  <si>
    <t>protein kinase RNA-like ER kinase (PERK), which reduces general protein synthesis by phosphorylation of @GENE$ (eIF2α) but also promotes enhanced translation of selected mRNAs including that encoding the transcription factor @GENE$</t>
  </si>
  <si>
    <t>protein kinase RNA-like ER kinase (PERK), which reduces general protein synthesis by phosphorylation of eukaryotic initiation factor 2alpha (@GENE$) but also promotes enhanced translation of selected mRNAs including that encoding the transcription factor @GENE$</t>
  </si>
  <si>
    <t>Neither has intrinsic kinase activity or is known to be phosphotylated by a membrane bound or cytoplasmic kinases, but recently @SPECIES$ @GENE$ has been shown to be preferentially phosphorylated by mitogen activated protein kinase (MAPK) on Thr-236 and Ser-270  and humanTNFR-1 to be phosphorylated on Tyr-331</t>
  </si>
  <si>
    <t>(MAPK,  phosphorylates, humanTNFR-1 at Tyr331)</t>
  </si>
  <si>
    <t>Thr-236, Ser-270, Tyr-331 should be tagged as @VARIANTS$?</t>
  </si>
  <si>
    <t>Neither has intrinsic kinase activity or is known to be phosphotylated by a membrane bound or cytoplasmic kinases, but recently @SPECIES$ TNFR-1 has been shown to be preferentially phosphorylated by @GENE$ (MAPK) on Thr-236 and Ser-270  and humanTNFR-1 to be phosphorylated on Tyr-331</t>
  </si>
  <si>
    <t>(MAPK, phosphorylates, TNFR-1 on Thr-236 and Ser-270)</t>
  </si>
  <si>
    <t>Neither has intrinsic kinase activity or is known to be phosphotylated by a membrane bound or cytoplasmic kinases, but recently @SPECIES$ TNFR-1 has been shown to be preferentially phosphorylated by mitogen activated protein kinase (@GENE$) on Thr-236 and Ser-270  and humanTNFR-1 to be phosphorylated on Tyr-331</t>
  </si>
  <si>
    <t>Neither has intrinsic kinase activity or is known to be phosphotylated by a membrane bound or cytoplasmic kinases, but recently @SPECIES$ TNFR-1 has been shown to be preferentially phosphorylated by mitogen activated protein kinase (MAPK) on Thr-236 and Ser-270  and @SPECIES$ to be phosphorylated on Tyr-331</t>
  </si>
  <si>
    <t>Neither has intrinsic kinase activity or is known to be phosphotylated by a membrane bound or cytoplasmic kinases, but recently murine @GENE$ has been shown to be preferentially phosphorylated by @GENE$ (MAPK) on Thr-236 and Ser-270  and humanTNFR-1 to be phosphorylated on Tyr-331</t>
  </si>
  <si>
    <t>Neither has intrinsic kinase activity or is known to be phosphotylated by a membrane bound or cytoplasmic kinases, but recently murine @GENE$ has been shown to be preferentially phosphorylated by mitogen activated protein kinase (@GENE$) on Thr-236 and Ser-270  and humanTNFR-1 to be phosphorylated on Tyr-331</t>
  </si>
  <si>
    <t>Neither has intrinsic kinase activity or is known to be phosphotylated by a membrane bound or cytoplasmic kinases, but recently murine @GENE$ has been shown to be preferentially phosphorylated by mitogen activated protein kinase (MAPK) on Thr-236 and Ser-270  and @SPECIES$ to be phosphorylated on Tyr-331</t>
  </si>
  <si>
    <t>only "human" should be tagged as @SPECIES$, not "human TNFR-1"</t>
  </si>
  <si>
    <t>Neither has intrinsic kinase activity or is known to be phosphotylated by a membrane bound or cytoplasmic kinases, but recently murine TNFR-1 has been shown to be preferentially phosphorylated by @GENE$ (@GENE$) on Thr-236 and Ser-270  and humanTNFR-1 to be phosphorylated on Tyr-331</t>
  </si>
  <si>
    <t>Neither has intrinsic kinase activity or is known to be phosphotylated by a membrane bound or cytoplasmic kinases, but recently murine TNFR-1 has been shown to be preferentially phosphorylated by @GENE$ (MAPK) on Thr-236 and Ser-270  and @SPECIES$ to be phosphorylated on Tyr-331</t>
  </si>
  <si>
    <t xml:space="preserve">Relation should be only between MAPK and (human) TNFR-1, not between MAPK and "human" </t>
  </si>
  <si>
    <t>only "human" should be tagged as @SPECIES$, not "human TNFR-1". "TNFR-1" needs to be tagged independently as @GENES$ for the relation to be valid</t>
  </si>
  <si>
    <t>Neither has intrinsic kinase activity or is known to be phosphotylated by a membrane bound or cytoplasmic kinases, but recently murine TNFR-1 has been shown to be preferentially phosphorylated by mitogen activated protein kinase (@GENE$) on Thr-236 and Ser-270  and @SPECIES$ to be phosphorylated on Tyr-331</t>
  </si>
  <si>
    <t>At the membrane, @GENE$/@GENE$ is phosphorylated on two key residues: Thr308 (T308) of the activation loop by PDK1 and Ser473 (S473) in the hydrophobic motif of the C-terminal tail by a kinase whose identity has been elusive</t>
  </si>
  <si>
    <t>(PDK1 ,  phosphorylates, Akt/PKB at Ser473)</t>
  </si>
  <si>
    <t>At the membrane, @GENE$/PKB is phosphorylated on two key residues: Thr308 (@VARIANT$) of the activation loop by PDK1 and Ser473 (S473) in the hydrophobic motif of the C-terminal tail by a kinase whose identity has been elusive</t>
  </si>
  <si>
    <r>
      <rPr>
        <rFont val="Arial"/>
        <color theme="1"/>
        <sz val="10.0"/>
      </rPr>
      <t xml:space="preserve">(PDK1 ,  phosphorylates, Akt/PKB at Thr308) </t>
    </r>
    <r>
      <rPr>
        <rFont val="Arial"/>
        <color rgb="FF4A86E8"/>
        <sz val="10.0"/>
      </rPr>
      <t xml:space="preserve">Akt phosphorylated on T308? Is that meaningful insight? Should it be 1? </t>
    </r>
  </si>
  <si>
    <t>At the membrane, @GENE$/PKB is phosphorylated on two key residues: Thr308 (T308) of the activation loop by @GENE$ and Ser473 (S473) in the hydrophobic motif of the C-terminal tail by a kinase whose identity has been elusive</t>
  </si>
  <si>
    <t>At the membrane, @GENE$/PKB is phosphorylated on two key residues: Thr308 (T308) of the activation loop by PDK1 and Ser473 (@VARIANT$) in the hydrophobic motif of the C-terminal tail by a kinase whose identity has been elusive</t>
  </si>
  <si>
    <t>At the membrane, Akt/@GENE$ is phosphorylated on two key residues: Thr308 (@VARIANT$) of the activation loop by PDK1 and Ser473 (S473) in the hydrophobic motif of the C-terminal tail by a kinase whose identity has been elusive</t>
  </si>
  <si>
    <t xml:space="preserve">Akt phosphorylated on T308? Is that meaningful insight? Should it be 1? </t>
  </si>
  <si>
    <t>At the membrane, Akt/@GENE$ is phosphorylated on two key residues: Thr308 (T308) of the activation loop by @GENE$ and Ser473 (S473) in the hydrophobic motif of the C-terminal tail by a kinase whose identity has been elusive</t>
  </si>
  <si>
    <t>At the membrane, Akt/@GENE$ is phosphorylated on two key residues: Thr308 (T308) of the activation loop by PDK1 and Ser473 (@VARIANT$) in the hydrophobic motif of the C-terminal tail by a kinase whose identity has been elusive</t>
  </si>
  <si>
    <t>At the membrane, Akt/PKB is phosphorylated on two key residues: Thr308 (@VARIANT$) of the activation loop by @GENE$ and Ser473 (S473) in the hydrophobic motif of the C-terminal tail by a kinase whose identity has been elusive</t>
  </si>
  <si>
    <t>At the membrane, Akt/PKB is phosphorylated on two key residues: Thr308 (@VARIANT$) of the activation loop by PDK1 and Ser473 (@VARIANT$) in the hydrophobic motif of the C-terminal tail by a kinase whose identity has been elusive</t>
  </si>
  <si>
    <t>At the membrane, Akt/PKB is phosphorylated on two key residues: Thr308 (T308) of the activation loop by @GENE$ and Ser473 (@VARIANT$) in the hydrophobic motif of the C-terminal tail by a kinase whose identity has been elusive</t>
  </si>
  <si>
    <t>Moreover, @GENE$ phosphorylation is reduced in unloaded @SPECIES$ skeletal muscle suggesting that it is a reasonable candidate for sensing mechanical loads</t>
  </si>
  <si>
    <t>@GENE$ phosphorylation was increased by 1.5-fold above rest immediately and 4 h after acute exercise in both the endurance and resistance modes</t>
  </si>
  <si>
    <t>Acute exercise before training in both modes of exercise increased @GENE$ phosphorylation above resting values immediately after exercise</t>
  </si>
  <si>
    <t>@GENE$ phosphorylation was significantly increased by 1.8-fold 4 h after acute resistance exercise before training</t>
  </si>
  <si>
    <t>In the untrained state, @GENE$ phosphorylation did not change immediately after acute exercise in either mode</t>
  </si>
  <si>
    <t>@GENE$ phosphorylation increased by 6-fold immediately after acute exercise of both modes in both the untrained and trained states, but returned to baseline values by 4 h after exercise</t>
  </si>
  <si>
    <t>After both modes of training resting @GENE$ phosphorylation was significantly greater than before training</t>
  </si>
  <si>
    <t>In the absence of a @GENE$ signal, @GENE$ is active and phosphorylates Axin, and b-catenin.</t>
  </si>
  <si>
    <t>(GSK3 ,  phosphorylates, Axin)</t>
  </si>
  <si>
    <t>absence of Wnt leads to GSK3 activity = inhibition</t>
  </si>
  <si>
    <t>In the absence of a @GENE$ signal, GSK3 is active and phosphorylates @GENE$, and b-catenin.</t>
  </si>
  <si>
    <t>(GSK3 ,  phosphorylates, b-catenin)</t>
  </si>
  <si>
    <t>absence of Wnt leads to GSK3 activity hence axin and b-catenin phosphorylation = inhibition?</t>
  </si>
  <si>
    <t>In the absence of a @GENE$ signal, GSK3 is active and phosphorylates Axin, and @GENE$.</t>
  </si>
  <si>
    <t>In the absence of a Wnt signal, @GENE$ is active and phosphorylates @GENE$, and b-catenin.</t>
  </si>
  <si>
    <t>In the absence of a Wnt signal, @GENE$ is active and phosphorylates Axin, and @GENE$.</t>
  </si>
  <si>
    <t>In the absence of a Wnt signal, GSK3 is active and phosphorylates @GENE$, and @GENE$.</t>
  </si>
  <si>
    <t>Phosphorylation of a unique 572 amino acid sequence within the N2-B domain (N2-Bus) by @GENE$ lowers passive stiffness in @SPECIES$, bovine, and human myocardium via yet unknown mech anisms</t>
  </si>
  <si>
    <t>Phosphorylation of a unique 572 amino acid sequence within the N2-B domain (N2-Bus) by @GENE$ lowers passive stiffness in rat, @SPECIES$, and human myocardium via yet unknown mech anisms</t>
  </si>
  <si>
    <t>Phosphorylation of a unique 572 amino acid sequence within the N2-B domain (N2-Bus) by @GENE$ lowers passive stiffness in rat, bovine, and @SPECIES$ myocardium via yet unknown mech anisms</t>
  </si>
  <si>
    <t>Phosphorylation of a unique 572 amino acid sequence within the N2-B domain (N2-Bus) by cAMPdependent protein kinase (PK)A lowers passive stiffness in @SPECIES$, @SPECIES$, and human myocardium via yet unknown mech anisms</t>
  </si>
  <si>
    <t>Phosphorylation of a unique 572 amino acid sequence within the N2-B domain (N2-Bus) by cAMPdependent protein kinase (PK)A lowers passive stiffness in @SPECIES$, bovine, and @SPECIES$ myocardium via yet unknown mech anisms</t>
  </si>
  <si>
    <t>Phosphorylation of a unique 572 amino acid sequence within the N2-B domain (N2-Bus) by cAMPdependent protein kinase (PK)A lowers passive stiffness in rat, @SPECIES$, and @SPECIES$ myocardium via yet unknown mech anisms</t>
  </si>
  <si>
    <t>We wanted to know whether @CHEMICAL$-activated @GENE$ can phosphorylate titin in mammalian, particularly human, heart and whether this posttranslational modification can improve diastolic function by reducing titin-based stiffness.</t>
  </si>
  <si>
    <t>(cGMP-activated PKG,  phosphorylates, titin)</t>
  </si>
  <si>
    <t>cGMP activates PKG = stimulation, positive correlation</t>
  </si>
  <si>
    <t>We wanted to know whether @CHEMICAL$-activated PKG can phosphorylate @GENE$ in mammalian, particularly human, heart and whether this posttranslational modification can improve diastolic function by reducing titin-based stiffness.</t>
  </si>
  <si>
    <t>Should be 0 - this statement is a hypothesis, not a result/established paradigm</t>
  </si>
  <si>
    <t>We wanted to know whether @CHEMICAL$-activated PKG can phosphorylate titin in mammalian, particularly @SPECIES$, heart and whether this posttranslational modification can improve diastolic function by reducing titin-based stiffness.</t>
  </si>
  <si>
    <t>We wanted to know whether @CHEMICAL$-activated PKG can phosphorylate titin in mammalian, particularly human, heart and whether this posttranslational modification can improve diastolic function by reducing @GENE$-based stiffness.</t>
  </si>
  <si>
    <t>We wanted to know whether cGMP-activated @GENE$ can phosphorylate @GENE$ in mammalian, particularly human, heart and whether this posttranslational modification can improve diastolic function by reducing titin-based stiffness.</t>
  </si>
  <si>
    <t>We wanted to know whether cGMP-activated @GENE$ can phosphorylate titin in mammalian, particularly @SPECIES$, heart and whether this posttranslational modification can improve diastolic function by reducing titin-based stiffness.</t>
  </si>
  <si>
    <t>We wanted to know whether cGMP-activated @GENE$ can phosphorylate titin in mammalian, particularly human, heart and whether this posttranslational modification can improve diastolic function by reducing @GENE$-based stiffness.</t>
  </si>
  <si>
    <t>We wanted to know whether cGMP-activated PKG can phosphorylate @GENE$ in mammalian, particularly @SPECIES$, heart and whether this posttranslational modification can improve diastolic function by reducing titin-based stiffness.</t>
  </si>
  <si>
    <t>We wanted to know whether cGMP-activated PKG can phosphorylate @GENE$ in mammalian, particularly human, heart and whether this posttranslational modification can improve diastolic function by reducing @GENE$-based stiffness.</t>
  </si>
  <si>
    <t>We wanted to know whether cGMP-activated PKG can phosphorylate titin in mammalian, particularly @SPECIES$, heart and whether this posttranslational modification can improve diastolic function by reducing @GENE$-based stiffness.</t>
  </si>
  <si>
    <t>membrane binding of newly-synthesized @GENE$, binding of @CHEMICAL$ to Rac-bound PAK, phosphorylation of p70S6 kinase and p90RSK by MAPK (and possibly other pathways), and binding of Rho to PRK.</t>
  </si>
  <si>
    <t>(MAPK,  phosphorylates,  p90RSK )</t>
  </si>
  <si>
    <t>membrane binding of newly-synthesized @GENE$, binding of sphingosine to @GENE$-bound PAK, phosphorylation of p70S6 kinase and p90RSK by MAPK (and possibly other pathways), and binding of Rho to PRK.</t>
  </si>
  <si>
    <t>(MAPK,  phosphorylates, p70S6 kinase)</t>
  </si>
  <si>
    <t>membrane binding of newly-synthesized @GENE$, binding of sphingosine to Rac-bound @GENE$, phosphorylation of p70S6 kinase and p90RSK by MAPK (and possibly other pathways), and binding of Rho to PRK.</t>
  </si>
  <si>
    <t>(sphingosine, binds to, PAK)</t>
  </si>
  <si>
    <t>membrane binding of newly-synthesized @GENE$, binding of sphingosine to Rac-bound PAK, phosphorylation of @GENE$ and p90RSK by MAPK (and possibly other pathways), and binding of Rho to PRK.</t>
  </si>
  <si>
    <t>(Rho, binds to, PRK)</t>
  </si>
  <si>
    <t>membrane binding of newly-synthesized @GENE$, binding of sphingosine to Rac-bound PAK, phosphorylation of p70S6 kinase and @GENE$ by MAPK (and possibly other pathways), and binding of Rho to PRK.</t>
  </si>
  <si>
    <t>membrane binding of newly-synthesized @GENE$, binding of sphingosine to Rac-bound PAK, phosphorylation of p70S6 kinase and p90RSK by @GENE$ (and possibly other pathways), and binding of Rho to PRK.</t>
  </si>
  <si>
    <t>membrane binding of newly-synthesized @GENE$, binding of sphingosine to Rac-bound PAK, phosphorylation of p70S6 kinase and p90RSK by MAPK (and possibly other pathways), and binding of @GENE$ to PRK.</t>
  </si>
  <si>
    <t>membrane binding of newly-synthesized @GENE$, binding of sphingosine to Rac-bound PAK, phosphorylation of p70S6 kinase and p90RSK by MAPK (and possibly other pathways), and binding of Rho to @GENE$.</t>
  </si>
  <si>
    <t>membrane binding of newly-synthesized PKC, binding of @CHEMICAL$ to @GENE$-bound PAK, phosphorylation of p70S6 kinase and p90RSK by MAPK (and possibly other pathways), and binding of Rho to PRK.</t>
  </si>
  <si>
    <r>
      <rPr>
        <rFont val="Arial"/>
        <color theme="1"/>
        <sz val="10.0"/>
      </rPr>
      <t xml:space="preserve">sphingosine binds to Rac-bound PAK - unclear whether sphingosine binds to Rac itself within the Rac-PAK complex? </t>
    </r>
    <r>
      <rPr>
        <rFont val="Arial"/>
        <color rgb="FF4A86E8"/>
        <sz val="10.0"/>
      </rPr>
      <t>Should be 0</t>
    </r>
  </si>
  <si>
    <t>membrane binding of newly-synthesized PKC, binding of @CHEMICAL$ to Rac-bound @GENE$, phosphorylation of p70S6 kinase and p90RSK by MAPK (and possibly other pathways), and binding of Rho to PRK.</t>
  </si>
  <si>
    <t>Should be 0</t>
  </si>
  <si>
    <t>Binding</t>
  </si>
  <si>
    <t>membrane binding of newly-synthesized PKC, binding of @CHEMICAL$ to Rac-bound PAK, phosphorylation of @GENE$ and p90RSK by MAPK (and possibly other pathways), and binding of Rho to PRK.</t>
  </si>
  <si>
    <t>membrane binding of newly-synthesized PKC, binding of @CHEMICAL$ to Rac-bound PAK, phosphorylation of p70S6 kinase and @GENE$ by MAPK (and possibly other pathways), and binding of Rho to PRK.</t>
  </si>
  <si>
    <t>membrane binding of newly-synthesized PKC, binding of @CHEMICAL$ to Rac-bound PAK, phosphorylation of p70S6 kinase and p90RSK by @GENE$ (and possibly other pathways), and binding of Rho to PRK.</t>
  </si>
  <si>
    <t>membrane binding of newly-synthesized PKC, binding of @CHEMICAL$ to Rac-bound PAK, phosphorylation of p70S6 kinase and p90RSK by MAPK (and possibly other pathways), and binding of @GENE$ to PRK.</t>
  </si>
  <si>
    <t>membrane binding of newly-synthesized PKC, binding of @CHEMICAL$ to Rac-bound PAK, phosphorylation of p70S6 kinase and p90RSK by MAPK (and possibly other pathways), and binding of Rho to @GENE$.</t>
  </si>
  <si>
    <t>membrane binding of newly-synthesized PKC, binding of sphingosine to @GENE$-bound @GENE$, phosphorylation of p70S6 kinase and p90RSK by MAPK (and possibly other pathways), and binding of Rho to PRK.</t>
  </si>
  <si>
    <t>Rac binds PAK = interaction</t>
  </si>
  <si>
    <t>membrane binding of newly-synthesized PKC, binding of sphingosine to @GENE$-bound PAK, phosphorylation of @GENE$ and p90RSK by MAPK (and possibly other pathways), and binding of Rho to PRK.</t>
  </si>
  <si>
    <t>membrane binding of newly-synthesized PKC, binding of sphingosine to @GENE$-bound PAK, phosphorylation of p70S6 kinase and @GENE$ by MAPK (and possibly other pathways), and binding of Rho to PRK.</t>
  </si>
  <si>
    <t>membrane binding of newly-synthesized PKC, binding of sphingosine to @GENE$-bound PAK, phosphorylation of p70S6 kinase and p90RSK by @GENE$ (and possibly other pathways), and binding of Rho to PRK.</t>
  </si>
  <si>
    <t>membrane binding of newly-synthesized PKC, binding of sphingosine to @GENE$-bound PAK, phosphorylation of p70S6 kinase and p90RSK by MAPK (and possibly other pathways), and binding of @GENE$ to PRK.</t>
  </si>
  <si>
    <t>membrane binding of newly-synthesized PKC, binding of sphingosine to @GENE$-bound PAK, phosphorylation of p70S6 kinase and p90RSK by MAPK (and possibly other pathways), and binding of Rho to @GENE$.</t>
  </si>
  <si>
    <t>membrane binding of newly-synthesized PKC, binding of sphingosine to Rac-bound @GENE$, phosphorylation of @GENE$ and p90RSK by MAPK (and possibly other pathways), and binding of Rho to PRK.</t>
  </si>
  <si>
    <t>membrane binding of newly-synthesized PKC, binding of sphingosine to Rac-bound @GENE$, phosphorylation of p70S6 kinase and @GENE$ by MAPK (and possibly other pathways), and binding of Rho to PRK.</t>
  </si>
  <si>
    <t>membrane binding of newly-synthesized PKC, binding of sphingosine to Rac-bound @GENE$, phosphorylation of p70S6 kinase and p90RSK by @GENE$ (and possibly other pathways), and binding of Rho to PRK.</t>
  </si>
  <si>
    <t>membrane binding of newly-synthesized PKC, binding of sphingosine to Rac-bound @GENE$, phosphorylation of p70S6 kinase and p90RSK by MAPK (and possibly other pathways), and binding of @GENE$ to PRK.</t>
  </si>
  <si>
    <t>membrane binding of newly-synthesized PKC, binding of sphingosine to Rac-bound @GENE$, phosphorylation of p70S6 kinase and p90RSK by MAPK (and possibly other pathways), and binding of Rho to @GENE$.</t>
  </si>
  <si>
    <t>membrane binding of newly-synthesized PKC, binding of sphingosine to Rac-bound PAK, phosphorylation of @GENE$ and @GENE$ by MAPK (and possibly other pathways), and binding of Rho to PRK.</t>
  </si>
  <si>
    <t>membrane binding of newly-synthesized PKC, binding of sphingosine to Rac-bound PAK, phosphorylation of @GENE$ and p90RSK by @GENE$ (and possibly other pathways), and binding of Rho to PRK.</t>
  </si>
  <si>
    <t>membrane binding of newly-synthesized PKC, binding of sphingosine to Rac-bound PAK, phosphorylation of @GENE$ and p90RSK by MAPK (and possibly other pathways), and binding of @GENE$ to PRK.</t>
  </si>
  <si>
    <t>membrane binding of newly-synthesized PKC, binding of sphingosine to Rac-bound PAK, phosphorylation of @GENE$ and p90RSK by MAPK (and possibly other pathways), and binding of Rho to @GENE$.</t>
  </si>
  <si>
    <t>membrane binding of newly-synthesized PKC, binding of sphingosine to Rac-bound PAK, phosphorylation of p70S6 kinase and @GENE$ by @GENE$ (and possibly other pathways), and binding of Rho to PRK.</t>
  </si>
  <si>
    <t>membrane binding of newly-synthesized PKC, binding of sphingosine to Rac-bound PAK, phosphorylation of p70S6 kinase and @GENE$ by MAPK (and possibly other pathways), and binding of @GENE$ to PRK.</t>
  </si>
  <si>
    <t>membrane binding of newly-synthesized PKC, binding of sphingosine to Rac-bound PAK, phosphorylation of p70S6 kinase and @GENE$ by MAPK (and possibly other pathways), and binding of Rho to @GENE$.</t>
  </si>
  <si>
    <t>membrane binding of newly-synthesized PKC, binding of sphingosine to Rac-bound PAK, phosphorylation of p70S6 kinase and p90RSK by @GENE$ (and possibly other pathways), and binding of @GENE$ to PRK.</t>
  </si>
  <si>
    <t>membrane binding of newly-synthesized PKC, binding of sphingosine to Rac-bound PAK, phosphorylation of p70S6 kinase and p90RSK by @GENE$ (and possibly other pathways), and binding of Rho to @GENE$.</t>
  </si>
  <si>
    <t>membrane binding of newly-synthesized PKC, binding of sphingosine to Rac-bound PAK, phosphorylation of p70S6 kinase and p90RSK by MAPK (and possibly other pathways), and binding of @GENE$ to @GENE$.</t>
  </si>
  <si>
    <t>Interestingly, the hydrophobic motif of @GENE$/@GENE$ has a very low affinity for PDK-1, and mounting evidence suggests that mechanisms other than docking to the hydrophobic site may determine the phosphorylation of PKB/Akt by PDK-1</t>
  </si>
  <si>
    <t>(PDK1, phosphorylates, PKB/Akt)</t>
  </si>
  <si>
    <t>Interestingly, the hydrophobic motif of @GENE$/Akt has a very low affinity for @GENE$, and mounting evidence suggests that mechanisms other than docking to the hydrophobic site may determine the phosphorylation of PKB/Akt by PDK-1</t>
  </si>
  <si>
    <r>
      <rPr>
        <rFont val="Arial"/>
        <color theme="1"/>
        <sz val="10.0"/>
      </rPr>
      <t xml:space="preserve">From this clause, not clear that there is phosphorylation between these specific mentions of PKB and PDK-1? Only clear in the second clause 
</t>
    </r>
    <r>
      <rPr>
        <rFont val="Arial"/>
        <color rgb="FF4A86E8"/>
        <sz val="10.0"/>
      </rPr>
      <t>Issue with clauses (same for below)</t>
    </r>
  </si>
  <si>
    <t>Interestingly, the hydrophobic motif of @GENE$/Akt has a very low affinity for PDK-1, and mounting evidence suggests that mechanisms other than docking to the hydrophobic site may determine the phosphorylation of @GENE$/Akt by PDK-1</t>
  </si>
  <si>
    <t>Interestingly, the hydrophobic motif of @GENE$/Akt has a very low affinity for PDK-1, and mounting evidence suggests that mechanisms other than docking to the hydrophobic site may determine the phosphorylation of PKB/@GENE$ by PDK-1</t>
  </si>
  <si>
    <t>Interestingly, the hydrophobic motif of @GENE$/Akt has a very low affinity for PDK-1, and mounting evidence suggests that mechanisms other than docking to the hydrophobic site may determine the phosphorylation of PKB/Akt by @GENE$</t>
  </si>
  <si>
    <t>From this clause, not clear that there is phosphorylation between these specific mentions of PKB and PDK-1? Only clear in the second clause</t>
  </si>
  <si>
    <t>Interestingly, the hydrophobic motif of PKB/@GENE$ has a very low affinity for @GENE$, and mounting evidence suggests that mechanisms other than docking to the hydrophobic site may determine the phosphorylation of PKB/Akt by PDK-1</t>
  </si>
  <si>
    <t>From this clause, not clear that there is phosphorylation between these specific mentions of Akt and PDK-1? Only clear in the second clause</t>
  </si>
  <si>
    <t>Interestingly, the hydrophobic motif of PKB/@GENE$ has a very low affinity for PDK-1, and mounting evidence suggests that mechanisms other than docking to the hydrophobic site may determine the phosphorylation of @GENE$/Akt by PDK-1</t>
  </si>
  <si>
    <t>Interestingly, the hydrophobic motif of PKB/@GENE$ has a very low affinity for PDK-1, and mounting evidence suggests that mechanisms other than docking to the hydrophobic site may determine the phosphorylation of PKB/@GENE$ by PDK-1</t>
  </si>
  <si>
    <t>Interestingly, the hydrophobic motif of PKB/@GENE$ has a very low affinity for PDK-1, and mounting evidence suggests that mechanisms other than docking to the hydrophobic site may determine the phosphorylation of PKB/Akt by @GENE$</t>
  </si>
  <si>
    <t>Not clear that there is phosphorylation between these specific mentions of Akt and PDK-1?</t>
  </si>
  <si>
    <t>Interestingly, the hydrophobic motif of PKB/Akt has a very low affinity for @GENE$, and mounting evidence suggests that mechanisms other than docking to the hydrophobic site may determine the phosphorylation of @GENE$/Akt by PDK-1</t>
  </si>
  <si>
    <t>Not clear that there is phosphorylation between these specific mentions of PKB and PDK-1?</t>
  </si>
  <si>
    <t>Interestingly, the hydrophobic motif of PKB/Akt has a very low affinity for @GENE$, and mounting evidence suggests that mechanisms other than docking to the hydrophobic site may determine the phosphorylation of PKB/@GENE$ by PDK-1</t>
  </si>
  <si>
    <t>Interestingly, the hydrophobic motif of PKB/Akt has a very low affinity for @GENE$, and mounting evidence suggests that mechanisms other than docking to the hydrophobic site may determine the phosphorylation of PKB/Akt by @GENE$</t>
  </si>
  <si>
    <t>Interestingly, the hydrophobic motif of PKB/Akt has a very low affinity for PDK-1, and mounting evidence suggests that mechanisms other than docking to the hydrophobic site may determine the phosphorylation of @GENE$/@GENE$ by PDK-1</t>
  </si>
  <si>
    <t>Interestingly, the hydrophobic motif of PKB/Akt has a very low affinity for PDK-1, and mounting evidence suggests that mechanisms other than docking to the hydrophobic site may determine the phosphorylation of @GENE$/Akt by @GENE$</t>
  </si>
  <si>
    <t>Interestingly, the hydrophobic motif of PKB/Akt has a very low affinity for PDK-1, and mounting evidence suggests that mechanisms other than docking to the hydrophobic site may determine the phosphorylation of PKB/@GENE$ by @GENE$</t>
  </si>
  <si>
    <t>Furthermore, @GENE$ phosphorylates @GENE$ directly both in vitro and in cells.</t>
  </si>
  <si>
    <t>(AMPK,  phosphorylates,  PGC1a )</t>
  </si>
  <si>
    <t>These direct phosphorylations of the @GENE$ protein at threonine-177 and serine-538 are required for the @GENE$ dependent induction of the PGC1a promoter</t>
  </si>
  <si>
    <t>These direct phosphorylations of the @GENE$ protein at threonine-177 and serine-538 are required for the PGC1a dependent induction of the @GENE$ promoter</t>
  </si>
  <si>
    <t>These direct phosphorylations of the PGC1a protein at threonine-177 and serine-538 are required for the @GENE$ dependent induction of the @GENE$ promoter</t>
  </si>
  <si>
    <t>PGC1a induces its own promoter = stimulation, positive correlation</t>
  </si>
  <si>
    <t>@CHEMICAL$ oxidation is acutely increased by phosphorylation of @GENE$ (ACC-2) leading to a decrease in malonyl-CoA, an inhibitor of carnitine Opalmitoyltransferase-1.</t>
  </si>
  <si>
    <t>@CHEMICAL$ oxidation is acutely increased by phosphorylation of acetyl-CoA-carboxylase-2 (@GENE$) leading to a decrease in malonyl-CoA, an inhibitor of carnitine Opalmitoyltransferase-1.</t>
  </si>
  <si>
    <t>@CHEMICAL$ oxidation is acutely increased by phosphorylation of acetyl-CoA-carboxylase-2 (ACC-2) leading to a decrease in @CHEMICAL$, an inhibitor of carnitine Opalmitoyltransferase-1.</t>
  </si>
  <si>
    <t>fatty acid oxidation leads to decrease in malonyl-CoA = inhibition, negative correlation</t>
  </si>
  <si>
    <t>@CHEMICAL$ oxidation is acutely increased by phosphorylation of acetyl-CoA-carboxylase-2 (ACC-2) leading to a decrease in malonyl-CoA, an inhibitor of @GENE$.</t>
  </si>
  <si>
    <t>fatty acid oxidation leads to decrease in malonyl-CoA, which is an inhibitor of carnitine opalmitoyltransferase-1 = stimulation, positive correlation</t>
  </si>
  <si>
    <t>fatty acid oxidation is acutely increased by phosphorylation of @GENE$ (@GENE$) leading to a decrease in malonyl-CoA, an inhibitor of carnitine Opalmitoyltransferase-1.</t>
  </si>
  <si>
    <t>fatty acid oxidation is acutely increased by phosphorylation of @GENE$ (ACC-2) leading to a decrease in @CHEMICAL$, an inhibitor of carnitine Opalmitoyltransferase-1.</t>
  </si>
  <si>
    <t>phosphorylation of ACC-2 leads to decrease in malonyl-CoA = inhibition, negative correlation</t>
  </si>
  <si>
    <t>fatty acid oxidation is acutely increased by phosphorylation of @GENE$ (ACC-2) leading to a decrease in malonyl-CoA, an inhibitor of @GENE$.</t>
  </si>
  <si>
    <t>phosphorylation of ACC-2 leads to decrease in malonyl-CoA, which is an inhibitor of carnitine opalmitoyltransferase-1 = stimulation, positive correlation</t>
  </si>
  <si>
    <t>fatty acid oxidation is acutely increased by phosphorylation of acetyl-CoA-carboxylase-2 (@GENE$) leading to a decrease in @CHEMICAL$, an inhibitor of carnitine Opalmitoyltransferase-1.</t>
  </si>
  <si>
    <t>fatty acid oxidation is acutely increased by phosphorylation of acetyl-CoA-carboxylase-2 (@GENE$) leading to a decrease in malonyl-CoA, an inhibitor of @GENE$.</t>
  </si>
  <si>
    <t>fatty acid oxidation is acutely increased by phosphorylation of acetyl-CoA-carboxylase-2 (ACC-2) leading to a decrease in @CHEMICAL$, an inhibitor of @GENE$.</t>
  </si>
  <si>
    <t>malonyl-CoA inhibits carnitine opalmitoyltransferase-1 = inhibition, negative correlation</t>
  </si>
  <si>
    <t>The ability of @GENE$ to phosphorylate @GENE$ was confirmed by in vitro kinase assay with a highly purified CDC2-cyclin B complex.</t>
  </si>
  <si>
    <t>(CDC2,  phosphorylates,  Bcl-2)</t>
  </si>
  <si>
    <t>The ability of @GENE$ to phosphorylate Bcl-2 was confirmed by in vitro kinase assay with a highly purified @GENE$-cyclin B complex.</t>
  </si>
  <si>
    <t>Should be 0 - same gene mentioned</t>
  </si>
  <si>
    <t>The ability of @GENE$ to phosphorylate Bcl-2 was confirmed by in vitro kinase assay with a highly purified CDC2-@GENE$ complex.</t>
  </si>
  <si>
    <t>The ability of CDC2 to phosphorylate @GENE$ was confirmed by in vitro kinase assay with a highly purified @GENE$-cyclin B complex.</t>
  </si>
  <si>
    <r>
      <rPr>
        <rFont val="Arial"/>
        <color theme="1"/>
        <sz val="10.0"/>
      </rPr>
      <t xml:space="preserve">Not clear that there is phosphorylation between these specific mentions of Bcl2 and CDC2? </t>
    </r>
    <r>
      <rPr>
        <rFont val="Arial"/>
        <color rgb="FF4A86E8"/>
        <sz val="10.0"/>
      </rPr>
      <t>Clause issue</t>
    </r>
  </si>
  <si>
    <t>The ability of CDC2 to phosphorylate @GENE$ was confirmed by in vitro kinase assay with a highly purified CDC2-@GENE$ complex.</t>
  </si>
  <si>
    <t>The ability of CDC2 to phosphorylate Bcl-2 was confirmed by in vitro kinase assay with a highly purified @GENE$-@GENE$ complex.</t>
  </si>
  <si>
    <t>CDC2 is in a complex with cyclin B = protein-protein interaction</t>
  </si>
  <si>
    <t>To convincingly demonstrate that @GENE$ is phosphorylated by @GENE$, we carried out in vitro kinase assays using a highly purified CDC2-cyclin B complex. This complex efficiently phosphorylated histone H1, a specific substrate of CDC2 (27), in a dose-dependent manner, confirming that its activity is maintained in vitro</t>
  </si>
  <si>
    <t>(Bcl-2, phosphorylated by CDC2)</t>
  </si>
  <si>
    <t>To convincingly demonstrate that @GENE$ is phosphorylated by CDC2, we carried out in vitro kinase assays using a highly purified @GENE$-cyclin B complex. This complex efficiently phosphorylated histone H1, a specific substrate of CDC2 (27), in a dose-dependent manner, confirming that its activity is maintained in vitro</t>
  </si>
  <si>
    <r>
      <rPr>
        <rFont val="Arial"/>
        <color theme="1"/>
        <sz val="10.0"/>
      </rPr>
      <t xml:space="preserve">Not clear that there is phosphorylation between these specific mentions of Bcl2 and CDC2? </t>
    </r>
    <r>
      <rPr>
        <rFont val="Arial"/>
        <color rgb="FF4A86E8"/>
        <sz val="10.0"/>
      </rPr>
      <t>Clause issue</t>
    </r>
  </si>
  <si>
    <t>To convincingly demonstrate that @GENE$ is phosphorylated by CDC2, we carried out in vitro kinase assays using a highly purified CDC2-@GENE$ complex. This complex efficiently phosphorylated histone H1, a specific substrate of CDC2 (27), in a dose-dependent manner, confirming that its activity is maintained in vitro</t>
  </si>
  <si>
    <t>To convincingly demonstrate that @GENE$ is phosphorylated by CDC2, we carried out in vitro kinase assays using a highly purified CDC2-cyclin B complex. This complex efficiently phosphorylated @GENE$, a specific substrate of CDC2 (27), in a dose-dependent manner, confirming that its activity is maintained in vitro</t>
  </si>
  <si>
    <t>To convincingly demonstrate that @GENE$ is phosphorylated by CDC2, we carried out in vitro kinase assays using a highly purified CDC2-cyclin B complex. This complex efficiently phosphorylated histone H1, a specific substrate of @GENE$ (27), in a dose-dependent manner, confirming that its activity is maintained in vitro</t>
  </si>
  <si>
    <r>
      <rPr>
        <rFont val="Arial"/>
        <color theme="1"/>
        <sz val="10.0"/>
      </rPr>
      <t xml:space="preserve">Not clear that there is phosphorylation between these specific mentions of Bcl2 and CDC2? </t>
    </r>
    <r>
      <rPr>
        <rFont val="Arial"/>
        <color rgb="FF4A86E8"/>
        <sz val="10.0"/>
      </rPr>
      <t>Clause issue</t>
    </r>
  </si>
  <si>
    <t>To convincingly demonstrate that Bcl-2 is phosphorylated by @GENE$, we carried out in vitro kinase assays using a highly purified @GENE$-cyclin B complex. This complex efficiently phosphorylated histone H1, a specific substrate of CDC2 (27), in a dose-dependent manner, confirming that its activity is maintained in vitro</t>
  </si>
  <si>
    <t>To convincingly demonstrate that Bcl-2 is phosphorylated by @GENE$, we carried out in vitro kinase assays using a highly purified CDC2-@GENE$ complex. This complex efficiently phosphorylated histone H1, a specific substrate of CDC2 (27), in a dose-dependent manner, confirming that its activity is maintained in vitro</t>
  </si>
  <si>
    <t>Note how these specific mentions of CDC2 and cyclin B are not tagged as having a relation despite the obvious CDC2-cyclin B complex reference in the entire passage</t>
  </si>
  <si>
    <t>To convincingly demonstrate that Bcl-2 is phosphorylated by @GENE$, we carried out in vitro kinase assays using a highly purified CDC2-cyclin B complex. This complex efficiently phosphorylated @GENE$, a specific substrate of CDC2 (27), in a dose-dependent manner, confirming that its activity is maintained in vitro</t>
  </si>
  <si>
    <t>Not clear that there is phosphorylation between these specific mentions of histone H1 and CDC2?</t>
  </si>
  <si>
    <t>To convincingly demonstrate that Bcl-2 is phosphorylated by @GENE$, we carried out in vitro kinase assays using a highly purified CDC2-cyclin B complex. This complex efficiently phosphorylated histone H1, a specific substrate of @GENE$ (27), in a dose-dependent manner, confirming that its activity is maintained in vitro</t>
  </si>
  <si>
    <t>To convincingly demonstrate that Bcl-2 is phosphorylated by CDC2, we carried out in vitro kinase assays using a highly purified @GENE$-@GENE$ complex. This complex efficiently phosphorylated histone H1, a specific substrate of CDC2 (27), in a dose-dependent manner, confirming that its activity is maintained in vitro</t>
  </si>
  <si>
    <t>Label as 0</t>
  </si>
  <si>
    <t>CDC2 complexes with cyclin B = protein-protein interaction</t>
  </si>
  <si>
    <t>To convincingly demonstrate that Bcl-2 is phosphorylated by CDC2, we carried out in vitro kinase assays using a highly purified @GENE$-cyclin B complex. This complex efficiently phosphorylated @GENE$, a specific substrate of CDC2 (27), in a dose-dependent manner, confirming that its activity is maintained in vitro</t>
  </si>
  <si>
    <r>
      <rPr>
        <rFont val="Arial"/>
        <color theme="1"/>
        <sz val="10.0"/>
      </rPr>
      <t xml:space="preserve">( CDC2-cyclin B complex,  phosphorylates,  histone H1 ) </t>
    </r>
    <r>
      <rPr>
        <rFont val="Arial"/>
        <color rgb="FF4A86E8"/>
        <sz val="10.0"/>
      </rPr>
      <t xml:space="preserve">The </t>
    </r>
    <r>
      <rPr>
        <rFont val="Arial"/>
        <color rgb="FF4A86E8"/>
        <sz val="10.0"/>
        <u/>
      </rPr>
      <t>complex</t>
    </r>
    <r>
      <rPr>
        <rFont val="Arial"/>
        <color rgb="FF4A86E8"/>
        <sz val="10.0"/>
      </rPr>
      <t xml:space="preserve"> phosphorylated histone H1 but only CDC2 is tagged which would suggest that CDC2 phosphorylated H1. Is that still accurate? </t>
    </r>
  </si>
  <si>
    <t>To convincingly demonstrate that Bcl-2 is phosphorylated by CDC2, we carried out in vitro kinase assays using a highly purified @GENE$-cyclin B complex. This complex efficiently phosphorylated histone H1, a specific substrate of @GENE$ (27), in a dose-dependent manner, confirming that its activity is maintained in vitro</t>
  </si>
  <si>
    <t>To convincingly demonstrate that Bcl-2 is phosphorylated by CDC2, we carried out in vitro kinase assays using a highly purified CDC2-@GENE$ complex. This complex efficiently phosphorylated @GENE$, a specific substrate of CDC2 (27), in a dose-dependent manner, confirming that its activity is maintained in vitro</t>
  </si>
  <si>
    <r>
      <rPr>
        <rFont val="Arial"/>
        <color theme="1"/>
        <sz val="10.0"/>
      </rPr>
      <t xml:space="preserve">( CDC2-cyclin B complex,  phosphorylates,  histone H1 ) </t>
    </r>
    <r>
      <rPr>
        <rFont val="Arial"/>
        <color rgb="FF4A86E8"/>
        <sz val="10.0"/>
      </rPr>
      <t xml:space="preserve">The </t>
    </r>
    <r>
      <rPr>
        <rFont val="Arial"/>
        <color rgb="FF4A86E8"/>
        <sz val="10.0"/>
        <u/>
      </rPr>
      <t>complex</t>
    </r>
    <r>
      <rPr>
        <rFont val="Arial"/>
        <color rgb="FF4A86E8"/>
        <sz val="10.0"/>
      </rPr>
      <t xml:space="preserve"> phosphorylated histone H1 but only CyclinB is tagged which would suggest that CyclinB phosphorylated H1. Is that still accurate? </t>
    </r>
  </si>
  <si>
    <t>To convincingly demonstrate that Bcl-2 is phosphorylated by CDC2, we carried out in vitro kinase assays using a highly purified CDC2-@GENE$ complex. This complex efficiently phosphorylated histone H1, a specific substrate of @GENE$ (27), in a dose-dependent manner, confirming that its activity is maintained in vitro</t>
  </si>
  <si>
    <r>
      <rPr>
        <rFont val="Arial"/>
        <color theme="1"/>
        <sz val="10.0"/>
      </rPr>
      <t xml:space="preserve">( CDC2-cyclin B complex,  phosphorylates,  histone H1 ) </t>
    </r>
    <r>
      <rPr>
        <rFont val="Arial"/>
        <color rgb="FF4A86E8"/>
        <sz val="10.0"/>
      </rPr>
      <t xml:space="preserve">The </t>
    </r>
    <r>
      <rPr>
        <rFont val="Arial"/>
        <color rgb="FF4A86E8"/>
        <sz val="10.0"/>
        <u/>
      </rPr>
      <t>complex</t>
    </r>
    <r>
      <rPr>
        <rFont val="Arial"/>
        <color rgb="FF4A86E8"/>
        <sz val="10.0"/>
      </rPr>
      <t xml:space="preserve"> phosphorylated histone H1 but only CyclinB is tagged which would suggest that CyclinB phosphorylated H1. Is that still accurate? </t>
    </r>
  </si>
  <si>
    <t>To convincingly demonstrate that Bcl-2 is phosphorylated by CDC2, we carried out in vitro kinase assays using a highly purified CDC2-cyclin B complex. This complex efficiently phosphorylated @GENE$, a specific substrate of @GENE$ (27), in a dose-dependent manner, confirming that its activity is maintained in vitro</t>
  </si>
  <si>
    <t>histone H1 is a substrate of CDC2 = protein-protein interaction</t>
  </si>
  <si>
    <t>@CHEMICAL$-induced @GENE$ secretion requires SQSTM1 phosphorylation at Ser403, and this process is positively regulated by STING1/STING/TMEM173 (stimulator of interferon response cGAMP interactor 1)-dependent TBK1 (TANK binding kinase 1) activation.</t>
  </si>
  <si>
    <t>LPS induces SQSTM1 secretion = activation, positive correlation</t>
  </si>
  <si>
    <t>@CHEMICAL$-induced SQSTM1 secretion requires @GENE$ phosphorylation at Ser403, and this process is positively regulated by STING1/STING/TMEM173 (stimulator of interferon response cGAMP interactor 1)-dependent TBK1 (TANK binding kinase 1) activation.</t>
  </si>
  <si>
    <t>@CHEMICAL$-induced SQSTM1 secretion requires SQSTM1 phosphorylation at Ser403, and this process is positively regulated by @GENE$/STING/TMEM173 (stimulator of interferon response cGAMP interactor 1)-dependent TBK1 (TANK binding kinase 1) activation.</t>
  </si>
  <si>
    <t>@CHEMICAL$-induced SQSTM1 secretion requires SQSTM1 phosphorylation at Ser403, and this process is positively regulated by STING1/@GENE$/TMEM173 (stimulator of interferon response cGAMP interactor 1)-dependent TBK1 (TANK binding kinase 1) activation.</t>
  </si>
  <si>
    <t>@CHEMICAL$-induced SQSTM1 secretion requires SQSTM1 phosphorylation at Ser403, and this process is positively regulated by STING1/STING/@GENE$ (stimulator of interferon response cGAMP interactor 1)-dependent TBK1 (TANK binding kinase 1) activation.</t>
  </si>
  <si>
    <t>@CHEMICAL$-induced SQSTM1 secretion requires SQSTM1 phosphorylation at Ser403, and this process is positively regulated by STING1/STING/TMEM173 (@GENE$)-dependent TBK1 (TANK binding kinase 1) activation.</t>
  </si>
  <si>
    <t>@CHEMICAL$-induced SQSTM1 secretion requires SQSTM1 phosphorylation at Ser403, and this process is positively regulated by STING1/STING/TMEM173 (stimulator of interferon response cGAMP interactor 1)-dependent @GENE$ (TANK binding kinase 1) activation.</t>
  </si>
  <si>
    <t>@CHEMICAL$-induced SQSTM1 secretion requires SQSTM1 phosphorylation at Ser403, and this process is positively regulated by STING1/STING/TMEM173 (stimulator of interferon response cGAMP interactor 1)-dependent TBK1 (@GENE$) activation.</t>
  </si>
  <si>
    <t>LPS-induced @GENE$ secretion requires @GENE$ phosphorylation at Ser403, and this process is positively regulated by STING1/STING/TMEM173 (stimulator of interferon response cGAMP interactor 1)-dependent TBK1 (TANK binding kinase 1) activation.</t>
  </si>
  <si>
    <t>LPS-induced @GENE$ secretion requires SQSTM1 phosphorylation at Ser403, and this process is positively regulated by @GENE$/STING/TMEM173 (stimulator of interferon response cGAMP interactor 1)-dependent TBK1 (TANK binding kinase 1) activation.</t>
  </si>
  <si>
    <r>
      <rPr>
        <rFont val="Arial"/>
        <color theme="1"/>
        <sz val="10.0"/>
      </rPr>
      <t xml:space="preserve">Not clear that there is phosphorylation between these specific mentions of SQSTM1 and STING1? </t>
    </r>
    <r>
      <rPr>
        <rFont val="Arial"/>
        <color rgb="FF4A86E8"/>
        <sz val="10.0"/>
      </rPr>
      <t>Issue with clauses- clarify with Meng Han</t>
    </r>
  </si>
  <si>
    <t>Is "Ser403" supposed to be tagged as "@VARIANT$"?</t>
  </si>
  <si>
    <t>LPS-induced @GENE$ secretion requires SQSTM1 phosphorylation at Ser403, and this process is positively regulated by STING1/@GENE$/TMEM173 (stimulator of interferon response cGAMP interactor 1)-dependent TBK1 (TANK binding kinase 1) activation.</t>
  </si>
  <si>
    <t>Not clear that there is phosphorylation between these specific mentions of SQSTM1 and STING?</t>
  </si>
  <si>
    <t>LPS-induced @GENE$ secretion requires SQSTM1 phosphorylation at Ser403, and this process is positively regulated by STING1/STING/@GENE$ (stimulator of interferon response cGAMP interactor 1)-dependent TBK1 (TANK binding kinase 1) activation.</t>
  </si>
  <si>
    <t>Not clear that there is phosphorylation between these specific mentions of SQSTM1 and TMEM173?</t>
  </si>
  <si>
    <t>LPS-induced @GENE$ secretion requires SQSTM1 phosphorylation at Ser403, and this process is positively regulated by STING1/STING/TMEM173 (@GENE$)-dependent TBK1 (TANK binding kinase 1) activation.</t>
  </si>
  <si>
    <t>LPS-induced @GENE$ secretion requires SQSTM1 phosphorylation at Ser403, and this process is positively regulated by STING1/STING/TMEM173 (stimulator of interferon response cGAMP interactor 1)-dependent @GENE$ (TANK binding kinase 1) activation.</t>
  </si>
  <si>
    <t>Not clear that there is phosphorylation between these specific mentions of SQSTM1 and TBK1?</t>
  </si>
  <si>
    <t>LPS-induced @GENE$ secretion requires SQSTM1 phosphorylation at Ser403, and this process is positively regulated by STING1/STING/TMEM173 (stimulator of interferon response cGAMP interactor 1)-dependent TBK1 (@GENE$) activation.</t>
  </si>
  <si>
    <t>LPS-induced SQSTM1 secretion requires @GENE$ phosphorylation at Ser403, and this process is positively regulated by @GENE$/STING/TMEM173 (stimulator of interferon response cGAMP interactor 1)-dependent TBK1 (TANK binding kinase 1) activation.</t>
  </si>
  <si>
    <t>(STING1,  phosphorylates,  SQSTM1 at Ser403 )</t>
  </si>
  <si>
    <t>LPS-induced SQSTM1 secretion requires @GENE$ phosphorylation at Ser403, and this process is positively regulated by STING1/@GENE$/TMEM173 (stimulator of interferon response cGAMP interactor 1)-dependent TBK1 (TANK binding kinase 1) activation.</t>
  </si>
  <si>
    <t>(STING,  phosphorylates,  SQSTM1 at Ser403 )</t>
  </si>
  <si>
    <t>LPS-induced SQSTM1 secretion requires @GENE$ phosphorylation at Ser403, and this process is positively regulated by STING1/STING/@GENE$ (stimulator of interferon response cGAMP interactor 1)-dependent TBK1 (TANK binding kinase 1) activation.</t>
  </si>
  <si>
    <t>(TMEM173,  phosphorylates,  SQSTM1 at Ser403 )</t>
  </si>
  <si>
    <t>LPS-induced SQSTM1 secretion requires @GENE$ phosphorylation at Ser403, and this process is positively regulated by STING1/STING/TMEM173 (@GENE$)-dependent TBK1 (TANK binding kinase 1) activation.</t>
  </si>
  <si>
    <t>LPS-induced SQSTM1 secretion requires @GENE$ phosphorylation at Ser403, and this process is positively regulated by STING1/STING/TMEM173 (stimulator of interferon response cGAMP interactor 1)-dependent @GENE$ (TANK binding kinase 1) activation.</t>
  </si>
  <si>
    <t>LPS-induced SQSTM1 secretion requires @GENE$ phosphorylation at Ser403, and this process is positively regulated by STING1/STING/TMEM173 (stimulator of interferon response cGAMP interactor 1)-dependent TBK1 (@GENE$) activation.</t>
  </si>
  <si>
    <t>LPS-induced SQSTM1 secretion requires SQSTM1 phosphorylation at Ser403, and this process is positively regulated by @GENE$/@GENE$/TMEM173 (stimulator of interferon response cGAMP interactor 1)-dependent TBK1 (TANK binding kinase 1) activation.</t>
  </si>
  <si>
    <t>Should be 0 - unclear whether STING1 and STING have a relationship between them?</t>
  </si>
  <si>
    <t>LPS-induced SQSTM1 secretion requires SQSTM1 phosphorylation at Ser403, and this process is positively regulated by @GENE$/STING/@GENE$ (stimulator of interferon response cGAMP interactor 1)-dependent TBK1 (TANK binding kinase 1) activation.</t>
  </si>
  <si>
    <t>Should be 0 - unclear whether STING1 and TMEM173 have a relationship between them?</t>
  </si>
  <si>
    <t>LPS-induced SQSTM1 secretion requires SQSTM1 phosphorylation at Ser403, and this process is positively regulated by @GENE$/STING/TMEM173 (@GENE$)-dependent TBK1 (TANK binding kinase 1) activation.</t>
  </si>
  <si>
    <t>LPS-induced SQSTM1 secretion requires SQSTM1 phosphorylation at Ser403, and this process is positively regulated by @GENE$/STING/TMEM173 (stimulator of interferon response cGAMP interactor 1)-dependent @GENE$ (TANK binding kinase 1) activation.</t>
  </si>
  <si>
    <t>STING1 activates TBK1 = stimulation, positive correlation</t>
  </si>
  <si>
    <t>LPS-induced SQSTM1 secretion requires SQSTM1 phosphorylation at Ser403, and this process is positively regulated by @GENE$/STING/TMEM173 (stimulator of interferon response cGAMP interactor 1)-dependent TBK1 (@GENE$) activation.</t>
  </si>
  <si>
    <t>LPS-induced SQSTM1 secretion requires SQSTM1 phosphorylation at Ser403, and this process is positively regulated by STING1/@GENE$/@GENE$ (stimulator of interferon response cGAMP interactor 1)-dependent TBK1 (TANK binding kinase 1) activation.</t>
  </si>
  <si>
    <t>LPS-induced SQSTM1 secretion requires SQSTM1 phosphorylation at Ser403, and this process is positively regulated by STING1/@GENE$/TMEM173 (@GENE$)-dependent TBK1 (TANK binding kinase 1) activation.</t>
  </si>
  <si>
    <t>LPS-induced SQSTM1 secretion requires SQSTM1 phosphorylation at Ser403, and this process is positively regulated by STING1/@GENE$/TMEM173 (stimulator of interferon response cGAMP interactor 1)-dependent @GENE$ (TANK binding kinase 1) activation.</t>
  </si>
  <si>
    <t>STING activates TBK1 = stimulation, positive correlation</t>
  </si>
  <si>
    <t>LPS-induced SQSTM1 secretion requires SQSTM1 phosphorylation at Ser403, and this process is positively regulated by STING1/@GENE$/TMEM173 (stimulator of interferon response cGAMP interactor 1)-dependent TBK1 (@GENE$) activation.</t>
  </si>
  <si>
    <t>LPS-induced SQSTM1 secretion requires SQSTM1 phosphorylation at Ser403, and this process is positively regulated by STING1/STING/@GENE$ (@GENE$)-dependent TBK1 (TANK binding kinase 1) activation.</t>
  </si>
  <si>
    <t>LPS-induced SQSTM1 secretion requires SQSTM1 phosphorylation at Ser403, and this process is positively regulated by STING1/STING/@GENE$ (stimulator of interferon response cGAMP interactor 1)-dependent @GENE$ (TANK binding kinase 1) activation.</t>
  </si>
  <si>
    <t>TMEM173 activates TBK1 = stimulation, positive correlation</t>
  </si>
  <si>
    <t>LPS-induced SQSTM1 secretion requires SQSTM1 phosphorylation at Ser403, and this process is positively regulated by STING1/STING/@GENE$ (stimulator of interferon response cGAMP interactor 1)-dependent TBK1 (@GENE$) activation.</t>
  </si>
  <si>
    <t>LPS-induced SQSTM1 secretion requires SQSTM1 phosphorylation at Ser403, and this process is positively regulated by STING1/STING/TMEM173 (@GENE$)-dependent @GENE$ (TANK binding kinase 1) activation.</t>
  </si>
  <si>
    <t>LPS-induced SQSTM1 secretion requires SQSTM1 phosphorylation at Ser403, and this process is positively regulated by STING1/STING/TMEM173 (@GENE$)-dependent TBK1 (@GENE$) activation.</t>
  </si>
  <si>
    <t>LPS-induced SQSTM1 secretion requires SQSTM1 phosphorylation at Ser403, and this process is positively regulated by STING1/STING/TMEM173 (stimulator of interferon response cGAMP interactor 1)-dependent @GENE$ (@GENE$) activation.</t>
  </si>
  <si>
    <t>@GENE$-mediated phosphorylation of @GENE$ causes subsequent phosphorylation of PLCG1 (phospholipase C gamma 1) and PTK2B/PYK2 (protein tyrosine kinase 2 beta), leading to the phosphorylation of RELA/p65 (RELA proto-oncogene, NF-kB subunit) during NFKB activation.</t>
  </si>
  <si>
    <t>(rSQSTM1,  phosphorylates, INSR )</t>
  </si>
  <si>
    <t>@GENE$-mediated phosphorylation of INSR causes subsequent phosphorylation of @GENE$ (phospholipase C gamma 1) and PTK2B/PYK2 (protein tyrosine kinase 2 beta), leading to the phosphorylation of RELA/p65 (RELA proto-oncogene, NF-kB subunit) during NFKB activation.</t>
  </si>
  <si>
    <t>Should be 1 - rSQSTM1 phosphorylates INSR which phosphorylates PLCG1 = indirect phosphorylation of PLCG1 by rSQSTM1</t>
  </si>
  <si>
    <t>@GENE$-mediated phosphorylation of INSR causes subsequent phosphorylation of PLCG1 (@GENE$) and PTK2B/PYK2 (protein tyrosine kinase 2 beta), leading to the phosphorylation of RELA/p65 (RELA proto-oncogene, NF-kB subunit) during NFKB activation.</t>
  </si>
  <si>
    <t>@GENE$-mediated phosphorylation of INSR causes subsequent phosphorylation of PLCG1 (phospholipase C gamma 1) and @GENE$/PYK2 (protein tyrosine kinase 2 beta), leading to the phosphorylation of RELA/p65 (RELA proto-oncogene, NF-kB subunit) during NFKB activation.</t>
  </si>
  <si>
    <t>Should be 1 - rSQSTM1 phosphorylates INSR which phosphorylates PTK2B = indirect phosphorylation of PTK2B by rSQSTM1</t>
  </si>
  <si>
    <t>@GENE$-mediated phosphorylation of INSR causes subsequent phosphorylation of PLCG1 (phospholipase C gamma 1) and PTK2B/@GENE$ (protein tyrosine kinase 2 beta), leading to the phosphorylation of RELA/p65 (RELA proto-oncogene, NF-kB subunit) during NFKB activation.</t>
  </si>
  <si>
    <t>Should be 1 - rSQSTM1 phosphorylates INSR which phosphorylates PYK2 = indirect phosphorylation of PYK2 by rSQSTM1</t>
  </si>
  <si>
    <t>@GENE$-mediated phosphorylation of INSR causes subsequent phosphorylation of PLCG1 (phospholipase C gamma 1) and PTK2B/PYK2 (@GENE$), leading to the phosphorylation of RELA/p65 (RELA proto-oncogene, NF-kB subunit) during NFKB activation.</t>
  </si>
  <si>
    <t>@GENE$-mediated phosphorylation of INSR causes subsequent phosphorylation of PLCG1 (phospholipase C gamma 1) and PTK2B/PYK2 (protein tyrosine kinase 2 beta), leading to the phosphorylation of @GENE$/p65 (RELA proto-oncogene, NF-kB subunit) during NFKB activation.</t>
  </si>
  <si>
    <t>Should be 1 - rSQSTM1 phosphorylates INSR which phosphorylates PLCG1/PTK2BPYK2 which phosphorylate RELA/p65/NF-kB = indirect phosphorylation of RELA/p65/NF-kB by rSQSTM1</t>
  </si>
  <si>
    <t>@GENE$-mediated phosphorylation of INSR causes subsequent phosphorylation of PLCG1 (phospholipase C gamma 1) and PTK2B/PYK2 (protein tyrosine kinase 2 beta), leading to the phosphorylation of RELA/@GENE$ (RELA proto-oncogene, NF-kB subunit) during NFKB activation.</t>
  </si>
  <si>
    <t>Should be 1 - rSQSTM1 phosphorylates INSR which phosphorylates PLCG1/PTK2BPYK2 which phosphorylate RELA/p65/NF-kB = indirect phosphorylation of RELA/p65/NF-kB by rSQSTM2</t>
  </si>
  <si>
    <t>@GENE$-mediated phosphorylation of INSR causes subsequent phosphorylation of PLCG1 (phospholipase C gamma 1) and PTK2B/PYK2 (protein tyrosine kinase 2 beta), leading to the phosphorylation of RELA/p65 (@GENE$, NF-kB subunit) during NFKB activation.</t>
  </si>
  <si>
    <t>Should be 1 - rSQSTM1 phosphorylates INSR which phosphorylates PLCG1/PTK2BPYK2 which phosphorylate RELA/p65/NF-kB = indirect phosphorylation of RELA/p65/NF-kB by rSQSTM3</t>
  </si>
  <si>
    <t>@GENE$-mediated phosphorylation of INSR causes subsequent phosphorylation of PLCG1 (phospholipase C gamma 1) and PTK2B/PYK2 (protein tyrosine kinase 2 beta), leading to the phosphorylation of RELA/p65 (RELA proto-oncogene, @GENE$) during NFKB activation.</t>
  </si>
  <si>
    <t>Should be 1 - rSQSTM1 phosphorylates INSR which phosphorylates PLCG1/PTK2BPYK2 which phosphorylate RELA/p65/NF-kB = indirect phosphorylation of RELA/p65/NF-kB by rSQSTM4</t>
  </si>
  <si>
    <t>@GENE$-mediated phosphorylation of INSR causes subsequent phosphorylation of PLCG1 (phospholipase C gamma 1) and PTK2B/PYK2 (protein tyrosine kinase 2 beta), leading to the phosphorylation of RELA/p65 (RELA proto-oncogene, NF-kB subunit) during @GENE$ activation.</t>
  </si>
  <si>
    <t>Should be 1 - rSQSTM1 phosphorylates INSR which phosphorylates PLCG1/PTK2BPYK2 which phosphorylate RELA/p65/NF-kB = indirect phosphorylation of RELA/p65/NF-kB by rSQSTM5</t>
  </si>
  <si>
    <t>rSQSTM1-mediated phosphorylation of @GENE$ causes subsequent phosphorylation of @GENE$ (phospholipase C gamma 1) and PTK2B/PYK2 (protein tyrosine kinase 2 beta), leading to the phosphorylation of RELA/p65 (RELA proto-oncogene, NF-kB subunit) during NFKB activation.</t>
  </si>
  <si>
    <t>(INSR, phosphorylates, PLCG1/ PTK2B/ PYK2)</t>
  </si>
  <si>
    <t>rSQSTM1-mediated phosphorylation of @GENE$ causes subsequent phosphorylation of PLCG1 (@GENE$) and PTK2B/PYK2 (protein tyrosine kinase 2 beta), leading to the phosphorylation of RELA/p65 (RELA proto-oncogene, NF-kB subunit) during NFKB activation.</t>
  </si>
  <si>
    <t>rSQSTM1-mediated phosphorylation of @GENE$ causes subsequent phosphorylation of PLCG1 (phospholipase C gamma 1) and @GENE$/PYK2 (protein tyrosine kinase 2 beta), leading to the phosphorylation of RELA/p65 (RELA proto-oncogene, NF-kB subunit) during NFKB activation.</t>
  </si>
  <si>
    <t>rSQSTM1-mediated phosphorylation of @GENE$ causes subsequent phosphorylation of PLCG1 (phospholipase C gamma 1) and PTK2B/@GENE$ (protein tyrosine kinase 2 beta), leading to the phosphorylation of RELA/p65 (RELA proto-oncogene, NF-kB subunit) during NFKB activation.</t>
  </si>
  <si>
    <t>rSQSTM1-mediated phosphorylation of @GENE$ causes subsequent phosphorylation of PLCG1 (phospholipase C gamma 1) and PTK2B/PYK2 (@GENE$), leading to the phosphorylation of RELA/p65 (RELA proto-oncogene, NF-kB subunit) during NFKB activation.</t>
  </si>
  <si>
    <t>rSQSTM1-mediated phosphorylation of @GENE$ causes subsequent phosphorylation of PLCG1 (phospholipase C gamma 1) and PTK2B/PYK2 (protein tyrosine kinase 2 beta), leading to the phosphorylation of @GENE$/p65 (RELA proto-oncogene, NF-kB subunit) during NFKB activation.</t>
  </si>
  <si>
    <t>Should be 1 - INSR phosphorylates PLCG1/PTK2BPYK2 which phosphorylate RELA/p65/NF-kB = indirect phosphorylation of RELA/p65/NF-kB by rSQSTM5</t>
  </si>
  <si>
    <t>rSQSTM1-mediated phosphorylation of @GENE$ causes subsequent phosphorylation of PLCG1 (phospholipase C gamma 1) and PTK2B/PYK2 (protein tyrosine kinase 2 beta), leading to the phosphorylation of RELA/@GENE$ (RELA proto-oncogene, NF-kB subunit) during NFKB activation.</t>
  </si>
  <si>
    <t>Should be 1 - INSR phosphorylates PLCG1/PTK2BPYK2 which phosphorylate RELA/p65/NF-kB = indirect phosphorylation of RELA/p65/NF-kB by rSQSTM6</t>
  </si>
  <si>
    <t>rSQSTM1-mediated phosphorylation of @GENE$ causes subsequent phosphorylation of PLCG1 (phospholipase C gamma 1) and PTK2B/PYK2 (protein tyrosine kinase 2 beta), leading to the phosphorylation of RELA/p65 (@GENE$, NF-kB subunit) during NFKB activation.</t>
  </si>
  <si>
    <t>Should be 1 - INSR phosphorylates PLCG1/PTK2BPYK2 which phosphorylate RELA/p65/NF-kB = indirect phosphorylation of RELA/p65/NF-kB by rSQSTM7</t>
  </si>
  <si>
    <t>rSQSTM1-mediated phosphorylation of @GENE$ causes subsequent phosphorylation of PLCG1 (phospholipase C gamma 1) and PTK2B/PYK2 (protein tyrosine kinase 2 beta), leading to the phosphorylation of RELA/p65 (RELA proto-oncogene, @GENE$) during NFKB activation.</t>
  </si>
  <si>
    <t>Should be 1 - INSR phosphorylates PLCG1/PTK2BPYK2 which phosphorylate RELA/p65/NF-kB = indirect phosphorylation of RELA/p65/NF-kB by rSQSTM8</t>
  </si>
  <si>
    <t>rSQSTM1-mediated phosphorylation of @GENE$ causes subsequent phosphorylation of PLCG1 (phospholipase C gamma 1) and PTK2B/PYK2 (protein tyrosine kinase 2 beta), leading to the phosphorylation of RELA/p65 (RELA proto-oncogene, NF-kB subunit) during @GENE$ activation.</t>
  </si>
  <si>
    <t>Should be 1 - INSR phosphorylates PLCG1/PTK2BPYK2 which phosphorylate RELA/p65/NF-kB = indirect phosphorylation of RELA/p65/NF-kB by rSQSTM9</t>
  </si>
  <si>
    <t>rSQSTM1-mediated phosphorylation of INSR causes subsequent phosphorylation of @GENE$ (@GENE$) and PTK2B/PYK2 (protein tyrosine kinase 2 beta), leading to the phosphorylation of RELA/p65 (RELA proto-oncogene, NF-kB subunit) during NFKB activation.</t>
  </si>
  <si>
    <t>rSQSTM1-mediated phosphorylation of INSR causes subsequent phosphorylation of @GENE$ (phospholipase C gamma 1) and @GENE$/PYK2 (protein tyrosine kinase 2 beta), leading to the phosphorylation of RELA/p65 (RELA proto-oncogene, NF-kB subunit) during NFKB activation.</t>
  </si>
  <si>
    <t>May be a positive correlation if PLCG1, PTK2B, PYK2 are all phosphorylated by INSR</t>
  </si>
  <si>
    <t>rSQSTM1-mediated phosphorylation of INSR causes subsequent phosphorylation of @GENE$ (phospholipase C gamma 1) and PTK2B/@GENE$ (protein tyrosine kinase 2 beta), leading to the phosphorylation of RELA/p65 (RELA proto-oncogene, NF-kB subunit) during NFKB activation.</t>
  </si>
  <si>
    <t>rSQSTM1-mediated phosphorylation of INSR causes subsequent phosphorylation of @GENE$ (phospholipase C gamma 1) and PTK2B/PYK2 (@GENE$), leading to the phosphorylation of RELA/p65 (RELA proto-oncogene, NF-kB subunit) during NFKB activation.</t>
  </si>
  <si>
    <t>rSQSTM1-mediated phosphorylation of INSR causes subsequent phosphorylation of @GENE$ (phospholipase C gamma 1) and PTK2B/PYK2 (protein tyrosine kinase 2 beta), leading to the phosphorylation of @GENE$/p65 (RELA proto-oncogene, NF-kB subunit) during NFKB activation.</t>
  </si>
  <si>
    <t>rSQSTM1-mediated phosphorylation of INSR causes subsequent phosphorylation of @GENE$ (phospholipase C gamma 1) and PTK2B/PYK2 (protein tyrosine kinase 2 beta), leading to the phosphorylation of RELA/@GENE$ (RELA proto-oncogene, NF-kB subunit) during NFKB activation.</t>
  </si>
  <si>
    <t>rSQSTM1-mediated phosphorylation of INSR causes subsequent phosphorylation of @GENE$ (phospholipase C gamma 1) and PTK2B/PYK2 (protein tyrosine kinase 2 beta), leading to the phosphorylation of RELA/p65 (@GENE$, NF-kB subunit) during NFKB activation.</t>
  </si>
  <si>
    <t>rSQSTM1-mediated phosphorylation of INSR causes subsequent phosphorylation of @GENE$ (phospholipase C gamma 1) and PTK2B/PYK2 (protein tyrosine kinase 2 beta), leading to the phosphorylation of RELA/p65 (RELA proto-oncogene, @GENE$) during NFKB activation.</t>
  </si>
  <si>
    <t>rSQSTM1-mediated phosphorylation of INSR causes subsequent phosphorylation of @GENE$ (phospholipase C gamma 1) and PTK2B/PYK2 (protein tyrosine kinase 2 beta), leading to the phosphorylation of RELA/p65 (RELA proto-oncogene, NF-kB subunit) during @GENE$ activation.</t>
  </si>
  <si>
    <t>rSQSTM1-mediated phosphorylation of INSR causes subsequent phosphorylation of PLCG1 (@GENE$) and @GENE$/PYK2 (protein tyrosine kinase 2 beta), leading to the phosphorylation of RELA/p65 (RELA proto-oncogene, NF-kB subunit) during NFKB activation.</t>
  </si>
  <si>
    <t>rSQSTM1-mediated phosphorylation of INSR causes subsequent phosphorylation of PLCG1 (@GENE$) and PTK2B/@GENE$ (protein tyrosine kinase 2 beta), leading to the phosphorylation of RELA/p65 (RELA proto-oncogene, NF-kB subunit) during NFKB activation.</t>
  </si>
  <si>
    <t>rSQSTM1-mediated phosphorylation of INSR causes subsequent phosphorylation of PLCG1 (@GENE$) and PTK2B/PYK2 (@GENE$), leading to the phosphorylation of RELA/p65 (RELA proto-oncogene, NF-kB subunit) during NFKB activation.</t>
  </si>
  <si>
    <t>rSQSTM1-mediated phosphorylation of INSR causes subsequent phosphorylation of PLCG1 (@GENE$) and PTK2B/PYK2 (protein tyrosine kinase 2 beta), leading to the phosphorylation of @GENE$/p65 (RELA proto-oncogene, NF-kB subunit) during NFKB activation.</t>
  </si>
  <si>
    <t>rSQSTM1-mediated phosphorylation of INSR causes subsequent phosphorylation of PLCG1 (@GENE$) and PTK2B/PYK2 (protein tyrosine kinase 2 beta), leading to the phosphorylation of RELA/@GENE$ (RELA proto-oncogene, NF-kB subunit) during NFKB activation.</t>
  </si>
  <si>
    <t>rSQSTM1-mediated phosphorylation of INSR causes subsequent phosphorylation of PLCG1 (@GENE$) and PTK2B/PYK2 (protein tyrosine kinase 2 beta), leading to the phosphorylation of RELA/p65 (@GENE$, NF-kB subunit) during NFKB activation.</t>
  </si>
  <si>
    <t>rSQSTM1-mediated phosphorylation of INSR causes subsequent phosphorylation of PLCG1 (@GENE$) and PTK2B/PYK2 (protein tyrosine kinase 2 beta), leading to the phosphorylation of RELA/p65 (RELA proto-oncogene, @GENE$) during NFKB activation.</t>
  </si>
  <si>
    <t>rSQSTM1-mediated phosphorylation of INSR causes subsequent phosphorylation of PLCG1 (@GENE$) and PTK2B/PYK2 (protein tyrosine kinase 2 beta), leading to the phosphorylation of RELA/p65 (RELA proto-oncogene, NF-kB subunit) during @GENE$ activation.</t>
  </si>
  <si>
    <t>rSQSTM1-mediated phosphorylation of INSR causes subsequent phosphorylation of PLCG1 (phospholipase C gamma 1) and @GENE$/@GENE$ (protein tyrosine kinase 2 beta), leading to the phosphorylation of RELA/p65 (RELA proto-oncogene, NF-kB subunit) during NFKB activation.</t>
  </si>
  <si>
    <t>rSQSTM1-mediated phosphorylation of INSR causes subsequent phosphorylation of PLCG1 (phospholipase C gamma 1) and @GENE$/PYK2 (@GENE$), leading to the phosphorylation of RELA/p65 (RELA proto-oncogene, NF-kB subunit) during NFKB activation.</t>
  </si>
  <si>
    <t>rSQSTM1-mediated phosphorylation of INSR causes subsequent phosphorylation of PLCG1 (phospholipase C gamma 1) and @GENE$/PYK2 (protein tyrosine kinase 2 beta), leading to the phosphorylation of @GENE$/p65 (RELA proto-oncogene, NF-kB subunit) during NFKB activation.</t>
  </si>
  <si>
    <t>(PTK2B/PYK2,  phosphorylates,  RELA/p65 )</t>
  </si>
  <si>
    <t>rSQSTM1-mediated phosphorylation of INSR causes subsequent phosphorylation of PLCG1 (phospholipase C gamma 1) and @GENE$/PYK2 (protein tyrosine kinase 2 beta), leading to the phosphorylation of RELA/@GENE$ (RELA proto-oncogene, NF-kB subunit) during NFKB activation.</t>
  </si>
  <si>
    <t>rSQSTM1-mediated phosphorylation of INSR causes subsequent phosphorylation of PLCG1 (phospholipase C gamma 1) and @GENE$/PYK2 (protein tyrosine kinase 2 beta), leading to the phosphorylation of RELA/p65 (@GENE$, NF-kB subunit) during NFKB activation.</t>
  </si>
  <si>
    <t>rSQSTM1-mediated phosphorylation of INSR causes subsequent phosphorylation of PLCG1 (phospholipase C gamma 1) and @GENE$/PYK2 (protein tyrosine kinase 2 beta), leading to the phosphorylation of RELA/p65 (RELA proto-oncogene, @GENE$) during NFKB activation.</t>
  </si>
  <si>
    <t>rSQSTM1-mediated phosphorylation of INSR causes subsequent phosphorylation of PLCG1 (phospholipase C gamma 1) and @GENE$/PYK2 (protein tyrosine kinase 2 beta), leading to the phosphorylation of RELA/p65 (RELA proto-oncogene, NF-kB subunit) during @GENE$ activation.</t>
  </si>
  <si>
    <t>rSQSTM1-mediated phosphorylation of INSR causes subsequent phosphorylation of PLCG1 (phospholipase C gamma 1) and PTK2B/@GENE$ (@GENE$), leading to the phosphorylation of RELA/p65 (RELA proto-oncogene, NF-kB subunit) during NFKB activation.</t>
  </si>
  <si>
    <t>rSQSTM1-mediated phosphorylation of INSR causes subsequent phosphorylation of PLCG1 (phospholipase C gamma 1) and PTK2B/@GENE$ (protein tyrosine kinase 2 beta), leading to the phosphorylation of @GENE$/p65 (RELA proto-oncogene, NF-kB subunit) during NFKB activation.</t>
  </si>
  <si>
    <t>rSQSTM1-mediated phosphorylation of INSR causes subsequent phosphorylation of PLCG1 (phospholipase C gamma 1) and PTK2B/@GENE$ (protein tyrosine kinase 2 beta), leading to the phosphorylation of RELA/@GENE$ (RELA proto-oncogene, NF-kB subunit) during NFKB activation.</t>
  </si>
  <si>
    <t>rSQSTM1-mediated phosphorylation of INSR causes subsequent phosphorylation of PLCG1 (phospholipase C gamma 1) and PTK2B/@GENE$ (protein tyrosine kinase 2 beta), leading to the phosphorylation of RELA/p65 (@GENE$, NF-kB subunit) during NFKB activation.</t>
  </si>
  <si>
    <t>rSQSTM1-mediated phosphorylation of INSR causes subsequent phosphorylation of PLCG1 (phospholipase C gamma 1) and PTK2B/@GENE$ (protein tyrosine kinase 2 beta), leading to the phosphorylation of RELA/p65 (RELA proto-oncogene, @GENE$) during NFKB activation.</t>
  </si>
  <si>
    <t>rSQSTM1-mediated phosphorylation of INSR causes subsequent phosphorylation of PLCG1 (phospholipase C gamma 1) and PTK2B/@GENE$ (protein tyrosine kinase 2 beta), leading to the phosphorylation of RELA/p65 (RELA proto-oncogene, NF-kB subunit) during @GENE$ activation.</t>
  </si>
  <si>
    <t>rSQSTM1-mediated phosphorylation of INSR causes subsequent phosphorylation of PLCG1 (phospholipase C gamma 1) and PTK2B/PYK2 (@GENE$), leading to the phosphorylation of @GENE$/p65 (RELA proto-oncogene, NF-kB subunit) during NFKB activation.</t>
  </si>
  <si>
    <t>rSQSTM1-mediated phosphorylation of INSR causes subsequent phosphorylation of PLCG1 (phospholipase C gamma 1) and PTK2B/PYK2 (@GENE$), leading to the phosphorylation of RELA/@GENE$ (RELA proto-oncogene, NF-kB subunit) during NFKB activation.</t>
  </si>
  <si>
    <t>rSQSTM1-mediated phosphorylation of INSR causes subsequent phosphorylation of PLCG1 (phospholipase C gamma 1) and PTK2B/PYK2 (@GENE$), leading to the phosphorylation of RELA/p65 (@GENE$, NF-kB subunit) during NFKB activation.</t>
  </si>
  <si>
    <t>rSQSTM1-mediated phosphorylation of INSR causes subsequent phosphorylation of PLCG1 (phospholipase C gamma 1) and PTK2B/PYK2 (@GENE$), leading to the phosphorylation of RELA/p65 (RELA proto-oncogene, @GENE$) during NFKB activation.</t>
  </si>
  <si>
    <t>rSQSTM1-mediated phosphorylation of INSR causes subsequent phosphorylation of PLCG1 (phospholipase C gamma 1) and PTK2B/PYK2 (@GENE$), leading to the phosphorylation of RELA/p65 (RELA proto-oncogene, NF-kB subunit) during @GENE$ activation.</t>
  </si>
  <si>
    <t>rSQSTM1-mediated phosphorylation of INSR causes subsequent phosphorylation of PLCG1 (phospholipase C gamma 1) and PTK2B/PYK2 (protein tyrosine kinase 2 beta), leading to the phosphorylation of @GENE$/@GENE$ (RELA proto-oncogene, NF-kB subunit) during NFKB activation.</t>
  </si>
  <si>
    <t>rSQSTM1-mediated phosphorylation of INSR causes subsequent phosphorylation of PLCG1 (phospholipase C gamma 1) and PTK2B/PYK2 (protein tyrosine kinase 2 beta), leading to the phosphorylation of @GENE$/p65 (@GENE$, NF-kB subunit) during NFKB activation.</t>
  </si>
  <si>
    <t>rSQSTM1-mediated phosphorylation of INSR causes subsequent phosphorylation of PLCG1 (phospholipase C gamma 1) and PTK2B/PYK2 (protein tyrosine kinase 2 beta), leading to the phosphorylation of @GENE$/p65 (RELA proto-oncogene, @GENE$) during NFKB activation.</t>
  </si>
  <si>
    <t>rSQSTM1-mediated phosphorylation of INSR causes subsequent phosphorylation of PLCG1 (phospholipase C gamma 1) and PTK2B/PYK2 (protein tyrosine kinase 2 beta), leading to the phosphorylation of @GENE$/p65 (RELA proto-oncogene, NF-kB subunit) during @GENE$ activation.</t>
  </si>
  <si>
    <t>rSQSTM1-mediated phosphorylation of INSR causes subsequent phosphorylation of PLCG1 (phospholipase C gamma 1) and PTK2B/PYK2 (protein tyrosine kinase 2 beta), leading to the phosphorylation of RELA/@GENE$ (@GENE$, NF-kB subunit) during NFKB activation.</t>
  </si>
  <si>
    <t>rSQSTM1-mediated phosphorylation of INSR causes subsequent phosphorylation of PLCG1 (phospholipase C gamma 1) and PTK2B/PYK2 (protein tyrosine kinase 2 beta), leading to the phosphorylation of RELA/@GENE$ (RELA proto-oncogene, @GENE$) during NFKB activation.</t>
  </si>
  <si>
    <t>rSQSTM1-mediated phosphorylation of INSR causes subsequent phosphorylation of PLCG1 (phospholipase C gamma 1) and PTK2B/PYK2 (protein tyrosine kinase 2 beta), leading to the phosphorylation of RELA/@GENE$ (RELA proto-oncogene, NF-kB subunit) during @GENE$ activation.</t>
  </si>
  <si>
    <t>rSQSTM1-mediated phosphorylation of INSR causes subsequent phosphorylation of PLCG1 (phospholipase C gamma 1) and PTK2B/PYK2 (protein tyrosine kinase 2 beta), leading to the phosphorylation of RELA/p65 (@GENE$, @GENE$) during NFKB activation.</t>
  </si>
  <si>
    <t>rSQSTM1-mediated phosphorylation of INSR causes subsequent phosphorylation of PLCG1 (phospholipase C gamma 1) and PTK2B/PYK2 (protein tyrosine kinase 2 beta), leading to the phosphorylation of RELA/p65 (@GENE$, NF-kB subunit) during @GENE$ activation.</t>
  </si>
  <si>
    <t>rSQSTM1-mediated phosphorylation of INSR causes subsequent phosphorylation of PLCG1 (phospholipase C gamma 1) and PTK2B/PYK2 (protein tyrosine kinase 2 beta), leading to the phosphorylation of RELA/p65 (RELA proto-oncogene, @GENE$) during @GENE$ activation.</t>
  </si>
  <si>
    <t>Activated @GENE$, in turn, phosphorylates @GENE$ at Ser366 (unless otherwise indicated, we refer to the human protein sequence) in the CTT, which is part of a pLxIS motif (in which p represents the hydrophilic residue, x represents any residue and S represents the phosphorylation site) and which allows the STING–TBK1 complex to recruit IRF3</t>
  </si>
  <si>
    <t>(TBK1,  phosphorylates,  STING at Ser366 )</t>
  </si>
  <si>
    <t>Is "Ser366" supposed to be tagged as "@VARIANT$"?</t>
  </si>
  <si>
    <t>Activated @GENE$, in turn, phosphorylates STING at Ser366 (unless otherwise indicated, we refer to the @SPECIES$ protein sequence) in the CTT, which is part of a pLxIS motif (in which p represents the hydrophilic residue, x represents any residue and S represents the phosphorylation site) and which allows the STING–TBK1 complex to recruit IRF3</t>
  </si>
  <si>
    <t>Activated @GENE$, in turn, phosphorylates STING at Ser366 (unless otherwise indicated, we refer to the human protein sequence) in the CTT, which is part of a pLxIS motif (in which p represents the hydrophilic residue, x represents any residue and S represents the phosphorylation site) and which allows the @GENE$–TBK1 complex to recruit IRF3</t>
  </si>
  <si>
    <r>
      <rPr>
        <rFont val="Arial"/>
        <color theme="1"/>
        <sz val="10.0"/>
      </rPr>
      <t xml:space="preserve">Not clear that there is phosphorylation between these specific mentions of TBK1 and STING1? </t>
    </r>
    <r>
      <rPr>
        <rFont val="Arial"/>
        <color rgb="FF4A86E8"/>
        <sz val="10.0"/>
      </rPr>
      <t>Issue with clauses- clarify with Meng Han</t>
    </r>
  </si>
  <si>
    <t>Activated @GENE$, in turn, phosphorylates STING at Ser366 (unless otherwise indicated, we refer to the human protein sequence) in the CTT, which is part of a pLxIS motif (in which p represents the hydrophilic residue, x represents any residue and S represents the phosphorylation site) and which allows the STING–@GENE$ complex to recruit IRF3</t>
  </si>
  <si>
    <t>Activated @GENE$, in turn, phosphorylates STING at Ser366 (unless otherwise indicated, we refer to the human protein sequence) in the CTT, which is part of a pLxIS motif (in which p represents the hydrophilic residue, x represents any residue and S represents the phosphorylation site) and which allows the STING–TBK1 complex to recruit @GENE$</t>
  </si>
  <si>
    <t>STING-TBK1 complex recruits IRF3 implies protein-protein binding with IRF3, although not sure whether STING or TBK1 (or both) bind IRF3 = possible interaction</t>
  </si>
  <si>
    <t>Activated TBK1, in turn, phosphorylates @GENE$ at Ser366 (unless otherwise indicated, we refer to the @SPECIES$ protein sequence) in the CTT, which is part of a pLxIS motif (in which p represents the hydrophilic residue, x represents any residue and S represents the phosphorylation site) and which allows the STING–TBK1 complex to recruit IRF3</t>
  </si>
  <si>
    <t>Activated TBK1, in turn, phosphorylates @GENE$ at Ser366 (unless otherwise indicated, we refer to the human protein sequence) in the CTT, which is part of a pLxIS motif (in which p represents the hydrophilic residue, x represents any residue and S represents the phosphorylation site) and which allows the @GENE$–TBK1 complex to recruit IRF3</t>
  </si>
  <si>
    <t>Activated TBK1, in turn, phosphorylates @GENE$ at Ser366 (unless otherwise indicated, we refer to the human protein sequence) in the CTT, which is part of a pLxIS motif (in which p represents the hydrophilic residue, x represents any residue and S represents the phosphorylation site) and which allows the STING–@GENE$ complex to recruit IRF3</t>
  </si>
  <si>
    <t>Not clear that there is phosphorylation between these specific mentions of TBK1 and STING1?</t>
  </si>
  <si>
    <t>Activated TBK1, in turn, phosphorylates @GENE$ at Ser366 (unless otherwise indicated, we refer to the human protein sequence) in the CTT, which is part of a pLxIS motif (in which p represents the hydrophilic residue, x represents any residue and S represents the phosphorylation site) and which allows the STING–TBK1 complex to recruit @GENE$</t>
  </si>
  <si>
    <t>Activated TBK1, in turn, phosphorylates STING at Ser366 (unless otherwise indicated, we refer to the @SPECIES$ protein sequence) in the CTT, which is part of a pLxIS motif (in which p represents the hydrophilic residue, x represents any residue and S represents the phosphorylation site) and which allows the @GENE$–TBK1 complex to recruit IRF3</t>
  </si>
  <si>
    <t>Activated TBK1, in turn, phosphorylates STING at Ser366 (unless otherwise indicated, we refer to the @SPECIES$ protein sequence) in the CTT, which is part of a pLxIS motif (in which p represents the hydrophilic residue, x represents any residue and S represents the phosphorylation site) and which allows the STING–@GENE$ complex to recruit IRF3</t>
  </si>
  <si>
    <t>Activated TBK1, in turn, phosphorylates STING at Ser366 (unless otherwise indicated, we refer to the @SPECIES$ protein sequence) in the CTT, which is part of a pLxIS motif (in which p represents the hydrophilic residue, x represents any residue and S represents the phosphorylation site) and which allows the STING–TBK1 complex to recruit @GENE$</t>
  </si>
  <si>
    <t>Activated TBK1, in turn, phosphorylates STING at Ser366 (unless otherwise indicated, we refer to the human protein sequence) in the CTT, which is part of a pLxIS motif (in which p represents the hydrophilic residue, x represents any residue and S represents the phosphorylation site) and which allows the @GENE$–@GENE$ complex to recruit IRF3</t>
  </si>
  <si>
    <t>Should be 0 - protein-protein interaction counts as interaction, not association</t>
  </si>
  <si>
    <t>Activated TBK1, in turn, phosphorylates STING at Ser366 (unless otherwise indicated, we refer to the human protein sequence) in the CTT, which is part of a pLxIS motif (in which p represents the hydrophilic residue, x represents any residue and S represents the phosphorylation site) and which allows the @GENE$–TBK1 complex to recruit @GENE$</t>
  </si>
  <si>
    <t>Activated TBK1, in turn, phosphorylates STING at Ser366 (unless otherwise indicated, we refer to the human protein sequence) in the CTT, which is part of a pLxIS motif (in which p represents the hydrophilic residue, x represents any residue and S represents the phosphorylation site) and which allows the STING–@GENE$ complex to recruit @GENE$</t>
  </si>
  <si>
    <t>@GENE$ then phosphorylates @GENE$, enabling its dimerization, nuclear translocation and target gene induction.</t>
  </si>
  <si>
    <t>( TBK1,  phosphorylates,  IRF3 )</t>
  </si>
  <si>
    <t>In the present report, we investigated the effect of @CHEMICAL$ on constitutively active and @GENE$-inducible STAT3 phosphorylation in MM cells.</t>
  </si>
  <si>
    <t>(IL6,  induces phosphorylation,  STAT3 )</t>
  </si>
  <si>
    <t>In the present report, we investigated the effect of @CHEMICAL$ on constitutively active and IL-6-inducible @GENE$ phosphorylation in MM cells.</t>
  </si>
  <si>
    <t>In the present report, we investigated the effect of @CHEMICAL$ on constitutively active and IL-6-inducible STAT3 phosphorylation in @DISEASE$ cells.</t>
  </si>
  <si>
    <t>In the present report, we investigated the effect of curcumin on constitutively active and @GENE$-inducible @GENE$ phosphorylation in MM cells.</t>
  </si>
  <si>
    <t>In the present report, we investigated the effect of curcumin on constitutively active and @GENE$-inducible STAT3 phosphorylation in @DISEASE$ cells.</t>
  </si>
  <si>
    <t>In the present report, we investigated the effect of curcumin on constitutively active and IL-6-inducible @GENE$ phosphorylation in @DISEASE$ cells.</t>
  </si>
  <si>
    <t>Our results show that @GENE$ induced @GENE$ phosphorylation, and curcumin suppressed the phosphorylation in a time-dependent manner</t>
  </si>
  <si>
    <t>(IFN-alpha,  induces phosphorylation,  STAT1 )</t>
  </si>
  <si>
    <t>Our results show that @GENE$ induced STAT1 phosphorylation, and @CHEMICAL$ suppressed the phosphorylation in a time-dependent manner</t>
  </si>
  <si>
    <t>Our results show that IFN-alpha induced @GENE$ phosphorylation, and @CHEMICAL$ suppressed the phosphorylation in a time-dependent manner</t>
  </si>
  <si>
    <t>curcumin inhibits STAT1 phosphorylation = inhibition</t>
  </si>
  <si>
    <t>Because @GENE$ is a growth factor for @DISEASE$ and induces STAT3 phosphorylation</t>
  </si>
  <si>
    <t>(IL-6,  induces phosphorylation,  STAT3 )</t>
  </si>
  <si>
    <t>Because @GENE$ is a growth factor for MM and induces @GENE$ phosphorylation</t>
  </si>
  <si>
    <t>Because IL-6 is a growth factor for @DISEASE$ and induces @GENE$ phosphorylation</t>
  </si>
  <si>
    <t>@CHEMICAL$ is considered to be an inhibitor of @GENE$, a kinase that phosphorylates STAT3.</t>
  </si>
  <si>
    <t>(JAK2,  phosphorylates,  STAT3 )</t>
  </si>
  <si>
    <t>AG490 inhibits JAK2 = inhibition</t>
  </si>
  <si>
    <t>@CHEMICAL$ is considered to be an inhibitor of JAK2, a kinase that phosphorylates @GENE$.</t>
  </si>
  <si>
    <t>AG490 inhibits JAK2 phosphorylation of STAT3 = inhibition</t>
  </si>
  <si>
    <t>AG490 is considered to be an inhibitor of @GENE$, a kinase that phosphorylates @GENE$.</t>
  </si>
  <si>
    <t>@GENE$ specifically inhibited @GENE$ phosphorylation, nuclear localization, DNA binding activity, down-regulated STAT3 downstream genes, and induced apoptosis in MM cells.</t>
  </si>
  <si>
    <t>( LLL12,  inhibit phosphorylation,  STAT3 )</t>
  </si>
  <si>
    <t>LLL3 inhibits phosphorylation of STAT3 = inhibition</t>
  </si>
  <si>
    <t>@GENE$ specifically inhibited STAT3 phosphorylation, nuclear localization, DNA binding activity, down-regulated @GENE$ downstream genes, and induced apoptosis in MM cells.</t>
  </si>
  <si>
    <t>LLL3 downregulates genes downstream of STAT3 = inhibition, but no specific genes mentioned</t>
  </si>
  <si>
    <t>@GENE$ specifically inhibited STAT3 phosphorylation, nuclear localization, DNA binding activity, down-regulated STAT3 downstream genes, and induced apoptosis in @DISEASE$ cells.</t>
  </si>
  <si>
    <t xml:space="preserve">LLL12 induced apoptosis in MM cells = prevent? treat? </t>
  </si>
  <si>
    <t>LLL12 specifically inhibited @GENE$ phosphorylation, nuclear localization, DNA binding activity, down-regulated @GENE$ downstream genes, and induced apoptosis in MM cells.</t>
  </si>
  <si>
    <t>LLL12 specifically inhibited @GENE$ phosphorylation, nuclear localization, DNA binding activity, down-regulated STAT3 downstream genes, and induced apoptosis in @DISEASE$ cells.</t>
  </si>
  <si>
    <t>LLL12 specifically inhibited STAT3 phosphorylation, nuclear localization, DNA binding activity, down-regulated @GENE$ downstream genes, and induced apoptosis in @DISEASE$ cells.</t>
  </si>
  <si>
    <t>@CHEMICAL$ also inhibited @GENE$ phosphorylation induced by interleukin-6 (IL-6) and interferon-a but not STAT1, STAT2, STAT4 and STAT6 phosphorylation induced by interferon-a, interferon-c and IL-4 indicating the selectivity of LLL12 for STAT3.</t>
  </si>
  <si>
    <t>@CHEMICAL$ also inhibited STAT3 phosphorylation induced by @GENE$ (IL-6) and interferon-a but not STAT1, STAT2, STAT4 and STAT6 phosphorylation induced by interferon-a, interferon-c and IL-4 indicating the selectivity of LLL12 for STAT3.</t>
  </si>
  <si>
    <t>@CHEMICAL$ also inhibited STAT3 phosphorylation induced by interleukin-6 (@GENE$) and interferon-a but not STAT1, STAT2, STAT4 and STAT6 phosphorylation induced by interferon-a, interferon-c and IL-4 indicating the selectivity of LLL12 for STAT3.</t>
  </si>
  <si>
    <t>@CHEMICAL$ also inhibited STAT3 phosphorylation induced by interleukin-6 (IL-6) and @GENE$ but not STAT1, STAT2, STAT4 and STAT6 phosphorylation induced by interferon-a, interferon-c and IL-4 indicating the selectivity of LLL12 for STAT3.</t>
  </si>
  <si>
    <t>@CHEMICAL$ also inhibited STAT3 phosphorylation induced by interleukin-6 (IL-6) and interferon-a but not @GENE$, STAT2, STAT4 and STAT6 phosphorylation induced by interferon-a, interferon-c and IL-4 indicating the selectivity of LLL12 for STAT3.</t>
  </si>
  <si>
    <t>@CHEMICAL$ also inhibited STAT3 phosphorylation induced by interleukin-6 (IL-6) and interferon-a but not STAT1, @GENE$, STAT4 and STAT6 phosphorylation induced by interferon-a, interferon-c and IL-4 indicating the selectivity of LLL12 for STAT3.</t>
  </si>
  <si>
    <t>@CHEMICAL$ also inhibited STAT3 phosphorylation induced by interleukin-6 (IL-6) and interferon-a but not STAT1, STAT2, @GENE$ and STAT6 phosphorylation induced by interferon-a, interferon-c and IL-4 indicating the selectivity of LLL12 for STAT3.</t>
  </si>
  <si>
    <t>@CHEMICAL$ also inhibited STAT3 phosphorylation induced by interleukin-6 (IL-6) and interferon-a but not STAT1, STAT2, STAT4 and @GENE$ phosphorylation induced by interferon-a, interferon-c and IL-4 indicating the selectivity of LLL12 for STAT3.</t>
  </si>
  <si>
    <t>@CHEMICAL$ also inhibited STAT3 phosphorylation induced by interleukin-6 (IL-6) and interferon-a but not STAT1, STAT2, STAT4 and STAT6 phosphorylation induced by @GENE$, interferon-c and IL-4 indicating the selectivity of LLL12 for STAT3.</t>
  </si>
  <si>
    <t>@CHEMICAL$ also inhibited STAT3 phosphorylation induced by interleukin-6 (IL-6) and interferon-a but not STAT1, STAT2, STAT4 and STAT6 phosphorylation induced by interferon-a, @GENE$ and IL-4 indicating the selectivity of LLL12 for STAT3.</t>
  </si>
  <si>
    <t>@CHEMICAL$ also inhibited STAT3 phosphorylation induced by interleukin-6 (IL-6) and interferon-a but not STAT1, STAT2, STAT4 and STAT6 phosphorylation induced by interferon-a, interferon-c and @GENE$ indicating the selectivity of LLL12 for STAT3.</t>
  </si>
  <si>
    <t>@CHEMICAL$ also inhibited STAT3 phosphorylation induced by interleukin-6 (IL-6) and interferon-a but not STAT1, STAT2, STAT4 and STAT6 phosphorylation induced by interferon-a, interferon-c and IL-4 indicating the selectivity of @CHEMICAL$ for STAT3.</t>
  </si>
  <si>
    <t>@CHEMICAL$ also inhibited STAT3 phosphorylation induced by interleukin-6 (IL-6) and interferon-a but not STAT1, STAT2, STAT4 and STAT6 phosphorylation induced by interferon-a, interferon-c and IL-4 indicating the selectivity of LLL12 for @GENE$.</t>
  </si>
  <si>
    <t>LLL12 also inhibited @GENE$ phosphorylation induced by @GENE$ (IL-6) and interferon-a but not STAT1, STAT2, STAT4 and STAT6 phosphorylation induced by interferon-a, interferon-c and IL-4 indicating the selectivity of LLL12 for STAT3.</t>
  </si>
  <si>
    <t>(interleukin-6, induce phosphorylation, STAT3)</t>
  </si>
  <si>
    <t>LLL12 also inhibited @GENE$ phosphorylation induced by interleukin-6 (@GENE$) and interferon-a but not STAT1, STAT2, STAT4 and STAT6 phosphorylation induced by interferon-a, interferon-c and IL-4 indicating the selectivity of LLL12 for STAT3.</t>
  </si>
  <si>
    <t>LLL12 also inhibited @GENE$ phosphorylation induced by interleukin-6 (IL-6) and @GENE$ but not STAT1, STAT2, STAT4 and STAT6 phosphorylation induced by interferon-a, interferon-c and IL-4 indicating the selectivity of LLL12 for STAT3.</t>
  </si>
  <si>
    <t>(interforen-a, induce phosphorylation STAT1/2/3/4/6)</t>
  </si>
  <si>
    <t>LLL12 also inhibited @GENE$ phosphorylation induced by interleukin-6 (IL-6) and interferon-a but not @GENE$, STAT2, STAT4 and STAT6 phosphorylation induced by interferon-a, interferon-c and IL-4 indicating the selectivity of LLL12 for STAT3.</t>
  </si>
  <si>
    <t>LLL12 also inhibited @GENE$ phosphorylation induced by interleukin-6 (IL-6) and interferon-a but not STAT1, @GENE$, STAT4 and STAT6 phosphorylation induced by interferon-a, interferon-c and IL-4 indicating the selectivity of LLL12 for STAT3.</t>
  </si>
  <si>
    <t>LLL12 also inhibited @GENE$ phosphorylation induced by interleukin-6 (IL-6) and interferon-a but not STAT1, STAT2, @GENE$ and STAT6 phosphorylation induced by interferon-a, interferon-c and IL-4 indicating the selectivity of LLL12 for STAT3.</t>
  </si>
  <si>
    <t>LLL12 also inhibited @GENE$ phosphorylation induced by interleukin-6 (IL-6) and interferon-a but not STAT1, STAT2, STAT4 and @GENE$ phosphorylation induced by interferon-a, interferon-c and IL-4 indicating the selectivity of LLL12 for STAT3.</t>
  </si>
  <si>
    <t>LLL12 also inhibited @GENE$ phosphorylation induced by interleukin-6 (IL-6) and interferon-a but not STAT1, STAT2, STAT4 and STAT6 phosphorylation induced by @GENE$, interferon-c and IL-4 indicating the selectivity of LLL12 for STAT3.</t>
  </si>
  <si>
    <r>
      <rPr>
        <rFont val="Arial"/>
        <color theme="1"/>
        <sz val="10.0"/>
      </rPr>
      <t xml:space="preserve">Not clear that there is phosphorylation between these specific mentions of STAT3 and IFNa? </t>
    </r>
    <r>
      <rPr>
        <rFont val="Arial"/>
        <color rgb="FF4A86E8"/>
        <sz val="10.0"/>
      </rPr>
      <t>Issue with clauses</t>
    </r>
  </si>
  <si>
    <t>LLL12 also inhibited @GENE$ phosphorylation induced by interleukin-6 (IL-6) and interferon-a but not STAT1, STAT2, STAT4 and STAT6 phosphorylation induced by interferon-a, @GENE$ and IL-4 indicating the selectivity of LLL12 for STAT3.</t>
  </si>
  <si>
    <t>LLL12 also inhibited @GENE$ phosphorylation induced by interleukin-6 (IL-6) and interferon-a but not STAT1, STAT2, STAT4 and STAT6 phosphorylation induced by interferon-a, interferon-c and @GENE$ indicating the selectivity of LLL12 for STAT3.</t>
  </si>
  <si>
    <t>LLL12 also inhibited @GENE$ phosphorylation induced by interleukin-6 (IL-6) and interferon-a but not STAT1, STAT2, STAT4 and STAT6 phosphorylation induced by interferon-a, interferon-c and IL-4 indicating the selectivity of @CHEMICAL$ for STAT3.</t>
  </si>
  <si>
    <t>LLL12 also inhibited @GENE$ phosphorylation induced by interleukin-6 (IL-6) and interferon-a but not STAT1, STAT2, STAT4 and STAT6 phosphorylation induced by interferon-a, interferon-c and IL-4 indicating the selectivity of LLL12 for @GENE$.</t>
  </si>
  <si>
    <t>LLL12 also inhibited STAT3 phosphorylation induced by @GENE$ (@GENE$) and interferon-a but not STAT1, STAT2, STAT4 and STAT6 phosphorylation induced by interferon-a, interferon-c and IL-4 indicating the selectivity of LLL12 for STAT3.</t>
  </si>
  <si>
    <t>LLL12 also inhibited STAT3 phosphorylation induced by @GENE$ (IL-6) and @GENE$ but not STAT1, STAT2, STAT4 and STAT6 phosphorylation induced by interferon-a, interferon-c and IL-4 indicating the selectivity of LLL12 for STAT3.</t>
  </si>
  <si>
    <t>LLL12 also inhibited STAT3 phosphorylation induced by @GENE$ (IL-6) and interferon-a but not @GENE$, STAT2, STAT4 and STAT6 phosphorylation induced by interferon-a, interferon-c and IL-4 indicating the selectivity of LLL12 for STAT3.</t>
  </si>
  <si>
    <t>LLL12 also inhibited STAT3 phosphorylation induced by @GENE$ (IL-6) and interferon-a but not STAT1, @GENE$, STAT4 and STAT6 phosphorylation induced by interferon-a, interferon-c and IL-4 indicating the selectivity of LLL12 for STAT3.</t>
  </si>
  <si>
    <t>LLL12 also inhibited STAT3 phosphorylation induced by @GENE$ (IL-6) and interferon-a but not STAT1, STAT2, @GENE$ and STAT6 phosphorylation induced by interferon-a, interferon-c and IL-4 indicating the selectivity of LLL12 for STAT3.</t>
  </si>
  <si>
    <t>LLL12 also inhibited STAT3 phosphorylation induced by @GENE$ (IL-6) and interferon-a but not STAT1, STAT2, STAT4 and @GENE$ phosphorylation induced by interferon-a, interferon-c and IL-4 indicating the selectivity of LLL12 for STAT3.</t>
  </si>
  <si>
    <t>LLL12 also inhibited STAT3 phosphorylation induced by @GENE$ (IL-6) and interferon-a but not STAT1, STAT2, STAT4 and STAT6 phosphorylation induced by @GENE$, interferon-c and IL-4 indicating the selectivity of LLL12 for STAT3.</t>
  </si>
  <si>
    <t>LLL12 also inhibited STAT3 phosphorylation induced by @GENE$ (IL-6) and interferon-a but not STAT1, STAT2, STAT4 and STAT6 phosphorylation induced by interferon-a, @GENE$ and IL-4 indicating the selectivity of LLL12 for STAT3.</t>
  </si>
  <si>
    <t>LLL12 also inhibited STAT3 phosphorylation induced by @GENE$ (IL-6) and interferon-a but not STAT1, STAT2, STAT4 and STAT6 phosphorylation induced by interferon-a, interferon-c and @GENE$ indicating the selectivity of LLL12 for STAT3.</t>
  </si>
  <si>
    <t>LLL12 also inhibited STAT3 phosphorylation induced by @GENE$ (IL-6) and interferon-a but not STAT1, STAT2, STAT4 and STAT6 phosphorylation induced by interferon-a, interferon-c and IL-4 indicating the selectivity of @CHEMICAL$ for STAT3.</t>
  </si>
  <si>
    <t>LLL12 also inhibited STAT3 phosphorylation induced by @GENE$ (IL-6) and interferon-a but not STAT1, STAT2, STAT4 and STAT6 phosphorylation induced by interferon-a, interferon-c and IL-4 indicating the selectivity of LLL12 for @GENE$.</t>
  </si>
  <si>
    <r>
      <rPr>
        <rFont val="Arial"/>
        <color theme="1"/>
        <sz val="10.0"/>
      </rPr>
      <t xml:space="preserve">Not clear that there is phosphorylation between these specific mentions of STAT3 and IL-6? </t>
    </r>
    <r>
      <rPr>
        <rFont val="Arial"/>
        <color rgb="FF4A86E8"/>
        <sz val="10.0"/>
      </rPr>
      <t>Issue with clauses</t>
    </r>
  </si>
  <si>
    <t>LLL12 also inhibited STAT3 phosphorylation induced by interleukin-6 (@GENE$) and @GENE$ but not STAT1, STAT2, STAT4 and STAT6 phosphorylation induced by interferon-a, interferon-c and IL-4 indicating the selectivity of LLL12 for STAT3.</t>
  </si>
  <si>
    <t>LLL12 also inhibited STAT3 phosphorylation induced by interleukin-6 (@GENE$) and interferon-a but not @GENE$, STAT2, STAT4 and STAT6 phosphorylation induced by interferon-a, interferon-c and IL-4 indicating the selectivity of LLL12 for STAT3.</t>
  </si>
  <si>
    <t>LLL12 also inhibited STAT3 phosphorylation induced by interleukin-6 (@GENE$) and interferon-a but not STAT1, @GENE$, STAT4 and STAT6 phosphorylation induced by interferon-a, interferon-c and IL-4 indicating the selectivity of LLL12 for STAT3.</t>
  </si>
  <si>
    <t>LLL12 also inhibited STAT3 phosphorylation induced by interleukin-6 (@GENE$) and interferon-a but not STAT1, STAT2, @GENE$ and STAT6 phosphorylation induced by interferon-a, interferon-c and IL-4 indicating the selectivity of LLL12 for STAT3.</t>
  </si>
  <si>
    <t>LLL12 also inhibited STAT3 phosphorylation induced by interleukin-6 (@GENE$) and interferon-a but not STAT1, STAT2, STAT4 and @GENE$ phosphorylation induced by interferon-a, interferon-c and IL-4 indicating the selectivity of LLL12 for STAT3.</t>
  </si>
  <si>
    <t>LLL12 also inhibited STAT3 phosphorylation induced by interleukin-6 (@GENE$) and interferon-a but not STAT1, STAT2, STAT4 and STAT6 phosphorylation induced by @GENE$, interferon-c and IL-4 indicating the selectivity of LLL12 for STAT3.</t>
  </si>
  <si>
    <t>LLL12 also inhibited STAT3 phosphorylation induced by interleukin-6 (@GENE$) and interferon-a but not STAT1, STAT2, STAT4 and STAT6 phosphorylation induced by interferon-a, @GENE$ and IL-4 indicating the selectivity of LLL12 for STAT3.</t>
  </si>
  <si>
    <t>LLL12 also inhibited STAT3 phosphorylation induced by interleukin-6 (@GENE$) and interferon-a but not STAT1, STAT2, STAT4 and STAT6 phosphorylation induced by interferon-a, interferon-c and @GENE$ indicating the selectivity of LLL12 for STAT3.</t>
  </si>
  <si>
    <t>LLL12 also inhibited STAT3 phosphorylation induced by interleukin-6 (@GENE$) and interferon-a but not STAT1, STAT2, STAT4 and STAT6 phosphorylation induced by interferon-a, interferon-c and IL-4 indicating the selectivity of @CHEMICAL$ for STAT3.</t>
  </si>
  <si>
    <t>LLL12 also inhibited STAT3 phosphorylation induced by interleukin-6 (@GENE$) and interferon-a but not STAT1, STAT2, STAT4 and STAT6 phosphorylation induced by interferon-a, interferon-c and IL-4 indicating the selectivity of LLL12 for @GENE$.</t>
  </si>
  <si>
    <r>
      <rPr>
        <rFont val="Arial"/>
        <color theme="1"/>
        <sz val="10.0"/>
      </rPr>
      <t xml:space="preserve">Not clear that there is phosphorylation between these specific mentions of STAT3 and IL-6? </t>
    </r>
    <r>
      <rPr>
        <rFont val="Arial"/>
        <color rgb="FF4A86E8"/>
        <sz val="10.0"/>
      </rPr>
      <t>Issue with clauses</t>
    </r>
  </si>
  <si>
    <t>LLL12 also inhibited STAT3 phosphorylation induced by interleukin-6 (IL-6) and @GENE$ but not @GENE$, STAT2, STAT4 and STAT6 phosphorylation induced by interferon-a, interferon-c and IL-4 indicating the selectivity of LLL12 for STAT3.</t>
  </si>
  <si>
    <r>
      <rPr>
        <rFont val="Arial"/>
        <color theme="1"/>
        <sz val="10.0"/>
      </rPr>
      <t xml:space="preserve">Not clear that there is phosphorylation between these specific mentions of STAT1/2/4/6 and IFNa?  </t>
    </r>
    <r>
      <rPr>
        <rFont val="Arial"/>
        <color rgb="FF4A86E8"/>
        <sz val="10.0"/>
      </rPr>
      <t>Issue with clauses + Does interferon-a induce phosphorylation for all STAT1/2/4/6? Entity tagging issue</t>
    </r>
  </si>
  <si>
    <t>LLL12 also inhibited STAT3 phosphorylation induced by interleukin-6 (IL-6) and @GENE$ but not STAT1, @GENE$, STAT4 and STAT6 phosphorylation induced by interferon-a, interferon-c and IL-4 indicating the selectivity of LLL12 for STAT3.</t>
  </si>
  <si>
    <t>Not clear that there is phosphorylation between these specific mentions of STAT1/2/4/6 and IFNa?</t>
  </si>
  <si>
    <t>LLL12 also inhibited STAT3 phosphorylation induced by interleukin-6 (IL-6) and @GENE$ but not STAT1, STAT2, @GENE$ and STAT6 phosphorylation induced by interferon-a, interferon-c and IL-4 indicating the selectivity of LLL12 for STAT3.</t>
  </si>
  <si>
    <t>LLL12 also inhibited STAT3 phosphorylation induced by interleukin-6 (IL-6) and @GENE$ but not STAT1, STAT2, STAT4 and @GENE$ phosphorylation induced by interferon-a, interferon-c and IL-4 indicating the selectivity of LLL12 for STAT3.</t>
  </si>
  <si>
    <t>LLL12 also inhibited STAT3 phosphorylation induced by interleukin-6 (IL-6) and @GENE$ but not STAT1, STAT2, STAT4 and STAT6 phosphorylation induced by @GENE$, interferon-c and IL-4 indicating the selectivity of LLL12 for STAT3.</t>
  </si>
  <si>
    <t>LLL12 also inhibited STAT3 phosphorylation induced by interleukin-6 (IL-6) and @GENE$ but not STAT1, STAT2, STAT4 and STAT6 phosphorylation induced by interferon-a, @GENE$ and IL-4 indicating the selectivity of LLL12 for STAT3.</t>
  </si>
  <si>
    <t>LLL12 also inhibited STAT3 phosphorylation induced by interleukin-6 (IL-6) and @GENE$ but not STAT1, STAT2, STAT4 and STAT6 phosphorylation induced by interferon-a, interferon-c and @GENE$ indicating the selectivity of LLL12 for STAT3.</t>
  </si>
  <si>
    <t>LLL12 also inhibited STAT3 phosphorylation induced by interleukin-6 (IL-6) and @GENE$ but not STAT1, STAT2, STAT4 and STAT6 phosphorylation induced by interferon-a, interferon-c and IL-4 indicating the selectivity of @CHEMICAL$ for STAT3.</t>
  </si>
  <si>
    <t>LLL12 also inhibited STAT3 phosphorylation induced by interleukin-6 (IL-6) and @GENE$ but not STAT1, STAT2, STAT4 and STAT6 phosphorylation induced by interferon-a, interferon-c and IL-4 indicating the selectivity of LLL12 for @GENE$.</t>
  </si>
  <si>
    <r>
      <rPr>
        <rFont val="Arial"/>
        <color theme="1"/>
        <sz val="10.0"/>
      </rPr>
      <t xml:space="preserve">Not clear that there is phosphorylation between these specific mentions of STAT3 and IFNa? </t>
    </r>
    <r>
      <rPr>
        <rFont val="Arial"/>
        <color rgb="FF4A86E8"/>
        <sz val="10.0"/>
      </rPr>
      <t>Issue with clauses</t>
    </r>
  </si>
  <si>
    <t>LLL12 also inhibited STAT3 phosphorylation induced by interleukin-6 (IL-6) and interferon-a but not @GENE$, @GENE$, STAT4 and STAT6 phosphorylation induced by interferon-a, interferon-c and IL-4 indicating the selectivity of LLL12 for STAT3.</t>
  </si>
  <si>
    <t>STAT1/2/4/6 phosphorylation induced by IFNa, IFNc, IL-4 = correlation?</t>
  </si>
  <si>
    <t>LLL12 also inhibited STAT3 phosphorylation induced by interleukin-6 (IL-6) and interferon-a but not @GENE$, STAT2, @GENE$ and STAT6 phosphorylation induced by interferon-a, interferon-c and IL-4 indicating the selectivity of LLL12 for STAT3.</t>
  </si>
  <si>
    <t>LLL12 also inhibited STAT3 phosphorylation induced by interleukin-6 (IL-6) and interferon-a but not @GENE$, STAT2, STAT4 and @GENE$ phosphorylation induced by interferon-a, interferon-c and IL-4 indicating the selectivity of LLL12 for STAT3.</t>
  </si>
  <si>
    <t>LLL12 also inhibited STAT3 phosphorylation induced by interleukin-6 (IL-6) and interferon-a but not @GENE$, STAT2, STAT4 and STAT6 phosphorylation induced by @GENE$, interferon-c and IL-4 indicating the selectivity of LLL12 for STAT3.</t>
  </si>
  <si>
    <t>LLL12 also inhibited STAT3 phosphorylation induced by interleukin-6 (IL-6) and interferon-a but not @GENE$, STAT2, STAT4 and STAT6 phosphorylation induced by interferon-a, @GENE$ and IL-4 indicating the selectivity of LLL12 for STAT3.</t>
  </si>
  <si>
    <t>LLL12 also inhibited STAT3 phosphorylation induced by interleukin-6 (IL-6) and interferon-a but not @GENE$, STAT2, STAT4 and STAT6 phosphorylation induced by interferon-a, interferon-c and @GENE$ indicating the selectivity of LLL12 for STAT3.</t>
  </si>
  <si>
    <t>LLL12 also inhibited STAT3 phosphorylation induced by interleukin-6 (IL-6) and interferon-a but not @GENE$, STAT2, STAT4 and STAT6 phosphorylation induced by interferon-a, interferon-c and IL-4 indicating the selectivity of @CHEMICAL$ for STAT3.</t>
  </si>
  <si>
    <t>LLL12 also inhibited STAT3 phosphorylation induced by interleukin-6 (IL-6) and interferon-a but not @GENE$, STAT2, STAT4 and STAT6 phosphorylation induced by interferon-a, interferon-c and IL-4 indicating the selectivity of LLL12 for @GENE$.</t>
  </si>
  <si>
    <t>LLL12 also inhibited STAT3 phosphorylation induced by interleukin-6 (IL-6) and interferon-a but not STAT1, @GENE$, @GENE$ and STAT6 phosphorylation induced by interferon-a, interferon-c and IL-4 indicating the selectivity of LLL12 for STAT3.</t>
  </si>
  <si>
    <t>LLL12 also inhibited STAT3 phosphorylation induced by interleukin-6 (IL-6) and interferon-a but not STAT1, @GENE$, STAT4 and @GENE$ phosphorylation induced by interferon-a, interferon-c and IL-4 indicating the selectivity of LLL12 for STAT3.</t>
  </si>
  <si>
    <t>LLL12 also inhibited STAT3 phosphorylation induced by interleukin-6 (IL-6) and interferon-a but not STAT1, @GENE$, STAT4 and STAT6 phosphorylation induced by @GENE$, interferon-c and IL-4 indicating the selectivity of LLL12 for STAT3.</t>
  </si>
  <si>
    <t>LLL12 also inhibited STAT3 phosphorylation induced by interleukin-6 (IL-6) and interferon-a but not STAT1, @GENE$, STAT4 and STAT6 phosphorylation induced by interferon-a, @GENE$ and IL-4 indicating the selectivity of LLL12 for STAT3.</t>
  </si>
  <si>
    <t>LLL12 also inhibited STAT3 phosphorylation induced by interleukin-6 (IL-6) and interferon-a but not STAT1, @GENE$, STAT4 and STAT6 phosphorylation induced by interferon-a, interferon-c and @GENE$ indicating the selectivity of LLL12 for STAT3.</t>
  </si>
  <si>
    <t>LLL12 also inhibited STAT3 phosphorylation induced by interleukin-6 (IL-6) and interferon-a but not STAT1, @GENE$, STAT4 and STAT6 phosphorylation induced by interferon-a, interferon-c and IL-4 indicating the selectivity of @CHEMICAL$ for STAT3.</t>
  </si>
  <si>
    <t>LLL12 also inhibited STAT3 phosphorylation induced by interleukin-6 (IL-6) and interferon-a but not STAT1, @GENE$, STAT4 and STAT6 phosphorylation induced by interferon-a, interferon-c and IL-4 indicating the selectivity of LLL12 for @GENE$.</t>
  </si>
  <si>
    <t>LLL12 also inhibited STAT3 phosphorylation induced by interleukin-6 (IL-6) and interferon-a but not STAT1, STAT2, @GENE$ and @GENE$ phosphorylation induced by interferon-a, interferon-c and IL-4 indicating the selectivity of LLL12 for STAT3.</t>
  </si>
  <si>
    <t>LLL12 also inhibited STAT3 phosphorylation induced by interleukin-6 (IL-6) and interferon-a but not STAT1, STAT2, @GENE$ and STAT6 phosphorylation induced by @GENE$, interferon-c and IL-4 indicating the selectivity of LLL12 for STAT3.</t>
  </si>
  <si>
    <t>LLL12 also inhibited STAT3 phosphorylation induced by interleukin-6 (IL-6) and interferon-a but not STAT1, STAT2, @GENE$ and STAT6 phosphorylation induced by interferon-a, @GENE$ and IL-4 indicating the selectivity of LLL12 for STAT3.</t>
  </si>
  <si>
    <t>LLL12 also inhibited STAT3 phosphorylation induced by interleukin-6 (IL-6) and interferon-a but not STAT1, STAT2, @GENE$ and STAT6 phosphorylation induced by interferon-a, interferon-c and @GENE$ indicating the selectivity of LLL12 for STAT3.</t>
  </si>
  <si>
    <t>LLL12 also inhibited STAT3 phosphorylation induced by interleukin-6 (IL-6) and interferon-a but not STAT1, STAT2, @GENE$ and STAT6 phosphorylation induced by interferon-a, interferon-c and IL-4 indicating the selectivity of @CHEMICAL$ for STAT3.</t>
  </si>
  <si>
    <t>LLL12 also inhibited STAT3 phosphorylation induced by interleukin-6 (IL-6) and interferon-a but not STAT1, STAT2, @GENE$ and STAT6 phosphorylation induced by interferon-a, interferon-c and IL-4 indicating the selectivity of LLL12 for @GENE$.</t>
  </si>
  <si>
    <t>LLL12 also inhibited STAT3 phosphorylation induced by interleukin-6 (IL-6) and interferon-a but not STAT1, STAT2, STAT4 and @GENE$ phosphorylation induced by @GENE$, interferon-c and IL-4 indicating the selectivity of LLL12 for STAT3.</t>
  </si>
  <si>
    <t>LLL12 also inhibited STAT3 phosphorylation induced by interleukin-6 (IL-6) and interferon-a but not STAT1, STAT2, STAT4 and @GENE$ phosphorylation induced by interferon-a, @GENE$ and IL-4 indicating the selectivity of LLL12 for STAT3.</t>
  </si>
  <si>
    <t>LLL12 also inhibited STAT3 phosphorylation induced by interleukin-6 (IL-6) and interferon-a but not STAT1, STAT2, STAT4 and @GENE$ phosphorylation induced by interferon-a, interferon-c and @GENE$ indicating the selectivity of LLL12 for STAT3.</t>
  </si>
  <si>
    <t>LLL12 also inhibited STAT3 phosphorylation induced by interleukin-6 (IL-6) and interferon-a but not STAT1, STAT2, STAT4 and @GENE$ phosphorylation induced by interferon-a, interferon-c and IL-4 indicating the selectivity of @CHEMICAL$ for STAT3.</t>
  </si>
  <si>
    <t>LLL12 also inhibited STAT3 phosphorylation induced by interleukin-6 (IL-6) and interferon-a but not STAT1, STAT2, STAT4 and @GENE$ phosphorylation induced by interferon-a, interferon-c and IL-4 indicating the selectivity of LLL12 for @GENE$.</t>
  </si>
  <si>
    <t>LLL12 also inhibited STAT3 phosphorylation induced by interleukin-6 (IL-6) and interferon-a but not STAT1, STAT2, STAT4 and STAT6 phosphorylation induced by @GENE$, @GENE$ and IL-4 indicating the selectivity of LLL12 for STAT3.</t>
  </si>
  <si>
    <t>LLL12 also inhibited STAT3 phosphorylation induced by interleukin-6 (IL-6) and interferon-a but not STAT1, STAT2, STAT4 and STAT6 phosphorylation induced by @GENE$, interferon-c and @GENE$ indicating the selectivity of LLL12 for STAT3.</t>
  </si>
  <si>
    <t>LLL12 also inhibited STAT3 phosphorylation induced by interleukin-6 (IL-6) and interferon-a but not STAT1, STAT2, STAT4 and STAT6 phosphorylation induced by @GENE$, interferon-c and IL-4 indicating the selectivity of @CHEMICAL$ for STAT3.</t>
  </si>
  <si>
    <t>LLL12 also inhibited STAT3 phosphorylation induced by interleukin-6 (IL-6) and interferon-a but not STAT1, STAT2, STAT4 and STAT6 phosphorylation induced by @GENE$, interferon-c and IL-4 indicating the selectivity of LLL12 for @GENE$.</t>
  </si>
  <si>
    <r>
      <rPr>
        <rFont val="Arial"/>
        <color theme="1"/>
        <sz val="10.0"/>
      </rPr>
      <t xml:space="preserve">Not clear that there is phosphorylation between these specific mentions of STAT3 and IFNa? </t>
    </r>
    <r>
      <rPr>
        <rFont val="Arial"/>
        <color rgb="FF4A86E8"/>
        <sz val="10.0"/>
      </rPr>
      <t>Issue with clauses</t>
    </r>
  </si>
  <si>
    <t>LLL12 also inhibited STAT3 phosphorylation induced by interleukin-6 (IL-6) and interferon-a but not STAT1, STAT2, STAT4 and STAT6 phosphorylation induced by interferon-a, @GENE$ and @GENE$ indicating the selectivity of LLL12 for STAT3.</t>
  </si>
  <si>
    <t>LLL12 also inhibited STAT3 phosphorylation induced by interleukin-6 (IL-6) and interferon-a but not STAT1, STAT2, STAT4 and STAT6 phosphorylation induced by interferon-a, @GENE$ and IL-4 indicating the selectivity of @CHEMICAL$ for STAT3.</t>
  </si>
  <si>
    <t>LLL12 also inhibited STAT3 phosphorylation induced by interleukin-6 (IL-6) and interferon-a but not STAT1, STAT2, STAT4 and STAT6 phosphorylation induced by interferon-a, @GENE$ and IL-4 indicating the selectivity of LLL12 for @GENE$.</t>
  </si>
  <si>
    <t>LLL12 also inhibited STAT3 phosphorylation induced by interleukin-6 (IL-6) and interferon-a but not STAT1, STAT2, STAT4 and STAT6 phosphorylation induced by interferon-a, interferon-c and @GENE$ indicating the selectivity of @CHEMICAL$ for STAT3.</t>
  </si>
  <si>
    <t>LLL12 also inhibited STAT3 phosphorylation induced by interleukin-6 (IL-6) and interferon-a but not STAT1, STAT2, STAT4 and STAT6 phosphorylation induced by interferon-a, interferon-c and @GENE$ indicating the selectivity of LLL12 for @GENE$.</t>
  </si>
  <si>
    <t>LLL12 also inhibited STAT3 phosphorylation induced by interleukin-6 (IL-6) and interferon-a but not STAT1, STAT2, STAT4 and STAT6 phosphorylation induced by interferon-a, interferon-c and IL-4 indicating the selectivity of @CHEMICAL$ for @GENE$.</t>
  </si>
  <si>
    <t>@GENE$ activation occurs through phosphorylation of the tyrosine 705 (Tyr705) residue, leading to dimerization and translocation from the cytoplasm to the nucleus.</t>
  </si>
  <si>
    <t>Activation? = Positive correlation?</t>
  </si>
  <si>
    <t>Is "Tyr705" supposed to be tagged as "@VARIANT$"?</t>
  </si>
  <si>
    <t>we demonstrate that @GENE$ is phosphorylated within its HMG box 1 (@GENE$) by cAMP-dependent protein kinase in mitochondria</t>
  </si>
  <si>
    <t>(cAMP-dependent protein kinase,  phosphorylates,  TFAM )</t>
  </si>
  <si>
    <r>
      <rPr>
        <rFont val="Arial"/>
        <b/>
        <color rgb="FFCC0000"/>
        <sz val="10.0"/>
      </rPr>
      <t xml:space="preserve">HMG1 is a protein domain in this context... although yes it is a protein name - how do we resolve this? </t>
    </r>
    <r>
      <rPr>
        <rFont val="Arial"/>
        <b/>
        <color rgb="FF4A86E8"/>
        <sz val="10.0"/>
      </rPr>
      <t xml:space="preserve">Manually alter the entity tagging output </t>
    </r>
  </si>
  <si>
    <t>we demonstrate that @GENE$ is phosphorylated within its HMG box 1 (HMG1) by @GENE$ in mitochondria</t>
  </si>
  <si>
    <t>we demonstrate that TFAM is phosphorylated within its HMG box 1 (@GENE$) by @GENE$ in mitochondria</t>
  </si>
  <si>
    <t xml:space="preserve">Should be 0 - HMG1 refers to a protein domain within TFAM in this context, not the protein HMG1 </t>
  </si>
  <si>
    <t>The @GENE$ inhibitors @CHEMICAL$ or KT5720 blocked phosphorylation of overexpressed TFAM at serine 55</t>
  </si>
  <si>
    <t>(PKA inhibitors H89 ,  blocked phosphorylation,  overexpressed TFAM at serine 55)</t>
  </si>
  <si>
    <t>H89 inhibits PKA = inhibition</t>
  </si>
  <si>
    <t>The @GENE$ inhibitors H89 or @CHEMICAL$ blocked phosphorylation of overexpressed TFAM at serine 55</t>
  </si>
  <si>
    <t>(PKA inhibitors KT5720 ,  blocked phosphorylation,  overexpressed TFAM at serine 55)</t>
  </si>
  <si>
    <t>KT5720 inhibits PKA = inhibition</t>
  </si>
  <si>
    <t>The @GENE$ inhibitors H89 or KT5720 blocked phosphorylation of overexpressed @GENE$ at serine 55</t>
  </si>
  <si>
    <r>
      <rPr>
        <rFont val="Arial"/>
        <color theme="1"/>
        <sz val="10.0"/>
      </rPr>
      <t xml:space="preserve">Can it be inferred that PKA induces phosphorylation of TFAM since PKA inhibitors block TFAM phosphorylation? </t>
    </r>
    <r>
      <rPr>
        <rFont val="Arial"/>
        <color rgb="FF4A86E8"/>
        <sz val="10.0"/>
      </rPr>
      <t>Not clear, keep as 0?</t>
    </r>
  </si>
  <si>
    <t>The PKA inhibitors @CHEMICAL$ or @CHEMICAL$ blocked phosphorylation of overexpressed TFAM at serine 55</t>
  </si>
  <si>
    <t>The PKA inhibitors @CHEMICAL$ or KT5720 blocked phosphorylation of overexpressed @GENE$ at serine 55</t>
  </si>
  <si>
    <t>The PKA inhibitors H89 or @CHEMICAL$ blocked phosphorylation of overexpressed @GENE$ at serine 55</t>
  </si>
  <si>
    <t>The activity of @GENE$ was confirmed by its phosphorylation of @GENE$ (HDAC8) at serine 39</t>
  </si>
  <si>
    <t>(PKA alpha,  phosphorylates,  HDAC8 at ser39 )</t>
  </si>
  <si>
    <t>Is "serine 39" supposed to be tagged as "@VARIANT$"?</t>
  </si>
  <si>
    <t>The activity of @GENE$ was confirmed by its phosphorylation of histone deacetylase 8 (@GENE$) at serine 39</t>
  </si>
  <si>
    <t>The activity of PKAa was confirmed by its phosphorylation of @GENE$ (@GENE$) at serine 39</t>
  </si>
  <si>
    <t>@SPECIES$ @GENE$ is phosphorylated at serine-387 leading to altered cellular localization</t>
  </si>
  <si>
    <t>Is "serine-387" supposed to be tagged as "@VARIANT$"?</t>
  </si>
  <si>
    <t>Our findings suggest that @GENE$-driven @GENE$ phosphorylation at serine 2 plays an important role in regulating lineage- specific gene transcription in human CD4+ T cells.</t>
  </si>
  <si>
    <t>(CDK9,  phosphorylates,  BRD4-driven Pol II at ser2 )</t>
  </si>
  <si>
    <t>Is "serine 2" supposed to be tagged as "@VARIANT$"?</t>
  </si>
  <si>
    <t>Our findings suggest that @GENE$-driven Pol II phosphorylation at serine 2 plays an important role in regulating lineage- specific gene transcription in @SPECIES$ CD4+ T cells.</t>
  </si>
  <si>
    <t>Is "CD4" supposed to be tagged as @GENE$?</t>
  </si>
  <si>
    <t>Our findings suggest that BRD4-driven @GENE$ phosphorylation at serine 2 plays an important role in regulating lineage- specific gene transcription in @SPECIES$ CD4+ T cells.</t>
  </si>
  <si>
    <t>Phosphorylation of serine 5 (Ser-5) in the C-terminal domain of @GENE$ is associated with initiation</t>
  </si>
  <si>
    <t>(CDK7,  phosphorylates,  C-terminal domain Pol II at Ser5 )
[Jiaying] This sentence doesn't mention what protein is doing the phosphorylating of RNA Pol II...</t>
  </si>
  <si>
    <t>In response to postprandial increase in @GENE$, @GENE$ phosphorylation of T308 and S473 correlated significantly with sites on TBC1D1 (T596) and TBC1D4 (S318, S341, S704).</t>
  </si>
  <si>
    <t>Akt phosphorylation activity is in response to increase in insulin, i.e. insulin induces Akt activity = stimulation / positive correlation?</t>
  </si>
  <si>
    <t xml:space="preserve">Are "T308", "S473" supposed to be tagged as "@VARIANT$"? </t>
  </si>
  <si>
    <t>In response to postprandial increase in @GENE$, Akt phosphorylation of T308 and S473 correlated significantly with sites on @GENE$ (T596) and TBC1D4 (S318, S341, S704).</t>
  </si>
  <si>
    <t>In response to postprandial increase in @GENE$, Akt phosphorylation of T308 and S473 correlated significantly with sites on TBC1D1 (@VARIANT$) and TBC1D4 (S318, S341, S704).</t>
  </si>
  <si>
    <t>Phosphorylation of T308 and S473 (which protein?) correlated with TBC1D1 T596 in response to insulin = positive correlation between insulin and T596 phosphorylation?</t>
  </si>
  <si>
    <t>In response to postprandial increase in @GENE$, Akt phosphorylation of T308 and S473 correlated significantly with sites on TBC1D1 (T596) and @GENE$ (S318, S341, S704).</t>
  </si>
  <si>
    <t>In response to postprandial increase in @GENE$, Akt phosphorylation of T308 and S473 correlated significantly with sites on TBC1D1 (T596) and TBC1D4 (@VARIANT$, S341, S704).</t>
  </si>
  <si>
    <t>Phosphorylation of T308 and S473 (which protein?) correlated with TBC1D4 S318 in response to insulin = positive correlation between insulin and S318 phosphorylation?</t>
  </si>
  <si>
    <t>In response to postprandial increase in @GENE$, Akt phosphorylation of T308 and S473 correlated significantly with sites on TBC1D1 (T596) and TBC1D4 (S318, @VARIANT$, S704).</t>
  </si>
  <si>
    <t>Phosphorylation of T308 and S473 (which protein?) correlated with TBC1D4 S341 in response to insulin = positive correlation between insulin and S341 phosphorylation?</t>
  </si>
  <si>
    <t>In response to postprandial increase in @GENE$, Akt phosphorylation of T308 and S473 correlated significantly with sites on TBC1D1 (T596) and TBC1D4 (S318, S341, @VARIANT$).</t>
  </si>
  <si>
    <t>Phosphorylation of T308 and S473 (which protein?) correlated with TBC1D4 S704 in response to insulin = positive correlation between insulin and S704 phosphorylation?</t>
  </si>
  <si>
    <t>In response to postprandial increase in insulin, @GENE$ phosphorylation of T308 and S473 correlated significantly with sites on @GENE$ (T596) and TBC1D4 (S318, S341, S704).</t>
  </si>
  <si>
    <r>
      <rPr>
        <rFont val="Arial"/>
        <color theme="1"/>
        <sz val="10.0"/>
      </rPr>
      <t xml:space="preserve">Not clear that Akt phosphorylates TBC1D1? </t>
    </r>
    <r>
      <rPr>
        <rFont val="Arial"/>
        <color rgb="FF4A86E8"/>
        <sz val="10.0"/>
      </rPr>
      <t>Should be 0</t>
    </r>
  </si>
  <si>
    <t>In response to postprandial increase in insulin, @GENE$ phosphorylation of T308 and S473 correlated significantly with sites on TBC1D1 (@VARIANT$) and TBC1D4 (S318, S341, S704).</t>
  </si>
  <si>
    <t>Not clear that Akt phosphorylates TBC1D1?</t>
  </si>
  <si>
    <t>In response to postprandial increase in insulin, @GENE$ phosphorylation of T308 and S473 correlated significantly with sites on TBC1D1 (T596) and @GENE$ (S318, S341, S704).</t>
  </si>
  <si>
    <t>Not clear that Akt phosphorylates TBC1D4?</t>
  </si>
  <si>
    <t>In response to postprandial increase in insulin, @GENE$ phosphorylation of T308 and S473 correlated significantly with sites on TBC1D1 (T596) and TBC1D4 (@VARIANT$, S341, S704).</t>
  </si>
  <si>
    <r>
      <rPr>
        <rFont val="Arial"/>
        <color theme="1"/>
        <sz val="10.0"/>
      </rPr>
      <t xml:space="preserve">Not clear that Akt phosphorylates TBC1D4? </t>
    </r>
    <r>
      <rPr>
        <rFont val="Arial"/>
        <color rgb="FF4A86E8"/>
        <sz val="10.0"/>
      </rPr>
      <t>Should be 0</t>
    </r>
  </si>
  <si>
    <t>In response to postprandial increase in insulin, @GENE$ phosphorylation of T308 and S473 correlated significantly with sites on TBC1D1 (T596) and TBC1D4 (S318, @VARIANT$, S704).</t>
  </si>
  <si>
    <t>In response to postprandial increase in insulin, @GENE$ phosphorylation of T308 and S473 correlated significantly with sites on TBC1D1 (T596) and TBC1D4 (S318, S341, @VARIANT$).</t>
  </si>
  <si>
    <t>In response to postprandial increase in insulin, Akt phosphorylation of T308 and S473 correlated significantly with sites on @GENE$ (@VARIANT$) and TBC1D4 (S318, S341, S704).</t>
  </si>
  <si>
    <t>Phosphorylation of T308 and S473 (which protein?) correlated with TBC1D1 T596 = positive correlation</t>
  </si>
  <si>
    <t>In response to postprandial increase in insulin, Akt phosphorylation of T308 and S473 correlated significantly with sites on @GENE$ (T596) and @GENE$ (S318, S341, S704).</t>
  </si>
  <si>
    <t>In response to postprandial increase in insulin, Akt phosphorylation of T308 and S473 correlated significantly with sites on @GENE$ (T596) and TBC1D4 (@VARIANT$, S341, S704).</t>
  </si>
  <si>
    <t>Phosphorylation of T308 and S473 (which protein?) correlated with TBC1D4 S318 = positive correlation</t>
  </si>
  <si>
    <t>In response to postprandial increase in insulin, Akt phosphorylation of T308 and S473 correlated significantly with sites on @GENE$ (T596) and TBC1D4 (S318, @VARIANT$, S704).</t>
  </si>
  <si>
    <t>Phosphorylation of T308 and S473 (which protein?) correlated with TBC1D4 S341 = positive correlation</t>
  </si>
  <si>
    <t>In response to postprandial increase in insulin, Akt phosphorylation of T308 and S473 correlated significantly with sites on @GENE$ (T596) and TBC1D4 (S318, S341, @VARIANT$).</t>
  </si>
  <si>
    <t>Phosphorylation of T308 and S473 (which protein?) correlated with TBC1D4 S704 = positive correlation</t>
  </si>
  <si>
    <t>In response to postprandial increase in insulin, Akt phosphorylation of T308 and S473 correlated significantly with sites on TBC1D1 (@VARIANT$) and @GENE$ (S318, S341, S704).</t>
  </si>
  <si>
    <t>In response to postprandial increase in insulin, Akt phosphorylation of T308 and S473 correlated significantly with sites on TBC1D1 (@VARIANT$) and TBC1D4 (@VARIANT$, S341, S704).</t>
  </si>
  <si>
    <t>In response to postprandial increase in insulin, Akt phosphorylation of T308 and S473 correlated significantly with sites on TBC1D1 (@VARIANT$) and TBC1D4 (S318, @VARIANT$, S704).</t>
  </si>
  <si>
    <t>In response to postprandial increase in insulin, Akt phosphorylation of T308 and S473 correlated significantly with sites on TBC1D1 (@VARIANT$) and TBC1D4 (S318, S341, @VARIANT$).</t>
  </si>
  <si>
    <t>In response to postprandial increase in insulin, Akt phosphorylation of T308 and S473 correlated significantly with sites on TBC1D1 (T596) and @GENE$ (@VARIANT$, S341, S704).</t>
  </si>
  <si>
    <t>In response to postprandial increase in insulin, Akt phosphorylation of T308 and S473 correlated significantly with sites on TBC1D1 (T596) and @GENE$ (S318, @VARIANT$, S704).</t>
  </si>
  <si>
    <t>In response to postprandial increase in insulin, Akt phosphorylation of T308 and S473 correlated significantly with sites on TBC1D1 (T596) and @GENE$ (S318, S341, @VARIANT$).</t>
  </si>
  <si>
    <t>In response to postprandial increase in insulin, Akt phosphorylation of T308 and S473 correlated significantly with sites on TBC1D1 (T596) and TBC1D4 (@VARIANT$, @VARIANT$, S704).</t>
  </si>
  <si>
    <t>In response to postprandial increase in insulin, Akt phosphorylation of T308 and S473 correlated significantly with sites on TBC1D1 (T596) and TBC1D4 (@VARIANT$, S341, @VARIANT$).</t>
  </si>
  <si>
    <t>In response to postprandial increase in insulin, Akt phosphorylation of T308 and S473 correlated significantly with sites on TBC1D1 (T596) and TBC1D4 (S318, @VARIANT$, @VARIANT$).</t>
  </si>
  <si>
    <t>Exercise induced phosphorylation of @GENE$ (@VARIANT$, T596) that correlated significantly with activity of the α2/β2/γ3 AMPK trimer, whereas TBC1D4 phosphorylation (S341, S704) with exercise correlated with activity of the α2/β2/γ1 AMPK trime</t>
  </si>
  <si>
    <t>Exercise induced phosphorylation of TBC1D1 (S237, T596) that correlated significantly with activity of the α2/β2/γ3 AMPK trimer, whereas TBC1D4 phosphorylation (S341, S704) with exercise correlated with activity of the α2/β2/γ1 AMPK trime</t>
  </si>
  <si>
    <t>Exercise induced phosphorylation of @GENE$ (S237, @VARIANT$) that correlated significantly with activity of the α2/β2/γ3 AMPK trimer, whereas TBC1D4 phosphorylation (S341, S704) with exercise correlated with activity of the α2/β2/γ1 AMPK trime</t>
  </si>
  <si>
    <t>Exercise induced phosphorylation of @GENE$ (S237, T596) that correlated significantly with activity of the @GENE$ trimer, whereas TBC1D4 phosphorylation (S341, S704) with exercise correlated with activity of the α2/β2/γ1 AMPK trime</t>
  </si>
  <si>
    <t>TBC1D1 phosphorylation correlates with AMPK activity = positive correlation</t>
  </si>
  <si>
    <t>Exercise induced phosphorylation of @GENE$ (S237, T596) that correlated significantly with activity of the α2/β2/γ3 AMPK trimer, whereas @GENE$ phosphorylation (S341, S704) with exercise correlated with activity of the α2/β2/γ1 AMPK trime</t>
  </si>
  <si>
    <t>Exercise induced phosphorylation of @GENE$ (S237, T596) that correlated significantly with activity of the α2/β2/γ3 AMPK trimer, whereas TBC1D4 phosphorylation (@VARIANT$, S704) with exercise correlated with activity of the α2/β2/γ1 AMPK trime</t>
  </si>
  <si>
    <t>Exercise induced phosphorylation of @GENE$ (S237, T596) that correlated significantly with activity of the α2/β2/γ3 AMPK trimer, whereas TBC1D4 phosphorylation (S341, @VARIANT$) with exercise correlated with activity of the α2/β2/γ1 AMPK trime</t>
  </si>
  <si>
    <t>Exercise induced phosphorylation of @GENE$ (S237, T596) that correlated significantly with activity of the α2/β2/γ3 AMPK trimer, whereas TBC1D4 phosphorylation (S341, S704) with exercise correlated with activity of the @GENE$ trime</t>
  </si>
  <si>
    <t>Exercise induced phosphorylation of TBC1D1 (@VARIANT$, @VARIANT$) that correlated significantly with activity of the α2/β2/γ3 AMPK trimer, whereas TBC1D4 phosphorylation (S341, S704) with exercise correlated with activity of the α2/β2/γ1 AMPK trime</t>
  </si>
  <si>
    <t>Exercise induced phosphorylation of TBC1D1 (@VARIANT$, T596) that correlated significantly with activity of the @GENE$ trimer, whereas TBC1D4 phosphorylation (S341, S704) with exercise correlated with activity of the α2/β2/γ1 AMPK trime</t>
  </si>
  <si>
    <t xml:space="preserve">Positive correlation? </t>
  </si>
  <si>
    <t>Exercise induced phosphorylation of TBC1D1 (@VARIANT$, T596) that correlated significantly with activity of the α2/β2/γ3 AMPK trimer, whereas @GENE$ phosphorylation (S341, S704) with exercise correlated with activity of the α2/β2/γ1 AMPK trime</t>
  </si>
  <si>
    <t>Exercise induced phosphorylation of TBC1D1 (@VARIANT$, T596) that correlated significantly with activity of the α2/β2/γ3 AMPK trimer, whereas TBC1D4 phosphorylation (@VARIANT$, S704) with exercise correlated with activity of the α2/β2/γ1 AMPK trime</t>
  </si>
  <si>
    <t>Exercise induced phosphorylation of TBC1D1 (@VARIANT$, T596) that correlated significantly with activity of the α2/β2/γ3 AMPK trimer, whereas TBC1D4 phosphorylation (S341, @VARIANT$) with exercise correlated with activity of the α2/β2/γ1 AMPK trime</t>
  </si>
  <si>
    <t>Exercise induced phosphorylation of TBC1D1 (@VARIANT$, T596) that correlated significantly with activity of the α2/β2/γ3 AMPK trimer, whereas TBC1D4 phosphorylation (S341, S704) with exercise correlated with activity of the @GENE$ trime</t>
  </si>
  <si>
    <t>Exercise induced phosphorylation of TBC1D1 (S237, @VARIANT$) that correlated significantly with activity of the @GENE$ trimer, whereas TBC1D4 phosphorylation (S341, S704) with exercise correlated with activity of the α2/β2/γ1 AMPK trime</t>
  </si>
  <si>
    <t>Exercise induced phosphorylation of TBC1D1 (S237, @VARIANT$) that correlated significantly with activity of the α2/β2/γ3 AMPK trimer, whereas @GENE$ phosphorylation (S341, S704) with exercise correlated with activity of the α2/β2/γ1 AMPK trime</t>
  </si>
  <si>
    <t>Exercise induced phosphorylation of TBC1D1 (S237, @VARIANT$) that correlated significantly with activity of the α2/β2/γ3 AMPK trimer, whereas TBC1D4 phosphorylation (@VARIANT$, S704) with exercise correlated with activity of the α2/β2/γ1 AMPK trime</t>
  </si>
  <si>
    <t>Exercise induced phosphorylation of TBC1D1 (S237, @VARIANT$) that correlated significantly with activity of the α2/β2/γ3 AMPK trimer, whereas TBC1D4 phosphorylation (S341, @VARIANT$) with exercise correlated with activity of the α2/β2/γ1 AMPK trime</t>
  </si>
  <si>
    <t>Exercise induced phosphorylation of TBC1D1 (S237, @VARIANT$) that correlated significantly with activity of the α2/β2/γ3 AMPK trimer, whereas TBC1D4 phosphorylation (S341, S704) with exercise correlated with activity of the @GENE$ trime</t>
  </si>
  <si>
    <t>Exercise induced phosphorylation of TBC1D1 (S237, T596) that correlated significantly with activity of the @GENE$ trimer, whereas @GENE$ phosphorylation (S341, S704) with exercise correlated with activity of the α2/β2/γ1 AMPK trime</t>
  </si>
  <si>
    <t>Exercise induced phosphorylation of TBC1D1 (S237, T596) that correlated significantly with activity of the @GENE$ trimer, whereas TBC1D4 phosphorylation (@VARIANT$, S704) with exercise correlated with activity of the α2/β2/γ1 AMPK trime</t>
  </si>
  <si>
    <t>Exercise induced phosphorylation of TBC1D1 (S237, T596) that correlated significantly with activity of the @GENE$ trimer, whereas TBC1D4 phosphorylation (S341, @VARIANT$) with exercise correlated with activity of the α2/β2/γ1 AMPK trime</t>
  </si>
  <si>
    <t>Exercise induced phosphorylation of TBC1D1 (S237, T596) that correlated significantly with activity of the @GENE$ trimer, whereas TBC1D4 phosphorylation (S341, S704) with exercise correlated with activity of the @GENE$ trime</t>
  </si>
  <si>
    <t>Exercise induced phosphorylation of TBC1D1 (S237, T596) that correlated significantly with activity of the α2/β2/γ3 AMPK trimer, whereas @GENE$ phosphorylation (@VARIANT$, S704) with exercise correlated with activity of the α2/β2/γ1 AMPK trime</t>
  </si>
  <si>
    <t>Exercise induced phosphorylation of TBC1D1 (S237, T596) that correlated significantly with activity of the α2/β2/γ3 AMPK trimer, whereas @GENE$ phosphorylation (S341, @VARIANT$) with exercise correlated with activity of the α2/β2/γ1 AMPK trime</t>
  </si>
  <si>
    <t>Exercise induced phosphorylation of TBC1D1 (S237, T596) that correlated significantly with activity of the α2/β2/γ3 AMPK trimer, whereas @GENE$ phosphorylation (S341, S704) with exercise correlated with activity of the @GENE$ trime</t>
  </si>
  <si>
    <t>TBC1D4 phosphorylation correlates with AMPK activity = positive correlation</t>
  </si>
  <si>
    <t>Exercise induced phosphorylation of TBC1D1 (S237, T596) that correlated significantly with activity of the α2/β2/γ3 AMPK trimer, whereas TBC1D4 phosphorylation (@VARIANT$, @VARIANT$) with exercise correlated with activity of the α2/β2/γ1 AMPK trime</t>
  </si>
  <si>
    <t>Exercise induced phosphorylation of TBC1D1 (S237, T596) that correlated significantly with activity of the α2/β2/γ3 AMPK trimer, whereas TBC1D4 phosphorylation (@VARIANT$, S704) with exercise correlated with activity of the @GENE$ trime</t>
  </si>
  <si>
    <t>Exercise induced phosphorylation of TBC1D1 (S237, T596) that correlated significantly with activity of the α2/β2/γ3 AMPK trimer, whereas TBC1D4 phosphorylation (S341, @VARIANT$) with exercise correlated with activity of the @GENE$ trime</t>
  </si>
  <si>
    <t>Phosphorylation of @GENE$ on T172 is essential for its activation and S221 on @GENE$ is a well-established AMPK target</t>
  </si>
  <si>
    <t>Phosphorylation of AMPK on T172 is essential for its activation and S221 on ACC is a well-established AMPK target</t>
  </si>
  <si>
    <t>Are "T172", "S221" supposed to be tagged as "@VARIANT$"?</t>
  </si>
  <si>
    <t>Phosphorylation of @GENE$ on T172 is essential for its activation and S221 on ACC is a well-established @GENE$ target</t>
  </si>
  <si>
    <t>Phosphorylation of AMPK on T172 is essential for its activation and S221 on @GENE$ is a well-established @GENE$ target</t>
  </si>
  <si>
    <t>AMPK targets S221 on ACC, i.e. AMPK interacts with ACC = interaction</t>
  </si>
  <si>
    <t>Full activation of @GENE$ requires phosphorylation of T308 and S473</t>
  </si>
  <si>
    <t>Are "T308", "S473" supposed to be tagged as "@VARIANT$"?</t>
  </si>
  <si>
    <t>In the fasted state, phosphorylation of @VARIANT$ did not increase significantly with exercise</t>
  </si>
  <si>
    <t>In the fed state, on the other hand, @VARIANT$ phosphorylation was significantly increased in both the rested and exercised leg.</t>
  </si>
  <si>
    <t>Phosphorylation of @GENE$ at T172 correlates well with total @GENE$ activity in human skeletal muscle during whole body exercise</t>
  </si>
  <si>
    <t>(Phosphorylation of AMPK, correlates, AMPK kinase activity)</t>
  </si>
  <si>
    <t xml:space="preserve">Is "T172" supposed to be taggeed as @VARIANT$? </t>
  </si>
  <si>
    <t>Phosphorylation of @GENE$ at T172 correlates well with total AMPK kinase activity in @SPECIES$ skeletal muscle during whole body exercise</t>
  </si>
  <si>
    <t>Phosphorylation of AMPK at T172 correlates well with total @GENE$ activity in @SPECIES$ skeletal muscle during whole body exercise</t>
  </si>
  <si>
    <t>On the other hand, @VARIANT$ phosphorylation was regulated by both exercise (70%) and physiological @GENE$ (35%), and the two stimuli combined gave an additive response</t>
  </si>
  <si>
    <t>Should be 0? - no mention of which protein T596 is on</t>
  </si>
  <si>
    <t>In addition, S660 has been shown to be phosphorylated in response to exercise in @SPECIES$ skeletal muscle</t>
  </si>
  <si>
    <t>Is "S660" supposed to be tagged as "@VARIANT$"?</t>
  </si>
  <si>
    <t>Here we show that both S660 and @VARIANT$ are phosphorylated exclusively by exercise and not by physiological @GENE$ in human skeletal muscle</t>
  </si>
  <si>
    <t>Here we show that both S660 and @VARIANT$ are phosphorylated exclusively by exercise and not by physiological insulin in @SPECIES$ skeletal muscle</t>
  </si>
  <si>
    <t>Here we show that both S660 and S700 are phosphorylated exclusively by exercise and not by physiological @GENE$ in @SPECIES$ skeletal muscle</t>
  </si>
  <si>
    <t>Recent studies have suggested that the enzymatic activity of @GENE$ is possibly modulated by phosphorylation of serine/threonine residues located in the N-terminal domain of the enzyme</t>
  </si>
  <si>
    <t>Our data suggest that phosphorylation of @GENE$ at Ser154 by @GENE$ is important for enzymatic activity and protein stability of DNMT1</t>
  </si>
  <si>
    <t>(CDKs,  phosphorylates,  DNMT1 at Ser154 )</t>
  </si>
  <si>
    <t>Is "Ser154" supposed to be tagged as "@VARIANT$"?</t>
  </si>
  <si>
    <t>Our data suggest that phosphorylation of @GENE$ at Ser154 by CDKs is important for enzymatic activity and protein stability of @GENE$</t>
  </si>
  <si>
    <t>Our data suggest that phosphorylation of DNMT1 at Ser154 by @GENE$ is important for enzymatic activity and protein stability of @GENE$</t>
  </si>
  <si>
    <r>
      <rPr>
        <rFont val="Arial"/>
        <color theme="1"/>
        <sz val="10.0"/>
      </rPr>
      <t xml:space="preserve">Not clear that there is phosphorylation between these specific mentions of DNMT1 and CDK?
</t>
    </r>
    <r>
      <rPr>
        <rFont val="Arial"/>
        <color rgb="FF4A86E8"/>
        <sz val="10.0"/>
      </rPr>
      <t>Issue with clauses</t>
    </r>
  </si>
  <si>
    <t>In the present work, we report that members of the @GENE$ (@GENE$) family, including CDK1, 2 and 5, can phosphorylate human DNMT1 at Ser154.</t>
  </si>
  <si>
    <t>(CDK1, phosphorylates, DNMT1 at Ser154)</t>
  </si>
  <si>
    <t>In the present work, we report that members of the @GENE$ (CDK) family, including @GENE$, can phosphorylate human DNMT1 at Ser154.</t>
  </si>
  <si>
    <t>(CDK2, phosphorylates, DNMT1 at Ser154)</t>
  </si>
  <si>
    <t>In the present work, we report that members of the @GENE$ (CDK) family, including CDK1, 2 and 5, can phosphorylate @SPECIES$ DNMT1 at Ser154.</t>
  </si>
  <si>
    <t>(CDK5, phosphorylates, DNMT1 at Ser154)</t>
  </si>
  <si>
    <t>In the present work, we report that members of the @GENE$ (CDK) family, including CDK1, 2 and 5, can phosphorylate human @GENE$ at Ser154.</t>
  </si>
  <si>
    <t>In the present work, we report that members of the cyclin-dependent kinase (@GENE$) family, including @GENE$, can phosphorylate human DNMT1 at Ser154.</t>
  </si>
  <si>
    <t>In the present work, we report that members of the cyclin-dependent kinase (@GENE$) family, including CDK1, 2 and 5, can phosphorylate @SPECIES$ DNMT1 at Ser154.</t>
  </si>
  <si>
    <t>In the present work, we report that members of the cyclin-dependent kinase (@GENE$) family, including CDK1, 2 and 5, can phosphorylate human @GENE$ at Ser154.</t>
  </si>
  <si>
    <t>In the present work, we report that members of the cyclin-dependent kinase (CDK) family, including @GENE$, can phosphorylate @SPECIES$ DNMT1 at Ser154.</t>
  </si>
  <si>
    <t>In the present work, we report that members of the cyclin-dependent kinase (CDK) family, including @GENE$, can phosphorylate human @GENE$ at Ser154.</t>
  </si>
  <si>
    <t>CDK2 and CDK5 not able to be identified as @GENE$ when written like this --&gt; how can we clean up the input text better?</t>
  </si>
  <si>
    <t>In the present work, we report that members of the cyclin-dependent kinase (CDK) family, including CDK1, 2 and 5, can phosphorylate @SPECIES$ @GENE$ at Ser154.</t>
  </si>
  <si>
    <t>After this key step, @GENE$ (@GENE$) and cyclin-dependent kinases (Cdks) phosphorylate MCM2–7, leading to the recruitment of Cdc45 and GINS (Go, Ichi, Ni, and San) to form the CMG (Cdc45–MCMs–GINS) replicative helicase complex</t>
  </si>
  <si>
    <t>(DDK, phosphorylates, MCM2–7)</t>
  </si>
  <si>
    <t>After this key step, @GENE$ (DDK) and @GENE$ (Cdks) phosphorylate MCM2–7, leading to the recruitment of Cdc45 and GINS (Go, Ichi, Ni, and San) to form the CMG (Cdc45–MCMs–GINS) replicative helicase complex</t>
  </si>
  <si>
    <t>After this key step, @GENE$ (DDK) and cyclin-dependent kinases (@GENE$) phosphorylate MCM2–7, leading to the recruitment of Cdc45 and GINS (Go, Ichi, Ni, and San) to form the CMG (Cdc45–MCMs–GINS) replicative helicase complex</t>
  </si>
  <si>
    <t>After this key step, @GENE$ (DDK) and cyclin-dependent kinases (Cdks) phosphorylate @GENE$, leading to the recruitment of Cdc45 and GINS (Go, Ichi, Ni, and San) to form the CMG (Cdc45–MCMs–GINS) replicative helicase complex</t>
  </si>
  <si>
    <t>Should be 1 - DDK phosphorylates MCM2-7</t>
  </si>
  <si>
    <t>After this key step, @GENE$ (DDK) and cyclin-dependent kinases (Cdks) phosphorylate MCM2–7, leading to the recruitment of @GENE$ and GINS (Go, Ichi, Ni, and San) to form the CMG (Cdc45–MCMs–GINS) replicative helicase complex</t>
  </si>
  <si>
    <t>After this key step, @GENE$ (DDK) and cyclin-dependent kinases (Cdks) phosphorylate MCM2–7, leading to the recruitment of Cdc45 and @GENE$ (Go, Ichi, Ni, and San) to form the CMG (Cdc45–MCMs–GINS) replicative helicase complex</t>
  </si>
  <si>
    <t>After this key step, @GENE$ (DDK) and cyclin-dependent kinases (Cdks) phosphorylate MCM2–7, leading to the recruitment of Cdc45 and GINS (Go, Ichi, Ni, and San) to form the @GENE$ (Cdc45–MCMs–GINS) replicative helicase complex</t>
  </si>
  <si>
    <t>After this key step, @GENE$ (DDK) and cyclin-dependent kinases (Cdks) phosphorylate MCM2–7, leading to the recruitment of Cdc45 and GINS (Go, Ichi, Ni, and San) to form the CMG (@GENE$–MCMs–GINS) replicative helicase complex</t>
  </si>
  <si>
    <t>After this key step, @GENE$ (DDK) and cyclin-dependent kinases (Cdks) phosphorylate MCM2–7, leading to the recruitment of Cdc45 and GINS (Go, Ichi, Ni, and San) to form the CMG (Cdc45–@GENE$–GINS) replicative helicase complex</t>
  </si>
  <si>
    <t>After this key step, @GENE$ (DDK) and cyclin-dependent kinases (Cdks) phosphorylate MCM2–7, leading to the recruitment of Cdc45 and GINS (Go, Ichi, Ni, and San) to form the CMG (Cdc45–MCMs–@GENE$) replicative helicase complex</t>
  </si>
  <si>
    <t>After this key step, Dbf4-dependent kinase (@GENE$) and @GENE$ (Cdks) phosphorylate MCM2–7, leading to the recruitment of Cdc45 and GINS (Go, Ichi, Ni, and San) to form the CMG (Cdc45–MCMs–GINS) replicative helicase complex</t>
  </si>
  <si>
    <t>After this key step, Dbf4-dependent kinase (@GENE$) and cyclin-dependent kinases (@GENE$) phosphorylate MCM2–7, leading to the recruitment of Cdc45 and GINS (Go, Ichi, Ni, and San) to form the CMG (Cdc45–MCMs–GINS) replicative helicase complex</t>
  </si>
  <si>
    <t>After this key step, Dbf4-dependent kinase (@GENE$) and cyclin-dependent kinases (Cdks) phosphorylate @GENE$, leading to the recruitment of Cdc45 and GINS (Go, Ichi, Ni, and San) to form the CMG (Cdc45–MCMs–GINS) replicative helicase complex</t>
  </si>
  <si>
    <t>After this key step, Dbf4-dependent kinase (@GENE$) and cyclin-dependent kinases (Cdks) phosphorylate MCM2–7, leading to the recruitment of @GENE$ and GINS (Go, Ichi, Ni, and San) to form the CMG (Cdc45–MCMs–GINS) replicative helicase complex</t>
  </si>
  <si>
    <t>After this key step, Dbf4-dependent kinase (@GENE$) and cyclin-dependent kinases (Cdks) phosphorylate MCM2–7, leading to the recruitment of Cdc45 and @GENE$ (Go, Ichi, Ni, and San) to form the CMG (Cdc45–MCMs–GINS) replicative helicase complex</t>
  </si>
  <si>
    <t>After this key step, Dbf4-dependent kinase (@GENE$) and cyclin-dependent kinases (Cdks) phosphorylate MCM2–7, leading to the recruitment of Cdc45 and GINS (Go, Ichi, Ni, and San) to form the @GENE$ (Cdc45–MCMs–GINS) replicative helicase complex</t>
  </si>
  <si>
    <t>After this key step, Dbf4-dependent kinase (@GENE$) and cyclin-dependent kinases (Cdks) phosphorylate MCM2–7, leading to the recruitment of Cdc45 and GINS (Go, Ichi, Ni, and San) to form the CMG (@GENE$–MCMs–GINS) replicative helicase complex</t>
  </si>
  <si>
    <t>After this key step, Dbf4-dependent kinase (@GENE$) and cyclin-dependent kinases (Cdks) phosphorylate MCM2–7, leading to the recruitment of Cdc45 and GINS (Go, Ichi, Ni, and San) to form the CMG (Cdc45–@GENE$–GINS) replicative helicase complex</t>
  </si>
  <si>
    <t>After this key step, Dbf4-dependent kinase (@GENE$) and cyclin-dependent kinases (Cdks) phosphorylate MCM2–7, leading to the recruitment of Cdc45 and GINS (Go, Ichi, Ni, and San) to form the CMG (Cdc45–MCMs–@GENE$) replicative helicase complex</t>
  </si>
  <si>
    <t>After this key step, Dbf4-dependent kinase (DDK) and @GENE$ (@GENE$) phosphorylate MCM2–7, leading to the recruitment of Cdc45 and GINS (Go, Ichi, Ni, and San) to form the CMG (Cdc45–MCMs–GINS) replicative helicase complex</t>
  </si>
  <si>
    <t>After this key step, Dbf4-dependent kinase (DDK) and @GENE$ (Cdks) phosphorylate @GENE$, leading to the recruitment of Cdc45 and GINS (Go, Ichi, Ni, and San) to form the CMG (Cdc45–MCMs–GINS) replicative helicase complex</t>
  </si>
  <si>
    <t>After this key step, Dbf4-dependent kinase (DDK) and @GENE$ (Cdks) phosphorylate MCM2–7, leading to the recruitment of @GENE$ and GINS (Go, Ichi, Ni, and San) to form the CMG (Cdc45–MCMs–GINS) replicative helicase complex</t>
  </si>
  <si>
    <t>After this key step, Dbf4-dependent kinase (DDK) and @GENE$ (Cdks) phosphorylate MCM2–7, leading to the recruitment of Cdc45 and @GENE$ (Go, Ichi, Ni, and San) to form the CMG (Cdc45–MCMs–GINS) replicative helicase complex</t>
  </si>
  <si>
    <t>After this key step, Dbf4-dependent kinase (DDK) and @GENE$ (Cdks) phosphorylate MCM2–7, leading to the recruitment of Cdc45 and GINS (Go, Ichi, Ni, and San) to form the @GENE$ (Cdc45–MCMs–GINS) replicative helicase complex</t>
  </si>
  <si>
    <t>After this key step, Dbf4-dependent kinase (DDK) and @GENE$ (Cdks) phosphorylate MCM2–7, leading to the recruitment of Cdc45 and GINS (Go, Ichi, Ni, and San) to form the CMG (@GENE$–MCMs–GINS) replicative helicase complex</t>
  </si>
  <si>
    <t>After this key step, Dbf4-dependent kinase (DDK) and @GENE$ (Cdks) phosphorylate MCM2–7, leading to the recruitment of Cdc45 and GINS (Go, Ichi, Ni, and San) to form the CMG (Cdc45–@GENE$–GINS) replicative helicase complex</t>
  </si>
  <si>
    <t>After this key step, Dbf4-dependent kinase (DDK) and @GENE$ (Cdks) phosphorylate MCM2–7, leading to the recruitment of Cdc45 and GINS (Go, Ichi, Ni, and San) to form the CMG (Cdc45–MCMs–@GENE$) replicative helicase complex</t>
  </si>
  <si>
    <t>After this key step, Dbf4-dependent kinase (DDK) and cyclin-dependent kinases (@GENE$) phosphorylate @GENE$, leading to the recruitment of Cdc45 and GINS (Go, Ichi, Ni, and San) to form the CMG (Cdc45–MCMs–GINS) replicative helicase complex</t>
  </si>
  <si>
    <t>After this key step, Dbf4-dependent kinase (DDK) and cyclin-dependent kinases (@GENE$) phosphorylate MCM2–7, leading to the recruitment of @GENE$ and GINS (Go, Ichi, Ni, and San) to form the CMG (Cdc45–MCMs–GINS) replicative helicase complex</t>
  </si>
  <si>
    <t>After this key step, Dbf4-dependent kinase (DDK) and cyclin-dependent kinases (@GENE$) phosphorylate MCM2–7, leading to the recruitment of Cdc45 and @GENE$ (Go, Ichi, Ni, and San) to form the CMG (Cdc45–MCMs–GINS) replicative helicase complex</t>
  </si>
  <si>
    <t>After this key step, Dbf4-dependent kinase (DDK) and cyclin-dependent kinases (@GENE$) phosphorylate MCM2–7, leading to the recruitment of Cdc45 and GINS (Go, Ichi, Ni, and San) to form the @GENE$ (Cdc45–MCMs–GINS) replicative helicase complex</t>
  </si>
  <si>
    <t>After this key step, Dbf4-dependent kinase (DDK) and cyclin-dependent kinases (@GENE$) phosphorylate MCM2–7, leading to the recruitment of Cdc45 and GINS (Go, Ichi, Ni, and San) to form the CMG (@GENE$–MCMs–GINS) replicative helicase complex</t>
  </si>
  <si>
    <t>After this key step, Dbf4-dependent kinase (DDK) and cyclin-dependent kinases (@GENE$) phosphorylate MCM2–7, leading to the recruitment of Cdc45 and GINS (Go, Ichi, Ni, and San) to form the CMG (Cdc45–@GENE$–GINS) replicative helicase complex</t>
  </si>
  <si>
    <t>After this key step, Dbf4-dependent kinase (DDK) and cyclin-dependent kinases (@GENE$) phosphorylate MCM2–7, leading to the recruitment of Cdc45 and GINS (Go, Ichi, Ni, and San) to form the CMG (Cdc45–MCMs–@GENE$) replicative helicase complex</t>
  </si>
  <si>
    <t>After this key step, Dbf4-dependent kinase (DDK) and cyclin-dependent kinases (Cdks) phosphorylate @GENE$, leading to the recruitment of @GENE$ and GINS (Go, Ichi, Ni, and San) to form the CMG (Cdc45–MCMs–GINS) replicative helicase complex</t>
  </si>
  <si>
    <t>Cdc45 recruited to MCM2-7 = protein-protein interaction</t>
  </si>
  <si>
    <t>After this key step, Dbf4-dependent kinase (DDK) and cyclin-dependent kinases (Cdks) phosphorylate @GENE$, leading to the recruitment of Cdc45 and @GENE$ (Go, Ichi, Ni, and San) to form the CMG (Cdc45–MCMs–GINS) replicative helicase complex</t>
  </si>
  <si>
    <t>GINS recruited to MCM2-7 = protein-protein interaction</t>
  </si>
  <si>
    <t>After this key step, Dbf4-dependent kinase (DDK) and cyclin-dependent kinases (Cdks) phosphorylate @GENE$, leading to the recruitment of Cdc45 and GINS (Go, Ichi, Ni, and San) to form the @GENE$ (Cdc45–MCMs–GINS) replicative helicase complex</t>
  </si>
  <si>
    <t>After this key step, Dbf4-dependent kinase (DDK) and cyclin-dependent kinases (Cdks) phosphorylate @GENE$, leading to the recruitment of Cdc45 and GINS (Go, Ichi, Ni, and San) to form the CMG (@GENE$–MCMs–GINS) replicative helicase complex</t>
  </si>
  <si>
    <t>After this key step, Dbf4-dependent kinase (DDK) and cyclin-dependent kinases (Cdks) phosphorylate @GENE$, leading to the recruitment of Cdc45 and GINS (Go, Ichi, Ni, and San) to form the CMG (Cdc45–@GENE$–GINS) replicative helicase complex</t>
  </si>
  <si>
    <t>After this key step, Dbf4-dependent kinase (DDK) and cyclin-dependent kinases (Cdks) phosphorylate @GENE$, leading to the recruitment of Cdc45 and GINS (Go, Ichi, Ni, and San) to form the CMG (Cdc45–MCMs–@GENE$) replicative helicase complex</t>
  </si>
  <si>
    <t>After this key step, Dbf4-dependent kinase (DDK) and cyclin-dependent kinases (Cdks) phosphorylate MCM2–7, leading to the recruitment of @GENE$ and @GENE$ (Go, Ichi, Ni, and San) to form the CMG (Cdc45–MCMs–GINS) replicative helicase complex</t>
  </si>
  <si>
    <t>After this key step, Dbf4-dependent kinase (DDK) and cyclin-dependent kinases (Cdks) phosphorylate MCM2–7, leading to the recruitment of @GENE$ and GINS (Go, Ichi, Ni, and San) to form the @GENE$ (Cdc45–MCMs–GINS) replicative helicase complex</t>
  </si>
  <si>
    <t>After this key step, Dbf4-dependent kinase (DDK) and cyclin-dependent kinases (Cdks) phosphorylate MCM2–7, leading to the recruitment of @GENE$ and GINS (Go, Ichi, Ni, and San) to form the CMG (@GENE$–MCMs–GINS) replicative helicase complex</t>
  </si>
  <si>
    <t>After this key step, Dbf4-dependent kinase (DDK) and cyclin-dependent kinases (Cdks) phosphorylate MCM2–7, leading to the recruitment of @GENE$ and GINS (Go, Ichi, Ni, and San) to form the CMG (Cdc45–@GENE$–GINS) replicative helicase complex</t>
  </si>
  <si>
    <t>After this key step, Dbf4-dependent kinase (DDK) and cyclin-dependent kinases (Cdks) phosphorylate MCM2–7, leading to the recruitment of @GENE$ and GINS (Go, Ichi, Ni, and San) to form the CMG (Cdc45–MCMs–@GENE$) replicative helicase complex</t>
  </si>
  <si>
    <t>After this key step, Dbf4-dependent kinase (DDK) and cyclin-dependent kinases (Cdks) phosphorylate MCM2–7, leading to the recruitment of Cdc45 and @GENE$ (Go, Ichi, Ni, and San) to form the @GENE$ (Cdc45–MCMs–GINS) replicative helicase complex</t>
  </si>
  <si>
    <t>After this key step, Dbf4-dependent kinase (DDK) and cyclin-dependent kinases (Cdks) phosphorylate MCM2–7, leading to the recruitment of Cdc45 and @GENE$ (Go, Ichi, Ni, and San) to form the CMG (@GENE$–MCMs–GINS) replicative helicase complex</t>
  </si>
  <si>
    <t>After this key step, Dbf4-dependent kinase (DDK) and cyclin-dependent kinases (Cdks) phosphorylate MCM2–7, leading to the recruitment of Cdc45 and @GENE$ (Go, Ichi, Ni, and San) to form the CMG (Cdc45–@GENE$–GINS) replicative helicase complex</t>
  </si>
  <si>
    <t>After this key step, Dbf4-dependent kinase (DDK) and cyclin-dependent kinases (Cdks) phosphorylate MCM2–7, leading to the recruitment of Cdc45 and @GENE$ (Go, Ichi, Ni, and San) to form the CMG (Cdc45–MCMs–@GENE$) replicative helicase complex</t>
  </si>
  <si>
    <t>After this key step, Dbf4-dependent kinase (DDK) and cyclin-dependent kinases (Cdks) phosphorylate MCM2–7, leading to the recruitment of Cdc45 and GINS (Go, Ichi, Ni, and San) to form the @GENE$ (@GENE$–MCMs–GINS) replicative helicase complex</t>
  </si>
  <si>
    <t>After this key step, Dbf4-dependent kinase (DDK) and cyclin-dependent kinases (Cdks) phosphorylate MCM2–7, leading to the recruitment of Cdc45 and GINS (Go, Ichi, Ni, and San) to form the @GENE$ (Cdc45–@GENE$–GINS) replicative helicase complex</t>
  </si>
  <si>
    <t>After this key step, Dbf4-dependent kinase (DDK) and cyclin-dependent kinases (Cdks) phosphorylate MCM2–7, leading to the recruitment of Cdc45 and GINS (Go, Ichi, Ni, and San) to form the @GENE$ (Cdc45–MCMs–@GENE$) replicative helicase complex</t>
  </si>
  <si>
    <t>After this key step, Dbf4-dependent kinase (DDK) and cyclin-dependent kinases (Cdks) phosphorylate MCM2–7, leading to the recruitment of Cdc45 and GINS (Go, Ichi, Ni, and San) to form the CMG (@GENE$–@GENE$–GINS) replicative helicase complex</t>
  </si>
  <si>
    <t>Cdc45 in complex with MCM2-7 = protein-protein interaction</t>
  </si>
  <si>
    <t>After this key step, Dbf4-dependent kinase (DDK) and cyclin-dependent kinases (Cdks) phosphorylate MCM2–7, leading to the recruitment of Cdc45 and GINS (Go, Ichi, Ni, and San) to form the CMG (@GENE$–MCMs–@GENE$) replicative helicase complex</t>
  </si>
  <si>
    <t>Cdc45 in complex with GINS = protein-protein interaction</t>
  </si>
  <si>
    <t>After this key step, Dbf4-dependent kinase (DDK) and cyclin-dependent kinases (Cdks) phosphorylate MCM2–7, leading to the recruitment of Cdc45 and GINS (Go, Ichi, Ni, and San) to form the CMG (Cdc45–@GENE$–@GENE$) replicative helicase complex</t>
  </si>
  <si>
    <t>GINS in complex with MCM2-7 = protein-protein interaction</t>
  </si>
  <si>
    <t>In general, @GENE$ phosphorylation of @GENE$ is essential for the initiation of DNA replication</t>
  </si>
  <si>
    <t>(Cdc7, phosphorylates, MCMs)</t>
  </si>
  <si>
    <t>@GENE$/@GENE$ phosphorylation of MCM3 Thr-722 promoted its chromatin loading</t>
  </si>
  <si>
    <t>(Cdk2, phosphorylates, MCM3 at Thr722)</t>
  </si>
  <si>
    <t>@GENE$/CycE phosphorylation of @GENE$ Thr-722 promoted its chromatin loading</t>
  </si>
  <si>
    <t>(CycE, phosphorylates, MCM3 at Thr722)</t>
  </si>
  <si>
    <t>@GENE$/CycE phosphorylation of MCM3 @VARIANT$ promoted its chromatin loading</t>
  </si>
  <si>
    <t>Cdk2/@GENE$ phosphorylation of @GENE$ Thr-722 promoted its chromatin loading</t>
  </si>
  <si>
    <t>Cdk2/@GENE$ phosphorylation of MCM3 @VARIANT$ promoted its chromatin loading</t>
  </si>
  <si>
    <t>Cdk2/CycE phosphorylation of @GENE$ @VARIANT$ promoted its chromatin loading</t>
  </si>
  <si>
    <t>it was found that both @GENE$/@GENE$ and Cdk1/CycB phosphorylate MCM7 at Ser-121</t>
  </si>
  <si>
    <t>(Cdk2, phosphorylates, MCM7 at Ser-121)</t>
  </si>
  <si>
    <t>Is "Ser-121" supposed to be tagged as "@VARIANT$"?</t>
  </si>
  <si>
    <t>it was found that both @GENE$/CycE and @GENE$/CycB phosphorylate MCM7 at Ser-121</t>
  </si>
  <si>
    <t>(CycE, phosphorylates, MCM7 at Ser-121)</t>
  </si>
  <si>
    <t>it was found that both @GENE$/CycE and Cdk1/@GENE$ phosphorylate MCM7 at Ser-121</t>
  </si>
  <si>
    <t>(Cdk1, phosphorylates, MCM7 at Ser-121)</t>
  </si>
  <si>
    <t>it was found that both @GENE$/CycE and Cdk1/CycB phosphorylate @GENE$ at Ser-121</t>
  </si>
  <si>
    <t>(CycB, phosphorylates, MCM7 at Ser-121)</t>
  </si>
  <si>
    <t>it was found that both Cdk2/@GENE$ and @GENE$/CycB phosphorylate MCM7 at Ser-121</t>
  </si>
  <si>
    <t>it was found that both Cdk2/@GENE$ and Cdk1/@GENE$ phosphorylate MCM7 at Ser-121</t>
  </si>
  <si>
    <t>it was found that both Cdk2/@GENE$ and Cdk1/CycB phosphorylate @GENE$ at Ser-121</t>
  </si>
  <si>
    <t>it was found that both Cdk2/CycE and @GENE$/@GENE$ phosphorylate MCM7 at Ser-121</t>
  </si>
  <si>
    <t>it was found that both Cdk2/CycE and @GENE$/CycB phosphorylate @GENE$ at Ser-121</t>
  </si>
  <si>
    <t>it was found that both Cdk2/CycE and Cdk1/@GENE$ phosphorylate @GENE$ at Ser-121</t>
  </si>
  <si>
    <t>Similarly, @GENE$-dependent phosphorylation of @GENE$ at multiple sites decreases the binding of MCM complex to DNA, avoiding re-replication during mitosis</t>
  </si>
  <si>
    <t>(Cdk1/2, phosphorylates, MCM4)</t>
  </si>
  <si>
    <t>Similarly, @GENE$-dependent phosphorylation of MCM4 at multiple sites decreases the binding of @GENE$ complex to DNA, avoiding re-replication during mitosis</t>
  </si>
  <si>
    <r>
      <rPr>
        <rFont val="Arial"/>
        <color theme="1"/>
        <sz val="10.0"/>
      </rPr>
      <t xml:space="preserve">Not clear that there is phosphorylation between these specific mentions of Cdk1/2 and MCM? </t>
    </r>
    <r>
      <rPr>
        <rFont val="Arial"/>
        <color rgb="FF4A86E8"/>
        <sz val="10.0"/>
      </rPr>
      <t>Issue with clauses</t>
    </r>
  </si>
  <si>
    <t>Similarly, Cdk1/2-dependent phosphorylation of @GENE$ at multiple sites decreases the binding of @GENE$ complex to DNA, avoiding re-replication during mitosis</t>
  </si>
  <si>
    <t>Interestingly, studies on the nuclear localization of chromatin-bound @GENE$, phosphorylated at the Ser-3 and Ser-32 by @GENE$, showed that the nuclear localization was not generally colocalized with replicating DNA</t>
  </si>
  <si>
    <t>(Cdk2, phosphorylates, MCM4)</t>
  </si>
  <si>
    <t>Are "Ser-3" and "Ser-32" supposed to be tagged as "@VARIANT$?"</t>
  </si>
  <si>
    <t>It was suggested by Shi et al. that @GENE$ phosphorylated @SPECIES$ MCM3 C-terminal at Ser-728, in response to DNA damage.</t>
  </si>
  <si>
    <t>(ATM, phosphorylates, MCM3 at Ser728)</t>
  </si>
  <si>
    <t>Is "Ser-728" supposed to be tagged as "@VARIANT$"?</t>
  </si>
  <si>
    <t>It was suggested by Shi et al. that @GENE$ phosphorylated human @GENE$ C-terminal at Ser-728, in response to DNA damage.</t>
  </si>
  <si>
    <t>It was suggested by Shi et al. that ATM phosphorylated @SPECIES$ @GENE$ C-terminal at Ser-728, in response to DNA damage.</t>
  </si>
  <si>
    <t>Whereas @GENE$ phosphorylated @GENE$ at Ser-108 in response to multiple forms of DNA damage and stalling of replication forks including: IR, UV light, HU, and polyamides</t>
  </si>
  <si>
    <t>(ATR, phosphorylates, MCM2 at Ser108)</t>
  </si>
  <si>
    <t>Is "Ser-108" supposed to be tagged as "@VARIANT$"?</t>
  </si>
  <si>
    <t>Whereas @GENE$ phosphorylated MCM2 at Ser-108 in response to multiple forms of DNA damage and stalling of replication forks including: IR, UV light, @CHEMICAL$, and polyamides</t>
  </si>
  <si>
    <t>HU induces ATR activity = stimulates?</t>
  </si>
  <si>
    <t>Whereas @GENE$ phosphorylated MCM2 at Ser-108 in response to multiple forms of DNA damage and stalling of replication forks including: IR, UV light, HU, and @CHEMICAL$</t>
  </si>
  <si>
    <t>Polyamides induce ATR activity = stimulates?</t>
  </si>
  <si>
    <t>Whereas ATR phosphorylated @GENE$ at Ser-108 in response to multiple forms of DNA damage and stalling of replication forks including: IR, UV light, @CHEMICAL$, and polyamides</t>
  </si>
  <si>
    <t>Whereas ATR phosphorylated @GENE$ at Ser-108 in response to multiple forms of DNA damage and stalling of replication forks including: IR, UV light, HU, and @CHEMICAL$</t>
  </si>
  <si>
    <t>Whereas ATR phosphorylated MCM2 at Ser-108 in response to multiple forms of DNA damage and stalling of replication forks including: IR, UV light, @CHEMICAL$, and @CHEMICAL$</t>
  </si>
  <si>
    <t>@GENE$ phosphorylation at Tyr-600 mediated by @GENE$ (EGFR)-p56Lyn-axis promotes MCM complex assembly and chromatin loading, consequently enhancing DNA synthesis and cancer cell proliferation</t>
  </si>
  <si>
    <t>(EGFR-p56Lyn-axis, mediates phosphorylation of, MCM7 at Tyr600)</t>
  </si>
  <si>
    <t>Is "Tyf-600" supposed to be tagged as "@VARIANT$"?</t>
  </si>
  <si>
    <t>@GENE$ phosphorylation at Tyr-600 mediated by epidermal growth factor receptor (@GENE$)-p56Lyn-axis promotes MCM complex assembly and chromatin loading, consequently enhancing DNA synthesis and cancer cell proliferation</t>
  </si>
  <si>
    <t xml:space="preserve">EFGR-p56Lyn mediates phosphorylation? Does considering them separetly vs together affect labelling? </t>
  </si>
  <si>
    <t>@GENE$ phosphorylation at Tyr-600 mediated by epidermal growth factor receptor (EGFR)-@GENE$-axis promotes MCM complex assembly and chromatin loading, consequently enhancing DNA synthesis and cancer cell proliferation</t>
  </si>
  <si>
    <t>@GENE$ phosphorylation at Tyr-600 mediated by epidermal growth factor receptor (EGFR)-p56Lyn-axis promotes @GENE$ complex assembly and chromatin loading, consequently enhancing DNA synthesis and cancer cell proliferation</t>
  </si>
  <si>
    <t>@GENE$ phosphorylation at Tyr-600 mediated by epidermal growth factor receptor (EGFR)-p56Lyn-axis promotes MCM complex assembly and chromatin loading, consequently enhancing DNA synthesis and @DISEASE$ cell proliferation</t>
  </si>
  <si>
    <t>MCM phosphorylation promotes cancer cell proliferation = stimulation? causation?</t>
  </si>
  <si>
    <t>MCM7 phosphorylation at Tyr-600 mediated by @GENE$ (@GENE$)-p56Lyn-axis promotes MCM complex assembly and chromatin loading, consequently enhancing DNA synthesis and cancer cell proliferation</t>
  </si>
  <si>
    <t>MCM7 phosphorylation at Tyr-600 mediated by @GENE$ (EGFR)-@GENE$-axis promotes MCM complex assembly and chromatin loading, consequently enhancing DNA synthesis and cancer cell proliferation</t>
  </si>
  <si>
    <t>EGFR and p56Lyn form an axis = protein-protein interaction?</t>
  </si>
  <si>
    <t>MCM7 phosphorylation at Tyr-600 mediated by @GENE$ (EGFR)-p56Lyn-axis promotes @GENE$ complex assembly and chromatin loading, consequently enhancing DNA synthesis and cancer cell proliferation</t>
  </si>
  <si>
    <t>MCM7 phosphorylation at Tyr-600 mediated by @GENE$ (EGFR)-p56Lyn-axis promotes MCM complex assembly and chromatin loading, consequently enhancing DNA synthesis and @DISEASE$ cell proliferation</t>
  </si>
  <si>
    <t>MCM7 phosphorylation at Tyr-600 mediated by epidermal growth factor receptor (@GENE$)-@GENE$-axis promotes MCM complex assembly and chromatin loading, consequently enhancing DNA synthesis and cancer cell proliferation</t>
  </si>
  <si>
    <t>MCM7 phosphorylation at Tyr-600 mediated by epidermal growth factor receptor (@GENE$)-p56Lyn-axis promotes @GENE$ complex assembly and chromatin loading, consequently enhancing DNA synthesis and cancer cell proliferation</t>
  </si>
  <si>
    <t>If below is tagged, then this should be tagged too.  But I would keep as 0 since its not clear that EGFR phosphorylates MCM in this clause</t>
  </si>
  <si>
    <t>MCM7 phosphorylation at Tyr-600 mediated by epidermal growth factor receptor (@GENE$)-p56Lyn-axis promotes MCM complex assembly and chromatin loading, consequently enhancing DNA synthesis and @DISEASE$ cell proliferation</t>
  </si>
  <si>
    <t>MCM7 phosphorylation at Tyr-600 mediated by epidermal growth factor receptor (EGFR)-@GENE$-axis promotes @GENE$ complex assembly and chromatin loading, consequently enhancing DNA synthesis and cancer cell proliferation</t>
  </si>
  <si>
    <r>
      <rPr>
        <rFont val="Arial"/>
        <color theme="1"/>
        <sz val="10.0"/>
      </rPr>
      <t xml:space="preserve">Is p65Lyn also involved (together with EGFR) in phosphorylation of MCM7? </t>
    </r>
    <r>
      <rPr>
        <rFont val="Arial"/>
        <color rgb="FF4A86E8"/>
        <sz val="10.0"/>
      </rPr>
      <t>I would keep as 0 since its not clear that p56Lyn phosphorylates MCM in this clause</t>
    </r>
  </si>
  <si>
    <t>MCM7 phosphorylation at Tyr-600 mediated by epidermal growth factor receptor (EGFR)-@GENE$-axis promotes MCM complex assembly and chromatin loading, consequently enhancing DNA synthesis and @DISEASE$ cell proliferation</t>
  </si>
  <si>
    <t>MCM7 phosphorylation at Tyr-600 mediated by epidermal growth factor receptor (EGFR)-p56Lyn-axis promotes @GENE$ complex assembly and chromatin loading, consequently enhancing DNA synthesis and @DISEASE$ cell proliferation</t>
  </si>
  <si>
    <t>MCM phosphorylation and complex assembly promotes cancer cell proliferation = stimulation? causation?</t>
  </si>
  <si>
    <t>@GENE$ was reported to be phosphorylated by @GENE$ (DAPK) at Ser-160</t>
  </si>
  <si>
    <t>(DAPK, phosphorylates, MCM3 at Ser160)</t>
  </si>
  <si>
    <t>Is "Ser-160" supposed to be tagged as "@VARIANT$"?</t>
  </si>
  <si>
    <t>@GENE$ was reported to be phosphorylated by death-associated protein kinase (@GENE$) at Ser-160</t>
  </si>
  <si>
    <t>MCM3 was reported to be phosphorylated by @GENE$ (@GENE$) at Ser-160</t>
  </si>
  <si>
    <t>@GENE$ was phosphorylated by @GENE$ (EBV-PK) at Thr-19 and Thr-110</t>
  </si>
  <si>
    <t>(EBV-PK, phosphorylates, MCM4)</t>
  </si>
  <si>
    <t>Are "Thr-19" and "Thr-110" supposed to be tagged as "@VARIANT$"?</t>
  </si>
  <si>
    <t>@GENE$ was phosphorylated by Epstein–Barr virus-encoded protein kinase (@GENE$) at Thr-19 and Thr-110</t>
  </si>
  <si>
    <t>MCM4 was phosphorylated by @GENE$ (@GENE$) at Thr-19 and Thr-110</t>
  </si>
  <si>
    <t>@GENE$-dependent @GENE$ phosphorylation, mediated by Sld5, is required for MCM helicase activity, but it does not affect the chromatin association of MCM2</t>
  </si>
  <si>
    <t>(SIK1, phosphorylates, MCM2)</t>
  </si>
  <si>
    <t>@GENE$-dependent MCM2 phosphorylation, mediated by @GENE$, is required for MCM helicase activity, but it does not affect the chromatin association of MCM2</t>
  </si>
  <si>
    <t>(Phosphorylation of MCM2, required for, MCM helicase activity)</t>
  </si>
  <si>
    <t>@GENE$-dependent MCM2 phosphorylation, mediated by Sld5, is required for @GENE$ helicase activity, but it does not affect the chromatin association of MCM2</t>
  </si>
  <si>
    <t>@GENE$-dependent MCM2 phosphorylation, mediated by Sld5, is required for MCM helicase activity, but it does not affect the chromatin association of @GENE$</t>
  </si>
  <si>
    <r>
      <rPr>
        <rFont val="Arial"/>
        <color theme="1"/>
        <sz val="10.0"/>
      </rPr>
      <t xml:space="preserve">Should be 0 - Not clear that there is phosphorylation between these specific mentions of SIK1 and MCM2  </t>
    </r>
    <r>
      <rPr>
        <rFont val="Arial"/>
        <color rgb="FF4A86E8"/>
        <sz val="10.0"/>
      </rPr>
      <t>Issue with clauses</t>
    </r>
  </si>
  <si>
    <t>SIK1-dependent @GENE$ phosphorylation, mediated by @GENE$, is required for MCM helicase activity, but it does not affect the chromatin association of MCM2</t>
  </si>
  <si>
    <t>Should be 1 - MCM2 phosphorylation is mediated by Sld5 = relation</t>
  </si>
  <si>
    <t>SIK1-dependent @GENE$ phosphorylation, mediated by Sld5, is required for @GENE$ helicase activity, but it does not affect the chromatin association of MCM2</t>
  </si>
  <si>
    <t>SIK1-dependent @GENE$ phosphorylation, mediated by Sld5, is required for MCM helicase activity, but it does not affect the chromatin association of @GENE$</t>
  </si>
  <si>
    <t>SIK1-dependent MCM2 phosphorylation, mediated by @GENE$, is required for @GENE$ helicase activity, but it does not affect the chromatin association of MCM2</t>
  </si>
  <si>
    <t>SIK1-dependent MCM2 phosphorylation, mediated by @GENE$, is required for MCM helicase activity, but it does not affect the chromatin association of @GENE$</t>
  </si>
  <si>
    <t>Issue with clauses</t>
  </si>
  <si>
    <t>SIK1-dependent MCM2 phosphorylation, mediated by Sld5, is required for @GENE$ helicase activity, but it does not affect the chromatin association of @GENE$</t>
  </si>
  <si>
    <t>Here we show that @GENE$ phosphorylates @SPECIES$ HNF4α on three tyrosines in an interdependent and isoform-specific fashion.</t>
  </si>
  <si>
    <t>(c-Src, phosphorylates, HNF4a on three tyrosines)</t>
  </si>
  <si>
    <t>Here we show that @GENE$ phosphorylates human @GENE$ on three tyrosines in an interdependent and isoform-specific fashion.</t>
  </si>
  <si>
    <t>Here we show that c-Src phosphorylates @SPECIES$ @GENE$ on three tyrosines in an interdependent and isoform-specific fashion.</t>
  </si>
  <si>
    <t>We also show that the phosphorylation is influenced by the SH2 and SH3 domains of @GENE$ and by SNPs in @GENE$.</t>
  </si>
  <si>
    <t>Phosphorylation of @GENE$ at Ser-40 through a @GENE$ mechanism has been reported to play a critical role in the dissociation of Nrf2 from Keap1, an negative regulator of Nrf2</t>
  </si>
  <si>
    <t>(PKC, phosphorylates, Nrf2 at Ser40)</t>
  </si>
  <si>
    <t>Is "Ser-40" supposed to be tagged as "@VARIANT$"?</t>
  </si>
  <si>
    <t>Phosphorylation of @GENE$ at Ser-40 through a PKCbased mechanism has been reported to play a critical role in the dissociation of @GENE$ from Keap1, an negative regulator of Nrf2</t>
  </si>
  <si>
    <t>Phosphorylation of @GENE$ at Ser-40 through a PKCbased mechanism has been reported to play a critical role in the dissociation of Nrf2 from @GENE$, an negative regulator of Nrf2</t>
  </si>
  <si>
    <t>Phosphorylation of @GENE$ at Ser-40 through a PKCbased mechanism has been reported to play a critical role in the dissociation of Nrf2 from Keap1, an negative regulator of @GENE$</t>
  </si>
  <si>
    <t>Phosphorylation of Nrf2 at Ser-40 through a @GENE$ mechanism has been reported to play a critical role in the dissociation of @GENE$ from Keap1, an negative regulator of Nrf2</t>
  </si>
  <si>
    <t>Should be 0 - Not clear that there is binding between these specific mentions of PKC and Nrf2, all ligand-receptor binding will now be classified as protein-protein interaction anyway</t>
  </si>
  <si>
    <t>If PKC directly phosphorylates Nrf2 = protein-protein interaction?</t>
  </si>
  <si>
    <t>Phosphorylation of Nrf2 at Ser-40 through a @GENE$ mechanism has been reported to play a critical role in the dissociation of Nrf2 from @GENE$, an negative regulator of Nrf2</t>
  </si>
  <si>
    <t>Phosphorylation of Nrf2 at Ser-40 through a @GENE$ mechanism has been reported to play a critical role in the dissociation of Nrf2 from Keap1, an negative regulator of @GENE$</t>
  </si>
  <si>
    <r>
      <rPr>
        <rFont val="Arial"/>
        <color theme="1"/>
        <sz val="10.0"/>
      </rPr>
      <t xml:space="preserve">Should be 0 - Not clear that there is phosphorylation between these specific mentions of PKC and Nrf2 </t>
    </r>
    <r>
      <rPr>
        <rFont val="Arial"/>
        <color rgb="FF4A86E8"/>
        <sz val="10.0"/>
      </rPr>
      <t>Issue with clauses</t>
    </r>
  </si>
  <si>
    <t>Phosphorylation of Nrf2 at Ser-40 through a PKCbased mechanism has been reported to play a critical role in the dissociation of @GENE$ from @GENE$, an negative regulator of Nrf2</t>
  </si>
  <si>
    <t>Nrf2 dissociates from Keap1 i.e. Nrf2 was in a complex with Keap1 = protein-protein interaction</t>
  </si>
  <si>
    <t>Phosphorylation of Nrf2 at Ser-40 through a PKCbased mechanism has been reported to play a critical role in the dissociation of @GENE$ from Keap1, an negative regulator of @GENE$</t>
  </si>
  <si>
    <t>Phosphorylation of Nrf2 at Ser-40 through a PKCbased mechanism has been reported to play a critical role in the dissociation of Nrf2 from @GENE$, an negative regulator of @GENE$</t>
  </si>
  <si>
    <t>The best characterized ligands for the @GENE$ include @CHEMICAL$ (HAHs), such as the polychlorinated dibenzo-p-dioxins, dibenzofurans, and biphenyls, and polycyclic aromatic hydrocarbons (PAHs). HAHs, such as 2,3,7,8-tetrachlorodibenzo-p-dioxin (TCDD, dioxin) generally have the highest affinities for the AhR</t>
  </si>
  <si>
    <t>(AhR, receptor for, halogenated hydrocabonds)</t>
  </si>
  <si>
    <t>Ligand-receptor binding, now classified as interaction (gene-chemical)</t>
  </si>
  <si>
    <t>The best characterized ligands for the @GENE$ include halogenated aromatic hydrocarbons (@CHEMICAL$), such as the polychlorinated dibenzo-p-dioxins, dibenzofurans, and biphenyls, and polycyclic aromatic hydrocarbons (PAHs). HAHs, such as 2,3,7,8-tetrachlorodibenzo-p-dioxin (TCDD, dioxin) generally have the highest affinities for the AhR</t>
  </si>
  <si>
    <t>(AhR, receptor for, 2,3,7,8-tetrachlorodibenzo-p-diozin)</t>
  </si>
  <si>
    <t>The best characterized ligands for the @GENE$ include halogenated aromatic hydrocarbons (HAHs), such as the @CHEMICAL$, dibenzofurans, and biphenyls, and polycyclic aromatic hydrocarbons (PAHs). HAHs, such as 2,3,7,8-tetrachlorodibenzo-p-dioxin (TCDD, dioxin) generally have the highest affinities for the AhR</t>
  </si>
  <si>
    <t>(AhR, receptor for, polychlorinated dibenzo-p-dioxins)</t>
  </si>
  <si>
    <t>The best characterized ligands for the @GENE$ include halogenated aromatic hydrocarbons (HAHs), such as the polychlorinated dibenzo-p-dioxins, @CHEMICAL$, and biphenyls, and polycyclic aromatic hydrocarbons (PAHs). HAHs, such as 2,3,7,8-tetrachlorodibenzo-p-dioxin (TCDD, dioxin) generally have the highest affinities for the AhR</t>
  </si>
  <si>
    <t>(AhR, receptor for, biphenyls)</t>
  </si>
  <si>
    <t>The best characterized ligands for the @GENE$ include halogenated aromatic hydrocarbons (HAHs), such as the polychlorinated dibenzo-p-dioxins, dibenzofurans, and @CHEMICAL$, and polycyclic aromatic hydrocarbons (PAHs). HAHs, such as 2,3,7,8-tetrachlorodibenzo-p-dioxin (TCDD, dioxin) generally have the highest affinities for the AhR</t>
  </si>
  <si>
    <t>(AhR, receptor for, polycylic aromatic hydrocarbons)</t>
  </si>
  <si>
    <t>The best characterized ligands for the @GENE$ include halogenated aromatic hydrocarbons (HAHs), such as the polychlorinated dibenzo-p-dioxins, dibenzofurans, and biphenyls, and @CHEMICAL$ (PAHs). HAHs, such as 2,3,7,8-tetrachlorodibenzo-p-dioxin (TCDD, dioxin) generally have the highest affinities for the AhR</t>
  </si>
  <si>
    <t>The best characterized ligands for the @GENE$ include halogenated aromatic hydrocarbons (HAHs), such as the polychlorinated dibenzo-p-dioxins, dibenzofurans, and biphenyls, and polycyclic aromatic hydrocarbons (@CHEMICAL$). HAHs, such as 2,3,7,8-tetrachlorodibenzo-p-dioxin (TCDD, dioxin) generally have the highest affinities for the AhR</t>
  </si>
  <si>
    <t>The best characterized ligands for the @GENE$ include halogenated aromatic hydrocarbons (HAHs), such as the polychlorinated dibenzo-p-dioxins, dibenzofurans, and biphenyls, and polycyclic aromatic hydrocarbons (PAHs). @CHEMICAL$, such as 2,3,7,8-tetrachlorodibenzo-p-dioxin (TCDD, dioxin) generally have the highest affinities for the AhR</t>
  </si>
  <si>
    <t>Should be 0 - Not clear that there is binding between these specific mentions of AhR and HAH</t>
  </si>
  <si>
    <t>The best characterized ligands for the @GENE$ include halogenated aromatic hydrocarbons (HAHs), such as the polychlorinated dibenzo-p-dioxins, dibenzofurans, and biphenyls, and polycyclic aromatic hydrocarbons (PAHs). HAHs, such as @CHEMICAL$ (TCDD, dioxin) generally have the highest affinities for the AhR</t>
  </si>
  <si>
    <t>The best characterized ligands for the @GENE$ include halogenated aromatic hydrocarbons (HAHs), such as the polychlorinated dibenzo-p-dioxins, dibenzofurans, and biphenyls, and polycyclic aromatic hydrocarbons (PAHs). HAHs, such as 2,3,7,8-tetrachlorodibenzo-p-dioxin (@CHEMICAL$, dioxin) generally have the highest affinities for the AhR</t>
  </si>
  <si>
    <t>The best characterized ligands for the @GENE$ include halogenated aromatic hydrocarbons (HAHs), such as the polychlorinated dibenzo-p-dioxins, dibenzofurans, and biphenyls, and polycyclic aromatic hydrocarbons (PAHs). HAHs, such as 2,3,7,8-tetrachlorodibenzo-p-dioxin (TCDD, @CHEMICAL$) generally have the highest affinities for the AhR</t>
  </si>
  <si>
    <t>The best characterized ligands for the @GENE$ include halogenated aromatic hydrocarbons (HAHs), such as the polychlorinated dibenzo-p-dioxins, dibenzofurans, and biphenyls, and polycyclic aromatic hydrocarbons (PAHs). HAHs, such as 2,3,7,8-tetrachlorodibenzo-p-dioxin (TCDD, dioxin) generally have the highest affinities for the @GENE$</t>
  </si>
  <si>
    <t>The best characterized ligands for the AhR include @CHEMICAL$ (@CHEMICAL$), such as the polychlorinated dibenzo-p-dioxins, dibenzofurans, and biphenyls, and polycyclic aromatic hydrocarbons (PAHs). HAHs, such as 2,3,7,8-tetrachlorodibenzo-p-dioxin (TCDD, dioxin) generally have the highest affinities for the AhR</t>
  </si>
  <si>
    <t>The best characterized ligands for the AhR include @CHEMICAL$ (HAHs), such as the @CHEMICAL$, dibenzofurans, and biphenyls, and polycyclic aromatic hydrocarbons (PAHs). HAHs, such as 2,3,7,8-tetrachlorodibenzo-p-dioxin (TCDD, dioxin) generally have the highest affinities for the AhR</t>
  </si>
  <si>
    <t>The best characterized ligands for the AhR include @CHEMICAL$ (HAHs), such as the polychlorinated dibenzo-p-dioxins, @CHEMICAL$, and biphenyls, and polycyclic aromatic hydrocarbons (PAHs). HAHs, such as 2,3,7,8-tetrachlorodibenzo-p-dioxin (TCDD, dioxin) generally have the highest affinities for the AhR</t>
  </si>
  <si>
    <t>The best characterized ligands for the AhR include @CHEMICAL$ (HAHs), such as the polychlorinated dibenzo-p-dioxins, dibenzofurans, and @CHEMICAL$, and polycyclic aromatic hydrocarbons (PAHs). HAHs, such as 2,3,7,8-tetrachlorodibenzo-p-dioxin (TCDD, dioxin) generally have the highest affinities for the AhR</t>
  </si>
  <si>
    <t>The best characterized ligands for the AhR include @CHEMICAL$ (HAHs), such as the polychlorinated dibenzo-p-dioxins, dibenzofurans, and biphenyls, and @CHEMICAL$ (PAHs). HAHs, such as 2,3,7,8-tetrachlorodibenzo-p-dioxin (TCDD, dioxin) generally have the highest affinities for the AhR</t>
  </si>
  <si>
    <t>The best characterized ligands for the AhR include @CHEMICAL$ (HAHs), such as the polychlorinated dibenzo-p-dioxins, dibenzofurans, and biphenyls, and polycyclic aromatic hydrocarbons (@CHEMICAL$). HAHs, such as 2,3,7,8-tetrachlorodibenzo-p-dioxin (TCDD, dioxin) generally have the highest affinities for the AhR</t>
  </si>
  <si>
    <t>The best characterized ligands for the AhR include @CHEMICAL$ (HAHs), such as the polychlorinated dibenzo-p-dioxins, dibenzofurans, and biphenyls, and polycyclic aromatic hydrocarbons (PAHs). @CHEMICAL$, such as 2,3,7,8-tetrachlorodibenzo-p-dioxin (TCDD, dioxin) generally have the highest affinities for the AhR</t>
  </si>
  <si>
    <t>The best characterized ligands for the AhR include @CHEMICAL$ (HAHs), such as the polychlorinated dibenzo-p-dioxins, dibenzofurans, and biphenyls, and polycyclic aromatic hydrocarbons (PAHs). HAHs, such as @CHEMICAL$ (TCDD, dioxin) generally have the highest affinities for the AhR</t>
  </si>
  <si>
    <t>The best characterized ligands for the AhR include @CHEMICAL$ (HAHs), such as the polychlorinated dibenzo-p-dioxins, dibenzofurans, and biphenyls, and polycyclic aromatic hydrocarbons (PAHs). HAHs, such as 2,3,7,8-tetrachlorodibenzo-p-dioxin (@CHEMICAL$, dioxin) generally have the highest affinities for the AhR</t>
  </si>
  <si>
    <t>The best characterized ligands for the AhR include @CHEMICAL$ (HAHs), such as the polychlorinated dibenzo-p-dioxins, dibenzofurans, and biphenyls, and polycyclic aromatic hydrocarbons (PAHs). HAHs, such as 2,3,7,8-tetrachlorodibenzo-p-dioxin (TCDD, @CHEMICAL$) generally have the highest affinities for the AhR</t>
  </si>
  <si>
    <t>The best characterized ligands for the AhR include @CHEMICAL$ (HAHs), such as the polychlorinated dibenzo-p-dioxins, dibenzofurans, and biphenyls, and polycyclic aromatic hydrocarbons (PAHs). HAHs, such as 2,3,7,8-tetrachlorodibenzo-p-dioxin (TCDD, dioxin) generally have the highest affinities for the @GENE$</t>
  </si>
  <si>
    <t>The best characterized ligands for the AhR include halogenated aromatic hydrocarbons (@CHEMICAL$), such as the @CHEMICAL$, dibenzofurans, and biphenyls, and polycyclic aromatic hydrocarbons (PAHs). HAHs, such as 2,3,7,8-tetrachlorodibenzo-p-dioxin (TCDD, dioxin) generally have the highest affinities for the AhR</t>
  </si>
  <si>
    <t>The best characterized ligands for the AhR include halogenated aromatic hydrocarbons (@CHEMICAL$), such as the polychlorinated dibenzo-p-dioxins, @CHEMICAL$, and biphenyls, and polycyclic aromatic hydrocarbons (PAHs). HAHs, such as 2,3,7,8-tetrachlorodibenzo-p-dioxin (TCDD, dioxin) generally have the highest affinities for the AhR</t>
  </si>
  <si>
    <t>The best characterized ligands for the AhR include halogenated aromatic hydrocarbons (@CHEMICAL$), such as the polychlorinated dibenzo-p-dioxins, dibenzofurans, and @CHEMICAL$, and polycyclic aromatic hydrocarbons (PAHs). HAHs, such as 2,3,7,8-tetrachlorodibenzo-p-dioxin (TCDD, dioxin) generally have the highest affinities for the AhR</t>
  </si>
  <si>
    <t>The best characterized ligands for the AhR include halogenated aromatic hydrocarbons (@CHEMICAL$), such as the polychlorinated dibenzo-p-dioxins, dibenzofurans, and biphenyls, and @CHEMICAL$ (PAHs). HAHs, such as 2,3,7,8-tetrachlorodibenzo-p-dioxin (TCDD, dioxin) generally have the highest affinities for the AhR</t>
  </si>
  <si>
    <t>The best characterized ligands for the AhR include halogenated aromatic hydrocarbons (@CHEMICAL$), such as the polychlorinated dibenzo-p-dioxins, dibenzofurans, and biphenyls, and polycyclic aromatic hydrocarbons (@CHEMICAL$). HAHs, such as 2,3,7,8-tetrachlorodibenzo-p-dioxin (TCDD, dioxin) generally have the highest affinities for the AhR</t>
  </si>
  <si>
    <t>The best characterized ligands for the AhR include halogenated aromatic hydrocarbons (@CHEMICAL$), such as the polychlorinated dibenzo-p-dioxins, dibenzofurans, and biphenyls, and polycyclic aromatic hydrocarbons (PAHs). @CHEMICAL$, such as 2,3,7,8-tetrachlorodibenzo-p-dioxin (TCDD, dioxin) generally have the highest affinities for the AhR</t>
  </si>
  <si>
    <t>The best characterized ligands for the AhR include halogenated aromatic hydrocarbons (@CHEMICAL$), such as the polychlorinated dibenzo-p-dioxins, dibenzofurans, and biphenyls, and polycyclic aromatic hydrocarbons (PAHs). HAHs, such as @CHEMICAL$ (TCDD, dioxin) generally have the highest affinities for the AhR</t>
  </si>
  <si>
    <t>The best characterized ligands for the AhR include halogenated aromatic hydrocarbons (@CHEMICAL$), such as the polychlorinated dibenzo-p-dioxins, dibenzofurans, and biphenyls, and polycyclic aromatic hydrocarbons (PAHs). HAHs, such as 2,3,7,8-tetrachlorodibenzo-p-dioxin (@CHEMICAL$, dioxin) generally have the highest affinities for the AhR</t>
  </si>
  <si>
    <t>The best characterized ligands for the AhR include halogenated aromatic hydrocarbons (@CHEMICAL$), such as the polychlorinated dibenzo-p-dioxins, dibenzofurans, and biphenyls, and polycyclic aromatic hydrocarbons (PAHs). HAHs, such as 2,3,7,8-tetrachlorodibenzo-p-dioxin (TCDD, @CHEMICAL$) generally have the highest affinities for the AhR</t>
  </si>
  <si>
    <t>The best characterized ligands for the AhR include halogenated aromatic hydrocarbons (@CHEMICAL$), such as the polychlorinated dibenzo-p-dioxins, dibenzofurans, and biphenyls, and polycyclic aromatic hydrocarbons (PAHs). HAHs, such as 2,3,7,8-tetrachlorodibenzo-p-dioxin (TCDD, dioxin) generally have the highest affinities for the @GENE$</t>
  </si>
  <si>
    <t>The best characterized ligands for the AhR include halogenated aromatic hydrocarbons (HAHs), such as the @CHEMICAL$, @CHEMICAL$, and biphenyls, and polycyclic aromatic hydrocarbons (PAHs). HAHs, such as 2,3,7,8-tetrachlorodibenzo-p-dioxin (TCDD, dioxin) generally have the highest affinities for the AhR</t>
  </si>
  <si>
    <t>The best characterized ligands for the AhR include halogenated aromatic hydrocarbons (HAHs), such as the @CHEMICAL$, dibenzofurans, and @CHEMICAL$, and polycyclic aromatic hydrocarbons (PAHs). HAHs, such as 2,3,7,8-tetrachlorodibenzo-p-dioxin (TCDD, dioxin) generally have the highest affinities for the AhR</t>
  </si>
  <si>
    <t>The best characterized ligands for the AhR include halogenated aromatic hydrocarbons (HAHs), such as the @CHEMICAL$, dibenzofurans, and biphenyls, and @CHEMICAL$ (PAHs). HAHs, such as 2,3,7,8-tetrachlorodibenzo-p-dioxin (TCDD, dioxin) generally have the highest affinities for the AhR</t>
  </si>
  <si>
    <t>The best characterized ligands for the AhR include halogenated aromatic hydrocarbons (HAHs), such as the @CHEMICAL$, dibenzofurans, and biphenyls, and polycyclic aromatic hydrocarbons (@CHEMICAL$). HAHs, such as 2,3,7,8-tetrachlorodibenzo-p-dioxin (TCDD, dioxin) generally have the highest affinities for the AhR</t>
  </si>
  <si>
    <t>The best characterized ligands for the AhR include halogenated aromatic hydrocarbons (HAHs), such as the @CHEMICAL$, dibenzofurans, and biphenyls, and polycyclic aromatic hydrocarbons (PAHs). @CHEMICAL$, such as 2,3,7,8-tetrachlorodibenzo-p-dioxin (TCDD, dioxin) generally have the highest affinities for the AhR</t>
  </si>
  <si>
    <t>The best characterized ligands for the AhR include halogenated aromatic hydrocarbons (HAHs), such as the @CHEMICAL$, dibenzofurans, and biphenyls, and polycyclic aromatic hydrocarbons (PAHs). HAHs, such as @CHEMICAL$ (TCDD, dioxin) generally have the highest affinities for the AhR</t>
  </si>
  <si>
    <t>The best characterized ligands for the AhR include halogenated aromatic hydrocarbons (HAHs), such as the @CHEMICAL$, dibenzofurans, and biphenyls, and polycyclic aromatic hydrocarbons (PAHs). HAHs, such as 2,3,7,8-tetrachlorodibenzo-p-dioxin (@CHEMICAL$, dioxin) generally have the highest affinities for the AhR</t>
  </si>
  <si>
    <t>The best characterized ligands for the AhR include halogenated aromatic hydrocarbons (HAHs), such as the @CHEMICAL$, dibenzofurans, and biphenyls, and polycyclic aromatic hydrocarbons (PAHs). HAHs, such as 2,3,7,8-tetrachlorodibenzo-p-dioxin (TCDD, @CHEMICAL$) generally have the highest affinities for the AhR</t>
  </si>
  <si>
    <t>The best characterized ligands for the AhR include halogenated aromatic hydrocarbons (HAHs), such as the @CHEMICAL$, dibenzofurans, and biphenyls, and polycyclic aromatic hydrocarbons (PAHs). HAHs, such as 2,3,7,8-tetrachlorodibenzo-p-dioxin (TCDD, dioxin) generally have the highest affinities for the @GENE$</t>
  </si>
  <si>
    <t>The best characterized ligands for the AhR include halogenated aromatic hydrocarbons (HAHs), such as the polychlorinated dibenzo-p-dioxins, @CHEMICAL$, and @CHEMICAL$, and polycyclic aromatic hydrocarbons (PAHs). HAHs, such as 2,3,7,8-tetrachlorodibenzo-p-dioxin (TCDD, dioxin) generally have the highest affinities for the AhR</t>
  </si>
  <si>
    <t>The best characterized ligands for the AhR include halogenated aromatic hydrocarbons (HAHs), such as the polychlorinated dibenzo-p-dioxins, @CHEMICAL$, and biphenyls, and @CHEMICAL$ (PAHs). HAHs, such as 2,3,7,8-tetrachlorodibenzo-p-dioxin (TCDD, dioxin) generally have the highest affinities for the AhR</t>
  </si>
  <si>
    <t>The best characterized ligands for the AhR include halogenated aromatic hydrocarbons (HAHs), such as the polychlorinated dibenzo-p-dioxins, @CHEMICAL$, and biphenyls, and polycyclic aromatic hydrocarbons (@CHEMICAL$). HAHs, such as 2,3,7,8-tetrachlorodibenzo-p-dioxin (TCDD, dioxin) generally have the highest affinities for the AhR</t>
  </si>
  <si>
    <t>The best characterized ligands for the AhR include halogenated aromatic hydrocarbons (HAHs), such as the polychlorinated dibenzo-p-dioxins, @CHEMICAL$, and biphenyls, and polycyclic aromatic hydrocarbons (PAHs). @CHEMICAL$, such as 2,3,7,8-tetrachlorodibenzo-p-dioxin (TCDD, dioxin) generally have the highest affinities for the AhR</t>
  </si>
  <si>
    <t>The best characterized ligands for the AhR include halogenated aromatic hydrocarbons (HAHs), such as the polychlorinated dibenzo-p-dioxins, @CHEMICAL$, and biphenyls, and polycyclic aromatic hydrocarbons (PAHs). HAHs, such as @CHEMICAL$ (TCDD, dioxin) generally have the highest affinities for the AhR</t>
  </si>
  <si>
    <t>The best characterized ligands for the AhR include halogenated aromatic hydrocarbons (HAHs), such as the polychlorinated dibenzo-p-dioxins, @CHEMICAL$, and biphenyls, and polycyclic aromatic hydrocarbons (PAHs). HAHs, such as 2,3,7,8-tetrachlorodibenzo-p-dioxin (@CHEMICAL$, dioxin) generally have the highest affinities for the AhR</t>
  </si>
  <si>
    <t>The best characterized ligands for the AhR include halogenated aromatic hydrocarbons (HAHs), such as the polychlorinated dibenzo-p-dioxins, @CHEMICAL$, and biphenyls, and polycyclic aromatic hydrocarbons (PAHs). HAHs, such as 2,3,7,8-tetrachlorodibenzo-p-dioxin (TCDD, @CHEMICAL$) generally have the highest affinities for the AhR</t>
  </si>
  <si>
    <t>The best characterized ligands for the AhR include halogenated aromatic hydrocarbons (HAHs), such as the polychlorinated dibenzo-p-dioxins, @CHEMICAL$, and biphenyls, and polycyclic aromatic hydrocarbons (PAHs). HAHs, such as 2,3,7,8-tetrachlorodibenzo-p-dioxin (TCDD, dioxin) generally have the highest affinities for the @GENE$</t>
  </si>
  <si>
    <t>The best characterized ligands for the AhR include halogenated aromatic hydrocarbons (HAHs), such as the polychlorinated dibenzo-p-dioxins, dibenzofurans, and @CHEMICAL$, and @CHEMICAL$ (PAHs). HAHs, such as 2,3,7,8-tetrachlorodibenzo-p-dioxin (TCDD, dioxin) generally have the highest affinities for the AhR</t>
  </si>
  <si>
    <t>The best characterized ligands for the AhR include halogenated aromatic hydrocarbons (HAHs), such as the polychlorinated dibenzo-p-dioxins, dibenzofurans, and @CHEMICAL$, and polycyclic aromatic hydrocarbons (@CHEMICAL$). HAHs, such as 2,3,7,8-tetrachlorodibenzo-p-dioxin (TCDD, dioxin) generally have the highest affinities for the AhR</t>
  </si>
  <si>
    <t>The best characterized ligands for the AhR include halogenated aromatic hydrocarbons (HAHs), such as the polychlorinated dibenzo-p-dioxins, dibenzofurans, and @CHEMICAL$, and polycyclic aromatic hydrocarbons (PAHs). @CHEMICAL$, such as 2,3,7,8-tetrachlorodibenzo-p-dioxin (TCDD, dioxin) generally have the highest affinities for the AhR</t>
  </si>
  <si>
    <t>The best characterized ligands for the AhR include halogenated aromatic hydrocarbons (HAHs), such as the polychlorinated dibenzo-p-dioxins, dibenzofurans, and @CHEMICAL$, and polycyclic aromatic hydrocarbons (PAHs). HAHs, such as @CHEMICAL$ (TCDD, dioxin) generally have the highest affinities for the AhR</t>
  </si>
  <si>
    <t>The best characterized ligands for the AhR include halogenated aromatic hydrocarbons (HAHs), such as the polychlorinated dibenzo-p-dioxins, dibenzofurans, and @CHEMICAL$, and polycyclic aromatic hydrocarbons (PAHs). HAHs, such as 2,3,7,8-tetrachlorodibenzo-p-dioxin (@CHEMICAL$, dioxin) generally have the highest affinities for the AhR</t>
  </si>
  <si>
    <t>The best characterized ligands for the AhR include halogenated aromatic hydrocarbons (HAHs), such as the polychlorinated dibenzo-p-dioxins, dibenzofurans, and @CHEMICAL$, and polycyclic aromatic hydrocarbons (PAHs). HAHs, such as 2,3,7,8-tetrachlorodibenzo-p-dioxin (TCDD, @CHEMICAL$) generally have the highest affinities for the AhR</t>
  </si>
  <si>
    <t>The best characterized ligands for the AhR include halogenated aromatic hydrocarbons (HAHs), such as the polychlorinated dibenzo-p-dioxins, dibenzofurans, and @CHEMICAL$, and polycyclic aromatic hydrocarbons (PAHs). HAHs, such as 2,3,7,8-tetrachlorodibenzo-p-dioxin (TCDD, dioxin) generally have the highest affinities for the @GENE$</t>
  </si>
  <si>
    <t>The best characterized ligands for the AhR include halogenated aromatic hydrocarbons (HAHs), such as the polychlorinated dibenzo-p-dioxins, dibenzofurans, and biphenyls, and @CHEMICAL$ (@CHEMICAL$). HAHs, such as 2,3,7,8-tetrachlorodibenzo-p-dioxin (TCDD, dioxin) generally have the highest affinities for the AhR</t>
  </si>
  <si>
    <t>The best characterized ligands for the AhR include halogenated aromatic hydrocarbons (HAHs), such as the polychlorinated dibenzo-p-dioxins, dibenzofurans, and biphenyls, and @CHEMICAL$ (PAHs). @CHEMICAL$, such as 2,3,7,8-tetrachlorodibenzo-p-dioxin (TCDD, dioxin) generally have the highest affinities for the AhR</t>
  </si>
  <si>
    <t>The best characterized ligands for the AhR include halogenated aromatic hydrocarbons (HAHs), such as the polychlorinated dibenzo-p-dioxins, dibenzofurans, and biphenyls, and @CHEMICAL$ (PAHs). HAHs, such as @CHEMICAL$ (TCDD, dioxin) generally have the highest affinities for the AhR</t>
  </si>
  <si>
    <t>The best characterized ligands for the AhR include halogenated aromatic hydrocarbons (HAHs), such as the polychlorinated dibenzo-p-dioxins, dibenzofurans, and biphenyls, and @CHEMICAL$ (PAHs). HAHs, such as 2,3,7,8-tetrachlorodibenzo-p-dioxin (@CHEMICAL$, dioxin) generally have the highest affinities for the AhR</t>
  </si>
  <si>
    <t>The best characterized ligands for the AhR include halogenated aromatic hydrocarbons (HAHs), such as the polychlorinated dibenzo-p-dioxins, dibenzofurans, and biphenyls, and @CHEMICAL$ (PAHs). HAHs, such as 2,3,7,8-tetrachlorodibenzo-p-dioxin (TCDD, @CHEMICAL$) generally have the highest affinities for the AhR</t>
  </si>
  <si>
    <t>The best characterized ligands for the AhR include halogenated aromatic hydrocarbons (HAHs), such as the polychlorinated dibenzo-p-dioxins, dibenzofurans, and biphenyls, and @CHEMICAL$ (PAHs). HAHs, such as 2,3,7,8-tetrachlorodibenzo-p-dioxin (TCDD, dioxin) generally have the highest affinities for the @GENE$</t>
  </si>
  <si>
    <t>The best characterized ligands for the AhR include halogenated aromatic hydrocarbons (HAHs), such as the polychlorinated dibenzo-p-dioxins, dibenzofurans, and biphenyls, and polycyclic aromatic hydrocarbons (@CHEMICAL$). @CHEMICAL$, such as 2,3,7,8-tetrachlorodibenzo-p-dioxin (TCDD, dioxin) generally have the highest affinities for the AhR</t>
  </si>
  <si>
    <t>The best characterized ligands for the AhR include halogenated aromatic hydrocarbons (HAHs), such as the polychlorinated dibenzo-p-dioxins, dibenzofurans, and biphenyls, and polycyclic aromatic hydrocarbons (@CHEMICAL$). HAHs, such as @CHEMICAL$ (TCDD, dioxin) generally have the highest affinities for the AhR</t>
  </si>
  <si>
    <t>The best characterized ligands for the AhR include halogenated aromatic hydrocarbons (HAHs), such as the polychlorinated dibenzo-p-dioxins, dibenzofurans, and biphenyls, and polycyclic aromatic hydrocarbons (@CHEMICAL$). HAHs, such as 2,3,7,8-tetrachlorodibenzo-p-dioxin (@CHEMICAL$, dioxin) generally have the highest affinities for the AhR</t>
  </si>
  <si>
    <t>The best characterized ligands for the AhR include halogenated aromatic hydrocarbons (HAHs), such as the polychlorinated dibenzo-p-dioxins, dibenzofurans, and biphenyls, and polycyclic aromatic hydrocarbons (@CHEMICAL$). HAHs, such as 2,3,7,8-tetrachlorodibenzo-p-dioxin (TCDD, @CHEMICAL$) generally have the highest affinities for the AhR</t>
  </si>
  <si>
    <t>The best characterized ligands for the AhR include halogenated aromatic hydrocarbons (HAHs), such as the polychlorinated dibenzo-p-dioxins, dibenzofurans, and biphenyls, and polycyclic aromatic hydrocarbons (@CHEMICAL$). HAHs, such as 2,3,7,8-tetrachlorodibenzo-p-dioxin (TCDD, dioxin) generally have the highest affinities for the @GENE$</t>
  </si>
  <si>
    <t>The best characterized ligands for the AhR include halogenated aromatic hydrocarbons (HAHs), such as the polychlorinated dibenzo-p-dioxins, dibenzofurans, and biphenyls, and polycyclic aromatic hydrocarbons (PAHs). @CHEMICAL$, such as @CHEMICAL$ (TCDD, dioxin) generally have the highest affinities for the AhR</t>
  </si>
  <si>
    <t>The best characterized ligands for the AhR include halogenated aromatic hydrocarbons (HAHs), such as the polychlorinated dibenzo-p-dioxins, dibenzofurans, and biphenyls, and polycyclic aromatic hydrocarbons (PAHs). @CHEMICAL$, such as 2,3,7,8-tetrachlorodibenzo-p-dioxin (@CHEMICAL$, dioxin) generally have the highest affinities for the AhR</t>
  </si>
  <si>
    <t>The best characterized ligands for the AhR include halogenated aromatic hydrocarbons (HAHs), such as the polychlorinated dibenzo-p-dioxins, dibenzofurans, and biphenyls, and polycyclic aromatic hydrocarbons (PAHs). @CHEMICAL$, such as 2,3,7,8-tetrachlorodibenzo-p-dioxin (TCDD, @CHEMICAL$) generally have the highest affinities for the AhR</t>
  </si>
  <si>
    <t>The best characterized ligands for the AhR include halogenated aromatic hydrocarbons (HAHs), such as the polychlorinated dibenzo-p-dioxins, dibenzofurans, and biphenyls, and polycyclic aromatic hydrocarbons (PAHs). @CHEMICAL$, such as 2,3,7,8-tetrachlorodibenzo-p-dioxin (TCDD, dioxin) generally have the highest affinities for the @GENE$</t>
  </si>
  <si>
    <t>The best characterized ligands for the AhR include halogenated aromatic hydrocarbons (HAHs), such as the polychlorinated dibenzo-p-dioxins, dibenzofurans, and biphenyls, and polycyclic aromatic hydrocarbons (PAHs). HAHs, such as @CHEMICAL$ (@CHEMICAL$, dioxin) generally have the highest affinities for the AhR</t>
  </si>
  <si>
    <t>The best characterized ligands for the AhR include halogenated aromatic hydrocarbons (HAHs), such as the polychlorinated dibenzo-p-dioxins, dibenzofurans, and biphenyls, and polycyclic aromatic hydrocarbons (PAHs). HAHs, such as @CHEMICAL$ (TCDD, @CHEMICAL$) generally have the highest affinities for the AhR</t>
  </si>
  <si>
    <t>The best characterized ligands for the AhR include halogenated aromatic hydrocarbons (HAHs), such as the polychlorinated dibenzo-p-dioxins, dibenzofurans, and biphenyls, and polycyclic aromatic hydrocarbons (PAHs). HAHs, such as @CHEMICAL$ (TCDD, dioxin) generally have the highest affinities for the @GENE$</t>
  </si>
  <si>
    <t>The best characterized ligands for the AhR include halogenated aromatic hydrocarbons (HAHs), such as the polychlorinated dibenzo-p-dioxins, dibenzofurans, and biphenyls, and polycyclic aromatic hydrocarbons (PAHs). HAHs, such as 2,3,7,8-tetrachlorodibenzo-p-dioxin (@CHEMICAL$, @CHEMICAL$) generally have the highest affinities for the AhR</t>
  </si>
  <si>
    <t>The best characterized ligands for the AhR include halogenated aromatic hydrocarbons (HAHs), such as the polychlorinated dibenzo-p-dioxins, dibenzofurans, and biphenyls, and polycyclic aromatic hydrocarbons (PAHs). HAHs, such as 2,3,7,8-tetrachlorodibenzo-p-dioxin (@CHEMICAL$, dioxin) generally have the highest affinities for the @GENE$</t>
  </si>
  <si>
    <t>The best characterized ligands for the AhR include halogenated aromatic hydrocarbons (HAHs), such as the polychlorinated dibenzo-p-dioxins, dibenzofurans, and biphenyls, and polycyclic aromatic hydrocarbons (PAHs). HAHs, such as 2,3,7,8-tetrachlorodibenzo-p-dioxin (TCDD, @CHEMICAL$) generally have the highest affinities for the @GENE$</t>
  </si>
  <si>
    <t>The I@GENE$bind I@GENE$and IGF-II in the circulation to prolong their half-lives and modulate tissue access, thereby controlling IGF function.</t>
  </si>
  <si>
    <t>(IGF-I, binds to, IGFBP)</t>
  </si>
  <si>
    <t>Ligand-receptor binding, now classified as interaction (protein-protein)</t>
  </si>
  <si>
    <t>"IGFBPs" should be tagged in its entirety, not just "GFBPs"</t>
  </si>
  <si>
    <t>The I@GENE$bind IGF-I and I@GENE$in the circulation to prolong their half-lives and modulate tissue access, thereby controlling IGF function.</t>
  </si>
  <si>
    <t>(IGF-II, binds to, IGFBP)</t>
  </si>
  <si>
    <t>The I@GENE$bind IGF-I and IGF-II in the circulation to prolong their half-lives and modulate tissue access, thereby controlling I@GENE$function.</t>
  </si>
  <si>
    <t>The IGFBPs bind I@GENE$and I@GENE$in the circulation to prolong their half-lives and modulate tissue access, thereby controlling IGF function.</t>
  </si>
  <si>
    <t>The IGFBPs bind I@GENE$and IGF-II in the circulation to prolong their half-lives and modulate tissue access, thereby controlling I@GENE$function.</t>
  </si>
  <si>
    <t>The IGFBPs bind IGF-I and I@GENE$in the circulation to prolong their half-lives and modulate tissue access, thereby controlling I@GENE$function.</t>
  </si>
  <si>
    <t>Schutz et al. found a 4-12-fold and 100-fold increase in the kinetic off-rate and affinity for the binding of @GENE$ (@GENE$) and peptide major histocompatibility complex (pMHC),</t>
  </si>
  <si>
    <t>(pMHC, binds to, TCR)</t>
  </si>
  <si>
    <t>Schutz et al. found a 4-12-fold and 100-fold increase in the kinetic off-rate and affinity for the binding of @GENE$ (TCR) and peptide major @GENE$ (pMHC),</t>
  </si>
  <si>
    <t>Schutz et al. found a 4-12-fold and 100-fold increase in the kinetic off-rate and affinity for the binding of T cell receptor (@GENE$) and peptide major @GENE$ (pMHC),</t>
  </si>
  <si>
    <t>Should "MHC" be tagged as @GENE$?</t>
  </si>
  <si>
    <t>For @GENE$ we also modeled the whole N-terminal part and we have simulated the entrance of two agonists, @CHEMICAL$ and Delta9-THC, into the structure of CB1. For the S1P1 receptor, the SMD simulations of ligand pulling were performed for two agonists of that receptor, sphingosine-1-phosphate (S1P) and fingolimod-(S)-phosphate ((S)-FTY720-P). For the LPA1 receptor, the similar SMD simulations were performed for lysophosphatidic acid, which is the endogenous agonist of that receptor.</t>
  </si>
  <si>
    <t>(Anandaminde, binds to, CB1)</t>
  </si>
  <si>
    <t>For @GENE$ we also modeled the whole N-terminal part and we have simulated the entrance of two agonists, anandamide and @CHEMICAL$, into the structure of CB1. For the S1P1 receptor, the SMD simulations of ligand pulling were performed for two agonists of that receptor, sphingosine-1-phosphate (S1P) and fingolimod-(S)-phosphate ((S)-FTY720-P). For the LPA1 receptor, the similar SMD simulations were performed for lysophosphatidic acid, which is the endogenous agonist of that receptor.</t>
  </si>
  <si>
    <t>(Delta9-THC, binds to, CB1)</t>
  </si>
  <si>
    <t>For @GENE$ we also modeled the whole N-terminal part and we have simulated the entrance of two agonists, anandamide and Delta9-THC, into the structure of @GENE$. For the S1P1 receptor, the SMD simulations of ligand pulling were performed for two agonists of that receptor, sphingosine-1-phosphate (S1P) and fingolimod-(S)-phosphate ((S)-FTY720-P). For the LPA1 receptor, the similar SMD simulations were performed for lysophosphatidic acid, which is the endogenous agonist of that receptor.</t>
  </si>
  <si>
    <t>(S1P, binds to, S1P1)</t>
  </si>
  <si>
    <t>For @GENE$ we also modeled the whole N-terminal part and we have simulated the entrance of two agonists, anandamide and Delta9-THC, into the structure of CB1. For the @GENE$, the SMD simulations of ligand pulling were performed for two agonists of that receptor, sphingosine-1-phosphate (S1P) and fingolimod-(S)-phosphate ((S)-FTY720-P). For the LPA1 receptor, the similar SMD simulations were performed for lysophosphatidic acid, which is the endogenous agonist of that receptor.</t>
  </si>
  <si>
    <t>((S)-FTY720-P), binds to, S1P1)</t>
  </si>
  <si>
    <t>For @GENE$ we also modeled the whole N-terminal part and we have simulated the entrance of two agonists, anandamide and Delta9-THC, into the structure of CB1. For the S1P1 receptor, the SMD simulations of ligand pulling were performed for two agonists of that receptor, @CHEMICAL$ (S1P) and fingolimod-(S)-phosphate ((S)-FTY720-P). For the LPA1 receptor, the similar SMD simulations were performed for lysophosphatidic acid, which is the endogenous agonist of that receptor.</t>
  </si>
  <si>
    <t>(Lysophosphatidic acid, binds to, LPA1)</t>
  </si>
  <si>
    <t>For @GENE$ we also modeled the whole N-terminal part and we have simulated the entrance of two agonists, anandamide and Delta9-THC, into the structure of CB1. For the S1P1 receptor, the SMD simulations of ligand pulling were performed for two agonists of that receptor, sphingosine-1-phosphate (@CHEMICAL$) and fingolimod-(S)-phosphate ((S)-FTY720-P). For the LPA1 receptor, the similar SMD simulations were performed for lysophosphatidic acid, which is the endogenous agonist of that receptor.</t>
  </si>
  <si>
    <t>For @GENE$ we also modeled the whole N-terminal part and we have simulated the entrance of two agonists, anandamide and Delta9-THC, into the structure of CB1. For the S1P1 receptor, the SMD simulations of ligand pulling were performed for two agonists of that receptor, sphingosine-1-phosphate (S1P) and @CHEMICAL$ ((S)-FTY720-P). For the LPA1 receptor, the similar SMD simulations were performed for lysophosphatidic acid, which is the endogenous agonist of that receptor.</t>
  </si>
  <si>
    <t>For @GENE$ we also modeled the whole N-terminal part and we have simulated the entrance of two agonists, anandamide and Delta9-THC, into the structure of CB1. For the S1P1 receptor, the SMD simulations of ligand pulling were performed for two agonists of that receptor, sphingosine-1-phosphate (S1P) and fingolimod-(S)-phosphate (@CHEMICAL$). For the LPA1 receptor, the similar SMD simulations were performed for lysophosphatidic acid, which is the endogenous agonist of that receptor.</t>
  </si>
  <si>
    <t>For @GENE$ we also modeled the whole N-terminal part and we have simulated the entrance of two agonists, anandamide and Delta9-THC, into the structure of CB1. For the S1P1 receptor, the SMD simulations of ligand pulling were performed for two agonists of that receptor, sphingosine-1-phosphate (S1P) and fingolimod-(S)-phosphate ((S)-FTY720-P). For the @GENE$, the similar SMD simulations were performed for lysophosphatidic acid, which is the endogenous agonist of that receptor.</t>
  </si>
  <si>
    <t>For @GENE$ we also modeled the whole N-terminal part and we have simulated the entrance of two agonists, anandamide and Delta9-THC, into the structure of CB1. For the S1P1 receptor, the SMD simulations of ligand pulling were performed for two agonists of that receptor, sphingosine-1-phosphate (S1P) and fingolimod-(S)-phosphate ((S)-FTY720-P). For the LPA1 receptor, the similar SMD simulations were performed for @CHEMICAL$, which is the endogenous agonist of that receptor.</t>
  </si>
  <si>
    <t>For CB1 we also modeled the whole N-terminal part and we have simulated the entrance of two agonists, @CHEMICAL$ and @CHEMICAL$, into the structure of CB1. For the S1P1 receptor, the SMD simulations of ligand pulling were performed for two agonists of that receptor, sphingosine-1-phosphate (S1P) and fingolimod-(S)-phosphate ((S)-FTY720-P). For the LPA1 receptor, the similar SMD simulations were performed for lysophosphatidic acid, which is the endogenous agonist of that receptor.</t>
  </si>
  <si>
    <t>For CB1 we also modeled the whole N-terminal part and we have simulated the entrance of two agonists, @CHEMICAL$ and Delta9-THC, into the structure of @GENE$. For the S1P1 receptor, the SMD simulations of ligand pulling were performed for two agonists of that receptor, sphingosine-1-phosphate (S1P) and fingolimod-(S)-phosphate ((S)-FTY720-P). For the LPA1 receptor, the similar SMD simulations were performed for lysophosphatidic acid, which is the endogenous agonist of that receptor.</t>
  </si>
  <si>
    <t>For CB1 we also modeled the whole N-terminal part and we have simulated the entrance of two agonists, @CHEMICAL$ and Delta9-THC, into the structure of CB1. For the @GENE$, the SMD simulations of ligand pulling were performed for two agonists of that receptor, sphingosine-1-phosphate (S1P) and fingolimod-(S)-phosphate ((S)-FTY720-P). For the LPA1 receptor, the similar SMD simulations were performed for lysophosphatidic acid, which is the endogenous agonist of that receptor.</t>
  </si>
  <si>
    <t>For CB1 we also modeled the whole N-terminal part and we have simulated the entrance of two agonists, @CHEMICAL$ and Delta9-THC, into the structure of CB1. For the S1P1 receptor, the SMD simulations of ligand pulling were performed for two agonists of that receptor, @CHEMICAL$ (S1P) and fingolimod-(S)-phosphate ((S)-FTY720-P). For the LPA1 receptor, the similar SMD simulations were performed for lysophosphatidic acid, which is the endogenous agonist of that receptor.</t>
  </si>
  <si>
    <t>For CB1 we also modeled the whole N-terminal part and we have simulated the entrance of two agonists, @CHEMICAL$ and Delta9-THC, into the structure of CB1. For the S1P1 receptor, the SMD simulations of ligand pulling were performed for two agonists of that receptor, sphingosine-1-phosphate (@CHEMICAL$) and fingolimod-(S)-phosphate ((S)-FTY720-P). For the LPA1 receptor, the similar SMD simulations were performed for lysophosphatidic acid, which is the endogenous agonist of that receptor.</t>
  </si>
  <si>
    <t>For CB1 we also modeled the whole N-terminal part and we have simulated the entrance of two agonists, @CHEMICAL$ and Delta9-THC, into the structure of CB1. For the S1P1 receptor, the SMD simulations of ligand pulling were performed for two agonists of that receptor, sphingosine-1-phosphate (S1P) and @CHEMICAL$ ((S)-FTY720-P). For the LPA1 receptor, the similar SMD simulations were performed for lysophosphatidic acid, which is the endogenous agonist of that receptor.</t>
  </si>
  <si>
    <t>For CB1 we also modeled the whole N-terminal part and we have simulated the entrance of two agonists, @CHEMICAL$ and Delta9-THC, into the structure of CB1. For the S1P1 receptor, the SMD simulations of ligand pulling were performed for two agonists of that receptor, sphingosine-1-phosphate (S1P) and fingolimod-(S)-phosphate (@CHEMICAL$). For the LPA1 receptor, the similar SMD simulations were performed for lysophosphatidic acid, which is the endogenous agonist of that receptor.</t>
  </si>
  <si>
    <t>For CB1 we also modeled the whole N-terminal part and we have simulated the entrance of two agonists, @CHEMICAL$ and Delta9-THC, into the structure of CB1. For the S1P1 receptor, the SMD simulations of ligand pulling were performed for two agonists of that receptor, sphingosine-1-phosphate (S1P) and fingolimod-(S)-phosphate ((S)-FTY720-P). For the @GENE$, the similar SMD simulations were performed for lysophosphatidic acid, which is the endogenous agonist of that receptor.</t>
  </si>
  <si>
    <t>For CB1 we also modeled the whole N-terminal part and we have simulated the entrance of two agonists, @CHEMICAL$ and Delta9-THC, into the structure of CB1. For the S1P1 receptor, the SMD simulations of ligand pulling were performed for two agonists of that receptor, sphingosine-1-phosphate (S1P) and fingolimod-(S)-phosphate ((S)-FTY720-P). For the LPA1 receptor, the similar SMD simulations were performed for @CHEMICAL$, which is the endogenous agonist of that receptor.</t>
  </si>
  <si>
    <t>For CB1 we also modeled the whole N-terminal part and we have simulated the entrance of two agonists, anandamide and @CHEMICAL$, into the structure of @GENE$. For the S1P1 receptor, the SMD simulations of ligand pulling were performed for two agonists of that receptor, sphingosine-1-phosphate (S1P) and fingolimod-(S)-phosphate ((S)-FTY720-P). For the LPA1 receptor, the similar SMD simulations were performed for lysophosphatidic acid, which is the endogenous agonist of that receptor.</t>
  </si>
  <si>
    <t>For CB1 we also modeled the whole N-terminal part and we have simulated the entrance of two agonists, anandamide and @CHEMICAL$, into the structure of CB1. For the @GENE$, the SMD simulations of ligand pulling were performed for two agonists of that receptor, sphingosine-1-phosphate (S1P) and fingolimod-(S)-phosphate ((S)-FTY720-P). For the LPA1 receptor, the similar SMD simulations were performed for lysophosphatidic acid, which is the endogenous agonist of that receptor.</t>
  </si>
  <si>
    <t>For CB1 we also modeled the whole N-terminal part and we have simulated the entrance of two agonists, anandamide and @CHEMICAL$, into the structure of CB1. For the S1P1 receptor, the SMD simulations of ligand pulling were performed for two agonists of that receptor, @CHEMICAL$ (S1P) and fingolimod-(S)-phosphate ((S)-FTY720-P). For the LPA1 receptor, the similar SMD simulations were performed for lysophosphatidic acid, which is the endogenous agonist of that receptor.</t>
  </si>
  <si>
    <t>For CB1 we also modeled the whole N-terminal part and we have simulated the entrance of two agonists, anandamide and @CHEMICAL$, into the structure of CB1. For the S1P1 receptor, the SMD simulations of ligand pulling were performed for two agonists of that receptor, sphingosine-1-phosphate (@CHEMICAL$) and fingolimod-(S)-phosphate ((S)-FTY720-P). For the LPA1 receptor, the similar SMD simulations were performed for lysophosphatidic acid, which is the endogenous agonist of that receptor.</t>
  </si>
  <si>
    <t>For CB1 we also modeled the whole N-terminal part and we have simulated the entrance of two agonists, anandamide and @CHEMICAL$, into the structure of CB1. For the S1P1 receptor, the SMD simulations of ligand pulling were performed for two agonists of that receptor, sphingosine-1-phosphate (S1P) and @CHEMICAL$ ((S)-FTY720-P). For the LPA1 receptor, the similar SMD simulations were performed for lysophosphatidic acid, which is the endogenous agonist of that receptor.</t>
  </si>
  <si>
    <t>For CB1 we also modeled the whole N-terminal part and we have simulated the entrance of two agonists, anandamide and @CHEMICAL$, into the structure of CB1. For the S1P1 receptor, the SMD simulations of ligand pulling were performed for two agonists of that receptor, sphingosine-1-phosphate (S1P) and fingolimod-(S)-phosphate (@CHEMICAL$). For the LPA1 receptor, the similar SMD simulations were performed for lysophosphatidic acid, which is the endogenous agonist of that receptor.</t>
  </si>
  <si>
    <t>For CB1 we also modeled the whole N-terminal part and we have simulated the entrance of two agonists, anandamide and @CHEMICAL$, into the structure of CB1. For the S1P1 receptor, the SMD simulations of ligand pulling were performed for two agonists of that receptor, sphingosine-1-phosphate (S1P) and fingolimod-(S)-phosphate ((S)-FTY720-P). For the @GENE$, the similar SMD simulations were performed for lysophosphatidic acid, which is the endogenous agonist of that receptor.</t>
  </si>
  <si>
    <t>For CB1 we also modeled the whole N-terminal part and we have simulated the entrance of two agonists, anandamide and @CHEMICAL$, into the structure of CB1. For the S1P1 receptor, the SMD simulations of ligand pulling were performed for two agonists of that receptor, sphingosine-1-phosphate (S1P) and fingolimod-(S)-phosphate ((S)-FTY720-P). For the LPA1 receptor, the similar SMD simulations were performed for @CHEMICAL$, which is the endogenous agonist of that receptor.</t>
  </si>
  <si>
    <t>For CB1 we also modeled the whole N-terminal part and we have simulated the entrance of two agonists, anandamide and Delta9-THC, into the structure of @GENE$. For the @GENE$, the SMD simulations of ligand pulling were performed for two agonists of that receptor, sphingosine-1-phosphate (S1P) and fingolimod-(S)-phosphate ((S)-FTY720-P). For the LPA1 receptor, the similar SMD simulations were performed for lysophosphatidic acid, which is the endogenous agonist of that receptor.</t>
  </si>
  <si>
    <t>For CB1 we also modeled the whole N-terminal part and we have simulated the entrance of two agonists, anandamide and Delta9-THC, into the structure of @GENE$. For the S1P1 receptor, the SMD simulations of ligand pulling were performed for two agonists of that receptor, @CHEMICAL$ (S1P) and fingolimod-(S)-phosphate ((S)-FTY720-P). For the LPA1 receptor, the similar SMD simulations were performed for lysophosphatidic acid, which is the endogenous agonist of that receptor.</t>
  </si>
  <si>
    <t>For CB1 we also modeled the whole N-terminal part and we have simulated the entrance of two agonists, anandamide and Delta9-THC, into the structure of @GENE$. For the S1P1 receptor, the SMD simulations of ligand pulling were performed for two agonists of that receptor, sphingosine-1-phosphate (@CHEMICAL$) and fingolimod-(S)-phosphate ((S)-FTY720-P). For the LPA1 receptor, the similar SMD simulations were performed for lysophosphatidic acid, which is the endogenous agonist of that receptor.</t>
  </si>
  <si>
    <t>For CB1 we also modeled the whole N-terminal part and we have simulated the entrance of two agonists, anandamide and Delta9-THC, into the structure of @GENE$. For the S1P1 receptor, the SMD simulations of ligand pulling were performed for two agonists of that receptor, sphingosine-1-phosphate (S1P) and @CHEMICAL$ ((S)-FTY720-P). For the LPA1 receptor, the similar SMD simulations were performed for lysophosphatidic acid, which is the endogenous agonist of that receptor.</t>
  </si>
  <si>
    <t>For CB1 we also modeled the whole N-terminal part and we have simulated the entrance of two agonists, anandamide and Delta9-THC, into the structure of @GENE$. For the S1P1 receptor, the SMD simulations of ligand pulling were performed for two agonists of that receptor, sphingosine-1-phosphate (S1P) and fingolimod-(S)-phosphate (@CHEMICAL$). For the LPA1 receptor, the similar SMD simulations were performed for lysophosphatidic acid, which is the endogenous agonist of that receptor.</t>
  </si>
  <si>
    <t>For CB1 we also modeled the whole N-terminal part and we have simulated the entrance of two agonists, anandamide and Delta9-THC, into the structure of @GENE$. For the S1P1 receptor, the SMD simulations of ligand pulling were performed for two agonists of that receptor, sphingosine-1-phosphate (S1P) and fingolimod-(S)-phosphate ((S)-FTY720-P). For the @GENE$, the similar SMD simulations were performed for lysophosphatidic acid, which is the endogenous agonist of that receptor.</t>
  </si>
  <si>
    <t>For CB1 we also modeled the whole N-terminal part and we have simulated the entrance of two agonists, anandamide and Delta9-THC, into the structure of @GENE$. For the S1P1 receptor, the SMD simulations of ligand pulling were performed for two agonists of that receptor, sphingosine-1-phosphate (S1P) and fingolimod-(S)-phosphate ((S)-FTY720-P). For the LPA1 receptor, the similar SMD simulations were performed for @CHEMICAL$, which is the endogenous agonist of that receptor.</t>
  </si>
  <si>
    <t>For CB1 we also modeled the whole N-terminal part and we have simulated the entrance of two agonists, anandamide and Delta9-THC, into the structure of CB1. For the @GENE$, the SMD simulations of ligand pulling were performed for two agonists of that receptor, @CHEMICAL$ (S1P) and fingolimod-(S)-phosphate ((S)-FTY720-P). For the LPA1 receptor, the similar SMD simulations were performed for lysophosphatidic acid, which is the endogenous agonist of that receptor.</t>
  </si>
  <si>
    <t>For CB1 we also modeled the whole N-terminal part and we have simulated the entrance of two agonists, anandamide and Delta9-THC, into the structure of CB1. For the @GENE$, the SMD simulations of ligand pulling were performed for two agonists of that receptor, sphingosine-1-phosphate (@CHEMICAL$) and fingolimod-(S)-phosphate ((S)-FTY720-P). For the LPA1 receptor, the similar SMD simulations were performed for lysophosphatidic acid, which is the endogenous agonist of that receptor.</t>
  </si>
  <si>
    <t>For CB1 we also modeled the whole N-terminal part and we have simulated the entrance of two agonists, anandamide and Delta9-THC, into the structure of CB1. For the @GENE$, the SMD simulations of ligand pulling were performed for two agonists of that receptor, sphingosine-1-phosphate (S1P) and @CHEMICAL$ ((S)-FTY720-P). For the LPA1 receptor, the similar SMD simulations were performed for lysophosphatidic acid, which is the endogenous agonist of that receptor.</t>
  </si>
  <si>
    <t>For CB1 we also modeled the whole N-terminal part and we have simulated the entrance of two agonists, anandamide and Delta9-THC, into the structure of CB1. For the @GENE$, the SMD simulations of ligand pulling were performed for two agonists of that receptor, sphingosine-1-phosphate (S1P) and fingolimod-(S)-phosphate (@CHEMICAL$). For the LPA1 receptor, the similar SMD simulations were performed for lysophosphatidic acid, which is the endogenous agonist of that receptor.</t>
  </si>
  <si>
    <t>For CB1 we also modeled the whole N-terminal part and we have simulated the entrance of two agonists, anandamide and Delta9-THC, into the structure of CB1. For the @GENE$, the SMD simulations of ligand pulling were performed for two agonists of that receptor, sphingosine-1-phosphate (S1P) and fingolimod-(S)-phosphate ((S)-FTY720-P). For the @GENE$, the similar SMD simulations were performed for lysophosphatidic acid, which is the endogenous agonist of that receptor.</t>
  </si>
  <si>
    <t>For CB1 we also modeled the whole N-terminal part and we have simulated the entrance of two agonists, anandamide and Delta9-THC, into the structure of CB1. For the @GENE$, the SMD simulations of ligand pulling were performed for two agonists of that receptor, sphingosine-1-phosphate (S1P) and fingolimod-(S)-phosphate ((S)-FTY720-P). For the LPA1 receptor, the similar SMD simulations were performed for @CHEMICAL$, which is the endogenous agonist of that receptor.</t>
  </si>
  <si>
    <t>For CB1 we also modeled the whole N-terminal part and we have simulated the entrance of two agonists, anandamide and Delta9-THC, into the structure of CB1. For the S1P1 receptor, the SMD simulations of ligand pulling were performed for two agonists of that receptor, @CHEMICAL$ (@CHEMICAL$) and fingolimod-(S)-phosphate ((S)-FTY720-P). For the LPA1 receptor, the similar SMD simulations were performed for lysophosphatidic acid, which is the endogenous agonist of that receptor.</t>
  </si>
  <si>
    <t>For CB1 we also modeled the whole N-terminal part and we have simulated the entrance of two agonists, anandamide and Delta9-THC, into the structure of CB1. For the S1P1 receptor, the SMD simulations of ligand pulling were performed for two agonists of that receptor, @CHEMICAL$ (S1P) and @CHEMICAL$ ((S)-FTY720-P). For the LPA1 receptor, the similar SMD simulations were performed for lysophosphatidic acid, which is the endogenous agonist of that receptor.</t>
  </si>
  <si>
    <t>For CB1 we also modeled the whole N-terminal part and we have simulated the entrance of two agonists, anandamide and Delta9-THC, into the structure of CB1. For the S1P1 receptor, the SMD simulations of ligand pulling were performed for two agonists of that receptor, @CHEMICAL$ (S1P) and fingolimod-(S)-phosphate (@CHEMICAL$). For the LPA1 receptor, the similar SMD simulations were performed for lysophosphatidic acid, which is the endogenous agonist of that receptor.</t>
  </si>
  <si>
    <t>For CB1 we also modeled the whole N-terminal part and we have simulated the entrance of two agonists, anandamide and Delta9-THC, into the structure of CB1. For the S1P1 receptor, the SMD simulations of ligand pulling were performed for two agonists of that receptor, @CHEMICAL$ (S1P) and fingolimod-(S)-phosphate ((S)-FTY720-P). For the @GENE$, the similar SMD simulations were performed for lysophosphatidic acid, which is the endogenous agonist of that receptor.</t>
  </si>
  <si>
    <t>For CB1 we also modeled the whole N-terminal part and we have simulated the entrance of two agonists, anandamide and Delta9-THC, into the structure of CB1. For the S1P1 receptor, the SMD simulations of ligand pulling were performed for two agonists of that receptor, @CHEMICAL$ (S1P) and fingolimod-(S)-phosphate ((S)-FTY720-P). For the LPA1 receptor, the similar SMD simulations were performed for @CHEMICAL$, which is the endogenous agonist of that receptor.</t>
  </si>
  <si>
    <t>For CB1 we also modeled the whole N-terminal part and we have simulated the entrance of two agonists, anandamide and Delta9-THC, into the structure of CB1. For the S1P1 receptor, the SMD simulations of ligand pulling were performed for two agonists of that receptor, sphingosine-1-phosphate (@CHEMICAL$) and @CHEMICAL$ ((S)-FTY720-P). For the LPA1 receptor, the similar SMD simulations were performed for lysophosphatidic acid, which is the endogenous agonist of that receptor.</t>
  </si>
  <si>
    <t>For CB1 we also modeled the whole N-terminal part and we have simulated the entrance of two agonists, anandamide and Delta9-THC, into the structure of CB1. For the S1P1 receptor, the SMD simulations of ligand pulling were performed for two agonists of that receptor, sphingosine-1-phosphate (@CHEMICAL$) and fingolimod-(S)-phosphate (@CHEMICAL$). For the LPA1 receptor, the similar SMD simulations were performed for lysophosphatidic acid, which is the endogenous agonist of that receptor.</t>
  </si>
  <si>
    <t>For CB1 we also modeled the whole N-terminal part and we have simulated the entrance of two agonists, anandamide and Delta9-THC, into the structure of CB1. For the S1P1 receptor, the SMD simulations of ligand pulling were performed for two agonists of that receptor, sphingosine-1-phosphate (@CHEMICAL$) and fingolimod-(S)-phosphate ((S)-FTY720-P). For the @GENE$, the similar SMD simulations were performed for lysophosphatidic acid, which is the endogenous agonist of that receptor.</t>
  </si>
  <si>
    <t>For CB1 we also modeled the whole N-terminal part and we have simulated the entrance of two agonists, anandamide and Delta9-THC, into the structure of CB1. For the S1P1 receptor, the SMD simulations of ligand pulling were performed for two agonists of that receptor, sphingosine-1-phosphate (@CHEMICAL$) and fingolimod-(S)-phosphate ((S)-FTY720-P). For the LPA1 receptor, the similar SMD simulations were performed for @CHEMICAL$, which is the endogenous agonist of that receptor.</t>
  </si>
  <si>
    <t>For CB1 we also modeled the whole N-terminal part and we have simulated the entrance of two agonists, anandamide and Delta9-THC, into the structure of CB1. For the S1P1 receptor, the SMD simulations of ligand pulling were performed for two agonists of that receptor, sphingosine-1-phosphate (S1P) and @CHEMICAL$ (@CHEMICAL$). For the LPA1 receptor, the similar SMD simulations were performed for lysophosphatidic acid, which is the endogenous agonist of that receptor.</t>
  </si>
  <si>
    <t>For CB1 we also modeled the whole N-terminal part and we have simulated the entrance of two agonists, anandamide and Delta9-THC, into the structure of CB1. For the S1P1 receptor, the SMD simulations of ligand pulling were performed for two agonists of that receptor, sphingosine-1-phosphate (S1P) and @CHEMICAL$ ((S)-FTY720-P). For the @GENE$, the similar SMD simulations were performed for lysophosphatidic acid, which is the endogenous agonist of that receptor.</t>
  </si>
  <si>
    <t>For CB1 we also modeled the whole N-terminal part and we have simulated the entrance of two agonists, anandamide and Delta9-THC, into the structure of CB1. For the S1P1 receptor, the SMD simulations of ligand pulling were performed for two agonists of that receptor, sphingosine-1-phosphate (S1P) and @CHEMICAL$ ((S)-FTY720-P). For the LPA1 receptor, the similar SMD simulations were performed for @CHEMICAL$, which is the endogenous agonist of that receptor.</t>
  </si>
  <si>
    <t>For CB1 we also modeled the whole N-terminal part and we have simulated the entrance of two agonists, anandamide and Delta9-THC, into the structure of CB1. For the S1P1 receptor, the SMD simulations of ligand pulling were performed for two agonists of that receptor, sphingosine-1-phosphate (S1P) and fingolimod-(S)-phosphate (@CHEMICAL$). For the @GENE$, the similar SMD simulations were performed for lysophosphatidic acid, which is the endogenous agonist of that receptor.</t>
  </si>
  <si>
    <t>For CB1 we also modeled the whole N-terminal part and we have simulated the entrance of two agonists, anandamide and Delta9-THC, into the structure of CB1. For the S1P1 receptor, the SMD simulations of ligand pulling were performed for two agonists of that receptor, sphingosine-1-phosphate (S1P) and fingolimod-(S)-phosphate (@CHEMICAL$). For the LPA1 receptor, the similar SMD simulations were performed for @CHEMICAL$, which is the endogenous agonist of that receptor.</t>
  </si>
  <si>
    <t>For CB1 we also modeled the whole N-terminal part and we have simulated the entrance of two agonists, anandamide and Delta9-THC, into the structure of CB1. For the S1P1 receptor, the SMD simulations of ligand pulling were performed for two agonists of that receptor, sphingosine-1-phosphate (S1P) and fingolimod-(S)-phosphate ((S)-FTY720-P). For the @GENE$, the similar SMD simulations were performed for @CHEMICAL$, which is the endogenous agonist of that receptor.</t>
  </si>
  <si>
    <t>build a structural model of the @GENE$-@GENE$ complex guided by the experimental data... further show that the other two natural ligands of Y5 R, peptide YY (PYY) and pancreatic polypeptide (PP) dock to the receptor in a similar pose.</t>
  </si>
  <si>
    <t>(NPY, binds to, Y5 R)</t>
  </si>
  <si>
    <t>build a structural model of the @GENE$-Y5 R complex guided by the experimental data... further show that the other two natural ligands of @GENE$, peptide YY (PYY) and pancreatic polypeptide (PP) dock to the receptor in a similar pose.</t>
  </si>
  <si>
    <r>
      <rPr>
        <rFont val="Arial"/>
        <color theme="1"/>
      </rPr>
      <t xml:space="preserve">Should be 0 - Not clear that there is binding between these specific mentions of NPY and Y5R? </t>
    </r>
    <r>
      <rPr>
        <rFont val="Arial"/>
        <color rgb="FF4A86E8"/>
      </rPr>
      <t>Clause issue</t>
    </r>
  </si>
  <si>
    <t>build a structural model of the @GENE$-Y5 R complex guided by the experimental data... further show that the other two natural ligands of Y5 R, @GENE$ (PYY) and pancreatic polypeptide (PP) dock to the receptor in a similar pose.</t>
  </si>
  <si>
    <t>(Peptide YY (PYY), binds to, Y5 R)</t>
  </si>
  <si>
    <t>build a structural model of the @GENE$-Y5 R complex guided by the experimental data... further show that the other two natural ligands of Y5 R, peptide YY (@CHEMICAL$) and pancreatic polypeptide (PP) dock to the receptor in a similar pose.</t>
  </si>
  <si>
    <t>(Pancreatic polypeptide (PP), binds to Y5 R)</t>
  </si>
  <si>
    <t>build a structural model of the @GENE$-Y5 R complex guided by the experimental data... further show that the other two natural ligands of Y5 R, peptide YY (PYY) and @GENE$ (PP) dock to the receptor in a similar pose.</t>
  </si>
  <si>
    <t>build a structural model of the @GENE$-Y5 R complex guided by the experimental data... further show that the other two natural ligands of Y5 R, peptide YY (PYY) and pancreatic polypeptide (@GENE$) dock to the receptor in a similar pose.</t>
  </si>
  <si>
    <t>build a structural model of the NPY-@GENE$ complex guided by the experimental data... further show that the other two natural ligands of @GENE$, peptide YY (PYY) and pancreatic polypeptide (PP) dock to the receptor in a similar pose.</t>
  </si>
  <si>
    <t>build a structural model of the NPY-@GENE$ complex guided by the experimental data... further show that the other two natural ligands of Y5 R, @GENE$ (PYY) and pancreatic polypeptide (PP) dock to the receptor in a similar pose.</t>
  </si>
  <si>
    <r>
      <rPr>
        <rFont val="Arial"/>
        <color theme="1"/>
      </rPr>
      <t xml:space="preserve">Should be 0 - Not clear that there is binding between these specific mentions of Y5R AND PYY/PP? </t>
    </r>
    <r>
      <rPr>
        <rFont val="Arial"/>
        <color rgb="FF4A86E8"/>
      </rPr>
      <t>Clause issue</t>
    </r>
  </si>
  <si>
    <t>build a structural model of the NPY-@GENE$ complex guided by the experimental data... further show that the other two natural ligands of Y5 R, peptide YY (@CHEMICAL$) and pancreatic polypeptide (PP) dock to the receptor in a similar pose.</t>
  </si>
  <si>
    <t>Should be 0 - Not clear that there is binding between these specific mentions of Y5R AND PYY/PP?</t>
  </si>
  <si>
    <t>build a structural model of the NPY-@GENE$ complex guided by the experimental data... further show that the other two natural ligands of Y5 R, peptide YY (PYY) and @GENE$ (PP) dock to the receptor in a similar pose.</t>
  </si>
  <si>
    <t>build a structural model of the NPY-@GENE$ complex guided by the experimental data... further show that the other two natural ligands of Y5 R, peptide YY (PYY) and pancreatic polypeptide (@GENE$) dock to the receptor in a similar pose.</t>
  </si>
  <si>
    <t>build a structural model of the NPY-Y5 R complex guided by the experimental data... further show that the other two natural ligands of @GENE$, @GENE$ (PYY) and pancreatic polypeptide (PP) dock to the receptor in a similar pose.</t>
  </si>
  <si>
    <t>build a structural model of the NPY-Y5 R complex guided by the experimental data... further show that the other two natural ligands of @GENE$, peptide YY (@CHEMICAL$) and pancreatic polypeptide (PP) dock to the receptor in a similar pose.</t>
  </si>
  <si>
    <t>build a structural model of the NPY-Y5 R complex guided by the experimental data... further show that the other two natural ligands of @GENE$, peptide YY (PYY) and @GENE$ (PP) dock to the receptor in a similar pose.</t>
  </si>
  <si>
    <t>build a structural model of the NPY-Y5 R complex guided by the experimental data... further show that the other two natural ligands of @GENE$, peptide YY (PYY) and pancreatic polypeptide (@GENE$) dock to the receptor in a similar pose.</t>
  </si>
  <si>
    <t>build a structural model of the NPY-Y5 R complex guided by the experimental data... further show that the other two natural ligands of Y5 R, @GENE$ (@CHEMICAL$) and pancreatic polypeptide (PP) dock to the receptor in a similar pose.</t>
  </si>
  <si>
    <t>build a structural model of the NPY-Y5 R complex guided by the experimental data... further show that the other two natural ligands of Y5 R, @GENE$ (PYY) and @GENE$ (PP) dock to the receptor in a similar pose.</t>
  </si>
  <si>
    <t>build a structural model of the NPY-Y5 R complex guided by the experimental data... further show that the other two natural ligands of Y5 R, @GENE$ (PYY) and pancreatic polypeptide (@GENE$) dock to the receptor in a similar pose.</t>
  </si>
  <si>
    <t>build a structural model of the NPY-Y5 R complex guided by the experimental data... further show that the other two natural ligands of Y5 R, peptide YY (@CHEMICAL$) and @GENE$ (PP) dock to the receptor in a similar pose.</t>
  </si>
  <si>
    <t>build a structural model of the NPY-Y5 R complex guided by the experimental data... further show that the other two natural ligands of Y5 R, peptide YY (@CHEMICAL$) and pancreatic polypeptide (@GENE$) dock to the receptor in a similar pose.</t>
  </si>
  <si>
    <t>build a structural model of the NPY-Y5 R complex guided by the experimental data... further show that the other two natural ligands of Y5 R, peptide YY (PYY) and @GENE$ (@GENE$) dock to the receptor in a similar pose.</t>
  </si>
  <si>
    <t>Here we describe a fast, high-throughput FP assay to quantify the binding of fluorescently labeled @CHEMICAL$ (@CHEMICAL$) to N-terminal fragments of the IP3 receptor</t>
  </si>
  <si>
    <t>(IP3, binds to, N-terminal fragements of IP3 receptor)</t>
  </si>
  <si>
    <t>Here we describe a fast, high-throughput FP assay to quantify the binding of fluorescently labeled @CHEMICAL$ (IP3) to N-terminal fragments of the @GENE$</t>
  </si>
  <si>
    <t>Here we describe a fast, high-throughput FP assay to quantify the binding of fluorescently labeled inositol 1,4,5-trisphosphate (@CHEMICAL$) to N-terminal fragments of the @GENE$</t>
  </si>
  <si>
    <t>It is regulated by the @GENE$ native ligand @CHEMICAL$ (T3), which displays anticooperative behavior to the RXR ligand 9-cis retinoic acid (9C).</t>
  </si>
  <si>
    <t>(T3, binds to, TR)</t>
  </si>
  <si>
    <t>It is regulated by the @GENE$ native ligand triiodothyronine (@CHEMICAL$), which displays anticooperative behavior to the RXR ligand 9-cis retinoic acid (9C).</t>
  </si>
  <si>
    <t>It is regulated by the @GENE$ native ligand triiodothyronine (T3), which displays anticooperative behavior to the @GENE$ ligand 9-cis retinoic acid (9C).</t>
  </si>
  <si>
    <t>It is regulated by the @GENE$ native ligand triiodothyronine (T3), which displays anticooperative behavior to the RXR ligand @CHEMICAL$ (9C).</t>
  </si>
  <si>
    <t>It is regulated by the @GENE$ native ligand triiodothyronine (T3), which displays anticooperative behavior to the RXR ligand 9-cis retinoic acid (@CHEMICAL$).</t>
  </si>
  <si>
    <t>It is regulated by the TR native ligand @CHEMICAL$ (@CHEMICAL$), which displays anticooperative behavior to the RXR ligand 9-cis retinoic acid (9C).</t>
  </si>
  <si>
    <t>It is regulated by the TR native ligand @CHEMICAL$ (T3), which displays anticooperative behavior to the @GENE$ ligand 9-cis retinoic acid (9C).</t>
  </si>
  <si>
    <t>It is regulated by the TR native ligand @CHEMICAL$ (T3), which displays anticooperative behavior to the RXR ligand @CHEMICAL$ (9C).</t>
  </si>
  <si>
    <t xml:space="preserve">T3 "displays anticooperative behaviour" to 9C = inhibition? negative correlation? </t>
  </si>
  <si>
    <t>It is regulated by the TR native ligand @CHEMICAL$ (T3), which displays anticooperative behavior to the RXR ligand 9-cis retinoic acid (@CHEMICAL$).</t>
  </si>
  <si>
    <t>It is regulated by the TR native ligand triiodothyronine (@CHEMICAL$), which displays anticooperative behavior to the @GENE$ ligand 9-cis retinoic acid (9C).</t>
  </si>
  <si>
    <t>It is regulated by the TR native ligand triiodothyronine (@CHEMICAL$), which displays anticooperative behavior to the RXR ligand @CHEMICAL$ (9C).</t>
  </si>
  <si>
    <t>It is regulated by the TR native ligand triiodothyronine (@CHEMICAL$), which displays anticooperative behavior to the RXR ligand 9-cis retinoic acid (@CHEMICAL$).</t>
  </si>
  <si>
    <t>It is regulated by the TR native ligand triiodothyronine (T3), which displays anticooperative behavior to the @GENE$ ligand @CHEMICAL$ (9C).</t>
  </si>
  <si>
    <t>(9C, binds to, RXR)</t>
  </si>
  <si>
    <t>It is regulated by the TR native ligand triiodothyronine (T3), which displays anticooperative behavior to the @GENE$ ligand 9-cis retinoic acid (@CHEMICAL$).</t>
  </si>
  <si>
    <t>It is regulated by the TR native ligand triiodothyronine (T3), which displays anticooperative behavior to the RXR ligand @CHEMICAL$ (@CHEMICAL$).</t>
  </si>
  <si>
    <t>From the simulations, both the agonist @CHEMICAL$ (@CHEMICAL$) and the selective PR modulator (SPRM) asoprisnil induces agonistic-like helix 12 conformations (the "closed" states) in PR LBD</t>
  </si>
  <si>
    <t>(P4, binds to, PR)</t>
  </si>
  <si>
    <t>From the simulations, both the agonist @CHEMICAL$ (P4) and the selective @GENE$ modulator (SPRM) asoprisnil induces agonistic-like helix 12 conformations (the "closed" states) in PR LBD</t>
  </si>
  <si>
    <t>From the simulations, both the agonist @CHEMICAL$ (P4) and the selective PR modulator (SPRM) @CHEMICAL$ induces agonistic-like helix 12 conformations (the "closed" states) in PR LBD</t>
  </si>
  <si>
    <t>Should be 0 - P4 is the agonist and asoprisnil is the modulator of PR, but not clear that they interact with each other here</t>
  </si>
  <si>
    <t>From the simulations, both the agonist @CHEMICAL$ (P4) and the selective PR modulator (SPRM) asoprisnil induces agonistic-like helix 12 conformations (the "closed" states) in @GENE$ LBD</t>
  </si>
  <si>
    <t>From the simulations, both the agonist progesterone (@CHEMICAL$) and the selective @GENE$ modulator (SPRM) asoprisnil induces agonistic-like helix 12 conformations (the "closed" states) in PR LBD</t>
  </si>
  <si>
    <t>Should be 0? Is it clear that P4 is binding with this mention of PR?</t>
  </si>
  <si>
    <t>From the simulations, both the agonist progesterone (@CHEMICAL$) and the selective PR modulator (SPRM) @CHEMICAL$ induces agonistic-like helix 12 conformations (the "closed" states) in PR LBD</t>
  </si>
  <si>
    <t>From the simulations, both the agonist progesterone (@CHEMICAL$) and the selective PR modulator (SPRM) asoprisnil induces agonistic-like helix 12 conformations (the "closed" states) in @GENE$ LBD</t>
  </si>
  <si>
    <t>From the simulations, both the agonist progesterone (P4) and the selective @GENE$ modulator (SPRM) @CHEMICAL$ induces agonistic-like helix 12 conformations (the "closed" states) in PR LBD</t>
  </si>
  <si>
    <t>From the simulations, both the agonist progesterone (P4) and the selective @GENE$ modulator (SPRM) asoprisnil induces agonistic-like helix 12 conformations (the "closed" states) in @GENE$ LBD</t>
  </si>
  <si>
    <t>From the simulations, both the agonist progesterone (P4) and the selective PR modulator (SPRM) @CHEMICAL$ induces agonistic-like helix 12 conformations (the "closed" states) in @GENE$ LBD</t>
  </si>
  <si>
    <t>Should be 0? Is it clear that SPRM is binding with this mention of PR?</t>
  </si>
  <si>
    <t>The most potent and selective ligands being 8c (@CHEMICAL$; @GENE$ pKD 7.48), 9c (ICI 118,551-betaAla-betaAla-BODIPY-FL-X; beta2AR pKD 7.48), 12a (ICI 118,551-PEG-BODIPY-X-630/650; beta2AR pKD 7.56), and 12b (ICI 118,551-PEG-BODIPY-FL; beta2AR pKD 7.42)</t>
  </si>
  <si>
    <r>
      <rPr>
        <rFont val="Arial"/>
        <color theme="1"/>
        <sz val="10.0"/>
      </rPr>
      <t>(ICI 118,551-Gly-Ala-BODIPY-FL-X, binds to, beta2AR)</t>
    </r>
    <r>
      <rPr>
        <rFont val="Arial"/>
        <color rgb="FF4A86E8"/>
        <sz val="10.0"/>
      </rPr>
      <t xml:space="preserve"> </t>
    </r>
  </si>
  <si>
    <t>The most potent and selective ligands being 8c (@CHEMICAL$; beta2AR pKD 7.48), 9c (@CHEMICAL$; beta2AR pKD 7.48), 12a (ICI 118,551-PEG-BODIPY-X-630/650; beta2AR pKD 7.56), and 12b (ICI 118,551-PEG-BODIPY-FL; beta2AR pKD 7.42)</t>
  </si>
  <si>
    <t>The most potent and selective ligands being 8c (@CHEMICAL$; beta2AR pKD 7.48), 9c (ICI 118,551-betaAla-betaAla-BODIPY-FL-X; @GENE$ pKD 7.48), 12a (ICI 118,551-PEG-BODIPY-X-630/650; beta2AR pKD 7.56), and 12b (ICI 118,551-PEG-BODIPY-FL; beta2AR pKD 7.42)</t>
  </si>
  <si>
    <r>
      <rPr>
        <rFont val="Arial"/>
        <color theme="1"/>
      </rPr>
      <t xml:space="preserve">Should be 0 - Not clear that there is binding between these specific mentions of 8c AND beta2AR? </t>
    </r>
    <r>
      <rPr>
        <rFont val="Arial"/>
        <color rgb="FF4A86E8"/>
      </rPr>
      <t>Clause issue</t>
    </r>
  </si>
  <si>
    <t>The most potent and selective ligands being 8c (@CHEMICAL$; beta2AR pKD 7.48), 9c (ICI 118,551-betaAla-betaAla-BODIPY-FL-X; beta2AR pKD 7.48), 12a (@CHEMICAL$; beta2AR pKD 7.56), and 12b (ICI 118,551-PEG-BODIPY-FL; beta2AR pKD 7.42)</t>
  </si>
  <si>
    <t>The most potent and selective ligands being 8c (@CHEMICAL$; beta2AR pKD 7.48), 9c (ICI 118,551-betaAla-betaAla-BODIPY-FL-X; beta2AR pKD 7.48), 12a (ICI 118,551-PEG-BODIPY-X-630/650; @GENE$ pKD 7.56), and 12b (ICI 118,551-PEG-BODIPY-FL; beta2AR pKD 7.42)</t>
  </si>
  <si>
    <r>
      <rPr>
        <rFont val="Arial"/>
        <color theme="1"/>
      </rPr>
      <t xml:space="preserve">Should be 0 - Not clear that there is binding between these specific mentions of 8c AND beta2AR? </t>
    </r>
    <r>
      <rPr>
        <rFont val="Arial"/>
        <color rgb="FF4A86E8"/>
      </rPr>
      <t>Clause issue</t>
    </r>
  </si>
  <si>
    <t>The most potent and selective ligands being 8c (@CHEMICAL$; beta2AR pKD 7.48), 9c (ICI 118,551-betaAla-betaAla-BODIPY-FL-X; beta2AR pKD 7.48), 12a (ICI 118,551-PEG-BODIPY-X-630/650; beta2AR pKD 7.56), and 12b (@CHEMICAL$; beta2AR pKD 7.42)</t>
  </si>
  <si>
    <t>The most potent and selective ligands being 8c (@CHEMICAL$; beta2AR pKD 7.48), 9c (ICI 118,551-betaAla-betaAla-BODIPY-FL-X; beta2AR pKD 7.48), 12a (ICI 118,551-PEG-BODIPY-X-630/650; beta2AR pKD 7.56), and 12b (ICI 118,551-PEG-BODIPY-FL; @GENE$ pKD 7.42)</t>
  </si>
  <si>
    <r>
      <rPr>
        <rFont val="Arial"/>
        <color theme="1"/>
      </rPr>
      <t xml:space="preserve">Should be 0 - Not clear that there is binding between these specific mentions of 8c AND beta2AR? </t>
    </r>
    <r>
      <rPr>
        <rFont val="Arial"/>
        <color rgb="FF4A86E8"/>
      </rPr>
      <t>Clause issue</t>
    </r>
  </si>
  <si>
    <t>The most potent and selective ligands being 8c (ICI 118,551-Gly-Ala-BODIPY-FL-X; @GENE$ pKD 7.48), 9c (@CHEMICAL$; beta2AR pKD 7.48), 12a (ICI 118,551-PEG-BODIPY-X-630/650; beta2AR pKD 7.56), and 12b (ICI 118,551-PEG-BODIPY-FL; beta2AR pKD 7.42)</t>
  </si>
  <si>
    <r>
      <rPr>
        <rFont val="Arial"/>
        <color theme="1"/>
      </rPr>
      <t xml:space="preserve">Should be 0 - Not clear that there is binding between these specific mentions of 9c AND beta2AR? </t>
    </r>
    <r>
      <rPr>
        <rFont val="Arial"/>
        <color rgb="FF4A86E8"/>
      </rPr>
      <t>Clause issue</t>
    </r>
  </si>
  <si>
    <t>The most potent and selective ligands being 8c (ICI 118,551-Gly-Ala-BODIPY-FL-X; @GENE$ pKD 7.48), 9c (ICI 118,551-betaAla-betaAla-BODIPY-FL-X; @GENE$ pKD 7.48), 12a (ICI 118,551-PEG-BODIPY-X-630/650; beta2AR pKD 7.56), and 12b (ICI 118,551-PEG-BODIPY-FL; beta2AR pKD 7.42)</t>
  </si>
  <si>
    <t>The most potent and selective ligands being 8c (ICI 118,551-Gly-Ala-BODIPY-FL-X; @GENE$ pKD 7.48), 9c (ICI 118,551-betaAla-betaAla-BODIPY-FL-X; beta2AR pKD 7.48), 12a (@CHEMICAL$; beta2AR pKD 7.56), and 12b (ICI 118,551-PEG-BODIPY-FL; beta2AR pKD 7.42)</t>
  </si>
  <si>
    <r>
      <rPr>
        <rFont val="Arial"/>
        <color theme="1"/>
      </rPr>
      <t xml:space="preserve">Should be 0 - Not clear that there is binding between these specific mentions of 12a AND beta2AR? </t>
    </r>
    <r>
      <rPr>
        <rFont val="Arial"/>
        <color rgb="FF4A86E8"/>
      </rPr>
      <t>Clause issue</t>
    </r>
  </si>
  <si>
    <t>The most potent and selective ligands being 8c (ICI 118,551-Gly-Ala-BODIPY-FL-X; @GENE$ pKD 7.48), 9c (ICI 118,551-betaAla-betaAla-BODIPY-FL-X; beta2AR pKD 7.48), 12a (ICI 118,551-PEG-BODIPY-X-630/650; @GENE$ pKD 7.56), and 12b (ICI 118,551-PEG-BODIPY-FL; beta2AR pKD 7.42)</t>
  </si>
  <si>
    <t>The most potent and selective ligands being 8c (ICI 118,551-Gly-Ala-BODIPY-FL-X; @GENE$ pKD 7.48), 9c (ICI 118,551-betaAla-betaAla-BODIPY-FL-X; beta2AR pKD 7.48), 12a (ICI 118,551-PEG-BODIPY-X-630/650; beta2AR pKD 7.56), and 12b (@CHEMICAL$; beta2AR pKD 7.42)</t>
  </si>
  <si>
    <r>
      <rPr>
        <rFont val="Arial"/>
        <color theme="1"/>
      </rPr>
      <t xml:space="preserve">Should be 0 - Not clear that there is binding between these specific mentions of 12b AND beta2AR? </t>
    </r>
    <r>
      <rPr>
        <rFont val="Arial"/>
        <color rgb="FF4A86E8"/>
      </rPr>
      <t>Clause issue</t>
    </r>
  </si>
  <si>
    <t>The most potent and selective ligands being 8c (ICI 118,551-Gly-Ala-BODIPY-FL-X; @GENE$ pKD 7.48), 9c (ICI 118,551-betaAla-betaAla-BODIPY-FL-X; beta2AR pKD 7.48), 12a (ICI 118,551-PEG-BODIPY-X-630/650; beta2AR pKD 7.56), and 12b (ICI 118,551-PEG-BODIPY-FL; @GENE$ pKD 7.42)</t>
  </si>
  <si>
    <t>The most potent and selective ligands being 8c (ICI 118,551-Gly-Ala-BODIPY-FL-X; beta2AR pKD 7.48), 9c (@CHEMICAL$; @GENE$ pKD 7.48), 12a (ICI 118,551-PEG-BODIPY-X-630/650; beta2AR pKD 7.56), and 12b (ICI 118,551-PEG-BODIPY-FL; beta2AR pKD 7.42)</t>
  </si>
  <si>
    <t>(ICI 118,551-betaAla-betaAla-BODIPY-FL-X, binds to, beta2AR)</t>
  </si>
  <si>
    <t>The most potent and selective ligands being 8c (ICI 118,551-Gly-Ala-BODIPY-FL-X; beta2AR pKD 7.48), 9c (@CHEMICAL$; beta2AR pKD 7.48), 12a (@CHEMICAL$; beta2AR pKD 7.56), and 12b (ICI 118,551-PEG-BODIPY-FL; beta2AR pKD 7.42)</t>
  </si>
  <si>
    <t>The most potent and selective ligands being 8c (ICI 118,551-Gly-Ala-BODIPY-FL-X; beta2AR pKD 7.48), 9c (@CHEMICAL$; beta2AR pKD 7.48), 12a (ICI 118,551-PEG-BODIPY-X-630/650; @GENE$ pKD 7.56), and 12b (ICI 118,551-PEG-BODIPY-FL; beta2AR pKD 7.42)</t>
  </si>
  <si>
    <r>
      <rPr>
        <rFont val="Arial"/>
        <color theme="1"/>
      </rPr>
      <t xml:space="preserve">Should be 0 - Not clear that there is binding between these specific mentions of 12a AND beta2AR? </t>
    </r>
    <r>
      <rPr>
        <rFont val="Arial"/>
        <color rgb="FF4A86E8"/>
      </rPr>
      <t>Clause issue</t>
    </r>
  </si>
  <si>
    <t>The most potent and selective ligands being 8c (ICI 118,551-Gly-Ala-BODIPY-FL-X; beta2AR pKD 7.48), 9c (@CHEMICAL$; beta2AR pKD 7.48), 12a (ICI 118,551-PEG-BODIPY-X-630/650; beta2AR pKD 7.56), and 12b (@CHEMICAL$; beta2AR pKD 7.42)</t>
  </si>
  <si>
    <t>The most potent and selective ligands being 8c (ICI 118,551-Gly-Ala-BODIPY-FL-X; beta2AR pKD 7.48), 9c (@CHEMICAL$; beta2AR pKD 7.48), 12a (ICI 118,551-PEG-BODIPY-X-630/650; beta2AR pKD 7.56), and 12b (ICI 118,551-PEG-BODIPY-FL; @GENE$ pKD 7.42)</t>
  </si>
  <si>
    <r>
      <rPr>
        <rFont val="Arial"/>
        <color theme="1"/>
      </rPr>
      <t xml:space="preserve">Should be 0 - Not clear that there is binding between these specific mentions of 12b AND beta2AR? </t>
    </r>
    <r>
      <rPr>
        <rFont val="Arial"/>
        <color rgb="FF4A86E8"/>
      </rPr>
      <t>Clause issue</t>
    </r>
  </si>
  <si>
    <t>The most potent and selective ligands being 8c (ICI 118,551-Gly-Ala-BODIPY-FL-X; beta2AR pKD 7.48), 9c (ICI 118,551-betaAla-betaAla-BODIPY-FL-X; @GENE$ pKD 7.48), 12a (@CHEMICAL$; beta2AR pKD 7.56), and 12b (ICI 118,551-PEG-BODIPY-FL; beta2AR pKD 7.42)</t>
  </si>
  <si>
    <r>
      <rPr>
        <rFont val="Arial"/>
        <color theme="1"/>
      </rPr>
      <t xml:space="preserve">Should be 0 - Not clear that there is binding between these specific mentions of 12a AND beta2AR? </t>
    </r>
    <r>
      <rPr>
        <rFont val="Arial"/>
        <color rgb="FF4A86E8"/>
      </rPr>
      <t>Clause issue</t>
    </r>
  </si>
  <si>
    <t>The most potent and selective ligands being 8c (ICI 118,551-Gly-Ala-BODIPY-FL-X; beta2AR pKD 7.48), 9c (ICI 118,551-betaAla-betaAla-BODIPY-FL-X; @GENE$ pKD 7.48), 12a (ICI 118,551-PEG-BODIPY-X-630/650; @GENE$ pKD 7.56), and 12b (ICI 118,551-PEG-BODIPY-FL; beta2AR pKD 7.42)</t>
  </si>
  <si>
    <t>The most potent and selective ligands being 8c (ICI 118,551-Gly-Ala-BODIPY-FL-X; beta2AR pKD 7.48), 9c (ICI 118,551-betaAla-betaAla-BODIPY-FL-X; @GENE$ pKD 7.48), 12a (ICI 118,551-PEG-BODIPY-X-630/650; beta2AR pKD 7.56), and 12b (@CHEMICAL$; beta2AR pKD 7.42)</t>
  </si>
  <si>
    <r>
      <rPr>
        <rFont val="Arial"/>
        <color theme="1"/>
      </rPr>
      <t xml:space="preserve">Should be 0 - Not clear that there is binding between these specific mentions of 12b AND beta2AR? </t>
    </r>
    <r>
      <rPr>
        <rFont val="Arial"/>
        <color rgb="FF4A86E8"/>
      </rPr>
      <t>Clause issue</t>
    </r>
  </si>
  <si>
    <t>The most potent and selective ligands being 8c (ICI 118,551-Gly-Ala-BODIPY-FL-X; beta2AR pKD 7.48), 9c (ICI 118,551-betaAla-betaAla-BODIPY-FL-X; @GENE$ pKD 7.48), 12a (ICI 118,551-PEG-BODIPY-X-630/650; beta2AR pKD 7.56), and 12b (ICI 118,551-PEG-BODIPY-FL; @GENE$ pKD 7.42)</t>
  </si>
  <si>
    <t>The most potent and selective ligands being 8c (ICI 118,551-Gly-Ala-BODIPY-FL-X; beta2AR pKD 7.48), 9c (ICI 118,551-betaAla-betaAla-BODIPY-FL-X; beta2AR pKD 7.48), 12a (@CHEMICAL$; @GENE$ pKD 7.56), and 12b (ICI 118,551-PEG-BODIPY-FL; beta2AR pKD 7.42)</t>
  </si>
  <si>
    <t>(ICI 118,551-PEG-BODIPY-X-630, binds to, beta2AR)</t>
  </si>
  <si>
    <t>The most potent and selective ligands being 8c (ICI 118,551-Gly-Ala-BODIPY-FL-X; beta2AR pKD 7.48), 9c (ICI 118,551-betaAla-betaAla-BODIPY-FL-X; beta2AR pKD 7.48), 12a (@CHEMICAL$; beta2AR pKD 7.56), and 12b (@CHEMICAL$; beta2AR pKD 7.42)</t>
  </si>
  <si>
    <t>The most potent and selective ligands being 8c (ICI 118,551-Gly-Ala-BODIPY-FL-X; beta2AR pKD 7.48), 9c (ICI 118,551-betaAla-betaAla-BODIPY-FL-X; beta2AR pKD 7.48), 12a (@CHEMICAL$; beta2AR pKD 7.56), and 12b (ICI 118,551-PEG-BODIPY-FL; @GENE$ pKD 7.42)</t>
  </si>
  <si>
    <r>
      <rPr>
        <rFont val="Arial"/>
        <color theme="1"/>
      </rPr>
      <t xml:space="preserve">Should be 0 - Not clear that there is binding between these specific mentions of 12a AND beta2AR? </t>
    </r>
    <r>
      <rPr>
        <rFont val="Arial"/>
        <color rgb="FF4A86E8"/>
      </rPr>
      <t>Clause issue</t>
    </r>
  </si>
  <si>
    <t>The most potent and selective ligands being 8c (ICI 118,551-Gly-Ala-BODIPY-FL-X; beta2AR pKD 7.48), 9c (ICI 118,551-betaAla-betaAla-BODIPY-FL-X; beta2AR pKD 7.48), 12a (ICI 118,551-PEG-BODIPY-X-630/650; @GENE$ pKD 7.56), and 12b (@CHEMICAL$; beta2AR pKD 7.42)</t>
  </si>
  <si>
    <r>
      <rPr>
        <rFont val="Arial"/>
        <color theme="1"/>
      </rPr>
      <t xml:space="preserve">Should be 0 - Not clear that there is binding between these specific mentions of 12b AND beta2AR? </t>
    </r>
    <r>
      <rPr>
        <rFont val="Arial"/>
        <color rgb="FF4A86E8"/>
      </rPr>
      <t>Clause issue</t>
    </r>
  </si>
  <si>
    <t>The most potent and selective ligands being 8c (ICI 118,551-Gly-Ala-BODIPY-FL-X; beta2AR pKD 7.48), 9c (ICI 118,551-betaAla-betaAla-BODIPY-FL-X; beta2AR pKD 7.48), 12a (ICI 118,551-PEG-BODIPY-X-630/650; @GENE$ pKD 7.56), and 12b (ICI 118,551-PEG-BODIPY-FL; @GENE$ pKD 7.42)</t>
  </si>
  <si>
    <t>The most potent and selective ligands being 8c (ICI 118,551-Gly-Ala-BODIPY-FL-X; beta2AR pKD 7.48), 9c (ICI 118,551-betaAla-betaAla-BODIPY-FL-X; beta2AR pKD 7.48), 12a (ICI 118,551-PEG-BODIPY-X-630/650; beta2AR pKD 7.56), and 12b (@CHEMICAL$; @GENE$ pKD 7.42)</t>
  </si>
  <si>
    <t>(ICI 118,551-PEG-BODIPY-FL, binds to, beta2AR)</t>
  </si>
  <si>
    <t>Functionalized @CHEMICAL$ and @CHEMICAL$-based ligands, in particular, are pharmacologically important scaffolds in drug discovery research and have been thoroughly examined for sigma2 receptor efficacy.</t>
  </si>
  <si>
    <t>Functionalized @CHEMICAL$ and oxazolidinone-based ligands, in particular, are pharmacologically important scaffolds in drug discovery research and have been thoroughly examined for @GENE$ efficacy.</t>
  </si>
  <si>
    <t>(Gamma-butyrolactone, binds to, sigma2 receptor)</t>
  </si>
  <si>
    <t>Functionalized gamma-butyrolactone and @CHEMICAL$-based ligands, in particular, are pharmacologically important scaffolds in drug discovery research and have been thoroughly examined for @GENE$ efficacy.</t>
  </si>
  <si>
    <t>(Oxazolidinone, binds to, sigma2 receptor)</t>
  </si>
  <si>
    <t>@GENE$ (@GENE$ and MT2 in humans) are family A G protein-coupled receptors that respond to the neurohormone melatonin to regulate circadian rhythm and sleep.</t>
  </si>
  <si>
    <t>(Melatonin, binds to, MT1)</t>
  </si>
  <si>
    <t>@GENE$ (MT1 and @GENE$ in humans) are family A G protein-coupled receptors that respond to the neurohormone melatonin to regulate circadian rhythm and sleep.</t>
  </si>
  <si>
    <t>(Melatonin, binds to, MT2)</t>
  </si>
  <si>
    <t>@GENE$ (MT1 and MT2 in @SPECIES$) are family A G protein-coupled receptors that respond to the neurohormone melatonin to regulate circadian rhythm and sleep.</t>
  </si>
  <si>
    <t>@GENE$ (MT1 and MT2 in humans) are family A @GENE$ that respond to the neurohormone melatonin to regulate circadian rhythm and sleep.</t>
  </si>
  <si>
    <t>@GENE$ (MT1 and MT2 in humans) are family A G protein-coupled receptors that respond to the neurohormone @CHEMICAL$ to regulate circadian rhythm and sleep.</t>
  </si>
  <si>
    <t>Melatonin receptors (@GENE$ and @GENE$ in humans) are family A G protein-coupled receptors that respond to the neurohormone melatonin to regulate circadian rhythm and sleep.</t>
  </si>
  <si>
    <t>Melatonin receptors (@GENE$ and MT2 in @SPECIES$) are family A G protein-coupled receptors that respond to the neurohormone melatonin to regulate circadian rhythm and sleep.</t>
  </si>
  <si>
    <t>Melatonin receptors (@GENE$ and MT2 in humans) are family A @GENE$ that respond to the neurohormone melatonin to regulate circadian rhythm and sleep.</t>
  </si>
  <si>
    <t>Melatonin receptors (@GENE$ and MT2 in humans) are family A G protein-coupled receptors that respond to the neurohormone @CHEMICAL$ to regulate circadian rhythm and sleep.</t>
  </si>
  <si>
    <t>Melatonin receptors (MT1 and @GENE$ in @SPECIES$) are family A G protein-coupled receptors that respond to the neurohormone melatonin to regulate circadian rhythm and sleep.</t>
  </si>
  <si>
    <t>Melatonin receptors (MT1 and @GENE$ in humans) are family A @GENE$ that respond to the neurohormone melatonin to regulate circadian rhythm and sleep.</t>
  </si>
  <si>
    <t>Melatonin receptors (MT1 and @GENE$ in humans) are family A G protein-coupled receptors that respond to the neurohormone @CHEMICAL$ to regulate circadian rhythm and sleep.</t>
  </si>
  <si>
    <t>Melatonin receptors (MT1 and MT2 in @SPECIES$) are family A @GENE$ that respond to the neurohormone melatonin to regulate circadian rhythm and sleep.</t>
  </si>
  <si>
    <t>Melatonin receptors (MT1 and MT2 in @SPECIES$) are family A G protein-coupled receptors that respond to the neurohormone @CHEMICAL$ to regulate circadian rhythm and sleep.</t>
  </si>
  <si>
    <t xml:space="preserve">Should be 0 - "human" is not a ligand/receptor to "melatonin" </t>
  </si>
  <si>
    <t>Melatonin receptors (MT1 and MT2 in humans) are family A @GENE$ that respond to the neurohormone @CHEMICAL$ to regulate circadian rhythm and sleep.</t>
  </si>
  <si>
    <t>Is GPCR too general?</t>
  </si>
  <si>
    <t>Ligand-receptor binding, now classified as interaction (gene-chemical)
But also consider that "GPCR" is too generic a term to be biologically meaningful if we label this as an interaction...</t>
  </si>
  <si>
    <t>We combined supervised molecular dynamics (SuMD) and classic molecular dynamics (cMD) simulations to study the binding of the @GENE$ (@GENE$) to the CGRP receptor (CGRPR).</t>
  </si>
  <si>
    <t>(CGRP, binds to, CGRPR)</t>
  </si>
  <si>
    <t>We combined supervised molecular dynamics (SuMD) and classic molecular dynamics (cMD) simulations to study the binding of the @GENE$ (CGRP) to the @GENE$ (CGRPR).</t>
  </si>
  <si>
    <t>We combined supervised molecular dynamics (SuMD) and classic molecular dynamics (cMD) simulations to study the binding of the @GENE$ (CGRP) to the CGRP receptor (@GENE$).</t>
  </si>
  <si>
    <t>We combined supervised molecular dynamics (SuMD) and classic molecular dynamics (cMD) simulations to study the binding of the calcitonin gene-related peptide (@GENE$) to the @GENE$ (CGRPR).</t>
  </si>
  <si>
    <t>We combined supervised molecular dynamics (SuMD) and classic molecular dynamics (cMD) simulations to study the binding of the calcitonin gene-related peptide (@GENE$) to the CGRP receptor (@GENE$).</t>
  </si>
  <si>
    <t>We combined supervised molecular dynamics (SuMD) and classic molecular dynamics (cMD) simulations to study the binding of the calcitonin gene-related peptide (CGRP) to the @GENE$ (@GENE$).</t>
  </si>
  <si>
    <t>Guided by crystal structures of our lead compound @CHEMICAL$ and the approved @CHEMICAL$ drug suvorexant bound to OX1R and OX2R, respectively,</t>
  </si>
  <si>
    <t>(JH112, binds to, OX1R)</t>
  </si>
  <si>
    <t>Guided by crystal structures of our lead compound @CHEMICAL$ and the approved hypnotic drug @CHEMICAL$ bound to OX1R and OX2R, respectively,</t>
  </si>
  <si>
    <t>(Surovexant, binds to, OX2R)</t>
  </si>
  <si>
    <t>Guided by crystal structures of our lead compound @CHEMICAL$ and the approved hypnotic drug suvorexant bound to @GENE$ and OX2R, respectively,</t>
  </si>
  <si>
    <t>Guided by crystal structures of our lead compound @CHEMICAL$ and the approved hypnotic drug suvorexant bound to OX1R and @GENE$, respectively,</t>
  </si>
  <si>
    <t>Guided by crystal structures of our lead compound JH112 and the approved @CHEMICAL$ drug @CHEMICAL$ bound to OX1R and OX2R, respectively,</t>
  </si>
  <si>
    <t>Should "hypnotic" be tagged as @CHEMICALS$??</t>
  </si>
  <si>
    <t>Guided by crystal structures of our lead compound JH112 and the approved @CHEMICAL$ drug suvorexant bound to @GENE$ and OX2R, respectively,</t>
  </si>
  <si>
    <t>Guided by crystal structures of our lead compound JH112 and the approved @CHEMICAL$ drug suvorexant bound to OX1R and @GENE$, respectively,</t>
  </si>
  <si>
    <t>Should be 0 - "hypnotic" is not a chemical but an adjective/classification of the drug here</t>
  </si>
  <si>
    <t>Guided by crystal structures of our lead compound JH112 and the approved hypnotic drug @CHEMICAL$ bound to @GENE$ and OX2R, respectively,</t>
  </si>
  <si>
    <t>Guided by crystal structures of our lead compound JH112 and the approved hypnotic drug @CHEMICAL$ bound to OX1R and @GENE$, respectively,</t>
  </si>
  <si>
    <t>Guided by crystal structures of our lead compound JH112 and the approved hypnotic drug suvorexant bound to @GENE$ and @GENE$, respectively,</t>
  </si>
  <si>
    <t>@GENE$ regulate its physiologic and pathologic functions by interacting with three @GENE$; GalR1, GalR2 and GalR3.</t>
  </si>
  <si>
    <t>GCPR too general?</t>
  </si>
  <si>
    <t>Ligand-receptor binding, now classified as interaction (protein-protein)
But also consider that "GPCR" is too generic a term to be biologically meaningful if we label this as an interaction...</t>
  </si>
  <si>
    <t>@GENE$ regulate its physiologic and pathologic functions by interacting with three G-protein coupled receptors; @GENE$, GalR2 and GalR3.</t>
  </si>
  <si>
    <t xml:space="preserve">Should be 0? While interaction is mentioned, is binding clear? </t>
  </si>
  <si>
    <t>@GENE$ regulate its physiologic and pathologic functions by interacting with three G-protein coupled receptors; GalR1, @GENE$ and GalR3.</t>
  </si>
  <si>
    <t>@GENE$ regulate its physiologic and pathologic functions by interacting with three G-protein coupled receptors; GalR1, GalR2 and @GENE$.</t>
  </si>
  <si>
    <t>Galanin regulate its physiologic and pathologic functions by interacting with three @GENE$; @GENE$, GalR2 and GalR3.</t>
  </si>
  <si>
    <t>Galanin regulate its physiologic and pathologic functions by interacting with three @GENE$; GalR1, @GENE$ and GalR3.</t>
  </si>
  <si>
    <t>Galanin regulate its physiologic and pathologic functions by interacting with three @GENE$; GalR1, GalR2 and @GENE$.</t>
  </si>
  <si>
    <t>Galanin regulate its physiologic and pathologic functions by interacting with three G-protein coupled receptors; @GENE$, @GENE$ and GalR3.</t>
  </si>
  <si>
    <t>Galanin regulate its physiologic and pathologic functions by interacting with three G-protein coupled receptors; @GENE$, GalR2 and @GENE$.</t>
  </si>
  <si>
    <t>Galanin regulate its physiologic and pathologic functions by interacting with three G-protein coupled receptors; GalR1, @GENE$ and @GENE$.</t>
  </si>
  <si>
    <t>@GENE$, a mediator of innate immunity, mainly acts on @GENE$ (CMKLR1) to induce the migration of macrophages and dendritic cells.</t>
  </si>
  <si>
    <r>
      <rPr>
        <rFont val="Arial"/>
        <color theme="1"/>
        <sz val="10.0"/>
      </rPr>
      <t xml:space="preserve">(Chemerin, binds to, CMKLR1) </t>
    </r>
    <r>
      <rPr>
        <rFont val="Arial"/>
        <color rgb="FF4A86E8"/>
        <sz val="10.0"/>
      </rPr>
      <t>Should be 0? Is binding clear?</t>
    </r>
  </si>
  <si>
    <t>@GENE$, a mediator of innate immunity, mainly acts on chemokine-like receptor 1 (@GENE$) to induce the migration of macrophages and dendritic cells.</t>
  </si>
  <si>
    <t>Chemerin, a mediator of innate immunity, mainly acts on @GENE$ (@GENE$) to induce the migration of macrophages and dendritic cells.</t>
  </si>
  <si>
    <t>we present the establishment of a homogeneous live cell-based BRET binding assay for the @GENE$ with different fluorescently labeled @CHEMICAL$-type compounds synthesized in the course of this study. Py-1-labeled ligand 8 (UR-KAT478) was found to be most suitable in BRET saturation binding experiments with respect to receptor affinity</t>
  </si>
  <si>
    <t>we present the establishment of a homogeneous live cell-based BRET binding assay for the @GENE$ with different fluorescently labeled squaramide-type compounds synthesized in the course of this study. @CHEMICAL$-labeled ligand 8 (UR-KAT478) was found to be most suitable in BRET saturation binding experiments with respect to receptor affinity</t>
  </si>
  <si>
    <t>Should be 0 - sounds like what binds to H2 receptor is the entire UR-KAT478 ligand, not just Py-1 which is the fluorescent label alone?</t>
  </si>
  <si>
    <t>we present the establishment of a homogeneous live cell-based BRET binding assay for the @GENE$ with different fluorescently labeled squaramide-type compounds synthesized in the course of this study. Py-1-labeled ligand 8 (@CHEMICAL$) was found to be most suitable in BRET saturation binding experiments with respect to receptor affinity</t>
  </si>
  <si>
    <t>(UR-KAT478, binds to, histamine H2 receptor)</t>
  </si>
  <si>
    <t>we present the establishment of a homogeneous live cell-based BRET binding assay for the histamine H2 receptor with different fluorescently labeled @CHEMICAL$-type compounds synthesized in the course of this study. @CHEMICAL$-labeled ligand 8 (UR-KAT478) was found to be most suitable in BRET saturation binding experiments with respect to receptor affinity</t>
  </si>
  <si>
    <t>we present the establishment of a homogeneous live cell-based BRET binding assay for the histamine H2 receptor with different fluorescently labeled @CHEMICAL$-type compounds synthesized in the course of this study. Py-1-labeled ligand 8 (@CHEMICAL$) was found to be most suitable in BRET saturation binding experiments with respect to receptor affinity</t>
  </si>
  <si>
    <t>we present the establishment of a homogeneous live cell-based BRET binding assay for the histamine H2 receptor with different fluorescently labeled squaramide-type compounds synthesized in the course of this study. @CHEMICAL$-labeled ligand 8 (@CHEMICAL$) was found to be most suitable in BRET saturation binding experiments with respect to receptor affinity</t>
  </si>
  <si>
    <t>The kinetics of binding of @CHEMICAL$ (@CHEMICAL$) to hen egg-white lysozyme (HEWL) was investigated previously by several groups</t>
  </si>
  <si>
    <t xml:space="preserve">(NAG3, binds to, HEWL) </t>
  </si>
  <si>
    <t>The kinetics of binding of @CHEMICAL$ (NAG3) to @SPECIES$ (HEWL) was investigated previously by several groups</t>
  </si>
  <si>
    <t xml:space="preserve">Entity tag is imprecise, can the relation still be considered? </t>
  </si>
  <si>
    <t>"hen egg-white lysozyme" should be tagged as @GENE$, "hen" alone can be tagged as @SPECIES$</t>
  </si>
  <si>
    <t>The kinetics of binding of @CHEMICAL$ (NAG3) to hen egg-white lysozyme (@GENE$) was investigated previously by several groups</t>
  </si>
  <si>
    <t>The kinetics of binding of tri-N-acetylglucosamine (@CHEMICAL$) to @SPECIES$ (HEWL) was investigated previously by several groups</t>
  </si>
  <si>
    <t>The kinetics of binding of tri-N-acetylglucosamine (@CHEMICAL$) to hen egg-white lysozyme (@GENE$) was investigated previously by several groups</t>
  </si>
  <si>
    <t>The kinetics of binding of tri-N-acetylglucosamine (NAG3) to @SPECIES$ (@GENE$) was investigated previously by several groups</t>
  </si>
  <si>
    <t>eported values of the dissociation constants (KD) for the binding of @GENE$ to @CHEMICAL$ (lactose), for example, range from 16 to 860 muM...reported KD of methyl-(Gal-beta1,4-Glc) (methyllactose) is 224 muM.</t>
  </si>
  <si>
    <t>(lactose, binds to, galectin-3)</t>
  </si>
  <si>
    <t>eported values of the dissociation constants (KD) for the binding of @GENE$ to galactose-beta1,4-glucose (@CHEMICAL$), for example, range from 16 to 860 muM...reported KD of methyl-(Gal-beta1,4-Glc) (methyllactose) is 224 muM.</t>
  </si>
  <si>
    <t>(methyllactose, binds to, galectin-3)</t>
  </si>
  <si>
    <t>eported values of the dissociation constants (KD) for the binding of @GENE$ to galactose-beta1,4-glucose (lactose), for example, range from 16 to 860 muM...reported KD of @CHEMICAL$ (methyllactose) is 224 muM.</t>
  </si>
  <si>
    <t>eported values of the dissociation constants (KD) for the binding of @GENE$ to galactose-beta1,4-glucose (lactose), for example, range from 16 to 860 muM...reported KD of methyl-(Gal-beta1,4-Glc) (@CHEMICAL$) is 224 muM.</t>
  </si>
  <si>
    <t>eported values of the dissociation constants (KD) for the binding of galectin-3 to @CHEMICAL$ (@CHEMICAL$), for example, range from 16 to 860 muM...reported KD of methyl-(Gal-beta1,4-Glc) (methyllactose) is 224 muM.</t>
  </si>
  <si>
    <t>eported values of the dissociation constants (KD) for the binding of galectin-3 to @CHEMICAL$ (lactose), for example, range from 16 to 860 muM...reported KD of @CHEMICAL$ (methyllactose) is 224 muM.</t>
  </si>
  <si>
    <t>eported values of the dissociation constants (KD) for the binding of galectin-3 to @CHEMICAL$ (lactose), for example, range from 16 to 860 muM...reported KD of methyl-(Gal-beta1,4-Glc) (@CHEMICAL$) is 224 muM.</t>
  </si>
  <si>
    <t>eported values of the dissociation constants (KD) for the binding of galectin-3 to galactose-beta1,4-glucose (@CHEMICAL$), for example, range from 16 to 860 muM...reported KD of @CHEMICAL$ (methyllactose) is 224 muM.</t>
  </si>
  <si>
    <t>eported values of the dissociation constants (KD) for the binding of galectin-3 to galactose-beta1,4-glucose (@CHEMICAL$), for example, range from 16 to 860 muM...reported KD of methyl-(Gal-beta1,4-Glc) (@CHEMICAL$) is 224 muM.</t>
  </si>
  <si>
    <t>eported values of the dissociation constants (KD) for the binding of galectin-3 to galactose-beta1,4-glucose (lactose), for example, range from 16 to 860 muM...reported KD of @CHEMICAL$ (@CHEMICAL$) is 224 muM.</t>
  </si>
  <si>
    <t>Here we report two near-atomic resolution cryo-EM structures of @GENE$ activated by @CHEMICAL$ or maxadilan, providing structural insights into two distinct ligand binding modes.</t>
  </si>
  <si>
    <r>
      <rPr>
        <rFont val="Arial"/>
        <color theme="1"/>
        <sz val="10.0"/>
      </rPr>
      <t xml:space="preserve">(PAC1R, binds to, PACAP38) </t>
    </r>
    <r>
      <rPr>
        <rFont val="Arial"/>
        <color rgb="FF4A86E8"/>
        <sz val="10.0"/>
      </rPr>
      <t xml:space="preserve">Should be 0? Activation is mentioned in this sentence but is binding? </t>
    </r>
  </si>
  <si>
    <t xml:space="preserve">Ligand-receptor binding, now classified as interaction (gene-chemical)
PAC1R activated by PACAP38 = stimulation </t>
  </si>
  <si>
    <t>Here we report two near-atomic resolution cryo-EM structures of @GENE$ activated by PACAP38 or @CHEMICAL$, providing structural insights into two distinct ligand binding modes.</t>
  </si>
  <si>
    <r>
      <rPr>
        <rFont val="Arial"/>
        <color theme="1"/>
        <sz val="10.0"/>
      </rPr>
      <t xml:space="preserve">(PACAP1R, binds to, maxadilan) </t>
    </r>
    <r>
      <rPr>
        <rFont val="Arial"/>
        <color rgb="FF4A86E8"/>
        <sz val="10.0"/>
      </rPr>
      <t xml:space="preserve">Should be 0? Activation is mentioned in this sentence but is binding? </t>
    </r>
  </si>
  <si>
    <t xml:space="preserve">Ligand-receptor binding, now classified as interaction (gene-chemical)
PAC1R activated by maxadilan = stimulation </t>
  </si>
  <si>
    <t>Here we report two near-atomic resolution cryo-EM structures of PAC1R activated by @CHEMICAL$ or @CHEMICAL$, providing structural insights into two distinct ligand binding modes.</t>
  </si>
  <si>
    <t>Here we investigate the binding affinities of @GENE$ (@GENE$) and vasopressin (AVP) at the oxytocin receptor (OTR) and the vasopressin V1a receptor (V1aR), both of which are present in numerous in brain regions associated with social behavior.</t>
  </si>
  <si>
    <t>Here we investigate the binding affinities of @GENE$ (OT) and @GENE$ (AVP) at the oxytocin receptor (OTR) and the vasopressin V1a receptor (V1aR), both of which are present in numerous in brain regions associated with social behavior.</t>
  </si>
  <si>
    <t>Here we investigate the binding affinities of @GENE$ (OT) and vasopressin (@GENE$) at the oxytocin receptor (OTR) and the vasopressin V1a receptor (V1aR), both of which are present in numerous in brain regions associated with social behavior.</t>
  </si>
  <si>
    <t>Here we investigate the binding affinities of @GENE$ (OT) and vasopressin (AVP) at the @GENE$ (OTR) and the vasopressin V1a receptor (V1aR), both of which are present in numerous in brain regions associated with social behavior.</t>
  </si>
  <si>
    <t>(OT, binds to, OTR)</t>
  </si>
  <si>
    <t>Here we investigate the binding affinities of @GENE$ (OT) and vasopressin (AVP) at the oxytocin receptor (@GENE$) and the vasopressin V1a receptor (V1aR), both of which are present in numerous in brain regions associated with social behavior.</t>
  </si>
  <si>
    <t>Here we investigate the binding affinities of @GENE$ (OT) and vasopressin (AVP) at the oxytocin receptor (OTR) and the @GENE$ (V1aR), both of which are present in numerous in brain regions associated with social behavior.</t>
  </si>
  <si>
    <t>Here we investigate the binding affinities of @GENE$ (OT) and vasopressin (AVP) at the oxytocin receptor (OTR) and the vasopressin V1a receptor (@GENE$), both of which are present in numerous in brain regions associated with social behavior.</t>
  </si>
  <si>
    <t>Here we investigate the binding affinities of oxytocin (@GENE$) and @GENE$ (AVP) at the oxytocin receptor (OTR) and the vasopressin V1a receptor (V1aR), both of which are present in numerous in brain regions associated with social behavior.</t>
  </si>
  <si>
    <t>Here we investigate the binding affinities of oxytocin (@GENE$) and vasopressin (@GENE$) at the oxytocin receptor (OTR) and the vasopressin V1a receptor (V1aR), both of which are present in numerous in brain regions associated with social behavior.</t>
  </si>
  <si>
    <t>Here we investigate the binding affinities of oxytocin (@GENE$) and vasopressin (AVP) at the @GENE$ (OTR) and the vasopressin V1a receptor (V1aR), both of which are present in numerous in brain regions associated with social behavior.</t>
  </si>
  <si>
    <t>Here we investigate the binding affinities of oxytocin (@GENE$) and vasopressin (AVP) at the oxytocin receptor (@GENE$) and the vasopressin V1a receptor (V1aR), both of which are present in numerous in brain regions associated with social behavior.</t>
  </si>
  <si>
    <t>Here we investigate the binding affinities of oxytocin (@GENE$) and vasopressin (AVP) at the oxytocin receptor (OTR) and the @GENE$ (V1aR), both of which are present in numerous in brain regions associated with social behavior.</t>
  </si>
  <si>
    <t>Here we investigate the binding affinities of oxytocin (@GENE$) and vasopressin (AVP) at the oxytocin receptor (OTR) and the vasopressin V1a receptor (@GENE$), both of which are present in numerous in brain regions associated with social behavior.</t>
  </si>
  <si>
    <t>Here we investigate the binding affinities of oxytocin (OT) and @GENE$ (@GENE$) at the oxytocin receptor (OTR) and the vasopressin V1a receptor (V1aR), both of which are present in numerous in brain regions associated with social behavior.</t>
  </si>
  <si>
    <t>Here we investigate the binding affinities of oxytocin (OT) and @GENE$ (AVP) at the @GENE$ (OTR) and the vasopressin V1a receptor (V1aR), both of which are present in numerous in brain regions associated with social behavior.</t>
  </si>
  <si>
    <t>Here we investigate the binding affinities of oxytocin (OT) and @GENE$ (AVP) at the oxytocin receptor (@GENE$) and the vasopressin V1a receptor (V1aR), both of which are present in numerous in brain regions associated with social behavior.</t>
  </si>
  <si>
    <t>Here we investigate the binding affinities of oxytocin (OT) and @GENE$ (AVP) at the oxytocin receptor (OTR) and the @GENE$ (V1aR), both of which are present in numerous in brain regions associated with social behavior.</t>
  </si>
  <si>
    <t>(AVP, binds to, V1aR)</t>
  </si>
  <si>
    <t>Here we investigate the binding affinities of oxytocin (OT) and @GENE$ (AVP) at the oxytocin receptor (OTR) and the vasopressin V1a receptor (@GENE$), both of which are present in numerous in brain regions associated with social behavior.</t>
  </si>
  <si>
    <t>Here we investigate the binding affinities of oxytocin (OT) and vasopressin (@GENE$) at the @GENE$ (OTR) and the vasopressin V1a receptor (V1aR), both of which are present in numerous in brain regions associated with social behavior.</t>
  </si>
  <si>
    <t>Here we investigate the binding affinities of oxytocin (OT) and vasopressin (@GENE$) at the oxytocin receptor (@GENE$) and the vasopressin V1a receptor (V1aR), both of which are present in numerous in brain regions associated with social behavior.</t>
  </si>
  <si>
    <t>Here we investigate the binding affinities of oxytocin (OT) and vasopressin (@GENE$) at the oxytocin receptor (OTR) and the @GENE$ (V1aR), both of which are present in numerous in brain regions associated with social behavior.</t>
  </si>
  <si>
    <t>Here we investigate the binding affinities of oxytocin (OT) and vasopressin (@GENE$) at the oxytocin receptor (OTR) and the vasopressin V1a receptor (@GENE$), both of which are present in numerous in brain regions associated with social behavior.</t>
  </si>
  <si>
    <t>Here we investigate the binding affinities of oxytocin (OT) and vasopressin (AVP) at the @GENE$ (@GENE$) and the vasopressin V1a receptor (V1aR), both of which are present in numerous in brain regions associated with social behavior.</t>
  </si>
  <si>
    <t>Here we investigate the binding affinities of oxytocin (OT) and vasopressin (AVP) at the @GENE$ (OTR) and the @GENE$ (V1aR), both of which are present in numerous in brain regions associated with social behavior.</t>
  </si>
  <si>
    <t>Here we investigate the binding affinities of oxytocin (OT) and vasopressin (AVP) at the @GENE$ (OTR) and the vasopressin V1a receptor (@GENE$), both of which are present in numerous in brain regions associated with social behavior.</t>
  </si>
  <si>
    <t>Here we investigate the binding affinities of oxytocin (OT) and vasopressin (AVP) at the oxytocin receptor (@GENE$) and the @GENE$ (V1aR), both of which are present in numerous in brain regions associated with social behavior.</t>
  </si>
  <si>
    <t>Here we investigate the binding affinities of oxytocin (OT) and vasopressin (AVP) at the oxytocin receptor (@GENE$) and the vasopressin V1a receptor (@GENE$), both of which are present in numerous in brain regions associated with social behavior.</t>
  </si>
  <si>
    <t>Here we investigate the binding affinities of oxytocin (OT) and vasopressin (AVP) at the oxytocin receptor (OTR) and the @GENE$ (@GENE$), both of which are present in numerous in brain regions associated with social behavior.</t>
  </si>
  <si>
    <t>Herein, we present a structural model for a channel pore and a @CHEMICAL$-binding site in @GENE$.</t>
  </si>
  <si>
    <t>(d-fructose, binds to, BmGr9)</t>
  </si>
  <si>
    <t>The aim of this study was to characterise interactions between the @GENE$ (@GENE$) and endogenous intracellular modulators:calcium-binding proteins (calmodulin (CaM) and S100A1) and phosphatidylinositol 4, 5-bisphosphate (PIP2).</t>
  </si>
  <si>
    <t>The aim of this study was to characterise interactions between the @GENE$ (TRPM4) and endogenous intracellular modulators:@GENE$ (calmodulin (CaM) and S100A1) and phosphatidylinositol 4, 5-bisphosphate (PIP2).</t>
  </si>
  <si>
    <r>
      <rPr>
        <rFont val="Arial"/>
        <color theme="1"/>
        <sz val="10.0"/>
      </rPr>
      <t xml:space="preserve">(CaM, binds to, TRPM4) </t>
    </r>
    <r>
      <rPr>
        <rFont val="Arial"/>
        <color rgb="FF4A86E8"/>
        <sz val="10.0"/>
      </rPr>
      <t>Should be 0? While interaction is mentioned, is binding clear? Same for below</t>
    </r>
  </si>
  <si>
    <t>The aim of this study was to characterise interactions between the @GENE$ (TRPM4) and endogenous intracellular modulators:calcium-binding proteins (@GENE$ (CaM) and S100A1) and phosphatidylinositol 4, 5-bisphosphate (PIP2).</t>
  </si>
  <si>
    <t>The aim of this study was to characterise interactions between the @GENE$ (TRPM4) and endogenous intracellular modulators:calcium-binding proteins (calmodulin (@GENE$) and S100A1) and phosphatidylinositol 4, 5-bisphosphate (PIP2).</t>
  </si>
  <si>
    <t>The aim of this study was to characterise interactions between the @GENE$ (TRPM4) and endogenous intracellular modulators:calcium-binding proteins (calmodulin (CaM) and @GENE$) and phosphatidylinositol 4, 5-bisphosphate (PIP2).</t>
  </si>
  <si>
    <t xml:space="preserve">(S100A1, binds to, TRPM4) </t>
  </si>
  <si>
    <t>The aim of this study was to characterise interactions between the @GENE$ (TRPM4) and endogenous intracellular modulators:calcium-binding proteins (calmodulin (CaM) and S100A1) and @CHEMICAL$ (PIP2).</t>
  </si>
  <si>
    <t>(PIP2, binds to, TRPM4)</t>
  </si>
  <si>
    <t>The aim of this study was to characterise interactions between the @GENE$ (TRPM4) and endogenous intracellular modulators:calcium-binding proteins (calmodulin (CaM) and S100A1) and phosphatidylinositol 4, 5-bisphosphate (@CHEMICAL$).</t>
  </si>
  <si>
    <t>The aim of this study was to characterise interactions between the TRP cation channel subfamily melastatin member 4 (@GENE$) and endogenous intracellular modulators:@GENE$ (calmodulin (CaM) and S100A1) and phosphatidylinositol 4, 5-bisphosphate (PIP2).</t>
  </si>
  <si>
    <t>The aim of this study was to characterise interactions between the TRP cation channel subfamily melastatin member 4 (@GENE$) and endogenous intracellular modulators:calcium-binding proteins (@GENE$ (CaM) and S100A1) and phosphatidylinositol 4, 5-bisphosphate (PIP2).</t>
  </si>
  <si>
    <t>The aim of this study was to characterise interactions between the TRP cation channel subfamily melastatin member 4 (@GENE$) and endogenous intracellular modulators:calcium-binding proteins (calmodulin (@GENE$) and S100A1) and phosphatidylinositol 4, 5-bisphosphate (PIP2).</t>
  </si>
  <si>
    <t>The aim of this study was to characterise interactions between the TRP cation channel subfamily melastatin member 4 (@GENE$) and endogenous intracellular modulators:calcium-binding proteins (calmodulin (CaM) and @GENE$) and phosphatidylinositol 4, 5-bisphosphate (PIP2).</t>
  </si>
  <si>
    <t>The aim of this study was to characterise interactions between the TRP cation channel subfamily melastatin member 4 (@GENE$) and endogenous intracellular modulators:calcium-binding proteins (calmodulin (CaM) and S100A1) and @CHEMICAL$ (PIP2).</t>
  </si>
  <si>
    <t>The aim of this study was to characterise interactions between the TRP cation channel subfamily melastatin member 4 (@GENE$) and endogenous intracellular modulators:calcium-binding proteins (calmodulin (CaM) and S100A1) and phosphatidylinositol 4, 5-bisphosphate (@CHEMICAL$).</t>
  </si>
  <si>
    <t>The aim of this study was to characterise interactions between the TRP cation channel subfamily melastatin member 4 (TRPM4) and endogenous intracellular modulators:@GENE$ (@GENE$ (CaM) and S100A1) and phosphatidylinositol 4, 5-bisphosphate (PIP2).</t>
  </si>
  <si>
    <t>The aim of this study was to characterise interactions between the TRP cation channel subfamily melastatin member 4 (TRPM4) and endogenous intracellular modulators:@GENE$ (calmodulin (@GENE$) and S100A1) and phosphatidylinositol 4, 5-bisphosphate (PIP2).</t>
  </si>
  <si>
    <t>The aim of this study was to characterise interactions between the TRP cation channel subfamily melastatin member 4 (TRPM4) and endogenous intracellular modulators:@GENE$ (calmodulin (CaM) and @GENE$) and phosphatidylinositol 4, 5-bisphosphate (PIP2).</t>
  </si>
  <si>
    <t>The aim of this study was to characterise interactions between the TRP cation channel subfamily melastatin member 4 (TRPM4) and endogenous intracellular modulators:@GENE$ (calmodulin (CaM) and S100A1) and @CHEMICAL$ (PIP2).</t>
  </si>
  <si>
    <t>The aim of this study was to characterise interactions between the TRP cation channel subfamily melastatin member 4 (TRPM4) and endogenous intracellular modulators:@GENE$ (calmodulin (CaM) and S100A1) and phosphatidylinositol 4, 5-bisphosphate (@CHEMICAL$).</t>
  </si>
  <si>
    <t>The aim of this study was to characterise interactions between the TRP cation channel subfamily melastatin member 4 (TRPM4) and endogenous intracellular modulators:calcium-binding proteins (@GENE$ (@GENE$) and S100A1) and phosphatidylinositol 4, 5-bisphosphate (PIP2).</t>
  </si>
  <si>
    <t>The aim of this study was to characterise interactions between the TRP cation channel subfamily melastatin member 4 (TRPM4) and endogenous intracellular modulators:calcium-binding proteins (@GENE$ (CaM) and @GENE$) and phosphatidylinositol 4, 5-bisphosphate (PIP2).</t>
  </si>
  <si>
    <t>The aim of this study was to characterise interactions between the TRP cation channel subfamily melastatin member 4 (TRPM4) and endogenous intracellular modulators:calcium-binding proteins (@GENE$ (CaM) and S100A1) and @CHEMICAL$ (PIP2).</t>
  </si>
  <si>
    <t>The aim of this study was to characterise interactions between the TRP cation channel subfamily melastatin member 4 (TRPM4) and endogenous intracellular modulators:calcium-binding proteins (@GENE$ (CaM) and S100A1) and phosphatidylinositol 4, 5-bisphosphate (@CHEMICAL$).</t>
  </si>
  <si>
    <t>The aim of this study was to characterise interactions between the TRP cation channel subfamily melastatin member 4 (TRPM4) and endogenous intracellular modulators:calcium-binding proteins (calmodulin (@GENE$) and @GENE$) and phosphatidylinositol 4, 5-bisphosphate (PIP2).</t>
  </si>
  <si>
    <t>The aim of this study was to characterise interactions between the TRP cation channel subfamily melastatin member 4 (TRPM4) and endogenous intracellular modulators:calcium-binding proteins (calmodulin (@GENE$) and S100A1) and @CHEMICAL$ (PIP2).</t>
  </si>
  <si>
    <t>The aim of this study was to characterise interactions between the TRP cation channel subfamily melastatin member 4 (TRPM4) and endogenous intracellular modulators:calcium-binding proteins (calmodulin (@GENE$) and S100A1) and phosphatidylinositol 4, 5-bisphosphate (@CHEMICAL$).</t>
  </si>
  <si>
    <t>The aim of this study was to characterise interactions between the TRP cation channel subfamily melastatin member 4 (TRPM4) and endogenous intracellular modulators:calcium-binding proteins (calmodulin (CaM) and @GENE$) and @CHEMICAL$ (PIP2).</t>
  </si>
  <si>
    <t>The aim of this study was to characterise interactions between the TRP cation channel subfamily melastatin member 4 (TRPM4) and endogenous intracellular modulators:calcium-binding proteins (calmodulin (CaM) and @GENE$) and phosphatidylinositol 4, 5-bisphosphate (@CHEMICAL$).</t>
  </si>
  <si>
    <t>The aim of this study was to characterise interactions between the TRP cation channel subfamily melastatin member 4 (TRPM4) and endogenous intracellular modulators:calcium-binding proteins (calmodulin (CaM) and S100A1) and @CHEMICAL$ (@CHEMICAL$).</t>
  </si>
  <si>
    <t>The @GENE$ @GENE$ (also known as interleukin-8, abbreviated IL-8) and its G-protein-coupled receptors CXCR1 and CXCR2 are crucial elements in this process, and also the development of many cancers.</t>
  </si>
  <si>
    <t>The @GENE$ CXCL8 (also known as @GENE$, abbreviated IL-8) and its G-protein-coupled receptors CXCR1 and CXCR2 are crucial elements in this process, and also the development of many cancers.</t>
  </si>
  <si>
    <t>The @GENE$ CXCL8 (also known as interleukin-8, abbreviated @GENE$) and its G-protein-coupled receptors CXCR1 and CXCR2 are crucial elements in this process, and also the development of many cancers.</t>
  </si>
  <si>
    <t>The @GENE$ CXCL8 (also known as interleukin-8, abbreviated IL-8) and its @GENE$ CXCR1 and CXCR2 are crucial elements in this process, and also the development of many cancers.</t>
  </si>
  <si>
    <t>Consider that "GPCR" and "chemokine" are too generic terms to be biologically meaningful if we label this as an interaction...</t>
  </si>
  <si>
    <t>The @GENE$ CXCL8 (also known as interleukin-8, abbreviated IL-8) and its G-protein-coupled receptors @GENE$ and CXCR2 are crucial elements in this process, and also the development of many cancers.</t>
  </si>
  <si>
    <t>Consider that "chemokine" is too generic a term to be biologically meaningful if we label this as an interaction...</t>
  </si>
  <si>
    <t>The @GENE$ CXCL8 (also known as interleukin-8, abbreviated IL-8) and its G-protein-coupled receptors CXCR1 and @GENE$ are crucial elements in this process, and also the development of many cancers.</t>
  </si>
  <si>
    <t>The @GENE$ CXCL8 (also known as interleukin-8, abbreviated IL-8) and its G-protein-coupled receptors CXCR1 and CXCR2 are crucial elements in this process, and also the development of many @DISEASE$.</t>
  </si>
  <si>
    <t>The chemokine @GENE$ (also known as @GENE$, abbreviated IL-8) and its G-protein-coupled receptors CXCR1 and CXCR2 are crucial elements in this process, and also the development of many cancers.</t>
  </si>
  <si>
    <t>The chemokine @GENE$ (also known as interleukin-8, abbreviated @GENE$) and its G-protein-coupled receptors CXCR1 and CXCR2 are crucial elements in this process, and also the development of many cancers.</t>
  </si>
  <si>
    <t>The chemokine @GENE$ (also known as interleukin-8, abbreviated IL-8) and its @GENE$ CXCR1 and CXCR2 are crucial elements in this process, and also the development of many cancers.</t>
  </si>
  <si>
    <t>Consider that "GPCR" is too generic a term to be biologically meaningful if we label this as an interaction...</t>
  </si>
  <si>
    <t>The chemokine @GENE$ (also known as interleukin-8, abbreviated IL-8) and its G-protein-coupled receptors @GENE$ and CXCR2 are crucial elements in this process, and also the development of many cancers.</t>
  </si>
  <si>
    <t>(CXCL8, binds to, CXCR1)</t>
  </si>
  <si>
    <t>The chemokine @GENE$ (also known as interleukin-8, abbreviated IL-8) and its G-protein-coupled receptors CXCR1 and @GENE$ are crucial elements in this process, and also the development of many cancers.</t>
  </si>
  <si>
    <t>(CXCL8, binds to, CXCR2)</t>
  </si>
  <si>
    <t>The chemokine @GENE$ (also known as interleukin-8, abbreviated IL-8) and its G-protein-coupled receptors CXCR1 and CXCR2 are crucial elements in this process, and also the development of many @DISEASE$.</t>
  </si>
  <si>
    <t>CXCL8 is a "crucial element in...the development of many cancers" = stimulate?</t>
  </si>
  <si>
    <t>The chemokine CXCL8 (also known as @GENE$, abbreviated @GENE$) and its G-protein-coupled receptors CXCR1 and CXCR2 are crucial elements in this process, and also the development of many cancers.</t>
  </si>
  <si>
    <t>The chemokine CXCL8 (also known as @GENE$, abbreviated IL-8) and its @GENE$ CXCR1 and CXCR2 are crucial elements in this process, and also the development of many cancers.</t>
  </si>
  <si>
    <t>The chemokine CXCL8 (also known as @GENE$, abbreviated IL-8) and its G-protein-coupled receptors @GENE$ and CXCR2 are crucial elements in this process, and also the development of many cancers.</t>
  </si>
  <si>
    <t>The chemokine CXCL8 (also known as @GENE$, abbreviated IL-8) and its G-protein-coupled receptors CXCR1 and @GENE$ are crucial elements in this process, and also the development of many cancers.</t>
  </si>
  <si>
    <t>The chemokine CXCL8 (also known as @GENE$, abbreviated IL-8) and its G-protein-coupled receptors CXCR1 and CXCR2 are crucial elements in this process, and also the development of many @DISEASE$.</t>
  </si>
  <si>
    <t>CXCL8/IL-8 is a "crucial element in...the development of many cancers" = stimulate?</t>
  </si>
  <si>
    <t>The chemokine CXCL8 (also known as interleukin-8, abbreviated @GENE$) and its @GENE$ CXCR1 and CXCR2 are crucial elements in this process, and also the development of many cancers.</t>
  </si>
  <si>
    <t>The chemokine CXCL8 (also known as interleukin-8, abbreviated @GENE$) and its G-protein-coupled receptors @GENE$ and CXCR2 are crucial elements in this process, and also the development of many cancers.</t>
  </si>
  <si>
    <t>The chemokine CXCL8 (also known as interleukin-8, abbreviated @GENE$) and its G-protein-coupled receptors CXCR1 and @GENE$ are crucial elements in this process, and also the development of many cancers.</t>
  </si>
  <si>
    <t>The chemokine CXCL8 (also known as interleukin-8, abbreviated @GENE$) and its G-protein-coupled receptors CXCR1 and CXCR2 are crucial elements in this process, and also the development of many @DISEASE$.</t>
  </si>
  <si>
    <t>The chemokine CXCL8 (also known as interleukin-8, abbreviated IL-8) and its @GENE$ @GENE$ and CXCR2 are crucial elements in this process, and also the development of many cancers.</t>
  </si>
  <si>
    <t>The chemokine CXCL8 (also known as interleukin-8, abbreviated IL-8) and its @GENE$ CXCR1 and @GENE$ are crucial elements in this process, and also the development of many cancers.</t>
  </si>
  <si>
    <t>The chemokine CXCL8 (also known as interleukin-8, abbreviated IL-8) and its @GENE$ CXCR1 and CXCR2 are crucial elements in this process, and also the development of many @DISEASE$.</t>
  </si>
  <si>
    <t>The chemokine CXCL8 (also known as interleukin-8, abbreviated IL-8) and its G-protein-coupled receptors @GENE$ and @GENE$ are crucial elements in this process, and also the development of many cancers.</t>
  </si>
  <si>
    <t>The chemokine CXCL8 (also known as interleukin-8, abbreviated IL-8) and its G-protein-coupled receptors @GENE$ and CXCR2 are crucial elements in this process, and also the development of many @DISEASE$.</t>
  </si>
  <si>
    <t>The chemokine CXCL8 (also known as interleukin-8, abbreviated IL-8) and its G-protein-coupled receptors CXCR1 and @GENE$ are crucial elements in this process, and also the development of many @DISEASE$.</t>
  </si>
  <si>
    <t>Here we describe an example of applying single-molecule dynamic force spectroscopy to study the binding of @GENE$ (@GENE$) to its receptor EGFR</t>
  </si>
  <si>
    <t>(EGF, binds to, EGFR)</t>
  </si>
  <si>
    <t>Here we describe an example of applying single-molecule dynamic force spectroscopy to study the binding of @GENE$ (EGF) to its receptor @GENE$</t>
  </si>
  <si>
    <t>Here we describe an example of applying single-molecule dynamic force spectroscopy to study the binding of epidermal growth factor (@GENE$) to its receptor @GENE$</t>
  </si>
  <si>
    <t>The palm region in @GENE$ interacts with the type I @GENE$ (ALK1, grey), the knuckle epitope interacts with the type II receptor (ActRIIB, orange).</t>
  </si>
  <si>
    <t>Consider that "receptor" is too generic a term to be biologically meaningful if we label this as an interaction...</t>
  </si>
  <si>
    <t>Should "receptor" be tagged as a "@GENE?"</t>
  </si>
  <si>
    <t>The palm region in @GENE$ interacts with the type I receptor (@GENE$, grey), the knuckle epitope interacts with the type II receptor (ActRIIB, orange).</t>
  </si>
  <si>
    <t xml:space="preserve">(BMP-9, binds to, ALK1) </t>
  </si>
  <si>
    <t>The palm region in @GENE$ interacts with the type I receptor (ALK1, grey), the knuckle epitope interacts with the type @GENE$ (ActRIIB, orange).</t>
  </si>
  <si>
    <t>The palm region in @GENE$ interacts with the type I receptor (ALK1, grey), the knuckle epitope interacts with the type II receptor (@GENE$, orange).</t>
  </si>
  <si>
    <t>(BMP-9, binds to, ActRIIB)</t>
  </si>
  <si>
    <t>The palm region in BMP-9 interacts with the type I @GENE$ (@GENE$, grey), the knuckle epitope interacts with the type II receptor (ActRIIB, orange).</t>
  </si>
  <si>
    <t>The palm region in BMP-9 interacts with the type I @GENE$ (ALK1, grey), the knuckle epitope interacts with the type @GENE$ (ActRIIB, orange).</t>
  </si>
  <si>
    <t>The palm region in BMP-9 interacts with the type I @GENE$ (ALK1, grey), the knuckle epitope interacts with the type II receptor (@GENE$, orange).</t>
  </si>
  <si>
    <t>The palm region in BMP-9 interacts with the type I receptor (@GENE$, grey), the knuckle epitope interacts with the type @GENE$ (ActRIIB, orange).</t>
  </si>
  <si>
    <t>The palm region in BMP-9 interacts with the type I receptor (@GENE$, grey), the knuckle epitope interacts with the type II receptor (@GENE$, orange).</t>
  </si>
  <si>
    <t>The palm region in BMP-9 interacts with the type I receptor (ALK1, grey), the knuckle epitope interacts with the type @GENE$ (@GENE$, orange).</t>
  </si>
  <si>
    <t>In contrast to @GENE$ and @GENE$, TGF-β 1-3 have a specific type II receptor, TGFBRII.</t>
  </si>
  <si>
    <t>In contrast to @GENE$ and activins, @GENE$ have a specific type II receptor, TGFBRII.</t>
  </si>
  <si>
    <t>In contrast to @GENE$ and activins, TGF-β 1-3 have a specific type II receptor, @GENE$.</t>
  </si>
  <si>
    <t>In contrast to BMPs and @GENE$, @GENE$ have a specific type II receptor, TGFBRII.</t>
  </si>
  <si>
    <t>In contrast to BMPs and @GENE$, TGF-β 1-3 have a specific type II receptor, @GENE$.</t>
  </si>
  <si>
    <t>In contrast to BMPs and activins, @GENE$ have a specific type II receptor, @GENE$.</t>
  </si>
  <si>
    <t>(TGF-β 1-3, binds to, TGFBRII)</t>
  </si>
  <si>
    <t>Multiple entities here (TGF-β 1-3) but tagged as a single @GENE$</t>
  </si>
  <si>
    <t>@GENE$, like @GENE$, binds ActRIIA and ActRIIB.</t>
  </si>
  <si>
    <t>@GENE$, like activin A, binds @GENE$ and ActRIIB.</t>
  </si>
  <si>
    <t>(Inhibin A, binds to, ActRIIA)</t>
  </si>
  <si>
    <t>@GENE$, like activin A, binds ActRIIA and @GENE$.</t>
  </si>
  <si>
    <t>(Inhibin A, binds to, ActRIIB)</t>
  </si>
  <si>
    <t>Inhibin A, like @GENE$, binds @GENE$ and ActRIIB.</t>
  </si>
  <si>
    <t>(Activin A, binds to, ActRIIA)</t>
  </si>
  <si>
    <t>Inhibin A, like @GENE$, binds ActRIIA and @GENE$.</t>
  </si>
  <si>
    <t>(Activin A, binds to, ActRIIB)</t>
  </si>
  <si>
    <t>Inhibin A, like activin A, binds @GENE$ and @GENE$.</t>
  </si>
  <si>
    <t>@GENE$ is also considered to be an antagonistic ligand, as it has no known type I receptor but can compete with @GENE$ and BMP-4 for binding to ActRIIB</t>
  </si>
  <si>
    <t>BMP-3, BMP-4, and activin compete with each other = inhibition of each other??</t>
  </si>
  <si>
    <t>@GENE$ is also considered to be an antagonistic ligand, as it has no known type I receptor but can compete with activin and @GENE$ for binding to ActRIIB</t>
  </si>
  <si>
    <t>@GENE$ is also considered to be an antagonistic ligand, as it has no known type I receptor but can compete with activin and BMP-4 for binding to @GENE$</t>
  </si>
  <si>
    <t>(BMP-3, binds to, ActRIIB)</t>
  </si>
  <si>
    <t>BMP-3 is also considered to be an antagonistic ligand, as it has no known type I receptor but can compete with @GENE$ and @GENE$ for binding to ActRIIB</t>
  </si>
  <si>
    <t>BMP-3 is also considered to be an antagonistic ligand, as it has no known type I receptor but can compete with @GENE$ and BMP-4 for binding to @GENE$</t>
  </si>
  <si>
    <t>(Activin, binds to, ActRIIB)</t>
  </si>
  <si>
    <t>BMP-3 is also considered to be an antagonistic ligand, as it has no known type I receptor but can compete with activin and @GENE$ for binding to @GENE$</t>
  </si>
  <si>
    <t>(BMP-4, binds to, ActRIIB)</t>
  </si>
  <si>
    <t>@GENE$ and @GENE$ are unusual ligands in that they share a uniquely extended C-terminal sequence, and do not form covalent dimers as they lack the cysteine residue required for dimerization. Nevertheless, they competed with nodal for binding to ActRIIA and ActRIIB and inhibited Nodal signaling</t>
  </si>
  <si>
    <t>@GENE$ and lefty2 are unusual ligands in that they share a uniquely extended C-terminal sequence, and do not form covalent dimers as they lack the cysteine residue required for dimerization. Nevertheless, they competed with @GENE$ for binding to ActRIIA and ActRIIB and inhibited Nodal signaling</t>
  </si>
  <si>
    <t>Lefty1, lefty2, and nodal compete with each other = inhibition</t>
  </si>
  <si>
    <t>@GENE$ and lefty2 are unusual ligands in that they share a uniquely extended C-terminal sequence, and do not form covalent dimers as they lack the cysteine residue required for dimerization. Nevertheless, they competed with nodal for binding to @GENE$ and ActRIIB and inhibited Nodal signaling</t>
  </si>
  <si>
    <t>(Lefty1, binds to, ActRIIA)</t>
  </si>
  <si>
    <t>@GENE$ and lefty2 are unusual ligands in that they share a uniquely extended C-terminal sequence, and do not form covalent dimers as they lack the cysteine residue required for dimerization. Nevertheless, they competed with nodal for binding to ActRIIA and @GENE$ and inhibited Nodal signaling</t>
  </si>
  <si>
    <t>(Lefty1, binds to, ActRIIB)</t>
  </si>
  <si>
    <t>@GENE$ and lefty2 are unusual ligands in that they share a uniquely extended C-terminal sequence, and do not form covalent dimers as they lack the cysteine residue required for dimerization. Nevertheless, they competed with nodal for binding to ActRIIA and ActRIIB and inhibited @GENE$ signaling</t>
  </si>
  <si>
    <t>Lefty1, lefty2 inhibit Nodal signalling = inhibition</t>
  </si>
  <si>
    <t>Lefty1 and @GENE$ are unusual ligands in that they share a uniquely extended C-terminal sequence, and do not form covalent dimers as they lack the cysteine residue required for dimerization. Nevertheless, they competed with @GENE$ for binding to ActRIIA and ActRIIB and inhibited Nodal signaling</t>
  </si>
  <si>
    <t>Lefty1 and @GENE$ are unusual ligands in that they share a uniquely extended C-terminal sequence, and do not form covalent dimers as they lack the cysteine residue required for dimerization. Nevertheless, they competed with nodal for binding to @GENE$ and ActRIIB and inhibited Nodal signaling</t>
  </si>
  <si>
    <t>(Lefty2, binds to, ActRIIA)</t>
  </si>
  <si>
    <t>Lefty1 and @GENE$ are unusual ligands in that they share a uniquely extended C-terminal sequence, and do not form covalent dimers as they lack the cysteine residue required for dimerization. Nevertheless, they competed with nodal for binding to ActRIIA and @GENE$ and inhibited Nodal signaling</t>
  </si>
  <si>
    <t>(Lefty2, binds to, ActRIIB)</t>
  </si>
  <si>
    <t>Lefty1 and @GENE$ are unusual ligands in that they share a uniquely extended C-terminal sequence, and do not form covalent dimers as they lack the cysteine residue required for dimerization. Nevertheless, they competed with nodal for binding to ActRIIA and ActRIIB and inhibited @GENE$ signaling</t>
  </si>
  <si>
    <t>Lefty1 and lefty2 are unusual ligands in that they share a uniquely extended C-terminal sequence, and do not form covalent dimers as they lack the cysteine residue required for dimerization. Nevertheless, they competed with @GENE$ for binding to @GENE$ and ActRIIB and inhibited Nodal signaling</t>
  </si>
  <si>
    <t>(Nodal, binds to, ActRIIA)</t>
  </si>
  <si>
    <t>Lefty1 and lefty2 are unusual ligands in that they share a uniquely extended C-terminal sequence, and do not form covalent dimers as they lack the cysteine residue required for dimerization. Nevertheless, they competed with @GENE$ for binding to ActRIIA and @GENE$ and inhibited Nodal signaling</t>
  </si>
  <si>
    <t>(Nodal, bidns to, ActRIIB)</t>
  </si>
  <si>
    <t>Lefty1 and lefty2 are unusual ligands in that they share a uniquely extended C-terminal sequence, and do not form covalent dimers as they lack the cysteine residue required for dimerization. Nevertheless, they competed with @GENE$ for binding to ActRIIA and ActRIIB and inhibited @GENE$ signaling</t>
  </si>
  <si>
    <t>Lefty1 and lefty2 are unusual ligands in that they share a uniquely extended C-terminal sequence, and do not form covalent dimers as they lack the cysteine residue required for dimerization. Nevertheless, they competed with nodal for binding to @GENE$ and @GENE$ and inhibited Nodal signaling</t>
  </si>
  <si>
    <t>Lefty1 and lefty2 are unusual ligands in that they share a uniquely extended C-terminal sequence, and do not form covalent dimers as they lack the cysteine residue required for dimerization. Nevertheless, they competed with nodal for binding to @GENE$ and ActRIIB and inhibited @GENE$ signaling</t>
  </si>
  <si>
    <t>Not clear that there is phosphorylation between these specific mentions of ActRIIA and Nodal?</t>
  </si>
  <si>
    <t>Lefty1 and lefty2 are unusual ligands in that they share a uniquely extended C-terminal sequence, and do not form covalent dimers as they lack the cysteine residue required for dimerization. Nevertheless, they competed with nodal for binding to ActRIIA and @GENE$ and inhibited @GENE$ signaling</t>
  </si>
  <si>
    <t>Not clear that there is phosphorylation between these specific mentions of ActRIIB and Nodal?</t>
  </si>
  <si>
    <t>Two examples are @GENE$ and @GENE$ (myostatin), which activate SMAD2/3 via the type I receptors ALK4, ALK5, or ALK7</t>
  </si>
  <si>
    <t>Two examples are @GENE$ and GDF-8 (@GENE$), which activate SMAD2/3 via the type I receptors ALK4, ALK5, or ALK7</t>
  </si>
  <si>
    <t>Two examples are @GENE$ and GDF-8 (myostatin), which activate @GENE$ via the type I receptors ALK4, ALK5, or ALK7</t>
  </si>
  <si>
    <t>GDF-11 activates SMAD2, SMAD3 = stimulation?</t>
  </si>
  <si>
    <t>Multiple entities here (SMAD2, SMAD3) but tagged as a single @GENE$</t>
  </si>
  <si>
    <t>Two examples are @GENE$ and GDF-8 (myostatin), which activate SMAD2/3 via the @GENE$ ALK4, ALK5, or ALK7</t>
  </si>
  <si>
    <t>Consider that "type I receptor" is too generic a term to be biologically meaningful without specifying the receptor family…</t>
  </si>
  <si>
    <t>Two examples are @GENE$ and GDF-8 (myostatin), which activate SMAD2/3 via the type I receptors @GENE$, ALK5, or ALK7</t>
  </si>
  <si>
    <t>(GDF-11, binds to, ALK4)</t>
  </si>
  <si>
    <t>Two examples are @GENE$ and GDF-8 (myostatin), which activate SMAD2/3 via the type I receptors ALK4, @GENE$, or ALK7</t>
  </si>
  <si>
    <t>(GDF-11, binds to, ALK5)</t>
  </si>
  <si>
    <t>Two examples are @GENE$ and GDF-8 (myostatin), which activate SMAD2/3 via the type I receptors ALK4, ALK5, or @GENE$</t>
  </si>
  <si>
    <t>(GDF-11, binds to, ALK7)</t>
  </si>
  <si>
    <t>Two examples are GDF-11 and @GENE$ (@GENE$), which activate SMAD2/3 via the type I receptors ALK4, ALK5, or ALK7</t>
  </si>
  <si>
    <t>Two examples are GDF-11 and @GENE$ (myostatin), which activate @GENE$ via the type I receptors ALK4, ALK5, or ALK7</t>
  </si>
  <si>
    <t>GDF-8 activates SMAD2, SMAD3 = stimulation?</t>
  </si>
  <si>
    <t>Two examples are GDF-11 and @GENE$ (myostatin), which activate SMAD2/3 via the @GENE$ ALK4, ALK5, or ALK7</t>
  </si>
  <si>
    <t>Two examples are GDF-11 and @GENE$ (myostatin), which activate SMAD2/3 via the type I receptors @GENE$, ALK5, or ALK7</t>
  </si>
  <si>
    <t>(GDF-8, binds to, ALK4)</t>
  </si>
  <si>
    <t>Two examples are GDF-11 and @GENE$ (myostatin), which activate SMAD2/3 via the type I receptors ALK4, @GENE$, or ALK7</t>
  </si>
  <si>
    <t>(GDF-8, binds to, ALK5)</t>
  </si>
  <si>
    <t>Two examples are GDF-11 and @GENE$ (myostatin), which activate SMAD2/3 via the type I receptors ALK4, ALK5, or @GENE$</t>
  </si>
  <si>
    <t>(GDF-8, binds to, ALK7)</t>
  </si>
  <si>
    <t>Two examples are GDF-11 and GDF-8 (@GENE$), which activate @GENE$ via the type I receptors ALK4, ALK5, or ALK7</t>
  </si>
  <si>
    <t>Two examples are GDF-11 and GDF-8 (@GENE$), which activate SMAD2/3 via the @GENE$ ALK4, ALK5, or ALK7</t>
  </si>
  <si>
    <t>Two examples are GDF-11 and GDF-8 (@GENE$), which activate SMAD2/3 via the type I receptors @GENE$, ALK5, or ALK7</t>
  </si>
  <si>
    <t>Two examples are GDF-11 and GDF-8 (@GENE$), which activate SMAD2/3 via the type I receptors ALK4, @GENE$, or ALK7</t>
  </si>
  <si>
    <t>Two examples are GDF-11 and GDF-8 (@GENE$), which activate SMAD2/3 via the type I receptors ALK4, ALK5, or @GENE$</t>
  </si>
  <si>
    <t>Two examples are GDF-11 and GDF-8 (myostatin), which activate @GENE$ via the @GENE$ ALK4, ALK5, or ALK7</t>
  </si>
  <si>
    <t>Two examples are GDF-11 and GDF-8 (myostatin), which activate @GENE$ via the type I receptors @GENE$, ALK5, or ALK7</t>
  </si>
  <si>
    <t>SMAD2, SMAD3 activated via ALK4, ALK5, ALK7 = stimulation?</t>
  </si>
  <si>
    <t>Two examples are GDF-11 and GDF-8 (myostatin), which activate @GENE$ via the type I receptors ALK4, @GENE$, or ALK7</t>
  </si>
  <si>
    <t>Two examples are GDF-11 and GDF-8 (myostatin), which activate @GENE$ via the type I receptors ALK4, ALK5, or @GENE$</t>
  </si>
  <si>
    <t>Two examples are GDF-11 and GDF-8 (myostatin), which activate SMAD2/3 via the @GENE$ @GENE$, ALK5, or ALK7</t>
  </si>
  <si>
    <t>Two examples are GDF-11 and GDF-8 (myostatin), which activate SMAD2/3 via the @GENE$ ALK4, @GENE$, or ALK7</t>
  </si>
  <si>
    <t>Two examples are GDF-11 and GDF-8 (myostatin), which activate SMAD2/3 via the @GENE$ ALK4, ALK5, or @GENE$</t>
  </si>
  <si>
    <t>Two examples are GDF-11 and GDF-8 (myostatin), which activate SMAD2/3 via the type I receptors @GENE$, @GENE$, or ALK7</t>
  </si>
  <si>
    <t>Two examples are GDF-11 and GDF-8 (myostatin), which activate SMAD2/3 via the type I receptors @GENE$, ALK5, or @GENE$</t>
  </si>
  <si>
    <t>Two examples are GDF-11 and GDF-8 (myostatin), which activate SMAD2/3 via the type I receptors ALK4, @GENE$, or @GENE$</t>
  </si>
  <si>
    <t>For example, @GENE$ activates the @GENE$ branch via the type I receptor ALK4. However, activin A may also form an inhibitory NSC with ALK2, as it inhibited BMP-6 and BMP-7 signaling in cells where ALK2 is the main type I receptor</t>
  </si>
  <si>
    <t>Activin A activates SMAD2, SMAD3 = stimulation?</t>
  </si>
  <si>
    <t>For example, @GENE$ activates the SMAD2/3 branch via the @GENE$ ALK4. However, activin A may also form an inhibitory NSC with ALK2, as it inhibited BMP-6 and BMP-7 signaling in cells where ALK2 is the main type I receptor</t>
  </si>
  <si>
    <t>For example, @GENE$ activates the SMAD2/3 branch via the type I receptor @GENE$. However, activin A may also form an inhibitory NSC with ALK2, as it inhibited BMP-6 and BMP-7 signaling in cells where ALK2 is the main type I receptor</t>
  </si>
  <si>
    <t>(Activin A, binds to, ALK4)</t>
  </si>
  <si>
    <t>For example, @GENE$ activates the SMAD2/3 branch via the type I receptor ALK4. However, @GENE$ may also form an inhibitory NSC with ALK2, as it inhibited BMP-6 and BMP-7 signaling in cells where ALK2 is the main type I receptor</t>
  </si>
  <si>
    <t>For example, @GENE$ activates the SMAD2/3 branch via the type I receptor ALK4. However, activin A may also form an inhibitory NSC with @GENE$, as it inhibited BMP-6 and BMP-7 signaling in cells where ALK2 is the main type I receptor</t>
  </si>
  <si>
    <r>
      <rPr>
        <rFont val="Arial"/>
        <color theme="1"/>
        <sz val="10.0"/>
      </rPr>
      <t xml:space="preserve">Not clear that there is interaction between these specific mentions of activin A and ALK2? </t>
    </r>
    <r>
      <rPr>
        <rFont val="Arial"/>
        <color rgb="FF4A86E8"/>
        <sz val="10.0"/>
      </rPr>
      <t>Should be 0</t>
    </r>
  </si>
  <si>
    <t>For example, @GENE$ activates the SMAD2/3 branch via the type I receptor ALK4. However, activin A may also form an inhibitory NSC with ALK2, as it inhibited @GENE$ and BMP-7 signaling in cells where ALK2 is the main type I receptor</t>
  </si>
  <si>
    <t>For example, @GENE$ activates the SMAD2/3 branch via the type I receptor ALK4. However, activin A may also form an inhibitory NSC with ALK2, as it inhibited BMP-6 and @GENE$ signaling in cells where ALK2 is the main type I receptor</t>
  </si>
  <si>
    <t>For example, @GENE$ activates the SMAD2/3 branch via the type I receptor ALK4. However, activin A may also form an inhibitory NSC with ALK2, as it inhibited BMP-6 and BMP-7 signaling in cells where @GENE$ is the main type I receptor</t>
  </si>
  <si>
    <r>
      <rPr>
        <rFont val="Arial"/>
        <color theme="1"/>
        <sz val="10.0"/>
      </rPr>
      <t xml:space="preserve">Not clear that there is interaction between these specific mentions of activin A and ALK2? </t>
    </r>
    <r>
      <rPr>
        <rFont val="Arial"/>
        <color rgb="FF4A86E8"/>
        <sz val="10.0"/>
      </rPr>
      <t>Should be 0</t>
    </r>
  </si>
  <si>
    <t>For example, activin A activates the @GENE$ branch via the @GENE$ ALK4. However, activin A may also form an inhibitory NSC with ALK2, as it inhibited BMP-6 and BMP-7 signaling in cells where ALK2 is the main type I receptor</t>
  </si>
  <si>
    <t>For example, activin A activates the @GENE$ branch via the type I receptor @GENE$. However, activin A may also form an inhibitory NSC with ALK2, as it inhibited BMP-6 and BMP-7 signaling in cells where ALK2 is the main type I receptor</t>
  </si>
  <si>
    <t>SMAD2, SMAD3 activated via ALK4 = stimulation?</t>
  </si>
  <si>
    <t>For example, activin A activates the @GENE$ branch via the type I receptor ALK4. However, @GENE$ may also form an inhibitory NSC with ALK2, as it inhibited BMP-6 and BMP-7 signaling in cells where ALK2 is the main type I receptor</t>
  </si>
  <si>
    <t>For example, activin A activates the @GENE$ branch via the type I receptor ALK4. However, activin A may also form an inhibitory NSC with @GENE$, as it inhibited BMP-6 and BMP-7 signaling in cells where ALK2 is the main type I receptor</t>
  </si>
  <si>
    <t>For example, activin A activates the @GENE$ branch via the type I receptor ALK4. However, activin A may also form an inhibitory NSC with ALK2, as it inhibited @GENE$ and BMP-7 signaling in cells where ALK2 is the main type I receptor</t>
  </si>
  <si>
    <t>For example, activin A activates the @GENE$ branch via the type I receptor ALK4. However, activin A may also form an inhibitory NSC with ALK2, as it inhibited BMP-6 and @GENE$ signaling in cells where ALK2 is the main type I receptor</t>
  </si>
  <si>
    <t>For example, activin A activates the @GENE$ branch via the type I receptor ALK4. However, activin A may also form an inhibitory NSC with ALK2, as it inhibited BMP-6 and BMP-7 signaling in cells where @GENE$ is the main type I receptor</t>
  </si>
  <si>
    <t>For example, activin A activates the SMAD2/3 branch via the @GENE$ @GENE$. However, activin A may also form an inhibitory NSC with ALK2, as it inhibited BMP-6 and BMP-7 signaling in cells where ALK2 is the main type I receptor</t>
  </si>
  <si>
    <t>For example, activin A activates the SMAD2/3 branch via the @GENE$ ALK4. However, @GENE$ may also form an inhibitory NSC with ALK2, as it inhibited BMP-6 and BMP-7 signaling in cells where ALK2 is the main type I receptor</t>
  </si>
  <si>
    <t>Consider that "type I receptor" is too generic a term to be biologically meaningful without specifying the receptor family…
Not clear that there is interaction between these specific mentions of activin A and type I receptor?</t>
  </si>
  <si>
    <t>For example, activin A activates the SMAD2/3 branch via the @GENE$ ALK4. However, activin A may also form an inhibitory NSC with @GENE$, as it inhibited BMP-6 and BMP-7 signaling in cells where ALK2 is the main type I receptor</t>
  </si>
  <si>
    <t>For example, activin A activates the SMAD2/3 branch via the @GENE$ ALK4. However, activin A may also form an inhibitory NSC with ALK2, as it inhibited @GENE$ and BMP-7 signaling in cells where ALK2 is the main type I receptor</t>
  </si>
  <si>
    <t>For example, activin A activates the SMAD2/3 branch via the @GENE$ ALK4. However, activin A may also form an inhibitory NSC with ALK2, as it inhibited BMP-6 and @GENE$ signaling in cells where ALK2 is the main type I receptor</t>
  </si>
  <si>
    <t>For example, activin A activates the SMAD2/3 branch via the @GENE$ ALK4. However, activin A may also form an inhibitory NSC with ALK2, as it inhibited BMP-6 and BMP-7 signaling in cells where @GENE$ is the main type I receptor</t>
  </si>
  <si>
    <t>For example, activin A activates the SMAD2/3 branch via the type I receptor @GENE$. However, @GENE$ may also form an inhibitory NSC with ALK2, as it inhibited BMP-6 and BMP-7 signaling in cells where ALK2 is the main type I receptor</t>
  </si>
  <si>
    <r>
      <rPr>
        <rFont val="Arial"/>
        <color theme="1"/>
        <sz val="10.0"/>
      </rPr>
      <t xml:space="preserve">Not clear that there is interaction between these specific mentions of activin A and ALK4? </t>
    </r>
    <r>
      <rPr>
        <rFont val="Arial"/>
        <color rgb="FF4A86E8"/>
        <sz val="10.0"/>
      </rPr>
      <t>Clause issue</t>
    </r>
  </si>
  <si>
    <t>For example, activin A activates the SMAD2/3 branch via the type I receptor @GENE$. However, activin A may also form an inhibitory NSC with @GENE$, as it inhibited BMP-6 and BMP-7 signaling in cells where ALK2 is the main type I receptor</t>
  </si>
  <si>
    <t>For example, activin A activates the SMAD2/3 branch via the type I receptor @GENE$. However, activin A may also form an inhibitory NSC with ALK2, as it inhibited @GENE$ and BMP-7 signaling in cells where ALK2 is the main type I receptor</t>
  </si>
  <si>
    <t>For example, activin A activates the SMAD2/3 branch via the type I receptor @GENE$. However, activin A may also form an inhibitory NSC with ALK2, as it inhibited BMP-6 and @GENE$ signaling in cells where ALK2 is the main type I receptor</t>
  </si>
  <si>
    <t>For example, activin A activates the SMAD2/3 branch via the type I receptor @GENE$. However, activin A may also form an inhibitory NSC with ALK2, as it inhibited BMP-6 and BMP-7 signaling in cells where @GENE$ is the main type I receptor</t>
  </si>
  <si>
    <t>For example, activin A activates the SMAD2/3 branch via the type I receptor ALK4. However, @GENE$ may also form an inhibitory NSC with @GENE$, as it inhibited BMP-6 and BMP-7 signaling in cells where ALK2 is the main type I receptor</t>
  </si>
  <si>
    <t>(Activin A, binds to, ALK2)</t>
  </si>
  <si>
    <t>For example, activin A activates the SMAD2/3 branch via the type I receptor ALK4. However, @GENE$ may also form an inhibitory NSC with ALK2, as it inhibited @GENE$ and BMP-7 signaling in cells where ALK2 is the main type I receptor</t>
  </si>
  <si>
    <t>Activin A inhibits BMP-6, BMP-7 = inhibition</t>
  </si>
  <si>
    <t>For example, activin A activates the SMAD2/3 branch via the type I receptor ALK4. However, @GENE$ may also form an inhibitory NSC with ALK2, as it inhibited BMP-6 and @GENE$ signaling in cells where ALK2 is the main type I receptor</t>
  </si>
  <si>
    <t>For example, activin A activates the SMAD2/3 branch via the type I receptor ALK4. However, @GENE$ may also form an inhibitory NSC with ALK2, as it inhibited BMP-6 and BMP-7 signaling in cells where @GENE$ is the main type I receptor</t>
  </si>
  <si>
    <r>
      <rPr>
        <rFont val="Arial"/>
        <color theme="1"/>
        <sz val="10.0"/>
      </rPr>
      <t xml:space="preserve">Not clear that there is interaction between these specific mentions of activin A and ALK2? </t>
    </r>
    <r>
      <rPr>
        <rFont val="Arial"/>
        <color rgb="FF4A86E8"/>
        <sz val="10.0"/>
      </rPr>
      <t>Clause issue</t>
    </r>
  </si>
  <si>
    <t>For example, activin A activates the SMAD2/3 branch via the type I receptor ALK4. However, activin A may also form an inhibitory NSC with @GENE$, as it inhibited @GENE$ and BMP-7 signaling in cells where ALK2 is the main type I receptor</t>
  </si>
  <si>
    <r>
      <rPr>
        <rFont val="Arial"/>
        <color theme="1"/>
        <sz val="10.0"/>
      </rPr>
      <t xml:space="preserve">(BMP-6, binds to, ALK2)
Not clear whether ALK2 or activin A in the ALK2-activin A complex binds to BMP-6 though? </t>
    </r>
    <r>
      <rPr>
        <rFont val="Arial"/>
        <color rgb="FF4A86E8"/>
        <sz val="10.0"/>
      </rPr>
      <t>Should be 0</t>
    </r>
  </si>
  <si>
    <t>BMP-6, BMP-7 inhibited via ALK2 = inhibition</t>
  </si>
  <si>
    <t>For example, activin A activates the SMAD2/3 branch via the type I receptor ALK4. However, activin A may also form an inhibitory NSC with @GENE$, as it inhibited BMP-6 and @GENE$ signaling in cells where ALK2 is the main type I receptor</t>
  </si>
  <si>
    <r>
      <rPr>
        <rFont val="Arial"/>
        <color theme="1"/>
        <sz val="10.0"/>
      </rPr>
      <t xml:space="preserve">(BMP-7, binds to, ALK2)
Not clear whether ALK2 or activin A in the ALK2-activin A complex binds to BMP-7 though? </t>
    </r>
    <r>
      <rPr>
        <rFont val="Arial"/>
        <color rgb="FF4A86E8"/>
        <sz val="10.0"/>
      </rPr>
      <t>Should be 0</t>
    </r>
  </si>
  <si>
    <t>For example, activin A activates the SMAD2/3 branch via the type I receptor ALK4. However, activin A may also form an inhibitory NSC with @GENE$, as it inhibited BMP-6 and BMP-7 signaling in cells where @GENE$ is the main type I receptor</t>
  </si>
  <si>
    <t>For example, activin A activates the SMAD2/3 branch via the type I receptor ALK4. However, activin A may also form an inhibitory NSC with ALK2, as it inhibited @GENE$ and @GENE$ signaling in cells where ALK2 is the main type I receptor</t>
  </si>
  <si>
    <t>For example, activin A activates the SMAD2/3 branch via the type I receptor ALK4. However, activin A may also form an inhibitory NSC with ALK2, as it inhibited @GENE$ and BMP-7 signaling in cells where @GENE$ is the main type I receptor</t>
  </si>
  <si>
    <r>
      <rPr>
        <rFont val="Arial"/>
        <color theme="1"/>
        <sz val="10.0"/>
      </rPr>
      <t xml:space="preserve">(BMP-6, binds to, ALK2)
Not clear whether ALK2 or activin A in the ALK2-activin A complex binds to BMP-6 though? </t>
    </r>
    <r>
      <rPr>
        <rFont val="Arial"/>
        <color rgb="FF4A86E8"/>
        <sz val="10.0"/>
      </rPr>
      <t>Should be 0</t>
    </r>
  </si>
  <si>
    <t>For example, activin A activates the SMAD2/3 branch via the type I receptor ALK4. However, activin A may also form an inhibitory NSC with ALK2, as it inhibited BMP-6 and @GENE$ signaling in cells where @GENE$ is the main type I receptor</t>
  </si>
  <si>
    <r>
      <rPr>
        <rFont val="Arial"/>
        <color theme="1"/>
        <sz val="10.0"/>
      </rPr>
      <t xml:space="preserve">(BMP-7, binds to, ALK2)
Not clear whether ALK2 or activin A in the ALK2-activin A complex binds to BMP-7 though? </t>
    </r>
    <r>
      <rPr>
        <rFont val="Arial"/>
        <color rgb="FF4A86E8"/>
        <sz val="10.0"/>
      </rPr>
      <t>Should be 0</t>
    </r>
  </si>
  <si>
    <t>@GENE$ (@GENE$) has been originally identified as a protein interacting with TNF receptor 2 (TNFR2) but also binds to several other receptors of the TNF receptor superfamily (TNFRSF).</t>
  </si>
  <si>
    <t>@GENE$ (TRAF2) has been originally identified as a protein interacting with @GENE$ (TNFR2) but also binds to several other receptors of the TNF receptor superfamily (TNFRSF).</t>
  </si>
  <si>
    <t>(TRAF2, binds to, TNFR2)</t>
  </si>
  <si>
    <t>@GENE$ (TRAF2) has been originally identified as a protein interacting with TNF receptor 2 (@GENE$) but also binds to several other receptors of the TNF receptor superfamily (TNFRSF).</t>
  </si>
  <si>
    <t>@GENE$ (TRAF2) has been originally identified as a protein interacting with TNF receptor 2 (TNFR2) but also binds to several other receptors of the @GENE$ superfamily (TNFRSF).</t>
  </si>
  <si>
    <t>Is "TNF receptor" too general?</t>
  </si>
  <si>
    <t>@GENE$ (TRAF2) has been originally identified as a protein interacting with TNF receptor 2 (TNFR2) but also binds to several other receptors of the TNF receptor superfamily (@GENE$).</t>
  </si>
  <si>
    <t>Is "TNF receptor superfamily (TNFRSF)" too general?</t>
  </si>
  <si>
    <t>Tumor necrosis factor (TNF) receptor associated factor-2 (@GENE$) has been originally identified as a protein interacting with @GENE$ (TNFR2) but also binds to several other receptors of the TNF receptor superfamily (TNFRSF).</t>
  </si>
  <si>
    <t>Tumor necrosis factor (TNF) receptor associated factor-2 (@GENE$) has been originally identified as a protein interacting with TNF receptor 2 (@GENE$) but also binds to several other receptors of the TNF receptor superfamily (TNFRSF).</t>
  </si>
  <si>
    <t>Tumor necrosis factor (TNF) receptor associated factor-2 (@GENE$) has been originally identified as a protein interacting with TNF receptor 2 (TNFR2) but also binds to several other receptors of the @GENE$ superfamily (TNFRSF).</t>
  </si>
  <si>
    <t>Tumor necrosis factor (TNF) receptor associated factor-2 (@GENE$) has been originally identified as a protein interacting with TNF receptor 2 (TNFR2) but also binds to several other receptors of the TNF receptor superfamily (@GENE$).</t>
  </si>
  <si>
    <t>Tumor necrosis factor (TNF) receptor associated factor-2 (TRAF2) has been originally identified as a protein interacting with @GENE$ (@GENE$) but also binds to several other receptors of the TNF receptor superfamily (TNFRSF).</t>
  </si>
  <si>
    <t>Tumor necrosis factor (TNF) receptor associated factor-2 (TRAF2) has been originally identified as a protein interacting with @GENE$ (TNFR2) but also binds to several other receptors of the @GENE$ superfamily (TNFRSF).</t>
  </si>
  <si>
    <t>Tumor necrosis factor (TNF) receptor associated factor-2 (TRAF2) has been originally identified as a protein interacting with @GENE$ (TNFR2) but also binds to several other receptors of the TNF receptor superfamily (@GENE$).</t>
  </si>
  <si>
    <t>Tumor necrosis factor (TNF) receptor associated factor-2 (TRAF2) has been originally identified as a protein interacting with TNF receptor 2 (@GENE$) but also binds to several other receptors of the @GENE$ superfamily (TNFRSF).</t>
  </si>
  <si>
    <t>Tumor necrosis factor (TNF) receptor associated factor-2 (TRAF2) has been originally identified as a protein interacting with TNF receptor 2 (@GENE$) but also binds to several other receptors of the TNF receptor superfamily (@GENE$).</t>
  </si>
  <si>
    <t>Tumor necrosis factor (TNF) receptor associated factor-2 (TRAF2) has been originally identified as a protein interacting with TNF receptor 2 (TNFR2) but also binds to several other receptors of the @GENE$ superfamily (@GENE$).</t>
  </si>
  <si>
    <t>While activated @GENE$ directly binds @GENE$ and TRAF1, cIAP1 and cIAP2 are indirectly recruited to TNFR2 by help of TRAF2.</t>
  </si>
  <si>
    <t>While activated @GENE$ directly binds TRAF2 and @GENE$, cIAP1 and cIAP2 are indirectly recruited to TNFR2 by help of TRAF2.</t>
  </si>
  <si>
    <t>(TRAF1, binds to, TNFR2)</t>
  </si>
  <si>
    <t>While activated @GENE$ directly binds TRAF2 and TRAF1, @GENE$ and cIAP2 are indirectly recruited to TNFR2 by help of TRAF2.</t>
  </si>
  <si>
    <r>
      <rPr>
        <rFont val="Arial"/>
        <color theme="1"/>
        <sz val="10.0"/>
      </rPr>
      <t xml:space="preserve">Should be 0 - cIAP1 and cIAP2 need TRAF2 to be recruited to TNFR2. </t>
    </r>
    <r>
      <rPr>
        <rFont val="Arial"/>
        <color rgb="FF4A86E8"/>
        <sz val="10.0"/>
      </rPr>
      <t xml:space="preserve">But we are considering indirect relations? </t>
    </r>
  </si>
  <si>
    <t>While activated @GENE$ directly binds TRAF2 and TRAF1, cIAP1 and @GENE$ are indirectly recruited to TNFR2 by help of TRAF2.</t>
  </si>
  <si>
    <r>
      <rPr>
        <rFont val="Arial"/>
        <color theme="1"/>
        <sz val="10.0"/>
      </rPr>
      <t xml:space="preserve">Should be 0 - cIAP1 and cIAP2 need TRAF2 to be recruited to TNFR2. </t>
    </r>
    <r>
      <rPr>
        <rFont val="Arial"/>
        <color rgb="FF4A86E8"/>
        <sz val="10.0"/>
      </rPr>
      <t xml:space="preserve">But we are considering indirect relations? </t>
    </r>
  </si>
  <si>
    <t>While activated @GENE$ directly binds TRAF2 and TRAF1, cIAP1 and cIAP2 are indirectly recruited to @GENE$ by help of TRAF2.</t>
  </si>
  <si>
    <t>While activated @GENE$ directly binds TRAF2 and TRAF1, cIAP1 and cIAP2 are indirectly recruited to TNFR2 by help of @GENE$.</t>
  </si>
  <si>
    <r>
      <rPr>
        <rFont val="Arial"/>
        <color theme="1"/>
        <sz val="10.0"/>
      </rPr>
      <t xml:space="preserve">Not clear that there is binding/interaction between these specific mentions of TRAF2 and TNFR2? </t>
    </r>
    <r>
      <rPr>
        <rFont val="Arial"/>
        <color rgb="FF4A86E8"/>
        <sz val="10.0"/>
      </rPr>
      <t>Clause issue</t>
    </r>
  </si>
  <si>
    <t>While activated TNFR2 directly binds @GENE$ and @GENE$, cIAP1 and cIAP2 are indirectly recruited to TNFR2 by help of TRAF2.</t>
  </si>
  <si>
    <t>While activated TNFR2 directly binds @GENE$ and TRAF1, @GENE$ and cIAP2 are indirectly recruited to TNFR2 by help of TRAF2.</t>
  </si>
  <si>
    <t>While activated TNFR2 directly binds @GENE$ and TRAF1, cIAP1 and @GENE$ are indirectly recruited to TNFR2 by help of TRAF2.</t>
  </si>
  <si>
    <t>While activated TNFR2 directly binds @GENE$ and TRAF1, cIAP1 and cIAP2 are indirectly recruited to @GENE$ by help of TRAF2.</t>
  </si>
  <si>
    <r>
      <rPr>
        <rFont val="Arial"/>
        <color theme="1"/>
        <sz val="10.0"/>
      </rPr>
      <t xml:space="preserve">Not clear that there is binding/interaction between these specific mentions of TRAF2 and TNFR2? </t>
    </r>
    <r>
      <rPr>
        <rFont val="Arial"/>
        <color rgb="FF4A86E8"/>
        <sz val="10.0"/>
      </rPr>
      <t>Clause issue</t>
    </r>
  </si>
  <si>
    <t>While activated TNFR2 directly binds @GENE$ and TRAF1, cIAP1 and cIAP2 are indirectly recruited to TNFR2 by help of @GENE$.</t>
  </si>
  <si>
    <t>While activated TNFR2 directly binds TRAF2 and @GENE$, @GENE$ and cIAP2 are indirectly recruited to TNFR2 by help of TRAF2.</t>
  </si>
  <si>
    <t>While activated TNFR2 directly binds TRAF2 and @GENE$, cIAP1 and @GENE$ are indirectly recruited to TNFR2 by help of TRAF2.</t>
  </si>
  <si>
    <t>While activated TNFR2 directly binds TRAF2 and @GENE$, cIAP1 and cIAP2 are indirectly recruited to @GENE$ by help of TRAF2.</t>
  </si>
  <si>
    <r>
      <rPr>
        <rFont val="Arial"/>
        <color theme="1"/>
        <sz val="10.0"/>
      </rPr>
      <t xml:space="preserve">Not clear that there is binding/interaction between these specific mentions of TRAF2 and TNFR2? </t>
    </r>
    <r>
      <rPr>
        <rFont val="Arial"/>
        <color rgb="FF4A86E8"/>
        <sz val="10.0"/>
      </rPr>
      <t>Clause issue</t>
    </r>
  </si>
  <si>
    <t>While activated TNFR2 directly binds TRAF2 and @GENE$, cIAP1 and cIAP2 are indirectly recruited to TNFR2 by help of @GENE$.</t>
  </si>
  <si>
    <t>While activated TNFR2 directly binds TRAF2 and TRAF1, @GENE$ and @GENE$ are indirectly recruited to TNFR2 by help of TRAF2.</t>
  </si>
  <si>
    <t>While activated TNFR2 directly binds TRAF2 and TRAF1, @GENE$ and cIAP2 are indirectly recruited to @GENE$ by help of TRAF2.</t>
  </si>
  <si>
    <t>Should be 0 - cIAP1 and cIAP2 need TRAF2 to be recruited to TNFR2</t>
  </si>
  <si>
    <t>While activated TNFR2 directly binds TRAF2 and TRAF1, @GENE$ and cIAP2 are indirectly recruited to TNFR2 by help of @GENE$.</t>
  </si>
  <si>
    <t>Should be 2 - cIAP1 and cIAP2 need TRAF2 to be recruited to TNFR2</t>
  </si>
  <si>
    <t>While activated TNFR2 directly binds TRAF2 and TRAF1, cIAP1 and @GENE$ are indirectly recruited to @GENE$ by help of TRAF2.</t>
  </si>
  <si>
    <t>While activated TNFR2 directly binds TRAF2 and TRAF1, cIAP1 and @GENE$ are indirectly recruited to TNFR2 by help of @GENE$.</t>
  </si>
  <si>
    <t>While activated TNFR2 directly binds TRAF2 and TRAF1, cIAP1 and cIAP2 are indirectly recruited to @GENE$ by help of @GENE$.</t>
  </si>
  <si>
    <t>In RNA virus-infected cells cytosolic double-stranded (ds) RNA is recognized by @GENE$ and/or the @GENE$ (RLR) melanoma differentiation-associated 5 (MDA5)</t>
  </si>
  <si>
    <t>(double-stranded (ds) RNA, binds to, R1G1)</t>
  </si>
  <si>
    <t>Should dsRNA be tagged as @CHEMICAL$?</t>
  </si>
  <si>
    <t>In RNA virus-infected cells cytosolic double-stranded (ds) RNA is recognized by @GENE$ and/or the RIG1-like receptor (@GENE$) melanoma differentiation-associated 5 (MDA5)</t>
  </si>
  <si>
    <t>(double-stranded (ds) RNA, binds to, MDA5)</t>
  </si>
  <si>
    <t>In RNA virus-infected cells cytosolic double-stranded (ds) RNA is recognized by @GENE$ and/or the RIG1-like receptor (RLR) @GENE$ (MDA5)</t>
  </si>
  <si>
    <t>In RNA virus-infected cells cytosolic double-stranded (ds) RNA is recognized by @GENE$ and/or the RIG1-like receptor (RLR) melanoma differentiation-associated 5 (@GENE$)</t>
  </si>
  <si>
    <t>In RNA virus-infected cells cytosolic double-stranded (ds) RNA is recognized by RIG1 and/or the @GENE$ (@GENE$) melanoma differentiation-associated 5 (MDA5)</t>
  </si>
  <si>
    <t>In RNA virus-infected cells cytosolic double-stranded (ds) RNA is recognized by RIG1 and/or the @GENE$ (RLR) @GENE$ (MDA5)</t>
  </si>
  <si>
    <t>In RNA virus-infected cells cytosolic double-stranded (ds) RNA is recognized by RIG1 and/or the @GENE$ (RLR) melanoma differentiation-associated 5 (@GENE$)</t>
  </si>
  <si>
    <t>In RNA virus-infected cells cytosolic double-stranded (ds) RNA is recognized by RIG1 and/or the RIG1-like receptor (@GENE$) @GENE$ (MDA5)</t>
  </si>
  <si>
    <t>In RNA virus-infected cells cytosolic double-stranded (ds) RNA is recognized by RIG1 and/or the RIG1-like receptor (@GENE$) melanoma differentiation-associated 5 (@GENE$)</t>
  </si>
  <si>
    <t>In RNA virus-infected cells cytosolic double-stranded (ds) RNA is recognized by RIG1 and/or the RIG1-like receptor (RLR) @GENE$ (@GENE$)</t>
  </si>
  <si>
    <t>The @GENE$ filaments in turn bind to @GENE$ (MAVS; also named VISA, IPS-1, or Cardif) and nucleate the formation MAVS filaments</t>
  </si>
  <si>
    <t>(RLR filaments, binds to, MAVS)</t>
  </si>
  <si>
    <t>The @GENE$ filaments in turn bind to mitochondria antiviral signaling protein (@GENE$; also named VISA, IPS-1, or Cardif) and nucleate the formation MAVS filaments</t>
  </si>
  <si>
    <t>The @GENE$ filaments in turn bind to mitochondria antiviral signaling protein (MAVS; also named @GENE$, IPS-1, or Cardif) and nucleate the formation MAVS filaments</t>
  </si>
  <si>
    <t>(RLR, binds to, VISA)</t>
  </si>
  <si>
    <t>The @GENE$ filaments in turn bind to mitochondria antiviral signaling protein (MAVS; also named VISA, @GENE$, or Cardif) and nucleate the formation MAVS filaments</t>
  </si>
  <si>
    <t>(RLR, binds to, IPS-1)</t>
  </si>
  <si>
    <t>The @GENE$ filaments in turn bind to mitochondria antiviral signaling protein (MAVS; also named VISA, IPS-1, or @GENE$) and nucleate the formation MAVS filaments</t>
  </si>
  <si>
    <t>(RLR, binds to, Cardif)</t>
  </si>
  <si>
    <t>The @GENE$ filaments in turn bind to mitochondria antiviral signaling protein (MAVS; also named VISA, IPS-1, or Cardif) and nucleate the formation @GENE$ filaments</t>
  </si>
  <si>
    <t>Clause issue</t>
  </si>
  <si>
    <t>The RLR filaments in turn bind to @GENE$ (@GENE$; also named VISA, IPS-1, or Cardif) and nucleate the formation MAVS filaments</t>
  </si>
  <si>
    <t>The RLR filaments in turn bind to @GENE$ (MAVS; also named @GENE$, IPS-1, or Cardif) and nucleate the formation MAVS filaments</t>
  </si>
  <si>
    <t>The RLR filaments in turn bind to @GENE$ (MAVS; also named VISA, @GENE$, or Cardif) and nucleate the formation MAVS filaments</t>
  </si>
  <si>
    <t>The RLR filaments in turn bind to @GENE$ (MAVS; also named VISA, IPS-1, or @GENE$) and nucleate the formation MAVS filaments</t>
  </si>
  <si>
    <t>The RLR filaments in turn bind to @GENE$ (MAVS; also named VISA, IPS-1, or Cardif) and nucleate the formation @GENE$ filaments</t>
  </si>
  <si>
    <t>The RLR filaments in turn bind to mitochondria antiviral signaling protein (@GENE$; also named @GENE$, IPS-1, or Cardif) and nucleate the formation MAVS filaments</t>
  </si>
  <si>
    <t>The RLR filaments in turn bind to mitochondria antiviral signaling protein (@GENE$; also named VISA, @GENE$, or Cardif) and nucleate the formation MAVS filaments</t>
  </si>
  <si>
    <t>The RLR filaments in turn bind to mitochondria antiviral signaling protein (@GENE$; also named VISA, IPS-1, or @GENE$) and nucleate the formation MAVS filaments</t>
  </si>
  <si>
    <t>The RLR filaments in turn bind to mitochondria antiviral signaling protein (@GENE$; also named VISA, IPS-1, or Cardif) and nucleate the formation @GENE$ filaments</t>
  </si>
  <si>
    <t>The RLR filaments in turn bind to mitochondria antiviral signaling protein (MAVS; also named @GENE$, @GENE$, or Cardif) and nucleate the formation MAVS filaments</t>
  </si>
  <si>
    <t>The RLR filaments in turn bind to mitochondria antiviral signaling protein (MAVS; also named @GENE$, IPS-1, or @GENE$) and nucleate the formation MAVS filaments</t>
  </si>
  <si>
    <t>The RLR filaments in turn bind to mitochondria antiviral signaling protein (MAVS; also named @GENE$, IPS-1, or Cardif) and nucleate the formation @GENE$ filaments</t>
  </si>
  <si>
    <t>The RLR filaments in turn bind to mitochondria antiviral signaling protein (MAVS; also named VISA, @GENE$, or @GENE$) and nucleate the formation MAVS filaments</t>
  </si>
  <si>
    <t>The RLR filaments in turn bind to mitochondria antiviral signaling protein (MAVS; also named VISA, @GENE$, or Cardif) and nucleate the formation @GENE$ filaments</t>
  </si>
  <si>
    <t>The RLR filaments in turn bind to mitochondria antiviral signaling protein (MAVS; also named VISA, IPS-1, or @GENE$) and nucleate the formation @GENE$ filaments</t>
  </si>
  <si>
    <t>@GENE$ and @GENE$ on the one side and TRAF3 and TRAF6 on the other side bind to different binding motifs in MAVS</t>
  </si>
  <si>
    <t>@GENE$ and TRAF5 on the one side and @GENE$ and TRAF6 on the other side bind to different binding motifs in MAVS</t>
  </si>
  <si>
    <t>@GENE$ and TRAF5 on the one side and TRAF3 and @GENE$ on the other side bind to different binding motifs in MAVS</t>
  </si>
  <si>
    <t>@GENE$ and TRAF5 on the one side and TRAF3 and TRAF6 on the other side bind to different binding motifs in @DISEASE$</t>
  </si>
  <si>
    <t>(TRAF2, binds to MAVS)</t>
  </si>
  <si>
    <t>MAVS should be tagged as @GENE$, not @DISEASE$</t>
  </si>
  <si>
    <t>TRAF2 and @GENE$ on the one side and @GENE$ and TRAF6 on the other side bind to different binding motifs in MAVS</t>
  </si>
  <si>
    <t>TRAF2 and @GENE$ on the one side and TRAF3 and @GENE$ on the other side bind to different binding motifs in MAVS</t>
  </si>
  <si>
    <t>TRAF2 and @GENE$ on the one side and TRAF3 and TRAF6 on the other side bind to different binding motifs in @DISEASE$</t>
  </si>
  <si>
    <t>(TRAF5, binds to, MAVS)</t>
  </si>
  <si>
    <t>TRAF2 and TRAF5 on the one side and @GENE$ and @GENE$ on the other side bind to different binding motifs in MAVS</t>
  </si>
  <si>
    <t>TRAF2 and TRAF5 on the one side and @GENE$ and TRAF6 on the other side bind to different binding motifs in @DISEASE$</t>
  </si>
  <si>
    <t>(TRAF3, binds to, MAVS)</t>
  </si>
  <si>
    <t>TRAF2 and TRAF5 on the one side and TRAF3 and @GENE$ on the other side bind to different binding motifs in @DISEASE$</t>
  </si>
  <si>
    <t>(TRAF6, binds to, MAVS)</t>
  </si>
  <si>
    <t>In contrast to receptors of the @GENE$, @GENE$ and MDA5 not only stimulate the activation of NFκB transcription factors by help of the TRAF proteins but also engage IRF3 and IRF7.</t>
  </si>
  <si>
    <t>In contrast to receptors of the @GENE$, RIG1 and @GENE$ not only stimulate the activation of NFκB transcription factors by help of the TRAF proteins but also engage IRF3 and IRF7.</t>
  </si>
  <si>
    <t>In contrast to receptors of the @GENE$, RIG1 and MDA5 not only stimulate the activation of @GENE$ transcription factors by help of the TRAF proteins but also engage IRF3 and IRF7.</t>
  </si>
  <si>
    <t>In contrast to receptors of the @GENE$, RIG1 and MDA5 not only stimulate the activation of NFκB transcription factors by help of the @GENE$ proteins but also engage IRF3 and IRF7.</t>
  </si>
  <si>
    <t>In contrast to receptors of the @GENE$, RIG1 and MDA5 not only stimulate the activation of NFκB transcription factors by help of the TRAF proteins but also engage @GENE$ and IRF7.</t>
  </si>
  <si>
    <t>In contrast to receptors of the @GENE$, RIG1 and MDA5 not only stimulate the activation of NFκB transcription factors by help of the TRAF proteins but also engage IRF3 and @GENE$.</t>
  </si>
  <si>
    <t>In contrast to receptors of the TNFRSF, @GENE$ and @GENE$ not only stimulate the activation of NFκB transcription factors by help of the TRAF proteins but also engage IRF3 and IRF7.</t>
  </si>
  <si>
    <t>In contrast to receptors of the TNFRSF, @GENE$ and MDA5 not only stimulate the activation of @GENE$ transcription factors by help of the TRAF proteins but also engage IRF3 and IRF7.</t>
  </si>
  <si>
    <t>RIG1 stimulates activation of NFkB = stimulation</t>
  </si>
  <si>
    <t>In contrast to receptors of the TNFRSF, @GENE$ and MDA5 not only stimulate the activation of NFκB transcription factors by help of the @GENE$ proteins but also engage IRF3 and IRF7.</t>
  </si>
  <si>
    <r>
      <rPr>
        <rFont val="Arial"/>
        <color theme="1"/>
        <sz val="10.0"/>
      </rPr>
      <t xml:space="preserve">Does this indicate interaction/binding between RIG1/MDA5 and TRAF proteins? </t>
    </r>
    <r>
      <rPr>
        <rFont val="Arial"/>
        <color rgb="FF4A86E8"/>
        <sz val="10.0"/>
      </rPr>
      <t>Seems unclear that there is binding between RIG1/ MDA5 and TRAF</t>
    </r>
  </si>
  <si>
    <t>In contrast to receptors of the TNFRSF, @GENE$ and MDA5 not only stimulate the activation of NFκB transcription factors by help of the TRAF proteins but also engage @GENE$ and IRF7.</t>
  </si>
  <si>
    <t>(IRF3, binds to, RIG1)</t>
  </si>
  <si>
    <t>In contrast to receptors of the TNFRSF, @GENE$ and MDA5 not only stimulate the activation of NFκB transcription factors by help of the TRAF proteins but also engage IRF3 and @GENE$.</t>
  </si>
  <si>
    <t>(IRF7, binds to RIG1)</t>
  </si>
  <si>
    <t>In contrast to receptors of the TNFRSF, RIG1 and @GENE$ not only stimulate the activation of @GENE$ transcription factors by help of the TRAF proteins but also engage IRF3 and IRF7.</t>
  </si>
  <si>
    <t>MDA5 stimulates activation of NFkB = stimulation</t>
  </si>
  <si>
    <t>In contrast to receptors of the TNFRSF, RIG1 and @GENE$ not only stimulate the activation of NFκB transcription factors by help of the @GENE$ proteins but also engage IRF3 and IRF7.</t>
  </si>
  <si>
    <t>Does this indicate interaction/binding between RIG1/MDA5 and TRAF proteins?</t>
  </si>
  <si>
    <t>In contrast to receptors of the TNFRSF, RIG1 and @GENE$ not only stimulate the activation of NFκB transcription factors by help of the TRAF proteins but also engage @GENE$ and IRF7.</t>
  </si>
  <si>
    <t>(IRF3, binds to, MDA5)</t>
  </si>
  <si>
    <t>In contrast to receptors of the TNFRSF, RIG1 and @GENE$ not only stimulate the activation of NFκB transcription factors by help of the TRAF proteins but also engage IRF3 and @GENE$.</t>
  </si>
  <si>
    <t>(IRF7, binds to MDA5)</t>
  </si>
  <si>
    <t>In contrast to receptors of the TNFRSF, RIG1 and MDA5 not only stimulate the activation of @GENE$ transcription factors by help of the @GENE$ proteins but also engage IRF3 and IRF7.</t>
  </si>
  <si>
    <t>RIG1/MDA5 stimulate activation of NFkB "by help of the TRAF proteins", i.e. TRAF proteins help to activate NFkB = stimulation</t>
  </si>
  <si>
    <t>In contrast to receptors of the TNFRSF, RIG1 and MDA5 not only stimulate the activation of @GENE$ transcription factors by help of the TRAF proteins but also engage @GENE$ and IRF7.</t>
  </si>
  <si>
    <t>In contrast to receptors of the TNFRSF, RIG1 and MDA5 not only stimulate the activation of @GENE$ transcription factors by help of the TRAF proteins but also engage IRF3 and @GENE$.</t>
  </si>
  <si>
    <t>In contrast to receptors of the TNFRSF, RIG1 and MDA5 not only stimulate the activation of NFκB transcription factors by help of the @GENE$ proteins but also engage @GENE$ and IRF7.</t>
  </si>
  <si>
    <t>In contrast to receptors of the TNFRSF, RIG1 and MDA5 not only stimulate the activation of NFκB transcription factors by help of the @GENE$ proteins but also engage IRF3 and @GENE$.</t>
  </si>
  <si>
    <t>In contrast to receptors of the TNFRSF, RIG1 and MDA5 not only stimulate the activation of NFκB transcription factors by help of the TRAF proteins but also engage @GENE$ and @GENE$.</t>
  </si>
  <si>
    <t>It is worth mentioning that the @GENE$ @GENE$ associates with the C-terminus of TRAF2, TRAF3, TRAF5, and TRAF6 and acts as a pan-inhibitor of stimuli using these TRAF proteins for activation of the classical NFκB pathway</t>
  </si>
  <si>
    <t>It is worth mentioning that the @GENE$ LGP2 associates with the C-terminus of @GENE$, TRAF3, TRAF5, and TRAF6 and acts as a pan-inhibitor of stimuli using these TRAF proteins for activation of the classical NFκB pathway</t>
  </si>
  <si>
    <t>"RLR" here refers to the protein family</t>
  </si>
  <si>
    <t>It is worth mentioning that the @GENE$ LGP2 associates with the C-terminus of TRAF2, @GENE$, TRAF5, and TRAF6 and acts as a pan-inhibitor of stimuli using these TRAF proteins for activation of the classical NFκB pathway</t>
  </si>
  <si>
    <t>It is worth mentioning that the @GENE$ LGP2 associates with the C-terminus of TRAF2, TRAF3, @GENE$, and TRAF6 and acts as a pan-inhibitor of stimuli using these TRAF proteins for activation of the classical NFκB pathway</t>
  </si>
  <si>
    <t>It is worth mentioning that the @GENE$ LGP2 associates with the C-terminus of TRAF2, TRAF3, TRAF5, and @GENE$ and acts as a pan-inhibitor of stimuli using these TRAF proteins for activation of the classical NFκB pathway</t>
  </si>
  <si>
    <t>Should be 2 if the above are 2 - LGP2 also associates with TRAF6
"RLR" here refers to the protein family</t>
  </si>
  <si>
    <t>It is worth mentioning that the @GENE$ LGP2 associates with the C-terminus of TRAF2, TRAF3, TRAF5, and TRAF6 and acts as a pan-inhibitor of stimuli using these @GENE$ proteins for activation of the classical NFκB pathway</t>
  </si>
  <si>
    <r>
      <rPr>
        <rFont val="Arial"/>
        <color theme="1"/>
        <sz val="10.0"/>
      </rPr>
      <t xml:space="preserve">Should be 2 if the above are 2 - LGP2 associates with these TRAFs </t>
    </r>
    <r>
      <rPr>
        <rFont val="Arial"/>
        <color rgb="FF4A86E8"/>
        <sz val="10.0"/>
      </rPr>
      <t>"TRAFs" too general?</t>
    </r>
  </si>
  <si>
    <t>It is worth mentioning that the @GENE$ LGP2 associates with the C-terminus of TRAF2, TRAF3, TRAF5, and TRAF6 and acts as a pan-inhibitor of stimuli using these TRAF proteins for activation of the classical @GENE$ pathway</t>
  </si>
  <si>
    <t>"RLR LGP2...acts as a pan-inhibitor...for activation of the classical NFkB pathway" i.e. LGP2 inhibits NFkB signalling = inhibition</t>
  </si>
  <si>
    <t>It is worth mentioning that the RLR @GENE$ associates with the C-terminus of @GENE$, TRAF3, TRAF5, and TRAF6 and acts as a pan-inhibitor of stimuli using these TRAF proteins for activation of the classical NFκB pathway</t>
  </si>
  <si>
    <t>(RLR LGP2, binds to, TRAF2)</t>
  </si>
  <si>
    <t>It is worth mentioning that the RLR @GENE$ associates with the C-terminus of TRAF2, @GENE$, TRAF5, and TRAF6 and acts as a pan-inhibitor of stimuli using these TRAF proteins for activation of the classical NFκB pathway</t>
  </si>
  <si>
    <t>(RLR LGP2, binds to, TRAF3)</t>
  </si>
  <si>
    <t>It is worth mentioning that the RLR @GENE$ associates with the C-terminus of TRAF2, TRAF3, @GENE$, and TRAF6 and acts as a pan-inhibitor of stimuli using these TRAF proteins for activation of the classical NFκB pathway</t>
  </si>
  <si>
    <t>(RLR LGP2, binds to, TRAF5)</t>
  </si>
  <si>
    <t>It is worth mentioning that the RLR @GENE$ associates with the C-terminus of TRAF2, TRAF3, TRAF5, and @GENE$ and acts as a pan-inhibitor of stimuli using these TRAF proteins for activation of the classical NFκB pathway</t>
  </si>
  <si>
    <t>Should be 2 if the above are 2 - LGP2 also associates with TRAF6</t>
  </si>
  <si>
    <t>It is worth mentioning that the RLR @GENE$ associates with the C-terminus of TRAF2, TRAF3, TRAF5, and TRAF6 and acts as a pan-inhibitor of stimuli using these @GENE$ proteins for activation of the classical NFκB pathway</t>
  </si>
  <si>
    <r>
      <rPr>
        <rFont val="Arial"/>
        <color theme="1"/>
        <sz val="10.0"/>
      </rPr>
      <t xml:space="preserve">Should be 2 if the above are 2 - LGP2 associates with these TRAFs </t>
    </r>
    <r>
      <rPr>
        <rFont val="Arial"/>
        <color rgb="FF4A86E8"/>
        <sz val="10.0"/>
      </rPr>
      <t>"TRAFs" too general?</t>
    </r>
  </si>
  <si>
    <t>It is worth mentioning that the RLR @GENE$ associates with the C-terminus of TRAF2, TRAF3, TRAF5, and TRAF6 and acts as a pan-inhibitor of stimuli using these TRAF proteins for activation of the classical @GENE$ pathway</t>
  </si>
  <si>
    <t>It is worth mentioning that the RLR LGP2 associates with the C-terminus of @GENE$, @GENE$, TRAF5, and TRAF6 and acts as a pan-inhibitor of stimuli using these TRAF proteins for activation of the classical NFκB pathway</t>
  </si>
  <si>
    <t>It is worth mentioning that the RLR LGP2 associates with the C-terminus of @GENE$, TRAF3, @GENE$, and TRAF6 and acts as a pan-inhibitor of stimuli using these TRAF proteins for activation of the classical NFκB pathway</t>
  </si>
  <si>
    <t>It is worth mentioning that the RLR LGP2 associates with the C-terminus of @GENE$, TRAF3, TRAF5, and @GENE$ and acts as a pan-inhibitor of stimuli using these TRAF proteins for activation of the classical NFκB pathway</t>
  </si>
  <si>
    <t>It is worth mentioning that the RLR LGP2 associates with the C-terminus of @GENE$, TRAF3, TRAF5, and TRAF6 and acts as a pan-inhibitor of stimuli using these @GENE$ proteins for activation of the classical NFκB pathway</t>
  </si>
  <si>
    <t>It is worth mentioning that the RLR LGP2 associates with the C-terminus of @GENE$, TRAF3, TRAF5, and TRAF6 and acts as a pan-inhibitor of stimuli using these TRAF proteins for activation of the classical @GENE$ pathway</t>
  </si>
  <si>
    <t>activation of the classical NFkB pathway is via TRAF proteins i.e. TRAF2, TRAF3, TRAF5, TRAF6 activate NFkB signalling = stimulation</t>
  </si>
  <si>
    <t>It is worth mentioning that the RLR LGP2 associates with the C-terminus of TRAF2, @GENE$, @GENE$, and TRAF6 and acts as a pan-inhibitor of stimuli using these TRAF proteins for activation of the classical NFκB pathway</t>
  </si>
  <si>
    <t>It is worth mentioning that the RLR LGP2 associates with the C-terminus of TRAF2, @GENE$, TRAF5, and @GENE$ and acts as a pan-inhibitor of stimuli using these TRAF proteins for activation of the classical NFκB pathway</t>
  </si>
  <si>
    <t>It is worth mentioning that the RLR LGP2 associates with the C-terminus of TRAF2, @GENE$, TRAF5, and TRAF6 and acts as a pan-inhibitor of stimuli using these @GENE$ proteins for activation of the classical NFκB pathway</t>
  </si>
  <si>
    <t>It is worth mentioning that the RLR LGP2 associates with the C-terminus of TRAF2, @GENE$, TRAF5, and TRAF6 and acts as a pan-inhibitor of stimuli using these TRAF proteins for activation of the classical @GENE$ pathway</t>
  </si>
  <si>
    <t>It is worth mentioning that the RLR LGP2 associates with the C-terminus of TRAF2, TRAF3, @GENE$, and @GENE$ and acts as a pan-inhibitor of stimuli using these TRAF proteins for activation of the classical NFκB pathway</t>
  </si>
  <si>
    <t>It is worth mentioning that the RLR LGP2 associates with the C-terminus of TRAF2, TRAF3, @GENE$, and TRAF6 and acts as a pan-inhibitor of stimuli using these @GENE$ proteins for activation of the classical NFκB pathway</t>
  </si>
  <si>
    <t>It is worth mentioning that the RLR LGP2 associates with the C-terminus of TRAF2, TRAF3, @GENE$, and TRAF6 and acts as a pan-inhibitor of stimuli using these TRAF proteins for activation of the classical @GENE$ pathway</t>
  </si>
  <si>
    <t>It is worth mentioning that the RLR LGP2 associates with the C-terminus of TRAF2, TRAF3, TRAF5, and @GENE$ and acts as a pan-inhibitor of stimuli using these @GENE$ proteins for activation of the classical NFκB pathway</t>
  </si>
  <si>
    <t>It is worth mentioning that the RLR LGP2 associates with the C-terminus of TRAF2, TRAF3, TRAF5, and @GENE$ and acts as a pan-inhibitor of stimuli using these TRAF proteins for activation of the classical @GENE$ pathway</t>
  </si>
  <si>
    <t>It is worth mentioning that the RLR LGP2 associates with the C-terminus of TRAF2, TRAF3, TRAF5, and TRAF6 and acts as a pan-inhibitor of stimuli using these @GENE$ proteins for activation of the classical @GENE$ pathway</t>
  </si>
  <si>
    <t>Many of the triggers of apoptotic @GENE$ signaling engage the @GENE$ pathway by TRAF2-dependent activation of the MAP3K apoptosis signal-regulating kinase 1 (ASK1). The latter is kept inactive in cells by binding to thioredoxin (Trx).</t>
  </si>
  <si>
    <t>Many of the triggers of apoptotic @GENE$ signaling engage the JNK pathway by @GENE$-dependent activation of the MAP3K apoptosis signal-regulating kinase 1 (ASK1). The latter is kept inactive in cells by binding to thioredoxin (Trx).</t>
  </si>
  <si>
    <t>JNK pathway is engaged via TRAF2 = stimulation?</t>
  </si>
  <si>
    <t>Many of the triggers of apoptotic @GENE$ signaling engage the JNK pathway by TRAF2-dependent activation of the @GENE$K apoptosis signal-regulating kinase 1 (ASK1). The latter is kept inactive in cells by binding to thioredoxin (Trx).</t>
  </si>
  <si>
    <t>JNK pathway activates MAP3K ASK1 = stimulation</t>
  </si>
  <si>
    <t>"MAP3K" should be tagged as @GENE$, not just "MAP3"</t>
  </si>
  <si>
    <t>Many of the triggers of apoptotic @GENE$ signaling engage the JNK pathway by TRAF2-dependent activation of the MAP3K @GENE$ (ASK1). The latter is kept inactive in cells by binding to thioredoxin (Trx).</t>
  </si>
  <si>
    <t>Many of the triggers of apoptotic @GENE$ signaling engage the JNK pathway by TRAF2-dependent activation of the MAP3K apoptosis signal-regulating kinase 1 (@GENE$). The latter is kept inactive in cells by binding to thioredoxin (Trx).</t>
  </si>
  <si>
    <t>Many of the triggers of apoptotic @GENE$ signaling engage the JNK pathway by TRAF2-dependent activation of the MAP3K apoptosis signal-regulating kinase 1 (ASK1). The latter is kept inactive in cells by binding to @GENE$ (Trx).</t>
  </si>
  <si>
    <t>Many of the triggers of apoptotic @GENE$ signaling engage the JNK pathway by TRAF2-dependent activation of the MAP3K apoptosis signal-regulating kinase 1 (ASK1). The latter is kept inactive in cells by binding to thioredoxin (@GENE$).</t>
  </si>
  <si>
    <t>Many of the triggers of apoptotic JNK signaling engage the @GENE$ pathway by @GENE$-dependent activation of the MAP3K apoptosis signal-regulating kinase 1 (ASK1). The latter is kept inactive in cells by binding to thioredoxin (Trx).</t>
  </si>
  <si>
    <t>Many of the triggers of apoptotic JNK signaling engage the @GENE$ pathway by TRAF2-dependent activation of the @GENE$K apoptosis signal-regulating kinase 1 (ASK1). The latter is kept inactive in cells by binding to thioredoxin (Trx).</t>
  </si>
  <si>
    <t>Many of the triggers of apoptotic JNK signaling engage the @GENE$ pathway by TRAF2-dependent activation of the MAP3K @GENE$ (ASK1). The latter is kept inactive in cells by binding to thioredoxin (Trx).</t>
  </si>
  <si>
    <t>Many of the triggers of apoptotic JNK signaling engage the @GENE$ pathway by TRAF2-dependent activation of the MAP3K apoptosis signal-regulating kinase 1 (@GENE$). The latter is kept inactive in cells by binding to thioredoxin (Trx).</t>
  </si>
  <si>
    <t>Many of the triggers of apoptotic JNK signaling engage the @GENE$ pathway by TRAF2-dependent activation of the MAP3K apoptosis signal-regulating kinase 1 (ASK1). The latter is kept inactive in cells by binding to @GENE$ (Trx).</t>
  </si>
  <si>
    <t>Many of the triggers of apoptotic JNK signaling engage the @GENE$ pathway by TRAF2-dependent activation of the MAP3K apoptosis signal-regulating kinase 1 (ASK1). The latter is kept inactive in cells by binding to thioredoxin (@GENE$).</t>
  </si>
  <si>
    <t>Many of the triggers of apoptotic JNK signaling engage the JNK pathway by @GENE$-dependent activation of the @GENE$K apoptosis signal-regulating kinase 1 (ASK1). The latter is kept inactive in cells by binding to thioredoxin (Trx).</t>
  </si>
  <si>
    <t>TRAF2 activates the MAP3K ASK1 = stimulation</t>
  </si>
  <si>
    <t>Many of the triggers of apoptotic JNK signaling engage the JNK pathway by @GENE$-dependent activation of the MAP3K @GENE$ (ASK1). The latter is kept inactive in cells by binding to thioredoxin (Trx).</t>
  </si>
  <si>
    <t>Many of the triggers of apoptotic JNK signaling engage the JNK pathway by @GENE$-dependent activation of the MAP3K apoptosis signal-regulating kinase 1 (@GENE$). The latter is kept inactive in cells by binding to thioredoxin (Trx).</t>
  </si>
  <si>
    <t>Many of the triggers of apoptotic JNK signaling engage the JNK pathway by @GENE$-dependent activation of the MAP3K apoptosis signal-regulating kinase 1 (ASK1). The latter is kept inactive in cells by binding to @GENE$ (Trx).</t>
  </si>
  <si>
    <t>Many of the triggers of apoptotic JNK signaling engage the JNK pathway by @GENE$-dependent activation of the MAP3K apoptosis signal-regulating kinase 1 (ASK1). The latter is kept inactive in cells by binding to thioredoxin (@GENE$).</t>
  </si>
  <si>
    <t>Many of the triggers of apoptotic JNK signaling engage the JNK pathway by TRAF2-dependent activation of the @GENE$K @GENE$ (ASK1). The latter is kept inactive in cells by binding to thioredoxin (Trx).</t>
  </si>
  <si>
    <t>Many of the triggers of apoptotic JNK signaling engage the JNK pathway by TRAF2-dependent activation of the @GENE$K apoptosis signal-regulating kinase 1 (@GENE$). The latter is kept inactive in cells by binding to thioredoxin (Trx).</t>
  </si>
  <si>
    <t>Many of the triggers of apoptotic JNK signaling engage the JNK pathway by TRAF2-dependent activation of the @GENE$K apoptosis signal-regulating kinase 1 (ASK1). The latter is kept inactive in cells by binding to @GENE$ (Trx).</t>
  </si>
  <si>
    <t>Thioredoxin binds and inhibits the MAP3K ASK1 = protein-protein interaction, inhibition</t>
  </si>
  <si>
    <t>Many of the triggers of apoptotic JNK signaling engage the JNK pathway by TRAF2-dependent activation of the @GENE$K apoptosis signal-regulating kinase 1 (ASK1). The latter is kept inactive in cells by binding to thioredoxin (@GENE$).</t>
  </si>
  <si>
    <t>Many of the triggers of apoptotic JNK signaling engage the JNK pathway by TRAF2-dependent activation of the MAP3K @GENE$ (@GENE$). The latter is kept inactive in cells by binding to thioredoxin (Trx).</t>
  </si>
  <si>
    <t>Many of the triggers of apoptotic JNK signaling engage the JNK pathway by TRAF2-dependent activation of the MAP3K @GENE$ (ASK1). The latter is kept inactive in cells by binding to @GENE$ (Trx).</t>
  </si>
  <si>
    <t>(ASK1, binds to, Trx)</t>
  </si>
  <si>
    <t>Many of the triggers of apoptotic JNK signaling engage the JNK pathway by TRAF2-dependent activation of the MAP3K @GENE$ (ASK1). The latter is kept inactive in cells by binding to thioredoxin (@GENE$).</t>
  </si>
  <si>
    <t>Many of the triggers of apoptotic JNK signaling engage the JNK pathway by TRAF2-dependent activation of the MAP3K apoptosis signal-regulating kinase 1 (@GENE$). The latter is kept inactive in cells by binding to @GENE$ (Trx).</t>
  </si>
  <si>
    <t>Many of the triggers of apoptotic JNK signaling engage the JNK pathway by TRAF2-dependent activation of the MAP3K apoptosis signal-regulating kinase 1 (@GENE$). The latter is kept inactive in cells by binding to thioredoxin (@GENE$).</t>
  </si>
  <si>
    <t>Many of the triggers of apoptotic JNK signaling engage the JNK pathway by TRAF2-dependent activation of the MAP3K apoptosis signal-regulating kinase 1 (ASK1). The latter is kept inactive in cells by binding to @GENE$ (@GENE$).</t>
  </si>
  <si>
    <t>@CHEMICAL$ formation, e.g., in response to @GENE$, results in dissociation of the ASK1-Trx complex giving TRAF2 access to ASK1.</t>
  </si>
  <si>
    <t>ROS formation induced in response to TNF, i.e. TNF causes ROS formation = stimulation?</t>
  </si>
  <si>
    <t>@CHEMICAL$ formation, e.g., in response to TNF, results in dissociation of the @GENE$-Trx complex giving TRAF2 access to ASK1.</t>
  </si>
  <si>
    <t>@CHEMICAL$ formation, e.g., in response to TNF, results in dissociation of the ASK1-@GENE$ complex giving TRAF2 access to ASK1.</t>
  </si>
  <si>
    <t>@CHEMICAL$ formation, e.g., in response to TNF, results in dissociation of the ASK1-Trx complex giving @GENE$ access to ASK1.</t>
  </si>
  <si>
    <t>@CHEMICAL$ formation, e.g., in response to TNF, results in dissociation of the ASK1-Trx complex giving TRAF2 access to @GENE$.</t>
  </si>
  <si>
    <t>ROS formation, e.g., in response to @GENE$, results in dissociation of the @GENE$-Trx complex giving TRAF2 access to ASK1.</t>
  </si>
  <si>
    <t>ROS formation, e.g., in response to @GENE$, results in dissociation of the ASK1-@GENE$ complex giving TRAF2 access to ASK1.</t>
  </si>
  <si>
    <t>ROS formation, e.g., in response to @GENE$, results in dissociation of the ASK1-Trx complex giving @GENE$ access to ASK1.</t>
  </si>
  <si>
    <t>ROS formation, e.g., in response to @GENE$, results in dissociation of the ASK1-Trx complex giving TRAF2 access to @GENE$.</t>
  </si>
  <si>
    <t>ROS formation, e.g., in response to TNF, results in dissociation of the @GENE$-@GENE$ complex giving TRAF2 access to ASK1.</t>
  </si>
  <si>
    <r>
      <rPr>
        <rFont val="Arial"/>
        <color theme="1"/>
        <sz val="10.0"/>
      </rPr>
      <t xml:space="preserve">(ASK1, binds to, Trx) </t>
    </r>
    <r>
      <rPr>
        <rFont val="Arial"/>
        <color rgb="FF4A86E8"/>
        <sz val="10.0"/>
      </rPr>
      <t xml:space="preserve">Is this complex an instance of ligand-receptor binding? Complexes are context-dependent? </t>
    </r>
  </si>
  <si>
    <t>Trx binds to ASK1 to prevent TRAF2 access to ASK1 = protein-protein interaction, inhibition</t>
  </si>
  <si>
    <t>ROS formation, e.g., in response to TNF, results in dissociation of the @GENE$-Trx complex giving @GENE$ access to ASK1.</t>
  </si>
  <si>
    <t>Not clear that there is binding/interaction between these specific mentions of TRAF2 and ASK1?</t>
  </si>
  <si>
    <t>ROS formation, e.g., in response to TNF, results in dissociation of the @GENE$-Trx complex giving TRAF2 access to @GENE$.</t>
  </si>
  <si>
    <t>ROS formation, e.g., in response to TNF, results in dissociation of the ASK1-@GENE$ complex giving @GENE$ access to ASK1.</t>
  </si>
  <si>
    <t>Trx binds to ASK1 to prevent TRAF2 access to ASK1 = inhibition</t>
  </si>
  <si>
    <t>ROS formation, e.g., in response to TNF, results in dissociation of the ASK1-@GENE$ complex giving TRAF2 access to @GENE$.</t>
  </si>
  <si>
    <t>Not clear that there is binding/interaction between these specific mentions of Trx and ASK1?</t>
  </si>
  <si>
    <t>ROS formation, e.g., in response to TNF, results in dissociation of the ASK1-Trx complex giving @GENE$ access to @GENE$.</t>
  </si>
  <si>
    <t>(TRAF2, binds to, ASK1)</t>
  </si>
  <si>
    <t>Worth mentioning, @GENE$ has also been found to bind and stimulate the mammalian @GENE$ (MST1)</t>
  </si>
  <si>
    <t>(TRAF2, binds to, MST1)</t>
  </si>
  <si>
    <t>TRAF2 binds to and stimulates MST1 = protein-protein interaction, stimulation</t>
  </si>
  <si>
    <t>Worth mentioning, @GENE$ has also been found to bind and stimulate the mammalian ste20-like kinase 1 (@GENE$)</t>
  </si>
  <si>
    <t>Worth mentioning, TRAF2 has also been found to bind and stimulate the mammalian @GENE$ (@GENE$)</t>
  </si>
  <si>
    <t>@GENE$ and @GENE$ attenuate autophagy by binding and inhibition of Beclin-1, thereby hindering the latter to stimulate the ULK1 complex, which promotes autophagosome initiating vesicle nucleation.</t>
  </si>
  <si>
    <t>@GENE$ and Bcl-xL attenuate autophagy by binding and inhibition of @GENE$, thereby hindering the latter to stimulate the ULK1 complex, which promotes autophagosome initiating vesicle nucleation.</t>
  </si>
  <si>
    <t>(Bcl-2, binds to, Beclin-1)</t>
  </si>
  <si>
    <t>Bcl-2 binds to and inhibits Beclin-1 = protein-protein interaction, inhibition</t>
  </si>
  <si>
    <t>@GENE$ and Bcl-xL attenuate autophagy by binding and inhibition of Beclin-1, thereby hindering the latter to stimulate the @GENE$ complex, which promotes autophagosome initiating vesicle nucleation.</t>
  </si>
  <si>
    <t>Bcl-2 and @GENE$ attenuate autophagy by binding and inhibition of @GENE$, thereby hindering the latter to stimulate the ULK1 complex, which promotes autophagosome initiating vesicle nucleation.</t>
  </si>
  <si>
    <t>(Bcl-xL, binds to, Beclin-1)</t>
  </si>
  <si>
    <t>Bcl-xL binds to and inhibits Beclin-1 = protein-protein interaction, inhibition</t>
  </si>
  <si>
    <t>Bcl-2 and @GENE$ attenuate autophagy by binding and inhibition of Beclin-1, thereby hindering the latter to stimulate the @GENE$ complex, which promotes autophagosome initiating vesicle nucleation.</t>
  </si>
  <si>
    <t>Bcl-2 and Bcl-xL attenuate autophagy by binding and inhibition of @GENE$, thereby hindering the latter to stimulate the @GENE$ complex, which promotes autophagosome initiating vesicle nucleation.</t>
  </si>
  <si>
    <t>Beclin-1 stimulates ULK1 = stimulation</t>
  </si>
  <si>
    <t>Similarly, the anti-@DISEASE$ @CHEMICAL$ celastrol binds to Nur77, resulting in enhanced TRAF2-Nur77 interaction and eventually mitophagy</t>
  </si>
  <si>
    <t>Do we want "inflammatory" to be tagged as "@DISEASE$"?</t>
  </si>
  <si>
    <t>Similarly, the anti-@DISEASE$ triterpene @CHEMICAL$ binds to Nur77, resulting in enhanced TRAF2-Nur77 interaction and eventually mitophagy</t>
  </si>
  <si>
    <t>Similarly, the anti-@DISEASE$ triterpene celastrol binds to @GENE$, resulting in enhanced TRAF2-Nur77 interaction and eventually mitophagy</t>
  </si>
  <si>
    <t>Similarly, the anti-@DISEASE$ triterpene celastrol binds to Nur77, resulting in enhanced @GENE$-Nur77 interaction and eventually mitophagy</t>
  </si>
  <si>
    <t>Similarly, the anti-@DISEASE$ triterpene celastrol binds to Nur77, resulting in enhanced TRAF2-@GENE$ interaction and eventually mitophagy</t>
  </si>
  <si>
    <t>Similarly, the anti-inflammatory @CHEMICAL$ @CHEMICAL$ binds to Nur77, resulting in enhanced TRAF2-Nur77 interaction and eventually mitophagy</t>
  </si>
  <si>
    <t>Similarly, the anti-inflammatory @CHEMICAL$ celastrol binds to @GENE$, resulting in enhanced TRAF2-Nur77 interaction and eventually mitophagy</t>
  </si>
  <si>
    <r>
      <rPr>
        <rFont val="Arial"/>
        <color theme="1"/>
        <sz val="10.0"/>
      </rPr>
      <t xml:space="preserve">(Triterpene celastrol, binds to, Nur77) </t>
    </r>
    <r>
      <rPr>
        <rFont val="Arial"/>
        <color rgb="FF4A86E8"/>
        <sz val="10.0"/>
      </rPr>
      <t xml:space="preserve">Is labelling affected depending on whether triterpene celastrol is tagged  </t>
    </r>
  </si>
  <si>
    <t>Similarly, the anti-inflammatory @CHEMICAL$ celastrol binds to Nur77, resulting in enhanced @GENE$-Nur77 interaction and eventually mitophagy</t>
  </si>
  <si>
    <t>Similarly, the anti-inflammatory @CHEMICAL$ celastrol binds to Nur77, resulting in enhanced TRAF2-@GENE$ interaction and eventually mitophagy</t>
  </si>
  <si>
    <r>
      <rPr>
        <rFont val="Arial"/>
        <color theme="1"/>
        <sz val="10.0"/>
      </rPr>
      <t xml:space="preserve">Not clear that there is binding/interaction between these specific mentions of triterpene and Nur77? </t>
    </r>
    <r>
      <rPr>
        <rFont val="Arial"/>
        <color rgb="FF4A86E8"/>
        <sz val="10.0"/>
      </rPr>
      <t>Clause issue</t>
    </r>
  </si>
  <si>
    <t>Similarly, the anti-inflammatory triterpene @CHEMICAL$ binds to @GENE$, resulting in enhanced TRAF2-Nur77 interaction and eventually mitophagy</t>
  </si>
  <si>
    <t>Similarly, the anti-inflammatory triterpene @CHEMICAL$ binds to Nur77, resulting in enhanced @GENE$-Nur77 interaction and eventually mitophagy</t>
  </si>
  <si>
    <t>Similarly, the anti-inflammatory triterpene @CHEMICAL$ binds to Nur77, resulting in enhanced TRAF2-@GENE$ interaction and eventually mitophagy</t>
  </si>
  <si>
    <r>
      <rPr>
        <rFont val="Arial"/>
        <color theme="1"/>
        <sz val="10.0"/>
      </rPr>
      <t xml:space="preserve">Not clear that there is binding/interaction between these specific mentions of celastrol and Nur77? </t>
    </r>
    <r>
      <rPr>
        <rFont val="Arial"/>
        <color rgb="FF4A86E8"/>
        <sz val="10.0"/>
      </rPr>
      <t>Clause issue</t>
    </r>
  </si>
  <si>
    <t>Similarly, the anti-inflammatory triterpene celastrol binds to @GENE$, resulting in enhanced @GENE$-Nur77 interaction and eventually mitophagy</t>
  </si>
  <si>
    <r>
      <rPr>
        <rFont val="Arial"/>
        <color theme="1"/>
        <sz val="10.0"/>
      </rPr>
      <t xml:space="preserve">Not clear that there is binding/interaction between these specific mentions of celastrol and Nur77? </t>
    </r>
    <r>
      <rPr>
        <rFont val="Arial"/>
        <color rgb="FF4A86E8"/>
        <sz val="10.0"/>
      </rPr>
      <t>Clause issue</t>
    </r>
  </si>
  <si>
    <t>Similarly, the anti-inflammatory triterpene celastrol binds to @GENE$, resulting in enhanced TRAF2-@GENE$ interaction and eventually mitophagy</t>
  </si>
  <si>
    <t>Similarly, the anti-inflammatory triterpene celastrol binds to Nur77, resulting in enhanced @GENE$-@GENE$ interaction and eventually mitophagy</t>
  </si>
  <si>
    <t>Is it clear that TRF2 binds to Nur77? Complexes are context-specific</t>
  </si>
  <si>
    <t>More important, @GENE$ binds and stabilizes the @GENE$-TNIK-TCF4 complex thereby crucially contributing to TCF4 activation</t>
  </si>
  <si>
    <r>
      <rPr>
        <rFont val="Arial"/>
        <color theme="1"/>
        <sz val="10.0"/>
      </rPr>
      <t xml:space="preserve">(TRAF2, binds to, β-catenin-TNIK-TCF4 complex) </t>
    </r>
    <r>
      <rPr>
        <rFont val="Arial"/>
        <color rgb="FF4A86E8"/>
        <sz val="10.0"/>
      </rPr>
      <t xml:space="preserve">TRAF2 binds to complex so is it accurate to say that TRAF to binds each of the three components of the complex? The labeling in this statement implies (TRAF2, binds, b-catenin) </t>
    </r>
  </si>
  <si>
    <t>More important, @GENE$ binds and stabilizes the β-catenin-@GENE$-TCF4 complex thereby crucially contributing to TCF4 activation</t>
  </si>
  <si>
    <t xml:space="preserve">The labeling in this statement implies (TRAF2, binds, TNIK). Is this still accurate? </t>
  </si>
  <si>
    <t>More important, @GENE$ binds and stabilizes the β-catenin-TNIK-@GENE$ complex thereby crucially contributing to TCF4 activation</t>
  </si>
  <si>
    <t xml:space="preserve">The labeling in this statement implies (TRAF2, binds, TCF4). Is this still accurate? </t>
  </si>
  <si>
    <t>More important, @GENE$ binds and stabilizes the β-catenin-TNIK-TCF4 complex thereby crucially contributing to @GENE$ activation</t>
  </si>
  <si>
    <t>TRAF2 contributes to TCF4 activation = stimulation</t>
  </si>
  <si>
    <t>More important, TRAF2 binds and stabilizes the @GENE$-@GENE$-TCF4 complex thereby crucially contributing to TCF4 activation</t>
  </si>
  <si>
    <r>
      <rPr>
        <rFont val="Arial"/>
        <color theme="1"/>
        <sz val="10.0"/>
      </rPr>
      <t xml:space="preserve">Should be 2 - β-catenin/TNIK/TCF4 form a complex </t>
    </r>
    <r>
      <rPr>
        <rFont val="Arial"/>
        <color rgb="FF4A86E8"/>
        <sz val="10.0"/>
      </rPr>
      <t>Is this complex an instance of ligand-receptor binding?</t>
    </r>
  </si>
  <si>
    <t>More important, TRAF2 binds and stabilizes the @GENE$-TNIK-@GENE$ complex thereby crucially contributing to TCF4 activation</t>
  </si>
  <si>
    <t>Should be 2 - β-catenin/TNIK/TCF4 form a complex</t>
  </si>
  <si>
    <t>More important, TRAF2 binds and stabilizes the @GENE$-TNIK-TCF4 complex thereby crucially contributing to @GENE$ activation</t>
  </si>
  <si>
    <t>More important, TRAF2 binds and stabilizes the β-catenin-@GENE$-@GENE$ complex thereby crucially contributing to TCF4 activation</t>
  </si>
  <si>
    <t>More important, TRAF2 binds and stabilizes the β-catenin-@GENE$-TCF4 complex thereby crucially contributing to @GENE$ activation</t>
  </si>
  <si>
    <t>More important, TRAF2 binds and stabilizes the β-catenin-TNIK-@GENE$ complex thereby crucially contributing to @GENE$ activation</t>
  </si>
  <si>
    <t>Jia et al. reported recently that @GENE$ binds @GENE$ to ubiquitinate argininosuccinate synthase 1 marking this enzyme for degradation resulting in reduced arginine synthesis</t>
  </si>
  <si>
    <t>(TRAF2, binds to, LRPPRC)</t>
  </si>
  <si>
    <t>Jia et al. reported recently that @GENE$ binds LRPPRC to ubiquitinate @GENE$ marking this enzyme for degradation resulting in reduced arginine synthesis</t>
  </si>
  <si>
    <t>TRAF2 induces ubiquitination and degradation of argininosuccinate synthase 1 = inhibition?</t>
  </si>
  <si>
    <t>Jia et al. reported recently that TRAF2 binds @GENE$ to ubiquitinate @GENE$ marking this enzyme for degradation resulting in reduced arginine synthesis</t>
  </si>
  <si>
    <t>(LRPPRC, ubiquitinates, argininosuccinate synthase 1)</t>
  </si>
  <si>
    <t>Binding of @GENE$ to the 75 kDa @GENE$ is not sufﬁcient to attain cytotoxicity (Thoma et al., 1990),but rather binding to the 55 kDa TNFR-1 is sufﬁcient to attain TNFα mediated cell killing (Van Ostade et al.,1993).</t>
  </si>
  <si>
    <t>(TNFα, binds to, TNFR-2)</t>
  </si>
  <si>
    <t>Binding of @GENE$ to the 75 kDa TNFR-2 is not sufﬁcient to attain @DISEASE$ (Thoma et al., 1990),but rather binding to the 55 kDa TNFR-1 is sufﬁcient to attain TNFα mediated cell killing (Van Ostade et al.,1993).</t>
  </si>
  <si>
    <t>Do we want "cytotoxicity" to be tagged as "@DISEASE$"?</t>
  </si>
  <si>
    <t>Binding of @GENE$ to the 75 kDa TNFR-2 is not sufﬁcient to attain cytotoxicity (Thoma et al., 1990),but rather binding to the 55 kDa @GENE$ is sufﬁcient to attain TNFα mediated cell killing (Van Ostade et al.,1993).</t>
  </si>
  <si>
    <t>(TNFα, binds to, TNFR-1)</t>
  </si>
  <si>
    <t>Binding of @GENE$ to the 75 kDa TNFR-2 is not sufﬁcient to attain cytotoxicity (Thoma et al., 1990),but rather binding to the 55 kDa TNFR-1 is sufﬁcient to attain @GENE$ mediated cell killing (Van Ostade et al.,1993).</t>
  </si>
  <si>
    <t>Binding of TNFα to the 75 kDa @GENE$ is not sufﬁcient to attain @DISEASE$ (Thoma et al., 1990),but rather binding to the 55 kDa TNFR-1 is sufﬁcient to attain TNFα mediated cell killing (Van Ostade et al.,1993).</t>
  </si>
  <si>
    <t>Binding of TNFα to the 75 kDa @GENE$ is not sufﬁcient to attain cytotoxicity (Thoma et al., 1990),but rather binding to the 55 kDa @GENE$ is sufﬁcient to attain TNFα mediated cell killing (Van Ostade et al.,1993).</t>
  </si>
  <si>
    <t>Binding of TNFα to the 75 kDa @GENE$ is not sufﬁcient to attain cytotoxicity (Thoma et al., 1990),but rather binding to the 55 kDa TNFR-1 is sufﬁcient to attain @GENE$ mediated cell killing (Van Ostade et al.,1993).</t>
  </si>
  <si>
    <r>
      <rPr>
        <rFont val="Arial"/>
        <color theme="1"/>
        <sz val="10.0"/>
      </rPr>
      <t xml:space="preserve">Not clear that there is binding/interaction between these specific mentions of TNFR-2 and TNFa? </t>
    </r>
    <r>
      <rPr>
        <rFont val="Arial"/>
        <color rgb="FF4A86E8"/>
        <sz val="10.0"/>
      </rPr>
      <t>Clause issue</t>
    </r>
  </si>
  <si>
    <t>Binding of TNFα to the 75 kDa TNFR-2 is not sufﬁcient to attain @DISEASE$ (Thoma et al., 1990),but rather binding to the 55 kDa @GENE$ is sufﬁcient to attain TNFα mediated cell killing (Van Ostade et al.,1993).</t>
  </si>
  <si>
    <t>Binding of TNFα to the 75 kDa TNFR-2 is not sufﬁcient to attain @DISEASE$ (Thoma et al., 1990),but rather binding to the 55 kDa TNFR-1 is sufﬁcient to attain @GENE$ mediated cell killing (Van Ostade et al.,1993).</t>
  </si>
  <si>
    <t>Binding of TNFα to the 75 kDa TNFR-2 is not sufﬁcient to attain cytotoxicity (Thoma et al., 1990),but rather binding to the 55 kDa @GENE$ is sufﬁcient to attain @GENE$ mediated cell killing (Van Ostade et al.,1993).</t>
  </si>
  <si>
    <t>@GENE$ (@GENE$, DcR2, and DcR3) sequester Trail (DcR1 and DCR2) and Fas (DcR3) ligands, thereby preventing apoptosis (Ashkenazi and Dixit,1999).</t>
  </si>
  <si>
    <t>@GENE$ (DcR1, @GENE$, and DcR3) sequester Trail (DcR1 and DCR2) and Fas (DcR3) ligands, thereby preventing apoptosis (Ashkenazi and Dixit,1999).</t>
  </si>
  <si>
    <t>@GENE$ (DcR1, DcR2, and @GENE$) sequester Trail (DcR1 and DCR2) and Fas (DcR3) ligands, thereby preventing apoptosis (Ashkenazi and Dixit,1999).</t>
  </si>
  <si>
    <t>@GENE$ (DcR1, DcR2, and DcR3) sequester @GENE$ (DcR1 and DCR2) and Fas (DcR3) ligands, thereby preventing apoptosis (Ashkenazi and Dixit,1999).</t>
  </si>
  <si>
    <t>@GENE$ (DcR1, DcR2, and DcR3) sequester Trail (@GENE$ and DCR2) and Fas (DcR3) ligands, thereby preventing apoptosis (Ashkenazi and Dixit,1999).</t>
  </si>
  <si>
    <t>Should be 0 - DcR1 and DcR2 are the decoy receptors binding Trail; DcR3 is the decoy receptor binding Fas</t>
  </si>
  <si>
    <t>@GENE$ (DcR1, DcR2, and DcR3) sequester Trail (DcR1 and @GENE$) and Fas (DcR3) ligands, thereby preventing apoptosis (Ashkenazi and Dixit,1999).</t>
  </si>
  <si>
    <t>@GENE$ (DcR1, DcR2, and DcR3) sequester Trail (DcR1 and DCR2) and @GENE$ (DcR3) ligands, thereby preventing apoptosis (Ashkenazi and Dixit,1999).</t>
  </si>
  <si>
    <t>@GENE$ (DcR1, DcR2, and DcR3) sequester Trail (DcR1 and DCR2) and Fas (@GENE$) ligands, thereby preventing apoptosis (Ashkenazi and Dixit,1999).</t>
  </si>
  <si>
    <t>Decoy receptors (@GENE$, @GENE$, and DcR3) sequester Trail (DcR1 and DCR2) and Fas (DcR3) ligands, thereby preventing apoptosis (Ashkenazi and Dixit,1999).</t>
  </si>
  <si>
    <t>Decoy receptors (@GENE$, DcR2, and @GENE$) sequester Trail (DcR1 and DCR2) and Fas (DcR3) ligands, thereby preventing apoptosis (Ashkenazi and Dixit,1999).</t>
  </si>
  <si>
    <t>Decoy receptors (@GENE$, DcR2, and DcR3) sequester @GENE$ (DcR1 and DCR2) and Fas (DcR3) ligands, thereby preventing apoptosis (Ashkenazi and Dixit,1999).</t>
  </si>
  <si>
    <t>Not sure if this is the best entity pair to show binding/interaction between DcR1/DcR2 and Trail, but it can still be understood with this pair</t>
  </si>
  <si>
    <t>Decoy receptors (@GENE$, DcR2, and DcR3) sequester Trail (@GENE$ and DCR2) and Fas (DcR3) ligands, thereby preventing apoptosis (Ashkenazi and Dixit,1999).</t>
  </si>
  <si>
    <t>Should be 0 - DcR1 and DcR2 are the decoy receptors binding Trail; DcR3 is the decoy receptor binding Fas. DcR1/2/3 do not bind each other.</t>
  </si>
  <si>
    <t>Decoy receptors (@GENE$, DcR2, and DcR3) sequester Trail (DcR1 and @GENE$) and Fas (DcR3) ligands, thereby preventing apoptosis (Ashkenazi and Dixit,1999).</t>
  </si>
  <si>
    <t>Decoy receptors (@GENE$, DcR2, and DcR3) sequester Trail (DcR1 and DCR2) and @GENE$ (DcR3) ligands, thereby preventing apoptosis (Ashkenazi and Dixit,1999).</t>
  </si>
  <si>
    <t>Decoy receptors (@GENE$, DcR2, and DcR3) sequester Trail (DcR1 and DCR2) and Fas (@GENE$) ligands, thereby preventing apoptosis (Ashkenazi and Dixit,1999).</t>
  </si>
  <si>
    <t>Decoy receptors (DcR1, @GENE$, and @GENE$) sequester Trail (DcR1 and DCR2) and Fas (DcR3) ligands, thereby preventing apoptosis (Ashkenazi and Dixit,1999).</t>
  </si>
  <si>
    <t>Decoy receptors (DcR1, @GENE$, and DcR3) sequester @GENE$ (DcR1 and DCR2) and Fas (DcR3) ligands, thereby preventing apoptosis (Ashkenazi and Dixit,1999).</t>
  </si>
  <si>
    <t>Decoy receptors (DcR1, @GENE$, and DcR3) sequester Trail (@GENE$ and DCR2) and Fas (DcR3) ligands, thereby preventing apoptosis (Ashkenazi and Dixit,1999).</t>
  </si>
  <si>
    <t>Decoy receptors (DcR1, @GENE$, and DcR3) sequester Trail (DcR1 and @GENE$) and Fas (DcR3) ligands, thereby preventing apoptosis (Ashkenazi and Dixit,1999).</t>
  </si>
  <si>
    <t>Decoy receptors (DcR1, @GENE$, and DcR3) sequester Trail (DcR1 and DCR2) and @GENE$ (DcR3) ligands, thereby preventing apoptosis (Ashkenazi and Dixit,1999).</t>
  </si>
  <si>
    <t>Decoy receptors (DcR1, @GENE$, and DcR3) sequester Trail (DcR1 and DCR2) and Fas (@GENE$) ligands, thereby preventing apoptosis (Ashkenazi and Dixit,1999).</t>
  </si>
  <si>
    <t>Decoy receptors (DcR1, DcR2, and @GENE$) sequester @GENE$ (DcR1 and DCR2) and Fas (DcR3) ligands, thereby preventing apoptosis (Ashkenazi and Dixit,1999).</t>
  </si>
  <si>
    <t>Decoy receptors (DcR1, DcR2, and @GENE$) sequester Trail (@GENE$ and DCR2) and Fas (DcR3) ligands, thereby preventing apoptosis (Ashkenazi and Dixit,1999).</t>
  </si>
  <si>
    <t>Decoy receptors (DcR1, DcR2, and @GENE$) sequester Trail (DcR1 and @GENE$) and Fas (DcR3) ligands, thereby preventing apoptosis (Ashkenazi and Dixit,1999).</t>
  </si>
  <si>
    <t>Decoy receptors (DcR1, DcR2, and @GENE$) sequester Trail (DcR1 and DCR2) and @GENE$ (DcR3) ligands, thereby preventing apoptosis (Ashkenazi and Dixit,1999).</t>
  </si>
  <si>
    <t>Decoy receptors (DcR1, DcR2, and @GENE$) sequester Trail (DcR1 and DCR2) and Fas (@GENE$) ligands, thereby preventing apoptosis (Ashkenazi and Dixit,1999).</t>
  </si>
  <si>
    <t>Decoy receptors (DcR1, DcR2, and DcR3) sequester @GENE$ (@GENE$ and DCR2) and Fas (DcR3) ligands, thereby preventing apoptosis (Ashkenazi and Dixit,1999).</t>
  </si>
  <si>
    <t>Should be 2 - DcR1 and DcR2 are the decoy receptors binding Trail</t>
  </si>
  <si>
    <t>Decoy receptors (DcR1, DcR2, and DcR3) sequester @GENE$ (DcR1 and @GENE$) and Fas (DcR3) ligands, thereby preventing apoptosis (Ashkenazi and Dixit,1999).</t>
  </si>
  <si>
    <t>Decoy receptors (DcR1, DcR2, and DcR3) sequester @GENE$ (DcR1 and DCR2) and @GENE$ (DcR3) ligands, thereby preventing apoptosis (Ashkenazi and Dixit,1999).</t>
  </si>
  <si>
    <t>Decoy receptors (DcR1, DcR2, and DcR3) sequester @GENE$ (DcR1 and DCR2) and Fas (@GENE$) ligands, thereby preventing apoptosis (Ashkenazi and Dixit,1999).</t>
  </si>
  <si>
    <t>Decoy receptors (DcR1, DcR2, and DcR3) sequester Trail (@GENE$ and @GENE$) and Fas (DcR3) ligands, thereby preventing apoptosis (Ashkenazi and Dixit,1999).</t>
  </si>
  <si>
    <t>Decoy receptors (DcR1, DcR2, and DcR3) sequester Trail (@GENE$ and DCR2) and @GENE$ (DcR3) ligands, thereby preventing apoptosis (Ashkenazi and Dixit,1999).</t>
  </si>
  <si>
    <t>Decoy receptors (DcR1, DcR2, and DcR3) sequester Trail (@GENE$ and DCR2) and Fas (@GENE$) ligands, thereby preventing apoptosis (Ashkenazi and Dixit,1999).</t>
  </si>
  <si>
    <t>Decoy receptors (DcR1, DcR2, and DcR3) sequester Trail (DcR1 and @GENE$) and @GENE$ (DcR3) ligands, thereby preventing apoptosis (Ashkenazi and Dixit,1999).</t>
  </si>
  <si>
    <t>Decoy receptors (DcR1, DcR2, and DcR3) sequester Trail (DcR1 and @GENE$) and Fas (@GENE$) ligands, thereby preventing apoptosis (Ashkenazi and Dixit,1999).</t>
  </si>
  <si>
    <t>Decoy receptors (DcR1, DcR2, and DcR3) sequester Trail (DcR1 and DCR2) and @GENE$ (@GENE$) ligands, thereby preventing apoptosis (Ashkenazi and Dixit,1999).</t>
  </si>
  <si>
    <t>Should be 2 - DcR3 is the decoy receptor binding Fas</t>
  </si>
  <si>
    <t>The differences were par-ticularly marked for @GENE$, which binds to @GENE$ and does not bind to TNFR-1 or TNFR-2.</t>
  </si>
  <si>
    <t>(CD40L, binds to, CD40)</t>
  </si>
  <si>
    <t>The differences were par-ticularly marked for @GENE$, which binds to CD40 and does not bind to @GENE$ or TNFR-2.</t>
  </si>
  <si>
    <t>The differences were par-ticularly marked for @GENE$, which binds to CD40 and does not bind to TNFR-1 or @GENE$.</t>
  </si>
  <si>
    <t>The differences were par-ticularly marked for CD40L, which binds to @GENE$ and does not bind to @GENE$ or TNFR-2.</t>
  </si>
  <si>
    <t>The differences were par-ticularly marked for CD40L, which binds to @GENE$ and does not bind to TNFR-1 or @GENE$.</t>
  </si>
  <si>
    <t>The differences were par-ticularly marked for CD40L, which binds to CD40 and does not bind to @GENE$ or @GENE$.</t>
  </si>
  <si>
    <t>Model complexes of @GENE$ with receptors @GENE$ and TNFR-2 suggest that Arg31 of TNFα forms an ionic interaction with a Glu residue in both receptors.</t>
  </si>
  <si>
    <t>(Arg31 of TNFα, binds to, Glu of TNFR-1)</t>
  </si>
  <si>
    <t>Model complexes of @GENE$ with receptors TNFR-1 and @GENE$ suggest that Arg31 of TNFα forms an ionic interaction with a Glu residue in both receptors.</t>
  </si>
  <si>
    <t>(Arg31 of TNFα, binds to, Glu of TNFR-2)</t>
  </si>
  <si>
    <t>Model complexes of @GENE$ with receptors TNFR-1 and TNFR-2 suggest that Arg31 of @GENE$ forms an ionic interaction with a Glu residue in both receptors.</t>
  </si>
  <si>
    <t>Model complexes of TNFα with receptors @GENE$ and @GENE$ suggest that Arg31 of TNFα forms an ionic interaction with a Glu residue in both receptors.</t>
  </si>
  <si>
    <t>Model complexes of TNFα with receptors @GENE$ and TNFR-2 suggest that Arg31 of @GENE$ forms an ionic interaction with a Glu residue in both receptors.</t>
  </si>
  <si>
    <t>Model complexes of TNFα with receptors TNFR-1 and @GENE$ suggest that Arg31 of @GENE$ forms an ionic interaction with a Glu residue in both receptors.</t>
  </si>
  <si>
    <t>The complex between @GENE$ and the extracellular domain of @GENE$ was the ﬁrst view of the receptor</t>
  </si>
  <si>
    <t>(TNFβ, binds to, TNFR-1)
Should be 2</t>
  </si>
  <si>
    <t>Most recently the structure of extracellular fragment of @GENE$ (residues 58 –184 or 1–130) complexed with its @GENE$/Ap02L ligand (residues 91–281 or 114 –281) emerged from two different groups</t>
  </si>
  <si>
    <t>(TRAIL, binds to, DR5)</t>
  </si>
  <si>
    <t>Most recently the structure of extracellular fragment of @GENE$ (residues 58 –184 or 1–130) complexed with its TRAIL/@GENE$ ligand (residues 91–281 or 114 –281) emerged from two different groups</t>
  </si>
  <si>
    <t>(Ap02L, binds to, DR5)</t>
  </si>
  <si>
    <t>Most recently the structure of extracellular fragment of DR5 (residues 58 –184 or 1–130) complexed with its @GENE$/@GENE$ ligand (residues 91–281 or 114 –281) emerged from two different groups</t>
  </si>
  <si>
    <t>@GENE$ (@GENE$) binds to the cytoplasmic domain of TNF receptors such as TNFR-1 and CD40 and medi-ates signal transduction</t>
  </si>
  <si>
    <t>@GENE$ (TNFR associated factor 2) binds to the cytoplasmic domain of @GENE$ such as TNFR-1 and CD40 and medi-ates signal transduction</t>
  </si>
  <si>
    <t xml:space="preserve">"TNF receptors" too general? </t>
  </si>
  <si>
    <t>@GENE$ (TNFR associated factor 2) binds to the cytoplasmic domain of TNF receptors such as @GENE$ and CD40 and medi-ates signal transduction</t>
  </si>
  <si>
    <t>(RAF2, binds to, TNFR-1)</t>
  </si>
  <si>
    <t>@GENE$ (TNFR associated factor 2) binds to the cytoplasmic domain of TNF receptors such as TNFR-1 and @GENE$ and medi-ates signal transduction</t>
  </si>
  <si>
    <t>(RAF2, binds to, CD40)</t>
  </si>
  <si>
    <t>@GENE$ (TNFR associated factor 2) binds to the cytoplasmic domain of TNF receptors such as TNFR-1 and CD40 and @CHEMICAL$-ates signal transduction</t>
  </si>
  <si>
    <t>Should not be tagged as @CHEMICAL$</t>
  </si>
  <si>
    <t>RAF2 (@GENE$) binds to the cytoplasmic domain of @GENE$ such as TNFR-1 and CD40 and medi-ates signal transduction</t>
  </si>
  <si>
    <t>RAF2 (@GENE$) binds to the cytoplasmic domain of TNF receptors such as @GENE$ and CD40 and medi-ates signal transduction</t>
  </si>
  <si>
    <t>RAF2 (@GENE$) binds to the cytoplasmic domain of TNF receptors such as TNFR-1 and @GENE$ and medi-ates signal transduction</t>
  </si>
  <si>
    <t>RAF2 (@GENE$) binds to the cytoplasmic domain of TNF receptors such as TNFR-1 and CD40 and @CHEMICAL$-ates signal transduction</t>
  </si>
  <si>
    <t>RAF2 (TNFR associated factor 2) binds to the cytoplasmic domain of @GENE$ such as @GENE$ and CD40 and medi-ates signal transduction</t>
  </si>
  <si>
    <t>RAF2 (TNFR associated factor 2) binds to the cytoplasmic domain of @GENE$ such as TNFR-1 and @GENE$ and medi-ates signal transduction</t>
  </si>
  <si>
    <t>RAF2 (TNFR associated factor 2) binds to the cytoplasmic domain of @GENE$ such as TNFR-1 and CD40 and @CHEMICAL$-ates signal transduction</t>
  </si>
  <si>
    <t>RAF2 (TNFR associated factor 2) binds to the cytoplasmic domain of TNF receptors such as @GENE$ and @GENE$ and medi-ates signal transduction</t>
  </si>
  <si>
    <t>RAF2 (TNFR associated factor 2) binds to the cytoplasmic domain of TNF receptors such as @GENE$ and CD40 and @CHEMICAL$-ates signal transduction</t>
  </si>
  <si>
    <t>RAF2 (TNFR associated factor 2) binds to the cytoplasmic domain of TNF receptors such as TNFR-1 and @GENE$ and @CHEMICAL$-ates signal transduction</t>
  </si>
  <si>
    <t>@GENE$ is the sole @GENE$ for the ligand RANKL (also known asTRANCE/ODF) and its activation is important for dif-ferentiation and activation of osteoclasts, which arenecessary for bone resorption and remodelling</t>
  </si>
  <si>
    <t>"signalling receptor" should not be tagged as @GENE$ - too generic</t>
  </si>
  <si>
    <t>@GENE$ is the sole sig-nalling receptor for the ligand @GENE$ (also known asTRANCE/ODF) and its activation is important for dif-ferentiation and activation of osteoclasts, which arenecessary for bone resorption and remodelling</t>
  </si>
  <si>
    <t>(RANKL, binds to, RANK)</t>
  </si>
  <si>
    <t>@GENE$ is the sole sig-nalling receptor for the ligand RANKL (also known @GENE$/ODF) and its activation is important for dif-ferentiation and activation of osteoclasts, which arenecessary for bone resorption and remodelling</t>
  </si>
  <si>
    <t>"TRANCE" should be tagged as @GENE$, not "asTRANCE"</t>
  </si>
  <si>
    <t>@GENE$ is the sole sig-nalling receptor for the ligand RANKL (also known asTRANCE/@GENE$) and its activation is important for dif-ferentiation and activation of osteoclasts, which arenecessary for bone resorption and remodelling</t>
  </si>
  <si>
    <t>RANK is the sole @GENE$ for the ligand @GENE$ (also known asTRANCE/ODF) and its activation is important for dif-ferentiation and activation of osteoclasts, which arenecessary for bone resorption and remodelling</t>
  </si>
  <si>
    <t>Consider that "signalling receptor" is too generic a term to be biologically meaningful if we label this as an interaction…</t>
  </si>
  <si>
    <t>RANK is the sole @GENE$ for the ligand RANKL (also known @GENE$/ODF) and its activation is important for dif-ferentiation and activation of osteoclasts, which arenecessary for bone resorption and remodelling</t>
  </si>
  <si>
    <t>RANK is the sole @GENE$ for the ligand RANKL (also known asTRANCE/@GENE$) and its activation is important for dif-ferentiation and activation of osteoclasts, which arenecessary for bone resorption and remodelling</t>
  </si>
  <si>
    <t>RANK is the sole sig-nalling receptor for the ligand @GENE$ (also known @GENE$/ODF) and its activation is important for dif-ferentiation and activation of osteoclasts, which arenecessary for bone resorption and remodelling</t>
  </si>
  <si>
    <t>RANK is the sole sig-nalling receptor for the ligand @GENE$ (also known asTRANCE/@GENE$) and its activation is important for dif-ferentiation and activation of osteoclasts, which arenecessary for bone resorption and remodelling</t>
  </si>
  <si>
    <t>RANK is the sole sig-nalling receptor for the ligand RANKL (also known @GENE$/@GENE$) and its activation is important for dif-ferentiation and activation of osteoclasts, which arenecessary for bone resorption and remodelling</t>
  </si>
  <si>
    <t>Predicted tertiary and quaternary structures of a chimeric @GENE$ inhibitor molecule generated by linking the extracellular domainof @GENE$ to domains CH2, CH3, and CH4 of an IgG Heavy Chain.</t>
  </si>
  <si>
    <t>(IgG, binds to, TNFR-1)</t>
  </si>
  <si>
    <t>Predicted tertiary and quaternary structures of a chimeric @GENE$ inhibitor molecule generated by linking the extracellular domainof TNFR-1 to domains CH2, CH3, and CH4 of an @GENE$ Heavy Chain.</t>
  </si>
  <si>
    <t>Predicted tertiary and quaternary structures of a chimeric TNF inhibitor molecule generated by linking the extracellular domainof @GENE$ to domains CH2, CH3, and CH4 of an @GENE$ Heavy Chain.</t>
  </si>
  <si>
    <t>Should be 0 - this molecule was generated artificially via linkage of IgG to TNFR-1, i.e. this linkage may not happen naturally</t>
  </si>
  <si>
    <t>The enzyme @GENE$ binds @CHEMICAL$ and ATP so as to catalyze a reaction between them, actin molecules bind to each other to assemble into actin filaments</t>
  </si>
  <si>
    <t>(Hexokinase, catalyses, glucose and ATP binding)
Should be 2 - hexokinase binds glucose and ATP</t>
  </si>
  <si>
    <t>The enzyme @GENE$ binds glucose and @CHEMICAL$ so as to catalyze a reaction between them, actin molecules bind to each other to assemble into actin filaments</t>
  </si>
  <si>
    <t>Should be 2 - hexokinase binds glucose and ATP</t>
  </si>
  <si>
    <t>The enzyme @GENE$ binds glucose and ATP so as to catalyze a reaction between them, @GENE$ molecules bind to each other to assemble into actin filaments</t>
  </si>
  <si>
    <t>The enzyme hexokinase binds @CHEMICAL$ and @CHEMICAL$ so as to catalyze a reaction between them, actin molecules bind to each other to assemble into actin filaments</t>
  </si>
  <si>
    <t>(Glucose, binds to, ATP)</t>
  </si>
  <si>
    <t>Ligand-receptor binding, now classified as interaction (chemical-chemical)</t>
  </si>
  <si>
    <t>The enzyme hexokinase binds @CHEMICAL$ and ATP so as to catalyze a reaction between them, @GENE$ molecules bind to each other to assemble into actin filaments</t>
  </si>
  <si>
    <t>(Actin molecule, binds to, Actin molecule)</t>
  </si>
  <si>
    <r>
      <rPr>
        <rFont val="Arial"/>
        <b/>
        <color rgb="FFCC0000"/>
        <sz val="10.0"/>
      </rPr>
      <t xml:space="preserve">Ideally we should be able to capture self-self binding as well, e.g. to capture actin-actin binding. </t>
    </r>
    <r>
      <rPr>
        <rFont val="Arial"/>
        <b/>
        <color rgb="FF4A86E8"/>
        <sz val="10.0"/>
      </rPr>
      <t xml:space="preserve">The second instace of "actin" in "actin filaments" is not tagged. </t>
    </r>
  </si>
  <si>
    <t>The enzyme hexokinase binds glucose and @CHEMICAL$ so as to catalyze a reaction between them, @GENE$ molecules bind to each other to assemble into actin filaments</t>
  </si>
  <si>
    <t xml:space="preserve">The second instace of "actin" in "actin filaments" is not tagged. </t>
  </si>
  <si>
    <t>When both α subunits bind @CHEMICAL$, the channel undergoes a conformational change that opens the gate by an outward rotation.</t>
  </si>
  <si>
    <t>Would have been 2 if the protein identity (instead of just "α subunits") was clear from surrounding text</t>
  </si>
  <si>
    <t>Resident ER membrane proteins, for example, contain signals that bind directly to @GENE$ coats ...Most membrane proteins that function at the interface between the ER and Golgi apparatus, including @GENE$ and some cargo receptors, use this retrieval pathway</t>
  </si>
  <si>
    <t>(v- and t-SNARE, binds to, COPI coats)</t>
  </si>
  <si>
    <t>Soluble ER resident proteins must bind to specialized receptor proteins such as the @GENE$</t>
  </si>
  <si>
    <t>the @GENE$ diffuses until an endocytosis signal in its cytoplasmic tail binds the adaptor protein @GENE$ after AP2’s conformation has been locally unlocked by binding to PI(4,5)P2 on the plasma membrane.</t>
  </si>
  <si>
    <t>(AP2, binds to, LDL receptor)</t>
  </si>
  <si>
    <t>the @GENE$ diffuses until an endocytosis signal in its cytoplasmic tail binds the adaptor protein AP2 after @GENE$’s conformation has been locally unlocked by binding to PI(4,5)P2 on the plasma membrane.</t>
  </si>
  <si>
    <r>
      <rPr>
        <rFont val="Arial"/>
        <color theme="1"/>
        <sz val="10.0"/>
      </rPr>
      <t xml:space="preserve">Not as clear that there is binding/interaction between these specific mentions of AP2 and LDLR? </t>
    </r>
    <r>
      <rPr>
        <rFont val="Arial"/>
        <color rgb="FF4A86E8"/>
        <sz val="10.0"/>
      </rPr>
      <t>Clause issue</t>
    </r>
  </si>
  <si>
    <t>the @GENE$ diffuses until an endocytosis signal in its cytoplasmic tail binds the adaptor protein AP2 after AP2’s conformation has been locally unlocked by binding to @CHEMICAL$ on the plasma membrane.</t>
  </si>
  <si>
    <t>the LDL receptor diffuses until an endocytosis signal in its cytoplasmic tail binds the adaptor protein @GENE$ after @GENE$’s conformation has been locally unlocked by binding to PI(4,5)P2 on the plasma membrane.</t>
  </si>
  <si>
    <t>the LDL receptor diffuses until an endocytosis signal in its cytoplasmic tail binds the adaptor protein @GENE$ after AP2’s conformation has been locally unlocked by binding to @CHEMICAL$ on the plasma membrane.</t>
  </si>
  <si>
    <r>
      <rPr>
        <rFont val="Arial"/>
        <color theme="1"/>
        <sz val="10.0"/>
      </rPr>
      <t xml:space="preserve">Not as clear that there is binding/interaction between these specific mentions of AP2 and PIP2? </t>
    </r>
    <r>
      <rPr>
        <rFont val="Arial"/>
        <color rgb="FF4A86E8"/>
        <sz val="10.0"/>
      </rPr>
      <t>Clause issue</t>
    </r>
  </si>
  <si>
    <t>the LDL receptor diffuses until an endocytosis signal in its cytoplasmic tail binds the adaptor protein AP2 after @GENE$’s conformation has been locally unlocked by binding to @CHEMICAL$ on the plasma membrane.</t>
  </si>
  <si>
    <t>(AP2, binds to, PI(4,5)P2)</t>
  </si>
  <si>
    <t>Cell-surface @GENE$ deliver @GENE$ with its bound iron to early endosomes by receptor-mediated endocytosis.</t>
  </si>
  <si>
    <t>(Transferrin, binds to, transferrin receptors)</t>
  </si>
  <si>
    <t>Cell-surface @GENE$ deliver transferrin with its bound @CHEMICAL$ to early endosomes by receptor-mediated endocytosis.</t>
  </si>
  <si>
    <t>Cell-surface transferrin receptors deliver @GENE$ with its bound @CHEMICAL$ to early endosomes by receptor-mediated endocytosis.</t>
  </si>
  <si>
    <t>(Iron, binds to, transferrin)</t>
  </si>
  <si>
    <t>@GENE$ binds to specific phosphorylated tyrosines on the activated receptor and is then phosphorylated at multiple sites</t>
  </si>
  <si>
    <t>@GENE$ (@GENE$) to bind to its specific RTK (called TrkA) at the end of a long nerve cell axon and signal to the cell body of the same cell a long distance away.</t>
  </si>
  <si>
    <t>@GENE$ (NGF) to bind to its specific @GENE$ (called TrkA) at the end of a long nerve cell axon and signal to the cell body of the same cell a long distance away.</t>
  </si>
  <si>
    <t>Consider that "RTK" is too generic a term to be biologically meaningful if we label this as an interaction</t>
  </si>
  <si>
    <t>@GENE$ (NGF) to bind to its specific RTK (called @GENE$) at the end of a long nerve cell axon and signal to the cell body of the same cell a long distance away.</t>
  </si>
  <si>
    <t>(NGF, binds to, TrkA)</t>
  </si>
  <si>
    <t>Nerve growth factor (@GENE$) to bind to its specific @GENE$ (called TrkA) at the end of a long nerve cell axon and signal to the cell body of the same cell a long distance away.</t>
  </si>
  <si>
    <t>Nerve growth factor (@GENE$) to bind to its specific RTK (called @GENE$) at the end of a long nerve cell axon and signal to the cell body of the same cell a long distance away.</t>
  </si>
  <si>
    <t>Nerve growth factor (NGF) to bind to its specific @GENE$ (called @GENE$) at the end of a long nerve cell axon and signal to the cell body of the same cell a long distance away.</t>
  </si>
  <si>
    <t>The @GENE$ produces @CHEMICAL$, which serves as a docking site for two serine/threonine kinases with PH domains—Akt and the phosphoinositide-dependent kinase PDK1—and brings them into proximity at the plasma membrane.</t>
  </si>
  <si>
    <t>PI3K produces PIP3 = stimulation? positive correlation?</t>
  </si>
  <si>
    <t>The @GENE$ produces PI(3,4,5)P3, which serves as a docking site for two @GENE$ with PH domains—Akt and the phosphoinositide-dependent kinase PDK1—and brings them into proximity at the plasma membrane.</t>
  </si>
  <si>
    <t>The @GENE$ produces PI(3,4,5)P3, which serves as a docking site for two serine/threonine kinases with PH domains—@GENE$ and the phosphoinositide-dependent kinase PDK1—and brings them into proximity at the plasma membrane.</t>
  </si>
  <si>
    <t>The @GENE$ produces PI(3,4,5)P3, which serves as a docking site for two serine/threonine kinases with PH domains—Akt and the @GENE$ PDK1—and brings them into proximity at the plasma membrane.</t>
  </si>
  <si>
    <t>The @GENE$ produces PI(3,4,5)P3, which serves as a docking site for two serine/threonine kinases with PH domains—Akt and the phosphoinositide-dependent kinase @GENE$—and brings them into proximity at the plasma membrane.</t>
  </si>
  <si>
    <t>The PI 3-kinase produces @CHEMICAL$, which serves as a docking site for two @GENE$ with PH domains—Akt and the phosphoinositide-dependent kinase PDK1—and brings them into proximity at the plasma membrane.</t>
  </si>
  <si>
    <t>Consider that "serine/threonine kinase" is too generic a term to be biologically meaningful if we label this as an interaction</t>
  </si>
  <si>
    <t>The PI 3-kinase produces @CHEMICAL$, which serves as a docking site for two serine/threonine kinases with PH domains—@GENE$ and the phosphoinositide-dependent kinase PDK1—and brings them into proximity at the plasma membrane.</t>
  </si>
  <si>
    <t>(Akt, binds to, PI(3,4,5)P3)</t>
  </si>
  <si>
    <t>PIP3 brings Akt to the plasma membrane = stimulation?</t>
  </si>
  <si>
    <t>The PI 3-kinase produces @CHEMICAL$, which serves as a docking site for two serine/threonine kinases with PH domains—Akt and the @GENE$ PDK1—and brings them into proximity at the plasma membrane.</t>
  </si>
  <si>
    <t>PIP3 brings PDK1 to the plasma membrane = stimulation?</t>
  </si>
  <si>
    <t>The PI 3-kinase produces @CHEMICAL$, which serves as a docking site for two serine/threonine kinases with PH domains—Akt and the phosphoinositide-dependent kinase @GENE$—and brings them into proximity at the plasma membrane.</t>
  </si>
  <si>
    <t>(PDK1, binds to, PI(3,4,5)P3)</t>
  </si>
  <si>
    <t>The PI 3-kinase produces PI(3,4,5)P3, which serves as a docking site for two @GENE$ with PH domains—@GENE$ and the phosphoinositide-dependent kinase PDK1—and brings them into proximity at the plasma membrane.</t>
  </si>
  <si>
    <t>The PI 3-kinase produces PI(3,4,5)P3, which serves as a docking site for two @GENE$ with PH domains—Akt and the @GENE$ PDK1—and brings them into proximity at the plasma membrane.</t>
  </si>
  <si>
    <t>The PI 3-kinase produces PI(3,4,5)P3, which serves as a docking site for two @GENE$ with PH domains—Akt and the phosphoinositide-dependent kinase @GENE$—and brings them into proximity at the plasma membrane.</t>
  </si>
  <si>
    <t>The PI 3-kinase produces PI(3,4,5)P3, which serves as a docking site for two serine/threonine kinases with PH domains—@GENE$ and the @GENE$ PDK1—and brings them into proximity at the plasma membrane.</t>
  </si>
  <si>
    <t>The PI 3-kinase produces PI(3,4,5)P3, which serves as a docking site for two serine/threonine kinases with PH domains—@GENE$ and the phosphoinositide-dependent kinase @GENE$—and brings them into proximity at the plasma membrane.</t>
  </si>
  <si>
    <t>The PI 3-kinase produces PI(3,4,5)P3, which serves as a docking site for two serine/threonine kinases with PH domains—Akt and the @GENE$ @GENE$—and brings them into proximity at the plasma membrane.</t>
  </si>
  <si>
    <t>Activated @GENE$/@GENE$ phosphorylate Smad2 or Smad3, while activated BMP receptors phosphorylate Smad1, Smad5, or Smad8. Once one of these receptor-activated Smads (R-Smads) has been phosphorylated, it binds to Smad4 (called a co-Smad), which can form a complex with any of the five R-Smads</t>
  </si>
  <si>
    <t>[Jiaying] Ideally we should be tagging "TGFb receptor" as @GENE$, not just "TGFb"</t>
  </si>
  <si>
    <t>Activated @GENE$/activin receptors phosphorylate @GENE$ or Smad3, while activated BMP receptors phosphorylate Smad1, Smad5, or Smad8. Once one of these receptor-activated Smads (R-Smads) has been phosphorylated, it binds to Smad4 (called a co-Smad), which can form a complex with any of the five R-Smads</t>
  </si>
  <si>
    <t>Activated @GENE$/activin receptors phosphorylate Smad2 or @GENE$, while activated BMP receptors phosphorylate Smad1, Smad5, or Smad8. Once one of these receptor-activated Smads (R-Smads) has been phosphorylated, it binds to Smad4 (called a co-Smad), which can form a complex with any of the five R-Smads</t>
  </si>
  <si>
    <t>Activated @GENE$/activin receptors phosphorylate Smad2 or Smad3, while activated @GENE$ phosphorylate Smad1, Smad5, or Smad8. Once one of these receptor-activated Smads (R-Smads) has been phosphorylated, it binds to Smad4 (called a co-Smad), which can form a complex with any of the five R-Smads</t>
  </si>
  <si>
    <t>Activated @GENE$/activin receptors phosphorylate Smad2 or Smad3, while activated BMP receptors phosphorylate @GENE$, Smad5, or Smad8. Once one of these receptor-activated Smads (R-Smads) has been phosphorylated, it binds to Smad4 (called a co-Smad), which can form a complex with any of the five R-Smads</t>
  </si>
  <si>
    <t>Activated @GENE$/activin receptors phosphorylate Smad2 or Smad3, while activated BMP receptors phosphorylate Smad1, @GENE$, or Smad8. Once one of these receptor-activated Smads (R-Smads) has been phosphorylated, it binds to Smad4 (called a co-Smad), which can form a complex with any of the five R-Smads</t>
  </si>
  <si>
    <t>Activated @GENE$/activin receptors phosphorylate Smad2 or Smad3, while activated BMP receptors phosphorylate Smad1, Smad5, or @GENE$. Once one of these receptor-activated Smads (R-Smads) has been phosphorylated, it binds to Smad4 (called a co-Smad), which can form a complex with any of the five R-Smads</t>
  </si>
  <si>
    <t>Activated @GENE$/activin receptors phosphorylate Smad2 or Smad3, while activated BMP receptors phosphorylate Smad1, Smad5, or Smad8. Once one of these @GENE$ (R-Smads) has been phosphorylated, it binds to Smad4 (called a co-Smad), which can form a complex with any of the five R-Smads</t>
  </si>
  <si>
    <t>Activated @GENE$/activin receptors phosphorylate Smad2 or Smad3, while activated BMP receptors phosphorylate Smad1, Smad5, or Smad8. Once one of these receptor-activated Smads (@GENE$) has been phosphorylated, it binds to Smad4 (called a co-Smad), which can form a complex with any of the five R-Smads</t>
  </si>
  <si>
    <t>Activated @GENE$/activin receptors phosphorylate Smad2 or Smad3, while activated BMP receptors phosphorylate Smad1, Smad5, or Smad8. Once one of these receptor-activated Smads (R-Smads) has been phosphorylated, it binds to @GENE$ (called a co-Smad), which can form a complex with any of the five R-Smads</t>
  </si>
  <si>
    <t>Activated @GENE$/activin receptors phosphorylate Smad2 or Smad3, while activated BMP receptors phosphorylate Smad1, Smad5, or Smad8. Once one of these receptor-activated Smads (R-Smads) has been phosphorylated, it binds to Smad4 (called a co-@GENE$), which can form a complex with any of the five R-Smads</t>
  </si>
  <si>
    <t>Activated @GENE$/activin receptors phosphorylate Smad2 or Smad3, while activated BMP receptors phosphorylate Smad1, Smad5, or Smad8. Once one of these receptor-activated Smads (R-Smads) has been phosphorylated, it binds to Smad4 (called a co-Smad), which can form a complex with any of the five R-@GENE$</t>
  </si>
  <si>
    <t>Activated TGFβ/@GENE$ phosphorylate @GENE$ or Smad3, while activated BMP receptors phosphorylate Smad1, Smad5, or Smad8. Once one of these receptor-activated Smads (R-Smads) has been phosphorylated, it binds to Smad4 (called a co-Smad), which can form a complex with any of the five R-Smads</t>
  </si>
  <si>
    <t>Activated TGFβ/@GENE$ phosphorylate Smad2 or @GENE$, while activated BMP receptors phosphorylate Smad1, Smad5, or Smad8. Once one of these receptor-activated Smads (R-Smads) has been phosphorylated, it binds to Smad4 (called a co-Smad), which can form a complex with any of the five R-Smads</t>
  </si>
  <si>
    <t>Activated TGFβ/@GENE$ phosphorylate Smad2 or Smad3, while activated @GENE$ phosphorylate Smad1, Smad5, or Smad8. Once one of these receptor-activated Smads (R-Smads) has been phosphorylated, it binds to Smad4 (called a co-Smad), which can form a complex with any of the five R-Smads</t>
  </si>
  <si>
    <t>Activated TGFβ/@GENE$ phosphorylate Smad2 or Smad3, while activated BMP receptors phosphorylate @GENE$, Smad5, or Smad8. Once one of these receptor-activated Smads (R-Smads) has been phosphorylated, it binds to Smad4 (called a co-Smad), which can form a complex with any of the five R-Smads</t>
  </si>
  <si>
    <t>Activated TGFβ/@GENE$ phosphorylate Smad2 or Smad3, while activated BMP receptors phosphorylate Smad1, @GENE$, or Smad8. Once one of these receptor-activated Smads (R-Smads) has been phosphorylated, it binds to Smad4 (called a co-Smad), which can form a complex with any of the five R-Smads</t>
  </si>
  <si>
    <t>Activated TGFβ/@GENE$ phosphorylate Smad2 or Smad3, while activated BMP receptors phosphorylate Smad1, Smad5, or @GENE$. Once one of these receptor-activated Smads (R-Smads) has been phosphorylated, it binds to Smad4 (called a co-Smad), which can form a complex with any of the five R-Smads</t>
  </si>
  <si>
    <t>Activated TGFβ/@GENE$ phosphorylate Smad2 or Smad3, while activated BMP receptors phosphorylate Smad1, Smad5, or Smad8. Once one of these @GENE$ (R-Smads) has been phosphorylated, it binds to Smad4 (called a co-Smad), which can form a complex with any of the five R-Smads</t>
  </si>
  <si>
    <t>Activated TGFβ/@GENE$ phosphorylate Smad2 or Smad3, while activated BMP receptors phosphorylate Smad1, Smad5, or Smad8. Once one of these receptor-activated Smads (@GENE$) has been phosphorylated, it binds to Smad4 (called a co-Smad), which can form a complex with any of the five R-Smads</t>
  </si>
  <si>
    <t>Activated TGFβ/@GENE$ phosphorylate Smad2 or Smad3, while activated BMP receptors phosphorylate Smad1, Smad5, or Smad8. Once one of these receptor-activated Smads (R-Smads) has been phosphorylated, it binds to @GENE$ (called a co-Smad), which can form a complex with any of the five R-Smads</t>
  </si>
  <si>
    <t>Activated TGFβ/@GENE$ phosphorylate Smad2 or Smad3, while activated BMP receptors phosphorylate Smad1, Smad5, or Smad8. Once one of these receptor-activated Smads (R-Smads) has been phosphorylated, it binds to Smad4 (called a co-@GENE$), which can form a complex with any of the five R-Smads</t>
  </si>
  <si>
    <t>Activated TGFβ/@GENE$ phosphorylate Smad2 or Smad3, while activated BMP receptors phosphorylate Smad1, Smad5, or Smad8. Once one of these receptor-activated Smads (R-Smads) has been phosphorylated, it binds to Smad4 (called a co-Smad), which can form a complex with any of the five R-@GENE$</t>
  </si>
  <si>
    <t>Activated TGFβ/activin receptors phosphorylate @GENE$ or @GENE$, while activated BMP receptors phosphorylate Smad1, Smad5, or Smad8. Once one of these receptor-activated Smads (R-Smads) has been phosphorylated, it binds to Smad4 (called a co-Smad), which can form a complex with any of the five R-Smads</t>
  </si>
  <si>
    <t>Activated TGFβ/activin receptors phosphorylate @GENE$ or Smad3, while activated @GENE$ phosphorylate Smad1, Smad5, or Smad8. Once one of these receptor-activated Smads (R-Smads) has been phosphorylated, it binds to Smad4 (called a co-Smad), which can form a complex with any of the five R-Smads</t>
  </si>
  <si>
    <t>Activated TGFβ/activin receptors phosphorylate @GENE$ or Smad3, while activated BMP receptors phosphorylate @GENE$, Smad5, or Smad8. Once one of these receptor-activated Smads (R-Smads) has been phosphorylated, it binds to Smad4 (called a co-Smad), which can form a complex with any of the five R-Smads</t>
  </si>
  <si>
    <t>Activated TGFβ/activin receptors phosphorylate @GENE$ or Smad3, while activated BMP receptors phosphorylate Smad1, @GENE$, or Smad8. Once one of these receptor-activated Smads (R-Smads) has been phosphorylated, it binds to Smad4 (called a co-Smad), which can form a complex with any of the five R-Smads</t>
  </si>
  <si>
    <t>Activated TGFβ/activin receptors phosphorylate @GENE$ or Smad3, while activated BMP receptors phosphorylate Smad1, Smad5, or @GENE$. Once one of these receptor-activated Smads (R-Smads) has been phosphorylated, it binds to Smad4 (called a co-Smad), which can form a complex with any of the five R-Smads</t>
  </si>
  <si>
    <t>Activated TGFβ/activin receptors phosphorylate @GENE$ or Smad3, while activated BMP receptors phosphorylate Smad1, Smad5, or Smad8. Once one of these @GENE$ (R-Smads) has been phosphorylated, it binds to Smad4 (called a co-Smad), which can form a complex with any of the five R-Smads</t>
  </si>
  <si>
    <t>Activated TGFβ/activin receptors phosphorylate @GENE$ or Smad3, while activated BMP receptors phosphorylate Smad1, Smad5, or Smad8. Once one of these receptor-activated Smads (@GENE$) has been phosphorylated, it binds to Smad4 (called a co-Smad), which can form a complex with any of the five R-Smads</t>
  </si>
  <si>
    <t>Activated TGFβ/activin receptors phosphorylate @GENE$ or Smad3, while activated BMP receptors phosphorylate Smad1, Smad5, or Smad8. Once one of these receptor-activated Smads (R-Smads) has been phosphorylated, it binds to @GENE$ (called a co-Smad), which can form a complex with any of the five R-Smads</t>
  </si>
  <si>
    <t>Y [Jiaying]</t>
  </si>
  <si>
    <t>[Jiaying] Should be 2 - phosphorylated SMAD1/2/3/5/8 binds SMAD4</t>
  </si>
  <si>
    <t>[Jiaying] phosphorylated SMAD1/2/3/5/8 binds SMAD4 = protein-protein interaction</t>
  </si>
  <si>
    <t>Activated TGFβ/activin receptors phosphorylate @GENE$ or Smad3, while activated BMP receptors phosphorylate Smad1, Smad5, or Smad8. Once one of these receptor-activated Smads (R-Smads) has been phosphorylated, it binds to Smad4 (called a co-@GENE$), which can form a complex with any of the five R-Smads</t>
  </si>
  <si>
    <t>Activated TGFβ/activin receptors phosphorylate @GENE$ or Smad3, while activated BMP receptors phosphorylate Smad1, Smad5, or Smad8. Once one of these receptor-activated Smads (R-Smads) has been phosphorylated, it binds to Smad4 (called a co-Smad), which can form a complex with any of the five R-@GENE$</t>
  </si>
  <si>
    <t>[Jiaying] "R-Smads" should be tagged as @GENE$, not just "Smads", as done above</t>
  </si>
  <si>
    <t>Activated TGFβ/activin receptors phosphorylate Smad2 or @GENE$, while activated @GENE$ phosphorylate Smad1, Smad5, or Smad8. Once one of these receptor-activated Smads (R-Smads) has been phosphorylated, it binds to Smad4 (called a co-Smad), which can form a complex with any of the five R-Smads</t>
  </si>
  <si>
    <t>Activated TGFβ/activin receptors phosphorylate Smad2 or @GENE$, while activated BMP receptors phosphorylate @GENE$, Smad5, or Smad8. Once one of these receptor-activated Smads (R-Smads) has been phosphorylated, it binds to Smad4 (called a co-Smad), which can form a complex with any of the five R-Smads</t>
  </si>
  <si>
    <t>Activated TGFβ/activin receptors phosphorylate Smad2 or @GENE$, while activated BMP receptors phosphorylate Smad1, @GENE$, or Smad8. Once one of these receptor-activated Smads (R-Smads) has been phosphorylated, it binds to Smad4 (called a co-Smad), which can form a complex with any of the five R-Smads</t>
  </si>
  <si>
    <t>Activated TGFβ/activin receptors phosphorylate Smad2 or @GENE$, while activated BMP receptors phosphorylate Smad1, Smad5, or @GENE$. Once one of these receptor-activated Smads (R-Smads) has been phosphorylated, it binds to Smad4 (called a co-Smad), which can form a complex with any of the five R-Smads</t>
  </si>
  <si>
    <t>Activated TGFβ/activin receptors phosphorylate Smad2 or @GENE$, while activated BMP receptors phosphorylate Smad1, Smad5, or Smad8. Once one of these @GENE$ (R-Smads) has been phosphorylated, it binds to Smad4 (called a co-Smad), which can form a complex with any of the five R-Smads</t>
  </si>
  <si>
    <t>Activated TGFβ/activin receptors phosphorylate Smad2 or @GENE$, while activated BMP receptors phosphorylate Smad1, Smad5, or Smad8. Once one of these receptor-activated Smads (@GENE$) has been phosphorylated, it binds to Smad4 (called a co-Smad), which can form a complex with any of the five R-Smads</t>
  </si>
  <si>
    <t>Activated TGFβ/activin receptors phosphorylate Smad2 or @GENE$, while activated BMP receptors phosphorylate Smad1, Smad5, or Smad8. Once one of these receptor-activated Smads (R-Smads) has been phosphorylated, it binds to @GENE$ (called a co-Smad), which can form a complex with any of the five R-Smads</t>
  </si>
  <si>
    <t>Activated TGFβ/activin receptors phosphorylate Smad2 or @GENE$, while activated BMP receptors phosphorylate Smad1, Smad5, or Smad8. Once one of these receptor-activated Smads (R-Smads) has been phosphorylated, it binds to Smad4 (called a co-@GENE$), which can form a complex with any of the five R-Smads</t>
  </si>
  <si>
    <t>Activated TGFβ/activin receptors phosphorylate Smad2 or @GENE$, while activated BMP receptors phosphorylate Smad1, Smad5, or Smad8. Once one of these receptor-activated Smads (R-Smads) has been phosphorylated, it binds to Smad4 (called a co-Smad), which can form a complex with any of the five R-@GENE$</t>
  </si>
  <si>
    <t>Activated TGFβ/activin receptors phosphorylate Smad2 or Smad3, while activated @GENE$ phosphorylate @GENE$, Smad5, or Smad8. Once one of these receptor-activated Smads (R-Smads) has been phosphorylated, it binds to Smad4 (called a co-Smad), which can form a complex with any of the five R-Smads</t>
  </si>
  <si>
    <t>Activated TGFβ/activin receptors phosphorylate Smad2 or Smad3, while activated @GENE$ phosphorylate Smad1, @GENE$, or Smad8. Once one of these receptor-activated Smads (R-Smads) has been phosphorylated, it binds to Smad4 (called a co-Smad), which can form a complex with any of the five R-Smads</t>
  </si>
  <si>
    <t>Activated TGFβ/activin receptors phosphorylate Smad2 or Smad3, while activated @GENE$ phosphorylate Smad1, Smad5, or @GENE$. Once one of these receptor-activated Smads (R-Smads) has been phosphorylated, it binds to Smad4 (called a co-Smad), which can form a complex with any of the five R-Smads</t>
  </si>
  <si>
    <t>Activated TGFβ/activin receptors phosphorylate Smad2 or Smad3, while activated @GENE$ phosphorylate Smad1, Smad5, or Smad8. Once one of these @GENE$ (R-Smads) has been phosphorylated, it binds to Smad4 (called a co-Smad), which can form a complex with any of the five R-Smads</t>
  </si>
  <si>
    <t>Activated TGFβ/activin receptors phosphorylate Smad2 or Smad3, while activated @GENE$ phosphorylate Smad1, Smad5, or Smad8. Once one of these receptor-activated Smads (@GENE$) has been phosphorylated, it binds to Smad4 (called a co-Smad), which can form a complex with any of the five R-Smads</t>
  </si>
  <si>
    <t>Activated TGFβ/activin receptors phosphorylate Smad2 or Smad3, while activated @GENE$ phosphorylate Smad1, Smad5, or Smad8. Once one of these receptor-activated Smads (R-Smads) has been phosphorylated, it binds to @GENE$ (called a co-Smad), which can form a complex with any of the five R-Smads</t>
  </si>
  <si>
    <t>Activated TGFβ/activin receptors phosphorylate Smad2 or Smad3, while activated @GENE$ phosphorylate Smad1, Smad5, or Smad8. Once one of these receptor-activated Smads (R-Smads) has been phosphorylated, it binds to Smad4 (called a co-@GENE$), which can form a complex with any of the five R-Smads</t>
  </si>
  <si>
    <t>Activated TGFβ/activin receptors phosphorylate Smad2 or Smad3, while activated @GENE$ phosphorylate Smad1, Smad5, or Smad8. Once one of these receptor-activated Smads (R-Smads) has been phosphorylated, it binds to Smad4 (called a co-Smad), which can form a complex with any of the five R-@GENE$</t>
  </si>
  <si>
    <t>Activated TGFβ/activin receptors phosphorylate Smad2 or Smad3, while activated BMP receptors phosphorylate @GENE$, @GENE$, or Smad8. Once one of these receptor-activated Smads (R-Smads) has been phosphorylated, it binds to Smad4 (called a co-Smad), which can form a complex with any of the five R-Smads</t>
  </si>
  <si>
    <t>Activated TGFβ/activin receptors phosphorylate Smad2 or Smad3, while activated BMP receptors phosphorylate @GENE$, Smad5, or @GENE$. Once one of these receptor-activated Smads (R-Smads) has been phosphorylated, it binds to Smad4 (called a co-Smad), which can form a complex with any of the five R-Smads</t>
  </si>
  <si>
    <t>Activated TGFβ/activin receptors phosphorylate Smad2 or Smad3, while activated BMP receptors phosphorylate @GENE$, Smad5, or Smad8. Once one of these @GENE$ (R-Smads) has been phosphorylated, it binds to Smad4 (called a co-Smad), which can form a complex with any of the five R-Smads</t>
  </si>
  <si>
    <t>Activated TGFβ/activin receptors phosphorylate Smad2 or Smad3, while activated BMP receptors phosphorylate @GENE$, Smad5, or Smad8. Once one of these receptor-activated Smads (@GENE$) has been phosphorylated, it binds to Smad4 (called a co-Smad), which can form a complex with any of the five R-Smads</t>
  </si>
  <si>
    <t>Activated TGFβ/activin receptors phosphorylate Smad2 or Smad3, while activated BMP receptors phosphorylate @GENE$, Smad5, or Smad8. Once one of these receptor-activated Smads (R-Smads) has been phosphorylated, it binds to @GENE$ (called a co-Smad), which can form a complex with any of the five R-Smads</t>
  </si>
  <si>
    <t>Activated TGFβ/activin receptors phosphorylate Smad2 or Smad3, while activated BMP receptors phosphorylate @GENE$, Smad5, or Smad8. Once one of these receptor-activated Smads (R-Smads) has been phosphorylated, it binds to Smad4 (called a co-@GENE$), which can form a complex with any of the five R-Smads</t>
  </si>
  <si>
    <t>Activated TGFβ/activin receptors phosphorylate Smad2 or Smad3, while activated BMP receptors phosphorylate @GENE$, Smad5, or Smad8. Once one of these receptor-activated Smads (R-Smads) has been phosphorylated, it binds to Smad4 (called a co-Smad), which can form a complex with any of the five R-@GENE$</t>
  </si>
  <si>
    <t>Activated TGFβ/activin receptors phosphorylate Smad2 or Smad3, while activated BMP receptors phosphorylate Smad1, @GENE$, or @GENE$. Once one of these receptor-activated Smads (R-Smads) has been phosphorylated, it binds to Smad4 (called a co-Smad), which can form a complex with any of the five R-Smads</t>
  </si>
  <si>
    <t>Activated TGFβ/activin receptors phosphorylate Smad2 or Smad3, while activated BMP receptors phosphorylate Smad1, @GENE$, or Smad8. Once one of these @GENE$ (R-Smads) has been phosphorylated, it binds to Smad4 (called a co-Smad), which can form a complex with any of the five R-Smads</t>
  </si>
  <si>
    <t>Activated TGFβ/activin receptors phosphorylate Smad2 or Smad3, while activated BMP receptors phosphorylate Smad1, @GENE$, or Smad8. Once one of these receptor-activated Smads (@GENE$) has been phosphorylated, it binds to Smad4 (called a co-Smad), which can form a complex with any of the five R-Smads</t>
  </si>
  <si>
    <t>Activated TGFβ/activin receptors phosphorylate Smad2 or Smad3, while activated BMP receptors phosphorylate Smad1, @GENE$, or Smad8. Once one of these receptor-activated Smads (R-Smads) has been phosphorylated, it binds to @GENE$ (called a co-Smad), which can form a complex with any of the five R-Smads</t>
  </si>
  <si>
    <t>Activated TGFβ/activin receptors phosphorylate Smad2 or Smad3, while activated BMP receptors phosphorylate Smad1, @GENE$, or Smad8. Once one of these receptor-activated Smads (R-Smads) has been phosphorylated, it binds to Smad4 (called a co-@GENE$), which can form a complex with any of the five R-Smads</t>
  </si>
  <si>
    <t>Activated TGFβ/activin receptors phosphorylate Smad2 or Smad3, while activated BMP receptors phosphorylate Smad1, @GENE$, or Smad8. Once one of these receptor-activated Smads (R-Smads) has been phosphorylated, it binds to Smad4 (called a co-Smad), which can form a complex with any of the five R-@GENE$</t>
  </si>
  <si>
    <t>Activated TGFβ/activin receptors phosphorylate Smad2 or Smad3, while activated BMP receptors phosphorylate Smad1, Smad5, or @GENE$. Once one of these @GENE$ (R-Smads) has been phosphorylated, it binds to Smad4 (called a co-Smad), which can form a complex with any of the five R-Smads</t>
  </si>
  <si>
    <t>Activated TGFβ/activin receptors phosphorylate Smad2 or Smad3, while activated BMP receptors phosphorylate Smad1, Smad5, or @GENE$. Once one of these receptor-activated Smads (@GENE$) has been phosphorylated, it binds to Smad4 (called a co-Smad), which can form a complex with any of the five R-Smads</t>
  </si>
  <si>
    <t>Activated TGFβ/activin receptors phosphorylate Smad2 or Smad3, while activated BMP receptors phosphorylate Smad1, Smad5, or @GENE$. Once one of these receptor-activated Smads (R-Smads) has been phosphorylated, it binds to @GENE$ (called a co-Smad), which can form a complex with any of the five R-Smads</t>
  </si>
  <si>
    <t>Activated TGFβ/activin receptors phosphorylate Smad2 or Smad3, while activated BMP receptors phosphorylate Smad1, Smad5, or @GENE$. Once one of these receptor-activated Smads (R-Smads) has been phosphorylated, it binds to Smad4 (called a co-@GENE$), which can form a complex with any of the five R-Smads</t>
  </si>
  <si>
    <t>Activated TGFβ/activin receptors phosphorylate Smad2 or Smad3, while activated BMP receptors phosphorylate Smad1, Smad5, or @GENE$. Once one of these receptor-activated Smads (R-Smads) has been phosphorylated, it binds to Smad4 (called a co-Smad), which can form a complex with any of the five R-@GENE$</t>
  </si>
  <si>
    <t>Activated TGFβ/activin receptors phosphorylate Smad2 or Smad3, while activated BMP receptors phosphorylate Smad1, Smad5, or Smad8. Once one of these @GENE$ (@GENE$) has been phosphorylated, it binds to Smad4 (called a co-Smad), which can form a complex with any of the five R-Smads</t>
  </si>
  <si>
    <t>Activated TGFβ/activin receptors phosphorylate Smad2 or Smad3, while activated BMP receptors phosphorylate Smad1, Smad5, or Smad8. Once one of these @GENE$ (R-Smads) has been phosphorylated, it binds to @GENE$ (called a co-Smad), which can form a complex with any of the five R-Smads</t>
  </si>
  <si>
    <t>Activated TGFβ/activin receptors phosphorylate Smad2 or Smad3, while activated BMP receptors phosphorylate Smad1, Smad5, or Smad8. Once one of these @GENE$ (R-Smads) has been phosphorylated, it binds to Smad4 (called a co-@GENE$), which can form a complex with any of the five R-Smads</t>
  </si>
  <si>
    <t>[Jiaying] should be 0 if the entity is "Smad", but 2 if the entity is "co-Smad"</t>
  </si>
  <si>
    <t>Activated TGFβ/activin receptors phosphorylate Smad2 or Smad3, while activated BMP receptors phosphorylate Smad1, Smad5, or Smad8. Once one of these @GENE$ (R-Smads) has been phosphorylated, it binds to Smad4 (called a co-Smad), which can form a complex with any of the five R-@GENE$</t>
  </si>
  <si>
    <t>[Jiaying] should be 0 - the R-Smads don't bind to each other based on this text</t>
  </si>
  <si>
    <t>Activated TGFβ/activin receptors phosphorylate Smad2 or Smad3, while activated BMP receptors phosphorylate Smad1, Smad5, or Smad8. Once one of these receptor-activated Smads (@GENE$) has been phosphorylated, it binds to @GENE$ (called a co-Smad), which can form a complex with any of the five R-Smads</t>
  </si>
  <si>
    <t>Activated TGFβ/activin receptors phosphorylate Smad2 or Smad3, while activated BMP receptors phosphorylate Smad1, Smad5, or Smad8. Once one of these receptor-activated Smads (@GENE$) has been phosphorylated, it binds to Smad4 (called a co-@GENE$), which can form a complex with any of the five R-Smads</t>
  </si>
  <si>
    <t>Activated TGFβ/activin receptors phosphorylate Smad2 or Smad3, while activated BMP receptors phosphorylate Smad1, Smad5, or Smad8. Once one of these receptor-activated Smads (@GENE$) has been phosphorylated, it binds to Smad4 (called a co-Smad), which can form a complex with any of the five R-@GENE$</t>
  </si>
  <si>
    <t>Activated TGFβ/activin receptors phosphorylate Smad2 or Smad3, while activated BMP receptors phosphorylate Smad1, Smad5, or Smad8. Once one of these receptor-activated Smads (R-Smads) has been phosphorylated, it binds to @GENE$ (called a co-@GENE$), which can form a complex with any of the five R-Smads</t>
  </si>
  <si>
    <t>Activated TGFβ/activin receptors phosphorylate Smad2 or Smad3, while activated BMP receptors phosphorylate Smad1, Smad5, or Smad8. Once one of these receptor-activated Smads (R-Smads) has been phosphorylated, it binds to @GENE$ (called a co-Smad), which can form a complex with any of the five R-@GENE$</t>
  </si>
  <si>
    <t>[Jiaying] should be 0 if the entity is "Smad", but 2 if the entity is "R-Smads"</t>
  </si>
  <si>
    <t>Activated TGFβ/activin receptors phosphorylate Smad2 or Smad3, while activated BMP receptors phosphorylate Smad1, Smad5, or Smad8. Once one of these receptor-activated Smads (R-Smads) has been phosphorylated, it binds to Smad4 (called a co-@GENE$), which can form a complex with any of the five R-@GENE$</t>
  </si>
  <si>
    <t>@GENE$ signaling begins at a cell-@GENE$ receptor called Patched, which employs a convoluted mechanism to activate a group of transcription regulators called Gli proteins</t>
  </si>
  <si>
    <t>(Hedgehog protein, binds to, Patched cell-surface receptor)</t>
  </si>
  <si>
    <t>[Jiaying] "surface" should not be tagged as @GENE$</t>
  </si>
  <si>
    <t>@GENE$ signaling begins at a cell-surface receptor called @GENE$, which employs a convoluted mechanism to activate a group of transcription regulators called Gli proteins</t>
  </si>
  <si>
    <t>[Jiaying] Should be 0 - Not clear whether Hedgehog actually binds Patched? Initiation of pathway signalling doesn't necessarily mean Hedgehog is directly interacting with Patched</t>
  </si>
  <si>
    <t>[Jiaying] Hedgehog signalling initiated by Patched = stimulation?</t>
  </si>
  <si>
    <t>@GENE$ signaling begins at a cell-surface receptor called Patched, which employs a convoluted mechanism to activate a group of transcription regulators called @GENE$ proteins</t>
  </si>
  <si>
    <t>[Jiaying] Hedgehog signalling initiated by Patched via Gli proteins, i.e. Hedgehog activated by Gli? = stimulation?</t>
  </si>
  <si>
    <t>Hedgehog signaling begins at a cell-@GENE$ receptor called @GENE$, which employs a convoluted mechanism to activate a group of transcription regulators called Gli proteins</t>
  </si>
  <si>
    <t>Hedgehog signaling begins at a cell-@GENE$ receptor called Patched, which employs a convoluted mechanism to activate a group of transcription regulators called @GENE$ proteins</t>
  </si>
  <si>
    <t>Hedgehog signaling begins at a cell-surface receptor called @GENE$, which employs a convoluted mechanism to activate a group of transcription regulators called @GENE$ proteins</t>
  </si>
  <si>
    <t>[Jiaying] Hedgehog signalling initiated by Patched, which activates Gli proteins = stimulation</t>
  </si>
  <si>
    <t>Activation of the @GENE$ on the surface of a target cell by @GENE$ on the surface of a killer (cytotoxic) lymphocyte</t>
  </si>
  <si>
    <t>(Fas ligand, binds to, Fas receptor)</t>
  </si>
  <si>
    <t>[Jiaying] Ligand-receptor binding, now classified as interaction (protein-protein)</t>
  </si>
  <si>
    <t>the @GENE$ (@GENE$) and its binding partners pinch and parvin, which together form a trimeric complex that serves as an organizing hub at many junctions.</t>
  </si>
  <si>
    <t>(Integrin-linked kinase, binds to, pinch and parvin)</t>
  </si>
  <si>
    <t>the @GENE$ (ILK) and its binding partners @GENE$ and parvin, which together form a trimeric complex that serves as an organizing hub at many junctions.</t>
  </si>
  <si>
    <t>the @GENE$ (ILK) and its binding partners pinch and @GENE$, which together form a trimeric complex that serves as an organizing hub at many junctions.</t>
  </si>
  <si>
    <t>the integrin-linked kinase (@GENE$) and its binding partners @GENE$ and parvin, which together form a trimeric complex that serves as an organizing hub at many junctions.</t>
  </si>
  <si>
    <t>the integrin-linked kinase (@GENE$) and its binding partners pinch and @GENE$, which together form a trimeric complex that serves as an organizing hub at many junctions.</t>
  </si>
  <si>
    <t>the integrin-linked kinase (ILK) and its binding partners @GENE$ and @GENE$, which together form a trimeric complex that serves as an organizing hub at many junctions.</t>
  </si>
  <si>
    <t>[Jiaying] Pinch and parvin form a trimeric complex with ILK, but not clear whether pinch and parvin bind each other??</t>
  </si>
  <si>
    <t>Cell–matrix junctions also employ several @GENE$, such as @GENE$, zyxin, VASP, and a-actinin, to promote the assembly and organization of actin filaments.</t>
  </si>
  <si>
    <t>Cell–matrix junctions also employ several @GENE$, such as vinculin, @GENE$, VASP, and a-actinin, to promote the assembly and organization of actin filaments.</t>
  </si>
  <si>
    <t>Cell–matrix junctions also employ several @GENE$, such as vinculin, zyxin, @GENE$, and a-actinin, to promote the assembly and organization of actin filaments.</t>
  </si>
  <si>
    <t>Cell–matrix junctions also employ several @GENE$, such as vinculin, zyxin, VASP, and @GENE$, to promote the assembly and organization of actin filaments.</t>
  </si>
  <si>
    <t>Cell–matrix junctions also employ several @GENE$, such as vinculin, zyxin, VASP, and a-actinin, to promote the assembly and organization of @GENE$ filaments.</t>
  </si>
  <si>
    <t>Cell–matrix junctions also employ several actin-binding proteins, such as @GENE$, @GENE$, VASP, and a-actinin, to promote the assembly and organization of actin filaments.</t>
  </si>
  <si>
    <t>Cell–matrix junctions also employ several actin-binding proteins, such as @GENE$, zyxin, @GENE$, and a-actinin, to promote the assembly and organization of actin filaments.</t>
  </si>
  <si>
    <t>Cell–matrix junctions also employ several actin-binding proteins, such as @GENE$, zyxin, VASP, and @GENE$, to promote the assembly and organization of actin filaments.</t>
  </si>
  <si>
    <t>Cell–matrix junctions also employ several actin-binding proteins, such as @GENE$, zyxin, VASP, and a-actinin, to promote the assembly and organization of @GENE$ filaments.</t>
  </si>
  <si>
    <t>Cell–matrix junctions also employ several actin-binding proteins, such as vinculin, @GENE$, @GENE$, and a-actinin, to promote the assembly and organization of actin filaments.</t>
  </si>
  <si>
    <t>Cell–matrix junctions also employ several actin-binding proteins, such as vinculin, @GENE$, VASP, and @GENE$, to promote the assembly and organization of actin filaments.</t>
  </si>
  <si>
    <t>Cell–matrix junctions also employ several actin-binding proteins, such as vinculin, @GENE$, VASP, and a-actinin, to promote the assembly and organization of @GENE$ filaments.</t>
  </si>
  <si>
    <t>Cell–matrix junctions also employ several actin-binding proteins, such as vinculin, zyxin, @GENE$, and @GENE$, to promote the assembly and organization of actin filaments.</t>
  </si>
  <si>
    <t>Cell–matrix junctions also employ several actin-binding proteins, such as vinculin, zyxin, @GENE$, and a-actinin, to promote the assembly and organization of @GENE$ filaments.</t>
  </si>
  <si>
    <t>Cell–matrix junctions also employ several actin-binding proteins, such as vinculin, zyxin, VASP, and @GENE$, to promote the assembly and organization of @GENE$ filaments.</t>
  </si>
  <si>
    <t>@GENE$ is a transmembrane receptor protein (and @GENE$) involved in many cell-fate choices in animal development, for example in the specification of nerve cells from ectodermal epithelium. Its ligands are cell-surface proteins such as Delta and Serrate.</t>
  </si>
  <si>
    <t>@GENE$ is a transmembrane receptor protein (and latent transcription regulator) involved in many cell-fate choices in animal development, for example in the specification of nerve cells from ectodermal epithelium. Its ligands are @GENE$ proteins such as Delta and Serrate.</t>
  </si>
  <si>
    <t>[Jiaying] "cell-surface protein" is too generic a term to be biologically meaningful if we label this as an interaction</t>
  </si>
  <si>
    <t>@GENE$ is a transmembrane receptor protein (and latent transcription regulator) involved in many cell-fate choices in animal development, for example in the specification of nerve cells from ectodermal epithelium. Its ligands are cell-surface proteins such as @GENE$ and Serrate.</t>
  </si>
  <si>
    <t>(Delta, binds to, Notch)</t>
  </si>
  <si>
    <t>@GENE$ is a transmembrane receptor protein (and latent transcription regulator) involved in many cell-fate choices in animal development, for example in the specification of nerve cells from ectodermal epithelium. Its ligands are cell-surface proteins such as Delta and @GENE$.</t>
  </si>
  <si>
    <t>(Serrate, binds to, Notch)</t>
  </si>
  <si>
    <t>Notch is a transmembrane receptor protein (and @GENE$) involved in many cell-fate choices in animal development, for example in the specification of nerve cells from ectodermal epithelium. Its ligands are @GENE$ proteins such as Delta and Serrate.</t>
  </si>
  <si>
    <t>[Jiaying] "cell-surface protein" and "latent transcription regulator" are too generic to be biologically meaningful if we label this as an interaction</t>
  </si>
  <si>
    <t>Notch is a transmembrane receptor protein (and @GENE$) involved in many cell-fate choices in animal development, for example in the specification of nerve cells from ectodermal epithelium. Its ligands are cell-surface proteins such as @GENE$ and Serrate.</t>
  </si>
  <si>
    <t>[Jiaying] Should be 0? - "cell-surface protein" and "latent transcription regulator" are too generic to be biologically meaningful if we label this as an interaction</t>
  </si>
  <si>
    <t>Notch is a transmembrane receptor protein (and @GENE$) involved in many cell-fate choices in animal development, for example in the specification of nerve cells from ectodermal epithelium. Its ligands are cell-surface proteins such as Delta and @GENE$.</t>
  </si>
  <si>
    <t>Notch is a transmembrane receptor protein (and latent transcription regulator) involved in many cell-fate choices in animal development, for example in the specification of nerve cells from ectodermal epithelium. Its ligands are @GENE$ proteins such as @GENE$ and Serrate.</t>
  </si>
  <si>
    <t>Notch is a transmembrane receptor protein (and latent transcription regulator) involved in many cell-fate choices in animal development, for example in the specification of nerve cells from ectodermal epithelium. Its ligands are @GENE$ proteins such as Delta and @GENE$.</t>
  </si>
  <si>
    <t>Notch is a transmembrane receptor protein (and latent transcription regulator) involved in many cell-fate choices in animal development, for example in the specification of nerve cells from ectodermal epithelium. Its ligands are cell-surface proteins such as @GENE$ and @GENE$.</t>
  </si>
  <si>
    <t>Many types of migrating cells are guided by chemotaxis that depends on a @GENE$, called @GENE$, which is activated by an extracellular ligand, CXCL12.</t>
  </si>
  <si>
    <t>Many types of migrating cells are guided by chemotaxis that depends on a @GENE$, called CXCR4, which is activated by an extracellular ligand, @GENE$.</t>
  </si>
  <si>
    <t>[Jiaying] Should be 0? - "GPCR" is too generic a term to be biologically meaningful if we label this as an interaction</t>
  </si>
  <si>
    <t>Many types of migrating cells are guided by chemotaxis that depends on a G-protein-coupled receptor, called @GENE$, which is activated by an extracellular ligand, @GENE$.</t>
  </si>
  <si>
    <t>(CXCL12, binds to, CXCR4)</t>
  </si>
  <si>
    <t>[Jiaying] Ligand-receptor binding, now classified as interaction (protein-protein); 
CXCL12 activates CXCR4 = stimulation?</t>
  </si>
  <si>
    <t>An important example is @SPECIES$, which requires two types of receptors to enter a host cell. Its primary receptor is @GENE$, a cell-surface protein on helper T cells and macrophages... It also requires a co-receptor, which is either CCR5 (a receptor for β-chemokines) or CXCR4 (a receptor for α-chemokines), depending on the particular variant of the virus.</t>
  </si>
  <si>
    <t>(CD4, receptor for, HIV)</t>
  </si>
  <si>
    <t>[Jiaying] Ligand-receptor binding, now classified as interaction</t>
  </si>
  <si>
    <t>An important example is @SPECIES$, which requires two types of receptors to enter a host cell. Its primary receptor is CD4, a cell-surface protein on helper T cells and macrophages... It also requires a co-receptor, which is either @GENE$ (a receptor for β-chemokines) or CXCR4 (a receptor for α-chemokines), depending on the particular variant of the virus.</t>
  </si>
  <si>
    <t>(CCR5, receptor for, β-chemokines)</t>
  </si>
  <si>
    <t>An important example is @SPECIES$, which requires two types of receptors to enter a host cell. Its primary receptor is CD4, a cell-surface protein on helper T cells and macrophages... It also requires a co-receptor, which is either CCR5 (a receptor for @GENE$) or CXCR4 (a receptor for α-chemokines), depending on the particular variant of the virus.</t>
  </si>
  <si>
    <t>[Jiaying] Potential competition since HIV binds the same receptor as the chemokines = inhibition?? Will be stronger with more context from the surrounding text</t>
  </si>
  <si>
    <t>An important example is @SPECIES$, which requires two types of receptors to enter a host cell. Its primary receptor is CD4, a cell-surface protein on helper T cells and macrophages... It also requires a co-receptor, which is either CCR5 (a receptor for β-chemokines) or @GENE$ (a receptor for α-chemokines), depending on the particular variant of the virus.</t>
  </si>
  <si>
    <t>(CXCR4, receptor for, α-chemokines)</t>
  </si>
  <si>
    <t>An important example is @SPECIES$, which requires two types of receptors to enter a host cell. Its primary receptor is CD4, a cell-surface protein on helper T cells and macrophages... It also requires a co-receptor, which is either CCR5 (a receptor for β-chemokines) or CXCR4 (a receptor for @GENE$), depending on the particular variant of the virus.</t>
  </si>
  <si>
    <t>An important example is HIV, which requires two types of receptors to enter a host cell. Its primary receptor is @GENE$, a cell-surface protein on helper T cells and macrophages... It also requires a co-receptor, which is either @GENE$ (a receptor for β-chemokines) or CXCR4 (a receptor for α-chemokines), depending on the particular variant of the virus.</t>
  </si>
  <si>
    <t>An important example is HIV, which requires two types of receptors to enter a host cell. Its primary receptor is @GENE$, a cell-surface protein on helper T cells and macrophages... It also requires a co-receptor, which is either CCR5 (a receptor for @GENE$) or CXCR4 (a receptor for α-chemokines), depending on the particular variant of the virus.</t>
  </si>
  <si>
    <t>An important example is HIV, which requires two types of receptors to enter a host cell. Its primary receptor is @GENE$, a cell-surface protein on helper T cells and macrophages... It also requires a co-receptor, which is either CCR5 (a receptor for β-chemokines) or @GENE$ (a receptor for α-chemokines), depending on the particular variant of the virus.</t>
  </si>
  <si>
    <t>An important example is HIV, which requires two types of receptors to enter a host cell. Its primary receptor is @GENE$, a cell-surface protein on helper T cells and macrophages... It also requires a co-receptor, which is either CCR5 (a receptor for β-chemokines) or CXCR4 (a receptor for @GENE$), depending on the particular variant of the virus.</t>
  </si>
  <si>
    <t>An important example is HIV, which requires two types of receptors to enter a host cell. Its primary receptor is CD4, a cell-surface protein on helper T cells and macrophages... It also requires a co-receptor, which is either @GENE$ (a receptor for @GENE$) or CXCR4 (a receptor for α-chemokines), depending on the particular variant of the virus.</t>
  </si>
  <si>
    <t>An important example is HIV, which requires two types of receptors to enter a host cell. Its primary receptor is CD4, a cell-surface protein on helper T cells and macrophages... It also requires a co-receptor, which is either @GENE$ (a receptor for β-chemokines) or @GENE$ (a receptor for α-chemokines), depending on the particular variant of the virus.</t>
  </si>
  <si>
    <t>An important example is HIV, which requires two types of receptors to enter a host cell. Its primary receptor is CD4, a cell-surface protein on helper T cells and macrophages... It also requires a co-receptor, which is either @GENE$ (a receptor for β-chemokines) or CXCR4 (a receptor for @GENE$), depending on the particular variant of the virus.</t>
  </si>
  <si>
    <t>An important example is HIV, which requires two types of receptors to enter a host cell. Its primary receptor is CD4, a cell-surface protein on helper T cells and macrophages... It also requires a co-receptor, which is either CCR5 (a receptor for @GENE$) or @GENE$ (a receptor for α-chemokines), depending on the particular variant of the virus.</t>
  </si>
  <si>
    <t>An important example is HIV, which requires two types of receptors to enter a host cell. Its primary receptor is CD4, a cell-surface protein on helper T cells and macrophages... It also requires a co-receptor, which is either CCR5 (a receptor for @GENE$) or CXCR4 (a receptor for @GENE$), depending on the particular variant of the virus.</t>
  </si>
  <si>
    <t>An important example is HIV, which requires two types of receptors to enter a host cell. Its primary receptor is CD4, a cell-surface protein on helper T cells and macrophages... It also requires a co-receptor, which is either CCR5 (a receptor for β-chemokines) or @GENE$ (a receptor for @GENE$), depending on the particular variant of the virus.</t>
  </si>
  <si>
    <t>The natural ligand for the @GENE$ (@GENE$ for CXCR4; RANTES, MIP-1α, or MIP-1β for CCR5) blocks co-receptor function and prevents viral invasion.</t>
  </si>
  <si>
    <t>(Sdf1, receptor for, CXCR4)</t>
  </si>
  <si>
    <t>The natural ligand for the @GENE$ (Sdf1 for @GENE$; RANTES, MIP-1α, or MIP-1β for CCR5) blocks co-receptor function and prevents viral invasion.</t>
  </si>
  <si>
    <t>(RANTES, receptor for CCR5)</t>
  </si>
  <si>
    <t>The natural ligand for the @GENE$ (Sdf1 for CXCR4; @GENE$, MIP-1α, or MIP-1β for CCR5) blocks co-receptor function and prevents viral invasion.</t>
  </si>
  <si>
    <t>(MIP-1α, receptor for CCR5)</t>
  </si>
  <si>
    <t>The natural ligand for the @GENE$ (Sdf1 for CXCR4; RANTES, @GENE$, or MIP-1β for CCR5) blocks co-receptor function and prevents viral invasion.</t>
  </si>
  <si>
    <t>(MIP-1β, receptor for CCR5)</t>
  </si>
  <si>
    <t>The natural ligand for the @GENE$ (Sdf1 for CXCR4; RANTES, MIP-1α, or @GENE$ for CCR5) blocks co-receptor function and prevents viral invasion.</t>
  </si>
  <si>
    <t>The natural ligand for the @GENE$ (Sdf1 for CXCR4; RANTES, MIP-1α, or MIP-1β for @GENE$) blocks co-receptor function and prevents viral invasion.</t>
  </si>
  <si>
    <t>The natural ligand for the chemokine receptors (@GENE$ for @GENE$; RANTES, MIP-1α, or MIP-1β for CCR5) blocks co-receptor function and prevents viral invasion.</t>
  </si>
  <si>
    <t>The natural ligand for the chemokine receptors (@GENE$ for CXCR4; @GENE$, MIP-1α, or MIP-1β for CCR5) blocks co-receptor function and prevents viral invasion.</t>
  </si>
  <si>
    <t>The natural ligand for the chemokine receptors (@GENE$ for CXCR4; RANTES, @GENE$, or MIP-1β for CCR5) blocks co-receptor function and prevents viral invasion.</t>
  </si>
  <si>
    <t>The natural ligand for the chemokine receptors (@GENE$ for CXCR4; RANTES, MIP-1α, or @GENE$ for CCR5) blocks co-receptor function and prevents viral invasion.</t>
  </si>
  <si>
    <t>The natural ligand for the chemokine receptors (@GENE$ for CXCR4; RANTES, MIP-1α, or MIP-1β for @GENE$) blocks co-receptor function and prevents viral invasion.</t>
  </si>
  <si>
    <t>The natural ligand for the chemokine receptors (Sdf1 for @GENE$; @GENE$, MIP-1α, or MIP-1β for CCR5) blocks co-receptor function and prevents viral invasion.</t>
  </si>
  <si>
    <t>The natural ligand for the chemokine receptors (Sdf1 for @GENE$; RANTES, @GENE$, or MIP-1β for CCR5) blocks co-receptor function and prevents viral invasion.</t>
  </si>
  <si>
    <t>The natural ligand for the chemokine receptors (Sdf1 for @GENE$; RANTES, MIP-1α, or @GENE$ for CCR5) blocks co-receptor function and prevents viral invasion.</t>
  </si>
  <si>
    <t>The natural ligand for the chemokine receptors (Sdf1 for @GENE$; RANTES, MIP-1α, or MIP-1β for @GENE$) blocks co-receptor function and prevents viral invasion.</t>
  </si>
  <si>
    <t>The natural ligand for the chemokine receptors (Sdf1 for CXCR4; @GENE$, @GENE$, or MIP-1β for CCR5) blocks co-receptor function and prevents viral invasion.</t>
  </si>
  <si>
    <t>The natural ligand for the chemokine receptors (Sdf1 for CXCR4; @GENE$, MIP-1α, or @GENE$ for CCR5) blocks co-receptor function and prevents viral invasion.</t>
  </si>
  <si>
    <t>The natural ligand for the chemokine receptors (Sdf1 for CXCR4; @GENE$, MIP-1α, or MIP-1β for @GENE$) blocks co-receptor function and prevents viral invasion.</t>
  </si>
  <si>
    <t>The natural ligand for the chemokine receptors (Sdf1 for CXCR4; RANTES, @GENE$, or @GENE$ for CCR5) blocks co-receptor function and prevents viral invasion.</t>
  </si>
  <si>
    <t>The natural ligand for the chemokine receptors (Sdf1 for CXCR4; RANTES, @GENE$, or MIP-1β for @GENE$) blocks co-receptor function and prevents viral invasion.</t>
  </si>
  <si>
    <t>The natural ligand for the chemokine receptors (Sdf1 for CXCR4; RANTES, MIP-1α, or @GENE$ for @GENE$) blocks co-receptor function and prevents viral invasion.</t>
  </si>
  <si>
    <t>A @SPECIES$ makes at least 10 different @GENE$, each recognizing distinct ligands: TLR3, for example, recognizes double-stranded viral RNA in the endosomal lumen; TLR4 recognizes lipopolysaccharide (LPS) on the outer membrane of Gram-negative bacteria; TLR5 recognizes the protein that forms the bacterial flagellum; TLR7 and TLR8 recognize single- stranded viral RNA; and TLR9 recognizes short, unmethylated sequences of bacterial, viral, or protozoan DNA, called CpG motifs, which are uncommon in vertebrate DNA.</t>
  </si>
  <si>
    <t>A @SPECIES$ makes at least 10 different TLRs, each recognizing distinct ligands: @GENE$, for example, recognizes double-stranded viral RNA in the endosomal lumen; TLR4 recognizes lipopolysaccharide (LPS) on the outer membrane of Gram-negative bacteria; TLR5 recognizes the protein that forms the bacterial flagellum; TLR7 and TLR8 recognize single- stranded viral RNA; and TLR9 recognizes short, unmethylated sequences of bacterial, viral, or protozoan DNA, called CpG motifs, which are uncommon in vertebrate DNA.</t>
  </si>
  <si>
    <t>A @SPECIES$ makes at least 10 different TLRs, each recognizing distinct ligands: TLR3, for example, recognizes double-stranded @SPECIES$ RNA in the endosomal lumen; TLR4 recognizes lipopolysaccharide (LPS) on the outer membrane of Gram-negative bacteria; TLR5 recognizes the protein that forms the bacterial flagellum; TLR7 and TLR8 recognize single- stranded viral RNA; and TLR9 recognizes short, unmethylated sequences of bacterial, viral, or protozoan DNA, called CpG motifs, which are uncommon in vertebrate DNA.</t>
  </si>
  <si>
    <t>A @SPECIES$ makes at least 10 different TLRs, each recognizing distinct ligands: TLR3, for example, recognizes double-stranded viral RNA in the endosomal lumen; @GENE$ recognizes lipopolysaccharide (LPS) on the outer membrane of Gram-negative bacteria; TLR5 recognizes the protein that forms the bacterial flagellum; TLR7 and TLR8 recognize single- stranded viral RNA; and TLR9 recognizes short, unmethylated sequences of bacterial, viral, or protozoan DNA, called CpG motifs, which are uncommon in vertebrate DNA.</t>
  </si>
  <si>
    <t>A @SPECIES$ makes at least 10 different TLRs, each recognizing distinct ligands: TLR3, for example, recognizes double-stranded viral RNA in the endosomal lumen; TLR4 recognizes @CHEMICAL$ (LPS) on the outer membrane of Gram-negative bacteria; TLR5 recognizes the protein that forms the bacterial flagellum; TLR7 and TLR8 recognize single- stranded viral RNA; and TLR9 recognizes short, unmethylated sequences of bacterial, viral, or protozoan DNA, called CpG motifs, which are uncommon in vertebrate DNA.</t>
  </si>
  <si>
    <t>A @SPECIES$ makes at least 10 different TLRs, each recognizing distinct ligands: TLR3, for example, recognizes double-stranded viral RNA in the endosomal lumen; TLR4 recognizes lipopolysaccharide (@CHEMICAL$) on the outer membrane of Gram-negative bacteria; TLR5 recognizes the protein that forms the bacterial flagellum; TLR7 and TLR8 recognize single- stranded viral RNA; and TLR9 recognizes short, unmethylated sequences of bacterial, viral, or protozoan DNA, called CpG motifs, which are uncommon in vertebrate DNA.</t>
  </si>
  <si>
    <t>A @SPECIES$ makes at least 10 different TLRs, each recognizing distinct ligands: TLR3, for example, recognizes double-stranded viral RNA in the endosomal lumen; TLR4 recognizes lipopolysaccharide (LPS) on the outer membrane of Gram-negative @SPECIES$; TLR5 recognizes the protein that forms the bacterial flagellum; TLR7 and TLR8 recognize single- stranded viral RNA; and TLR9 recognizes short, unmethylated sequences of bacterial, viral, or protozoan DNA, called CpG motifs, which are uncommon in vertebrate DNA.</t>
  </si>
  <si>
    <t>A @SPECIES$ makes at least 10 different TLRs, each recognizing distinct ligands: TLR3, for example, recognizes double-stranded viral RNA in the endosomal lumen; TLR4 recognizes lipopolysaccharide (LPS) on the outer membrane of Gram-negative bacteria; @GENE$ recognizes the protein that forms the bacterial flagellum; TLR7 and TLR8 recognize single- stranded viral RNA; and TLR9 recognizes short, unmethylated sequences of bacterial, viral, or protozoan DNA, called CpG motifs, which are uncommon in vertebrate DNA.</t>
  </si>
  <si>
    <t>A @SPECIES$ makes at least 10 different TLRs, each recognizing distinct ligands: TLR3, for example, recognizes double-stranded viral RNA in the endosomal lumen; TLR4 recognizes lipopolysaccharide (LPS) on the outer membrane of Gram-negative bacteria; TLR5 recognizes the protein that forms the @SPECIES$ flagellum; TLR7 and TLR8 recognize single- stranded viral RNA; and TLR9 recognizes short, unmethylated sequences of bacterial, viral, or protozoan DNA, called CpG motifs, which are uncommon in vertebrate DNA.</t>
  </si>
  <si>
    <t>A @SPECIES$ makes at least 10 different TLRs, each recognizing distinct ligands: TLR3, for example, recognizes double-stranded viral RNA in the endosomal lumen; TLR4 recognizes lipopolysaccharide (LPS) on the outer membrane of Gram-negative bacteria; TLR5 recognizes the protein that forms the bacterial flagellum; @GENE$ and TLR8 recognize single- stranded viral RNA; and TLR9 recognizes short, unmethylated sequences of bacterial, viral, or protozoan DNA, called CpG motifs, which are uncommon in vertebrate DNA.</t>
  </si>
  <si>
    <t>A @SPECIES$ makes at least 10 different TLRs, each recognizing distinct ligands: TLR3, for example, recognizes double-stranded viral RNA in the endosomal lumen; TLR4 recognizes lipopolysaccharide (LPS) on the outer membrane of Gram-negative bacteria; TLR5 recognizes the protein that forms the bacterial flagellum; TLR7 and @GENE$ recognize single- stranded viral RNA; and TLR9 recognizes short, unmethylated sequences of bacterial, viral, or protozoan DNA, called CpG motifs, which are uncommon in vertebrate DNA.</t>
  </si>
  <si>
    <t>A @SPECIES$ makes at least 10 different TLRs, each recognizing distinct ligands: TLR3, for example, recognizes double-stranded viral RNA in the endosomal lumen; TLR4 recognizes lipopolysaccharide (LPS) on the outer membrane of Gram-negative bacteria; TLR5 recognizes the protein that forms the bacterial flagellum; TLR7 and TLR8 recognize single- stranded viral RNA; and @GENE$ recognizes short, unmethylated sequences of bacterial, viral, or protozoan DNA, called CpG motifs, which are uncommon in vertebrate DNA.</t>
  </si>
  <si>
    <t>A human makes at least 10 different @GENE$, each recognizing distinct ligands: @GENE$, for example, recognizes double-stranded viral RNA in the endosomal lumen; TLR4 recognizes lipopolysaccharide (LPS) on the outer membrane of Gram-negative bacteria; TLR5 recognizes the protein that forms the bacterial flagellum; TLR7 and TLR8 recognize single- stranded viral RNA; and TLR9 recognizes short, unmethylated sequences of bacterial, viral, or protozoan DNA, called CpG motifs, which are uncommon in vertebrate DNA.</t>
  </si>
  <si>
    <t>A human makes at least 10 different @GENE$, each recognizing distinct ligands: TLR3, for example, recognizes double-stranded @SPECIES$ RNA in the endosomal lumen; TLR4 recognizes lipopolysaccharide (LPS) on the outer membrane of Gram-negative bacteria; TLR5 recognizes the protein that forms the bacterial flagellum; TLR7 and TLR8 recognize single- stranded viral RNA; and TLR9 recognizes short, unmethylated sequences of bacterial, viral, or protozoan DNA, called CpG motifs, which are uncommon in vertebrate DNA.</t>
  </si>
  <si>
    <t>A human makes at least 10 different @GENE$, each recognizing distinct ligands: TLR3, for example, recognizes double-stranded viral RNA in the endosomal lumen; @GENE$ recognizes lipopolysaccharide (LPS) on the outer membrane of Gram-negative bacteria; TLR5 recognizes the protein that forms the bacterial flagellum; TLR7 and TLR8 recognize single- stranded viral RNA; and TLR9 recognizes short, unmethylated sequences of bacterial, viral, or protozoan DNA, called CpG motifs, which are uncommon in vertebrate DNA.</t>
  </si>
  <si>
    <t>A human makes at least 10 different @GENE$, each recognizing distinct ligands: TLR3, for example, recognizes double-stranded viral RNA in the endosomal lumen; TLR4 recognizes @CHEMICAL$ (LPS) on the outer membrane of Gram-negative bacteria; TLR5 recognizes the protein that forms the bacterial flagellum; TLR7 and TLR8 recognize single- stranded viral RNA; and TLR9 recognizes short, unmethylated sequences of bacterial, viral, or protozoan DNA, called CpG motifs, which are uncommon in vertebrate DNA.</t>
  </si>
  <si>
    <t>A human makes at least 10 different @GENE$, each recognizing distinct ligands: TLR3, for example, recognizes double-stranded viral RNA in the endosomal lumen; TLR4 recognizes lipopolysaccharide (@CHEMICAL$) on the outer membrane of Gram-negative bacteria; TLR5 recognizes the protein that forms the bacterial flagellum; TLR7 and TLR8 recognize single- stranded viral RNA; and TLR9 recognizes short, unmethylated sequences of bacterial, viral, or protozoan DNA, called CpG motifs, which are uncommon in vertebrate DNA.</t>
  </si>
  <si>
    <t>A human makes at least 10 different @GENE$, each recognizing distinct ligands: TLR3, for example, recognizes double-stranded viral RNA in the endosomal lumen; TLR4 recognizes lipopolysaccharide (LPS) on the outer membrane of Gram-negative @SPECIES$; TLR5 recognizes the protein that forms the bacterial flagellum; TLR7 and TLR8 recognize single- stranded viral RNA; and TLR9 recognizes short, unmethylated sequences of bacterial, viral, or protozoan DNA, called CpG motifs, which are uncommon in vertebrate DNA.</t>
  </si>
  <si>
    <t>A human makes at least 10 different @GENE$, each recognizing distinct ligands: TLR3, for example, recognizes double-stranded viral RNA in the endosomal lumen; TLR4 recognizes lipopolysaccharide (LPS) on the outer membrane of Gram-negative bacteria; @GENE$ recognizes the protein that forms the bacterial flagellum; TLR7 and TLR8 recognize single- stranded viral RNA; and TLR9 recognizes short, unmethylated sequences of bacterial, viral, or protozoan DNA, called CpG motifs, which are uncommon in vertebrate DNA.</t>
  </si>
  <si>
    <t>A human makes at least 10 different @GENE$, each recognizing distinct ligands: TLR3, for example, recognizes double-stranded viral RNA in the endosomal lumen; TLR4 recognizes lipopolysaccharide (LPS) on the outer membrane of Gram-negative bacteria; TLR5 recognizes the protein that forms the @SPECIES$ flagellum; TLR7 and TLR8 recognize single- stranded viral RNA; and TLR9 recognizes short, unmethylated sequences of bacterial, viral, or protozoan DNA, called CpG motifs, which are uncommon in vertebrate DNA.</t>
  </si>
  <si>
    <t>A human makes at least 10 different @GENE$, each recognizing distinct ligands: TLR3, for example, recognizes double-stranded viral RNA in the endosomal lumen; TLR4 recognizes lipopolysaccharide (LPS) on the outer membrane of Gram-negative bacteria; TLR5 recognizes the protein that forms the bacterial flagellum; @GENE$ and TLR8 recognize single- stranded viral RNA; and TLR9 recognizes short, unmethylated sequences of bacterial, viral, or protozoan DNA, called CpG motifs, which are uncommon in vertebrate DNA.</t>
  </si>
  <si>
    <t>A human makes at least 10 different @GENE$, each recognizing distinct ligands: TLR3, for example, recognizes double-stranded viral RNA in the endosomal lumen; TLR4 recognizes lipopolysaccharide (LPS) on the outer membrane of Gram-negative bacteria; TLR5 recognizes the protein that forms the bacterial flagellum; TLR7 and @GENE$ recognize single- stranded viral RNA; and TLR9 recognizes short, unmethylated sequences of bacterial, viral, or protozoan DNA, called CpG motifs, which are uncommon in vertebrate DNA.</t>
  </si>
  <si>
    <t>A human makes at least 10 different @GENE$, each recognizing distinct ligands: TLR3, for example, recognizes double-stranded viral RNA in the endosomal lumen; TLR4 recognizes lipopolysaccharide (LPS) on the outer membrane of Gram-negative bacteria; TLR5 recognizes the protein that forms the bacterial flagellum; TLR7 and TLR8 recognize single- stranded viral RNA; and @GENE$ recognizes short, unmethylated sequences of bacterial, viral, or protozoan DNA, called CpG motifs, which are uncommon in vertebrate DNA.</t>
  </si>
  <si>
    <t>A human makes at least 10 different TLRs, each recognizing distinct ligands: @GENE$, for example, recognizes double-stranded @SPECIES$ RNA in the endosomal lumen; TLR4 recognizes lipopolysaccharide (LPS) on the outer membrane of Gram-negative bacteria; TLR5 recognizes the protein that forms the bacterial flagellum; TLR7 and TLR8 recognize single- stranded viral RNA; and TLR9 recognizes short, unmethylated sequences of bacterial, viral, or protozoan DNA, called CpG motifs, which are uncommon in vertebrate DNA.</t>
  </si>
  <si>
    <t>[Jiaying] Should "RNA/DNA" be tagged as @CHEMICALS$?</t>
  </si>
  <si>
    <t>A human makes at least 10 different TLRs, each recognizing distinct ligands: @GENE$, for example, recognizes double-stranded viral RNA in the endosomal lumen; @GENE$ recognizes lipopolysaccharide (LPS) on the outer membrane of Gram-negative bacteria; TLR5 recognizes the protein that forms the bacterial flagellum; TLR7 and TLR8 recognize single- stranded viral RNA; and TLR9 recognizes short, unmethylated sequences of bacterial, viral, or protozoan DNA, called CpG motifs, which are uncommon in vertebrate DNA.</t>
  </si>
  <si>
    <t>A human makes at least 10 different TLRs, each recognizing distinct ligands: @GENE$, for example, recognizes double-stranded viral RNA in the endosomal lumen; TLR4 recognizes @CHEMICAL$ (LPS) on the outer membrane of Gram-negative bacteria; TLR5 recognizes the protein that forms the bacterial flagellum; TLR7 and TLR8 recognize single- stranded viral RNA; and TLR9 recognizes short, unmethylated sequences of bacterial, viral, or protozoan DNA, called CpG motifs, which are uncommon in vertebrate DNA.</t>
  </si>
  <si>
    <t>A human makes at least 10 different TLRs, each recognizing distinct ligands: @GENE$, for example, recognizes double-stranded viral RNA in the endosomal lumen; TLR4 recognizes lipopolysaccharide (@CHEMICAL$) on the outer membrane of Gram-negative bacteria; TLR5 recognizes the protein that forms the bacterial flagellum; TLR7 and TLR8 recognize single- stranded viral RNA; and TLR9 recognizes short, unmethylated sequences of bacterial, viral, or protozoan DNA, called CpG motifs, which are uncommon in vertebrate DNA.</t>
  </si>
  <si>
    <t>A human makes at least 10 different TLRs, each recognizing distinct ligands: @GENE$, for example, recognizes double-stranded viral RNA in the endosomal lumen; TLR4 recognizes lipopolysaccharide (LPS) on the outer membrane of Gram-negative @SPECIES$; TLR5 recognizes the protein that forms the bacterial flagellum; TLR7 and TLR8 recognize single- stranded viral RNA; and TLR9 recognizes short, unmethylated sequences of bacterial, viral, or protozoan DNA, called CpG motifs, which are uncommon in vertebrate DNA.</t>
  </si>
  <si>
    <t>A human makes at least 10 different TLRs, each recognizing distinct ligands: @GENE$, for example, recognizes double-stranded viral RNA in the endosomal lumen; TLR4 recognizes lipopolysaccharide (LPS) on the outer membrane of Gram-negative bacteria; @GENE$ recognizes the protein that forms the bacterial flagellum; TLR7 and TLR8 recognize single- stranded viral RNA; and TLR9 recognizes short, unmethylated sequences of bacterial, viral, or protozoan DNA, called CpG motifs, which are uncommon in vertebrate DNA.</t>
  </si>
  <si>
    <t>A human makes at least 10 different TLRs, each recognizing distinct ligands: @GENE$, for example, recognizes double-stranded viral RNA in the endosomal lumen; TLR4 recognizes lipopolysaccharide (LPS) on the outer membrane of Gram-negative bacteria; TLR5 recognizes the protein that forms the @SPECIES$ flagellum; TLR7 and TLR8 recognize single- stranded viral RNA; and TLR9 recognizes short, unmethylated sequences of bacterial, viral, or protozoan DNA, called CpG motifs, which are uncommon in vertebrate DNA.</t>
  </si>
  <si>
    <t>A human makes at least 10 different TLRs, each recognizing distinct ligands: @GENE$, for example, recognizes double-stranded viral RNA in the endosomal lumen; TLR4 recognizes lipopolysaccharide (LPS) on the outer membrane of Gram-negative bacteria; TLR5 recognizes the protein that forms the bacterial flagellum; @GENE$ and TLR8 recognize single- stranded viral RNA; and TLR9 recognizes short, unmethylated sequences of bacterial, viral, or protozoan DNA, called CpG motifs, which are uncommon in vertebrate DNA.</t>
  </si>
  <si>
    <t>A human makes at least 10 different TLRs, each recognizing distinct ligands: @GENE$, for example, recognizes double-stranded viral RNA in the endosomal lumen; TLR4 recognizes lipopolysaccharide (LPS) on the outer membrane of Gram-negative bacteria; TLR5 recognizes the protein that forms the bacterial flagellum; TLR7 and @GENE$ recognize single- stranded viral RNA; and TLR9 recognizes short, unmethylated sequences of bacterial, viral, or protozoan DNA, called CpG motifs, which are uncommon in vertebrate DNA.</t>
  </si>
  <si>
    <t>A human makes at least 10 different TLRs, each recognizing distinct ligands: @GENE$, for example, recognizes double-stranded viral RNA in the endosomal lumen; TLR4 recognizes lipopolysaccharide (LPS) on the outer membrane of Gram-negative bacteria; TLR5 recognizes the protein that forms the bacterial flagellum; TLR7 and TLR8 recognize single- stranded viral RNA; and @GENE$ recognizes short, unmethylated sequences of bacterial, viral, or protozoan DNA, called CpG motifs, which are uncommon in vertebrate DNA.</t>
  </si>
  <si>
    <t>A human makes at least 10 different TLRs, each recognizing distinct ligands: TLR3, for example, recognizes double-stranded @SPECIES$ RNA in the endosomal lumen; @GENE$ recognizes lipopolysaccharide (LPS) on the outer membrane of Gram-negative bacteria; TLR5 recognizes the protein that forms the bacterial flagellum; TLR7 and TLR8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</si>
  <si>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@SPECIES$ RNA in the endosomal lumen; TLR4 recognizes @CHEMICAL$ (LPS) on the outer membrane of Gram-negative bacteria; TLR5 recognizes the protein that forms the bacterial flagellum; TLR7 and TLR8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</si>
  <si>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@SPECIES$ RNA in the endosomal lumen; TLR4 recognizes lipopolysaccharide (@CHEMICAL$) on the outer membrane of Gram-negative bacteria; TLR5 recognizes the protein that forms the bacterial flagellum; TLR7 and TLR8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</si>
  <si>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@SPECIES$ RNA in the endosomal lumen; TLR4 recognizes lipopolysaccharide (LPS) on the outer membrane of Gram-negative @SPECIES$; TLR5 recognizes the protein that forms the bacterial flagellum; TLR7 and TLR8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</si>
  <si>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@SPECIES$ RNA in the endosomal lumen; TLR4 recognizes lipopolysaccharide (LPS) on the outer membrane of Gram-negative bacteria; @GENE$ recognizes the protein that forms the bacterial flagellum; TLR7 and TLR8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</si>
  <si>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@SPECIES$ RNA in the endosomal lumen; TLR4 recognizes lipopolysaccharide (LPS) on the outer membrane of Gram-negative bacteria; TLR5 recognizes the protein that forms the @SPECIES$ flagellum; TLR7 and TLR8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</si>
  <si>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@SPECIES$ RNA in the endosomal lumen; TLR4 recognizes lipopolysaccharide (LPS) on the outer membrane of Gram-negative bacteria; TLR5 recognizes the protein that forms the bacterial flagellum; @GENE$ and TLR8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</si>
  <si>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@SPECIES$ RNA in the endosomal lumen; TLR4 recognizes lipopolysaccharide (LPS) on the outer membrane of Gram-negative bacteria; TLR5 recognizes the protein that forms the bacterial flagellum; TLR7 and @GENE$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</si>
  <si>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@SPECIES$ RNA in the endosomal lumen; TLR4 recognizes lipopolysaccharide (LPS) on the outer membrane of Gram-negative bacteria; TLR5 recognizes the protein that forms the bacterial flagellum; TLR7 and TLR8 recognize single- stranded viral RNA; and @GENE$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</si>
  <si>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@GENE$ recognizes @CHEMICAL$ (LPS) on the outer membrane of Gram-negative bacteria; TLR5 recognizes the protein that forms the bacterial flagellum; TLR7 and TLR8 recognize single- stranded viral RNA; and TLR9 recognizes short, unmethylated sequences of bacterial, viral, or protozoan DNA, called CpG motifs, which are uncommon in vertebrate DNA.</t>
  </si>
  <si>
    <t>[Jiaying] Ligand-receptor binding, now classified as interaction (gene-chemical)</t>
  </si>
  <si>
    <t>A human makes at least 10 different TLRs, each recognizing distinct ligands: TLR3, for example, recognizes double-stranded viral RNA in the endosomal lumen; @GENE$ recognizes lipopolysaccharide (@CHEMICAL$) on the outer membrane of Gram-negative bacteria; TLR5 recognizes the protein that forms the bacterial flagellum; TLR7 and TLR8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</si>
  <si>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@GENE$ recognizes lipopolysaccharide (LPS) on the outer membrane of Gram-negative @SPECIES$; TLR5 recognizes the protein that forms the bacterial flagellum; TLR7 and TLR8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</si>
  <si>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@GENE$ recognizes lipopolysaccharide (LPS) on the outer membrane of Gram-negative bacteria; @GENE$ recognizes the protein that forms the bacterial flagellum; TLR7 and TLR8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</si>
  <si>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@GENE$ recognizes lipopolysaccharide (LPS) on the outer membrane of Gram-negative bacteria; TLR5 recognizes the protein that forms the @SPECIES$ flagellum; TLR7 and TLR8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</si>
  <si>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@GENE$ recognizes lipopolysaccharide (LPS) on the outer membrane of Gram-negative bacteria; TLR5 recognizes the protein that forms the bacterial flagellum; @GENE$ and TLR8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</si>
  <si>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@GENE$ recognizes lipopolysaccharide (LPS) on the outer membrane of Gram-negative bacteria; TLR5 recognizes the protein that forms the bacterial flagellum; TLR7 and @GENE$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</si>
  <si>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@GENE$ recognizes lipopolysaccharide (LPS) on the outer membrane of Gram-negative bacteria; TLR5 recognizes the protein that forms the bacterial flagellum; TLR7 and TLR8 recognize single- stranded viral RNA; and @GENE$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</si>
  <si>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TLR4 recognizes @CHEMICAL$ (@CHEMICAL$) on the outer membrane of Gram-negative bacteria; TLR5 recognizes the protein that forms the bacterial flagellum; TLR7 and TLR8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</si>
  <si>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TLR4 recognizes @CHEMICAL$ (LPS) on the outer membrane of Gram-negative @SPECIES$; TLR5 recognizes the protein that forms the bacterial flagellum; TLR7 and TLR8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</si>
  <si>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TLR4 recognizes @CHEMICAL$ (LPS) on the outer membrane of Gram-negative bacteria; @GENE$ recognizes the protein that forms the bacterial flagellum; TLR7 and TLR8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</si>
  <si>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TLR4 recognizes @CHEMICAL$ (LPS) on the outer membrane of Gram-negative bacteria; TLR5 recognizes the protein that forms the @SPECIES$ flagellum; TLR7 and TLR8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</si>
  <si>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TLR4 recognizes @CHEMICAL$ (LPS) on the outer membrane of Gram-negative bacteria; TLR5 recognizes the protein that forms the bacterial flagellum; @GENE$ and TLR8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</si>
  <si>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TLR4 recognizes @CHEMICAL$ (LPS) on the outer membrane of Gram-negative bacteria; TLR5 recognizes the protein that forms the bacterial flagellum; TLR7 and @GENE$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</si>
  <si>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TLR4 recognizes @CHEMICAL$ (LPS) on the outer membrane of Gram-negative bacteria; TLR5 recognizes the protein that forms the bacterial flagellum; TLR7 and TLR8 recognize single- stranded viral RNA; and @GENE$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</si>
  <si>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TLR4 recognizes lipopolysaccharide (@CHEMICAL$) on the outer membrane of Gram-negative @SPECIES$; TLR5 recognizes the protein that forms the bacterial flagellum; TLR7 and TLR8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</si>
  <si>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TLR4 recognizes lipopolysaccharide (@CHEMICAL$) on the outer membrane of Gram-negative bacteria; @GENE$ recognizes the protein that forms the bacterial flagellum; TLR7 and TLR8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</si>
  <si>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TLR4 recognizes lipopolysaccharide (@CHEMICAL$) on the outer membrane of Gram-negative bacteria; TLR5 recognizes the protein that forms the @SPECIES$ flagellum; TLR7 and TLR8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</si>
  <si>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TLR4 recognizes lipopolysaccharide (@CHEMICAL$) on the outer membrane of Gram-negative bacteria; TLR5 recognizes the protein that forms the bacterial flagellum; @GENE$ and TLR8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</si>
  <si>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TLR4 recognizes lipopolysaccharide (@CHEMICAL$) on the outer membrane of Gram-negative bacteria; TLR5 recognizes the protein that forms the bacterial flagellum; TLR7 and @GENE$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</si>
  <si>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TLR4 recognizes lipopolysaccharide (@CHEMICAL$) on the outer membrane of Gram-negative bacteria; TLR5 recognizes the protein that forms the bacterial flagellum; TLR7 and TLR8 recognize single- stranded viral RNA; and @GENE$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</si>
  <si>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TLR4 recognizes lipopolysaccharide (LPS) on the outer membrane of Gram-negative @SPECIES$; @GENE$ recognizes the protein that forms the bacterial flagellum; TLR7 and TLR8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</si>
  <si>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TLR4 recognizes lipopolysaccharide (LPS) on the outer membrane of Gram-negative @SPECIES$; TLR5 recognizes the protein that forms the @SPECIES$ flagellum; TLR7 and TLR8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</si>
  <si>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TLR4 recognizes lipopolysaccharide (LPS) on the outer membrane of Gram-negative @SPECIES$; TLR5 recognizes the protein that forms the bacterial flagellum; @GENE$ and TLR8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</si>
  <si>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TLR4 recognizes lipopolysaccharide (LPS) on the outer membrane of Gram-negative @SPECIES$; TLR5 recognizes the protein that forms the bacterial flagellum; TLR7 and @GENE$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</si>
  <si>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TLR4 recognizes lipopolysaccharide (LPS) on the outer membrane of Gram-negative @SPECIES$; TLR5 recognizes the protein that forms the bacterial flagellum; TLR7 and TLR8 recognize single- stranded viral RNA; and @GENE$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</si>
  <si>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TLR4 recognizes lipopolysaccharide (LPS) on the outer membrane of Gram-negative bacteria; @GENE$ recognizes the protein that forms the @SPECIES$ flagellum; TLR7 and TLR8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</si>
  <si>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TLR4 recognizes lipopolysaccharide (LPS) on the outer membrane of Gram-negative bacteria; @GENE$ recognizes the protein that forms the bacterial flagellum; @GENE$ and TLR8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</si>
  <si>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TLR4 recognizes lipopolysaccharide (LPS) on the outer membrane of Gram-negative bacteria; @GENE$ recognizes the protein that forms the bacterial flagellum; TLR7 and @GENE$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</si>
  <si>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TLR4 recognizes lipopolysaccharide (LPS) on the outer membrane of Gram-negative bacteria; @GENE$ recognizes the protein that forms the bacterial flagellum; TLR7 and TLR8 recognize single- stranded viral RNA; and @GENE$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</si>
  <si>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TLR4 recognizes lipopolysaccharide (LPS) on the outer membrane of Gram-negative bacteria; TLR5 recognizes the protein that forms the @SPECIES$ flagellum; @GENE$ and TLR8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</si>
  <si>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TLR4 recognizes lipopolysaccharide (LPS) on the outer membrane of Gram-negative bacteria; TLR5 recognizes the protein that forms the @SPECIES$ flagellum; TLR7 and @GENE$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</si>
  <si>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TLR4 recognizes lipopolysaccharide (LPS) on the outer membrane of Gram-negative bacteria; TLR5 recognizes the protein that forms the @SPECIES$ flagellum; TLR7 and TLR8 recognize single- stranded viral RNA; and @GENE$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</si>
  <si>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TLR4 recognizes lipopolysaccharide (LPS) on the outer membrane of Gram-negative bacteria; TLR5 recognizes the protein that forms the bacterial flagellum; @GENE$ and @GENE$ recognize single- stranded viral RNA; and TLR9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</si>
  <si>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TLR4 recognizes lipopolysaccharide (LPS) on the outer membrane of Gram-negative bacteria; TLR5 recognizes the protein that forms the bacterial flagellum; @GENE$ and TLR8 recognize single- stranded viral RNA; and @GENE$ recognizes short, unmethylated sequences of bacterial, viral, or protozoan DNA, called CpG motifs, which are uncommon in vertebrate DNA.</t>
  </si>
  <si>
    <t>A human makes at least 10 different TLRs, each recognizing distinct ligands: TLR3, for example, recognizes double-stranded viral RNA in the endosomal lumen; TLR4 recognizes lipopolysaccharide (LPS) on the outer membrane of Gram-negative bacteria; TLR5 recognizes the protein that forms the bacterial flagellum; TLR7 and @GENE$ recognize single- stranded viral RNA; and @GENE$ recognizes short, unmethylated sequences of bacterial, viral, or protozoan DNA, called CpG motifs, which are uncommon in vertebrate DNA.</t>
  </si>
  <si>
    <t>For a naïve T cell, an activated dendritic cell provides the co-stimulatory signals; these include the transmembrane @GENE$ proteins, which are recognized by the co-receptor protein @GENE$ on the surface of the T cell.</t>
  </si>
  <si>
    <t>(CD28, receptor for, B7 proteins)</t>
  </si>
  <si>
    <t>For a B cell, an effector TFH cell provides the co-stimulatory signals; these include the transmembrane @GENE$, which binds to @GENE$ on the B cell</t>
  </si>
  <si>
    <t>(CD40 ligand, binds to, CD40 receptors)</t>
  </si>
  <si>
    <t>@GENE$ is expressed on activated T cells, and its prolonged binding to its cell-surface ligand (@GENE$ or PDL2) on various cell types, including cancer cells, inhibits the activity of the T cells.</t>
  </si>
  <si>
    <t>(PD1, binds to PDL1)</t>
  </si>
  <si>
    <t>@GENE$ is expressed on activated T cells, and its prolonged binding to its cell-surface ligand (PDL1 or @GENE$) on various cell types, including cancer cells, inhibits the activity of the T cells.</t>
  </si>
  <si>
    <t>(PD1, binds to, PDL2)</t>
  </si>
  <si>
    <t>@GENE$ is expressed on activated T cells, and its prolonged binding to its cell-surface ligand (PDL1 or PDL2) on various cell types, including @DISEASE$ cells, inhibits the activity of the T cells.</t>
  </si>
  <si>
    <t>PD1 is expressed on activated T cells, and its prolonged binding to its cell-surface ligand (@GENE$ or @GENE$) on various cell types, including cancer cells, inhibits the activity of the T cells.</t>
  </si>
  <si>
    <t>PD1 is expressed on activated T cells, and its prolonged binding to its cell-surface ligand (@GENE$ or PDL2) on various cell types, including @DISEASE$ cells, inhibits the activity of the T cells.</t>
  </si>
  <si>
    <t>PD1 is expressed on activated T cells, and its prolonged binding to its cell-surface ligand (PDL1 or @GENE$) on various cell types, including @DISEASE$ cells, inhibits the activity of the T cells.</t>
  </si>
  <si>
    <t>The structure of the @GENE$, a receptor for the @CHEMICAL$ epinephrine, illustrates the typical cylindrical arrangement of the seven transmembrane helices in a GPCR.</t>
  </si>
  <si>
    <t>[Jiaying] Should be 0 - Consider that "neurotransmitter" is too generic a term to be biologically meaningful if we label this as an interaction</t>
  </si>
  <si>
    <t>The structure of the @GENE$, a receptor for the neurotransmitter @CHEMICAL$, illustrates the typical cylindrical arrangement of the seven transmembrane helices in a GPCR.</t>
  </si>
  <si>
    <t>(Epinephrine, binds to, β2-adrenergic receptor)</t>
  </si>
  <si>
    <t>The structure of the β2-adrenergic receptor, a receptor for the @CHEMICAL$ @CHEMICAL$, illustrates the typical cylindrical arrangement of the seven transmembrane helices in a GPCR.</t>
  </si>
  <si>
    <t>[Jiaying] Should be 0 - epinephrine is a neurotransmitter, no ligand-receptor binding here</t>
  </si>
  <si>
    <t>When @GENE$ binding acti- vates the @GENE$, the receptor activates a cytoplasmic tyrosine kinase that phosphorylates ephexin on a tyrosine, enhancing the ability of ephexin to activate the Rho protein RhoA.</t>
  </si>
  <si>
    <t>(Ephrin, binds to, Eph receptor)</t>
  </si>
  <si>
    <t>[Jiaying] Ligand-receptor binding, now classified as interaction (protein-protein); 
Ephrin binding activates Eph receptor = stimulation</t>
  </si>
  <si>
    <t>When @GENE$ binding acti- vates the Eph receptor, the receptor activates a cytoplasmic @GENE$ that phosphorylates ephexin on a tyrosine, enhancing the ability of ephexin to activate the Rho protein RhoA.</t>
  </si>
  <si>
    <t>When @GENE$ binding acti- vates the Eph receptor, the receptor activates a cytoplasmic tyrosine kinase that phosphorylates @GENE$ on a tyrosine, enhancing the ability of ephexin to activate the Rho protein RhoA.</t>
  </si>
  <si>
    <t xml:space="preserve">[Jiaying] Should be 1 - Ephrin binding eventually leads to phosphorylation of ephexin = phosphorylation via signalling cascade </t>
  </si>
  <si>
    <t xml:space="preserve">[Jiaying] Ephrin binding eventually leads to phosphorylation of ephexin which enhances its activity = (indirect) stimulation? </t>
  </si>
  <si>
    <t>When @GENE$ binding acti- vates the Eph receptor, the receptor activates a cytoplasmic tyrosine kinase that phosphorylates ephexin on a tyrosine, enhancing the ability of @GENE$ to activate the Rho protein RhoA.</t>
  </si>
  <si>
    <t>When @GENE$ binding acti- vates the Eph receptor, the receptor activates a cytoplasmic tyrosine kinase that phosphorylates ephexin on a tyrosine, enhancing the ability of ephexin to activate the @GENE$ protein RhoA.</t>
  </si>
  <si>
    <t>When @GENE$ binding acti- vates the Eph receptor, the receptor activates a cytoplasmic tyrosine kinase that phosphorylates ephexin on a tyrosine, enhancing the ability of ephexin to activate the Rho protein @GENE$</t>
  </si>
  <si>
    <t xml:space="preserve">[Jiaying] Ephrin binding eventually leads to activation of RhoA = (indirect) stimulation? </t>
  </si>
  <si>
    <t>When ephrin binding acti- vates the @GENE$, the receptor activates a cytoplasmic @GENE$ that phosphorylates ephexin on a tyrosine, enhancing the ability of ephexin to activate the Rho protein RhoA.</t>
  </si>
  <si>
    <t>When ephrin binding acti- vates the @GENE$, the receptor activates a cytoplasmic tyrosine kinase that phosphorylates @GENE$ on a tyrosine, enhancing the ability of ephexin to activate the Rho protein RhoA.</t>
  </si>
  <si>
    <t xml:space="preserve">[Jiaying] Should be 1 - Eph receptor activation eventually leads to phosphorylation of ephexin = phosphorylation via signalling cascade </t>
  </si>
  <si>
    <t xml:space="preserve">[Jiaying] Eph receptor activation eventually leads to phosphorylation of ephexin which enhances its activity = (indirect) stimulation? </t>
  </si>
  <si>
    <t>When ephrin binding acti- vates the @GENE$, the receptor activates a cytoplasmic tyrosine kinase that phosphorylates ephexin on a tyrosine, enhancing the ability of @GENE$ to activate the Rho protein RhoA.</t>
  </si>
  <si>
    <t>When ephrin binding acti- vates the @GENE$, the receptor activates a cytoplasmic tyrosine kinase that phosphorylates ephexin on a tyrosine, enhancing the ability of ephexin to activate the @GENE$ protein RhoA.</t>
  </si>
  <si>
    <t>When ephrin binding acti- vates the @GENE$, the receptor activates a cytoplasmic tyrosine kinase that phosphorylates ephexin on a tyrosine, enhancing the ability of ephexin to activate the Rho protein @GENE$</t>
  </si>
  <si>
    <t xml:space="preserve">[Jiaying] Eph receptor activation eventually leads to activation of RhoA = (indirect) stimulation? </t>
  </si>
  <si>
    <t>When ephrin binding acti- vates the Eph receptor, the receptor activates a cytoplasmic @GENE$ that phosphorylates @GENE$ on a tyrosine, enhancing the ability of ephexin to activate the Rho protein RhoA.</t>
  </si>
  <si>
    <r>
      <rPr>
        <rFont val="Arial"/>
        <color theme="1"/>
        <sz val="10.0"/>
      </rPr>
      <t xml:space="preserve">(Cytoplasmic tyrosine kinase, phosphorylates, ephexin)
</t>
    </r>
    <r>
      <rPr>
        <rFont val="Arial"/>
        <color rgb="FF4A86E8"/>
        <sz val="10.0"/>
      </rPr>
      <t>[Jiaying] Should be 0 - Consider that "tyrosine kinase" is too generic a term to be biologically meaningful if we label this as an interaction</t>
    </r>
  </si>
  <si>
    <t>When ephrin binding acti- vates the Eph receptor, the receptor activates a cytoplasmic @GENE$ that phosphorylates ephexin on a tyrosine, enhancing the ability of @GENE$ to activate the Rho protein RhoA.</t>
  </si>
  <si>
    <t>When ephrin binding acti- vates the Eph receptor, the receptor activates a cytoplasmic @GENE$ that phosphorylates ephexin on a tyrosine, enhancing the ability of ephexin to activate the @GENE$ protein RhoA.</t>
  </si>
  <si>
    <t>When ephrin binding acti- vates the Eph receptor, the receptor activates a cytoplasmic @GENE$ that phosphorylates ephexin on a tyrosine, enhancing the ability of ephexin to activate the Rho protein @GENE$</t>
  </si>
  <si>
    <t>When ephrin binding acti- vates the Eph receptor, the receptor activates a cytoplasmic tyrosine kinase that phosphorylates @GENE$ on a tyrosine, enhancing the ability of @GENE$ to activate the Rho protein RhoA.</t>
  </si>
  <si>
    <t>[Jiaying] Should be 0 - No relation between these 2 mentions of "ephexin"</t>
  </si>
  <si>
    <t>When ephrin binding acti- vates the Eph receptor, the receptor activates a cytoplasmic tyrosine kinase that phosphorylates @GENE$ on a tyrosine, enhancing the ability of ephexin to activate the @GENE$ protein RhoA.</t>
  </si>
  <si>
    <t>When ephrin binding acti- vates the Eph receptor, the receptor activates a cytoplasmic tyrosine kinase that phosphorylates @GENE$ on a tyrosine, enhancing the ability of ephexin to activate the Rho protein @GENE$</t>
  </si>
  <si>
    <t>When ephrin binding acti- vates the Eph receptor, the receptor activates a cytoplasmic tyrosine kinase that phosphorylates ephexin on a tyrosine, enhancing the ability of @GENE$ to activate the @GENE$ protein RhoA.</t>
  </si>
  <si>
    <t>When ephrin binding acti- vates the Eph receptor, the receptor activates a cytoplasmic tyrosine kinase that phosphorylates ephexin on a tyrosine, enhancing the ability of @GENE$ to activate the Rho protein @GENE$</t>
  </si>
  <si>
    <t>[Jiaying] Ephexin causes activation of RhoA = stimulation</t>
  </si>
  <si>
    <t>When ephrin binding acti- vates the Eph receptor, the receptor activates a cytoplasmic tyrosine kinase that phosphorylates ephexin on a tyrosine, enhancing the ability of ephexin to activate the @GENE$ protein @GENE$</t>
  </si>
  <si>
    <t>the bacterial activator protein @GENE$ has to bind @CHEMICAL$ (cAMP) before it can bind to DNA</t>
  </si>
  <si>
    <t>(CAP, binds to, cAMP)</t>
  </si>
  <si>
    <t>the bacterial activator protein @GENE$ has to bind cyclic AMP (@CHEMICAL$) before it can bind to DNA</t>
  </si>
  <si>
    <t>the bacterial activator protein CAP has to bind @CHEMICAL$ (@CHEMICAL$) before it can bind to DNA</t>
  </si>
  <si>
    <t>[Jiaying] Should "DNA" be tagged as @CHEMICALS$?</t>
  </si>
  <si>
    <t>The binding of @CHEMICAL$ to the regulatory subunits of the @GENE$ tetramer induces a conformational change</t>
  </si>
  <si>
    <t>(cAMP, ligand for, PKA)</t>
  </si>
  <si>
    <t>The @GENE$ protein interacts with a @GENE$ (Crm1), which directs the movement of viral RNAs through nuclear pores into the cytosol despite the presence of intron sequences.</t>
  </si>
  <si>
    <t>[Jiaying] Should be 0 - Consider that "nuclear export receptor" is too generic a term to be biologically meaningful if we label this as an interaction</t>
  </si>
  <si>
    <t>[Jiaying] Should "RNA" be tagged as @CHEMICALS$?</t>
  </si>
  <si>
    <t>The @GENE$ protein interacts with a nuclear export receptor (@GENE$), which directs the movement of viral RNAs through nuclear pores into the cytosol despite the presence of intron sequences.</t>
  </si>
  <si>
    <t>(Rev protein, binds to, Crm1)</t>
  </si>
  <si>
    <t>The Rev protein interacts with a @GENE$ (@GENE$), which directs the movement of viral RNAs through nuclear pores into the cytosol despite the presence of intron sequences.</t>
  </si>
  <si>
    <t>the @CHEMICAL$ @GENE$ acts as a cell-surface receptor for the bacterial toxin that causes the debilitating diarrhea of cholera. Cholera toxin binds to and enters only those cells that have GM1 on their surface</t>
  </si>
  <si>
    <t>(Cholera toxin, binds to, GM1)</t>
  </si>
  <si>
    <t>the @CHEMICAL$ GM1 acts as a cell-surface receptor for the bacterial toxin that causes the debilitating @DISEASE$ of cholera. Cholera toxin binds to and enters only those cells that have GM1 on their surface</t>
  </si>
  <si>
    <t>the @CHEMICAL$ GM1 acts as a cell-surface receptor for the bacterial toxin that causes the debilitating diarrhea of @DISEASE$. Cholera toxin binds to and enters only those cells that have GM1 on their surface</t>
  </si>
  <si>
    <t>the @CHEMICAL$ GM1 acts as a cell-surface receptor for the bacterial toxin that causes the debilitating diarrhea of cholera. @SPECIES$ binds to and enters only those cells that have GM1 on their surface</t>
  </si>
  <si>
    <t>the @CHEMICAL$ GM1 acts as a cell-surface receptor for the bacterial toxin that causes the debilitating diarrhea of cholera. Cholera toxin binds to and enters only those cells that have @CHEMICAL$ on their surface</t>
  </si>
  <si>
    <t>the ganglioside @GENE$ acts as a cell-surface receptor for the bacterial toxin that causes the debilitating @DISEASE$ of cholera. Cholera toxin binds to and enters only those cells that have GM1 on their surface</t>
  </si>
  <si>
    <t>the ganglioside @GENE$ acts as a cell-surface receptor for the bacterial toxin that causes the debilitating diarrhea of @DISEASE$. Cholera toxin binds to and enters only those cells that have GM1 on their surface</t>
  </si>
  <si>
    <t>the ganglioside @GENE$ acts as a cell-surface receptor for the bacterial toxin that causes the debilitating diarrhea of cholera. @SPECIES$ binds to and enters only those cells that have GM1 on their surface</t>
  </si>
  <si>
    <t>[Jiaying] Should "cholera toxin" be tagged as @CHEMICALS$ instead of @SPECIES$?</t>
  </si>
  <si>
    <t>the ganglioside @GENE$ acts as a cell-surface receptor for the bacterial toxin that causes the debilitating diarrhea of cholera. Cholera toxin binds to and enters only those cells that have @CHEMICAL$ on their surface</t>
  </si>
  <si>
    <t>[Jiaying] "GM1" should be tagged as @GENE$ as previously, not @CHEMICALS$</t>
  </si>
  <si>
    <t>the ganglioside GM1 acts as a cell-surface receptor for the bacterial toxin that causes the debilitating @DISEASE$ of @DISEASE$. Cholera toxin binds to and enters only those cells that have GM1 on their surface</t>
  </si>
  <si>
    <t>the ganglioside GM1 acts as a cell-surface receptor for the bacterial toxin that causes the debilitating @DISEASE$ of cholera. @SPECIES$ binds to and enters only those cells that have GM1 on their surface</t>
  </si>
  <si>
    <t>the ganglioside GM1 acts as a cell-surface receptor for the bacterial toxin that causes the debilitating @DISEASE$ of cholera. Cholera toxin binds to and enters only those cells that have @CHEMICAL$ on their surface</t>
  </si>
  <si>
    <t>the ganglioside GM1 acts as a cell-surface receptor for the bacterial toxin that causes the debilitating diarrhea of @DISEASE$. @SPECIES$ binds to and enters only those cells that have GM1 on their surface</t>
  </si>
  <si>
    <t>the ganglioside GM1 acts as a cell-surface receptor for the bacterial toxin that causes the debilitating diarrhea of @DISEASE$. Cholera toxin binds to and enters only those cells that have @CHEMICAL$ on their surface</t>
  </si>
  <si>
    <t>the ganglioside GM1 acts as a cell-surface receptor for the bacterial toxin that causes the debilitating diarrhea of cholera. @SPECIES$ binds to and enters only those cells that have @CHEMICAL$ on their surface</t>
  </si>
  <si>
    <t>@CHEMICAL$, for example, binds to @GENE$ and prevents their inhibitory action</t>
  </si>
  <si>
    <t>(Strychnine, binds to, glycine receptors)</t>
  </si>
  <si>
    <t>[Jiaying] Ligand-receptor binding, now classified as interaction (protein-protein);
Strychnine prevents action of glycine receptors = inhibition</t>
  </si>
  <si>
    <t>When a signal sequence binds, @GENE$ exposes a binding site for an @GENE$, which is a transmembrane protein complex in the rough ER membrane.</t>
  </si>
  <si>
    <t>(SRP, binds to, SRP receptor)</t>
  </si>
  <si>
    <t>Two proteins at the ER membrane called @GENE$ and @GENE$ serve not only as the receptor for Get3</t>
  </si>
  <si>
    <t>[Jiaying] Y</t>
  </si>
  <si>
    <t>[Jiaying] Should be 2? - Get1 and Get2 serve as the receptor (not "receptors"!) implies that they dimerise to form one receptor?</t>
  </si>
  <si>
    <t>Two proteins at the ER membrane called @GENE$ and Get2 serve not only as the receptor for @GENE$</t>
  </si>
  <si>
    <t>(Get 1 and Get2, receptor for, Get3)</t>
  </si>
  <si>
    <t>Two proteins at the ER membrane called Get1 and @GENE$ serve not only as the receptor for @GENE$</t>
  </si>
  <si>
    <t>Each @GENE$ complex binds four @CHEMICAL$ molecules</t>
  </si>
  <si>
    <t>(PI(4,5)P2, binds to, AP2)</t>
  </si>
  <si>
    <t>a specific @GENE$ GEF embedded in the ER membrane binds to cytosolic @GENE$</t>
  </si>
  <si>
    <r>
      <rPr>
        <rFont val="Arial"/>
        <color theme="1"/>
        <sz val="10.0"/>
      </rPr>
      <t xml:space="preserve">(Sar1 GEF, binds to, cytosolic Sar1)
</t>
    </r>
    <r>
      <rPr>
        <rFont val="Arial"/>
        <color rgb="FF4A86E8"/>
        <sz val="10.0"/>
      </rPr>
      <t>[Jiaying] It is the Sar1 GEF that binds to cytosolic Sar1, not Sar1 binding to itself</t>
    </r>
  </si>
  <si>
    <t>Transmembrane @GENE$ proteins, which are present in the TGN, recognize the M6P groups and bind to the lysosomal hydrolases on the lumenal side of the membrane and to adaptor proteins in assembling @GENE$ coats on the cytosolic side.</t>
  </si>
  <si>
    <t>@CHEMICAL$ (@CHEMICAL$) diffuses through the cytosol and releases Ca2+ from the ER by binding to and opening IP3-gated Ca2+-release channels (IP3 receptors) in the ER membrane</t>
  </si>
  <si>
    <t>(IP3, binds to, IP3 receptors)</t>
  </si>
  <si>
    <t>@CHEMICAL$ (IP3) diffuses through the cytosol and releases @CHEMICAL$ from the ER by binding to and opening IP3-gated Ca2+-release channels (IP3 receptors) in the ER membrane</t>
  </si>
  <si>
    <t>@CHEMICAL$ (IP3) diffuses through the cytosol and releases Ca2+ from the ER by binding to and opening @GENE$-gated Ca2+-release channels (IP3 receptors) in the ER membrane</t>
  </si>
  <si>
    <t>@CHEMICAL$ (IP3) diffuses through the cytosol and releases Ca2+ from the ER by binding to and opening IP3-gated @GENE$-release channels (IP3 receptors) in the ER membrane</t>
  </si>
  <si>
    <t>"Ca2+" should not be tagged as @GENE$, should be @CHEMICAL$</t>
  </si>
  <si>
    <t>@CHEMICAL$ (IP3) diffuses through the cytosol and releases Ca2+ from the ER by binding to and opening IP3-gated Ca2+-release channels (@GENE$) in the ER membrane</t>
  </si>
  <si>
    <t>Inositol 1,4,5-trisphosphate (@CHEMICAL$) diffuses through the cytosol and releases @CHEMICAL$ from the ER by binding to and opening IP3-gated Ca2+-release channels (IP3 receptors) in the ER membrane</t>
  </si>
  <si>
    <t>Inositol 1,4,5-trisphosphate (@CHEMICAL$) diffuses through the cytosol and releases Ca2+ from the ER by binding to and opening @GENE$-gated Ca2+-release channels (IP3 receptors) in the ER membrane</t>
  </si>
  <si>
    <t>Inositol 1,4,5-trisphosphate (@CHEMICAL$) diffuses through the cytosol and releases Ca2+ from the ER by binding to and opening IP3-gated @GENE$-release channels (IP3 receptors) in the ER membrane</t>
  </si>
  <si>
    <t>Inositol 1,4,5-trisphosphate (@CHEMICAL$) diffuses through the cytosol and releases Ca2+ from the ER by binding to and opening IP3-gated Ca2+-release channels (@GENE$) in the ER membrane</t>
  </si>
  <si>
    <t>Inositol 1,4,5-trisphosphate (IP3) diffuses through the cytosol and releases @CHEMICAL$ from the ER by binding to and opening @GENE$-gated Ca2+-release channels (IP3 receptors) in the ER membrane</t>
  </si>
  <si>
    <t>Inositol 1,4,5-trisphosphate (IP3) diffuses through the cytosol and releases @CHEMICAL$ from the ER by binding to and opening IP3-gated @GENE$-release channels (IP3 receptors) in the ER membrane</t>
  </si>
  <si>
    <t>Inositol 1,4,5-trisphosphate (IP3) diffuses through the cytosol and releases @CHEMICAL$ from the ER by binding to and opening IP3-gated Ca2+-release channels (@GENE$) in the ER membrane</t>
  </si>
  <si>
    <t>Inositol 1,4,5-trisphosphate (IP3) diffuses through the cytosol and releases Ca2+ from the ER by binding to and opening @GENE$-gated @GENE$-release channels (IP3 receptors) in the ER membrane</t>
  </si>
  <si>
    <t>Inositol 1,4,5-trisphosphate (IP3) diffuses through the cytosol and releases Ca2+ from the ER by binding to and opening @GENE$-gated Ca2+-release channels (@GENE$) in the ER membrane</t>
  </si>
  <si>
    <t>Inositol 1,4,5-trisphosphate (IP3) diffuses through the cytosol and releases Ca2+ from the ER by binding to and opening IP3-gated @GENE$-release channels (@GENE$) in the ER membrane</t>
  </si>
  <si>
    <t>@GENE$ functions as a multi- purpose intracellular @GENE$, governing many Ca2+-regulated processes.</t>
  </si>
  <si>
    <r>
      <rPr>
        <rFont val="Arial"/>
        <color theme="1"/>
        <sz val="10.0"/>
      </rPr>
      <t xml:space="preserve">(Ca2+, binds to, Calmodulin)
</t>
    </r>
    <r>
      <rPr>
        <rFont val="Arial"/>
        <color rgb="FF4A86E8"/>
        <sz val="10.0"/>
      </rPr>
      <t>[Jiaying] Should be 0 - calmodulin is the Ca2+ receptor, so it doesn't bind to the Ca2+ receptor entity tagged here</t>
    </r>
  </si>
  <si>
    <t>Bindings</t>
  </si>
  <si>
    <t>Should we be tagging "Ca2+" as @CHEMICAL$ and "Ca2+ receptor" as @GENE$?</t>
  </si>
  <si>
    <t>@GENE$ functions as a multi- purpose intracellular Ca2+ receptor, governing many @CHEMICAL$-regulated processes.</t>
  </si>
  <si>
    <t>Calmodulin functions as a multi- purpose intracellular @GENE$, governing many @CHEMICAL$-regulated processes.</t>
  </si>
  <si>
    <t>In some target cells, including smooth muscle cells, @CHEMICAL$ binds reversibly to @CHEMICAL$ in the active site of guanylyl cyclase, stimulating synthesis of cyclic GMP</t>
  </si>
  <si>
    <t>(Nitric Oxide, binds to, Iron in guanylyl cyclase)</t>
  </si>
  <si>
    <t>In some target cells, including smooth muscle cells, @CHEMICAL$ binds reversibly to iron in the active site of @GENE$, stimulating synthesis of cyclic GMP</t>
  </si>
  <si>
    <t>In some target cells, including smooth muscle cells, @CHEMICAL$ binds reversibly to iron in the active site of guanylyl cyclase, stimulating synthesis of @CHEMICAL$</t>
  </si>
  <si>
    <t>[Jiaying] NO stimulates synthesis of cGMP = stimulation</t>
  </si>
  <si>
    <t>In some target cells, including smooth muscle cells, NO binds reversibly to @CHEMICAL$ in the active site of @GENE$, stimulating synthesis of cyclic GMP</t>
  </si>
  <si>
    <t>[Jiaying] Should be 2 - iron is also bound by the active site of guanylyl cyclase</t>
  </si>
  <si>
    <t>In some target cells, including smooth muscle cells, NO binds reversibly to @CHEMICAL$ in the active site of guanylyl cyclase, stimulating synthesis of @CHEMICAL$</t>
  </si>
  <si>
    <t>[Jiaying] iron stimulates synthesis of cGMP = stimulation</t>
  </si>
  <si>
    <t>In some target cells, including smooth muscle cells, NO binds reversibly to iron in the active site of @GENE$, stimulating synthesis of @CHEMICAL$</t>
  </si>
  <si>
    <t>[Jiaying] guanylyl cyclase catalyses synthesis of cGMP = stimulation</t>
  </si>
  <si>
    <t>@GENE$ contains an extracellular domain that binds with high affinity to @GENE$, due in part to a hydrophobic pocket on the receptor domain that interacts with the lipid modification on Wnt; this lipid is therefore required for Wnt signaling. LRP interacts with a different site on Wnt.</t>
  </si>
  <si>
    <t>@GENE$ contains an extracellular domain that binds with high affinity to Wnt, due in part to a hydrophobic pocket on the receptor domain that interacts with the @CHEMICAL$ modification on Wnt; this lipid is therefore required for Wnt signaling. LRP interacts with a different site on Wnt.</t>
  </si>
  <si>
    <t>@GENE$ contains an extracellular domain that binds with high affinity to Wnt, due in part to a hydrophobic pocket on the receptor domain that interacts with the lipid modification on @GENE$; this lipid is therefore required for Wnt signaling. LRP interacts with a different site on Wnt.</t>
  </si>
  <si>
    <t>@GENE$ contains an extracellular domain that binds with high affinity to Wnt, due in part to a hydrophobic pocket on the receptor domain that interacts with the lipid modification on Wnt; this @CHEMICAL$ is therefore required for Wnt signaling. LRP interacts with a different site on Wnt.</t>
  </si>
  <si>
    <t>@GENE$ contains an extracellular domain that binds with high affinity to Wnt, due in part to a hydrophobic pocket on the receptor domain that interacts with the lipid modification on Wnt; this lipid is therefore required for @GENE$ signaling. LRP interacts with a different site on Wnt.</t>
  </si>
  <si>
    <r>
      <rPr>
        <rFont val="Arial"/>
        <color theme="1"/>
        <sz val="10.0"/>
      </rPr>
      <t xml:space="preserve">Should be 0
</t>
    </r>
    <r>
      <rPr>
        <rFont val="Arial"/>
        <color rgb="FF4A86E8"/>
        <sz val="10.0"/>
      </rPr>
      <t>[Jiaying] Should be 0 - Not clear that there is binding between these specific mentions of Wnt and Frizzled?</t>
    </r>
  </si>
  <si>
    <t>@GENE$ contains an extracellular domain that binds with high affinity to Wnt, due in part to a hydrophobic pocket on the receptor domain that interacts with the lipid modification on Wnt; this lipid is therefore required for Wnt signaling. @GENE$ interacts with a different site on Wnt.</t>
  </si>
  <si>
    <t>@GENE$ contains an extracellular domain that binds with high affinity to Wnt, due in part to a hydrophobic pocket on the receptor domain that interacts with the lipid modification on Wnt; this lipid is therefore required for Wnt signaling. LRP interacts with a different site on @GENE$.</t>
  </si>
  <si>
    <r>
      <rPr>
        <rFont val="Arial"/>
        <color theme="1"/>
        <sz val="10.0"/>
      </rPr>
      <t xml:space="preserve">Should be 0
</t>
    </r>
    <r>
      <rPr>
        <rFont val="Arial"/>
        <color rgb="FF4A86E8"/>
        <sz val="10.0"/>
      </rPr>
      <t>[Jiaying] Should be 0 - Not clear that there is binding between these specific mentions of Wnt and Frizzled?</t>
    </r>
  </si>
  <si>
    <t>Frizzled contains an extracellular domain that binds with high affinity to @GENE$, due in part to a hydrophobic pocket on the receptor domain that interacts with the @CHEMICAL$ modification on Wnt; this lipid is therefore required for Wnt signaling. LRP interacts with a different site on Wnt.</t>
  </si>
  <si>
    <t>Frizzled contains an extracellular domain that binds with high affinity to @GENE$, due in part to a hydrophobic pocket on the receptor domain that interacts with the lipid modification on @GENE$; this lipid is therefore required for Wnt signaling. LRP interacts with a different site on Wnt.</t>
  </si>
  <si>
    <t>Frizzled contains an extracellular domain that binds with high affinity to @GENE$, due in part to a hydrophobic pocket on the receptor domain that interacts with the lipid modification on Wnt; this @CHEMICAL$ is therefore required for Wnt signaling. LRP interacts with a different site on Wnt.</t>
  </si>
  <si>
    <t>Frizzled contains an extracellular domain that binds with high affinity to @GENE$, due in part to a hydrophobic pocket on the receptor domain that interacts with the lipid modification on Wnt; this lipid is therefore required for @GENE$ signaling. LRP interacts with a different site on Wnt.</t>
  </si>
  <si>
    <t>Frizzled contains an extracellular domain that binds with high affinity to @GENE$, due in part to a hydrophobic pocket on the receptor domain that interacts with the lipid modification on Wnt; this lipid is therefore required for Wnt signaling. @GENE$ interacts with a different site on Wnt.</t>
  </si>
  <si>
    <r>
      <rPr>
        <rFont val="Arial"/>
        <color theme="1"/>
        <sz val="10.0"/>
      </rPr>
      <t xml:space="preserve">Should be 0
</t>
    </r>
    <r>
      <rPr>
        <rFont val="Arial"/>
        <color rgb="FF4A86E8"/>
        <sz val="10.0"/>
      </rPr>
      <t>[Jiaying] Should be 0 - Not clear that there is binding between these specific mentions of Wnt and LRP?</t>
    </r>
  </si>
  <si>
    <t>Frizzled contains an extracellular domain that binds with high affinity to @GENE$, due in part to a hydrophobic pocket on the receptor domain that interacts with the lipid modification on Wnt; this lipid is therefore required for Wnt signaling. LRP interacts with a different site on @GENE$.</t>
  </si>
  <si>
    <t>Frizzled contains an extracellular domain that binds with high affinity to Wnt, due in part to a hydrophobic pocket on the receptor domain that interacts with the @CHEMICAL$ modification on @GENE$; this lipid is therefore required for Wnt signaling. LRP interacts with a different site on Wnt.</t>
  </si>
  <si>
    <t>Frizzled contains an extracellular domain that binds with high affinity to Wnt, due in part to a hydrophobic pocket on the receptor domain that interacts with the @CHEMICAL$ modification on Wnt; this @CHEMICAL$ is therefore required for Wnt signaling. LRP interacts with a different site on Wnt.</t>
  </si>
  <si>
    <t>Frizzled contains an extracellular domain that binds with high affinity to Wnt, due in part to a hydrophobic pocket on the receptor domain that interacts with the @CHEMICAL$ modification on Wnt; this lipid is therefore required for @GENE$ signaling. LRP interacts with a different site on Wnt.</t>
  </si>
  <si>
    <t>Frizzled contains an extracellular domain that binds with high affinity to Wnt, due in part to a hydrophobic pocket on the receptor domain that interacts with the @CHEMICAL$ modification on Wnt; this lipid is therefore required for Wnt signaling. @GENE$ interacts with a different site on Wnt.</t>
  </si>
  <si>
    <t>Frizzled contains an extracellular domain that binds with high affinity to Wnt, due in part to a hydrophobic pocket on the receptor domain that interacts with the @CHEMICAL$ modification on Wnt; this lipid is therefore required for Wnt signaling. LRP interacts with a different site on @GENE$.</t>
  </si>
  <si>
    <t>Frizzled contains an extracellular domain that binds with high affinity to Wnt, due in part to a hydrophobic pocket on the receptor domain that interacts with the lipid modification on @GENE$; this @CHEMICAL$ is therefore required for Wnt signaling. LRP interacts with a different site on Wnt.</t>
  </si>
  <si>
    <t>Frizzled contains an extracellular domain that binds with high affinity to Wnt, due in part to a hydrophobic pocket on the receptor domain that interacts with the lipid modification on @GENE$; this lipid is therefore required for @GENE$ signaling. LRP interacts with a different site on Wnt.</t>
  </si>
  <si>
    <t>Frizzled contains an extracellular domain that binds with high affinity to Wnt, due in part to a hydrophobic pocket on the receptor domain that interacts with the lipid modification on @GENE$; this lipid is therefore required for Wnt signaling. @GENE$ interacts with a different site on Wnt.</t>
  </si>
  <si>
    <r>
      <rPr>
        <rFont val="Arial"/>
        <color theme="1"/>
        <sz val="10.0"/>
      </rPr>
      <t xml:space="preserve">Should be 0
</t>
    </r>
    <r>
      <rPr>
        <rFont val="Arial"/>
        <color rgb="FF4A86E8"/>
        <sz val="10.0"/>
      </rPr>
      <t>[Jiaying] Should be 0 - Not clear that there is binding between these specific mentions of Wnt and LRP?</t>
    </r>
  </si>
  <si>
    <t>Frizzled contains an extracellular domain that binds with high affinity to Wnt, due in part to a hydrophobic pocket on the receptor domain that interacts with the lipid modification on @GENE$; this lipid is therefore required for Wnt signaling. LRP interacts with a different site on @GENE$.</t>
  </si>
  <si>
    <t>Frizzled contains an extracellular domain that binds with high affinity to Wnt, due in part to a hydrophobic pocket on the receptor domain that interacts with the lipid modification on Wnt; this @CHEMICAL$ is therefore required for @GENE$ signaling. LRP interacts with a different site on Wnt.</t>
  </si>
  <si>
    <t>Frizzled contains an extracellular domain that binds with high affinity to Wnt, due in part to a hydrophobic pocket on the receptor domain that interacts with the lipid modification on Wnt; this @CHEMICAL$ is therefore required for Wnt signaling. @GENE$ interacts with a different site on Wnt.</t>
  </si>
  <si>
    <t>Frizzled contains an extracellular domain that binds with high affinity to Wnt, due in part to a hydrophobic pocket on the receptor domain that interacts with the lipid modification on Wnt; this @CHEMICAL$ is therefore required for Wnt signaling. LRP interacts with a different site on @GENE$.</t>
  </si>
  <si>
    <t>Frizzled contains an extracellular domain that binds with high affinity to Wnt, due in part to a hydrophobic pocket on the receptor domain that interacts with the lipid modification on Wnt; this lipid is therefore required for @GENE$ signaling. @GENE$ interacts with a different site on Wnt.</t>
  </si>
  <si>
    <r>
      <rPr>
        <rFont val="Arial"/>
        <color theme="1"/>
        <sz val="10.0"/>
      </rPr>
      <t xml:space="preserve">Should be 0
</t>
    </r>
    <r>
      <rPr>
        <rFont val="Arial"/>
        <color rgb="FF4A86E8"/>
        <sz val="10.0"/>
      </rPr>
      <t>[Jiaying] Should be 0 - Not clear that there is binding between these specific mentions of Wnt and LRP?</t>
    </r>
  </si>
  <si>
    <t>Frizzled contains an extracellular domain that binds with high affinity to Wnt, due in part to a hydrophobic pocket on the receptor domain that interacts with the lipid modification on Wnt; this lipid is therefore required for @GENE$ signaling. LRP interacts with a different site on @GENE$.</t>
  </si>
  <si>
    <t>Frizzled contains an extracellular domain that binds with high affinity to Wnt, due in part to a hydrophobic pocket on the receptor domain that interacts with the lipid modification on Wnt; this lipid is therefore required for Wnt signaling. @GENE$ interacts with a different site on @GENE$.</t>
  </si>
  <si>
    <t>The @GENE$ molecules that generate the initial sheet structure first join to each other while bound to receptors on the surface of the cells. The cell-surface receptors are primarily members of the @GENE$ family, but another important type of laminin receptor is dystroglycan, a highly glycosylated transmembrane protein.</t>
  </si>
  <si>
    <t>[Jiaying] Should be 2?? - laminin binds to receptors of the integrin family</t>
  </si>
  <si>
    <t>[Jiaying] Ligand-receptor binding, now classified as interaction (protein-protein)??</t>
  </si>
  <si>
    <t>The @GENE$ molecules that generate the initial sheet structure first join to each other while bound to receptors on the surface of the cells. The cell-surface receptors are primarily members of the integrin family, but another important type of @GENE$ is dystroglycan, a highly glycosylated transmembrane protein.</t>
  </si>
  <si>
    <t>(Laminin molecules, binds to, laminin cell-surface receptor)</t>
  </si>
  <si>
    <t>The @GENE$ molecules that generate the initial sheet structure first join to each other while bound to receptors on the surface of the cells. The cell-surface receptors are primarily members of the integrin family, but another important type of laminin receptor is @GENE$, a highly glycosylated transmembrane protein.</t>
  </si>
  <si>
    <t>(Laminin molecules, binds to, dystroglycan)</t>
  </si>
  <si>
    <t>The @GENE$ molecules that generate the initial sheet structure first join to each other while bound to receptors on the surface of the cells. The cell-surface receptors are primarily members of the integrin family, but another important type of laminin receptor is dystroglycan, a @GENE$.</t>
  </si>
  <si>
    <t>[Jiaying] Should be 0?? - Consider that "highly glycosylated transmembrane protein" is too generic a term to be biologically meaningful if we label this as an interaction…</t>
  </si>
  <si>
    <t>The laminin molecules that generate the initial sheet structure first join to each other while bound to receptors on the surface of the cells. The cell-surface receptors are primarily members of the @GENE$ family, but another important type of @GENE$ is dystroglycan, a highly glycosylated transmembrane protein.</t>
  </si>
  <si>
    <t>The laminin molecules that generate the initial sheet structure first join to each other while bound to receptors on the surface of the cells. The cell-surface receptors are primarily members of the @GENE$ family, but another important type of laminin receptor is @GENE$, a highly glycosylated transmembrane protein.</t>
  </si>
  <si>
    <t>The laminin molecules that generate the initial sheet structure first join to each other while bound to receptors on the surface of the cells. The cell-surface receptors are primarily members of the @GENE$ family, but another important type of laminin receptor is dystroglycan, a @GENE$.</t>
  </si>
  <si>
    <t>The laminin molecules that generate the initial sheet structure first join to each other while bound to receptors on the surface of the cells. The cell-surface receptors are primarily members of the integrin family, but another important type of @GENE$ is @GENE$, a highly glycosylated transmembrane protein.</t>
  </si>
  <si>
    <t>The laminin molecules that generate the initial sheet structure first join to each other while bound to receptors on the surface of the cells. The cell-surface receptors are primarily members of the integrin family, but another important type of @GENE$ is dystroglycan, a @GENE$.</t>
  </si>
  <si>
    <t>The laminin molecules that generate the initial sheet structure first join to each other while bound to receptors on the surface of the cells. The cell-surface receptors are primarily members of the integrin family, but another important type of laminin receptor is @GENE$, a @GENE$.</t>
  </si>
  <si>
    <t>@GENE$ is a @GENE$ and α6β1 is a laminin receptor on many types of cells</t>
  </si>
  <si>
    <r>
      <rPr>
        <rFont val="Arial"/>
        <color theme="1"/>
        <sz val="10.0"/>
      </rPr>
      <t xml:space="preserve">(α5β1, receptor for, fibronectin)
</t>
    </r>
    <r>
      <rPr>
        <rFont val="Arial"/>
        <color rgb="FF4A86E8"/>
        <sz val="10.0"/>
      </rPr>
      <t>[Jiaying] Should be 0 - α5β1 is the fibronectin receptor, so it doesn't bind to the fibronectin receptor entity tagged here</t>
    </r>
  </si>
  <si>
    <t>@GENE$ is a fibronectin receptor and @GENE$ is a laminin receptor on many types of cells</t>
  </si>
  <si>
    <t>(α6β1, receptor for, laminin)</t>
  </si>
  <si>
    <t>@GENE$ is a fibronectin receptor and α6β1 is a @GENE$ on many types of cells</t>
  </si>
  <si>
    <t>α5β1 is a @GENE$ and @GENE$ is a laminin receptor on many types of cells</t>
  </si>
  <si>
    <t>α5β1 is a @GENE$ and α6β1 is a @GENE$ on many types of cells</t>
  </si>
  <si>
    <t>α5β1 is a fibronectin receptor and @GENE$ is a @GENE$ on many types of cells</t>
  </si>
  <si>
    <r>
      <rPr>
        <rFont val="Arial"/>
        <color theme="1"/>
        <sz val="10.0"/>
      </rPr>
      <t xml:space="preserve">Should be 0
</t>
    </r>
    <r>
      <rPr>
        <rFont val="Arial"/>
        <color rgb="FF4A86E8"/>
        <sz val="10.0"/>
      </rPr>
      <t>[Jiaying] Should be 0 - α5β1 is the fibronectin receptor, so it doesn't bind to the fibronectin receptor entity tagged here</t>
    </r>
  </si>
  <si>
    <t>@GENE$ and @GENE$ are receptor proteins that are distributed all over the membrane but are activated only at the sites indicated by the coloring, through localized exposure to the extracellular ligands Spaetzle (the ligand for Toll) and Trunk (the ligand for Torso).</t>
  </si>
  <si>
    <t>(Spaetzle, binds to, Toll) (Trunk, binds to, Torso)</t>
  </si>
  <si>
    <t>@GENE$ and Torso are receptor proteins that are distributed all over the membrane but are activated only at the sites indicated by the coloring, through localized exposure to the extracellular ligands @GENE$ (the ligand for Toll) and Trunk (the ligand for Torso).</t>
  </si>
  <si>
    <r>
      <rPr>
        <rFont val="Arial"/>
        <color theme="1"/>
        <sz val="10.0"/>
      </rPr>
      <t xml:space="preserve">Binding
</t>
    </r>
    <r>
      <rPr>
        <rFont val="Arial"/>
        <color rgb="FF4A86E8"/>
        <sz val="10.0"/>
      </rPr>
      <t>[Jiaying] Ligand-receptor binding, now classified as interaction (protein-protein)</t>
    </r>
  </si>
  <si>
    <t>@GENE$ and Torso are receptor proteins that are distributed all over the membrane but are activated only at the sites indicated by the coloring, through localized exposure to the extracellular ligands Spaetzle (the ligand for @GENE$) and Trunk (the ligand for Torso).</t>
  </si>
  <si>
    <t>@GENE$ and Torso are receptor proteins that are distributed all over the membrane but are activated only at the sites indicated by the coloring, through localized exposure to the extracellular ligands Spaetzle (the ligand for Toll) and @GENE$ (the ligand for Torso).</t>
  </si>
  <si>
    <t>@GENE$ and Torso are receptor proteins that are distributed all over the membrane but are activated only at the sites indicated by the coloring, through localized exposure to the extracellular ligands Spaetzle (the ligand for Toll) and Trunk (the ligand for @GENE$).</t>
  </si>
  <si>
    <t>Toll and @GENE$ are receptor proteins that are distributed all over the membrane but are activated only at the sites indicated by the coloring, through localized exposure to the extracellular ligands @GENE$ (the ligand for Toll) and Trunk (the ligand for Torso).</t>
  </si>
  <si>
    <t>Toll and @GENE$ are receptor proteins that are distributed all over the membrane but are activated only at the sites indicated by the coloring, through localized exposure to the extracellular ligands Spaetzle (the ligand for @GENE$) and Trunk (the ligand for Torso).</t>
  </si>
  <si>
    <t>Toll and @GENE$ are receptor proteins that are distributed all over the membrane but are activated only at the sites indicated by the coloring, through localized exposure to the extracellular ligands Spaetzle (the ligand for Toll) and @GENE$ (the ligand for Torso).</t>
  </si>
  <si>
    <r>
      <rPr>
        <rFont val="Arial"/>
        <color theme="1"/>
        <sz val="10.0"/>
      </rPr>
      <t xml:space="preserve">Binding
</t>
    </r>
    <r>
      <rPr>
        <rFont val="Arial"/>
        <color rgb="FF4A86E8"/>
        <sz val="10.0"/>
      </rPr>
      <t>[Jiaying] Ligand-receptor binding, now classified as interaction (protein-protein)</t>
    </r>
  </si>
  <si>
    <t>Toll and @GENE$ are receptor proteins that are distributed all over the membrane but are activated only at the sites indicated by the coloring, through localized exposure to the extracellular ligands Spaetzle (the ligand for Toll) and Trunk (the ligand for @GENE$).</t>
  </si>
  <si>
    <t>Toll and Torso are receptor proteins that are distributed all over the membrane but are activated only at the sites indicated by the coloring, through localized exposure to the extracellular ligands @GENE$ (the ligand for @GENE$) and Trunk (the ligand for Torso).</t>
  </si>
  <si>
    <r>
      <rPr>
        <rFont val="Arial"/>
        <color theme="1"/>
        <sz val="10.0"/>
      </rPr>
      <t xml:space="preserve">Binding
</t>
    </r>
    <r>
      <rPr>
        <rFont val="Arial"/>
        <color rgb="FF4A86E8"/>
        <sz val="10.0"/>
      </rPr>
      <t>[Jiaying] Ligand-receptor binding, now classified as interaction (protein-protein)</t>
    </r>
  </si>
  <si>
    <t>Toll and Torso are receptor proteins that are distributed all over the membrane but are activated only at the sites indicated by the coloring, through localized exposure to the extracellular ligands @GENE$ (the ligand for Toll) and @GENE$ (the ligand for Torso).</t>
  </si>
  <si>
    <t>Toll and Torso are receptor proteins that are distributed all over the membrane but are activated only at the sites indicated by the coloring, through localized exposure to the extracellular ligands @GENE$ (the ligand for Toll) and Trunk (the ligand for @GENE$).</t>
  </si>
  <si>
    <t>Toll and Torso are receptor proteins that are distributed all over the membrane but are activated only at the sites indicated by the coloring, through localized exposure to the extracellular ligands Spaetzle (the ligand for @GENE$) and @GENE$ (the ligand for Torso).</t>
  </si>
  <si>
    <t>Toll and Torso are receptor proteins that are distributed all over the membrane but are activated only at the sites indicated by the coloring, through localized exposure to the extracellular ligands Spaetzle (the ligand for @GENE$) and Trunk (the ligand for @GENE$).</t>
  </si>
  <si>
    <t>Toll and Torso are receptor proteins that are distributed all over the membrane but are activated only at the sites indicated by the coloring, through localized exposure to the extracellular ligands Spaetzle (the ligand for Toll) and @GENE$ (the ligand for @GENE$).</t>
  </si>
  <si>
    <r>
      <rPr>
        <rFont val="Arial"/>
        <color theme="1"/>
        <sz val="10.0"/>
      </rPr>
      <t xml:space="preserve">Binding
</t>
    </r>
    <r>
      <rPr>
        <rFont val="Arial"/>
        <color rgb="FF4A86E8"/>
        <sz val="10.0"/>
      </rPr>
      <t>[Jiaying] Ligand-receptor binding, now classified as interaction (protein-protein)</t>
    </r>
  </si>
  <si>
    <t>The second transgene, CreERT2 (brown), encodes a chimeric form of the Cre recombinase called CreERT, which consists of the Cre recombinase linked to the @GENE$ protein; this enzyme becomes active as a recombinase only when it binds the artificial @CHEMICAL$ analog tamoxifen</t>
  </si>
  <si>
    <r>
      <rPr>
        <rFont val="Arial"/>
        <color theme="1"/>
        <sz val="10.0"/>
      </rPr>
      <t xml:space="preserve">Binding
</t>
    </r>
    <r>
      <rPr>
        <rFont val="Arial"/>
        <color rgb="FF4A86E8"/>
        <sz val="10.0"/>
      </rPr>
      <t>[Jiaying] Ligand-receptor binding, now classified as interaction (gene-chemical)</t>
    </r>
  </si>
  <si>
    <t>Should "Cre recombinase" be tagged as @GENE$?</t>
  </si>
  <si>
    <t>The second transgene, CreERT2 (brown), encodes a chimeric form of the Cre recombinase called CreERT, which consists of the Cre recombinase linked to the @GENE$ protein; this enzyme becomes active as a recombinase only when it binds the artificial estrogen analog @CHEMICAL$</t>
  </si>
  <si>
    <r>
      <rPr>
        <rFont val="Arial"/>
        <color theme="1"/>
        <sz val="10.0"/>
      </rPr>
      <t xml:space="preserve">Binding
</t>
    </r>
    <r>
      <rPr>
        <rFont val="Arial"/>
        <color rgb="FF4A86E8"/>
        <sz val="10.0"/>
      </rPr>
      <t>[Jiaying] Ligand-receptor binding, now classified as interaction (gene-chemical)</t>
    </r>
  </si>
  <si>
    <t>The second transgene, CreERT2 (brown), encodes a chimeric form of the Cre recombinase called CreERT, which consists of the Cre recombinase linked to the estrogen receptor protein; this enzyme becomes active as a recombinase only when it binds the artificial @CHEMICAL$ analog @CHEMICAL$</t>
  </si>
  <si>
    <t>an envelope protein of @SPECIES$, for example, binds to @GENE$ on the surface of certain vertebrate host cells, and simian virus 40 (SV40) binds to a glycolipid.</t>
  </si>
  <si>
    <r>
      <rPr>
        <rFont val="Arial"/>
        <color theme="1"/>
        <sz val="10.0"/>
      </rPr>
      <t xml:space="preserve">Binding
</t>
    </r>
    <r>
      <rPr>
        <rFont val="Arial"/>
        <color rgb="FF4A86E8"/>
        <sz val="10.0"/>
      </rPr>
      <t>[Jiaying] Ligand-receptor binding, now classified as interaction (protein-protein)</t>
    </r>
  </si>
  <si>
    <t>an envelope protein of @SPECIES$, for example, binds to heparan sulfate proteoglycans on the surface of certain vertebrate host cells, and @SPECIES$ (SV40) binds to a glycolipid.</t>
  </si>
  <si>
    <t>an envelope protein of @SPECIES$, for example, binds to heparan sulfate proteoglycans on the surface of certain vertebrate host cells, and simian virus 40 (@SPECIES$) binds to a glycolipid.</t>
  </si>
  <si>
    <t>an envelope protein of @SPECIES$, for example, binds to heparan sulfate proteoglycans on the surface of certain vertebrate host cells, and simian virus 40 (SV40) binds to a @CHEMICAL$.</t>
  </si>
  <si>
    <t>an envelope protein of herpes simplex virus, for example, binds to @GENE$ on the surface of certain vertebrate host cells, and @SPECIES$ (SV40) binds to a glycolipid.</t>
  </si>
  <si>
    <t>an envelope protein of herpes simplex virus, for example, binds to @GENE$ on the surface of certain vertebrate host cells, and simian virus 40 (@SPECIES$) binds to a glycolipid.</t>
  </si>
  <si>
    <t>an envelope protein of herpes simplex virus, for example, binds to @GENE$ on the surface of certain vertebrate host cells, and simian virus 40 (SV40) binds to a @CHEMICAL$.</t>
  </si>
  <si>
    <t>an envelope protein of herpes simplex virus, for example, binds to heparan sulfate proteoglycans on the surface of certain vertebrate host cells, and @SPECIES$ (@SPECIES$) binds to a glycolipid.</t>
  </si>
  <si>
    <t>an envelope protein of herpes simplex virus, for example, binds to heparan sulfate proteoglycans on the surface of certain vertebrate host cells, and @SPECIES$ (SV40) binds to a @CHEMICAL$.</t>
  </si>
  <si>
    <r>
      <rPr>
        <rFont val="Arial"/>
        <color theme="1"/>
        <sz val="10.0"/>
      </rPr>
      <t xml:space="preserve">Binding
</t>
    </r>
    <r>
      <rPr>
        <rFont val="Arial"/>
        <color rgb="FF4A86E8"/>
        <sz val="10.0"/>
      </rPr>
      <t>[Jiaying] Ligand-receptor binding, now classified as interaction (gene-chemical?)</t>
    </r>
  </si>
  <si>
    <t>an envelope protein of herpes simplex virus, for example, binds to heparan sulfate proteoglycans on the surface of certain vertebrate host cells, and simian virus 40 (@SPECIES$) binds to a @CHEMICAL$.</t>
  </si>
  <si>
    <r>
      <rPr>
        <rFont val="Arial"/>
        <color theme="1"/>
        <sz val="10.0"/>
      </rPr>
      <t xml:space="preserve">Binding
</t>
    </r>
    <r>
      <rPr>
        <rFont val="Arial"/>
        <color rgb="FF4A86E8"/>
        <sz val="10.0"/>
      </rPr>
      <t>[Jiaying] Ligand-receptor binding, now classified as interaction (gene-chemical?)</t>
    </r>
  </si>
  <si>
    <t>The @GENE$ tail region binds to another class of @GENE$ on the surface of mast cells in tissues and of basophils in the blood</t>
  </si>
  <si>
    <r>
      <rPr>
        <rFont val="Arial"/>
        <color theme="1"/>
        <sz val="10.0"/>
      </rPr>
      <t xml:space="preserve">Binding
</t>
    </r>
    <r>
      <rPr>
        <rFont val="Arial"/>
        <color rgb="FF4A86E8"/>
        <sz val="10.0"/>
      </rPr>
      <t>[Jiaying] Ligand-receptor binding, now classified as interaction (protein-protein)</t>
    </r>
  </si>
  <si>
    <t>A monoclonal antibody called @CHEMICAL$ (trade name @CHEMICAL$), which binds to Her2 and inhibits its function, slows the growth of human breast cancers that overexpress Her2</t>
  </si>
  <si>
    <t>(Trastuzmab, binds to, Her2)</t>
  </si>
  <si>
    <t>A monoclonal antibody called @CHEMICAL$ (trade name Herceptin), which binds to @GENE$ and inhibits its function, slows the growth of human breast cancers that overexpress Her2</t>
  </si>
  <si>
    <r>
      <rPr>
        <rFont val="Arial"/>
        <color theme="1"/>
        <sz val="10.0"/>
      </rPr>
      <t xml:space="preserve">Binding
</t>
    </r>
    <r>
      <rPr>
        <rFont val="Arial"/>
        <color rgb="FF4A86E8"/>
        <sz val="10.0"/>
      </rPr>
      <t>[Jiaying] Ligand-receptor binding, now classified as interaction (gene-chemical); 
Trastuzumab/Herceptin inhibits Her2 = inhibition</t>
    </r>
  </si>
  <si>
    <t>A monoclonal antibody called @CHEMICAL$ (trade name Herceptin), which binds to Her2 and inhibits its function, slows the growth of @SPECIES$ breast cancers that overexpress Her2</t>
  </si>
  <si>
    <t>A monoclonal antibody called @CHEMICAL$ (trade name Herceptin), which binds to Her2 and inhibits its function, slows the growth of human @DISEASE$ that overexpress Her2</t>
  </si>
  <si>
    <t>[Jiaying] Trastuzumab/Herceptin slows the growth of breast cancers overexpressing Her2 = treatment</t>
  </si>
  <si>
    <t>A monoclonal antibody called @CHEMICAL$ (trade name Herceptin), which binds to Her2 and inhibits its function, slows the growth of human breast cancers that overexpress @GENE$</t>
  </si>
  <si>
    <r>
      <rPr>
        <rFont val="Arial"/>
        <color theme="1"/>
        <sz val="10.0"/>
      </rPr>
      <t xml:space="preserve">Should be 0
</t>
    </r>
    <r>
      <rPr>
        <rFont val="Arial"/>
        <color rgb="FF4A86E8"/>
        <sz val="10.0"/>
      </rPr>
      <t>[Jiaying] Not clear that there is binding/interaction between these specific mentions of trastuzumab/Herceptin and Her2?</t>
    </r>
  </si>
  <si>
    <t>A monoclonal antibody called trastuzumab (trade name @CHEMICAL$), which binds to @GENE$ and inhibits its function, slows the growth of human breast cancers that overexpress Her2</t>
  </si>
  <si>
    <r>
      <rPr>
        <rFont val="Arial"/>
        <color theme="1"/>
        <sz val="10.0"/>
      </rPr>
      <t xml:space="preserve">Binding
</t>
    </r>
    <r>
      <rPr>
        <rFont val="Arial"/>
        <color rgb="FF4A86E8"/>
        <sz val="10.0"/>
      </rPr>
      <t>[Jiaying] Ligand-receptor binding, now classified as interaction (gene-chemical); 
Trastuzumab/Herceptin inhibits Her2 = inhibition</t>
    </r>
  </si>
  <si>
    <t>A monoclonal antibody called trastuzumab (trade name @CHEMICAL$), which binds to Her2 and inhibits its function, slows the growth of @SPECIES$ breast cancers that overexpress Her2</t>
  </si>
  <si>
    <t>A monoclonal antibody called trastuzumab (trade name @CHEMICAL$), which binds to Her2 and inhibits its function, slows the growth of human @DISEASE$ that overexpress Her2</t>
  </si>
  <si>
    <t>A monoclonal antibody called trastuzumab (trade name @CHEMICAL$), which binds to Her2 and inhibits its function, slows the growth of human breast cancers that overexpress @GENE$</t>
  </si>
  <si>
    <r>
      <rPr>
        <rFont val="Arial"/>
        <color theme="1"/>
        <sz val="10.0"/>
      </rPr>
      <t xml:space="preserve">Should be 0
</t>
    </r>
    <r>
      <rPr>
        <rFont val="Arial"/>
        <color rgb="FF4A86E8"/>
        <sz val="10.0"/>
      </rPr>
      <t>[Jiaying] Not clear that there is binding/interaction between these specific mentions of trastuzumab/Herceptin and Her2?</t>
    </r>
  </si>
  <si>
    <t>A monoclonal antibody called trastuzumab (trade name Herceptin), which binds to @GENE$ and inhibits its function, slows the growth of @SPECIES$ breast cancers that overexpress Her2</t>
  </si>
  <si>
    <t>A monoclonal antibody called trastuzumab (trade name Herceptin), which binds to @GENE$ and inhibits its function, slows the growth of human @DISEASE$ that overexpress Her2</t>
  </si>
  <si>
    <t>A monoclonal antibody called trastuzumab (trade name Herceptin), which binds to @GENE$ and inhibits its function, slows the growth of human breast cancers that overexpress @GENE$</t>
  </si>
  <si>
    <t>A monoclonal antibody called trastuzumab (trade name Herceptin), which binds to Her2 and inhibits its function, slows the growth of @SPECIES$ @DISEASE$ that overexpress Her2</t>
  </si>
  <si>
    <t>A monoclonal antibody called trastuzumab (trade name Herceptin), which binds to Her2 and inhibits its function, slows the growth of @SPECIES$ breast cancers that overexpress @GENE$</t>
  </si>
  <si>
    <t>A monoclonal antibody called trastuzumab (trade name Herceptin), which binds to Her2 and inhibits its function, slows the growth of human @DISEASE$ that overexpress @GENE$</t>
  </si>
  <si>
    <t xml:space="preserve">[Jiaying] Can we infer from this text that (some) breast cancers overexpress Her2 and need Her2 function for growth, i.e. Her2 stimulates breast cancer = causation/stimulation? </t>
  </si>
  <si>
    <t>the lymphocytes stop rolling, and they crawl out of the blood vessel into the lymph node by using yet another cell adhesion protein called @GENE$</t>
  </si>
  <si>
    <t>The C-terminus of @GENE$ is initially activated by being linked via a high-energy thioester bond to a cysteine side chain on the @GENE$ protein. This reaction requires ATP, and it proceeds via a covalent AMP–ubiquitin intermediate.</t>
  </si>
  <si>
    <t>(ubiquitin, binds to, E1 protein)</t>
  </si>
  <si>
    <t>The C-terminus of @GENE$ is initially activated by being linked via a high-energy thioester bond to a cysteine side chain on the E1 protein. This reaction requires @CHEMICAL$, and it proceeds via a covalent AMP–ubiquitin intermediate.</t>
  </si>
  <si>
    <t>The C-terminus of @GENE$ is initially activated by being linked via a high-energy thioester bond to a cysteine side chain on the E1 protein. This reaction requires ATP, and it proceeds via a covalent @CHEMICAL$–ubiquitin intermediate.</t>
  </si>
  <si>
    <t>The C-terminus of @GENE$ is initially activated by being linked via a high-energy thioester bond to a cysteine side chain on the E1 protein. This reaction requires ATP, and it proceeds via a covalent AMP–@CHEMICAL$ intermediate.</t>
  </si>
  <si>
    <t>The C-terminus of ubiquitin is initially activated by being linked via a high-energy thioester bond to a cysteine side chain on the @GENE$ protein. This reaction requires @CHEMICAL$, and it proceeds via a covalent AMP–ubiquitin intermediate.</t>
  </si>
  <si>
    <t>The C-terminus of ubiquitin is initially activated by being linked via a high-energy thioester bond to a cysteine side chain on the @GENE$ protein. This reaction requires ATP, and it proceeds via a covalent @CHEMICAL$–ubiquitin intermediate.</t>
  </si>
  <si>
    <t>The C-terminus of ubiquitin is initially activated by being linked via a high-energy thioester bond to a cysteine side chain on the @GENE$ protein. This reaction requires ATP, and it proceeds via a covalent AMP–@CHEMICAL$ intermediate.</t>
  </si>
  <si>
    <t>The C-terminus of ubiquitin is initially activated by being linked via a high-energy thioester bond to a cysteine side chain on the E1 protein. This reaction requires @CHEMICAL$, and it proceeds via a covalent @CHEMICAL$–ubiquitin intermediate.</t>
  </si>
  <si>
    <t>The C-terminus of ubiquitin is initially activated by being linked via a high-energy thioester bond to a cysteine side chain on the E1 protein. This reaction requires @CHEMICAL$, and it proceeds via a covalent AMP–@CHEMICAL$ intermediate.</t>
  </si>
  <si>
    <t>The C-terminus of ubiquitin is initially activated by being linked via a high-energy thioester bond to a cysteine side chain on the E1 protein. This reaction requires ATP, and it proceeds via a covalent @CHEMICAL$–@CHEMICAL$ intermediate.</t>
  </si>
  <si>
    <t>The activated @GENE$ on E1, also known as the @GENE$, is then transferred to the cysteine on an E2 molecule.</t>
  </si>
  <si>
    <t>Should "E1" and "E2" be tagged as @GENE$? "E1" was tagged as @GENE$ in the previous input text</t>
  </si>
  <si>
    <t>the activity of a @GENE$ is turned on either by @GENE$ phosphorylation or by an allosteric transition in an E3 protein caused by its binding to a specific small or large mol - ecule.</t>
  </si>
  <si>
    <t>[Jiaying] Ubiquitin ligase activity turned on by E3 allosteric transition i.e. E3 activates ubiquitin ligase = stimulation</t>
  </si>
  <si>
    <t>the activity of a @GENE$ is turned on either by E3 phosphorylation or by an allosteric transition in an @GENE$ protein caused by its binding to a specific small or large mol - ecule.</t>
  </si>
  <si>
    <t>[Jiaying] Ubiquitin ligase activity turned on by E3 phosphorylation i.e. phosphorylated E3 activates ubiquitin ligase = stimulation</t>
  </si>
  <si>
    <t>the activity of a ubiquitin ligase is turned on either by @GENE$ phosphorylation or by an allosteric transition in an @GENE$ protein caused by its binding to a specific small or large mol - ecule.</t>
  </si>
  <si>
    <t>For example, the @GENE$ (@GENE$) is a multisubunit ubiquitin ligase that is activated by a cell-cycle-timed subunit addition at mitosis.</t>
  </si>
  <si>
    <t>For example, the @GENE$ (APC/C) is a multisubunit @GENE$ that is activated by a cell-cycle-timed subunit addition at mitosis.</t>
  </si>
  <si>
    <t>For example, the anaphase-promoting complex/cyclosome (@GENE$) is a multisubunit @GENE$ that is activated by a cell-cycle-timed subunit addition at mitosis.</t>
  </si>
  <si>
    <t>Not all proteins that bind to activated @GENE$ via SH2 domains help to relay the signal onward. Some act to decrease the signaling process, providing negative feedback. One example is the @GENE$ protein, which can dock on some activated receptors and catalyze their ubiquitylation, covalently adding one or more ubiqui- tin molecules to specific sites on the receptor.</t>
  </si>
  <si>
    <r>
      <rPr>
        <rFont val="Arial"/>
        <color theme="1"/>
        <sz val="10.0"/>
      </rPr>
      <t xml:space="preserve">No original label?
</t>
    </r>
    <r>
      <rPr>
        <rFont val="Arial"/>
        <color rgb="FF4A86E8"/>
        <sz val="10.0"/>
      </rPr>
      <t>[Jiaying] Should be 2 AND 3 - c-Cbl binds to and catalyses ubiquitylation of RTKs</t>
    </r>
  </si>
  <si>
    <t>[Jiaying] Ligand-receptor binding, now classified as interaction (protein-protein); 
c-Cbl provides negative feedback to RTK signalling = inhibition</t>
  </si>
  <si>
    <t>Not all proteins that bind to activated @GENE$ via SH2 domains help to relay the signal onward. Some act to decrease the signaling process, providing negative feedback. One example is the c-Cbl protein, which can dock on some activated receptors and catalyze their ubiquitylation, covalently adding one or more @CHEMICAL$ molecules to specific sites on the receptor.</t>
  </si>
  <si>
    <t xml:space="preserve">[Jiaying] Should be 0, unless this counts as 2?? - Ubiquitin is covalently added to RTKs = binding? </t>
  </si>
  <si>
    <t>Not all proteins that bind to activated RTKs via SH2 domains help to relay the signal onward. Some act to decrease the signaling process, providing negative feedback. One example is the @GENE$ protein, which can dock on some activated receptors and catalyze their ubiquitylation, covalently adding one or more @CHEMICAL$ molecules to specific sites on the receptor.</t>
  </si>
  <si>
    <t>[Jiaying] Should be 2?? - can we infer that c-Cbl binds ubiquitin as well if it catalyses ubiquitin addition to RTKs?</t>
  </si>
  <si>
    <t>@GENE$ (and possibly @GENE$)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co-Smad, Smad4, and inhibit it, either by preventing its binding to R-Smads or by promoting its ubiquitylation and degradation.</t>
  </si>
  <si>
    <t>No original label, text input was missing from orig spreadsheet</t>
  </si>
  <si>
    <t>@GENE$ (and possibly Smad6) binds to the cytosolic tail of the activated receptor and inhibits its signaling ability in at least three ways: (1) it competes with R-@GENE$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co-Smad, Smad4, and inhibit it, either by preventing its binding to R-Smads or by promoting its ubiquitylation and degradation.</t>
  </si>
  <si>
    <t>[Jiaying] SMAD7, SMAD6 compete with R-Smads = inhibition</t>
  </si>
  <si>
    <t>"R-Smads" should be tagged as @GENE$, not just "Smads"</t>
  </si>
  <si>
    <t>@GENE$ (and possibly Smad6) binds to the cytosolic tail of the activated receptor and inhibits its signaling ability in at least three ways: (1) it competes with R-Smads for binding sites on the receptor, decreasing R-@GENE$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co-Smad, Smad4, and inhibit it, either by preventing its binding to R-Smads or by promoting its ubiquitylation and degradation.</t>
  </si>
  <si>
    <t>@GENE$ (and possibly Smad6) binds to the cytosolic tail of the activated receptor and inhibits its signaling ability in at least three ways: (1) it competes with R-Smads for binding sites on the receptor, decreasing R-Smad phosphorylation; (2) it recruits a ubiquitin ligase called @GENE$,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co-Smad, Smad4, and inhibit it, either by preventing its binding to R-Smads or by promoting its ubiquitylation and degradation.</t>
  </si>
  <si>
    <t>2 - SMAD7/SMAD6 recruit Smurf = binding</t>
  </si>
  <si>
    <t>@GENE$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@GENE$ also ubiquitylate and promote the degradation of Smads that they are called Smad ubiquitylation regulatory factors, or Smurfs); and (3) it recruits a protein phosphatase that dephosphorylates and inactivates the recep- tor. In addition, the inhibitory Smads bind to the co-Smad, Smad4, and inhibit it, either by preventing its binding to R-Smads or by promoting its ubiquitylation and degradation.</t>
  </si>
  <si>
    <t>0? - Not the clearest that there is binding/interaction between these specific mentions of Smurf and SMAD7/SMAD6?</t>
  </si>
  <si>
    <t>@GENE$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@GENE$ that they are called Smad ubiquitylation regulatory factors, or Smurfs); and (3) it recruits a protein phosphatase that dephosphorylates and inactivates the recep- tor. In addition, the inhibitory Smads bind to the co-Smad, Smad4, and inhibit it, either by preventing its binding to R-Smads or by promoting its ubiquitylation and degradation.</t>
  </si>
  <si>
    <t>@GENE$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@GENE$, or Smurfs); and (3) it recruits a protein phosphatase that dephosphorylates and inactivates the recep- tor. In addition, the inhibitory Smads bind to the co-Smad, Smad4, and inhibit it, either by preventing its binding to R-Smads or by promoting its ubiquitylation and degradation.</t>
  </si>
  <si>
    <t>@GENE$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@GENE$); and (3) it recruits a protein phosphatase that dephosphorylates and inactivates the recep- tor. In addition, the inhibitory Smads bind to the co-Smad, Smad4, and inhibit it, either by preventing its binding to R-Smads or by promoting its ubiquitylation and degradation.</t>
  </si>
  <si>
    <t>@GENE$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@GENE$. In addition, the inhibitory Smads bind to the co-Smad, Smad4, and inhibit it, either by preventing its binding to R-Smads or by promoting its ubiquitylation and degradation.</t>
  </si>
  <si>
    <t>0 - no mention of what the receptor is</t>
  </si>
  <si>
    <t>"receptor" should not be tagged as @GENE$ - too generic</t>
  </si>
  <si>
    <t>@GENE$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@GENE$ bind to the co-Smad, Smad4, and inhibit it, either by preventing its binding to R-Smads or by promoting its ubiquitylation and degradation.</t>
  </si>
  <si>
    <t>@GENE$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co-@GENE$, Smad4, and inhibit it, either by preventing its binding to R-Smads or by promoting its ubiquitylation and degradation.</t>
  </si>
  <si>
    <t>@GENE$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co-Smad, @GENE$, and inhibit it, either by preventing its binding to R-Smads or by promoting its ubiquitylation and degradation.</t>
  </si>
  <si>
    <t>2? - Not the clearest that there is binding/interaction between these specific mentions of Smad4 and SMAD7/SMAD6, but can be inferred that "inhibitory Smads" refers to SMAD7/SMAD6...?</t>
  </si>
  <si>
    <t>[Jiaying] Ligand-receptor binding, now classified as interaction (protein-protein)??;
SMAD7/SMAD6 inhibit SMAD4 = inhibition</t>
  </si>
  <si>
    <t>@GENE$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co-Smad, Smad4, and inhibit it, either by preventing its binding to R-@GENE$ or by promoting its ubiquitylation and degradation.</t>
  </si>
  <si>
    <t>Smad7 (and possibly @GENE$) binds to the cytosolic tail of the activated receptor and inhibits its signaling ability in at least three ways: (1) it competes with R-@GENE$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co-Smad, Smad4, and inhibit it, either by preventing its binding to R-Smads or by promoting its ubiquitylation and degradation.</t>
  </si>
  <si>
    <t>Smad7 (and possibly @GENE$) binds to the cytosolic tail of the activated receptor and inhibits its signaling ability in at least three ways: (1) it competes with R-Smads for binding sites on the receptor, decreasing R-@GENE$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co-Smad, Smad4, and inhibit it, either by preventing its binding to R-Smads or by promoting its ubiquitylation and degradation.</t>
  </si>
  <si>
    <t>Smad7 (and possibly @GENE$) binds to the cytosolic tail of the activated receptor and inhibits its signaling ability in at least three ways: (1) it competes with R-Smads for binding sites on the receptor, decreasing R-Smad phosphorylation; (2) it recruits a ubiquitin ligase called @GENE$,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co-Smad, Smad4, and inhibit it, either by preventing its binding to R-Smads or by promoting its ubiquitylation and degradation.</t>
  </si>
  <si>
    <t>Smad7 (and possibly @GENE$)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@GENE$ also ubiquitylate and promote the degradation of Smads that they are called Smad ubiquitylation regulatory factors, or Smurfs); and (3) it recruits a protein phosphatase that dephosphorylates and inactivates the recep- tor. In addition, the inhibitory Smads bind to the co-Smad, Smad4, and inhibit it, either by preventing its binding to R-Smads or by promoting its ubiquitylation and degradation.</t>
  </si>
  <si>
    <t>Smad7 (and possibly @GENE$)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@GENE$ that they are called Smad ubiquitylation regulatory factors, or Smurfs); and (3) it recruits a protein phosphatase that dephosphorylates and inactivates the recep- tor. In addition, the inhibitory Smads bind to the co-Smad, Smad4, and inhibit it, either by preventing its binding to R-Smads or by promoting its ubiquitylation and degradation.</t>
  </si>
  <si>
    <t>Smad7 (and possibly @GENE$)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@GENE$, or Smurfs); and (3) it recruits a protein phosphatase that dephosphorylates and inactivates the recep- tor. In addition, the inhibitory Smads bind to the co-Smad, Smad4, and inhibit it, either by preventing its binding to R-Smads or by promoting its ubiquitylation and degradation.</t>
  </si>
  <si>
    <t>Smad7 (and possibly @GENE$)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@GENE$); and (3) it recruits a protein phosphatase that dephosphorylates and inactivates the recep- tor. In addition, the inhibitory Smads bind to the co-Smad, Smad4, and inhibit it, either by preventing its binding to R-Smads or by promoting its ubiquitylation and degradation.</t>
  </si>
  <si>
    <t>Smad7 (and possibly @GENE$)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@GENE$. In addition, the inhibitory Smads bind to the co-Smad, Smad4, and inhibit it, either by preventing its binding to R-Smads or by promoting its ubiquitylation and degradation.</t>
  </si>
  <si>
    <t>Smad7 (and possibly @GENE$)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@GENE$ bind to the co-Smad, Smad4, and inhibit it, either by preventing its binding to R-Smads or by promoting its ubiquitylation and degradation.</t>
  </si>
  <si>
    <t>Smad7 (and possibly @GENE$)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co-@GENE$, Smad4, and inhibit it, either by preventing its binding to R-Smads or by promoting its ubiquitylation and degradation.</t>
  </si>
  <si>
    <t>Smad7 (and possibly @GENE$)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co-Smad, @GENE$, and inhibit it, either by preventing its binding to R-Smads or by promoting its ubiquitylation and degradation.</t>
  </si>
  <si>
    <t>Smad7 (and possibly @GENE$)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co-Smad, Smad4, and inhibit it, either by preventing its binding to R-@GENE$ or by promoting its ubiquitylation and degradation.</t>
  </si>
  <si>
    <t>Smad7 (and possibly Smad6) binds to the cytosolic tail of the activated receptor and inhibits its signaling ability in at least three ways: (1) it competes with R-@GENE$ for binding sites on the receptor, decreasing R-@GENE$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</si>
  <si>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R-@GENE$ for binding sites on the receptor, decreasing R-Smad phosphorylation; (2) it recruits a ubiquitin ligase called @GENE$,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</si>
  <si>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R-@GENE$ for binding sites on the receptor, decreasing R-Smad phosphorylation; (2) it recruits a ubiquitin ligase called Smurf, which ubiquitylates the receptor, leading to receptor internalization and degradation (it is because @GENE$ also ubiquitylate and promote the degradation of Smads that they are called Smad ubiquitylation regulatory factors, or Smurfs); and (3) it recruits a protein phosphatase that dephosphorylates and inactivates the recep- tor. In addition, the inhibitory Smads bind to the co-Smad, Smad4, and inhibit it, either by preventing its binding to R-Smads or by promoting its ubiquitylation and degradation.</t>
  </si>
  <si>
    <t>0? - Not the clearest that there is binding/interaction/ubiquitylation between these specific mentions of Smurf and R-Smads?</t>
  </si>
  <si>
    <t>Smad7 (and possibly Smad6) binds to the cytosolic tail of the activated receptor and inhibits its signaling ability in at least three ways: (1) it competes with R-@GENE$ for binding sites on the receptor, decreasing R-Smad phosphorylation; (2) it recruits a ubiquitin ligase called Smurf, which ubiquitylates the receptor, leading to receptor internalization and degradation (it is because Smurfs also ubiquitylate and promote the degradation of @GENE$ that they are called Smad ubiquitylation regulatory factors, or Smurfs); and (3) it recruits a protein phosphatase that dephosphorylates and inactivates the recep- tor. In addition, the inhibitory Smads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</si>
  <si>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R-@GENE$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@GENE$, or Smurfs); and (3) it recruits a protein phosphatase that dephosphorylates and inactivates the recep- tor. In addition, the inhibitory Smads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</si>
  <si>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R-@GENE$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@GENE$); and (3) it recruits a protein phosphatase that dephosphorylates and inactivates the recep- tor. In addition, the inhibitory Smads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</si>
  <si>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R-@GENE$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@GENE$. In addition, the inhibitory Smads bind to the co-Smad, Smad4, and inhibit it, either by preventing its binding to R-Smads or by promoting its ubiquitylation and degradation.</t>
  </si>
  <si>
    <t>"R-Smads" should be tagged as @GENE$, not just "Smads"; 
"receptor" should not be tagged as @GENE$ - too generic</t>
  </si>
  <si>
    <t>Smad7 (and possibly Smad6) binds to the cytosolic tail of the activated receptor and inhibits its signaling ability in at least three ways: (1) it competes with R-@GENE$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@GENE$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</si>
  <si>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R-@GENE$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co-@GENE$,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</si>
  <si>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R-@GENE$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co-Smad, @GENE$, and inhibit it, either by preventing its binding to R-Smads or by promoting its ubiquitylation and degradation.</t>
  </si>
  <si>
    <t>Smad7 (and possibly Smad6) binds to the cytosolic tail of the activated receptor and inhibits its signaling ability in at least three ways: (1) it competes with R-@GENE$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co-Smad, Smad4, and inhibit it, either by preventing its binding to R-@GENE$ or by promoting its ubiquitylation and degradation.</t>
  </si>
  <si>
    <t>Smad7 (and possibly Smad6) binds to the cytosolic tail of the activated receptor and inhibits its signaling ability in at least three ways: (1) it competes with R-Smads for binding sites on the receptor, decreasing R-@GENE$ phosphorylation; (2) it recruits a ubiquitin ligase called @GENE$,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</si>
  <si>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R-@GENE$ phosphorylation; (2) it recruits a ubiquitin ligase called Smurf, which ubiquitylates the receptor, leading to receptor internalization and degradation (it is because @GENE$ also ubiquitylate and promote the degradation of Smads that they are called Smad ubiquitylation regulatory factors, or Smurfs); and (3) it recruits a protein phosphatase that dephosphorylates and inactivates the recep- tor. In addition, the inhibitory Smads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</si>
  <si>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R-@GENE$ phosphorylation; (2) it recruits a ubiquitin ligase called Smurf, which ubiquitylates the receptor, leading to receptor internalization and degradation (it is because Smurfs also ubiquitylate and promote the degradation of @GENE$ that they are called Smad ubiquitylation regulatory factors, or Smurfs); and (3) it recruits a protein phosphatase that dephosphorylates and inactivates the recep- tor. In addition, the inhibitory Smads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</si>
  <si>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R-@GENE$ phosphorylation; (2) it recruits a ubiquitin ligase called Smurf, which ubiquitylates the receptor, leading to receptor internalization and degradation (it is because Smurfs also ubiquitylate and promote the degradation of Smads that they are called @GENE$, or Smurfs); and (3) it recruits a protein phosphatase that dephosphorylates and inactivates the recep- tor. In addition, the inhibitory Smads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</si>
  <si>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R-@GENE$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@GENE$); and (3) it recruits a protein phosphatase that dephosphorylates and inactivates the recep- tor. In addition, the inhibitory Smads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</si>
  <si>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R-@GENE$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@GENE$. In addition, the inhibitory Smads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</si>
  <si>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R-@GENE$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@GENE$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</si>
  <si>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R-@GENE$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co-@GENE$,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</si>
  <si>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R-@GENE$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co-Smad, @GENE$,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</si>
  <si>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R-@GENE$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co-Smad, Smad4, and inhibit it, either by preventing its binding to R-@GENE$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</si>
  <si>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@GENE$, which ubiquitylates the receptor, leading to receptor internalization and degradation (it is because @GENE$ also ubiquitylate and promote the degradation of Smads that they are called Smad ubiquitylation regulatory factors, or Smurfs); and (3) it recruits a protein phosphatase that dephosphorylates and inactivates the recep- tor. In addition, the inhibitory Smads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</si>
  <si>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@GENE$, which ubiquitylates the receptor, leading to receptor internalization and degradation (it is because Smurfs also ubiquitylate and promote the degradation of @GENE$ that they are called Smad ubiquitylation regulatory factors, or Smurfs); and (3) it recruits a protein phosphatase that dephosphorylates and inactivates the recep- tor. In addition, the inhibitory Smads bind to the co-Smad, Smad4, and inhibit it, either by preventing its binding to R-Smads or by promoting its ubiquitylation and degradation.</t>
  </si>
  <si>
    <t>0? - Not the clearest that there is binding/interaction/ubiquitylation between these specific mentions of Smurf and R-Smads (the next mentions of Smurf are better)?</t>
  </si>
  <si>
    <t>Smad7 (and possibly Smad6) binds to the cytosolic tail of the activated receptor and inhibits its signaling ability in at least three ways: (1) it competes with R-Smads for binding sites on the receptor, decreasing R-Smad phosphorylation; (2) it recruits a ubiquitin ligase called @GENE$, which ubiquitylates the receptor, leading to receptor internalization and degradation (it is because Smurfs also ubiquitylate and promote the degradation of Smads that they are called @GENE$, or Smurfs); and (3) it recruits a protein phosphatase that dephosphorylates and inactivates the recep- tor. In addition, the inhibitory Smads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</si>
  <si>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@GENE$, which ubiquitylates the receptor, leading to receptor internalization and degradation (it is because Smurfs also ubiquitylate and promote the degradation of Smads that they are called Smad ubiquitylation regulatory factors, or @GENE$); and (3) it recruits a protein phosphatase that dephosphorylates and inactivates the recep- tor. In addition, the inhibitory Smads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</si>
  <si>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@GENE$,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@GENE$. In addition, the inhibitory Smads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</si>
  <si>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@GENE$,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@GENE$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</si>
  <si>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@GENE$,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co-@GENE$,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</si>
  <si>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@GENE$,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co-Smad, @GENE$,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</si>
  <si>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@GENE$,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co-Smad, Smad4, and inhibit it, either by preventing its binding to R-@GENE$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</si>
  <si>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@GENE$ also ubiquitylate and promote the degradation of @GENE$ that they are called Smad ubiquitylation regulatory factors, or Smurfs); and (3) it recruits a protein phosphatase that dephosphorylates and inactivates the recep- tor. In addition, the inhibitory Smads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</si>
  <si>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@GENE$ also ubiquitylate and promote the degradation of Smads that they are called @GENE$, or Smurfs); and (3) it recruits a protein phosphatase that dephosphorylates and inactivates the recep- tor. In addition, the inhibitory Smads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</si>
  <si>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@GENE$ also ubiquitylate and promote the degradation of Smads that they are called Smad ubiquitylation regulatory factors, or @GENE$); and (3) it recruits a protein phosphatase that dephosphorylates and inactivates the recep- tor. In addition, the inhibitory Smads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</si>
  <si>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@GENE$ also ubiquitylate and promote the degradation of Smads that they are called Smad ubiquitylation regulatory factors, or Smurfs); and (3) it recruits a protein phosphatase that dephosphorylates and inactivates the @GENE$. In addition, the inhibitory Smads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</si>
  <si>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@GENE$ also ubiquitylate and promote the degradation of Smads that they are called Smad ubiquitylation regulatory factors, or Smurfs); and (3) it recruits a protein phosphatase that dephosphorylates and inactivates the recep- tor. In addition, the inhibitory @GENE$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</si>
  <si>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@GENE$ also ubiquitylate and promote the degradation of Smads that they are called Smad ubiquitylation regulatory factors, or Smurfs); and (3) it recruits a protein phosphatase that dephosphorylates and inactivates the recep- tor. In addition, the inhibitory Smads bind to the co-@GENE$,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</si>
  <si>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@GENE$ also ubiquitylate and promote the degradation of Smads that they are called Smad ubiquitylation regulatory factors, or Smurfs); and (3) it recruits a protein phosphatase that dephosphorylates and inactivates the recep- tor. In addition, the inhibitory Smads bind to the co-Smad, @GENE$,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</si>
  <si>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@GENE$ also ubiquitylate and promote the degradation of Smads that they are called Smad ubiquitylation regulatory factors, or Smurfs); and (3) it recruits a protein phosphatase that dephosphorylates and inactivates the recep- tor. In addition, the inhibitory Smads bind to the co-Smad, Smad4, and inhibit it, either by preventing its binding to R-@GENE$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</si>
  <si>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@GENE$ that they are called @GENE$, or Smurfs); and (3) it recruits a protein phosphatase that dephosphorylates and inactivates the recep- tor. In addition, the inhibitory Smads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</si>
  <si>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@GENE$ that they are called Smad ubiquitylation regulatory factors, or @GENE$); and (3) it recruits a protein phosphatase that dephosphorylates and inactivates the recep- tor. In addition, the inhibitory Smads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</si>
  <si>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@GENE$ that they are called Smad ubiquitylation regulatory factors, or Smurfs); and (3) it recruits a protein phosphatase that dephosphorylates and inactivates the @GENE$. In addition, the inhibitory Smads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</si>
  <si>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@GENE$ that they are called Smad ubiquitylation regulatory factors, or Smurfs); and (3) it recruits a protein phosphatase that dephosphorylates and inactivates the recep- tor. In addition, the inhibitory @GENE$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</si>
  <si>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@GENE$ that they are called Smad ubiquitylation regulatory factors, or Smurfs); and (3) it recruits a protein phosphatase that dephosphorylates and inactivates the recep- tor. In addition, the inhibitory Smads bind to the co-@GENE$,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</si>
  <si>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@GENE$ that they are called Smad ubiquitylation regulatory factors, or Smurfs); and (3) it recruits a protein phosphatase that dephosphorylates and inactivates the recep- tor. In addition, the inhibitory Smads bind to the co-Smad, @GENE$,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</si>
  <si>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@GENE$ that they are called Smad ubiquitylation regulatory factors, or Smurfs); and (3) it recruits a protein phosphatase that dephosphorylates and inactivates the recep- tor. In addition, the inhibitory Smads bind to the co-Smad, Smad4, and inhibit it, either by preventing its binding to R-@GENE$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</si>
  <si>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@GENE$, or @GENE$); and (3) it recruits a protein phosphatase that dephosphorylates and inactivates the recep- tor. In addition, the inhibitory Smads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</si>
  <si>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@GENE$, or Smurfs); and (3) it recruits a protein phosphatase that dephosphorylates and inactivates the @GENE$. In addition, the inhibitory Smads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</si>
  <si>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@GENE$, or Smurfs); and (3) it recruits a protein phosphatase that dephosphorylates and inactivates the recep- tor. In addition, the inhibitory @GENE$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</si>
  <si>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@GENE$, or Smurfs); and (3) it recruits a protein phosphatase that dephosphorylates and inactivates the recep- tor. In addition, the inhibitory Smads bind to the co-@GENE$,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</si>
  <si>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@GENE$, or Smurfs); and (3) it recruits a protein phosphatase that dephosphorylates and inactivates the recep- tor. In addition, the inhibitory Smads bind to the co-Smad, @GENE$,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</si>
  <si>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@GENE$, or Smurfs); and (3) it recruits a protein phosphatase that dephosphorylates and inactivates the recep- tor. In addition, the inhibitory Smads bind to the co-Smad, Smad4, and inhibit it, either by preventing its binding to R-@GENE$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</si>
  <si>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@GENE$); and (3) it recruits a protein phosphatase that dephosphorylates and inactivates the @GENE$. In addition, the inhibitory Smads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</si>
  <si>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@GENE$); and (3) it recruits a protein phosphatase that dephosphorylates and inactivates the recep- tor. In addition, the inhibitory @GENE$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</si>
  <si>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@GENE$); and (3) it recruits a protein phosphatase that dephosphorylates and inactivates the recep- tor. In addition, the inhibitory Smads bind to the co-@GENE$,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</si>
  <si>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@GENE$); and (3) it recruits a protein phosphatase that dephosphorylates and inactivates the recep- tor. In addition, the inhibitory Smads bind to the co-Smad, @GENE$,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</si>
  <si>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@GENE$); and (3) it recruits a protein phosphatase that dephosphorylates and inactivates the recep- tor. In addition, the inhibitory Smads bind to the co-Smad, Smad4, and inhibit it, either by preventing its binding to R-@GENE$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</si>
  <si>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@GENE$. In addition, the inhibitory @GENE$ bind to the co-Smad,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</si>
  <si>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@GENE$. In addition, the inhibitory Smads bind to the co-@GENE$, Smad4,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</si>
  <si>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@GENE$. In addition, the inhibitory Smads bind to the co-Smad, @GENE$,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</si>
  <si>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@GENE$. In addition, the inhibitory Smads bind to the co-Smad, Smad4, and inhibit it, either by preventing its binding to R-@GENE$ or by promoting its ubiquitylation and degradation.</t>
  </si>
  <si>
    <t>"receptor" should not be tagged as @GENE$ - too generic; 
"R-Smads" should be tagged as @GENE$, not just "Smads"</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</si>
  <si>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@GENE$ bind to the co-@GENE$, Smad4, and inhibit it, either by preventing its binding to R-Smads or by promoting its ubiquitylation and degradation.</t>
  </si>
  <si>
    <t>0? - technically there is binding and ubiquitylation, the inhibitory Smads are SMAD7/SMAD6 but that isn't captured here if the entity is just "Smad"...</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</si>
  <si>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@GENE$ bind to the co-Smad, @GENE$,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</si>
  <si>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@GENE$ bind to the co-Smad, Smad4, and inhibit it, either by preventing its binding to R-@GENE$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</si>
  <si>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co-@GENE$, @GENE$, and inhibit it, either by preventing its binding to R-Smads or by promoting its ubiquitylation and degradation.</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</si>
  <si>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co-@GENE$, Smad4, and inhibit it, either by preventing its binding to R-@GENE$ or by promoting its ubiquitylation and degradation.</t>
  </si>
  <si>
    <t>0? - technically there is binding, the co-Smad is SMAD4 which binds R-Smads but that isn't captured here if the entity is just "Smad"...</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</si>
  <si>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co-Smad, @GENE$, and inhibit it, either by preventing its binding to R-@GENE$ or by promoting its ubiquitylation and degradation.</t>
  </si>
  <si>
    <t>0? - technically there is binding, SMAD4 binds R-Smads but that isn't captured here if the entity is just "Smad"...</t>
  </si>
  <si>
    <t>The complex contains at least four other proteins, including a protein kinase called @GENE$ (@GENE$), which phosphorylates the β-catenin on a serine, priming it for further phosphorylation by another protein kinase called glycogen synthase kinase 3 (GSK3). This final phosphorylation marks the protein for ubiquitylation and rapid degradation in proteasomes.</t>
  </si>
  <si>
    <t>(CK1, phosphorylates, β-catenin on a serine)</t>
  </si>
  <si>
    <t xml:space="preserve">[Jiaying] CK1 and GSK3 mark β-catenin for ubiquitylation and degradation = inhibition? </t>
  </si>
  <si>
    <t>The complex contains at least four other proteins, including a protein kinase called @GENE$ (CK1), which phosphorylates the @GENE$ on a serine, priming it for further phosphorylation by another protein kinase called glycogen synthase kinase 3 (GSK3). This final phosphorylation marks the protein for ubiquitylation and rapid degradation in proteasomes.</t>
  </si>
  <si>
    <t>(GSK3, phosphorylates, β-catenin on a serine)</t>
  </si>
  <si>
    <t>The complex contains at least four other proteins, including a protein kinase called @GENE$ (CK1), which phosphorylates the β-catenin on a serine, priming it for further phosphorylation by another protein kinase called @GENE$ (GSK3). This final phosphorylation marks the protein for ubiquitylation and rapid degradation in proteasomes.</t>
  </si>
  <si>
    <t>The complex contains at least four other proteins, including a protein kinase called @GENE$ (CK1), which phosphorylates the β-catenin on a serine, priming it for further phosphorylation by another protein kinase called glycogen synthase kinase 3 (@GENE$). This final phosphorylation marks the protein for ubiquitylation and rapid degradation in proteasomes.</t>
  </si>
  <si>
    <t>The complex contains at least four other proteins, including a protein kinase called casein kinase 1 (@GENE$), which phosphorylates the @GENE$ on a serine, priming it for further phosphorylation by another protein kinase called glycogen synthase kinase 3 (GSK3). This final phosphorylation marks the protein for ubiquitylation and rapid degradation in proteasomes.</t>
  </si>
  <si>
    <t>The complex contains at least four other proteins, including a protein kinase called casein kinase 1 (@GENE$), which phosphorylates the β-catenin on a serine, priming it for further phosphorylation by another protein kinase called @GENE$ (GSK3). This final phosphorylation marks the protein for ubiquitylation and rapid degradation in proteasomes.</t>
  </si>
  <si>
    <t>The complex contains at least four other proteins, including a protein kinase called casein kinase 1 (@GENE$), which phosphorylates the β-catenin on a serine, priming it for further phosphorylation by another protein kinase called glycogen synthase kinase 3 (@GENE$). This final phosphorylation marks the protein for ubiquitylation and rapid degradation in proteasomes.</t>
  </si>
  <si>
    <t>The complex contains at least four other proteins, including a protein kinase called casein kinase 1 (CK1), which phosphorylates the @GENE$ on a serine, priming it for further phosphorylation by another protein kinase called @GENE$ (GSK3). This final phosphorylation marks the protein for ubiquitylation and rapid degradation in proteasomes.</t>
  </si>
  <si>
    <t>The complex contains at least four other proteins, including a protein kinase called casein kinase 1 (CK1), which phosphorylates the @GENE$ on a serine, priming it for further phosphorylation by another protein kinase called glycogen synthase kinase 3 (@GENE$). This final phosphorylation marks the protein for ubiquitylation and rapid degradation in proteasomes.</t>
  </si>
  <si>
    <t>The complex contains at least four other proteins, including a protein kinase called casein kinase 1 (CK1), which phosphorylates the β-catenin on a serine, priming it for further phosphorylation by another protein kinase called @GENE$ (@GENE$). This final phosphorylation marks the protein for ubiquitylation and rapid degradation in proteasomes.</t>
  </si>
  <si>
    <t>The binding of @GENE$ causes a rearrangement of the clustered cytosolic tails of the receptors, which now recruit various signaling proteins, resulting in the activation of a protein kinase that phosphorylates and activates @GENE$ (IKK). IKK is a heterotrimer composed of two kinase subunits (IKKα and IKKβ) and a regulatory subunit called NEMO. IKKβ then phosphorylates IκB on two serines, which marks the protein for ubiquitylation and degradation in proteasomes.</t>
  </si>
  <si>
    <t>(IKKβ, phosphorylates, IκB)</t>
  </si>
  <si>
    <t>[Jiaying] TNFa (indirectly) phosphorylates and activates IKK = stimulation?</t>
  </si>
  <si>
    <t>The binding of @GENE$ causes a rearrangement of the clustered cytosolic tails of the receptors, which now recruit various signaling proteins, resulting in the activation of a protein kinase that phosphorylates and activates IκB kinase kinase (@GENE$). IKK is a heterotrimer composed of two kinase subunits (IKKα and IKKβ) and a regulatory subunit called NEMO. IKKβ then phosphorylates IκB on two serines, which marks the protein for ubiquitylation and degradation in proteasomes.</t>
  </si>
  <si>
    <t>The binding of @GENE$ causes a rearrangement of the clustered cytosolic tails of the receptors, which now recruit various signaling proteins, resulting in the activation of a protein kinase that phosphorylates and activates IκB kinase kinase (IKK). @GENE$ is a heterotrimer composed of two kinase subunits (IKKα and IKKβ) and a regulatory subunit called NEMO. IKKβ then phosphorylates IκB on two serines, which marks the protein for ubiquitylation and degradation in proteasomes.</t>
  </si>
  <si>
    <t>The binding of @GENE$ causes a rearrangement of the clustered cytosolic tails of the receptors, which now recruit various signaling proteins, resulting in the activation of a protein kinase that phosphorylates and activates IκB kinase kinase (IKK). IKK is a heterotrimer composed of two kinase subunits (@GENE$ and IKKβ) and a regulatory subunit called NEMO. IKKβ then phosphorylates IκB on two serines, which marks the protein for ubiquitylation and degradation in proteasomes.</t>
  </si>
  <si>
    <t>The binding of @GENE$ causes a rearrangement of the clustered cytosolic tails of the receptors, which now recruit various signaling proteins, resulting in the activation of a protein kinase that phosphorylates and activates IκB kinase kinase (IKK). IKK is a heterotrimer composed of two kinase subunits (IKKα and @GENE$) and a regulatory subunit called NEMO. IKKβ then phosphorylates IκB on two serines, which marks the protein for ubiquitylation and degradation in proteasomes.</t>
  </si>
  <si>
    <t>The binding of @GENE$ causes a rearrangement of the clustered cytosolic tails of the receptors, which now recruit various signaling proteins, resulting in the activation of a protein kinase that phosphorylates and activates IκB kinase kinase (IKK). IKK is a heterotrimer composed of two kinase subunits (IKKα and IKKβ) and a regulatory subunit called @GENE$. IKKβ then phosphorylates IκB on two serines, which marks the protein for ubiquitylation and degradation in proteasomes.</t>
  </si>
  <si>
    <t>The binding of @GENE$ causes a rearrangement of the clustered cytosolic tails of the receptors, which now recruit various signaling proteins, resulting in the activation of a protein kinase that phosphorylates and activates IκB kinase kinase (IKK). IKK is a heterotrimer composed of two kinase subunits (IKKα and IKKβ) and a regulatory subunit called NEMO. @GENE$ then phosphorylates IκB on two serines, which marks the protein for ubiquitylation and degradation in proteasomes.</t>
  </si>
  <si>
    <t>The binding of @GENE$ causes a rearrangement of the clustered cytosolic tails of the receptors, which now recruit various signaling proteins, resulting in the activation of a protein kinase that phosphorylates and activates IκB kinase kinase (IKK). IKK is a heterotrimer composed of two kinase subunits (IKKα and IKKβ) and a regulatory subunit called NEMO. IKKβ then phosphorylates @GENE$ on two serines, which marks the protein for ubiquitylation and degradation in proteasomes.</t>
  </si>
  <si>
    <t>The binding of TNFα causes a rearrangement of the clustered cytosolic tails of the receptors, which now recruit various signaling proteins, resulting in the activation of a protein kinase that phosphorylates and activates @GENE$ (@GENE$). IKK is a heterotrimer composed of two kinase subunits (IKKα and IKKβ) and a regulatory subunit called NEMO. IKKβ then phosphorylates IκB on two serines, which marks the protein for ubiquitylation and degradation in proteasomes.</t>
  </si>
  <si>
    <t>The binding of TNFα causes a rearrangement of the clustered cytosolic tails of the receptors, which now recruit various signaling proteins, resulting in the activation of a protein kinase that phosphorylates and activates @GENE$ (IKK). @GENE$ is a heterotrimer composed of two kinase subunits (IKKα and IKKβ) and a regulatory subunit called NEMO. IKKβ then phosphorylates IκB on two serines, which marks the protein for ubiquitylation and degradation in proteasomes.</t>
  </si>
  <si>
    <t>The binding of TNFα causes a rearrangement of the clustered cytosolic tails of the receptors, which now recruit various signaling proteins, resulting in the activation of a protein kinase that phosphorylates and activates @GENE$ (IKK). IKK is a heterotrimer composed of two kinase subunits (@GENE$ and IKKβ) and a regulatory subunit called NEMO. IKKβ then phosphorylates IκB on two serines, which marks the protein for ubiquitylation and degradation in proteasomes.</t>
  </si>
  <si>
    <t>The binding of TNFα causes a rearrangement of the clustered cytosolic tails of the receptors, which now recruit various signaling proteins, resulting in the activation of a protein kinase that phosphorylates and activates @GENE$ (IKK). IKK is a heterotrimer composed of two kinase subunits (IKKα and @GENE$) and a regulatory subunit called NEMO. IKKβ then phosphorylates IκB on two serines, which marks the protein for ubiquitylation and degradation in proteasomes.</t>
  </si>
  <si>
    <t>The binding of TNFα causes a rearrangement of the clustered cytosolic tails of the receptors, which now recruit various signaling proteins, resulting in the activation of a protein kinase that phosphorylates and activates @GENE$ (IKK). IKK is a heterotrimer composed of two kinase subunits (IKKα and IKKβ) and a regulatory subunit called @GENE$. IKKβ then phosphorylates IκB on two serines, which marks the protein for ubiquitylation and degradation in proteasomes.</t>
  </si>
  <si>
    <t>The binding of TNFα causes a rearrangement of the clustered cytosolic tails of the receptors, which now recruit various signaling proteins, resulting in the activation of a protein kinase that phosphorylates and activates @GENE$ (IKK). IKK is a heterotrimer composed of two kinase subunits (IKKα and IKKβ) and a regulatory subunit called NEMO. @GENE$ then phosphorylates IκB on two serines, which marks the protein for ubiquitylation and degradation in proteasomes.</t>
  </si>
  <si>
    <t>The binding of TNFα causes a rearrangement of the clustered cytosolic tails of the receptors, which now recruit various signaling proteins, resulting in the activation of a protein kinase that phosphorylates and activates @GENE$ (IKK). IKK is a heterotrimer composed of two kinase subunits (IKKα and IKKβ) and a regulatory subunit called NEMO. IKKβ then phosphorylates @GENE$ on two serines, which marks the protein for ubiquitylation and degradation in proteasomes.</t>
  </si>
  <si>
    <t>[Jiaying] Could be 1? - IKK (its IKKβ subunit) phosphorylates IκB. But not the clearest mention of IKK to illustrate this relation...?</t>
  </si>
  <si>
    <t>The binding of TNFα causes a rearrangement of the clustered cytosolic tails of the receptors, which now recruit various signaling proteins, resulting in the activation of a protein kinase that phosphorylates and activates IκB kinase kinase (@GENE$). @GENE$ is a heterotrimer composed of two kinase subunits (IKKα and IKKβ) and a regulatory subunit called NEMO. IKKβ then phosphorylates IκB on two serines, which marks the protein for ubiquitylation and degradation in proteasomes.</t>
  </si>
  <si>
    <t>The binding of TNFα causes a rearrangement of the clustered cytosolic tails of the receptors, which now recruit various signaling proteins, resulting in the activation of a protein kinase that phosphorylates and activates IκB kinase kinase (@GENE$). IKK is a heterotrimer composed of two kinase subunits (@GENE$ and IKKβ) and a regulatory subunit called NEMO. IKKβ then phosphorylates IκB on two serines, which marks the protein for ubiquitylation and degradation in proteasomes.</t>
  </si>
  <si>
    <t>The binding of TNFα causes a rearrangement of the clustered cytosolic tails of the receptors, which now recruit various signaling proteins, resulting in the activation of a protein kinase that phosphorylates and activates IκB kinase kinase (@GENE$). IKK is a heterotrimer composed of two kinase subunits (IKKα and @GENE$) and a regulatory subunit called NEMO. IKKβ then phosphorylates IκB on two serines, which marks the protein for ubiquitylation and degradation in proteasomes.</t>
  </si>
  <si>
    <t>The binding of TNFα causes a rearrangement of the clustered cytosolic tails of the receptors, which now recruit various signaling proteins, resulting in the activation of a protein kinase that phosphorylates and activates IκB kinase kinase (@GENE$). IKK is a heterotrimer composed of two kinase subunits (IKKα and IKKβ) and a regulatory subunit called @GENE$. IKKβ then phosphorylates IκB on two serines, which marks the protein for ubiquitylation and degradation in proteasomes.</t>
  </si>
  <si>
    <t>The binding of TNFα causes a rearrangement of the clustered cytosolic tails of the receptors, which now recruit various signaling proteins, resulting in the activation of a protein kinase that phosphorylates and activates IκB kinase kinase (@GENE$). IKK is a heterotrimer composed of two kinase subunits (IKKα and IKKβ) and a regulatory subunit called NEMO. @GENE$ then phosphorylates IκB on two serines, which marks the protein for ubiquitylation and degradation in proteasomes.</t>
  </si>
  <si>
    <t>The binding of TNFα causes a rearrangement of the clustered cytosolic tails of the receptors, which now recruit various signaling proteins, resulting in the activation of a protein kinase that phosphorylates and activates IκB kinase kinase (@GENE$). IKK is a heterotrimer composed of two kinase subunits (IKKα and IKKβ) and a regulatory subunit called NEMO. IKKβ then phosphorylates @GENE$ on two serines, which marks the protein for ubiquitylation and degradation in proteasomes.</t>
  </si>
  <si>
    <t>The binding of TNFα causes a rearrangement of the clustered cytosolic tails of the receptors, which now recruit various signaling proteins, resulting in the activation of a protein kinase that phosphorylates and activates IκB kinase kinase (IKK). @GENE$ is a heterotrimer composed of two kinase subunits (@GENE$ and IKKβ) and a regulatory subunit called NEMO. IKKβ then phosphorylates IκB on two serines, which marks the protein for ubiquitylation and degradation in proteasomes.</t>
  </si>
  <si>
    <t>The binding of TNFα causes a rearrangement of the clustered cytosolic tails of the receptors, which now recruit various signaling proteins, resulting in the activation of a protein kinase that phosphorylates and activates IκB kinase kinase (IKK). @GENE$ is a heterotrimer composed of two kinase subunits (IKKα and @GENE$) and a regulatory subunit called NEMO. IKKβ then phosphorylates IκB on two serines, which marks the protein for ubiquitylation and degradation in proteasomes.</t>
  </si>
  <si>
    <t>The binding of TNFα causes a rearrangement of the clustered cytosolic tails of the receptors, which now recruit various signaling proteins, resulting in the activation of a protein kinase that phosphorylates and activates IκB kinase kinase (IKK). @GENE$ is a heterotrimer composed of two kinase subunits (IKKα and IKKβ) and a regulatory subunit called @GENE$. IKKβ then phosphorylates IκB on two serines, which marks the protein for ubiquitylation and degradation in proteasomes.</t>
  </si>
  <si>
    <t>The binding of TNFα causes a rearrangement of the clustered cytosolic tails of the receptors, which now recruit various signaling proteins, resulting in the activation of a protein kinase that phosphorylates and activates IκB kinase kinase (IKK). @GENE$ is a heterotrimer composed of two kinase subunits (IKKα and IKKβ) and a regulatory subunit called NEMO. @GENE$ then phosphorylates IκB on two serines, which marks the protein for ubiquitylation and degradation in proteasomes.</t>
  </si>
  <si>
    <t>The binding of TNFα causes a rearrangement of the clustered cytosolic tails of the receptors, which now recruit various signaling proteins, resulting in the activation of a protein kinase that phosphorylates and activates IκB kinase kinase (IKK). @GENE$ is a heterotrimer composed of two kinase subunits (IKKα and IKKβ) and a regulatory subunit called NEMO. IKKβ then phosphorylates @GENE$ on two serines, which marks the protein for ubiquitylation and degradation in proteasomes.</t>
  </si>
  <si>
    <t>[Jiaying] Should be 1 - IKK (its IKKβ subunit) phosphorylates IκB</t>
  </si>
  <si>
    <t>The binding of TNFα causes a rearrangement of the clustered cytosolic tails of the receptors, which now recruit various signaling proteins, resulting in the activation of a protein kinase that phosphorylates and activates IκB kinase kinase (IKK). IKK is a heterotrimer composed of two kinase subunits (@GENE$ and @GENE$) and a regulatory subunit called NEMO. IKKβ then phosphorylates IκB on two serines, which marks the protein for ubiquitylation and degradation in proteasomes.</t>
  </si>
  <si>
    <t>[Jiaying] Should be 2 - IKK is a complex made up of IKKα, IKKβ, and NEMO, i.e. all 3 bind each other</t>
  </si>
  <si>
    <t>The binding of TNFα causes a rearrangement of the clustered cytosolic tails of the receptors, which now recruit various signaling proteins, resulting in the activation of a protein kinase that phosphorylates and activates IκB kinase kinase (IKK). IKK is a heterotrimer composed of two kinase subunits (@GENE$ and IKKβ) and a regulatory subunit called @GENE$. IKKβ then phosphorylates IκB on two serines, which marks the protein for ubiquitylation and degradation in proteasomes.</t>
  </si>
  <si>
    <t>The binding of TNFα causes a rearrangement of the clustered cytosolic tails of the receptors, which now recruit various signaling proteins, resulting in the activation of a protein kinase that phosphorylates and activates IκB kinase kinase (IKK). IKK is a heterotrimer composed of two kinase subunits (@GENE$ and IKKβ) and a regulatory subunit called NEMO. @GENE$ then phosphorylates IκB on two serines, which marks the protein for ubiquitylation and degradation in proteasomes.</t>
  </si>
  <si>
    <t>[Jiaying] 0, but could be 2? - IKK is a complex made up of IKKα, IKKβ, and NEMO, i.e. all 3 bind each other. But not the clearest mention of IKKβ to illustrate this relation...?</t>
  </si>
  <si>
    <t>The binding of TNFα causes a rearrangement of the clustered cytosolic tails of the receptors, which now recruit various signaling proteins, resulting in the activation of a protein kinase that phosphorylates and activates IκB kinase kinase (IKK). IKK is a heterotrimer composed of two kinase subunits (@GENE$ and IKKβ) and a regulatory subunit called NEMO. IKKβ then phosphorylates @GENE$ on two serines, which marks the protein for ubiquitylation and degradation in proteasomes.</t>
  </si>
  <si>
    <t>The binding of TNFα causes a rearrangement of the clustered cytosolic tails of the receptors, which now recruit various signaling proteins, resulting in the activation of a protein kinase that phosphorylates and activates IκB kinase kinase (IKK). IKK is a heterotrimer composed of two kinase subunits (IKKα and @GENE$) and a regulatory subunit called @GENE$. IKKβ then phosphorylates IκB on two serines, which marks the protein for ubiquitylation and degradation in proteasomes.</t>
  </si>
  <si>
    <t>The binding of TNFα causes a rearrangement of the clustered cytosolic tails of the receptors, which now recruit various signaling proteins, resulting in the activation of a protein kinase that phosphorylates and activates IκB kinase kinase (IKK). IKK is a heterotrimer composed of two kinase subunits (IKKα and @GENE$) and a regulatory subunit called NEMO. @GENE$ then phosphorylates IκB on two serines, which marks the protein for ubiquitylation and degradation in proteasomes.</t>
  </si>
  <si>
    <t>The binding of TNFα causes a rearrangement of the clustered cytosolic tails of the receptors, which now recruit various signaling proteins, resulting in the activation of a protein kinase that phosphorylates and activates IκB kinase kinase (IKK). IKK is a heterotrimer composed of two kinase subunits (IKKα and @GENE$) and a regulatory subunit called NEMO. IKKβ then phosphorylates @GENE$ on two serines, which marks the protein for ubiquitylation and degradation in proteasomes.</t>
  </si>
  <si>
    <t>[Jiaying] Not the clearest mention of IKKβ to illustrate this relation...?</t>
  </si>
  <si>
    <t>The binding of TNFα causes a rearrangement of the clustered cytosolic tails of the receptors, which now recruit various signaling proteins, resulting in the activation of a protein kinase that phosphorylates and activates IκB kinase kinase (IKK). IKK is a heterotrimer composed of two kinase subunits (IKKα and IKKβ) and a regulatory subunit called @GENE$. @GENE$ then phosphorylates IκB on two serines, which marks the protein for ubiquitylation and degradation in proteasomes.</t>
  </si>
  <si>
    <t>The binding of TNFα causes a rearrangement of the clustered cytosolic tails of the receptors, which now recruit various signaling proteins, resulting in the activation of a protein kinase that phosphorylates and activates IκB kinase kinase (IKK). IKK is a heterotrimer composed of two kinase subunits (IKKα and IKKβ) and a regulatory subunit called @GENE$. IKKβ then phosphorylates @GENE$ on two serines, which marks the protein for ubiquitylation and degradation in proteasomes.</t>
  </si>
  <si>
    <t>The binding of TNFα causes a rearrangement of the clustered cytosolic tails of the receptors, which now recruit various signaling proteins, resulting in the activation of a protein kinase that phosphorylates and activates IκB kinase kinase (IKK). IKK is a heterotrimer composed of two kinase subunits (IKKα and IKKβ) and a regulatory subunit called NEMO. @GENE$ then phosphorylates @GENE$ on two serines, which marks the protein for ubiquitylation and degradation in proteasomes.</t>
  </si>
  <si>
    <t xml:space="preserve">[Jiaying] IKKβ marks IκB for ubiquitylation and degradation = inhibition? </t>
  </si>
  <si>
    <t>active @GENE$ stimulates the ubiquitylation and degradation in proteasomes of a nuclear transcription regulator called @GENE$, which is required for the transcription of ethylene-responsive genes.</t>
  </si>
  <si>
    <t>active @GENE$ stimulates the ubiquitylation and degradation in proteasomes of a nuclear transcription regulator called EIN3, which is required for the transcription of @CHEMICAL$-responsive genes.</t>
  </si>
  <si>
    <t>active CTR1 stimulates the ubiquitylation and degradation in proteasomes of a nuclear transcription regulator called @GENE$, which is required for the transcription of @CHEMICAL$-responsive genes.</t>
  </si>
  <si>
    <t>The @GENE$ proteins are located mainly in the nucleus. When activated by @CHEMICAL$ binding, the receptor– auxin complex recruits a ubiquitin ligase, which ubiquitylates the Aux/IAA protein, marking it for degradation in proteasomes. ARF is now free to activate the transcription of auxin-responsive genes.</t>
  </si>
  <si>
    <t>(Aux/IAA protein, ubiquitylated by, activated receptor-auxin complex)</t>
  </si>
  <si>
    <r>
      <rPr>
        <rFont val="Arial"/>
        <color theme="1"/>
        <sz val="10.0"/>
      </rPr>
      <t xml:space="preserve">Binding
</t>
    </r>
    <r>
      <rPr>
        <rFont val="Arial"/>
        <color rgb="FF4A86E8"/>
        <sz val="10.0"/>
      </rPr>
      <t>[Jiaying] Ligand-receptor binding, now classified as interaction (protein-protein); 
auxin stimulates auxin receptor = stimulation</t>
    </r>
  </si>
  <si>
    <t>The @GENE$ proteins are located mainly in the nucleus. When activated by auxin binding, the receptor– @GENE$ complex recruits a ubiquitin ligase, which ubiquitylates the Aux/IAA protein, marking it for degradation in proteasomes. ARF is now free to activate the transcription of auxin-responsive genes.</t>
  </si>
  <si>
    <t>(Auxin, binds to, auxin receptor proteins)</t>
  </si>
  <si>
    <t>[Jiaying] auxin should be tagged as @CHEMICAL$ (not @GENE$), as above</t>
  </si>
  <si>
    <t>The @GENE$ proteins are located mainly in the nucleus. When activated by auxin binding, the receptor– auxin complex recruits a ubiquitin ligase, which ubiquitylates the @GENE$ protein, marking it for degradation in proteasomes. ARF is now free to activate the transcription of auxin-responsive genes.</t>
  </si>
  <si>
    <t>[Jiaying] Auxin/auxin receptor mark Aux/IAA protein for degradation = inhibition?</t>
  </si>
  <si>
    <t>The @GENE$ proteins are located mainly in the nucleus. When activated by auxin binding, the receptor– auxin complex recruits a ubiquitin ligase, which ubiquitylates the Aux/IAA protein, marking it for degradation in proteasomes. @GENE$ is now free to activate the transcription of auxin-responsive genes.</t>
  </si>
  <si>
    <t>[Jiaying] Auxin/auxin receptor mark Aux/IAA protein for degradation, freeing ARF, i.e. ARF is now activated = stimulation?</t>
  </si>
  <si>
    <t>The @GENE$ proteins are located mainly in the nucleus. When activated by auxin binding, the receptor– auxin complex recruits a ubiquitin ligase, which ubiquitylates the Aux/IAA protein, marking it for degradation in proteasomes. ARF is now free to activate the transcription of @GENE$-responsive genes.</t>
  </si>
  <si>
    <t>The auxin receptor proteins are located mainly in the nucleus. When activated by @CHEMICAL$ binding, the receptor– @GENE$ complex recruits a ubiquitin ligase, which ubiquitylates the Aux/IAA protein, marking it for degradation in proteasomes. ARF is now free to activate the transcription of auxin-responsive genes.</t>
  </si>
  <si>
    <t>The auxin receptor proteins are located mainly in the nucleus. When activated by @CHEMICAL$ binding, the receptor– auxin complex recruits a ubiquitin ligase, which ubiquitylates the @GENE$ protein, marking it for degradation in proteasomes. ARF is now free to activate the transcription of auxin-responsive genes.</t>
  </si>
  <si>
    <t>The auxin receptor proteins are located mainly in the nucleus. When activated by @CHEMICAL$ binding, the receptor– auxin complex recruits a ubiquitin ligase, which ubiquitylates the Aux/IAA protein, marking it for degradation in proteasomes. @GENE$ is now free to activate the transcription of auxin-responsive genes.</t>
  </si>
  <si>
    <t>The auxin receptor proteins are located mainly in the nucleus. When activated by @CHEMICAL$ binding, the receptor– auxin complex recruits a ubiquitin ligase, which ubiquitylates the Aux/IAA protein, marking it for degradation in proteasomes. ARF is now free to activate the transcription of @GENE$-responsive genes.</t>
  </si>
  <si>
    <t>The auxin receptor proteins are located mainly in the nucleus. When activated by auxin binding, the receptor– @GENE$ complex recruits a ubiquitin ligase, which ubiquitylates the @GENE$ protein, marking it for degradation in proteasomes. ARF is now free to activate the transcription of auxin-responsive genes.</t>
  </si>
  <si>
    <t>[Jiaying] Should be 0 - the entity tagged is auxin, which is not the ubiquitin ligase doing the ubiquitylation of the Aux/IAA protein</t>
  </si>
  <si>
    <t>The auxin receptor proteins are located mainly in the nucleus. When activated by auxin binding, the receptor– @GENE$ complex recruits a ubiquitin ligase, which ubiquitylates the Aux/IAA protein, marking it for degradation in proteasomes. @GENE$ is now free to activate the transcription of auxin-responsive genes.</t>
  </si>
  <si>
    <t>The auxin receptor proteins are located mainly in the nucleus. When activated by auxin binding, the receptor– @GENE$ complex recruits a ubiquitin ligase, which ubiquitylates the Aux/IAA protein, marking it for degradation in proteasomes. ARF is now free to activate the transcription of @GENE$-responsive genes.</t>
  </si>
  <si>
    <t>The auxin receptor proteins are located mainly in the nucleus. When activated by auxin binding, the receptor– auxin complex recruits a ubiquitin ligase, which ubiquitylates the @GENE$ protein, marking it for degradation in proteasomes. @GENE$ is now free to activate the transcription of auxin-responsive genes.</t>
  </si>
  <si>
    <t>[Jiaying] Degradation of the Aux/IAA protein frees up ARF, i.e. ARF is sequestered/inhibited by Aux/IAA = inhibition</t>
  </si>
  <si>
    <t>The auxin receptor proteins are located mainly in the nucleus. When activated by auxin binding, the receptor– auxin complex recruits a ubiquitin ligase, which ubiquitylates the @GENE$ protein, marking it for degradation in proteasomes. ARF is now free to activate the transcription of @GENE$-responsive genes.</t>
  </si>
  <si>
    <t>The auxin receptor proteins are located mainly in the nucleus. When activated by auxin binding, the receptor– auxin complex recruits a ubiquitin ligase, which ubiquitylates the Aux/IAA protein, marking it for degradation in proteasomes. @GENE$ is now free to activate the transcription of @GENE$-responsive genes.</t>
  </si>
  <si>
    <t>First, a protein called @GENE$ is labeled with a green fluorescent protein. This protein is targeted for degradation by the @GENE$, a ubiquitin ligase that is active from metaphase to the end of G1 (as discussed later). Thus, the green fluorescence of this protein is seen from early S phase to mid-mitosis. A second protein, called Cdt1, is tagged with a red fluorescent protein. This protein is targeted for ubiquitylation and destruction from late G1 to telophase of mitosis.</t>
  </si>
  <si>
    <r>
      <rPr>
        <rFont val="Arial"/>
        <color theme="1"/>
        <sz val="10.0"/>
      </rPr>
      <t xml:space="preserve">Should be 0?
</t>
    </r>
    <r>
      <rPr>
        <rFont val="Arial"/>
        <color rgb="FF4A86E8"/>
        <sz val="10.0"/>
      </rPr>
      <t>[Jiaying] Should be 3 - geminin is targeted for degradation by APC/C, which is a ubiquitin ligase, i.e. APC/C ubiquitylates geminin</t>
    </r>
  </si>
  <si>
    <t>First, a protein called @GENE$ is labeled with a green fluorescent protein. This protein is targeted for degradation by the APC/C, a ubiquitin ligase that is active from metaphase to the end of G1 (as discussed later). Thus, the green fluorescence of this protein is seen from early S phase to mid-mitosis. A second protein, called @GENE$, is tagged with a red fluorescent protein. This protein is targeted for ubiquitylation and destruction from late G1 to telophase of mitosis.</t>
  </si>
  <si>
    <t>First, a protein called geminin is labeled with a green fluorescent protein. This protein is targeted for degradation by the @GENE$, a ubiquitin ligase that is active from metaphase to the end of G1 (as discussed later). Thus, the green fluorescence of this protein is seen from early S phase to mid-mitosis. A second protein, called @GENE$, is tagged with a red fluorescent protein. This protein is targeted for ubiquitylation and destruction from late G1 to telophase of mitosis.</t>
  </si>
  <si>
    <r>
      <rPr>
        <rFont val="Arial"/>
        <color theme="1"/>
        <sz val="10.0"/>
      </rPr>
      <t xml:space="preserve">Is Cdt1 targeted by APC/C?
</t>
    </r>
    <r>
      <rPr>
        <rFont val="Arial"/>
        <color rgb="FF4A86E8"/>
        <sz val="10.0"/>
      </rPr>
      <t>[Jiaying] Should be 0 - agreed that it's not clear whether APC/C is the ubiquitin ligase responsible for targeting Cdt1</t>
    </r>
  </si>
  <si>
    <t>The @GENE$ catalyzes the ubiquitylation and destruction of two major proteins. The first is @GENE$; its destruction in metaphase activates a protease that separates the sister-chromatid pairs and unleashes anaphase, as described later. The S- and M-cyclins are the second major targets of the APC/C.</t>
  </si>
  <si>
    <t>(Securin, ubiquitylated by, APC/C)</t>
  </si>
  <si>
    <t>[Jiaying] APC/C catalyses destruction of securin, S-cyclins, and M-cyclins = inhibition</t>
  </si>
  <si>
    <t>The @GENE$ catalyzes the ubiquitylation and destruction of two major proteins. The first is securin; its destruction in metaphase activates a protease that separates the sister-chromatid pairs and unleashes anaphase, as described later. The @GENE$ are the second major targets of the APC/C.</t>
  </si>
  <si>
    <t>(S-cyclins, ubiquitylated by APC/C)</t>
  </si>
  <si>
    <t>[Jiaying] S- and M- cyclins should be tagged as separate @GENE$ entities</t>
  </si>
  <si>
    <t>The @GENE$ catalyzes the ubiquitylation and destruction of two major proteins. The first is securin; its destruction in metaphase activates a protease that separates the sister-chromatid pairs and unleashes anaphase, as described later. The S- and M-cyclins are the second major targets of the @GENE$</t>
  </si>
  <si>
    <t>(M-cyclins, ubiquitylated by APC/C)</t>
  </si>
  <si>
    <t>The APC/C catalyzes the ubiquitylation and destruction of two major proteins. The first is @GENE$; its destruction in metaphase activates a protease that separates the sister-chromatid pairs and unleashes anaphase, as described later. The @GENE$ are the second major targets of the APC/C.</t>
  </si>
  <si>
    <t>The APC/C catalyzes the ubiquitylation and destruction of two major proteins. The first is @GENE$; its destruction in metaphase activates a protease that separates the sister-chromatid pairs and unleashes anaphase, as described later. The S- and M-cyclins are the second major targets of the @GENE$</t>
  </si>
  <si>
    <t>The APC/C catalyzes the ubiquitylation and destruction of two major proteins. The first is securin; its destruction in metaphase activates a protease that separates the sister-chromatid pairs and unleashes anaphase, as described later. The @GENE$ are the second major targets of the @GENE$</t>
  </si>
  <si>
    <t>The cell-cycle control system also employs another @GENE$ called @GENE$ (see Figure 3–67). Its major role in the cell cycle is to ubiquitylate certain CKI proteins in late G1, thereby helping to control the activation of S-Cdks and DNA replication</t>
  </si>
  <si>
    <t>(CKI proteins, ubiquitylated by, SCF)</t>
  </si>
  <si>
    <t>The cell-cycle control system also employs another @GENE$ called SCF (see Figure 3–67). Its major role in the cell cycle is to ubiquitylate certain @GENE$ proteins in late G1, thereby helping to control the activation of S-Cdks and DNA replication</t>
  </si>
  <si>
    <t>[Jiaying] Should be 0? - Consider that "ubiquitin ligase" is too generic a term to be biologically meaningful</t>
  </si>
  <si>
    <t>The cell-cycle control system also employs another @GENE$ called SCF (see Figure 3–67). Its major role in the cell cycle is to ubiquitylate certain CKI proteins in late G1, thereby helping to control the activation of S-@GENE$ and DNA replication</t>
  </si>
  <si>
    <t>The cell-cycle control system also employs another ubiquitin ligase called @GENE$ (see Figure 3–67). Its major role in the cell cycle is to ubiquitylate certain @GENE$ proteins in late G1, thereby helping to control the activation of S-Cdks and DNA replication</t>
  </si>
  <si>
    <t>[Jiaying] SCF catalyses destruction of CKI proteins = inhibition</t>
  </si>
  <si>
    <t>The cell-cycle control system also employs another ubiquitin ligase called @GENE$ (see Figure 3–67). Its major role in the cell cycle is to ubiquitylate certain CKI proteins in late G1, thereby helping to control the activation of S-@GENE$ and DNA replication</t>
  </si>
  <si>
    <t>[Jiaying] Unclear whether CKI proteins activate or inhibit S-Cdks...</t>
  </si>
  <si>
    <t>The cell-cycle control system also employs another ubiquitin ligase called SCF (see Figure 3–67). Its major role in the cell cycle is to ubiquitylate certain @GENE$ proteins in late G1, thereby helping to control the activation of S-@GENE$ and DNA replication</t>
  </si>
  <si>
    <t>Like @GENE$, @GENE$ is inhibited by M-Cdk, which phosphorylates Sic1 during mitosis and thereby promotes its ubiquitylation by SCF</t>
  </si>
  <si>
    <t>[Jiaying] Should be 0 - no relation clear between Cdh1, Sic1</t>
  </si>
  <si>
    <t>Like @GENE$, Sic1 is inhibited by @GENE$, which phosphorylates Sic1 during mitosis and thereby promotes its ubiquitylation by SCF</t>
  </si>
  <si>
    <r>
      <rPr>
        <rFont val="Arial"/>
        <color theme="1"/>
        <sz val="10.0"/>
      </rPr>
      <t xml:space="preserve">M-Cdk is phosphorylated by Sic1. How about Cdh?
</t>
    </r>
    <r>
      <rPr>
        <rFont val="Arial"/>
        <color rgb="FF4A86E8"/>
        <sz val="10.0"/>
      </rPr>
      <t>[Jiaying] Agreed it's not clear whether Cdh inhibition by M-Cdk involves its phosphorylation...should be 0?</t>
    </r>
  </si>
  <si>
    <t>[Jiaying] Cdh1, Sic1 both inhibited by M-Cdk = inhibition</t>
  </si>
  <si>
    <t>Like @GENE$, Sic1 is inhibited by M-Cdk, which phosphorylates @GENE$ during mitosis and thereby promotes its ubiquitylation by SCF</t>
  </si>
  <si>
    <t>Like @GENE$, Sic1 is inhibited by M-Cdk, which phosphorylates Sic1 during mitosis and thereby promotes its ubiquitylation by @GENE$</t>
  </si>
  <si>
    <t>[Jiaying] Should be 0?? - not clear whether Cdh inhibition by M-Cdk involves its phosphorylation and subsequent ubiquitylation like Sic1 inhibition...</t>
  </si>
  <si>
    <t>Like Cdh1, @GENE$ is inhibited by @GENE$, which phosphorylates Sic1 during mitosis and thereby promotes its ubiquitylation by SCF</t>
  </si>
  <si>
    <t>Like Cdh1, @GENE$ is inhibited by M-Cdk, which phosphorylates @GENE$ during mitosis and thereby promotes its ubiquitylation by SCF</t>
  </si>
  <si>
    <t>Like Cdh1, @GENE$ is inhibited by M-Cdk, which phosphorylates Sic1 during mitosis and thereby promotes its ubiquitylation by @GENE$</t>
  </si>
  <si>
    <t>[Jiaying] Could be 0 - Not the clearest mention of Sic1 to illustrate this relation...?</t>
  </si>
  <si>
    <t>[Jiaying] Cdh1, Sic1 both inhibited by M-Cdk via SCF-mediated ubiquitylation = inhibition</t>
  </si>
  <si>
    <t>Like Cdh1, Sic1 is inhibited by @GENE$, which phosphorylates @GENE$ during mitosis and thereby promotes its ubiquitylation by SCF</t>
  </si>
  <si>
    <t>Like Cdh1, Sic1 is inhibited by @GENE$, which phosphorylates Sic1 during mitosis and thereby promotes its ubiquitylation by @GENE$</t>
  </si>
  <si>
    <t xml:space="preserve">What is ubiquitylated by SCF? M-Cdk? </t>
  </si>
  <si>
    <t>Like Cdh1, Sic1 is inhibited by M-Cdk, which phosphorylates @GENE$ during mitosis and thereby promotes its ubiquitylation by @GENE$</t>
  </si>
  <si>
    <t>[Jiaying] Should be 3 - Sic1 ubiquitylated by SCF after phosphorylation of Sic1 by M-Cdk</t>
  </si>
  <si>
    <t>@GENE$ suppresses G1/S-@GENE$ and S-Cdk activities in G1; helps cells withdraw from cell cycle when they terminally differentiate; phosphorylation by Cdk2 triggers its ubiquitylation by SCF</t>
  </si>
  <si>
    <t>[Jiaying] p27 suppresses both G1/S-Cdk and S-Cdk activity = inhibition</t>
  </si>
  <si>
    <t>[Jiaying] G1/S-Cdk and S-Cdk should be tagged; entire entity should be "G1/S-Cdk" or "S-Cdk" instead of just "Cdk"</t>
  </si>
  <si>
    <t>@GENE$ suppresses G1/S-Cdk and S-@GENE$ activities in G1; helps cells withdraw from cell cycle when they terminally differentiate; phosphorylation by Cdk2 triggers its ubiquitylation by SCF</t>
  </si>
  <si>
    <t>@GENE$ suppresses G1/S-Cdk and S-Cdk activities in G1; helps cells withdraw from cell cycle when they terminally differentiate; phosphorylation by @GENE$ triggers its ubiquitylation by SCF</t>
  </si>
  <si>
    <r>
      <rPr>
        <rFont val="Arial"/>
        <color theme="1"/>
        <sz val="10.0"/>
      </rPr>
      <t xml:space="preserve">Unclear is p27 is being phsophorylated by Cdk2
</t>
    </r>
    <r>
      <rPr>
        <rFont val="Arial"/>
        <color rgb="FF4A86E8"/>
        <sz val="10.0"/>
      </rPr>
      <t>[Jiaying] agreed this is unclear, but may be the most reasonable inference that p27 the phosphorylation target of Cdk2 due to the use of semicolons</t>
    </r>
  </si>
  <si>
    <t>[Jiaying] p27 phosphorylation by Cdk2 leads to ubiquitylation by SCF = inhibition</t>
  </si>
  <si>
    <t>@GENE$ suppresses G1/S-Cdk and S-Cdk activities in G1; helps cells withdraw from cell cycle when they terminally differentiate; phosphorylation by Cdk2 triggers its ubiquitylation by @GENE$</t>
  </si>
  <si>
    <r>
      <rPr>
        <rFont val="Arial"/>
        <color theme="1"/>
        <sz val="10.0"/>
      </rPr>
      <t xml:space="preserve">Unclear what "it" in "its ubiquitylation" refers to. Is it also p27?
</t>
    </r>
    <r>
      <rPr>
        <rFont val="Arial"/>
        <color rgb="FF4A86E8"/>
        <sz val="10.0"/>
      </rPr>
      <t>[Jiaying] agreed this is unclear, but may be the most reasonable inference that p27 the ubiquitylation target of SCF due to the use of semicolons</t>
    </r>
  </si>
  <si>
    <t>[Jiaying] p27 ubiquitylated by SCF = inhibition</t>
  </si>
  <si>
    <t>p27 suppresses G1/S-@GENE$ and S-@GENE$ activities in G1; helps cells withdraw from cell cycle when they terminally differentiate; phosphorylation by Cdk2 triggers its ubiquitylation by SCF</t>
  </si>
  <si>
    <t>p27 suppresses G1/S-@GENE$ and S-Cdk activities in G1; helps cells withdraw from cell cycle when they terminally differentiate; phosphorylation by @GENE$ triggers its ubiquitylation by SCF</t>
  </si>
  <si>
    <t>p27 suppresses G1/S-@GENE$ and S-Cdk activities in G1; helps cells withdraw from cell cycle when they terminally differentiate; phosphorylation by Cdk2 triggers its ubiquitylation by @GENE$</t>
  </si>
  <si>
    <t>p27 suppresses G1/S-Cdk and S-@GENE$ activities in G1; helps cells withdraw from cell cycle when they terminally differentiate; phosphorylation by @GENE$ triggers its ubiquitylation by SCF</t>
  </si>
  <si>
    <t>p27 suppresses G1/S-Cdk and S-@GENE$ activities in G1; helps cells withdraw from cell cycle when they terminally differentiate; phosphorylation by Cdk2 triggers its ubiquitylation by @GENE$</t>
  </si>
  <si>
    <t>p27 suppresses G1/S-Cdk and S-Cdk activities in G1; helps cells withdraw from cell cycle when they terminally differentiate; phosphorylation by @GENE$ triggers its ubiquitylation by @GENE$</t>
  </si>
  <si>
    <t>@GENE$ catalyzes ubiquitylation of regulatory proteins involved primarily in exit from mitosis, including @GENE$ and S-cyclins and M-cyclins; regulated by association with activating subunits Cdc20 or Cdh1</t>
  </si>
  <si>
    <t>(APC/C, catalyze ubiquitylation of, securin)</t>
  </si>
  <si>
    <t>[Jiaying] securin, S-cyclins, and M-cyclins ubiquitylated by APC/C = inhibition</t>
  </si>
  <si>
    <t>@GENE$ catalyzes ubiquitylation of regulatory proteins involved primarily in exit from mitosis, including securin and @GENE$ and M-cyclins; regulated by association with activating subunits Cdc20 or Cdh1</t>
  </si>
  <si>
    <t>(APC/C, catalyze ubiquitylation of, S-cyclins)</t>
  </si>
  <si>
    <t>@GENE$ catalyzes ubiquitylation of regulatory proteins involved primarily in exit from mitosis, including securin and S-cyclins and @GENE$; regulated by association with activating subunits Cdc20 or Cdh1</t>
  </si>
  <si>
    <t>(APC/C, catalyze ubiquitylation of, M-cyclins)</t>
  </si>
  <si>
    <t>@GENE$ catalyzes ubiquitylation of regulatory proteins involved primarily in exit from mitosis, including securin and S-cyclins and M-cyclins; regulated by association with activating subunits @GENE$ or Cdh1</t>
  </si>
  <si>
    <t>[Jiaying] Could be 2? - Unclear whether APC/C is regulated via association (= binding) with Cdc20 or Cdh1, but could be a reasonable inference given the use of semicolons</t>
  </si>
  <si>
    <t>[Jiaying] APC/C regulated by activating subunits Cdc20 or Cdh1?? = stimulation?</t>
  </si>
  <si>
    <t>@GENE$ catalyzes ubiquitylation of regulatory proteins involved primarily in exit from mitosis, including securin and S-cyclins and M-cyclins; regulated by association with activating subunits Cdc20 or @GENE$</t>
  </si>
  <si>
    <t>APC/C catalyzes ubiquitylation of regulatory proteins involved primarily in exit from mitosis, including @GENE$ and @GENE$ and M-cyclins; regulated by association with activating subunits Cdc20 or Cdh1</t>
  </si>
  <si>
    <t>APC/C catalyzes ubiquitylation of regulatory proteins involved primarily in exit from mitosis, including @GENE$ and S-cyclins and @GENE$; regulated by association with activating subunits Cdc20 or Cdh1</t>
  </si>
  <si>
    <t>APC/C catalyzes ubiquitylation of regulatory proteins involved primarily in exit from mitosis, including @GENE$ and S-cyclins and M-cyclins; regulated by association with activating subunits @GENE$ or Cdh1</t>
  </si>
  <si>
    <t>APC/C catalyzes ubiquitylation of regulatory proteins involved primarily in exit from mitosis, including @GENE$ and S-cyclins and M-cyclins; regulated by association with activating subunits Cdc20 or @GENE$</t>
  </si>
  <si>
    <t>APC/C catalyzes ubiquitylation of regulatory proteins involved primarily in exit from mitosis, including securin and @GENE$ and @GENE$; regulated by association with activating subunits Cdc20 or Cdh1</t>
  </si>
  <si>
    <t>APC/C catalyzes ubiquitylation of regulatory proteins involved primarily in exit from mitosis, including securin and @GENE$ and M-cyclins; regulated by association with activating subunits @GENE$ or Cdh1</t>
  </si>
  <si>
    <t>APC/C catalyzes ubiquitylation of regulatory proteins involved primarily in exit from mitosis, including securin and @GENE$ and M-cyclins; regulated by association with activating subunits Cdc20 or @GENE$</t>
  </si>
  <si>
    <t>APC/C catalyzes ubiquitylation of regulatory proteins involved primarily in exit from mitosis, including securin and S-cyclins and @GENE$; regulated by association with activating subunits @GENE$ or Cdh1</t>
  </si>
  <si>
    <t>APC/C catalyzes ubiquitylation of regulatory proteins involved primarily in exit from mitosis, including securin and S-cyclins and @GENE$; regulated by association with activating subunits Cdc20 or @GENE$</t>
  </si>
  <si>
    <t>APC/C catalyzes ubiquitylation of regulatory proteins involved primarily in exit from mitosis, including securin and S-cyclins and M-cyclins; regulated by association with activating subunits @GENE$ or @GENE$</t>
  </si>
  <si>
    <t>@GENE$ employs various substrate-binding (F-box) subunits to catalyze ubiquitylation of regulatory proteins involved in G1 control, including some @GENE$ (Sic1 in budding yeast, p27 in mammals)</t>
  </si>
  <si>
    <t>(SCF, catalyze ubiquitylation of, CKIs)</t>
  </si>
  <si>
    <t>@GENE$ employs various substrate-binding (F-box) subunits to catalyze ubiquitylation of regulatory proteins involved in G1 control, including some CKIs (@GENE$ in budding yeast, p27 in mammals)</t>
  </si>
  <si>
    <t>(SCF, catalyze ubiquitylation of Sic1)</t>
  </si>
  <si>
    <t>@GENE$ employs various substrate-binding (F-box) subunits to catalyze ubiquitylation of regulatory proteins involved in G1 control, including some CKIs (Sic1 in budding @SPECIES$, p27 in mammals)</t>
  </si>
  <si>
    <t>(SCF, catalyze ubiquitylation of, p27)</t>
  </si>
  <si>
    <t>@GENE$ employs various substrate-binding (F-box) subunits to catalyze ubiquitylation of regulatory proteins involved in G1 control, including some CKIs (Sic1 in budding yeast, @GENE$ in mammals)</t>
  </si>
  <si>
    <t>SCF employs various substrate-binding (F-box) subunits to catalyze ubiquitylation of regulatory proteins involved in G1 control, including some @GENE$ (@GENE$ in budding yeast, p27 in mammals)</t>
  </si>
  <si>
    <t>SCF employs various substrate-binding (F-box) subunits to catalyze ubiquitylation of regulatory proteins involved in G1 control, including some @GENE$ (Sic1 in budding @SPECIES$, p27 in mammals)</t>
  </si>
  <si>
    <t>SCF employs various substrate-binding (F-box) subunits to catalyze ubiquitylation of regulatory proteins involved in G1 control, including some @GENE$ (Sic1 in budding yeast, @GENE$ in mammals)</t>
  </si>
  <si>
    <t>SCF employs various substrate-binding (F-box) subunits to catalyze ubiquitylation of regulatory proteins involved in G1 control, including some CKIs (@GENE$ in budding @SPECIES$, p27 in mammals)</t>
  </si>
  <si>
    <t>SCF employs various substrate-binding (F-box) subunits to catalyze ubiquitylation of regulatory proteins involved in G1 control, including some CKIs (@GENE$ in budding yeast, @GENE$ in mammals)</t>
  </si>
  <si>
    <t>SCF employs various substrate-binding (F-box) subunits to catalyze ubiquitylation of regulatory proteins involved in G1 control, including some CKIs (Sic1 in budding @SPECIES$, @GENE$ in mammals)</t>
  </si>
  <si>
    <t>@GENE$–@GENE$ catalyzes ubiquitylation of the replication regulator Cdt1 during S phase, thereby suppressing further loading of Mcm helicase at origin</t>
  </si>
  <si>
    <r>
      <rPr>
        <rFont val="Arial"/>
        <color theme="1"/>
        <sz val="10.0"/>
      </rPr>
      <t xml:space="preserve">Binding
</t>
    </r>
    <r>
      <rPr>
        <rFont val="Arial"/>
        <color rgb="FF4A86E8"/>
        <sz val="10.0"/>
      </rPr>
      <t>[Jiaying] Ligand-receptor binding, now classified as interaction (protein-protein)</t>
    </r>
  </si>
  <si>
    <t>@GENE$–Cdt2 catalyzes ubiquitylation of the replication regulator @GENE$ during S phase, thereby suppressing further loading of Mcm helicase at origin</t>
  </si>
  <si>
    <t>[Jiaying] CRL4-Cdt2 ubiquitylates Cdt1 = inhibition</t>
  </si>
  <si>
    <t>@GENE$–Cdt2 catalyzes ubiquitylation of the replication regulator Cdt1 during S phase, thereby suppressing further loading of @GENE$ at origin</t>
  </si>
  <si>
    <t>CRL4–@GENE$ catalyzes ubiquitylation of the replication regulator @GENE$ during S phase, thereby suppressing further loading of Mcm helicase at origin</t>
  </si>
  <si>
    <t>CRL4–@GENE$ catalyzes ubiquitylation of the replication regulator Cdt1 during S phase, thereby suppressing further loading of @GENE$ at origin</t>
  </si>
  <si>
    <t>CRL4–Cdt2 catalyzes ubiquitylation of the replication regulator @GENE$ during S phase, thereby suppressing further loading of @GENE$ at origin</t>
  </si>
  <si>
    <t>Also, the association of @GENE$ with a protein at active replication forks stimulates @GENE$ ubiquitylation by a ubiquitin ligase called CRL4–Cdt2, leading to Cdt1 degradation.</t>
  </si>
  <si>
    <t>Also, the association of @GENE$ with a protein at active replication forks stimulates Cdt1 ubiquitylation by a @GENE$ called CRL4–Cdt2, leading to Cdt1 degradation.</t>
  </si>
  <si>
    <t>[Jiaying] Should be 0 - Consider that "ubiquitin ligase" is too generic a term to be biologically meaningful if we label this as an interaction…</t>
  </si>
  <si>
    <t>Also, the association of @GENE$ with a protein at active replication forks stimulates Cdt1 ubiquitylation by a ubiquitin ligase called @GENE$–Cdt2, leading to Cdt1 degradation.</t>
  </si>
  <si>
    <t>[Jiaying] Not the clearest that there is ubiquitylation between these specific mentions of Cdt1 and CRL4-Cdt2?</t>
  </si>
  <si>
    <t>Also, the association of @GENE$ with a protein at active replication forks stimulates Cdt1 ubiquitylation by a ubiquitin ligase called CRL4–@GENE$, leading to Cdt1 degradation.</t>
  </si>
  <si>
    <t>Also, the association of @GENE$ with a protein at active replication forks stimulates Cdt1 ubiquitylation by a ubiquitin ligase called CRL4–Cdt2, leading to @GENE$ degradation.</t>
  </si>
  <si>
    <t>Also, the association of Cdt1 with a protein at active replication forks stimulates @GENE$ ubiquitylation by a @GENE$ called CRL4–Cdt2, leading to Cdt1 degradation.</t>
  </si>
  <si>
    <t>Also, the association of Cdt1 with a protein at active replication forks stimulates @GENE$ ubiquitylation by a ubiquitin ligase called @GENE$–Cdt2, leading to Cdt1 degradation.</t>
  </si>
  <si>
    <t>(CRL4-Cdt2, stimulates ubiquitylation of, Cdt1)</t>
  </si>
  <si>
    <t>Also, the association of Cdt1 with a protein at active replication forks stimulates @GENE$ ubiquitylation by a ubiquitin ligase called CRL4–@GENE$, leading to Cdt1 degradation.</t>
  </si>
  <si>
    <t>Also, the association of Cdt1 with a protein at active replication forks stimulates @GENE$ ubiquitylation by a ubiquitin ligase called CRL4–Cdt2, leading to @GENE$ degradation.</t>
  </si>
  <si>
    <t>Also, the association of Cdt1 with a protein at active replication forks stimulates Cdt1 ubiquitylation by a @GENE$ called @GENE$–Cdt2, leading to Cdt1 degradation.</t>
  </si>
  <si>
    <t>Also, the association of Cdt1 with a protein at active replication forks stimulates Cdt1 ubiquitylation by a @GENE$ called CRL4–@GENE$, leading to Cdt1 degradation.</t>
  </si>
  <si>
    <t>Also, the association of Cdt1 with a protein at active replication forks stimulates Cdt1 ubiquitylation by a @GENE$ called CRL4–Cdt2, leading to @GENE$ degradation.</t>
  </si>
  <si>
    <t>Also, the association of Cdt1 with a protein at active replication forks stimulates Cdt1 ubiquitylation by a ubiquitin ligase called @GENE$–@GENE$, leading to Cdt1 degradation.</t>
  </si>
  <si>
    <t>[Jiaying] Should be 2 - CRL4 and Cdt2 are in complex = binding</t>
  </si>
  <si>
    <t>Also, the association of Cdt1 with a protein at active replication forks stimulates Cdt1 ubiquitylation by a ubiquitin ligase called @GENE$–Cdt2, leading to @GENE$ degradation.</t>
  </si>
  <si>
    <t>Also, the association of Cdt1 with a protein at active replication forks stimulates Cdt1 ubiquitylation by a ubiquitin ligase called CRL4–@GENE$, leading to @GENE$ degradation.</t>
  </si>
  <si>
    <t>The activation of @GENE$ by @GENE$ leads to the ubiquitylation and destruction of securin</t>
  </si>
  <si>
    <t>(Securin, ubiquitylated by, activated APC/C)</t>
  </si>
  <si>
    <r>
      <rPr>
        <rFont val="Arial"/>
        <color theme="1"/>
        <sz val="10.0"/>
      </rPr>
      <t xml:space="preserve">Association? 
</t>
    </r>
    <r>
      <rPr>
        <rFont val="Arial"/>
        <color rgb="FF4A86E8"/>
        <sz val="10.0"/>
      </rPr>
      <t>[Jiaying] Cdc20 activates APC/C = stimulation</t>
    </r>
  </si>
  <si>
    <t>The activation of @GENE$ by Cdc20 leads to the ubiquitylation and destruction of @GENE$</t>
  </si>
  <si>
    <t>[Jiaying] APC/C ubiquitylates and destroys securin = inhibition</t>
  </si>
  <si>
    <t>The activation of APC/C by @GENE$ leads to the ubiquitylation and destruction of @GENE$</t>
  </si>
  <si>
    <r>
      <rPr>
        <rFont val="Arial"/>
        <color theme="1"/>
        <sz val="10.0"/>
      </rPr>
      <t xml:space="preserve">Should be 3 since indirect relations are considered?
</t>
    </r>
    <r>
      <rPr>
        <rFont val="Arial"/>
        <color rgb="FF4A86E8"/>
        <sz val="10.0"/>
      </rPr>
      <t xml:space="preserve">[Jiaying] agreed this is an indirect causation of ubiquitylation... </t>
    </r>
  </si>
  <si>
    <t>@GENE$ normally binds to @GENE$ and promotes its ubiquitylation and destruction in proteasomes.</t>
  </si>
  <si>
    <t>(Mdm2, binds to, p53)</t>
  </si>
  <si>
    <r>
      <rPr>
        <rFont val="Arial"/>
        <color theme="1"/>
        <sz val="10.0"/>
      </rPr>
      <t xml:space="preserve">Binding
</t>
    </r>
    <r>
      <rPr>
        <rFont val="Arial"/>
        <color rgb="FF4A86E8"/>
        <sz val="10.0"/>
      </rPr>
      <t>[Jiaying] Ligand-receptor binding, now classified as interaction (protein-protein); 
Mdm2 binding to p53 promotes p53 destruction = inhibition</t>
    </r>
  </si>
  <si>
    <t>@GENE$ is known to direct mono-ubiquitination of @GENE$, which is involved in regulating gene transcription in the nucleus.</t>
  </si>
  <si>
    <t>(H2B, ubiquitinated by, Rad6)</t>
  </si>
  <si>
    <t>The resulting K48-linked and K11-linked ubiquitin chains do not only represent a signal for degradation by the proteasome but are also recognized by the @GENE$+ @GENE$ Cdc48 and get in the process of retrotranslocation modified by enzymes bound to Cdc48.</t>
  </si>
  <si>
    <t>The resulting K48-linked and K11-linked ubiquitin chains do not only represent a signal for degradation by the proteasome but are also recognized by the @GENE$+ ATPase @GENE$ and get in the process of retrotranslocation modified by enzymes bound to Cdc48.</t>
  </si>
  <si>
    <t>The resulting K48-linked and K11-linked ubiquitin chains do not only represent a signal for degradation by the proteasome but are also recognized by the @GENE$+ ATPase Cdc48 and get in the process of retrotranslocation modified by enzymes bound to @GENE$.</t>
  </si>
  <si>
    <t>The resulting K48-linked and K11-linked ubiquitin chains do not only represent a signal for degradation by the proteasome but are also recognized by the AAA+ @GENE$ @GENE$ and get in the process of retrotranslocation modified by enzymes bound to Cdc48.</t>
  </si>
  <si>
    <t>The resulting K48-linked and K11-linked ubiquitin chains do not only represent a signal for degradation by the proteasome but are also recognized by the AAA+ @GENE$ Cdc48 and get in the process of retrotranslocation modified by enzymes bound to @GENE$.</t>
  </si>
  <si>
    <t>The resulting K48-linked and K11-linked ubiquitin chains do not only represent a signal for degradation by the proteasome but are also recognized by the AAA+ ATPase @GENE$ and get in the process of retrotranslocation modified by enzymes bound to @GENE$.</t>
  </si>
  <si>
    <t>Although @GENE$ is the main E2 enzyme that cooperates with the @GENE$ E3 ligase, the central component of the Hrd complex, Ubc6 interacts with another E3 ligase complex, the Doa10 complex.</t>
  </si>
  <si>
    <r>
      <rPr>
        <rFont val="Arial"/>
        <color theme="1"/>
        <sz val="10.0"/>
      </rPr>
      <t xml:space="preserve">Should be 0
</t>
    </r>
    <r>
      <rPr>
        <rFont val="Arial"/>
        <color rgb="FF4A86E8"/>
        <sz val="10.0"/>
      </rPr>
      <t>[Jiaying] agreed should be 0 - "cooperation" isn't enough to imply a physical interaction</t>
    </r>
  </si>
  <si>
    <t>Association</t>
  </si>
  <si>
    <t>Although @GENE$ is the main E2 enzyme that cooperates with the Hrd1 @GENE$ ligase, the central component of the Hrd complex, Ubc6 interacts with another E3 ligase complex, the Doa10 complex.</t>
  </si>
  <si>
    <r>
      <rPr>
        <rFont val="Arial"/>
        <color theme="1"/>
        <sz val="10.0"/>
      </rPr>
      <t xml:space="preserve">Should be 0
</t>
    </r>
    <r>
      <rPr>
        <rFont val="Arial"/>
        <color rgb="FF4A86E8"/>
        <sz val="10.0"/>
      </rPr>
      <t>[Jiaying] agreed should be 0 - "cooperation" isn't enough to imply a physical interaction</t>
    </r>
  </si>
  <si>
    <t>If "E3" is tagged as @GENE$, should "E2" also be tagged as @GENE$?</t>
  </si>
  <si>
    <t>Although @GENE$ is the main E2 enzyme that cooperates with the Hrd1 E3 ligase, the central component of the @GENE$ complex, Ubc6 interacts with another E3 ligase complex, the Doa10 complex.</t>
  </si>
  <si>
    <r>
      <rPr>
        <rFont val="Arial"/>
        <color theme="1"/>
        <sz val="10.0"/>
      </rPr>
      <t xml:space="preserve">Should be 0
</t>
    </r>
    <r>
      <rPr>
        <rFont val="Arial"/>
        <color rgb="FF4A86E8"/>
        <sz val="10.0"/>
      </rPr>
      <t>[Jiaying] agreed should be 0 - "cooperation" isn't enough to imply a physical interaction</t>
    </r>
  </si>
  <si>
    <t>Although @GENE$ is the main E2 enzyme that cooperates with the Hrd1 E3 ligase, the central component of the Hrd complex, @GENE$ interacts with another E3 ligase complex, the Doa10 complex.</t>
  </si>
  <si>
    <t>Although @GENE$ is the main E2 enzyme that cooperates with the Hrd1 E3 ligase, the central component of the Hrd complex, Ubc6 interacts with another @GENE$ complex, the Doa10 complex.</t>
  </si>
  <si>
    <t>Although @GENE$ is the main E2 enzyme that cooperates with the Hrd1 E3 ligase, the central component of the Hrd complex, Ubc6 interacts with another E3 ligase complex, the @GENE$ complex.</t>
  </si>
  <si>
    <t>Although Ubc7 is the main E2 enzyme that cooperates with the @GENE$ @GENE$ ligase, the central component of the Hrd complex, Ubc6 interacts with another E3 ligase complex, the Doa10 complex.</t>
  </si>
  <si>
    <t>Although Ubc7 is the main E2 enzyme that cooperates with the @GENE$ E3 ligase, the central component of the @GENE$ complex, Ubc6 interacts with another E3 ligase complex, the Doa10 complex.</t>
  </si>
  <si>
    <t>Although Ubc7 is the main E2 enzyme that cooperates with the @GENE$ E3 ligase, the central component of the Hrd complex, @GENE$ interacts with another E3 ligase complex, the Doa10 complex.</t>
  </si>
  <si>
    <t>Although Ubc7 is the main E2 enzyme that cooperates with the @GENE$ E3 ligase, the central component of the Hrd complex, Ubc6 interacts with another @GENE$ complex, the Doa10 complex.</t>
  </si>
  <si>
    <t>Although Ubc7 is the main E2 enzyme that cooperates with the @GENE$ E3 ligase, the central component of the Hrd complex, Ubc6 interacts with another E3 ligase complex, the @GENE$ complex.</t>
  </si>
  <si>
    <t>Although Ubc7 is the main E2 enzyme that cooperates with the Hrd1 @GENE$ ligase, the central component of the @GENE$ complex, Ubc6 interacts with another E3 ligase complex, the Doa10 complex.</t>
  </si>
  <si>
    <t>Although Ubc7 is the main E2 enzyme that cooperates with the Hrd1 @GENE$ ligase, the central component of the Hrd complex, @GENE$ interacts with another E3 ligase complex, the Doa10 complex.</t>
  </si>
  <si>
    <t>Although Ubc7 is the main E2 enzyme that cooperates with the Hrd1 @GENE$ ligase, the central component of the Hrd complex, Ubc6 interacts with another @GENE$ complex, the Doa10 complex.</t>
  </si>
  <si>
    <t>Although Ubc7 is the main E2 enzyme that cooperates with the Hrd1 @GENE$ ligase, the central component of the Hrd complex, Ubc6 interacts with another E3 ligase complex, the @GENE$ complex.</t>
  </si>
  <si>
    <t>Although Ubc7 is the main E2 enzyme that cooperates with the Hrd1 E3 ligase, the central component of the @GENE$ complex, @GENE$ interacts with another E3 ligase complex, the Doa10 complex.</t>
  </si>
  <si>
    <t>Although Ubc7 is the main E2 enzyme that cooperates with the Hrd1 E3 ligase, the central component of the @GENE$ complex, Ubc6 interacts with another @GENE$ complex, the Doa10 complex.</t>
  </si>
  <si>
    <t>Although Ubc7 is the main E2 enzyme that cooperates with the Hrd1 E3 ligase, the central component of the @GENE$ complex, Ubc6 interacts with another E3 ligase complex, the @GENE$ complex.</t>
  </si>
  <si>
    <t>Although Ubc7 is the main E2 enzyme that cooperates with the Hrd1 E3 ligase, the central component of the Hrd complex, @GENE$ interacts with another @GENE$ complex, the Doa10 complex.</t>
  </si>
  <si>
    <r>
      <rPr>
        <rFont val="Arial"/>
        <color theme="1"/>
        <sz val="10.0"/>
      </rPr>
      <t xml:space="preserve">Should be 0
</t>
    </r>
    <r>
      <rPr>
        <rFont val="Arial"/>
        <color rgb="FF4A86E8"/>
        <sz val="10.0"/>
      </rPr>
      <t>[Jiaying] Should be 2? - Ubc6 interacts with Doa10 means there is binding = protein-protein interaction?</t>
    </r>
  </si>
  <si>
    <r>
      <rPr>
        <rFont val="Arial"/>
        <color theme="1"/>
        <sz val="10.0"/>
      </rPr>
      <t xml:space="preserve">Association
</t>
    </r>
    <r>
      <rPr>
        <rFont val="Arial"/>
        <color rgb="FF4A86E8"/>
        <sz val="10.0"/>
      </rPr>
      <t>[Jiaying] Ligand-receptor binding, now classified as interaction (protein-protein)</t>
    </r>
  </si>
  <si>
    <t>Although Ubc7 is the main E2 enzyme that cooperates with the Hrd1 E3 ligase, the central component of the Hrd complex, @GENE$ interacts with another E3 ligase complex, the @GENE$ complex.</t>
  </si>
  <si>
    <r>
      <rPr>
        <rFont val="Arial"/>
        <color theme="1"/>
        <sz val="10.0"/>
      </rPr>
      <t xml:space="preserve">Should be 0
</t>
    </r>
    <r>
      <rPr>
        <rFont val="Arial"/>
        <color rgb="FF4A86E8"/>
        <sz val="10.0"/>
      </rPr>
      <t>[Jiaying] Should be 2? - Ubc6 interacts with Doa10 means there is binding = protein-protein interaction?</t>
    </r>
  </si>
  <si>
    <r>
      <rPr>
        <rFont val="Arial"/>
        <color theme="1"/>
        <sz val="10.0"/>
      </rPr>
      <t xml:space="preserve">Association
</t>
    </r>
    <r>
      <rPr>
        <rFont val="Arial"/>
        <color rgb="FF4A86E8"/>
        <sz val="10.0"/>
      </rPr>
      <t>[Jiaying] Ligand-receptor binding, now classified as interaction (protein-protein)</t>
    </r>
  </si>
  <si>
    <t>Although Ubc7 is the main E2 enzyme that cooperates with the Hrd1 E3 ligase, the central component of the Hrd complex, Ubc6 interacts with another @GENE$ complex, the @GENE$ complex.</t>
  </si>
  <si>
    <t>In addition, detailed biochemical studies have shown that binding enhances the ubiquitination reaction by an allosteric mechanism. @GENE$ bound to the isolated @GENE$ showed strongly enhanced ubiquitination activity, independently of the presence of E3 ligases.</t>
  </si>
  <si>
    <t>(Ubc7, binds to, U7BR)</t>
  </si>
  <si>
    <r>
      <rPr>
        <rFont val="Arial"/>
        <color theme="1"/>
        <sz val="10.0"/>
      </rPr>
      <t xml:space="preserve">Binding
</t>
    </r>
    <r>
      <rPr>
        <rFont val="Arial"/>
        <color rgb="FF4A86E8"/>
        <sz val="10.0"/>
      </rPr>
      <t>[Jiaying] Ligand-receptor binding, now classified as interaction (protein-protein)</t>
    </r>
  </si>
  <si>
    <t>In addition, detailed biochemical studies have shown that binding enhances the ubiquitination reaction by an allosteric mechanism. @GENE$ bound to the isolated U7BR showed strongly enhanced ubiquitination activity, independently of the presence of @GENE$.</t>
  </si>
  <si>
    <t>In addition, detailed biochemical studies have shown that binding enhances the ubiquitination reaction by an allosteric mechanism. Ubc7 bound to the isolated @GENE$ showed strongly enhanced ubiquitination activity, independently of the presence of @GENE$.</t>
  </si>
  <si>
    <t>In mammalian cells the ERAD @GENE$ @GENE$ contains in addition to the G2BR domain that binds to the E2 enzyme Ube2g2 also a CUE domain that recognizes the hydrophobic patch of ubiquitin similar to other CUE domains.</t>
  </si>
  <si>
    <t>(G2BR domain, binds to, Ube2g2)</t>
  </si>
  <si>
    <t>In mammalian cells the ERAD @GENE$ gp78 contains in addition to the G2BR domain that binds to the E2 enzyme @GENE$ also a CUE domain that recognizes the hydrophobic patch of ubiquitin similar to other CUE domains.</t>
  </si>
  <si>
    <r>
      <rPr>
        <rFont val="Arial"/>
        <color theme="1"/>
        <sz val="10.0"/>
      </rPr>
      <t xml:space="preserve">Should be 0
</t>
    </r>
    <r>
      <rPr>
        <rFont val="Arial"/>
        <color rgb="FF4A86E8"/>
        <sz val="10.0"/>
      </rPr>
      <t>[Jiaying] Should be 2? - E3 ligase gp78 interacts with E2 enzyme Ube2g2 means there is binding = protein-protein interaction?</t>
    </r>
  </si>
  <si>
    <r>
      <rPr>
        <rFont val="Arial"/>
        <color theme="1"/>
        <sz val="10.0"/>
      </rPr>
      <t xml:space="preserve">Binding
</t>
    </r>
    <r>
      <rPr>
        <rFont val="Arial"/>
        <color rgb="FF4A86E8"/>
        <sz val="10.0"/>
      </rPr>
      <t>[Jiaying] Ligand-receptor binding, now classified as interaction (protein-protein)</t>
    </r>
  </si>
  <si>
    <t>In mammalian cells the ERAD @GENE$ gp78 contains in addition to the G2BR domain that binds to the E2 enzyme Ube2g2 also a CUE domain that recognizes the hydrophobic patch of @GENE$ similar to other CUE domains.</t>
  </si>
  <si>
    <t>[Jiaying] Should be 2? - E3 ligase gp78 contains CUE domain recognising ubiquitin means there is binding = protein-protein interaction?</t>
  </si>
  <si>
    <t>In mammalian cells the ERAD E3 ligase @GENE$ contains in addition to the G2BR domain that binds to the E2 enzyme @GENE$ also a CUE domain that recognizes the hydrophobic patch of ubiquitin similar to other CUE domains.</t>
  </si>
  <si>
    <r>
      <rPr>
        <rFont val="Arial"/>
        <color theme="1"/>
        <sz val="10.0"/>
      </rPr>
      <t xml:space="preserve">Should be 0
</t>
    </r>
    <r>
      <rPr>
        <rFont val="Arial"/>
        <color rgb="FF4A86E8"/>
        <sz val="10.0"/>
      </rPr>
      <t>[Jiaying] Should be 2? - E3 ligase gp78 interacts with E2 enzyme Ube2g2 means there is binding = protein-protein interaction?</t>
    </r>
  </si>
  <si>
    <r>
      <rPr>
        <rFont val="Arial"/>
        <color theme="1"/>
        <sz val="10.0"/>
      </rPr>
      <t xml:space="preserve">Binding
</t>
    </r>
    <r>
      <rPr>
        <rFont val="Arial"/>
        <color rgb="FF4A86E8"/>
        <sz val="10.0"/>
      </rPr>
      <t>[Jiaying] Ligand-receptor binding, now classified as interaction (protein-protein)</t>
    </r>
  </si>
  <si>
    <t>In mammalian cells the ERAD E3 ligase @GENE$ contains in addition to the G2BR domain that binds to the E2 enzyme Ube2g2 also a CUE domain that recognizes the hydrophobic patch of @GENE$ similar to other CUE domains.</t>
  </si>
  <si>
    <t>In mammalian cells the ERAD E3 ligase gp78 contains in addition to the G2BR domain that binds to the E2 enzyme @GENE$ also a CUE domain that recognizes the hydrophobic patch of @GENE$ similar to other CUE domains.</t>
  </si>
  <si>
    <t>In vitro experiments with poly-ubiquitinated @GENE$ suggested that in general @GENE$ acts before Otu1-mediated trimming of the ubiquitin chains occurs. These investigations also suggested that Ubx2 prevents premature de-ubiquitination before substrate extraction by competing with Otu1 for binding to Cdc48.</t>
  </si>
  <si>
    <t>(Ubx2, binds to, Cdc48)</t>
  </si>
  <si>
    <t>In vitro experiments with poly-ubiquitinated @GENE$ suggested that in general Cdc48 acts before @GENE$-mediated trimming of the ubiquitin chains occurs. These investigations also suggested that Ubx2 prevents premature de-ubiquitination before substrate extraction by competing with Otu1 for binding to Cdc48.</t>
  </si>
  <si>
    <t>(Otu1, binds to, Cdc48)</t>
  </si>
  <si>
    <t>In vitro experiments with poly-ubiquitinated @GENE$ suggested that in general Cdc48 acts before Otu1-mediated trimming of the ubiquitin chains occurs. These investigations also suggested that @GENE$ prevents premature de-ubiquitination before substrate extraction by competing with Otu1 for binding to Cdc48.</t>
  </si>
  <si>
    <t>In vitro experiments with poly-ubiquitinated @GENE$ suggested that in general Cdc48 acts before Otu1-mediated trimming of the ubiquitin chains occurs. These investigations also suggested that Ubx2 prevents premature de-ubiquitination before substrate extraction by competing with @GENE$ for binding to Cdc48.</t>
  </si>
  <si>
    <t>In vitro experiments with poly-ubiquitinated @GENE$ suggested that in general Cdc48 acts before Otu1-mediated trimming of the ubiquitin chains occurs. These investigations also suggested that Ubx2 prevents premature de-ubiquitination before substrate extraction by competing with Otu1 for binding to @GENE$.</t>
  </si>
  <si>
    <t>In vitro experiments with poly-ubiquitinated Hrd1 suggested that in general @GENE$ acts before @GENE$-mediated trimming of the ubiquitin chains occurs. These investigations also suggested that Ubx2 prevents premature de-ubiquitination before substrate extraction by competing with Otu1 for binding to Cdc48.</t>
  </si>
  <si>
    <r>
      <rPr>
        <rFont val="Arial"/>
        <color theme="1"/>
        <sz val="10.0"/>
      </rPr>
      <t xml:space="preserve">Should be 0
</t>
    </r>
    <r>
      <rPr>
        <rFont val="Arial"/>
        <color rgb="FF4A86E8"/>
        <sz val="10.0"/>
      </rPr>
      <t>[Jiaying] Not clear that there is binding/interaction between these specific mentions of Cdc48 and Otu1?</t>
    </r>
  </si>
  <si>
    <t>In vitro experiments with poly-ubiquitinated Hrd1 suggested that in general @GENE$ acts before Otu1-mediated trimming of the ubiquitin chains occurs. These investigations also suggested that @GENE$ prevents premature de-ubiquitination before substrate extraction by competing with Otu1 for binding to Cdc48.</t>
  </si>
  <si>
    <r>
      <rPr>
        <rFont val="Arial"/>
        <color theme="1"/>
        <sz val="10.0"/>
      </rPr>
      <t xml:space="preserve">Should be 0
</t>
    </r>
    <r>
      <rPr>
        <rFont val="Arial"/>
        <color rgb="FF4A86E8"/>
        <sz val="10.0"/>
      </rPr>
      <t>[Jiaying] Not clear that there is binding/interaction between these specific mentions of Cdc48 and Ubx2?</t>
    </r>
  </si>
  <si>
    <t>In vitro experiments with poly-ubiquitinated Hrd1 suggested that in general @GENE$ acts before Otu1-mediated trimming of the ubiquitin chains occurs. These investigations also suggested that Ubx2 prevents premature de-ubiquitination before substrate extraction by competing with @GENE$ for binding to Cdc48.</t>
  </si>
  <si>
    <r>
      <rPr>
        <rFont val="Arial"/>
        <color theme="1"/>
        <sz val="10.0"/>
      </rPr>
      <t xml:space="preserve">Should be 0
</t>
    </r>
    <r>
      <rPr>
        <rFont val="Arial"/>
        <color rgb="FF4A86E8"/>
        <sz val="10.0"/>
      </rPr>
      <t>[Jiaying] Not clear that there is binding/interaction between these specific mentions of Cdc48 and Otu1?</t>
    </r>
  </si>
  <si>
    <t>In vitro experiments with poly-ubiquitinated Hrd1 suggested that in general @GENE$ acts before Otu1-mediated trimming of the ubiquitin chains occurs. These investigations also suggested that Ubx2 prevents premature de-ubiquitination before substrate extraction by competing with Otu1 for binding to @GENE$.</t>
  </si>
  <si>
    <t>In vitro experiments with poly-ubiquitinated Hrd1 suggested that in general Cdc48 acts before @GENE$-mediated trimming of the ubiquitin chains occurs. These investigations also suggested that @GENE$ prevents premature de-ubiquitination before substrate extraction by competing with Otu1 for binding to Cdc48.</t>
  </si>
  <si>
    <t>In vitro experiments with poly-ubiquitinated Hrd1 suggested that in general Cdc48 acts before @GENE$-mediated trimming of the ubiquitin chains occurs. These investigations also suggested that Ubx2 prevents premature de-ubiquitination before substrate extraction by competing with @GENE$ for binding to Cdc48.</t>
  </si>
  <si>
    <t>In vitro experiments with poly-ubiquitinated Hrd1 suggested that in general Cdc48 acts before @GENE$-mediated trimming of the ubiquitin chains occurs. These investigations also suggested that Ubx2 prevents premature de-ubiquitination before substrate extraction by competing with Otu1 for binding to @GENE$.</t>
  </si>
  <si>
    <r>
      <rPr>
        <rFont val="Arial"/>
        <color theme="1"/>
        <sz val="10.0"/>
      </rPr>
      <t xml:space="preserve">Should be 0
</t>
    </r>
    <r>
      <rPr>
        <rFont val="Arial"/>
        <color rgb="FF4A86E8"/>
        <sz val="10.0"/>
      </rPr>
      <t>[Jiaying] Not clear that there is binding/interaction between these specific mentions of Cdc48 and Otu1?</t>
    </r>
  </si>
  <si>
    <t>In vitro experiments with poly-ubiquitinated Hrd1 suggested that in general Cdc48 acts before Otu1-mediated trimming of the ubiquitin chains occurs. These investigations also suggested that @GENE$ prevents premature de-ubiquitination before substrate extraction by competing with @GENE$ for binding to Cdc48.</t>
  </si>
  <si>
    <t xml:space="preserve">[Jiaying] Ubx2 competes with Otu1 for Cdc48 binding = inhibition? </t>
  </si>
  <si>
    <t>In vitro experiments with poly-ubiquitinated Hrd1 suggested that in general Cdc48 acts before Otu1-mediated trimming of the ubiquitin chains occurs. These investigations also suggested that @GENE$ prevents premature de-ubiquitination before substrate extraction by competing with Otu1 for binding to @GENE$.</t>
  </si>
  <si>
    <r>
      <rPr>
        <rFont val="Arial"/>
        <color theme="1"/>
        <sz val="10.0"/>
      </rPr>
      <t xml:space="preserve">Should be 0
</t>
    </r>
    <r>
      <rPr>
        <rFont val="Arial"/>
        <color rgb="FF4A86E8"/>
        <sz val="10.0"/>
      </rPr>
      <t>[Jiaying] Should be 2 - Ubx2 binds to Cdc48</t>
    </r>
  </si>
  <si>
    <r>
      <rPr>
        <rFont val="Arial"/>
        <color theme="1"/>
        <sz val="10.0"/>
      </rPr>
      <t xml:space="preserve">Binding
</t>
    </r>
    <r>
      <rPr>
        <rFont val="Arial"/>
        <color rgb="FF4A86E8"/>
        <sz val="10.0"/>
      </rPr>
      <t>[Jiaying] Ligand-receptor binding, now classified as interaction (protein-protein)</t>
    </r>
  </si>
  <si>
    <t>In vitro experiments with poly-ubiquitinated Hrd1 suggested that in general Cdc48 acts before Otu1-mediated trimming of the ubiquitin chains occurs. These investigations also suggested that Ubx2 prevents premature de-ubiquitination before substrate extraction by competing with @GENE$ for binding to @GENE$.</t>
  </si>
  <si>
    <r>
      <rPr>
        <rFont val="Arial"/>
        <color theme="1"/>
        <sz val="10.0"/>
      </rPr>
      <t xml:space="preserve">Should be 0
</t>
    </r>
    <r>
      <rPr>
        <rFont val="Arial"/>
        <color rgb="FF4A86E8"/>
        <sz val="10.0"/>
      </rPr>
      <t>[Jiaying] Should be 2 - Otu1 binds to Cdc48</t>
    </r>
  </si>
  <si>
    <r>
      <rPr>
        <rFont val="Arial"/>
        <color theme="1"/>
        <sz val="10.0"/>
      </rPr>
      <t xml:space="preserve">Binding
</t>
    </r>
    <r>
      <rPr>
        <rFont val="Arial"/>
        <color rgb="FF4A86E8"/>
        <sz val="10.0"/>
      </rPr>
      <t>[Jiaying] Ligand-receptor binding, now classified as interaction (protein-protein)</t>
    </r>
  </si>
  <si>
    <t>On the opposite side of the nucleosome, two tandem zinc fingers in @GENE$ contact the @GENE$ attached to the other H2A subunit in the complex through the Ile44 hydrophobic patch.</t>
  </si>
  <si>
    <r>
      <rPr>
        <rFont val="Arial"/>
        <color theme="1"/>
        <sz val="10.0"/>
      </rPr>
      <t xml:space="preserve">(AEBP2, binds to, ubiquitin on H2A)
</t>
    </r>
    <r>
      <rPr>
        <rFont val="Arial"/>
        <color rgb="FF4A86E8"/>
        <sz val="10.0"/>
      </rPr>
      <t>[Jiaying] Should be 2 - AEBP2 binds to ubiquitin in the other H2A subunit</t>
    </r>
  </si>
  <si>
    <r>
      <rPr>
        <rFont val="Arial"/>
        <color theme="1"/>
        <sz val="10.0"/>
      </rPr>
      <t xml:space="preserve">Binding
</t>
    </r>
    <r>
      <rPr>
        <rFont val="Arial"/>
        <color rgb="FF4A86E8"/>
        <sz val="10.0"/>
      </rPr>
      <t>[Jiaying] Ligand-receptor binding, now classified as interaction (protein-protein)</t>
    </r>
  </si>
  <si>
    <t>On the opposite side of the nucleosome, two tandem zinc fingers in @GENE$ contact the ubiquitin attached to the other @GENE$ in the complex through the Ile44 hydrophobic patch.</t>
  </si>
  <si>
    <r>
      <rPr>
        <rFont val="Arial"/>
        <color theme="1"/>
        <sz val="10.0"/>
      </rPr>
      <t xml:space="preserve">Should be 0
</t>
    </r>
    <r>
      <rPr>
        <rFont val="Arial"/>
        <color rgb="FF4A86E8"/>
        <sz val="10.0"/>
      </rPr>
      <t>[Jiaying] Should be 2 - AEBP2 binds to ubiquitin in the other H2A subunit</t>
    </r>
  </si>
  <si>
    <r>
      <rPr>
        <rFont val="Arial"/>
        <color theme="1"/>
        <sz val="10.0"/>
      </rPr>
      <t xml:space="preserve">Binding
</t>
    </r>
    <r>
      <rPr>
        <rFont val="Arial"/>
        <color rgb="FF4A86E8"/>
        <sz val="10.0"/>
      </rPr>
      <t>[Jiaying] Ligand-receptor binding, now classified as interaction (protein-protein)</t>
    </r>
  </si>
  <si>
    <t>On the opposite side of the nucleosome, two tandem zinc fingers in AEBP2 contact the @GENE$ attached to the other @GENE$ in the complex through the Ile44 hydrophobic patch.</t>
  </si>
  <si>
    <r>
      <rPr>
        <rFont val="Arial"/>
        <color theme="1"/>
        <sz val="10.0"/>
      </rPr>
      <t xml:space="preserve">Should be 0
</t>
    </r>
    <r>
      <rPr>
        <rFont val="Arial"/>
        <color rgb="FF4A86E8"/>
        <sz val="10.0"/>
      </rPr>
      <t>[Jiaying] Should be 2 - ubiquitin is bound to the other H2A subunit</t>
    </r>
  </si>
  <si>
    <r>
      <rPr>
        <rFont val="Arial"/>
        <color theme="1"/>
        <sz val="10.0"/>
      </rPr>
      <t xml:space="preserve">Binding
</t>
    </r>
    <r>
      <rPr>
        <rFont val="Arial"/>
        <color rgb="FF4A86E8"/>
        <sz val="10.0"/>
      </rPr>
      <t>[Jiaying] Ligand-receptor binding, now classified as interaction (protein-protein)</t>
    </r>
  </si>
  <si>
    <t>@GENE$is a @GENE$ this interaction is mediated by its zinc-finger domain, which is similar in sequence to NZF zinc-fingers known to bind ubiquitin. Ubiquitin binding by RYBP is important for PRC2-independent PRC1 recruitment in the context of X-chromosome inactivation in female ES cells.</t>
  </si>
  <si>
    <t>(RYBP, binds to, ubiquitin)</t>
  </si>
  <si>
    <t>@GENE$is a ubiquitin-binding protein: this interaction is mediated by its zinc-finger domain, which is similar in sequence to NZF zinc-fingers known to bind @GENE$ Ubiquitin binding by RYBP is important for PRC2-independent PRC1 recruitment in the context of X-chromosome inactivation in female ES cells.</t>
  </si>
  <si>
    <r>
      <rPr>
        <rFont val="Arial"/>
        <color theme="1"/>
        <sz val="10.0"/>
      </rPr>
      <t xml:space="preserve">Should be 0
</t>
    </r>
    <r>
      <rPr>
        <rFont val="Arial"/>
        <color rgb="FF4A86E8"/>
        <sz val="10.0"/>
      </rPr>
      <t>[Jiaying] Should be 2 - RYBP binds ubiquitin</t>
    </r>
  </si>
  <si>
    <r>
      <rPr>
        <rFont val="Arial"/>
        <color theme="1"/>
        <sz val="10.0"/>
      </rPr>
      <t xml:space="preserve">Binding
</t>
    </r>
    <r>
      <rPr>
        <rFont val="Arial"/>
        <color rgb="FF4A86E8"/>
        <sz val="10.0"/>
      </rPr>
      <t>[Jiaying] Ligand-receptor binding, now classified as interaction (protein-protein)</t>
    </r>
  </si>
  <si>
    <t>@GENE$is a ubiquitin-binding protein: this interaction is mediated by its zinc-finger domain, which is similar in sequence to NZF zinc-fingers known to bind ubiquitin. @GENE$binding by RYBP is important for PRC2-independent PRC1 recruitment in the context of X-chromosome inactivation in female ES cells.</t>
  </si>
  <si>
    <r>
      <rPr>
        <rFont val="Arial"/>
        <color theme="1"/>
        <sz val="10.0"/>
      </rPr>
      <t xml:space="preserve">Should be 0
</t>
    </r>
    <r>
      <rPr>
        <rFont val="Arial"/>
        <color rgb="FF4A86E8"/>
        <sz val="10.0"/>
      </rPr>
      <t>[Jiaying] Not the best entity pair to show that there is binding/interaction between these specific mentions of RYBP and ubiquitin?</t>
    </r>
  </si>
  <si>
    <t>@GENE$is a ubiquitin-binding protein: this interaction is mediated by its zinc-finger domain, which is similar in sequence to NZF zinc-fingers known to bind ubiquitin. Ubiquitin binding by @GENE$is important for PRC2-independent PRC1 recruitment in the context of X-chromosome inactivation in female ES cells.</t>
  </si>
  <si>
    <t>@GENE$is a ubiquitin-binding protein: this interaction is mediated by its zinc-finger domain, which is similar in sequence to NZF zinc-fingers known to bind ubiquitin. Ubiquitin binding by RYBP is important for @GENE$independent PRC1 recruitment in the context of X-chromosome inactivation in female ES cells.</t>
  </si>
  <si>
    <t>@GENE$is a ubiquitin-binding protein: this interaction is mediated by its zinc-finger domain, which is similar in sequence to NZF zinc-fingers known to bind ubiquitin. Ubiquitin binding by RYBP is important for PRC2-independent @GENE$recruitment in the context of X-chromosome inactivation in female ES cells.</t>
  </si>
  <si>
    <t>[Jiaying] Unclear what PRC1 is recruited to... otherwise could have been binding??</t>
  </si>
  <si>
    <t>RYBP is a @GENE$ this interaction is mediated by its zinc-finger domain, which is similar in sequence to NZF zinc-fingers known to bind @GENE$ Ubiquitin binding by RYBP is important for PRC2-independent PRC1 recruitment in the context of X-chromosome inactivation in female ES cells.</t>
  </si>
  <si>
    <r>
      <rPr>
        <rFont val="Arial"/>
        <color theme="1"/>
        <sz val="10.0"/>
      </rPr>
      <t xml:space="preserve">Should be 0
</t>
    </r>
    <r>
      <rPr>
        <rFont val="Arial"/>
        <color rgb="FF4A86E8"/>
        <sz val="10.0"/>
      </rPr>
      <t>[Jiaying] Although RYBP binds ubiquitin, consider that "ubiquitin-binding protein" is too generic a term to be biologically meaningful if we label this as an interaction…</t>
    </r>
  </si>
  <si>
    <t>RYBP is a @GENE$ this interaction is mediated by its zinc-finger domain, which is similar in sequence to NZF zinc-fingers known to bind ubiquitin. @GENE$binding by RYBP is important for PRC2-independent PRC1 recruitment in the context of X-chromosome inactivation in female ES cells.</t>
  </si>
  <si>
    <r>
      <rPr>
        <rFont val="Arial"/>
        <color theme="1"/>
        <sz val="10.0"/>
      </rPr>
      <t xml:space="preserve">Should be 0
</t>
    </r>
    <r>
      <rPr>
        <rFont val="Arial"/>
        <color rgb="FF4A86E8"/>
        <sz val="10.0"/>
      </rPr>
      <t>[Jiaying] Although RYBP binds ubiquitin, consider that "ubiquitin-binding protein" is too generic a term to be biologically meaningful if we label this as an interaction…</t>
    </r>
  </si>
  <si>
    <t>RYBP is a @GENE$ this interaction is mediated by its zinc-finger domain, which is similar in sequence to NZF zinc-fingers known to bind ubiquitin. Ubiquitin binding by @GENE$is important for PRC2-independent PRC1 recruitment in the context of X-chromosome inactivation in female ES cells.</t>
  </si>
  <si>
    <t>RYBP is a @GENE$ this interaction is mediated by its zinc-finger domain, which is similar in sequence to NZF zinc-fingers known to bind ubiquitin. Ubiquitin binding by RYBP is important for @GENE$independent PRC1 recruitment in the context of X-chromosome inactivation in female ES cells.</t>
  </si>
  <si>
    <t>RYBP is a @GENE$ this interaction is mediated by its zinc-finger domain, which is similar in sequence to NZF zinc-fingers known to bind ubiquitin. Ubiquitin binding by RYBP is important for PRC2-independent @GENE$recruitment in the context of X-chromosome inactivation in female ES cells.</t>
  </si>
  <si>
    <t>RYBP is a ubiquitin-binding protein: this interaction is mediated by its zinc-finger domain, which is similar in sequence to NZF zinc-fingers known to bind @GENE$ @GENE$binding by RYBP is important for PRC2-independent PRC1 recruitment in the context of X-chromosome inactivation in female ES cells.</t>
  </si>
  <si>
    <t>RYBP is a ubiquitin-binding protein: this interaction is mediated by its zinc-finger domain, which is similar in sequence to NZF zinc-fingers known to bind @GENE$ Ubiquitin binding by @GENE$is important for PRC2-independent PRC1 recruitment in the context of X-chromosome inactivation in female ES cells.</t>
  </si>
  <si>
    <r>
      <rPr>
        <rFont val="Arial"/>
        <color theme="1"/>
        <sz val="10.0"/>
      </rPr>
      <t xml:space="preserve">Should be 0
</t>
    </r>
    <r>
      <rPr>
        <rFont val="Arial"/>
        <color rgb="FF4A86E8"/>
        <sz val="10.0"/>
      </rPr>
      <t>[Jiaying] Not the best entity pair to show that there is binding/interaction between these specific mentions of RYBP and ubiquitin?</t>
    </r>
  </si>
  <si>
    <t>RYBP is a ubiquitin-binding protein: this interaction is mediated by its zinc-finger domain, which is similar in sequence to NZF zinc-fingers known to bind @GENE$ Ubiquitin binding by RYBP is important for @GENE$independent PRC1 recruitment in the context of X-chromosome inactivation in female ES cells.</t>
  </si>
  <si>
    <t>RYBP is a ubiquitin-binding protein: this interaction is mediated by its zinc-finger domain, which is similar in sequence to NZF zinc-fingers known to bind @GENE$ Ubiquitin binding by RYBP is important for PRC2-independent @GENE$recruitment in the context of X-chromosome inactivation in female ES cells.</t>
  </si>
  <si>
    <t>RYBP is a ubiquitin-binding protein: this interaction is mediated by its zinc-finger domain, which is similar in sequence to NZF zinc-fingers known to bind ubiquitin. @GENE$binding by @GENE$is important for PRC2-independent PRC1 recruitment in the context of X-chromosome inactivation in female ES cells.</t>
  </si>
  <si>
    <r>
      <rPr>
        <rFont val="Arial"/>
        <color theme="1"/>
        <sz val="10.0"/>
      </rPr>
      <t xml:space="preserve">Should be 0
</t>
    </r>
    <r>
      <rPr>
        <rFont val="Arial"/>
        <color rgb="FF4A86E8"/>
        <sz val="10.0"/>
      </rPr>
      <t>[Jiaying] Should be 2 - RYBP binds ubiquitin</t>
    </r>
  </si>
  <si>
    <r>
      <rPr>
        <rFont val="Arial"/>
        <color theme="1"/>
        <sz val="10.0"/>
      </rPr>
      <t xml:space="preserve">Binding
</t>
    </r>
    <r>
      <rPr>
        <rFont val="Arial"/>
        <color rgb="FF4A86E8"/>
        <sz val="10.0"/>
      </rPr>
      <t>[Jiaying] Ligand-receptor binding, now classified as interaction (protein-protein)</t>
    </r>
  </si>
  <si>
    <t>RYBP is a ubiquitin-binding protein: this interaction is mediated by its zinc-finger domain, which is similar in sequence to NZF zinc-fingers known to bind ubiquitin. @GENE$binding by RYBP is important for @GENE$independent PRC1 recruitment in the context of X-chromosome inactivation in female ES cells.</t>
  </si>
  <si>
    <t>RYBP is a ubiquitin-binding protein: this interaction is mediated by its zinc-finger domain, which is similar in sequence to NZF zinc-fingers known to bind ubiquitin. @GENE$binding by RYBP is important for PRC2-independent @GENE$recruitment in the context of X-chromosome inactivation in female ES cells.</t>
  </si>
  <si>
    <t>RYBP is a ubiquitin-binding protein: this interaction is mediated by its zinc-finger domain, which is similar in sequence to NZF zinc-fingers known to bind ubiquitin. Ubiquitin binding by @GENE$is important for @GENE$independent PRC1 recruitment in the context of X-chromosome inactivation in female ES cells.</t>
  </si>
  <si>
    <t>RYBP is a ubiquitin-binding protein: this interaction is mediated by its zinc-finger domain, which is similar in sequence to NZF zinc-fingers known to bind ubiquitin. Ubiquitin binding by @GENE$is important for PRC2-independent @GENE$recruitment in the context of X-chromosome inactivation in female ES cells.</t>
  </si>
  <si>
    <t>RYBP is a ubiquitin-binding protein: this interaction is mediated by its zinc-finger domain, which is similar in sequence to NZF zinc-fingers known to bind ubiquitin. Ubiquitin binding by RYBP is important for @GENE$independent @GENE$recruitment in the context of X-chromosome inactivation in female ES cells.</t>
  </si>
  <si>
    <t>The structure also revealed roles for the nucleosome itself in positioning the @GENE$-linked @GENE$. First, direct contacts were observed between ubiquitin and the H2B C-terminal alpha helix</t>
  </si>
  <si>
    <r>
      <rPr>
        <rFont val="Arial"/>
        <color theme="1"/>
        <sz val="10.0"/>
      </rPr>
      <t xml:space="preserve">Should be 0
</t>
    </r>
    <r>
      <rPr>
        <rFont val="Arial"/>
        <color rgb="FF4A86E8"/>
        <sz val="10.0"/>
      </rPr>
      <t>[Jiaying] Should be 2 - H2AK15 is linked to i.e. binds ubiquitin</t>
    </r>
  </si>
  <si>
    <r>
      <rPr>
        <rFont val="Arial"/>
        <color theme="1"/>
        <sz val="10.0"/>
      </rPr>
      <t xml:space="preserve">Binding
</t>
    </r>
    <r>
      <rPr>
        <rFont val="Arial"/>
        <color rgb="FF4A86E8"/>
        <sz val="10.0"/>
      </rPr>
      <t>[Jiaying] Ligand-receptor binding, now classified as interaction (protein-protein)</t>
    </r>
  </si>
  <si>
    <t>The structure also revealed roles for the nucleosome itself in positioning the @GENE$-linked ubiquitin. First, direct contacts were observed between @GENE$ and the H2B C-terminal alpha helix</t>
  </si>
  <si>
    <r>
      <rPr>
        <rFont val="Arial"/>
        <color theme="1"/>
        <sz val="10.0"/>
      </rPr>
      <t xml:space="preserve">Should be 0
</t>
    </r>
    <r>
      <rPr>
        <rFont val="Arial"/>
        <color rgb="FF4A86E8"/>
        <sz val="10.0"/>
      </rPr>
      <t>[Jiaying] Not the best entity pair to show that there is binding/interaction between these specific mentions of H2AK15 and ubiquitin?</t>
    </r>
  </si>
  <si>
    <t>The structure also revealed roles for the nucleosome itself in positioning the @GENE$-linked ubiquitin. First, direct contacts were observed between ubiquitin and the @GENE$ C-terminal alpha helix</t>
  </si>
  <si>
    <t>The structure also revealed roles for the nucleosome itself in positioning the H2AK15-linked @GENE$. First, direct contacts were observed between @GENE$ and the H2B C-terminal alpha helix</t>
  </si>
  <si>
    <t>The structure also revealed roles for the nucleosome itself in positioning the H2AK15-linked @GENE$. First, direct contacts were observed between ubiquitin and the @GENE$ C-terminal alpha helix</t>
  </si>
  <si>
    <r>
      <rPr>
        <rFont val="Arial"/>
        <color theme="1"/>
        <sz val="10.0"/>
      </rPr>
      <t xml:space="preserve">Should be 0
</t>
    </r>
    <r>
      <rPr>
        <rFont val="Arial"/>
        <color rgb="FF4A86E8"/>
        <sz val="10.0"/>
      </rPr>
      <t>[Jiaying] Not the best entity pair to show that there is binding/interaction between these specific mentions of H2B and ubiquitin?</t>
    </r>
  </si>
  <si>
    <t>The structure also revealed roles for the nucleosome itself in positioning the H2AK15-linked ubiquitin. First, direct contacts were observed between @GENE$ and the @GENE$ C-terminal alpha helix</t>
  </si>
  <si>
    <r>
      <rPr>
        <rFont val="Arial"/>
        <color theme="1"/>
        <sz val="10.0"/>
      </rPr>
      <t xml:space="preserve">Should be 0
</t>
    </r>
    <r>
      <rPr>
        <rFont val="Arial"/>
        <color rgb="FF4A86E8"/>
        <sz val="10.0"/>
      </rPr>
      <t>[Jiaying] Should be 2 - H2B directly contacts ubiquitin (linked to H2A15) i.e. H2B also binds ubiquitin</t>
    </r>
  </si>
  <si>
    <r>
      <rPr>
        <rFont val="Arial"/>
        <color theme="1"/>
        <sz val="10.0"/>
      </rPr>
      <t xml:space="preserve">Binding
</t>
    </r>
    <r>
      <rPr>
        <rFont val="Arial"/>
        <color rgb="FF4A86E8"/>
        <sz val="10.0"/>
      </rPr>
      <t>[Jiaying] Ligand-receptor binding, now classified as interaction (protein-protein)</t>
    </r>
  </si>
  <si>
    <t>For ubiquitination assay, we expect to detect the protein of @GENE$ ubiquitination increased by @GENE$. As shown in Figure 2, FBXO45 enhanced IGF2BP1 polyubiquitination, while the K190A or K450A mutants significantly blocked this action.</t>
  </si>
  <si>
    <r>
      <rPr>
        <rFont val="Arial"/>
        <color theme="1"/>
        <sz val="10.0"/>
      </rPr>
      <t xml:space="preserve">E3 ligase increased IGF2BP1 ubiquitinatoin. 0 or 3?
</t>
    </r>
    <r>
      <rPr>
        <rFont val="Arial"/>
        <color rgb="FF4A86E8"/>
        <sz val="10.0"/>
      </rPr>
      <t>[Jiaying] Should be 3 - reasonable to infer that E3 ligase causes ubiquitination of IGF2BP1...?</t>
    </r>
  </si>
  <si>
    <t xml:space="preserve">Correlation? </t>
  </si>
  <si>
    <t>For ubiquitination assay, we expect to detect the protein of @GENE$ ubiquitination increased by E3 ligase. As shown in Figure 2, @GENE$ enhanced IGF2BP1 polyubiquitination, while the K190A or K450A mutants significantly blocked this action.</t>
  </si>
  <si>
    <r>
      <rPr>
        <rFont val="Arial"/>
        <color theme="1"/>
        <sz val="10.0"/>
      </rPr>
      <t xml:space="preserve">Should be 0? 
</t>
    </r>
    <r>
      <rPr>
        <rFont val="Arial"/>
        <color rgb="FF4A86E8"/>
        <sz val="10.0"/>
      </rPr>
      <t>[Jiaying] Could be 3 - although not the best entity pair to show that there is binding/interaction between these specific mentions of IGF2BP1 and FBXO45?</t>
    </r>
  </si>
  <si>
    <t>For ubiquitination assay, we expect to detect the protein of @GENE$ ubiquitination increased by E3 ligase. As shown in Figure 2, FBXO45 enhanced @GENE$ polyubiquitination, while the K190A or K450A mutants significantly blocked this action.</t>
  </si>
  <si>
    <t>For ubiquitination assay, we expect to detect the protein of @GENE$ ubiquitination increased by E3 ligase. As shown in Figure 2, FBXO45 enhanced IGF2BP1 polyubiquitination, while the @VARIANT$ or K450A mutants significantly blocked this action.</t>
  </si>
  <si>
    <t>For ubiquitination assay, we expect to detect the protein of @GENE$ ubiquitination increased by E3 ligase. As shown in Figure 2, FBXO45 enhanced IGF2BP1 polyubiquitination, while the K190A or @VARIANT$ mutants significantly blocked this action.</t>
  </si>
  <si>
    <t>For ubiquitination assay, we expect to detect the protein of IGF2BP1 ubiquitination increased by @GENE$. As shown in Figure 2, @GENE$ enhanced IGF2BP1 polyubiquitination, while the K190A or K450A mutants significantly blocked this action.</t>
  </si>
  <si>
    <t>For ubiquitination assay, we expect to detect the protein of IGF2BP1 ubiquitination increased by @GENE$. As shown in Figure 2, FBXO45 enhanced @GENE$ polyubiquitination, while the K190A or K450A mutants significantly blocked this action.</t>
  </si>
  <si>
    <t>For ubiquitination assay, we expect to detect the protein of IGF2BP1 ubiquitination increased by @GENE$. As shown in Figure 2, FBXO45 enhanced IGF2BP1 polyubiquitination, while the @VARIANT$ or K450A mutants significantly blocked this action.</t>
  </si>
  <si>
    <t>[Jiaying] K190A and K450A mutants significantly block ubiquitylation by E3 ligase = inhibition? prevention?</t>
  </si>
  <si>
    <t>For ubiquitination assay, we expect to detect the protein of IGF2BP1 ubiquitination increased by @GENE$. As shown in Figure 2, FBXO45 enhanced IGF2BP1 polyubiquitination, while the K190A or @VARIANT$ mutants significantly blocked this action.</t>
  </si>
  <si>
    <t>For ubiquitination assay, we expect to detect the protein of IGF2BP1 ubiquitination increased by E3 ligase. As shown in Figure 2, @GENE$ enhanced @GENE$ polyubiquitination, while the K190A or K450A mutants significantly blocked this action.</t>
  </si>
  <si>
    <r>
      <rPr>
        <rFont val="Arial"/>
        <color theme="1"/>
        <sz val="10.0"/>
      </rPr>
      <t xml:space="preserve">"Enhanced ubiquitination"- 0 or 3? 
</t>
    </r>
    <r>
      <rPr>
        <rFont val="Arial"/>
        <color rgb="FF4A86E8"/>
        <sz val="10.0"/>
      </rPr>
      <t>[Jiaying] Could be 3 - does it matter whether FBXO45 directly or indirectly causes ubiquitination of IGF2BP1...?</t>
    </r>
  </si>
  <si>
    <t>[Jiaying] FBXO45 enhances IGF2BP1 polyubiquitination = positive correlation?</t>
  </si>
  <si>
    <t>For ubiquitination assay, we expect to detect the protein of IGF2BP1 ubiquitination increased by E3 ligase. As shown in Figure 2, @GENE$ enhanced IGF2BP1 polyubiquitination, while the @VARIANT$ or K450A mutants significantly blocked this action.</t>
  </si>
  <si>
    <t>For ubiquitination assay, we expect to detect the protein of IGF2BP1 ubiquitination increased by E3 ligase. As shown in Figure 2, @GENE$ enhanced IGF2BP1 polyubiquitination, while the K190A or @VARIANT$ mutants significantly blocked this action.</t>
  </si>
  <si>
    <t>For ubiquitination assay, we expect to detect the protein of IGF2BP1 ubiquitination increased by E3 ligase. As shown in Figure 2, FBXO45 enhanced @GENE$ polyubiquitination, while the @VARIANT$ or K450A mutants significantly blocked this action.</t>
  </si>
  <si>
    <t>For ubiquitination assay, we expect to detect the protein of IGF2BP1 ubiquitination increased by E3 ligase. As shown in Figure 2, FBXO45 enhanced @GENE$ polyubiquitination, while the K190A or @VARIANT$ mutants significantly blocked this action.</t>
  </si>
  <si>
    <t>For ubiquitination assay, we expect to detect the protein of IGF2BP1 ubiquitination increased by E3 ligase. As shown in Figure 2, FBXO45 enhanced IGF2BP1 polyubiquitination, while the @VARIANT$ or @VARIANT$ mutants significantly blocked this action.</t>
  </si>
  <si>
    <t>A good example is polyubiquitination of @GENE$ by the @GENE$-cIAP1-Ubc13-UbcH5 complex, which modulates K63-linked ubiquitination of RIPK1 (see Figure 2 in the main text).</t>
  </si>
  <si>
    <t>(RIPK1, ubiquitinated by, TRAF2-cIAP1-Ubc13-UbcH5 complex)</t>
  </si>
  <si>
    <t>A good example is polyubiquitination of @GENE$ by the TRAF2-@GENE$-Ubc13-UbcH5 complex, which modulates K63-linked ubiquitination of RIPK1 (see Figure 2 in the main text).</t>
  </si>
  <si>
    <t>A good example is polyubiquitination of @GENE$ by the TRAF2-cIAP1-@GENE$-UbcH5 complex, which modulates K63-linked ubiquitination of RIPK1 (see Figure 2 in the main text).</t>
  </si>
  <si>
    <t>A good example is polyubiquitination of @GENE$ by the TRAF2-cIAP1-Ubc13-@GENE$ complex, which modulates K63-linked ubiquitination of RIPK1 (see Figure 2 in the main text).</t>
  </si>
  <si>
    <t>A good example is polyubiquitination of @GENE$ by the TRAF2-cIAP1-Ubc13-UbcH5 complex, which modulates K63-linked ubiquitination of @GENE$ (see Figure 2 in the main text).</t>
  </si>
  <si>
    <t>A good example is polyubiquitination of RIPK1 by the @GENE$-@GENE$-Ubc13-UbcH5 complex, which modulates K63-linked ubiquitination of RIPK1 (see Figure 2 in the main text).</t>
  </si>
  <si>
    <t>[Jiaying] Should be 2 - TRAF2-cIAP1-Ubc13-UbcH5 are in complex with each other = binding?</t>
  </si>
  <si>
    <t>A good example is polyubiquitination of RIPK1 by the @GENE$-cIAP1-@GENE$-UbcH5 complex, which modulates K63-linked ubiquitination of RIPK1 (see Figure 2 in the main text).</t>
  </si>
  <si>
    <t>A good example is polyubiquitination of RIPK1 by the @GENE$-cIAP1-Ubc13-@GENE$ complex, which modulates K63-linked ubiquitination of RIPK1 (see Figure 2 in the main text).</t>
  </si>
  <si>
    <t>A good example is polyubiquitination of RIPK1 by the @GENE$-cIAP1-Ubc13-UbcH5 complex, which modulates K63-linked ubiquitination of @GENE$ (see Figure 2 in the main text).</t>
  </si>
  <si>
    <t>A good example is polyubiquitination of RIPK1 by the TRAF2-@GENE$-@GENE$-UbcH5 complex, which modulates K63-linked ubiquitination of RIPK1 (see Figure 2 in the main text).</t>
  </si>
  <si>
    <t>A good example is polyubiquitination of RIPK1 by the TRAF2-@GENE$-Ubc13-@GENE$ complex, which modulates K63-linked ubiquitination of RIPK1 (see Figure 2 in the main text).</t>
  </si>
  <si>
    <t>A good example is polyubiquitination of RIPK1 by the TRAF2-@GENE$-Ubc13-UbcH5 complex, which modulates K63-linked ubiquitination of @GENE$ (see Figure 2 in the main text).</t>
  </si>
  <si>
    <t>A good example is polyubiquitination of RIPK1 by the TRAF2-cIAP1-@GENE$-@GENE$ complex, which modulates K63-linked ubiquitination of RIPK1 (see Figure 2 in the main text).</t>
  </si>
  <si>
    <t>A good example is polyubiquitination of RIPK1 by the TRAF2-cIAP1-@GENE$-UbcH5 complex, which modulates K63-linked ubiquitination of @GENE$ (see Figure 2 in the main text).</t>
  </si>
  <si>
    <t>A good example is polyubiquitination of RIPK1 by the TRAF2-cIAP1-Ubc13-@GENE$ complex, which modulates K63-linked ubiquitination of @GENE$ (see Figure 2 in the main text).</t>
  </si>
  <si>
    <t>In the context of @GENE$ activation, @GENE$ essentially functions as a bridge to transfer K48-linked ubiquitin chains to NF-kappaB-inducing kinase (NIK) via the ubiquitin ligase complex (TRAF2-TRAF6-cIAP1/2).</t>
  </si>
  <si>
    <t>In the context of @GENE$ activation, TRAF3 essentially functions as a bridge to transfer K48-linked ubiquitin chains to @GENE$ (NIK) via the ubiquitin ligase complex (TRAF2-TRAF6-cIAP1/2).</t>
  </si>
  <si>
    <t>In the context of @GENE$ activation, TRAF3 essentially functions as a bridge to transfer K48-linked ubiquitin chains to NF-kappaB-inducing kinase (@GENE$) via the ubiquitin ligase complex (TRAF2-TRAF6-cIAP1/2).</t>
  </si>
  <si>
    <t>In the context of @GENE$ activation, TRAF3 essentially functions as a bridge to transfer K48-linked ubiquitin chains to NF-kappaB-inducing kinase (NIK) via the ubiquitin ligase complex (@GENE$-TRAF6-cIAP1/2).</t>
  </si>
  <si>
    <t>In the context of @GENE$ activation, TRAF3 essentially functions as a bridge to transfer K48-linked ubiquitin chains to NF-kappaB-inducing kinase (NIK) via the ubiquitin ligase complex (TRAF2-@GENE$-cIAP1/2).</t>
  </si>
  <si>
    <t>In the context of @GENE$ activation, TRAF3 essentially functions as a bridge to transfer K48-linked ubiquitin chains to NF-kappaB-inducing kinase (NIK) via the ubiquitin ligase complex (TRAF2-TRAF6-@GENE$).</t>
  </si>
  <si>
    <t>In the context of BCR activation, @GENE$ essentially functions as a bridge to transfer K48-linked ubiquitin chains to @GENE$ (NIK) via the ubiquitin ligase complex (TRAF2-TRAF6-cIAP1/2).</t>
  </si>
  <si>
    <r>
      <rPr>
        <rFont val="Arial"/>
        <color theme="1"/>
        <sz val="10.0"/>
      </rPr>
      <t xml:space="preserve">Should be 0
</t>
    </r>
    <r>
      <rPr>
        <rFont val="Arial"/>
        <color rgb="FF4A86E8"/>
        <sz val="10.0"/>
      </rPr>
      <t>[Jiaying] Should be 3 - transfer of ubiquitin chains = ubiquitylation of NIK by TRAF3 (indirectly) via the TRAF2-TRAF6-cIAP1/2 ubiquitin ligase complex...?</t>
    </r>
  </si>
  <si>
    <t>In the context of BCR activation, @GENE$ essentially functions as a bridge to transfer K48-linked ubiquitin chains to NF-kappaB-inducing kinase (@GENE$) via the ubiquitin ligase complex (TRAF2-TRAF6-cIAP1/2).</t>
  </si>
  <si>
    <r>
      <rPr>
        <rFont val="Arial"/>
        <color theme="1"/>
        <sz val="10.0"/>
      </rPr>
      <t xml:space="preserve">Should be 0
</t>
    </r>
    <r>
      <rPr>
        <rFont val="Arial"/>
        <color rgb="FF4A86E8"/>
        <sz val="10.0"/>
      </rPr>
      <t>[Jiaying] Should be 3 - transfer of ubiquitin chains = ubiquitylation of NIK by TRAF3 (indirectly) via the TRAF2-TRAF6-cIAP1/2 ubiquitin ligase complex...?</t>
    </r>
  </si>
  <si>
    <t>In the context of BCR activation, @GENE$ essentially functions as a bridge to transfer K48-linked ubiquitin chains to NF-kappaB-inducing kinase (NIK) via the ubiquitin ligase complex (@GENE$-TRAF6-cIAP1/2).</t>
  </si>
  <si>
    <r>
      <rPr>
        <rFont val="Arial"/>
        <color theme="1"/>
        <sz val="10.0"/>
      </rPr>
      <t xml:space="preserve">Should be 0
</t>
    </r>
    <r>
      <rPr>
        <rFont val="Arial"/>
        <color rgb="FF4A86E8"/>
        <sz val="10.0"/>
      </rPr>
      <t>[Jiaying] Should be 3 - transfer of ubiquitin chains = ubiquitylation of NIK by TRAF3 (indirectly) via the TRAF2-TRAF6-cIAP1/2 ubiquitin ligase complex...?</t>
    </r>
  </si>
  <si>
    <t>In the context of BCR activation, @GENE$ essentially functions as a bridge to transfer K48-linked ubiquitin chains to NF-kappaB-inducing kinase (NIK) via the ubiquitin ligase complex (TRAF2-@GENE$-cIAP1/2).</t>
  </si>
  <si>
    <r>
      <rPr>
        <rFont val="Arial"/>
        <color theme="1"/>
        <sz val="10.0"/>
      </rPr>
      <t xml:space="preserve">Should be 0
</t>
    </r>
    <r>
      <rPr>
        <rFont val="Arial"/>
        <color rgb="FF4A86E8"/>
        <sz val="10.0"/>
      </rPr>
      <t>[Jiaying] Should be 3 - transfer of ubiquitin chains = ubiquitylation of NIK by TRAF3 (indirectly) via the TRAF2-TRAF6-cIAP1/2 ubiquitin ligase complex...?</t>
    </r>
  </si>
  <si>
    <t>In the context of BCR activation, @GENE$ essentially functions as a bridge to transfer K48-linked ubiquitin chains to NF-kappaB-inducing kinase (NIK) via the ubiquitin ligase complex (TRAF2-TRAF6-@GENE$).</t>
  </si>
  <si>
    <r>
      <rPr>
        <rFont val="Arial"/>
        <color theme="1"/>
        <sz val="10.0"/>
      </rPr>
      <t xml:space="preserve">Should be 0
</t>
    </r>
    <r>
      <rPr>
        <rFont val="Arial"/>
        <color rgb="FF4A86E8"/>
        <sz val="10.0"/>
      </rPr>
      <t>[Jiaying] Should be 3 - transfer of ubiquitin chains = ubiquitylation of NIK by TRAF3 (indirectly) via the TRAF2-TRAF6-cIAP1/2 ubiquitin ligase complex...?</t>
    </r>
  </si>
  <si>
    <t>In the context of BCR activation, TRAF3 essentially functions as a bridge to transfer K48-linked ubiquitin chains to @GENE$ (@GENE$) via the ubiquitin ligase complex (TRAF2-TRAF6-cIAP1/2).</t>
  </si>
  <si>
    <t>In the context of BCR activation, TRAF3 essentially functions as a bridge to transfer K48-linked ubiquitin chains to @GENE$ (NIK) via the ubiquitin ligase complex (@GENE$-TRAF6-cIAP1/2).</t>
  </si>
  <si>
    <t xml:space="preserve">[Jiaying] Should be 3 - TRAF2-TRAF6-cIAP1/2 is the complex responsible for transferring ubiquitin to NIK = ubiquitylation </t>
  </si>
  <si>
    <t>In the context of BCR activation, TRAF3 essentially functions as a bridge to transfer K48-linked ubiquitin chains to @GENE$ (NIK) via the ubiquitin ligase complex (TRAF2-@GENE$-cIAP1/2).</t>
  </si>
  <si>
    <t>In the context of BCR activation, TRAF3 essentially functions as a bridge to transfer K48-linked ubiquitin chains to @GENE$ (NIK) via the ubiquitin ligase complex (TRAF2-TRAF6-@GENE$).</t>
  </si>
  <si>
    <t>In the context of BCR activation, TRAF3 essentially functions as a bridge to transfer K48-linked ubiquitin chains to NF-kappaB-inducing kinase (@GENE$) via the ubiquitin ligase complex (@GENE$-TRAF6-cIAP1/2).</t>
  </si>
  <si>
    <t>In the context of BCR activation, TRAF3 essentially functions as a bridge to transfer K48-linked ubiquitin chains to NF-kappaB-inducing kinase (@GENE$) via the ubiquitin ligase complex (TRAF2-@GENE$-cIAP1/2).</t>
  </si>
  <si>
    <t>In the context of BCR activation, TRAF3 essentially functions as a bridge to transfer K48-linked ubiquitin chains to NF-kappaB-inducing kinase (@GENE$) via the ubiquitin ligase complex (TRAF2-TRAF6-@GENE$).</t>
  </si>
  <si>
    <t>In the context of BCR activation, TRAF3 essentially functions as a bridge to transfer K48-linked ubiquitin chains to NF-kappaB-inducing kinase (NIK) via the ubiquitin ligase complex (@GENE$-@GENE$-cIAP1/2).</t>
  </si>
  <si>
    <t>[Jiaying] Should be 2 - TRAF2-TRAF6-cIAP1/2 are in complex with each other = binding?</t>
  </si>
  <si>
    <t>In the context of BCR activation, TRAF3 essentially functions as a bridge to transfer K48-linked ubiquitin chains to NF-kappaB-inducing kinase (NIK) via the ubiquitin ligase complex (@GENE$-TRAF6-@GENE$).</t>
  </si>
  <si>
    <t>In the context of BCR activation, TRAF3 essentially functions as a bridge to transfer K48-linked ubiquitin chains to NF-kappaB-inducing kinase (NIK) via the ubiquitin ligase complex (TRAF2-@GENE$-@GENE$).</t>
  </si>
  <si>
    <t>@GENE$negatively regulates @GENE$signaling by inhibiting E3 ligase or substrate activity (TRAF2, TRAF6, cIAP1, RIPK1, and MALT1)</t>
  </si>
  <si>
    <t>(A20, inhibits, TRAF2)</t>
  </si>
  <si>
    <t>Inhibition</t>
  </si>
  <si>
    <t>@GENE$negatively regulates NF-kappaB signaling by inhibiting @GENE$or substrate activity (TRAF2, TRAF6, cIAP1, RIPK1, and MALT1)</t>
  </si>
  <si>
    <t>(A20, inhibits, TRAF6)</t>
  </si>
  <si>
    <t>@GENE$negatively regulates NF-kappaB signaling by inhibiting E3 ligase or substrate activity (@GENE$ TRAF6, cIAP1, RIPK1, and MALT1)</t>
  </si>
  <si>
    <t>(A20, inhibits, cIAP1)</t>
  </si>
  <si>
    <t>@GENE$negatively regulates NF-kappaB signaling by inhibiting E3 ligase or substrate activity (TRAF2, @GENE$ cIAP1, RIPK1, and MALT1)</t>
  </si>
  <si>
    <t>(A20, inhibits, RIPK1)</t>
  </si>
  <si>
    <t>@GENE$negatively regulates NF-kappaB signaling by inhibiting E3 ligase or substrate activity (TRAF2, TRAF6, @GENE$ RIPK1, and MALT1)</t>
  </si>
  <si>
    <t>(A20, inhibits, MALT1)</t>
  </si>
  <si>
    <t>@GENE$negatively regulates NF-kappaB signaling by inhibiting E3 ligase or substrate activity (TRAF2, TRAF6, cIAP1, @GENE$ and MALT1)</t>
  </si>
  <si>
    <t>@GENE$negatively regulates NF-kappaB signaling by inhibiting E3 ligase or substrate activity (TRAF2, TRAF6, cIAP1, RIPK1, and M@GENE$</t>
  </si>
  <si>
    <t>A20 negatively regulates @GENE$signaling by inhibiting @GENE$or substrate activity (TRAF2, TRAF6, cIAP1, RIPK1, and MALT1)</t>
  </si>
  <si>
    <t>A20 negatively regulates @GENE$signaling by inhibiting E3 ligase or substrate activity (@GENE$ TRAF6, cIAP1, RIPK1, and MALT1)</t>
  </si>
  <si>
    <t>A20 negatively regulates @GENE$signaling by inhibiting E3 ligase or substrate activity (TRAF2, @GENE$ cIAP1, RIPK1, and MALT1)</t>
  </si>
  <si>
    <t>A20 negatively regulates @GENE$signaling by inhibiting E3 ligase or substrate activity (TRAF2, TRAF6, @GENE$ RIPK1, and MALT1)</t>
  </si>
  <si>
    <t>A20 negatively regulates @GENE$signaling by inhibiting E3 ligase or substrate activity (TRAF2, TRAF6, cIAP1, @GENE$ and MALT1)</t>
  </si>
  <si>
    <t>A20 negatively regulates @GENE$signaling by inhibiting E3 ligase or substrate activity (TRAF2, TRAF6, cIAP1, RIPK1, and M@GENE$</t>
  </si>
  <si>
    <t>A20 negatively regulates NF-kappaB signaling by inhibiting @GENE$or substrate activity (@GENE$ TRAF6, cIAP1, RIPK1, and MALT1)</t>
  </si>
  <si>
    <t>A20 negatively regulates NF-kappaB signaling by inhibiting @GENE$or substrate activity (TRAF2, @GENE$ cIAP1, RIPK1, and MALT1)</t>
  </si>
  <si>
    <t>A20 negatively regulates NF-kappaB signaling by inhibiting @GENE$or substrate activity (TRAF2, TRAF6, @GENE$ RIPK1, and MALT1)</t>
  </si>
  <si>
    <t>A20 negatively regulates NF-kappaB signaling by inhibiting @GENE$or substrate activity (TRAF2, TRAF6, cIAP1, @GENE$ and MALT1)</t>
  </si>
  <si>
    <t>A20 negatively regulates NF-kappaB signaling by inhibiting @GENE$or substrate activity (TRAF2, TRAF6, cIAP1, RIPK1, and M@GENE$</t>
  </si>
  <si>
    <t>A20 negatively regulates NF-kappaB signaling by inhibiting E3 ligase or substrate activity (@GENE$ @GENE$ cIAP1, RIPK1, and MALT1)</t>
  </si>
  <si>
    <t>A20 negatively regulates NF-kappaB signaling by inhibiting E3 ligase or substrate activity (@GENE$ TRAF6, @GENE$ RIPK1, and MALT1)</t>
  </si>
  <si>
    <t>A20 negatively regulates NF-kappaB signaling by inhibiting E3 ligase or substrate activity (@GENE$ TRAF6, cIAP1, @GENE$ and MALT1)</t>
  </si>
  <si>
    <t>A20 negatively regulates NF-kappaB signaling by inhibiting E3 ligase or substrate activity (@GENE$ TRAF6, cIAP1, RIPK1, and M@GENE$</t>
  </si>
  <si>
    <t>A20 negatively regulates NF-kappaB signaling by inhibiting E3 ligase or substrate activity (TRAF2, @GENE$ @GENE$ RIPK1, and MALT1)</t>
  </si>
  <si>
    <t>A20 negatively regulates NF-kappaB signaling by inhibiting E3 ligase or substrate activity (TRAF2, @GENE$ cIAP1, @GENE$ and MALT1)</t>
  </si>
  <si>
    <t>A20 negatively regulates NF-kappaB signaling by inhibiting E3 ligase or substrate activity (TRAF2, @GENE$ cIAP1, RIPK1, and M@GENE$</t>
  </si>
  <si>
    <t>A20 negatively regulates NF-kappaB signaling by inhibiting E3 ligase or substrate activity (TRAF2, TRAF6, @GENE$ @GENE$ and MALT1)</t>
  </si>
  <si>
    <t>A20 negatively regulates NF-kappaB signaling by inhibiting E3 ligase or substrate activity (TRAF2, TRAF6, @GENE$ RIPK1, and M@GENE$</t>
  </si>
  <si>
    <t>A20 negatively regulates NF-kappaB signaling by inhibiting E3 ligase or substrate activity (TRAF2, TRAF6, cIAP1, @GENE$ and M@GENE$</t>
  </si>
  <si>
    <t>@GENE$ functions to deubiquitinate K63-ubiquitin linkages conjugated to @GENE$ of CBM-Ubc13-TRAF6 complex and impairs TCR-induced NF-kappaB signaling; A20 also undergoes proteasomal degradation to restore TCR/CD28-induced IKK activation.</t>
  </si>
  <si>
    <t>Should be 0 because we are not considering deubiquitination</t>
  </si>
  <si>
    <t>Deubiquitination</t>
  </si>
  <si>
    <t>@GENE$ functions to deubiquitinate K63-ubiquitin linkages conjugated to MALT1 of @GENE$-Ubc13-TRAF6 complex and impairs TCR-induced NF-kappaB signaling; A20 also undergoes proteasomal degradation to restore TCR/CD28-induced IKK activation.</t>
  </si>
  <si>
    <t>[Jiaying] Should be 0 - A20 deubiquitinates MALT1 of CBM-Ubc13-TRAF6 complex</t>
  </si>
  <si>
    <t>@GENE$ functions to deubiquitinate K63-ubiquitin linkages conjugated to MALT1 of CBM-@GENE$-TRAF6 complex and impairs TCR-induced NF-kappaB signaling; A20 also undergoes proteasomal degradation to restore TCR/CD28-induced IKK activation.</t>
  </si>
  <si>
    <t>@GENE$ functions to deubiquitinate K63-ubiquitin linkages conjugated to MALT1 of CBM-Ubc13-@GENE$ complex and impairs TCR-induced NF-kappaB signaling; A20 also undergoes proteasomal degradation to restore TCR/CD28-induced IKK activation.</t>
  </si>
  <si>
    <t>@GENE$ functions to deubiquitinate K63-ubiquitin linkages conjugated to MALT1 of CBM-Ubc13-TRAF6 complex and impairs @GENE$-induced NF-kappaB signaling; A20 also undergoes proteasomal degradation to restore TCR/CD28-induced IKK activation.</t>
  </si>
  <si>
    <t>@GENE$ functions to deubiquitinate K63-ubiquitin linkages conjugated to MALT1 of CBM-Ubc13-TRAF6 complex and impairs TCR-induced @GENE$ signaling; A20 also undergoes proteasomal degradation to restore TCR/CD28-induced IKK activation.</t>
  </si>
  <si>
    <t>[Jiaying] A20 impairs TCR-induced NFkB signalling = inhibition</t>
  </si>
  <si>
    <t>@GENE$ functions to deubiquitinate K63-ubiquitin linkages conjugated to MALT1 of CBM-Ubc13-TRAF6 complex and impairs TCR-induced NF-kappaB signaling; @GENE$ also undergoes proteasomal degradation to restore TCR/CD28-induced IKK activation.</t>
  </si>
  <si>
    <t>@GENE$ functions to deubiquitinate K63-ubiquitin linkages conjugated to MALT1 of CBM-Ubc13-TRAF6 complex and impairs TCR-induced NF-kappaB signaling; A20 also undergoes proteasomal degradation to restore @GENE$/CD28-induced IKK activation.</t>
  </si>
  <si>
    <t>@GENE$ functions to deubiquitinate K63-ubiquitin linkages conjugated to MALT1 of CBM-Ubc13-TRAF6 complex and impairs TCR-induced NF-kappaB signaling; A20 also undergoes proteasomal degradation to restore TCR/@GENE$-induced IKK activation.</t>
  </si>
  <si>
    <t>@GENE$ functions to deubiquitinate K63-ubiquitin linkages conjugated to MALT1 of CBM-Ubc13-TRAF6 complex and impairs TCR-induced NF-kappaB signaling; A20 also undergoes proteasomal degradation to restore TCR/CD28-induced @GENE$ activation.</t>
  </si>
  <si>
    <t>A20 functions to deubiquitinate K63-ubiquitin linkages conjugated to @GENE$ of @GENE$-Ubc13-TRAF6 complex and impairs TCR-induced NF-kappaB signaling; A20 also undergoes proteasomal degradation to restore TCR/CD28-induced IKK activation.</t>
  </si>
  <si>
    <t>[Jiaying] Could be 2 - MALT1 is part of the CBM-Ubc13-TRAF6 complex</t>
  </si>
  <si>
    <t>A20 functions to deubiquitinate K63-ubiquitin linkages conjugated to @GENE$ of CBM-@GENE$-TRAF6 complex and impairs TCR-induced NF-kappaB signaling; A20 also undergoes proteasomal degradation to restore TCR/CD28-induced IKK activation.</t>
  </si>
  <si>
    <t>A20 functions to deubiquitinate K63-ubiquitin linkages conjugated to @GENE$ of CBM-Ubc13-@GENE$ complex and impairs TCR-induced NF-kappaB signaling; A20 also undergoes proteasomal degradation to restore TCR/CD28-induced IKK activation.</t>
  </si>
  <si>
    <t>A20 functions to deubiquitinate K63-ubiquitin linkages conjugated to @GENE$ of CBM-Ubc13-TRAF6 complex and impairs @GENE$-induced NF-kappaB signaling; A20 also undergoes proteasomal degradation to restore TCR/CD28-induced IKK activation.</t>
  </si>
  <si>
    <t>A20 functions to deubiquitinate K63-ubiquitin linkages conjugated to @GENE$ of CBM-Ubc13-TRAF6 complex and impairs TCR-induced @GENE$ signaling; A20 also undergoes proteasomal degradation to restore TCR/CD28-induced IKK activation.</t>
  </si>
  <si>
    <t>A20 functions to deubiquitinate K63-ubiquitin linkages conjugated to @GENE$ of CBM-Ubc13-TRAF6 complex and impairs TCR-induced NF-kappaB signaling; @GENE$ also undergoes proteasomal degradation to restore TCR/CD28-induced IKK activation.</t>
  </si>
  <si>
    <t>A20 functions to deubiquitinate K63-ubiquitin linkages conjugated to @GENE$ of CBM-Ubc13-TRAF6 complex and impairs TCR-induced NF-kappaB signaling; A20 also undergoes proteasomal degradation to restore @GENE$/CD28-induced IKK activation.</t>
  </si>
  <si>
    <t>A20 functions to deubiquitinate K63-ubiquitin linkages conjugated to @GENE$ of CBM-Ubc13-TRAF6 complex and impairs TCR-induced NF-kappaB signaling; A20 also undergoes proteasomal degradation to restore TCR/@GENE$-induced IKK activation.</t>
  </si>
  <si>
    <t>A20 functions to deubiquitinate K63-ubiquitin linkages conjugated to @GENE$ of CBM-Ubc13-TRAF6 complex and impairs TCR-induced NF-kappaB signaling; A20 also undergoes proteasomal degradation to restore TCR/CD28-induced @GENE$ activation.</t>
  </si>
  <si>
    <t>A20 functions to deubiquitinate K63-ubiquitin linkages conjugated to MALT1 of @GENE$-@GENE$-TRAF6 complex and impairs TCR-induced NF-kappaB signaling; A20 also undergoes proteasomal degradation to restore TCR/CD28-induced IKK activation.</t>
  </si>
  <si>
    <t>[Jiaying] Should be 2 - CBM-Ubc13-TRAF6 form a complex = binding</t>
  </si>
  <si>
    <t>A20 functions to deubiquitinate K63-ubiquitin linkages conjugated to MALT1 of @GENE$-Ubc13-@GENE$ complex and impairs TCR-induced NF-kappaB signaling; A20 also undergoes proteasomal degradation to restore TCR/CD28-induced IKK activation.</t>
  </si>
  <si>
    <t>A20 functions to deubiquitinate K63-ubiquitin linkages conjugated to MALT1 of @GENE$-Ubc13-TRAF6 complex and impairs @GENE$-induced NF-kappaB signaling; A20 also undergoes proteasomal degradation to restore TCR/CD28-induced IKK activation.</t>
  </si>
  <si>
    <t>A20 functions to deubiquitinate K63-ubiquitin linkages conjugated to MALT1 of @GENE$-Ubc13-TRAF6 complex and impairs TCR-induced @GENE$ signaling; A20 also undergoes proteasomal degradation to restore TCR/CD28-induced IKK activation.</t>
  </si>
  <si>
    <t>A20 functions to deubiquitinate K63-ubiquitin linkages conjugated to MALT1 of @GENE$-Ubc13-TRAF6 complex and impairs TCR-induced NF-kappaB signaling; @GENE$ also undergoes proteasomal degradation to restore TCR/CD28-induced IKK activation.</t>
  </si>
  <si>
    <t>A20 functions to deubiquitinate K63-ubiquitin linkages conjugated to MALT1 of @GENE$-Ubc13-TRAF6 complex and impairs TCR-induced NF-kappaB signaling; A20 also undergoes proteasomal degradation to restore @GENE$/CD28-induced IKK activation.</t>
  </si>
  <si>
    <t>A20 functions to deubiquitinate K63-ubiquitin linkages conjugated to MALT1 of @GENE$-Ubc13-TRAF6 complex and impairs TCR-induced NF-kappaB signaling; A20 also undergoes proteasomal degradation to restore TCR/@GENE$-induced IKK activation.</t>
  </si>
  <si>
    <t>A20 functions to deubiquitinate K63-ubiquitin linkages conjugated to MALT1 of @GENE$-Ubc13-TRAF6 complex and impairs TCR-induced NF-kappaB signaling; A20 also undergoes proteasomal degradation to restore TCR/CD28-induced @GENE$ activation.</t>
  </si>
  <si>
    <t>A20 functions to deubiquitinate K63-ubiquitin linkages conjugated to MALT1 of CBM-@GENE$-@GENE$ complex and impairs TCR-induced NF-kappaB signaling; A20 also undergoes proteasomal degradation to restore TCR/CD28-induced IKK activation.</t>
  </si>
  <si>
    <t>A20 functions to deubiquitinate K63-ubiquitin linkages conjugated to MALT1 of CBM-@GENE$-TRAF6 complex and impairs @GENE$-induced NF-kappaB signaling; A20 also undergoes proteasomal degradation to restore TCR/CD28-induced IKK activation.</t>
  </si>
  <si>
    <t>A20 functions to deubiquitinate K63-ubiquitin linkages conjugated to MALT1 of CBM-@GENE$-TRAF6 complex and impairs TCR-induced @GENE$ signaling; A20 also undergoes proteasomal degradation to restore TCR/CD28-induced IKK activation.</t>
  </si>
  <si>
    <t>A20 functions to deubiquitinate K63-ubiquitin linkages conjugated to MALT1 of CBM-@GENE$-TRAF6 complex and impairs TCR-induced NF-kappaB signaling; @GENE$ also undergoes proteasomal degradation to restore TCR/CD28-induced IKK activation.</t>
  </si>
  <si>
    <t>A20 functions to deubiquitinate K63-ubiquitin linkages conjugated to MALT1 of CBM-@GENE$-TRAF6 complex and impairs TCR-induced NF-kappaB signaling; A20 also undergoes proteasomal degradation to restore @GENE$/CD28-induced IKK activation.</t>
  </si>
  <si>
    <t>A20 functions to deubiquitinate K63-ubiquitin linkages conjugated to MALT1 of CBM-@GENE$-TRAF6 complex and impairs TCR-induced NF-kappaB signaling; A20 also undergoes proteasomal degradation to restore TCR/@GENE$-induced IKK activation.</t>
  </si>
  <si>
    <t>A20 functions to deubiquitinate K63-ubiquitin linkages conjugated to MALT1 of CBM-@GENE$-TRAF6 complex and impairs TCR-induced NF-kappaB signaling; A20 also undergoes proteasomal degradation to restore TCR/CD28-induced @GENE$ activation.</t>
  </si>
  <si>
    <t>A20 functions to deubiquitinate K63-ubiquitin linkages conjugated to MALT1 of CBM-Ubc13-@GENE$ complex and impairs @GENE$-induced NF-kappaB signaling; A20 also undergoes proteasomal degradation to restore TCR/CD28-induced IKK activation.</t>
  </si>
  <si>
    <t>A20 functions to deubiquitinate K63-ubiquitin linkages conjugated to MALT1 of CBM-Ubc13-@GENE$ complex and impairs TCR-induced @GENE$ signaling; A20 also undergoes proteasomal degradation to restore TCR/CD28-induced IKK activation.</t>
  </si>
  <si>
    <t>A20 functions to deubiquitinate K63-ubiquitin linkages conjugated to MALT1 of CBM-Ubc13-@GENE$ complex and impairs TCR-induced NF-kappaB signaling; @GENE$ also undergoes proteasomal degradation to restore TCR/CD28-induced IKK activation.</t>
  </si>
  <si>
    <t>A20 functions to deubiquitinate K63-ubiquitin linkages conjugated to MALT1 of CBM-Ubc13-@GENE$ complex and impairs TCR-induced NF-kappaB signaling; A20 also undergoes proteasomal degradation to restore @GENE$/CD28-induced IKK activation.</t>
  </si>
  <si>
    <t>A20 functions to deubiquitinate K63-ubiquitin linkages conjugated to MALT1 of CBM-Ubc13-@GENE$ complex and impairs TCR-induced NF-kappaB signaling; A20 also undergoes proteasomal degradation to restore TCR/@GENE$-induced IKK activation.</t>
  </si>
  <si>
    <t>A20 functions to deubiquitinate K63-ubiquitin linkages conjugated to MALT1 of CBM-Ubc13-@GENE$ complex and impairs TCR-induced NF-kappaB signaling; A20 also undergoes proteasomal degradation to restore TCR/CD28-induced @GENE$ activation.</t>
  </si>
  <si>
    <t>A20 functions to deubiquitinate K63-ubiquitin linkages conjugated to MALT1 of CBM-Ubc13-TRAF6 complex and impairs @GENE$-induced @GENE$ signaling; A20 also undergoes proteasomal degradation to restore TCR/CD28-induced IKK activation.</t>
  </si>
  <si>
    <t>[Jiaying] TCR induces NFkB signalling = stimulation</t>
  </si>
  <si>
    <t>A20 functions to deubiquitinate K63-ubiquitin linkages conjugated to MALT1 of CBM-Ubc13-TRAF6 complex and impairs @GENE$-induced NF-kappaB signaling; @GENE$ also undergoes proteasomal degradation to restore TCR/CD28-induced IKK activation.</t>
  </si>
  <si>
    <t>A20 functions to deubiquitinate K63-ubiquitin linkages conjugated to MALT1 of CBM-Ubc13-TRAF6 complex and impairs @GENE$-induced NF-kappaB signaling; A20 also undergoes proteasomal degradation to restore @GENE$/CD28-induced IKK activation.</t>
  </si>
  <si>
    <t>A20 functions to deubiquitinate K63-ubiquitin linkages conjugated to MALT1 of CBM-Ubc13-TRAF6 complex and impairs @GENE$-induced NF-kappaB signaling; A20 also undergoes proteasomal degradation to restore TCR/@GENE$-induced IKK activation.</t>
  </si>
  <si>
    <t>A20 functions to deubiquitinate K63-ubiquitin linkages conjugated to MALT1 of CBM-Ubc13-TRAF6 complex and impairs @GENE$-induced NF-kappaB signaling; A20 also undergoes proteasomal degradation to restore TCR/CD28-induced @GENE$ activation.</t>
  </si>
  <si>
    <t>A20 functions to deubiquitinate K63-ubiquitin linkages conjugated to MALT1 of CBM-Ubc13-TRAF6 complex and impairs TCR-induced @GENE$ signaling; @GENE$ also undergoes proteasomal degradation to restore TCR/CD28-induced IKK activation.</t>
  </si>
  <si>
    <t>A20 functions to deubiquitinate K63-ubiquitin linkages conjugated to MALT1 of CBM-Ubc13-TRAF6 complex and impairs TCR-induced @GENE$ signaling; A20 also undergoes proteasomal degradation to restore @GENE$/CD28-induced IKK activation.</t>
  </si>
  <si>
    <t>A20 functions to deubiquitinate K63-ubiquitin linkages conjugated to MALT1 of CBM-Ubc13-TRAF6 complex and impairs TCR-induced @GENE$ signaling; A20 also undergoes proteasomal degradation to restore TCR/@GENE$-induced IKK activation.</t>
  </si>
  <si>
    <t>A20 functions to deubiquitinate K63-ubiquitin linkages conjugated to MALT1 of CBM-Ubc13-TRAF6 complex and impairs TCR-induced @GENE$ signaling; A20 also undergoes proteasomal degradation to restore TCR/CD28-induced @GENE$ activation.</t>
  </si>
  <si>
    <t>A20 functions to deubiquitinate K63-ubiquitin linkages conjugated to MALT1 of CBM-Ubc13-TRAF6 complex and impairs TCR-induced NF-kappaB signaling; @GENE$ also undergoes proteasomal degradation to restore @GENE$/CD28-induced IKK activation.</t>
  </si>
  <si>
    <t>A20 functions to deubiquitinate K63-ubiquitin linkages conjugated to MALT1 of CBM-Ubc13-TRAF6 complex and impairs TCR-induced NF-kappaB signaling; @GENE$ also undergoes proteasomal degradation to restore TCR/@GENE$-induced IKK activation.</t>
  </si>
  <si>
    <t>A20 functions to deubiquitinate K63-ubiquitin linkages conjugated to MALT1 of CBM-Ubc13-TRAF6 complex and impairs TCR-induced NF-kappaB signaling; @GENE$ also undergoes proteasomal degradation to restore TCR/CD28-induced @GENE$ activation.</t>
  </si>
  <si>
    <t>[Jiaying] A20 degradation restores IKK activation, i.e. A20 prevents IKK activation = inhibition?</t>
  </si>
  <si>
    <t>A20 functions to deubiquitinate K63-ubiquitin linkages conjugated to MALT1 of CBM-Ubc13-TRAF6 complex and impairs TCR-induced NF-kappaB signaling; A20 also undergoes proteasomal degradation to restore @GENE$/@GENE$-induced IKK activation.</t>
  </si>
  <si>
    <t>A20 functions to deubiquitinate K63-ubiquitin linkages conjugated to MALT1 of CBM-Ubc13-TRAF6 complex and impairs TCR-induced NF-kappaB signaling; A20 also undergoes proteasomal degradation to restore @GENE$/CD28-induced @GENE$ activation.</t>
  </si>
  <si>
    <t>[Jiaying] TCR induces IKK activation = stimulation</t>
  </si>
  <si>
    <t>A20 functions to deubiquitinate K63-ubiquitin linkages conjugated to MALT1 of CBM-Ubc13-TRAF6 complex and impairs TCR-induced NF-kappaB signaling; A20 also undergoes proteasomal degradation to restore TCR/@GENE$-induced @GENE$ activation.</t>
  </si>
  <si>
    <t>[Jiaying] CD28 induces IKK activation = stimulation</t>
  </si>
  <si>
    <t>@GENE$ is a @GENE$ that deubiquitinates K63-assembled ubiquitin chains from GbetaL, a substrate for TRAF2 E3 ligase.</t>
  </si>
  <si>
    <t>(OTUD7B, deubiquinates, GBetaL)</t>
  </si>
  <si>
    <t>@GENE$ is a DUB that deubiquitinates @GENE$-assembled ubiquitin chains from GbetaL, a substrate for TRAF2 E3 ligase.</t>
  </si>
  <si>
    <r>
      <rPr>
        <rFont val="Arial"/>
        <color theme="1"/>
        <sz val="10.0"/>
      </rPr>
      <t xml:space="preserve">Should be 0 because we are not considering deubiquitination
</t>
    </r>
    <r>
      <rPr>
        <rFont val="Arial"/>
        <color rgb="FF4A86E8"/>
        <sz val="10.0"/>
      </rPr>
      <t>[Jiaying] Should be 0 - not clear if OTUD7B interacts directly with K63</t>
    </r>
  </si>
  <si>
    <t>K63 is an amino acid position, should be tagged as @VARIANT$?? not as @GENE$</t>
  </si>
  <si>
    <t>@GENE$ is a DUB that deubiquitinates K63-assembled @GENE$ chains from GbetaL, a substrate for TRAF2 E3 ligase.</t>
  </si>
  <si>
    <r>
      <rPr>
        <rFont val="Arial"/>
        <color theme="1"/>
        <sz val="10.0"/>
      </rPr>
      <t xml:space="preserve">Should be 0 because we are not considering deubiquitination
</t>
    </r>
    <r>
      <rPr>
        <rFont val="Arial"/>
        <color rgb="FF4A86E8"/>
        <sz val="10.0"/>
      </rPr>
      <t>[Jiaying] not possible to deubiquitinate ubiquitin anyway...?</t>
    </r>
  </si>
  <si>
    <r>
      <rPr>
        <rFont val="Arial"/>
        <color theme="1"/>
        <sz val="10.0"/>
      </rPr>
      <t xml:space="preserve">Deubiquitination
</t>
    </r>
    <r>
      <rPr>
        <rFont val="Arial"/>
        <color rgb="FF4A86E8"/>
        <sz val="10.0"/>
      </rPr>
      <t>[Jiaying] not possible to deubiquitinate ubiquitin anyway...?</t>
    </r>
  </si>
  <si>
    <t>@GENE$ is a DUB that deubiquitinates K63-assembled ubiquitin chains from @GENE$, a substrate for TRAF2 E3 ligase.</t>
  </si>
  <si>
    <r>
      <rPr>
        <rFont val="Arial"/>
        <color theme="1"/>
        <sz val="10.0"/>
      </rPr>
      <t xml:space="preserve">Should be 0 because we are not considering deubiquitination
</t>
    </r>
    <r>
      <rPr>
        <rFont val="Arial"/>
        <color rgb="FF4A86E8"/>
        <sz val="10.0"/>
      </rPr>
      <t>[Jiaying] Should be 2 - OTUD7B interacts with GbetaL</t>
    </r>
  </si>
  <si>
    <r>
      <rPr>
        <rFont val="Arial"/>
        <color theme="1"/>
        <sz val="10.0"/>
      </rPr>
      <t xml:space="preserve">Deubiquitination
</t>
    </r>
    <r>
      <rPr>
        <rFont val="Arial"/>
        <color rgb="FF4A86E8"/>
        <sz val="10.0"/>
      </rPr>
      <t>[Jiaying] Ligand-receptor binding, now classified as interaction (protein-protein)</t>
    </r>
  </si>
  <si>
    <t>@GENE$ is a DUB that deubiquitinates K63-assembled ubiquitin chains from GbetaL, a substrate for @GENE$ E3 ligase.</t>
  </si>
  <si>
    <t>Should "E3 ligase" be tagged as @GENE$?</t>
  </si>
  <si>
    <t>OTUD7B is a @GENE$ that deubiquitinates @GENE$-assembled ubiquitin chains from GbetaL, a substrate for TRAF2 E3 ligase.</t>
  </si>
  <si>
    <r>
      <rPr>
        <rFont val="Arial"/>
        <color theme="1"/>
        <sz val="10.0"/>
      </rPr>
      <t xml:space="preserve">Should be 0 because we are not considering deubiquitination
</t>
    </r>
    <r>
      <rPr>
        <rFont val="Arial"/>
        <color rgb="FF4A86E8"/>
        <sz val="10.0"/>
      </rPr>
      <t>[Jiaying] Should be 0 - not clear if OTUD7B interacts directly with K63</t>
    </r>
  </si>
  <si>
    <t>OTUD7B is a @GENE$ that deubiquitinates K63-assembled @GENE$ chains from GbetaL, a substrate for TRAF2 E3 ligase.</t>
  </si>
  <si>
    <r>
      <rPr>
        <rFont val="Arial"/>
        <color theme="1"/>
        <sz val="10.0"/>
      </rPr>
      <t xml:space="preserve">Should be 0 because we are not considering deubiquitination
</t>
    </r>
    <r>
      <rPr>
        <rFont val="Arial"/>
        <color rgb="FF4A86E8"/>
        <sz val="10.0"/>
      </rPr>
      <t>[Jiaying] not possible to deubiquitinate ubiquitin anyway...?</t>
    </r>
  </si>
  <si>
    <r>
      <rPr>
        <rFont val="Arial"/>
        <color theme="1"/>
        <sz val="10.0"/>
      </rPr>
      <t xml:space="preserve">Deubiquitination
</t>
    </r>
    <r>
      <rPr>
        <rFont val="Arial"/>
        <color rgb="FF4A86E8"/>
        <sz val="10.0"/>
      </rPr>
      <t>[Jiaying] not possible to deubiquitinate ubiquitin anyway...?</t>
    </r>
  </si>
  <si>
    <t>OTUD7B is a @GENE$ that deubiquitinates K63-assembled ubiquitin chains from @GENE$, a substrate for TRAF2 E3 ligase.</t>
  </si>
  <si>
    <r>
      <rPr>
        <rFont val="Arial"/>
        <color theme="1"/>
        <sz val="10.0"/>
      </rPr>
      <t xml:space="preserve">Should be 0 because we are not considering deubiquitination
</t>
    </r>
    <r>
      <rPr>
        <rFont val="Arial"/>
        <color rgb="FF4A86E8"/>
        <sz val="10.0"/>
      </rPr>
      <t>[Jiaying] Should be 2 - OTUD7B interacts with GbetaL, 
or 0 if we think "DUB" is too generic a term</t>
    </r>
  </si>
  <si>
    <r>
      <rPr>
        <rFont val="Arial"/>
        <color theme="1"/>
        <sz val="10.0"/>
      </rPr>
      <t xml:space="preserve">Deubiquitination
</t>
    </r>
    <r>
      <rPr>
        <rFont val="Arial"/>
        <color rgb="FF4A86E8"/>
        <sz val="10.0"/>
      </rPr>
      <t>[Jiaying] Ligand-receptor binding, now classified as interaction (protein-protein)</t>
    </r>
  </si>
  <si>
    <t>OTUD7B is a @GENE$ that deubiquitinates K63-assembled ubiquitin chains from GbetaL, a substrate for @GENE$ E3 ligase.</t>
  </si>
  <si>
    <t>OTUD7B is a DUB that deubiquitinates @GENE$-assembled @GENE$ chains from GbetaL, a substrate for TRAF2 E3 ligase.</t>
  </si>
  <si>
    <t>OTUD7B is a DUB that deubiquitinates @GENE$-assembled ubiquitin chains from @GENE$, a substrate for TRAF2 E3 ligase.</t>
  </si>
  <si>
    <t>[Jiaying] Should be 3 if we count K63 as @GENE$ - K63 assembles ubiquitin chains  on GbetaL</t>
  </si>
  <si>
    <t>OTUD7B is a DUB that deubiquitinates @GENE$-assembled ubiquitin chains from GbetaL, a substrate for @GENE$ E3 ligase.</t>
  </si>
  <si>
    <t>OTUD7B is a DUB that deubiquitinates K63-assembled @GENE$ chains from @GENE$, a substrate for TRAF2 E3 ligase.</t>
  </si>
  <si>
    <t>OTUD7B is a DUB that deubiquitinates K63-assembled @GENE$ chains from GbetaL, a substrate for @GENE$ E3 ligase.</t>
  </si>
  <si>
    <t>OTUD7B is a DUB that deubiquitinates K63-assembled ubiquitin chains from @GENE$, a substrate for @GENE$ E3 ligase.</t>
  </si>
  <si>
    <t>[Jiaying] Could be 3 - GbetaL is a substrate for TRAF2, which is an E3 (ubiquitin) ligase, and GbetaL has ubiquitin chains; is this enough information for us to infer that GbetaL is ubiquitylated by TRAF2?</t>
  </si>
  <si>
    <t>@GENE$ a @GENE$ interacts with and deubiquitinates STING after HSV-1 infection.</t>
  </si>
  <si>
    <t>(USP49, deubiquitinates, STING)</t>
  </si>
  <si>
    <t>@GENE$ a ubiquitin-specific protease, interacts with and deubiquitinates @GENE$after HSV-1 infection.</t>
  </si>
  <si>
    <r>
      <rPr>
        <rFont val="Arial"/>
        <color theme="1"/>
        <sz val="10.0"/>
      </rPr>
      <t xml:space="preserve">Should be 0 because we are not considering deubiquitination
</t>
    </r>
    <r>
      <rPr>
        <rFont val="Arial"/>
        <color rgb="FF4A86E8"/>
        <sz val="10.0"/>
      </rPr>
      <t>[Jiaying] Should be 2 - USP49 interacts with STING</t>
    </r>
  </si>
  <si>
    <r>
      <rPr>
        <rFont val="Arial"/>
        <color theme="1"/>
        <sz val="10.0"/>
      </rPr>
      <t xml:space="preserve">Deubiquitination
</t>
    </r>
    <r>
      <rPr>
        <rFont val="Arial"/>
        <color rgb="FF4A86E8"/>
        <sz val="10.0"/>
      </rPr>
      <t>[Jiaying] Ligand-receptor binding, now classified as interaction (protein-protein)</t>
    </r>
  </si>
  <si>
    <t>@GENE$ a ubiquitin-specific protease, interacts with and deubiquitinates STING after @SPECIES$infection.</t>
  </si>
  <si>
    <t>USP49, a @GENE$ interacts with and deubiquitinates @GENE$after HSV-1 infection.</t>
  </si>
  <si>
    <r>
      <rPr>
        <rFont val="Arial"/>
        <color theme="1"/>
        <sz val="10.0"/>
      </rPr>
      <t xml:space="preserve">Should be 0 because we are not considering deubiquitination
</t>
    </r>
    <r>
      <rPr>
        <rFont val="Arial"/>
        <color rgb="FF4A86E8"/>
        <sz val="10.0"/>
      </rPr>
      <t>[Jiaying] Should be 2 - USP49 interacts with STING, 
or 0 if we think "ubiquitin-specific protease" is too generic a term</t>
    </r>
  </si>
  <si>
    <r>
      <rPr>
        <rFont val="Arial"/>
        <color theme="1"/>
        <sz val="10.0"/>
      </rPr>
      <t xml:space="preserve">Deubiquitination
</t>
    </r>
    <r>
      <rPr>
        <rFont val="Arial"/>
        <color rgb="FF4A86E8"/>
        <sz val="10.0"/>
      </rPr>
      <t>[Jiaying] Ligand-receptor binding, now classified as interaction (protein-protein)</t>
    </r>
  </si>
  <si>
    <t>USP49, a @GENE$ interacts with and deubiquitinates STING after @SPECIES$infection.</t>
  </si>
  <si>
    <t>USP49, a ubiquitin-specific protease, interacts with and deubiquitinates @GENE$after @SPECIES$infection.</t>
  </si>
  <si>
    <t>The @SPECIES$ @GENE$ protein inhibits TLR-7 signaling by deubiquitinating K63 linkages from TRAF3 and TRAF6 in human promonocyte cells that were stably transfected.</t>
  </si>
  <si>
    <t>The @SPECIES$ PLPro protein inhibits @GENE$ signaling by deubiquitinating K63 linkages from TRAF3 and TRAF6 in human promonocyte cells that were stably transfected.</t>
  </si>
  <si>
    <t>The @SPECIES$ PLPro protein inhibits TLR-7 signaling by deubiquitinating K63 linkages from @GENE$ and TRAF6 in human promonocyte cells that were stably transfected.</t>
  </si>
  <si>
    <t>The @SPECIES$ PLPro protein inhibits TLR-7 signaling by deubiquitinating K63 linkages from TRAF3 and @GENE$ in human promonocyte cells that were stably transfected.</t>
  </si>
  <si>
    <t>The @SPECIES$ PLPro protein inhibits TLR-7 signaling by deubiquitinating K63 linkages from TRAF3 and TRAF6 in @SPECIES$ promonocyte cells that were stably transfected.</t>
  </si>
  <si>
    <t>The SARS-CoV-2 @GENE$ protein inhibits @GENE$ signaling by deubiquitinating K63 linkages from TRAF3 and TRAF6 in human promonocyte cells that were stably transfected.</t>
  </si>
  <si>
    <t>[Jiaying] SARS-CoV-2 PLPro protein inhibits TLR7 = inhibition</t>
  </si>
  <si>
    <t>The SARS-CoV-2 @GENE$ protein inhibits TLR-7 signaling by deubiquitinating K63 linkages from @GENE$ and TRAF6 in human promonocyte cells that were stably transfected.</t>
  </si>
  <si>
    <t>The SARS-CoV-2 @GENE$ protein inhibits TLR-7 signaling by deubiquitinating K63 linkages from TRAF3 and @GENE$ in human promonocyte cells that were stably transfected.</t>
  </si>
  <si>
    <r>
      <rPr>
        <rFont val="Arial"/>
        <color theme="1"/>
        <sz val="10.0"/>
      </rPr>
      <t xml:space="preserve">Should be 1
</t>
    </r>
    <r>
      <rPr>
        <rFont val="Arial"/>
        <color rgb="FF4A86E8"/>
        <sz val="10.0"/>
      </rPr>
      <t>[Jiaying] Should be 0 - PLPro deubiquitylates TRAF6 as well but we are not labelling deubiquitination, no phosphorylation here</t>
    </r>
  </si>
  <si>
    <t>The SARS-CoV-2 @GENE$ protein inhibits TLR-7 signaling by deubiquitinating K63 linkages from TRAF3 and TRAF6 in @SPECIES$ promonocyte cells that were stably transfected.</t>
  </si>
  <si>
    <t>The SARS-CoV-2 PLPro protein inhibits @GENE$ signaling by deubiquitinating K63 linkages from @GENE$ and TRAF6 in human promonocyte cells that were stably transfected.</t>
  </si>
  <si>
    <t>The SARS-CoV-2 PLPro protein inhibits @GENE$ signaling by deubiquitinating K63 linkages from TRAF3 and @GENE$ in human promonocyte cells that were stably transfected.</t>
  </si>
  <si>
    <t>The SARS-CoV-2 PLPro protein inhibits @GENE$ signaling by deubiquitinating K63 linkages from TRAF3 and TRAF6 in @SPECIES$ promonocyte cells that were stably transfected.</t>
  </si>
  <si>
    <t>The SARS-CoV-2 PLPro protein inhibits TLR-7 signaling by deubiquitinating K63 linkages from @GENE$ and @GENE$ in human promonocyte cells that were stably transfected.</t>
  </si>
  <si>
    <t>The SARS-CoV-2 PLPro protein inhibits TLR-7 signaling by deubiquitinating K63 linkages from @GENE$ and TRAF6 in @SPECIES$ promonocyte cells that were stably transfected.</t>
  </si>
  <si>
    <t>The SARS-CoV-2 PLPro protein inhibits TLR-7 signaling by deubiquitinating K63 linkages from TRAF3 and @GENE$ in @SPECIES$ promonocyte cells that were stably transfected.</t>
  </si>
  <si>
    <t>The @GENE$ family of proteins, including @GENE$, cIAP2, and XIAP, have E3 ubiquitin protein ligase activity. TRAF2 and TRAF6 form a complex with cIAP1/2 to conjugate K63-linked ubiquitin chains catalyzed by Ubc13, followed by NF-kappaB or MAPK activation in human immune cell activation via antigen and pattern recognition receptors (PRRs)</t>
  </si>
  <si>
    <t>The @GENE$ family of proteins, including cIAP1, @GENE$, and XIAP, have E3 ubiquitin protein ligase activity. TRAF2 and TRAF6 form a complex with cIAP1/2 to conjugate K63-linked ubiquitin chains catalyzed by Ubc13, followed by NF-kappaB or MAPK activation in human immune cell activation via antigen and pattern recognition receptors (PRRs)</t>
  </si>
  <si>
    <t>The @GENE$ family of proteins, including cIAP1, cIAP2, and @GENE$, have E3 ubiquitin protein ligase activity. TRAF2 and TRAF6 form a complex with cIAP1/2 to conjugate K63-linked ubiquitin chains catalyzed by Ubc13, followed by NF-kappaB or MAPK activation in human immune cell activation via antigen and pattern recognition receptors (PRRs)</t>
  </si>
  <si>
    <t>The @GENE$ family of proteins, including cIAP1, cIAP2, and XIAP, have @GENE$ activity. TRAF2 and TRAF6 form a complex with cIAP1/2 to conjugate K63-linked ubiquitin chains catalyzed by Ubc13, followed by NF-kappaB or MAPK activation in human immune cell activation via antigen and pattern recognition receptors (PRRs)</t>
  </si>
  <si>
    <t>The @GENE$ family of proteins, including cIAP1, cIAP2, and XIAP, have E3 ubiquitin protein ligase activity. @GENE$ and TRAF6 form a complex with cIAP1/2 to conjugate K63-linked ubiquitin chains catalyzed by Ubc13, followed by NF-kappaB or MAPK activation in human immune cell activation via antigen and pattern recognition receptors (PRRs)</t>
  </si>
  <si>
    <r>
      <rPr>
        <rFont val="Arial"/>
        <color theme="1"/>
        <sz val="10.0"/>
      </rPr>
      <t xml:space="preserve">Should be 0
</t>
    </r>
    <r>
      <rPr>
        <rFont val="Arial"/>
        <color rgb="FF4A86E8"/>
        <sz val="10.0"/>
      </rPr>
      <t>[Jiaying] Could be 0 if we think "IAP" family is too generic ...?</t>
    </r>
  </si>
  <si>
    <t>The @GENE$ family of proteins, including cIAP1, cIAP2, and XIAP, have E3 ubiquitin protein ligase activity. TRAF2 and @GENE$ form a complex with cIAP1/2 to conjugate K63-linked ubiquitin chains catalyzed by Ubc13, followed by NF-kappaB or MAPK activation in human immune cell activation via antigen and pattern recognition receptors (PRRs)</t>
  </si>
  <si>
    <r>
      <rPr>
        <rFont val="Arial"/>
        <color theme="1"/>
        <sz val="10.0"/>
      </rPr>
      <t xml:space="preserve">Should be 0
</t>
    </r>
    <r>
      <rPr>
        <rFont val="Arial"/>
        <color rgb="FF4A86E8"/>
        <sz val="10.0"/>
      </rPr>
      <t>[Jiaying] Could be 0 if we think "IAP" family is too generic ...?</t>
    </r>
  </si>
  <si>
    <t>The @GENE$ family of proteins, including cIAP1, cIAP2, and XIAP, have E3 ubiquitin protein ligase activity. TRAF2 and TRAF6 form a complex with @GENE$ to conjugate K63-linked ubiquitin chains catalyzed by Ubc13, followed by NF-kappaB or MAPK activation in human immune cell activation via antigen and pattern recognition receptors (PRRs)</t>
  </si>
  <si>
    <t>Multiple entities here but tagged as a single @GENE$</t>
  </si>
  <si>
    <t>The @GENE$ family of proteins, including cIAP1, cIAP2, and XIAP, have E3 ubiquitin protein ligase activity. TRAF2 and TRAF6 form a complex with cIAP1/2 to conjugate K63-linked ubiquitin chains catalyzed by @GENE$, followed by NF-kappaB or MAPK activation in human immune cell activation via antigen and pattern recognition receptors (PRRs)</t>
  </si>
  <si>
    <r>
      <rPr>
        <rFont val="Arial"/>
        <color theme="1"/>
        <sz val="10.0"/>
      </rPr>
      <t xml:space="preserve">Conjugate ubiquitin chains --&gt; ubiquitination?
</t>
    </r>
    <r>
      <rPr>
        <rFont val="Arial"/>
        <color rgb="FF4A86E8"/>
        <sz val="10.0"/>
      </rPr>
      <t>[Jiaying] yes conjugate ubiquitin chains = ubiquitylation, but the target is unknown, so should still be 0</t>
    </r>
  </si>
  <si>
    <t>The @GENE$ family of proteins, including cIAP1, cIAP2, and XIAP, have E3 ubiquitin protein ligase activity. TRAF2 and TRAF6 form a complex with cIAP1/2 to conjugate K63-linked ubiquitin chains catalyzed by Ubc13, followed by @GENE$ or MAPK activation in human immune cell activation via antigen and pattern recognition receptors (PRRs)</t>
  </si>
  <si>
    <t>The @GENE$ family of proteins, including cIAP1, cIAP2, and XIAP, have E3 ubiquitin protein ligase activity. TRAF2 and TRAF6 form a complex with cIAP1/2 to conjugate K63-linked ubiquitin chains catalyzed by Ubc13, followed by NF-kappaB or @GENE$ activation in human immune cell activation via antigen and pattern recognition receptors (PRRs)</t>
  </si>
  <si>
    <t>The @GENE$ family of proteins, including cIAP1, cIAP2, and XIAP, have E3 ubiquitin protein ligase activity. TRAF2 and TRAF6 form a complex with cIAP1/2 to conjugate K63-linked ubiquitin chains catalyzed by Ubc13, followed by NF-kappaB or MAPK activation in @SPECIES$ immune cell activation via antigen and pattern recognition receptors (PRRs)</t>
  </si>
  <si>
    <t>The @GENE$ family of proteins, including cIAP1, cIAP2, and XIAP, have E3 ubiquitin protein ligase activity. TRAF2 and TRAF6 form a complex with cIAP1/2 to conjugate K63-linked ubiquitin chains catalyzed by Ubc13, followed by NF-kappaB or MAPK activation in human immune cell activation via antigen and pattern @GENE$ (PRRs)</t>
  </si>
  <si>
    <t>The @GENE$ family of proteins, including cIAP1, cIAP2, and XIAP, have E3 ubiquitin protein ligase activity. TRAF2 and TRAF6 form a complex with cIAP1/2 to conjugate K63-linked ubiquitin chains catalyzed by Ubc13, followed by NF-kappaB or MAPK activation in human immune cell activation via antigen and pattern recognition receptors (@GENE$)</t>
  </si>
  <si>
    <t>The IAP family of proteins, including @GENE$, @GENE$, and XIAP, have E3 ubiquitin protein ligase activity. TRAF2 and TRAF6 form a complex with cIAP1/2 to conjugate K63-linked ubiquitin chains catalyzed by Ubc13, followed by NF-kappaB or MAPK activation in human immune cell activation via antigen and pattern recognition receptors (PRRs)</t>
  </si>
  <si>
    <t>The IAP family of proteins, including @GENE$, cIAP2, and @GENE$, have E3 ubiquitin protein ligase activity. TRAF2 and TRAF6 form a complex with cIAP1/2 to conjugate K63-linked ubiquitin chains catalyzed by Ubc13, followed by NF-kappaB or MAPK activation in human immune cell activation via antigen and pattern recognition receptors (PRRs)</t>
  </si>
  <si>
    <t>The IAP family of proteins, including @GENE$, cIAP2, and XIAP, have @GENE$ activity. TRAF2 and TRAF6 form a complex with cIAP1/2 to conjugate K63-linked ubiquitin chains catalyzed by Ubc13, followed by NF-kappaB or MAPK activation in human immune cell activation via antigen and pattern recognition receptors (PRRs)</t>
  </si>
  <si>
    <t>The IAP family of proteins, including @GENE$, cIAP2, and XIAP, have E3 ubiquitin protein ligase activity. @GENE$ and TRAF6 form a complex with cIAP1/2 to conjugate K63-linked ubiquitin chains catalyzed by Ubc13, followed by NF-kappaB or MAPK activation in human immune cell activation via antigen and pattern recognition receptors (PRRs)</t>
  </si>
  <si>
    <r>
      <rPr>
        <rFont val="Arial"/>
        <color theme="1"/>
        <sz val="10.0"/>
      </rPr>
      <t xml:space="preserve">Should be 0
</t>
    </r>
    <r>
      <rPr>
        <rFont val="Arial"/>
        <color rgb="FF4A86E8"/>
        <sz val="10.0"/>
      </rPr>
      <t>[Jiaying] Not clear that there is binding/interaction between these specific mentions of cIAP1 and TRAF2?</t>
    </r>
  </si>
  <si>
    <t>The IAP family of proteins, including @GENE$, cIAP2, and XIAP, have E3 ubiquitin protein ligase activity. TRAF2 and @GENE$ form a complex with cIAP1/2 to conjugate K63-linked ubiquitin chains catalyzed by Ubc13, followed by NF-kappaB or MAPK activation in human immune cell activation via antigen and pattern recognition receptors (PRRs)</t>
  </si>
  <si>
    <r>
      <rPr>
        <rFont val="Arial"/>
        <color theme="1"/>
        <sz val="10.0"/>
      </rPr>
      <t xml:space="preserve">Should be 0
</t>
    </r>
    <r>
      <rPr>
        <rFont val="Arial"/>
        <color rgb="FF4A86E8"/>
        <sz val="10.0"/>
      </rPr>
      <t>[Jiaying] Not clear that there is binding/interaction between these specific mentions of cIAP1 and TRAF6?</t>
    </r>
  </si>
  <si>
    <t>The IAP family of proteins, including @GENE$, cIAP2, and XIAP, have E3 ubiquitin protein ligase activity. TRAF2 and TRAF6 form a complex with @GENE$ to conjugate K63-linked ubiquitin chains catalyzed by Ubc13, followed by NF-kappaB or MAPK activation in human immune cell activation via antigen and pattern recognition receptors (PRRs)</t>
  </si>
  <si>
    <t>The IAP family of proteins, including @GENE$, cIAP2, and XIAP, have E3 ubiquitin protein ligase activity. TRAF2 and TRAF6 form a complex with cIAP1/2 to conjugate K63-linked ubiquitin chains catalyzed by @GENE$, followed by NF-kappaB or MAPK activation in human immune cell activation via antigen and pattern recognition receptors (PRRs)</t>
  </si>
  <si>
    <r>
      <rPr>
        <rFont val="Arial"/>
        <color theme="1"/>
        <sz val="10.0"/>
      </rPr>
      <t xml:space="preserve">Conjugate ubiquitin chains --&gt; ubiquitination?
</t>
    </r>
    <r>
      <rPr>
        <rFont val="Arial"/>
        <color rgb="FF4A86E8"/>
        <sz val="10.0"/>
      </rPr>
      <t>[Jiaying] yes conjugate ubiquitin chains = ubiquitylation, but the target is unknown, so should still be 0</t>
    </r>
  </si>
  <si>
    <t>The IAP family of proteins, including @GENE$, cIAP2, and XIAP, have E3 ubiquitin protein ligase activity. TRAF2 and TRAF6 form a complex with cIAP1/2 to conjugate K63-linked ubiquitin chains catalyzed by Ubc13, followed by @GENE$ or MAPK activation in human immune cell activation via antigen and pattern recognition receptors (PRRs)</t>
  </si>
  <si>
    <t>The IAP family of proteins, including @GENE$, cIAP2, and XIAP, have E3 ubiquitin protein ligase activity. TRAF2 and TRAF6 form a complex with cIAP1/2 to conjugate K63-linked ubiquitin chains catalyzed by Ubc13, followed by NF-kappaB or @GENE$ activation in human immune cell activation via antigen and pattern recognition receptors (PRRs)</t>
  </si>
  <si>
    <t>The IAP family of proteins, including @GENE$, cIAP2, and XIAP, have E3 ubiquitin protein ligase activity. TRAF2 and TRAF6 form a complex with cIAP1/2 to conjugate K63-linked ubiquitin chains catalyzed by Ubc13, followed by NF-kappaB or MAPK activation in @SPECIES$ immune cell activation via antigen and pattern recognition receptors (PRRs)</t>
  </si>
  <si>
    <t>The IAP family of proteins, including @GENE$, cIAP2, and XIAP, have E3 ubiquitin protein ligase activity. TRAF2 and TRAF6 form a complex with cIAP1/2 to conjugate K63-linked ubiquitin chains catalyzed by Ubc13, followed by NF-kappaB or MAPK activation in human immune cell activation via antigen and pattern @GENE$ (PRRs)</t>
  </si>
  <si>
    <t>The IAP family of proteins, including @GENE$, cIAP2, and XIAP, have E3 ubiquitin protein ligase activity. TRAF2 and TRAF6 form a complex with cIAP1/2 to conjugate K63-linked ubiquitin chains catalyzed by Ubc13, followed by NF-kappaB or MAPK activation in human immune cell activation via antigen and pattern recognition receptors (@GENE$)</t>
  </si>
  <si>
    <t>The IAP family of proteins, including cIAP1, @GENE$, and @GENE$, have E3 ubiquitin protein ligase activity. TRAF2 and TRAF6 form a complex with cIAP1/2 to conjugate K63-linked ubiquitin chains catalyzed by Ubc13, followed by NF-kappaB or MAPK activation in human immune cell activation via antigen and pattern recognition receptors (PRRs)</t>
  </si>
  <si>
    <t>The IAP family of proteins, including cIAP1, @GENE$, and XIAP, have @GENE$ activity. TRAF2 and TRAF6 form a complex with cIAP1/2 to conjugate K63-linked ubiquitin chains catalyzed by Ubc13, followed by NF-kappaB or MAPK activation in human immune cell activation via antigen and pattern recognition receptors (PRRs)</t>
  </si>
  <si>
    <t>The IAP family of proteins, including cIAP1, @GENE$, and XIAP, have E3 ubiquitin protein ligase activity. @GENE$ and TRAF6 form a complex with cIAP1/2 to conjugate K63-linked ubiquitin chains catalyzed by Ubc13, followed by NF-kappaB or MAPK activation in human immune cell activation via antigen and pattern recognition receptors (PRRs)</t>
  </si>
  <si>
    <r>
      <rPr>
        <rFont val="Arial"/>
        <color theme="1"/>
        <sz val="10.0"/>
      </rPr>
      <t xml:space="preserve">Should be 0
</t>
    </r>
    <r>
      <rPr>
        <rFont val="Arial"/>
        <color rgb="FF4A86E8"/>
        <sz val="10.0"/>
      </rPr>
      <t>[Jiaying] Not clear that there is binding/interaction between these specific mentions of cIAP2 and TRAF2?</t>
    </r>
  </si>
  <si>
    <t>The IAP family of proteins, including cIAP1, @GENE$, and XIAP, have E3 ubiquitin protein ligase activity. TRAF2 and @GENE$ form a complex with cIAP1/2 to conjugate K63-linked ubiquitin chains catalyzed by Ubc13, followed by NF-kappaB or MAPK activation in human immune cell activation via antigen and pattern recognition receptors (PRRs)</t>
  </si>
  <si>
    <r>
      <rPr>
        <rFont val="Arial"/>
        <color theme="1"/>
        <sz val="10.0"/>
      </rPr>
      <t xml:space="preserve">Should be 0
</t>
    </r>
    <r>
      <rPr>
        <rFont val="Arial"/>
        <color rgb="FF4A86E8"/>
        <sz val="10.0"/>
      </rPr>
      <t>[Jiaying] Not clear that there is binding/interaction between these specific mentions of cIAP2 and TRAF6?</t>
    </r>
  </si>
  <si>
    <t>The IAP family of proteins, including cIAP1, @GENE$, and XIAP, have E3 ubiquitin protein ligase activity. TRAF2 and TRAF6 form a complex with @GENE$ to conjugate K63-linked ubiquitin chains catalyzed by Ubc13, followed by NF-kappaB or MAPK activation in human immune cell activation via antigen and pattern recognition receptors (PRRs)</t>
  </si>
  <si>
    <t>The IAP family of proteins, including cIAP1, @GENE$, and XIAP, have E3 ubiquitin protein ligase activity. TRAF2 and TRAF6 form a complex with cIAP1/2 to conjugate K63-linked ubiquitin chains catalyzed by @GENE$, followed by NF-kappaB or MAPK activation in human immune cell activation via antigen and pattern recognition receptors (PRRs)</t>
  </si>
  <si>
    <r>
      <rPr>
        <rFont val="Arial"/>
        <color theme="1"/>
        <sz val="10.0"/>
      </rPr>
      <t xml:space="preserve">Conjugate ubiquitin chains --&gt; ubiquitination?
</t>
    </r>
    <r>
      <rPr>
        <rFont val="Arial"/>
        <color rgb="FF4A86E8"/>
        <sz val="10.0"/>
      </rPr>
      <t>[Jiaying] yes conjugate ubiquitin chains = ubiquitylation, but the target is unknown, so should still be 0</t>
    </r>
  </si>
  <si>
    <t>The IAP family of proteins, including cIAP1, @GENE$, and XIAP, have E3 ubiquitin protein ligase activity. TRAF2 and TRAF6 form a complex with cIAP1/2 to conjugate K63-linked ubiquitin chains catalyzed by Ubc13, followed by @GENE$ or MAPK activation in human immune cell activation via antigen and pattern recognition receptors (PRRs)</t>
  </si>
  <si>
    <t>The IAP family of proteins, including cIAP1, @GENE$, and XIAP, have E3 ubiquitin protein ligase activity. TRAF2 and TRAF6 form a complex with cIAP1/2 to conjugate K63-linked ubiquitin chains catalyzed by Ubc13, followed by NF-kappaB or @GENE$ activation in human immune cell activation via antigen and pattern recognition receptors (PRRs)</t>
  </si>
  <si>
    <t>The IAP family of proteins, including cIAP1, @GENE$, and XIAP, have E3 ubiquitin protein ligase activity. TRAF2 and TRAF6 form a complex with cIAP1/2 to conjugate K63-linked ubiquitin chains catalyzed by Ubc13, followed by NF-kappaB or MAPK activation in @SPECIES$ immune cell activation via antigen and pattern recognition receptors (PRRs)</t>
  </si>
  <si>
    <t>The IAP family of proteins, including cIAP1, @GENE$, and XIAP, have E3 ubiquitin protein ligase activity. TRAF2 and TRAF6 form a complex with cIAP1/2 to conjugate K63-linked ubiquitin chains catalyzed by Ubc13, followed by NF-kappaB or MAPK activation in human immune cell activation via antigen and pattern @GENE$ (PRRs)</t>
  </si>
  <si>
    <t>The IAP family of proteins, including cIAP1, @GENE$, and XIAP, have E3 ubiquitin protein ligase activity. TRAF2 and TRAF6 form a complex with cIAP1/2 to conjugate K63-linked ubiquitin chains catalyzed by Ubc13, followed by NF-kappaB or MAPK activation in human immune cell activation via antigen and pattern recognition receptors (@GENE$)</t>
  </si>
  <si>
    <t>The IAP family of proteins, including cIAP1, cIAP2, and @GENE$, have @GENE$ activity. TRAF2 and TRAF6 form a complex with cIAP1/2 to conjugate K63-linked ubiquitin chains catalyzed by Ubc13, followed by NF-kappaB or MAPK activation in human immune cell activation via antigen and pattern recognition receptors (PRRs)</t>
  </si>
  <si>
    <t>The IAP family of proteins, including cIAP1, cIAP2, and @GENE$, have E3 ubiquitin protein ligase activity. @GENE$ and TRAF6 form a complex with cIAP1/2 to conjugate K63-linked ubiquitin chains catalyzed by Ubc13, followed by NF-kappaB or MAPK activation in human immune cell activation via antigen and pattern recognition receptors (PRRs)</t>
  </si>
  <si>
    <r>
      <rPr>
        <rFont val="Arial"/>
        <color theme="1"/>
        <sz val="10.0"/>
      </rPr>
      <t xml:space="preserve">Should be 0
</t>
    </r>
    <r>
      <rPr>
        <rFont val="Arial"/>
        <color rgb="FF4A86E8"/>
        <sz val="10.0"/>
      </rPr>
      <t>[Jiaying] Should be 0 - XIAP is not in the complex with TRAF2/TRAF6</t>
    </r>
  </si>
  <si>
    <t>The IAP family of proteins, including cIAP1, cIAP2, and @GENE$, have E3 ubiquitin protein ligase activity. TRAF2 and @GENE$ form a complex with cIAP1/2 to conjugate K63-linked ubiquitin chains catalyzed by Ubc13, followed by NF-kappaB or MAPK activation in human immune cell activation via antigen and pattern recognition receptors (PRRs)</t>
  </si>
  <si>
    <r>
      <rPr>
        <rFont val="Arial"/>
        <color theme="1"/>
        <sz val="10.0"/>
      </rPr>
      <t xml:space="preserve">Should be 0
</t>
    </r>
    <r>
      <rPr>
        <rFont val="Arial"/>
        <color rgb="FF4A86E8"/>
        <sz val="10.0"/>
      </rPr>
      <t>[Jiaying] Should be 0 - XIAP is not in the complex with TRAF2/TRAF6</t>
    </r>
  </si>
  <si>
    <t>The IAP family of proteins, including cIAP1, cIAP2, and @GENE$, have E3 ubiquitin protein ligase activity. TRAF2 and TRAF6 form a complex with @GENE$ to conjugate K63-linked ubiquitin chains catalyzed by Ubc13, followed by NF-kappaB or MAPK activation in human immune cell activation via antigen and pattern recognition receptors (PRRs)</t>
  </si>
  <si>
    <t>The IAP family of proteins, including cIAP1, cIAP2, and @GENE$, have E3 ubiquitin protein ligase activity. TRAF2 and TRAF6 form a complex with cIAP1/2 to conjugate K63-linked ubiquitin chains catalyzed by @GENE$, followed by NF-kappaB or MAPK activation in human immune cell activation via antigen and pattern recognition receptors (PRRs)</t>
  </si>
  <si>
    <t>The IAP family of proteins, including cIAP1, cIAP2, and @GENE$, have E3 ubiquitin protein ligase activity. TRAF2 and TRAF6 form a complex with cIAP1/2 to conjugate K63-linked ubiquitin chains catalyzed by Ubc13, followed by @GENE$ or MAPK activation in human immune cell activation via antigen and pattern recognition receptors (PRRs)</t>
  </si>
  <si>
    <t>The IAP family of proteins, including cIAP1, cIAP2, and @GENE$, have E3 ubiquitin protein ligase activity. TRAF2 and TRAF6 form a complex with cIAP1/2 to conjugate K63-linked ubiquitin chains catalyzed by Ubc13, followed by NF-kappaB or @GENE$ activation in human immune cell activation via antigen and pattern recognition receptors (PRRs)</t>
  </si>
  <si>
    <t>The IAP family of proteins, including cIAP1, cIAP2, and @GENE$, have E3 ubiquitin protein ligase activity. TRAF2 and TRAF6 form a complex with cIAP1/2 to conjugate K63-linked ubiquitin chains catalyzed by Ubc13, followed by NF-kappaB or MAPK activation in @SPECIES$ immune cell activation via antigen and pattern recognition receptors (PRRs)</t>
  </si>
  <si>
    <t>The IAP family of proteins, including cIAP1, cIAP2, and @GENE$, have E3 ubiquitin protein ligase activity. TRAF2 and TRAF6 form a complex with cIAP1/2 to conjugate K63-linked ubiquitin chains catalyzed by Ubc13, followed by NF-kappaB or MAPK activation in human immune cell activation via antigen and pattern @GENE$ (PRRs)</t>
  </si>
  <si>
    <t>The IAP family of proteins, including cIAP1, cIAP2, and @GENE$, have E3 ubiquitin protein ligase activity. TRAF2 and TRAF6 form a complex with cIAP1/2 to conjugate K63-linked ubiquitin chains catalyzed by Ubc13, followed by NF-kappaB or MAPK activation in human immune cell activation via antigen and pattern recognition receptors (@GENE$)</t>
  </si>
  <si>
    <t>The IAP family of proteins, including cIAP1, cIAP2, and XIAP, have @GENE$ activity. @GENE$ and TRAF6 form a complex with cIAP1/2 to conjugate K63-linked ubiquitin chains catalyzed by Ubc13, followed by NF-kappaB or MAPK activation in human immune cell activation via antigen and pattern recognition receptors (PRRs)</t>
  </si>
  <si>
    <t>The IAP family of proteins, including cIAP1, cIAP2, and XIAP, have @GENE$ activity. TRAF2 and @GENE$ form a complex with cIAP1/2 to conjugate K63-linked ubiquitin chains catalyzed by Ubc13, followed by NF-kappaB or MAPK activation in human immune cell activation via antigen and pattern recognition receptors (PRRs)</t>
  </si>
  <si>
    <t>The IAP family of proteins, including cIAP1, cIAP2, and XIAP, have @GENE$ activity. TRAF2 and TRAF6 form a complex with @GENE$ to conjugate K63-linked ubiquitin chains catalyzed by Ubc13, followed by NF-kappaB or MAPK activation in human immune cell activation via antigen and pattern recognition receptors (PRRs)</t>
  </si>
  <si>
    <t>The IAP family of proteins, including cIAP1, cIAP2, and XIAP, have @GENE$ activity. TRAF2 and TRAF6 form a complex with cIAP1/2 to conjugate K63-linked ubiquitin chains catalyzed by @GENE$, followed by NF-kappaB or MAPK activation in human immune cell activation via antigen and pattern recognition receptors (PRRs)</t>
  </si>
  <si>
    <t>The IAP family of proteins, including cIAP1, cIAP2, and XIAP, have @GENE$ activity. TRAF2 and TRAF6 form a complex with cIAP1/2 to conjugate K63-linked ubiquitin chains catalyzed by Ubc13, followed by @GENE$ or MAPK activation in human immune cell activation via antigen and pattern recognition receptors (PRRs)</t>
  </si>
  <si>
    <t>The IAP family of proteins, including cIAP1, cIAP2, and XIAP, have @GENE$ activity. TRAF2 and TRAF6 form a complex with cIAP1/2 to conjugate K63-linked ubiquitin chains catalyzed by Ubc13, followed by NF-kappaB or @GENE$ activation in human immune cell activation via antigen and pattern recognition receptors (PRRs)</t>
  </si>
  <si>
    <t>The IAP family of proteins, including cIAP1, cIAP2, and XIAP, have @GENE$ activity. TRAF2 and TRAF6 form a complex with cIAP1/2 to conjugate K63-linked ubiquitin chains catalyzed by Ubc13, followed by NF-kappaB or MAPK activation in @SPECIES$ immune cell activation via antigen and pattern recognition receptors (PRRs)</t>
  </si>
  <si>
    <t>The IAP family of proteins, including cIAP1, cIAP2, and XIAP, have @GENE$ activity. TRAF2 and TRAF6 form a complex with cIAP1/2 to conjugate K63-linked ubiquitin chains catalyzed by Ubc13, followed by NF-kappaB or MAPK activation in human immune cell activation via antigen and pattern @GENE$ (PRRs)</t>
  </si>
  <si>
    <t>The IAP family of proteins, including cIAP1, cIAP2, and XIAP, have @GENE$ activity. TRAF2 and TRAF6 form a complex with cIAP1/2 to conjugate K63-linked ubiquitin chains catalyzed by Ubc13, followed by NF-kappaB or MAPK activation in human immune cell activation via antigen and pattern recognition receptors (@GENE$)</t>
  </si>
  <si>
    <t>The IAP family of proteins, including cIAP1, cIAP2, and XIAP, have E3 ubiquitin protein ligase activity. @GENE$ and @GENE$ form a complex with cIAP1/2 to conjugate K63-linked ubiquitin chains catalyzed by Ubc13, followed by NF-kappaB or MAPK activation in human immune cell activation via antigen and pattern recognition receptors (PRRs)</t>
  </si>
  <si>
    <t xml:space="preserve">[Jiaying] Should be 2 - TRAF2 and TRAF6 form complex with cIAP1, cIAP2 = binding </t>
  </si>
  <si>
    <t>The IAP family of proteins, including cIAP1, cIAP2, and XIAP, have E3 ubiquitin protein ligase activity. @GENE$ and TRAF6 form a complex with @GENE$ to conjugate K63-linked ubiquitin chains catalyzed by Ubc13, followed by NF-kappaB or MAPK activation in human immune cell activation via antigen and pattern recognition receptors (PRRs)</t>
  </si>
  <si>
    <r>
      <rPr>
        <rFont val="Arial"/>
        <color theme="1"/>
        <sz val="10.0"/>
      </rPr>
      <t xml:space="preserve">Should be 0
</t>
    </r>
    <r>
      <rPr>
        <rFont val="Arial"/>
        <color rgb="FF4A86E8"/>
        <sz val="10.0"/>
      </rPr>
      <t xml:space="preserve">[Jiaying] Should be 2 - TRAF2 and TRAF6 form complex with cIAP1, cIAP2 = binding </t>
    </r>
  </si>
  <si>
    <r>
      <rPr>
        <rFont val="Arial"/>
        <color theme="1"/>
        <sz val="10.0"/>
      </rPr>
      <t xml:space="preserve">Binding
</t>
    </r>
    <r>
      <rPr>
        <rFont val="Arial"/>
        <color rgb="FF4A86E8"/>
        <sz val="10.0"/>
      </rPr>
      <t>[Jiaying] Ligand-receptor binding, now classified as interaction (protein-protein)</t>
    </r>
  </si>
  <si>
    <t>The IAP family of proteins, including cIAP1, cIAP2, and XIAP, have E3 ubiquitin protein ligase activity. @GENE$ and TRAF6 form a complex with cIAP1/2 to conjugate K63-linked ubiquitin chains catalyzed by @GENE$, followed by NF-kappaB or MAPK activation in human immune cell activation via antigen and pattern recognition receptors (PRRs)</t>
  </si>
  <si>
    <r>
      <rPr>
        <rFont val="Arial"/>
        <color theme="1"/>
        <sz val="10.0"/>
      </rPr>
      <t xml:space="preserve">Conjugate ubiquitin chains --&gt; ubiquitination?
</t>
    </r>
    <r>
      <rPr>
        <rFont val="Arial"/>
        <color rgb="FF4A86E8"/>
        <sz val="10.0"/>
      </rPr>
      <t>[Jiaying] yes conjugate ubiquitin chains = ubiquitylation, but the target is unknown, so should still be 0</t>
    </r>
  </si>
  <si>
    <t>The IAP family of proteins, including cIAP1, cIAP2, and XIAP, have E3 ubiquitin protein ligase activity. @GENE$ and TRAF6 form a complex with cIAP1/2 to conjugate K63-linked ubiquitin chains catalyzed by Ubc13, followed by @GENE$ or MAPK activation in human immune cell activation via antigen and pattern recognition receptors (PRRs)</t>
  </si>
  <si>
    <t>The IAP family of proteins, including cIAP1, cIAP2, and XIAP, have E3 ubiquitin protein ligase activity. @GENE$ and TRAF6 form a complex with cIAP1/2 to conjugate K63-linked ubiquitin chains catalyzed by Ubc13, followed by NF-kappaB or @GENE$ activation in human immune cell activation via antigen and pattern recognition receptors (PRRs)</t>
  </si>
  <si>
    <t>The IAP family of proteins, including cIAP1, cIAP2, and XIAP, have E3 ubiquitin protein ligase activity. @GENE$ and TRAF6 form a complex with cIAP1/2 to conjugate K63-linked ubiquitin chains catalyzed by Ubc13, followed by NF-kappaB or MAPK activation in @SPECIES$ immune cell activation via antigen and pattern recognition receptors (PRRs)</t>
  </si>
  <si>
    <t>The IAP family of proteins, including cIAP1, cIAP2, and XIAP, have E3 ubiquitin protein ligase activity. @GENE$ and TRAF6 form a complex with cIAP1/2 to conjugate K63-linked ubiquitin chains catalyzed by Ubc13, followed by NF-kappaB or MAPK activation in human immune cell activation via antigen and pattern @GENE$ (PRRs)</t>
  </si>
  <si>
    <t>The IAP family of proteins, including cIAP1, cIAP2, and XIAP, have E3 ubiquitin protein ligase activity. @GENE$ and TRAF6 form a complex with cIAP1/2 to conjugate K63-linked ubiquitin chains catalyzed by Ubc13, followed by NF-kappaB or MAPK activation in human immune cell activation via antigen and pattern recognition receptors (@GENE$)</t>
  </si>
  <si>
    <t>The IAP family of proteins, including cIAP1, cIAP2, and XIAP, have E3 ubiquitin protein ligase activity. TRAF2 and @GENE$ form a complex with @GENE$ to conjugate K63-linked ubiquitin chains catalyzed by Ubc13, followed by NF-kappaB or MAPK activation in human immune cell activation via antigen and pattern recognition receptors (PRRs)</t>
  </si>
  <si>
    <r>
      <rPr>
        <rFont val="Arial"/>
        <color theme="1"/>
        <sz val="10.0"/>
      </rPr>
      <t xml:space="preserve">Should be 0
</t>
    </r>
    <r>
      <rPr>
        <rFont val="Arial"/>
        <color rgb="FF4A86E8"/>
        <sz val="10.0"/>
      </rPr>
      <t xml:space="preserve">[Jiaying] Should be 2 - TRAF2 and TRAF6 form complex with cIAP1, cIAP2 = binding </t>
    </r>
  </si>
  <si>
    <r>
      <rPr>
        <rFont val="Arial"/>
        <color theme="1"/>
        <sz val="10.0"/>
      </rPr>
      <t xml:space="preserve">Binding
</t>
    </r>
    <r>
      <rPr>
        <rFont val="Arial"/>
        <color rgb="FF4A86E8"/>
        <sz val="10.0"/>
      </rPr>
      <t>[Jiaying] Ligand-receptor binding, now classified as interaction (protein-protein)</t>
    </r>
  </si>
  <si>
    <t>The IAP family of proteins, including cIAP1, cIAP2, and XIAP, have E3 ubiquitin protein ligase activity. TRAF2 and @GENE$ form a complex with cIAP1/2 to conjugate K63-linked ubiquitin chains catalyzed by @GENE$, followed by NF-kappaB or MAPK activation in human immune cell activation via antigen and pattern recognition receptors (PRRs)</t>
  </si>
  <si>
    <r>
      <rPr>
        <rFont val="Arial"/>
        <color theme="1"/>
        <sz val="10.0"/>
      </rPr>
      <t xml:space="preserve">Conjugate ubiquitin chains --&gt; ubiquitination?
</t>
    </r>
    <r>
      <rPr>
        <rFont val="Arial"/>
        <color rgb="FF4A86E8"/>
        <sz val="10.0"/>
      </rPr>
      <t>[Jiaying] yes conjugate ubiquitin chains = ubiquitylation, but the target is unknown, so should still be 0</t>
    </r>
  </si>
  <si>
    <t>The IAP family of proteins, including cIAP1, cIAP2, and XIAP, have E3 ubiquitin protein ligase activity. TRAF2 and @GENE$ form a complex with cIAP1/2 to conjugate K63-linked ubiquitin chains catalyzed by Ubc13, followed by @GENE$ or MAPK activation in human immune cell activation via antigen and pattern recognition receptors (PRRs)</t>
  </si>
  <si>
    <t>The IAP family of proteins, including cIAP1, cIAP2, and XIAP, have E3 ubiquitin protein ligase activity. TRAF2 and @GENE$ form a complex with cIAP1/2 to conjugate K63-linked ubiquitin chains catalyzed by Ubc13, followed by NF-kappaB or @GENE$ activation in human immune cell activation via antigen and pattern recognition receptors (PRRs)</t>
  </si>
  <si>
    <t>The IAP family of proteins, including cIAP1, cIAP2, and XIAP, have E3 ubiquitin protein ligase activity. TRAF2 and @GENE$ form a complex with cIAP1/2 to conjugate K63-linked ubiquitin chains catalyzed by Ubc13, followed by NF-kappaB or MAPK activation in @SPECIES$ immune cell activation via antigen and pattern recognition receptors (PRRs)</t>
  </si>
  <si>
    <t>The IAP family of proteins, including cIAP1, cIAP2, and XIAP, have E3 ubiquitin protein ligase activity. TRAF2 and @GENE$ form a complex with cIAP1/2 to conjugate K63-linked ubiquitin chains catalyzed by Ubc13, followed by NF-kappaB or MAPK activation in human immune cell activation via antigen and pattern @GENE$ (PRRs)</t>
  </si>
  <si>
    <t>The IAP family of proteins, including cIAP1, cIAP2, and XIAP, have E3 ubiquitin protein ligase activity. TRAF2 and @GENE$ form a complex with cIAP1/2 to conjugate K63-linked ubiquitin chains catalyzed by Ubc13, followed by NF-kappaB or MAPK activation in human immune cell activation via antigen and pattern recognition receptors (@GENE$)</t>
  </si>
  <si>
    <t>The IAP family of proteins, including cIAP1, cIAP2, and XIAP, have E3 ubiquitin protein ligase activity. TRAF2 and TRAF6 form a complex with @GENE$ to conjugate K63-linked ubiquitin chains catalyzed by @GENE$, followed by NF-kappaB or MAPK activation in human immune cell activation via antigen and pattern recognition receptors (PRRs)</t>
  </si>
  <si>
    <t>The IAP family of proteins, including cIAP1, cIAP2, and XIAP, have E3 ubiquitin protein ligase activity. TRAF2 and TRAF6 form a complex with @GENE$ to conjugate K63-linked ubiquitin chains catalyzed by Ubc13, followed by @GENE$ or MAPK activation in human immune cell activation via antigen and pattern recognition receptors (PRRs)</t>
  </si>
  <si>
    <t>The IAP family of proteins, including cIAP1, cIAP2, and XIAP, have E3 ubiquitin protein ligase activity. TRAF2 and TRAF6 form a complex with @GENE$ to conjugate K63-linked ubiquitin chains catalyzed by Ubc13, followed by NF-kappaB or @GENE$ activation in human immune cell activation via antigen and pattern recognition receptors (PRRs)</t>
  </si>
  <si>
    <t>The IAP family of proteins, including cIAP1, cIAP2, and XIAP, have E3 ubiquitin protein ligase activity. TRAF2 and TRAF6 form a complex with @GENE$ to conjugate K63-linked ubiquitin chains catalyzed by Ubc13, followed by NF-kappaB or MAPK activation in @SPECIES$ immune cell activation via antigen and pattern recognition receptors (PRRs)</t>
  </si>
  <si>
    <t>The IAP family of proteins, including cIAP1, cIAP2, and XIAP, have E3 ubiquitin protein ligase activity. TRAF2 and TRAF6 form a complex with @GENE$ to conjugate K63-linked ubiquitin chains catalyzed by Ubc13, followed by NF-kappaB or MAPK activation in human immune cell activation via antigen and pattern @GENE$ (PRRs)</t>
  </si>
  <si>
    <t>The IAP family of proteins, including cIAP1, cIAP2, and XIAP, have E3 ubiquitin protein ligase activity. TRAF2 and TRAF6 form a complex with @GENE$ to conjugate K63-linked ubiquitin chains catalyzed by Ubc13, followed by NF-kappaB or MAPK activation in human immune cell activation via antigen and pattern recognition receptors (@GENE$)</t>
  </si>
  <si>
    <t>The IAP family of proteins, including cIAP1, cIAP2, and XIAP, have E3 ubiquitin protein ligase activity. TRAF2 and TRAF6 form a complex with cIAP1/2 to conjugate K63-linked ubiquitin chains catalyzed by @GENE$, followed by @GENE$ or MAPK activation in human immune cell activation via antigen and pattern recognition receptors (PRRs)</t>
  </si>
  <si>
    <t>The IAP family of proteins, including cIAP1, cIAP2, and XIAP, have E3 ubiquitin protein ligase activity. TRAF2 and TRAF6 form a complex with cIAP1/2 to conjugate K63-linked ubiquitin chains catalyzed by @GENE$, followed by NF-kappaB or @GENE$ activation in human immune cell activation via antigen and pattern recognition receptors (PRRs)</t>
  </si>
  <si>
    <t>The IAP family of proteins, including cIAP1, cIAP2, and XIAP, have E3 ubiquitin protein ligase activity. TRAF2 and TRAF6 form a complex with cIAP1/2 to conjugate K63-linked ubiquitin chains catalyzed by @GENE$, followed by NF-kappaB or MAPK activation in @SPECIES$ immune cell activation via antigen and pattern recognition receptors (PRRs)</t>
  </si>
  <si>
    <t>The IAP family of proteins, including cIAP1, cIAP2, and XIAP, have E3 ubiquitin protein ligase activity. TRAF2 and TRAF6 form a complex with cIAP1/2 to conjugate K63-linked ubiquitin chains catalyzed by @GENE$, followed by NF-kappaB or MAPK activation in human immune cell activation via antigen and pattern @GENE$ (PRRs)</t>
  </si>
  <si>
    <t>The IAP family of proteins, including cIAP1, cIAP2, and XIAP, have E3 ubiquitin protein ligase activity. TRAF2 and TRAF6 form a complex with cIAP1/2 to conjugate K63-linked ubiquitin chains catalyzed by @GENE$, followed by NF-kappaB or MAPK activation in human immune cell activation via antigen and pattern recognition receptors (@GENE$)</t>
  </si>
  <si>
    <t>The IAP family of proteins, including cIAP1, cIAP2, and XIAP, have E3 ubiquitin protein ligase activity. TRAF2 and TRAF6 form a complex with cIAP1/2 to conjugate K63-linked ubiquitin chains catalyzed by Ubc13, followed by @GENE$ or @GENE$ activation in human immune cell activation via antigen and pattern recognition receptors (PRRs)</t>
  </si>
  <si>
    <t>The IAP family of proteins, including cIAP1, cIAP2, and XIAP, have E3 ubiquitin protein ligase activity. TRAF2 and TRAF6 form a complex with cIAP1/2 to conjugate K63-linked ubiquitin chains catalyzed by Ubc13, followed by @GENE$ or MAPK activation in @SPECIES$ immune cell activation via antigen and pattern recognition receptors (PRRs)</t>
  </si>
  <si>
    <t>The IAP family of proteins, including cIAP1, cIAP2, and XIAP, have E3 ubiquitin protein ligase activity. TRAF2 and TRAF6 form a complex with cIAP1/2 to conjugate K63-linked ubiquitin chains catalyzed by Ubc13, followed by @GENE$ or MAPK activation in human immune cell activation via antigen and pattern @GENE$ (PRRs)</t>
  </si>
  <si>
    <t>[Jiaying] PRRs induce NFkB and MAPK activation = stimulation</t>
  </si>
  <si>
    <t>The IAP family of proteins, including cIAP1, cIAP2, and XIAP, have E3 ubiquitin protein ligase activity. TRAF2 and TRAF6 form a complex with cIAP1/2 to conjugate K63-linked ubiquitin chains catalyzed by Ubc13, followed by @GENE$ or MAPK activation in human immune cell activation via antigen and pattern recognition receptors (@GENE$)</t>
  </si>
  <si>
    <t>The IAP family of proteins, including cIAP1, cIAP2, and XIAP, have E3 ubiquitin protein ligase activity. TRAF2 and TRAF6 form a complex with cIAP1/2 to conjugate K63-linked ubiquitin chains catalyzed by Ubc13, followed by NF-kappaB or @GENE$ activation in @SPECIES$ immune cell activation via antigen and pattern recognition receptors (PRRs)</t>
  </si>
  <si>
    <t>The IAP family of proteins, including cIAP1, cIAP2, and XIAP, have E3 ubiquitin protein ligase activity. TRAF2 and TRAF6 form a complex with cIAP1/2 to conjugate K63-linked ubiquitin chains catalyzed by Ubc13, followed by NF-kappaB or @GENE$ activation in human immune cell activation via antigen and pattern @GENE$ (PRRs)</t>
  </si>
  <si>
    <t>The IAP family of proteins, including cIAP1, cIAP2, and XIAP, have E3 ubiquitin protein ligase activity. TRAF2 and TRAF6 form a complex with cIAP1/2 to conjugate K63-linked ubiquitin chains catalyzed by Ubc13, followed by NF-kappaB or @GENE$ activation in human immune cell activation via antigen and pattern recognition receptors (@GENE$)</t>
  </si>
  <si>
    <t>The IAP family of proteins, including cIAP1, cIAP2, and XIAP, have E3 ubiquitin protein ligase activity. TRAF2 and TRAF6 form a complex with cIAP1/2 to conjugate K63-linked ubiquitin chains catalyzed by Ubc13, followed by NF-kappaB or MAPK activation in @SPECIES$ immune cell activation via antigen and pattern @GENE$ (PRRs)</t>
  </si>
  <si>
    <t>The IAP family of proteins, including cIAP1, cIAP2, and XIAP, have E3 ubiquitin protein ligase activity. TRAF2 and TRAF6 form a complex with cIAP1/2 to conjugate K63-linked ubiquitin chains catalyzed by Ubc13, followed by NF-kappaB or MAPK activation in @SPECIES$ immune cell activation via antigen and pattern recognition receptors (@GENE$)</t>
  </si>
  <si>
    <t>The IAP family of proteins, including cIAP1, cIAP2, and XIAP, have E3 ubiquitin protein ligase activity. TRAF2 and TRAF6 form a complex with cIAP1/2 to conjugate K63-linked ubiquitin chains catalyzed by Ubc13, followed by NF-kappaB or MAPK activation in human immune cell activation via antigen and pattern @GENE$ (@GENE$)</t>
  </si>
  <si>
    <t>@GENE$-linked @GENE$ chains (red ovals) and linear polyubiquitin chains (green ovals) catalyzed by Ubc13-Uev1a and UbcH5/linear ubiquitin chain assembly complex (LUBAC) are necessary for efficient activation of immune and antiviral cell signaling pathways.</t>
  </si>
  <si>
    <r>
      <rPr>
        <rFont val="Arial"/>
        <color theme="1"/>
        <sz val="10.0"/>
      </rPr>
      <t xml:space="preserve">Not sure how to interpet this sentence???
</t>
    </r>
    <r>
      <rPr>
        <rFont val="Arial"/>
        <color rgb="FF4A86E8"/>
        <sz val="10.0"/>
      </rPr>
      <t>[Jiaying] 2 different types of ubiquitin chains made by 2 different ubiquitin ligase complexes are necessary for immune/antiviral cell signalling, but since no target of ubiquitylation is mentioned here everything should be 0</t>
    </r>
  </si>
  <si>
    <t>K63 is an amino acid position, should be tagged as @VARIANT$, not as @GENE$</t>
  </si>
  <si>
    <t>@GENE$-linked polyubiquitin chains (red ovals) and linear @GENE$ chains (green ovals) catalyzed by Ubc13-Uev1a and UbcH5/linear ubiquitin chain assembly complex (LUBAC) are necessary for efficient activation of immune and antiviral cell signaling pathways.</t>
  </si>
  <si>
    <t>@GENE$-linked polyubiquitin chains (red ovals) and linear polyubiquitin chains (green ovals) catalyzed by @GENE$-Uev1a and UbcH5/linear ubiquitin chain assembly complex (LUBAC) are necessary for efficient activation of immune and antiviral cell signaling pathways.</t>
  </si>
  <si>
    <t>@GENE$-linked polyubiquitin chains (red ovals) and linear polyubiquitin chains (green ovals) catalyzed by Ubc13-@GENE$ and UbcH5/linear ubiquitin chain assembly complex (LUBAC) are necessary for efficient activation of immune and antiviral cell signaling pathways.</t>
  </si>
  <si>
    <t>@GENE$-linked polyubiquitin chains (red ovals) and linear polyubiquitin chains (green ovals) catalyzed by Ubc13-Uev1a and @GENE$/linear ubiquitin chain assembly complex (LUBAC) are necessary for efficient activation of immune and antiviral cell signaling pathways.</t>
  </si>
  <si>
    <t>@GENE$-linked polyubiquitin chains (red ovals) and linear polyubiquitin chains (green ovals) catalyzed by Ubc13-Uev1a and UbcH5/@GENE$ (LUBAC) are necessary for efficient activation of immune and antiviral cell signaling pathways.</t>
  </si>
  <si>
    <t>@GENE$-linked polyubiquitin chains (red ovals) and linear polyubiquitin chains (green ovals) catalyzed by Ubc13-Uev1a and UbcH5/linear ubiquitin chain assembly complex (@GENE$) are necessary for efficient activation of immune and antiviral cell signaling pathways.</t>
  </si>
  <si>
    <t>K63-linked @GENE$ chains (red ovals) and linear @GENE$ chains (green ovals) catalyzed by Ubc13-Uev1a and UbcH5/linear ubiquitin chain assembly complex (LUBAC) are necessary for efficient activation of immune and antiviral cell signaling pathways.</t>
  </si>
  <si>
    <t>K63-linked @GENE$ chains (red ovals) and linear polyubiquitin chains (green ovals) catalyzed by @GENE$-Uev1a and UbcH5/linear ubiquitin chain assembly complex (LUBAC) are necessary for efficient activation of immune and antiviral cell signaling pathways.</t>
  </si>
  <si>
    <t>K63-linked @GENE$ chains (red ovals) and linear polyubiquitin chains (green ovals) catalyzed by Ubc13-@GENE$ and UbcH5/linear ubiquitin chain assembly complex (LUBAC) are necessary for efficient activation of immune and antiviral cell signaling pathways.</t>
  </si>
  <si>
    <t>K63-linked @GENE$ chains (red ovals) and linear polyubiquitin chains (green ovals) catalyzed by Ubc13-Uev1a and @GENE$/linear ubiquitin chain assembly complex (LUBAC) are necessary for efficient activation of immune and antiviral cell signaling pathways.</t>
  </si>
  <si>
    <t>K63-linked @GENE$ chains (red ovals) and linear polyubiquitin chains (green ovals) catalyzed by Ubc13-Uev1a and UbcH5/@GENE$ (LUBAC) are necessary for efficient activation of immune and antiviral cell signaling pathways.</t>
  </si>
  <si>
    <t>K63-linked @GENE$ chains (red ovals) and linear polyubiquitin chains (green ovals) catalyzed by Ubc13-Uev1a and UbcH5/linear ubiquitin chain assembly complex (@GENE$) are necessary for efficient activation of immune and antiviral cell signaling pathways.</t>
  </si>
  <si>
    <t>K63-linked polyubiquitin chains (red ovals) and linear @GENE$ chains (green ovals) catalyzed by @GENE$-Uev1a and UbcH5/linear ubiquitin chain assembly complex (LUBAC) are necessary for efficient activation of immune and antiviral cell signaling pathways.</t>
  </si>
  <si>
    <t>K63-linked polyubiquitin chains (red ovals) and linear @GENE$ chains (green ovals) catalyzed by Ubc13-@GENE$ and UbcH5/linear ubiquitin chain assembly complex (LUBAC) are necessary for efficient activation of immune and antiviral cell signaling pathways.</t>
  </si>
  <si>
    <t>K63-linked polyubiquitin chains (red ovals) and linear @GENE$ chains (green ovals) catalyzed by Ubc13-Uev1a and @GENE$/linear ubiquitin chain assembly complex (LUBAC) are necessary for efficient activation of immune and antiviral cell signaling pathways.</t>
  </si>
  <si>
    <t>K63-linked polyubiquitin chains (red ovals) and linear @GENE$ chains (green ovals) catalyzed by Ubc13-Uev1a and UbcH5/@GENE$ (LUBAC) are necessary for efficient activation of immune and antiviral cell signaling pathways.</t>
  </si>
  <si>
    <t>K63-linked polyubiquitin chains (red ovals) and linear @GENE$ chains (green ovals) catalyzed by Ubc13-Uev1a and UbcH5/linear ubiquitin chain assembly complex (@GENE$) are necessary for efficient activation of immune and antiviral cell signaling pathways.</t>
  </si>
  <si>
    <t>K63-linked polyubiquitin chains (red ovals) and linear polyubiquitin chains (green ovals) catalyzed by @GENE$-@GENE$ and UbcH5/linear ubiquitin chain assembly complex (LUBAC) are necessary for efficient activation of immune and antiviral cell signaling pathways.</t>
  </si>
  <si>
    <t>K63-linked polyubiquitin chains (red ovals) and linear polyubiquitin chains (green ovals) catalyzed by @GENE$-Uev1a and @GENE$/linear ubiquitin chain assembly complex (LUBAC) are necessary for efficient activation of immune and antiviral cell signaling pathways.</t>
  </si>
  <si>
    <t>K63-linked polyubiquitin chains (red ovals) and linear polyubiquitin chains (green ovals) catalyzed by @GENE$-Uev1a and UbcH5/@GENE$ (LUBAC) are necessary for efficient activation of immune and antiviral cell signaling pathways.</t>
  </si>
  <si>
    <t>K63-linked polyubiquitin chains (red ovals) and linear polyubiquitin chains (green ovals) catalyzed by @GENE$-Uev1a and UbcH5/linear ubiquitin chain assembly complex (@GENE$) are necessary for efficient activation of immune and antiviral cell signaling pathways.</t>
  </si>
  <si>
    <t>K63-linked polyubiquitin chains (red ovals) and linear polyubiquitin chains (green ovals) catalyzed by Ubc13-@GENE$ and @GENE$/linear ubiquitin chain assembly complex (LUBAC) are necessary for efficient activation of immune and antiviral cell signaling pathways.</t>
  </si>
  <si>
    <t>K63-linked polyubiquitin chains (red ovals) and linear polyubiquitin chains (green ovals) catalyzed by Ubc13-@GENE$ and UbcH5/@GENE$ (LUBAC) are necessary for efficient activation of immune and antiviral cell signaling pathways.</t>
  </si>
  <si>
    <t>K63-linked polyubiquitin chains (red ovals) and linear polyubiquitin chains (green ovals) catalyzed by Ubc13-@GENE$ and UbcH5/linear ubiquitin chain assembly complex (@GENE$) are necessary for efficient activation of immune and antiviral cell signaling pathways.</t>
  </si>
  <si>
    <t>K63-linked polyubiquitin chains (red ovals) and linear polyubiquitin chains (green ovals) catalyzed by Ubc13-Uev1a and @GENE$/@GENE$ (LUBAC) are necessary for efficient activation of immune and antiviral cell signaling pathways.</t>
  </si>
  <si>
    <t>K63-linked polyubiquitin chains (red ovals) and linear polyubiquitin chains (green ovals) catalyzed by Ubc13-Uev1a and @GENE$/linear ubiquitin chain assembly complex (@GENE$) are necessary for efficient activation of immune and antiviral cell signaling pathways.</t>
  </si>
  <si>
    <t>K63-linked polyubiquitin chains (red ovals) and linear polyubiquitin chains (green ovals) catalyzed by Ubc13-Uev1a and UbcH5/@GENE$ (@GENE$) are necessary for efficient activation of immune and antiviral cell signaling pathways.</t>
  </si>
  <si>
    <t>The @GENE$ (@GENE$)-induced non-canonical mechanism involves K48-ubiquitin chain-mediated degradation of TNF receptor-associated factor 3 (TRAF3) by cellular inhibitor of apoptosis proteins 1/2 (cIAP1/2), release of TRAF2/TRAF6 for K63 ubiquitination, and activation of non-canonical nuclear factor KappaB (NF-kappaB)/MAPK.</t>
  </si>
  <si>
    <t>The @GENE$ (TNFR1)-induced non-canonical mechanism involves K48-ubiquitin chain-mediated degradation of @GENE$ (TRAF3) by cellular inhibitor of apoptosis proteins 1/2 (cIAP1/2), release of TRAF2/TRAF6 for K63 ubiquitination, and activation of non-canonical nuclear factor KappaB (NF-kappaB)/MAPK.</t>
  </si>
  <si>
    <t>The @GENE$ (TNFR1)-induced non-canonical mechanism involves K48-ubiquitin chain-mediated degradation of TNF receptor-associated factor 3 (@GENE$) by cellular inhibitor of apoptosis proteins 1/2 (cIAP1/2), release of TRAF2/TRAF6 for K63 ubiquitination, and activation of non-canonical nuclear factor KappaB (NF-kappaB)/MAPK.</t>
  </si>
  <si>
    <t>The @GENE$ (TNFR1)-induced non-canonical mechanism involves K48-ubiquitin chain-mediated degradation of TNF receptor-associated factor 3 (TRAF3) by @GENE$ (cIAP1/2), release of TRAF2/TRAF6 for K63 ubiquitination, and activation of non-canonical nuclear factor KappaB (NF-kappaB)/MAPK.</t>
  </si>
  <si>
    <t>The @GENE$ (TNFR1)-induced non-canonical mechanism involves K48-ubiquitin chain-mediated degradation of TNF receptor-associated factor 3 (TRAF3) by cellular inhibitor of apoptosis proteins 1/2 (@GENE$), release of TRAF2/TRAF6 for K63 ubiquitination, and activation of non-canonical nuclear factor KappaB (NF-kappaB)/MAPK.</t>
  </si>
  <si>
    <t>The @GENE$ (TNFR1)-induced non-canonical mechanism involves K48-ubiquitin chain-mediated degradation of TNF receptor-associated factor 3 (TRAF3) by cellular inhibitor of apoptosis proteins 1/2 (cIAP1/2), release of @GENE$/TRAF6 for K63 ubiquitination, and activation of non-canonical nuclear factor KappaB (NF-kappaB)/MAPK.</t>
  </si>
  <si>
    <t>The @GENE$ (TNFR1)-induced non-canonical mechanism involves K48-ubiquitin chain-mediated degradation of TNF receptor-associated factor 3 (TRAF3) by cellular inhibitor of apoptosis proteins 1/2 (cIAP1/2), release of TRAF2/@GENE$ for K63 ubiquitination, and activation of non-canonical nuclear factor KappaB (NF-kappaB)/MAPK.</t>
  </si>
  <si>
    <t>The @GENE$ (TNFR1)-induced non-canonical mechanism involves K48-ubiquitin chain-mediated degradation of TNF receptor-associated factor 3 (TRAF3) by cellular inhibitor of apoptosis proteins 1/2 (cIAP1/2), release of TRAF2/TRAF6 for @VARIANT$ ubiquitination, and activation of non-canonical nuclear factor KappaB (NF-kappaB)/MAPK.</t>
  </si>
  <si>
    <t>The @GENE$ (TNFR1)-induced non-canonical mechanism involves K48-ubiquitin chain-mediated degradation of TNF receptor-associated factor 3 (TRAF3) by cellular inhibitor of apoptosis proteins 1/2 (cIAP1/2), release of TRAF2/TRAF6 for K63 ubiquitination, and activation of non-canonical @GENE$ (NF-kappaB)/MAPK.</t>
  </si>
  <si>
    <t>[Jiaying] TNFR1 induces NFkB and MAPK activation = stimulation</t>
  </si>
  <si>
    <t>The @GENE$ (TNFR1)-induced non-canonical mechanism involves K48-ubiquitin chain-mediated degradation of TNF receptor-associated factor 3 (TRAF3) by cellular inhibitor of apoptosis proteins 1/2 (cIAP1/2), release of TRAF2/TRAF6 for K63 ubiquitination, and activation of non-canonical nuclear factor KappaB (@GENE$)/MAPK.</t>
  </si>
  <si>
    <t>The @GENE$ (TNFR1)-induced non-canonical mechanism involves K48-ubiquitin chain-mediated degradation of TNF receptor-associated factor 3 (TRAF3) by cellular inhibitor of apoptosis proteins 1/2 (cIAP1/2), release of TRAF2/TRAF6 for K63 ubiquitination, and activation of non-canonical nuclear factor KappaB (NF-kappaB)/@GENE$.</t>
  </si>
  <si>
    <t>The tumor necrosis factor receptor 1 (@GENE$)-induced non-canonical mechanism involves K48-ubiquitin chain-mediated degradation of @GENE$ (TRAF3) by cellular inhibitor of apoptosis proteins 1/2 (cIAP1/2), release of TRAF2/TRAF6 for K63 ubiquitination, and activation of non-canonical nuclear factor KappaB (NF-kappaB)/MAPK.</t>
  </si>
  <si>
    <t>The tumor necrosis factor receptor 1 (@GENE$)-induced non-canonical mechanism involves K48-ubiquitin chain-mediated degradation of TNF receptor-associated factor 3 (@GENE$) by cellular inhibitor of apoptosis proteins 1/2 (cIAP1/2), release of TRAF2/TRAF6 for K63 ubiquitination, and activation of non-canonical nuclear factor KappaB (NF-kappaB)/MAPK.</t>
  </si>
  <si>
    <t>The tumor necrosis factor receptor 1 (@GENE$)-induced non-canonical mechanism involves K48-ubiquitin chain-mediated degradation of TNF receptor-associated factor 3 (TRAF3) by @GENE$ (cIAP1/2), release of TRAF2/TRAF6 for K63 ubiquitination, and activation of non-canonical nuclear factor KappaB (NF-kappaB)/MAPK.</t>
  </si>
  <si>
    <t>The tumor necrosis factor receptor 1 (@GENE$)-induced non-canonical mechanism involves K48-ubiquitin chain-mediated degradation of TNF receptor-associated factor 3 (TRAF3) by cellular inhibitor of apoptosis proteins 1/2 (@GENE$), release of TRAF2/TRAF6 for K63 ubiquitination, and activation of non-canonical nuclear factor KappaB (NF-kappaB)/MAPK.</t>
  </si>
  <si>
    <t>The tumor necrosis factor receptor 1 (@GENE$)-induced non-canonical mechanism involves K48-ubiquitin chain-mediated degradation of TNF receptor-associated factor 3 (TRAF3) by cellular inhibitor of apoptosis proteins 1/2 (cIAP1/2), release of @GENE$/TRAF6 for K63 ubiquitination, and activation of non-canonical nuclear factor KappaB (NF-kappaB)/MAPK.</t>
  </si>
  <si>
    <t>The tumor necrosis factor receptor 1 (@GENE$)-induced non-canonical mechanism involves K48-ubiquitin chain-mediated degradation of TNF receptor-associated factor 3 (TRAF3) by cellular inhibitor of apoptosis proteins 1/2 (cIAP1/2), release of TRAF2/@GENE$ for K63 ubiquitination, and activation of non-canonical nuclear factor KappaB (NF-kappaB)/MAPK.</t>
  </si>
  <si>
    <t>The tumor necrosis factor receptor 1 (@GENE$)-induced non-canonical mechanism involves K48-ubiquitin chain-mediated degradation of TNF receptor-associated factor 3 (TRAF3) by cellular inhibitor of apoptosis proteins 1/2 (cIAP1/2), release of TRAF2/TRAF6 for @VARIANT$ ubiquitination, and activation of non-canonical nuclear factor KappaB (NF-kappaB)/MAPK.</t>
  </si>
  <si>
    <t>The tumor necrosis factor receptor 1 (@GENE$)-induced non-canonical mechanism involves K48-ubiquitin chain-mediated degradation of TNF receptor-associated factor 3 (TRAF3) by cellular inhibitor of apoptosis proteins 1/2 (cIAP1/2), release of TRAF2/TRAF6 for K63 ubiquitination, and activation of non-canonical @GENE$ (NF-kappaB)/MAPK.</t>
  </si>
  <si>
    <t>The tumor necrosis factor receptor 1 (@GENE$)-induced non-canonical mechanism involves K48-ubiquitin chain-mediated degradation of TNF receptor-associated factor 3 (TRAF3) by cellular inhibitor of apoptosis proteins 1/2 (cIAP1/2), release of TRAF2/TRAF6 for K63 ubiquitination, and activation of non-canonical nuclear factor KappaB (@GENE$)/MAPK.</t>
  </si>
  <si>
    <t>The tumor necrosis factor receptor 1 (@GENE$)-induced non-canonical mechanism involves K48-ubiquitin chain-mediated degradation of TNF receptor-associated factor 3 (TRAF3) by cellular inhibitor of apoptosis proteins 1/2 (cIAP1/2), release of TRAF2/TRAF6 for K63 ubiquitination, and activation of non-canonical nuclear factor KappaB (NF-kappaB)/@GENE$.</t>
  </si>
  <si>
    <t>The tumor necrosis factor receptor 1 (TNFR1)-induced non-canonical mechanism involves K48-ubiquitin chain-mediated degradation of @GENE$ (@GENE$) by cellular inhibitor of apoptosis proteins 1/2 (cIAP1/2), release of TRAF2/TRAF6 for K63 ubiquitination, and activation of non-canonical nuclear factor KappaB (NF-kappaB)/MAPK.</t>
  </si>
  <si>
    <t>The tumor necrosis factor receptor 1 (TNFR1)-induced non-canonical mechanism involves K48-ubiquitin chain-mediated degradation of @GENE$ (TRAF3) by @GENE$ (cIAP1/2), release of TRAF2/TRAF6 for K63 ubiquitination, and activation of non-canonical nuclear factor KappaB (NF-kappaB)/MAPK.</t>
  </si>
  <si>
    <t>[Jiaying] Should be 3 - TRAF3 is degraded via K48 ubiquitinylation, this ubiquitylation is mediated by cIAP1/2</t>
  </si>
  <si>
    <t>The tumor necrosis factor receptor 1 (TNFR1)-induced non-canonical mechanism involves K48-ubiquitin chain-mediated degradation of @GENE$ (TRAF3) by cellular inhibitor of apoptosis proteins 1/2 (@GENE$), release of TRAF2/TRAF6 for K63 ubiquitination, and activation of non-canonical nuclear factor KappaB (NF-kappaB)/MAPK.</t>
  </si>
  <si>
    <t>The tumor necrosis factor receptor 1 (TNFR1)-induced non-canonical mechanism involves K48-ubiquitin chain-mediated degradation of @GENE$ (TRAF3) by cellular inhibitor of apoptosis proteins 1/2 (cIAP1/2), release of @GENE$/TRAF6 for K63 ubiquitination, and activation of non-canonical nuclear factor KappaB (NF-kappaB)/MAPK.</t>
  </si>
  <si>
    <t>The tumor necrosis factor receptor 1 (TNFR1)-induced non-canonical mechanism involves K48-ubiquitin chain-mediated degradation of @GENE$ (TRAF3) by cellular inhibitor of apoptosis proteins 1/2 (cIAP1/2), release of TRAF2/@GENE$ for K63 ubiquitination, and activation of non-canonical nuclear factor KappaB (NF-kappaB)/MAPK.</t>
  </si>
  <si>
    <t>The tumor necrosis factor receptor 1 (TNFR1)-induced non-canonical mechanism involves K48-ubiquitin chain-mediated degradation of @GENE$ (TRAF3) by cellular inhibitor of apoptosis proteins 1/2 (cIAP1/2), release of TRAF2/TRAF6 for @VARIANT$ ubiquitination, and activation of non-canonical nuclear factor KappaB (NF-kappaB)/MAPK.</t>
  </si>
  <si>
    <t>The tumor necrosis factor receptor 1 (TNFR1)-induced non-canonical mechanism involves K48-ubiquitin chain-mediated degradation of @GENE$ (TRAF3) by cellular inhibitor of apoptosis proteins 1/2 (cIAP1/2), release of TRAF2/TRAF6 for K63 ubiquitination, and activation of non-canonical @GENE$ (NF-kappaB)/MAPK.</t>
  </si>
  <si>
    <t>The tumor necrosis factor receptor 1 (TNFR1)-induced non-canonical mechanism involves K48-ubiquitin chain-mediated degradation of @GENE$ (TRAF3) by cellular inhibitor of apoptosis proteins 1/2 (cIAP1/2), release of TRAF2/TRAF6 for K63 ubiquitination, and activation of non-canonical nuclear factor KappaB (@GENE$)/MAPK.</t>
  </si>
  <si>
    <t>The tumor necrosis factor receptor 1 (TNFR1)-induced non-canonical mechanism involves K48-ubiquitin chain-mediated degradation of @GENE$ (TRAF3) by cellular inhibitor of apoptosis proteins 1/2 (cIAP1/2), release of TRAF2/TRAF6 for K63 ubiquitination, and activation of non-canonical nuclear factor KappaB (NF-kappaB)/@GENE$.</t>
  </si>
  <si>
    <t>The tumor necrosis factor receptor 1 (TNFR1)-induced non-canonical mechanism involves K48-ubiquitin chain-mediated degradation of TNF receptor-associated factor 3 (@GENE$) by @GENE$ (cIAP1/2), release of TRAF2/TRAF6 for K63 ubiquitination, and activation of non-canonical nuclear factor KappaB (NF-kappaB)/MAPK.</t>
  </si>
  <si>
    <t>The tumor necrosis factor receptor 1 (TNFR1)-induced non-canonical mechanism involves K48-ubiquitin chain-mediated degradation of TNF receptor-associated factor 3 (@GENE$) by cellular inhibitor of apoptosis proteins 1/2 (@GENE$), release of TRAF2/TRAF6 for K63 ubiquitination, and activation of non-canonical nuclear factor KappaB (NF-kappaB)/MAPK.</t>
  </si>
  <si>
    <t>The tumor necrosis factor receptor 1 (TNFR1)-induced non-canonical mechanism involves K48-ubiquitin chain-mediated degradation of TNF receptor-associated factor 3 (@GENE$) by cellular inhibitor of apoptosis proteins 1/2 (cIAP1/2), release of @GENE$/TRAF6 for K63 ubiquitination, and activation of non-canonical nuclear factor KappaB (NF-kappaB)/MAPK.</t>
  </si>
  <si>
    <t>The tumor necrosis factor receptor 1 (TNFR1)-induced non-canonical mechanism involves K48-ubiquitin chain-mediated degradation of TNF receptor-associated factor 3 (@GENE$) by cellular inhibitor of apoptosis proteins 1/2 (cIAP1/2), release of TRAF2/@GENE$ for K63 ubiquitination, and activation of non-canonical nuclear factor KappaB (NF-kappaB)/MAPK.</t>
  </si>
  <si>
    <t>The tumor necrosis factor receptor 1 (TNFR1)-induced non-canonical mechanism involves K48-ubiquitin chain-mediated degradation of TNF receptor-associated factor 3 (@GENE$) by cellular inhibitor of apoptosis proteins 1/2 (cIAP1/2), release of TRAF2/TRAF6 for @VARIANT$ ubiquitination, and activation of non-canonical nuclear factor KappaB (NF-kappaB)/MAPK.</t>
  </si>
  <si>
    <t>The tumor necrosis factor receptor 1 (TNFR1)-induced non-canonical mechanism involves K48-ubiquitin chain-mediated degradation of TNF receptor-associated factor 3 (@GENE$) by cellular inhibitor of apoptosis proteins 1/2 (cIAP1/2), release of TRAF2/TRAF6 for K63 ubiquitination, and activation of non-canonical @GENE$ (NF-kappaB)/MAPK.</t>
  </si>
  <si>
    <t>The tumor necrosis factor receptor 1 (TNFR1)-induced non-canonical mechanism involves K48-ubiquitin chain-mediated degradation of TNF receptor-associated factor 3 (@GENE$) by cellular inhibitor of apoptosis proteins 1/2 (cIAP1/2), release of TRAF2/TRAF6 for K63 ubiquitination, and activation of non-canonical nuclear factor KappaB (@GENE$)/MAPK.</t>
  </si>
  <si>
    <t>The tumor necrosis factor receptor 1 (TNFR1)-induced non-canonical mechanism involves K48-ubiquitin chain-mediated degradation of TNF receptor-associated factor 3 (@GENE$) by cellular inhibitor of apoptosis proteins 1/2 (cIAP1/2), release of TRAF2/TRAF6 for K63 ubiquitination, and activation of non-canonical nuclear factor KappaB (NF-kappaB)/@GENE$.</t>
  </si>
  <si>
    <t>The tumor necrosis factor receptor 1 (TNFR1)-induced non-canonical mechanism involves K48-ubiquitin chain-mediated degradation of TNF receptor-associated factor 3 (TRAF3) by @GENE$ (@GENE$), release of TRAF2/TRAF6 for K63 ubiquitination, and activation of non-canonical nuclear factor KappaB (NF-kappaB)/MAPK.</t>
  </si>
  <si>
    <t>The tumor necrosis factor receptor 1 (TNFR1)-induced non-canonical mechanism involves K48-ubiquitin chain-mediated degradation of TNF receptor-associated factor 3 (TRAF3) by @GENE$ (cIAP1/2), release of @GENE$/TRAF6 for K63 ubiquitination, and activation of non-canonical nuclear factor KappaB (NF-kappaB)/MAPK.</t>
  </si>
  <si>
    <t>The tumor necrosis factor receptor 1 (TNFR1)-induced non-canonical mechanism involves K48-ubiquitin chain-mediated degradation of TNF receptor-associated factor 3 (TRAF3) by @GENE$ (cIAP1/2), release of TRAF2/@GENE$ for K63 ubiquitination, and activation of non-canonical nuclear factor KappaB (NF-kappaB)/MAPK.</t>
  </si>
  <si>
    <t>The tumor necrosis factor receptor 1 (TNFR1)-induced non-canonical mechanism involves K48-ubiquitin chain-mediated degradation of TNF receptor-associated factor 3 (TRAF3) by @GENE$ (cIAP1/2), release of TRAF2/TRAF6 for @VARIANT$ ubiquitination, and activation of non-canonical nuclear factor KappaB (NF-kappaB)/MAPK.</t>
  </si>
  <si>
    <t>The tumor necrosis factor receptor 1 (TNFR1)-induced non-canonical mechanism involves K48-ubiquitin chain-mediated degradation of TNF receptor-associated factor 3 (TRAF3) by @GENE$ (cIAP1/2), release of TRAF2/TRAF6 for K63 ubiquitination, and activation of non-canonical @GENE$ (NF-kappaB)/MAPK.</t>
  </si>
  <si>
    <t>The tumor necrosis factor receptor 1 (TNFR1)-induced non-canonical mechanism involves K48-ubiquitin chain-mediated degradation of TNF receptor-associated factor 3 (TRAF3) by @GENE$ (cIAP1/2), release of TRAF2/TRAF6 for K63 ubiquitination, and activation of non-canonical nuclear factor KappaB (@GENE$)/MAPK.</t>
  </si>
  <si>
    <t>The tumor necrosis factor receptor 1 (TNFR1)-induced non-canonical mechanism involves K48-ubiquitin chain-mediated degradation of TNF receptor-associated factor 3 (TRAF3) by @GENE$ (cIAP1/2), release of TRAF2/TRAF6 for K63 ubiquitination, and activation of non-canonical nuclear factor KappaB (NF-kappaB)/@GENE$.</t>
  </si>
  <si>
    <t>The tumor necrosis factor receptor 1 (TNFR1)-induced non-canonical mechanism involves K48-ubiquitin chain-mediated degradation of TNF receptor-associated factor 3 (TRAF3) by cellular inhibitor of apoptosis proteins 1/2 (@GENE$), release of @GENE$/TRAF6 for K63 ubiquitination, and activation of non-canonical nuclear factor KappaB (NF-kappaB)/MAPK.</t>
  </si>
  <si>
    <t>The tumor necrosis factor receptor 1 (TNFR1)-induced non-canonical mechanism involves K48-ubiquitin chain-mediated degradation of TNF receptor-associated factor 3 (TRAF3) by cellular inhibitor of apoptosis proteins 1/2 (@GENE$), release of TRAF2/@GENE$ for K63 ubiquitination, and activation of non-canonical nuclear factor KappaB (NF-kappaB)/MAPK.</t>
  </si>
  <si>
    <t>The tumor necrosis factor receptor 1 (TNFR1)-induced non-canonical mechanism involves K48-ubiquitin chain-mediated degradation of TNF receptor-associated factor 3 (TRAF3) by cellular inhibitor of apoptosis proteins 1/2 (@GENE$), release of TRAF2/TRAF6 for @VARIANT$ ubiquitination, and activation of non-canonical nuclear factor KappaB (NF-kappaB)/MAPK.</t>
  </si>
  <si>
    <t>The tumor necrosis factor receptor 1 (TNFR1)-induced non-canonical mechanism involves K48-ubiquitin chain-mediated degradation of TNF receptor-associated factor 3 (TRAF3) by cellular inhibitor of apoptosis proteins 1/2 (@GENE$), release of TRAF2/TRAF6 for K63 ubiquitination, and activation of non-canonical @GENE$ (NF-kappaB)/MAPK.</t>
  </si>
  <si>
    <t>The tumor necrosis factor receptor 1 (TNFR1)-induced non-canonical mechanism involves K48-ubiquitin chain-mediated degradation of TNF receptor-associated factor 3 (TRAF3) by cellular inhibitor of apoptosis proteins 1/2 (@GENE$), release of TRAF2/TRAF6 for K63 ubiquitination, and activation of non-canonical nuclear factor KappaB (@GENE$)/MAPK.</t>
  </si>
  <si>
    <t>The tumor necrosis factor receptor 1 (TNFR1)-induced non-canonical mechanism involves K48-ubiquitin chain-mediated degradation of TNF receptor-associated factor 3 (TRAF3) by cellular inhibitor of apoptosis proteins 1/2 (@GENE$), release of TRAF2/TRAF6 for K63 ubiquitination, and activation of non-canonical nuclear factor KappaB (NF-kappaB)/@GENE$.</t>
  </si>
  <si>
    <t>The tumor necrosis factor receptor 1 (TNFR1)-induced non-canonical mechanism involves K48-ubiquitin chain-mediated degradation of TNF receptor-associated factor 3 (TRAF3) by cellular inhibitor of apoptosis proteins 1/2 (cIAP1/2), release of @GENE$/@GENE$ for K63 ubiquitination, and activation of non-canonical nuclear factor KappaB (NF-kappaB)/MAPK.</t>
  </si>
  <si>
    <t>The tumor necrosis factor receptor 1 (TNFR1)-induced non-canonical mechanism involves K48-ubiquitin chain-mediated degradation of TNF receptor-associated factor 3 (TRAF3) by cellular inhibitor of apoptosis proteins 1/2 (cIAP1/2), release of @GENE$/TRAF6 for @VARIANT$ ubiquitination, and activation of non-canonical nuclear factor KappaB (NF-kappaB)/MAPK.</t>
  </si>
  <si>
    <t>The tumor necrosis factor receptor 1 (TNFR1)-induced non-canonical mechanism involves K48-ubiquitin chain-mediated degradation of TNF receptor-associated factor 3 (TRAF3) by cellular inhibitor of apoptosis proteins 1/2 (cIAP1/2), release of @GENE$/TRAF6 for K63 ubiquitination, and activation of non-canonical @GENE$ (NF-kappaB)/MAPK.</t>
  </si>
  <si>
    <t>The tumor necrosis factor receptor 1 (TNFR1)-induced non-canonical mechanism involves K48-ubiquitin chain-mediated degradation of TNF receptor-associated factor 3 (TRAF3) by cellular inhibitor of apoptosis proteins 1/2 (cIAP1/2), release of @GENE$/TRAF6 for K63 ubiquitination, and activation of non-canonical nuclear factor KappaB (@GENE$)/MAPK.</t>
  </si>
  <si>
    <t>The tumor necrosis factor receptor 1 (TNFR1)-induced non-canonical mechanism involves K48-ubiquitin chain-mediated degradation of TNF receptor-associated factor 3 (TRAF3) by cellular inhibitor of apoptosis proteins 1/2 (cIAP1/2), release of @GENE$/TRAF6 for K63 ubiquitination, and activation of non-canonical nuclear factor KappaB (NF-kappaB)/@GENE$.</t>
  </si>
  <si>
    <t>The tumor necrosis factor receptor 1 (TNFR1)-induced non-canonical mechanism involves K48-ubiquitin chain-mediated degradation of TNF receptor-associated factor 3 (TRAF3) by cellular inhibitor of apoptosis proteins 1/2 (cIAP1/2), release of TRAF2/@GENE$ for @VARIANT$ ubiquitination, and activation of non-canonical nuclear factor KappaB (NF-kappaB)/MAPK.</t>
  </si>
  <si>
    <t>The tumor necrosis factor receptor 1 (TNFR1)-induced non-canonical mechanism involves K48-ubiquitin chain-mediated degradation of TNF receptor-associated factor 3 (TRAF3) by cellular inhibitor of apoptosis proteins 1/2 (cIAP1/2), release of TRAF2/@GENE$ for K63 ubiquitination, and activation of non-canonical @GENE$ (NF-kappaB)/MAPK.</t>
  </si>
  <si>
    <t>The tumor necrosis factor receptor 1 (TNFR1)-induced non-canonical mechanism involves K48-ubiquitin chain-mediated degradation of TNF receptor-associated factor 3 (TRAF3) by cellular inhibitor of apoptosis proteins 1/2 (cIAP1/2), release of TRAF2/@GENE$ for K63 ubiquitination, and activation of non-canonical nuclear factor KappaB (@GENE$)/MAPK.</t>
  </si>
  <si>
    <t>The tumor necrosis factor receptor 1 (TNFR1)-induced non-canonical mechanism involves K48-ubiquitin chain-mediated degradation of TNF receptor-associated factor 3 (TRAF3) by cellular inhibitor of apoptosis proteins 1/2 (cIAP1/2), release of TRAF2/@GENE$ for K63 ubiquitination, and activation of non-canonical nuclear factor KappaB (NF-kappaB)/@GENE$.</t>
  </si>
  <si>
    <t>The tumor necrosis factor receptor 1 (TNFR1)-induced non-canonical mechanism involves K48-ubiquitin chain-mediated degradation of TNF receptor-associated factor 3 (TRAF3) by cellular inhibitor of apoptosis proteins 1/2 (cIAP1/2), release of TRAF2/TRAF6 for @VARIANT$ ubiquitination, and activation of non-canonical @GENE$ (NF-kappaB)/MAPK.</t>
  </si>
  <si>
    <t>The tumor necrosis factor receptor 1 (TNFR1)-induced non-canonical mechanism involves K48-ubiquitin chain-mediated degradation of TNF receptor-associated factor 3 (TRAF3) by cellular inhibitor of apoptosis proteins 1/2 (cIAP1/2), release of TRAF2/TRAF6 for @VARIANT$ ubiquitination, and activation of non-canonical nuclear factor KappaB (@GENE$)/MAPK.</t>
  </si>
  <si>
    <t>The tumor necrosis factor receptor 1 (TNFR1)-induced non-canonical mechanism involves K48-ubiquitin chain-mediated degradation of TNF receptor-associated factor 3 (TRAF3) by cellular inhibitor of apoptosis proteins 1/2 (cIAP1/2), release of TRAF2/TRAF6 for @VARIANT$ ubiquitination, and activation of non-canonical nuclear factor KappaB (NF-kappaB)/@GENE$.</t>
  </si>
  <si>
    <t>The tumor necrosis factor receptor 1 (TNFR1)-induced non-canonical mechanism involves K48-ubiquitin chain-mediated degradation of TNF receptor-associated factor 3 (TRAF3) by cellular inhibitor of apoptosis proteins 1/2 (cIAP1/2), release of TRAF2/TRAF6 for K63 ubiquitination, and activation of non-canonical @GENE$ (@GENE$)/MAPK.</t>
  </si>
  <si>
    <t>The tumor necrosis factor receptor 1 (TNFR1)-induced non-canonical mechanism involves K48-ubiquitin chain-mediated degradation of TNF receptor-associated factor 3 (TRAF3) by cellular inhibitor of apoptosis proteins 1/2 (cIAP1/2), release of TRAF2/TRAF6 for K63 ubiquitination, and activation of non-canonical @GENE$ (NF-kappaB)/@GENE$.</t>
  </si>
  <si>
    <t>The tumor necrosis factor receptor 1 (TNFR1)-induced non-canonical mechanism involves K48-ubiquitin chain-mediated degradation of TNF receptor-associated factor 3 (TRAF3) by cellular inhibitor of apoptosis proteins 1/2 (cIAP1/2), release of TRAF2/TRAF6 for K63 ubiquitination, and activation of non-canonical nuclear factor KappaB (@GENE$)/@GENE$.</t>
  </si>
  <si>
    <t>Recently, @GENE$ was also shown to associate with @GENE$, catalyze K63-linked ubiquitination of NLRP3 and activate the inflammasome</t>
  </si>
  <si>
    <r>
      <rPr>
        <rFont val="Arial"/>
        <color theme="1"/>
        <sz val="10.0"/>
      </rPr>
      <t xml:space="preserve">(Ubc13, catalyze ubiquitination of NLRP3)
</t>
    </r>
    <r>
      <rPr>
        <rFont val="Arial"/>
        <color rgb="FF4A86E8"/>
        <sz val="10.0"/>
      </rPr>
      <t>[Jiaying] Could be 2? - from the context this use of "association" implies protein-protein interaction</t>
    </r>
  </si>
  <si>
    <r>
      <rPr>
        <rFont val="Arial"/>
        <color theme="1"/>
        <sz val="10.0"/>
      </rPr>
      <t xml:space="preserve">Association
</t>
    </r>
    <r>
      <rPr>
        <rFont val="Arial"/>
        <color rgb="FF4A86E8"/>
        <sz val="10.0"/>
      </rPr>
      <t>[Jiaying] Ligand-receptor binding, now classified as interaction (protein-protein)</t>
    </r>
  </si>
  <si>
    <t>Recently, @GENE$ was also shown to associate with NLRP3, catalyze K63-linked ubiquitination of @GENE$ and activate the inflammasome</t>
  </si>
  <si>
    <t>Recently, Ubc13 was also shown to associate with @GENE$, catalyze K63-linked ubiquitination of @GENE$ and activate the inflammasome</t>
  </si>
  <si>
    <t>@GENE$ undergoes @VARIANT$ ubiquitination in the presence of TRAF2 or TRAF6 and ubiquitinated NLRC5 regulates the catalytic function of the IKK complex.</t>
  </si>
  <si>
    <r>
      <rPr>
        <rFont val="Arial"/>
        <color theme="1"/>
        <sz val="10.0"/>
      </rPr>
      <t xml:space="preserve">K63 ubiquitination? --&gt; Should be 3?
</t>
    </r>
    <r>
      <rPr>
        <rFont val="Arial"/>
        <color rgb="FF4A86E8"/>
        <sz val="10.0"/>
      </rPr>
      <t>[Jiaying] If K63 is considered a variant (K63-ubiquitination is ubiquitination with a specific type of ubiquitin linkage), then it doesn't count as ubiquitination??</t>
    </r>
  </si>
  <si>
    <t>@GENE$ undergoes K63 ubiquitination in the presence of @GENE$ or TRAF6 and ubiquitinated NLRC5 regulates the catalytic function of the IKK complex.</t>
  </si>
  <si>
    <r>
      <rPr>
        <rFont val="Arial"/>
        <color theme="1"/>
        <sz val="10.0"/>
      </rPr>
      <t xml:space="preserve">In the presence of --&gt; Sufficient enough to be considered as a relation or should be 0?
</t>
    </r>
    <r>
      <rPr>
        <rFont val="Arial"/>
        <color rgb="FF4A86E8"/>
        <sz val="10.0"/>
      </rPr>
      <t xml:space="preserve">[Jiaying] Unclear to me whether TRAF2/TRAF6 are the actual entities doing the ubiquitylation...? </t>
    </r>
  </si>
  <si>
    <t>@GENE$ undergoes K63 ubiquitination in the presence of TRAF2 or @GENE$ and ubiquitinated NLRC5 regulates the catalytic function of the IKK complex.</t>
  </si>
  <si>
    <r>
      <rPr>
        <rFont val="Arial"/>
        <color theme="1"/>
        <sz val="10.0"/>
      </rPr>
      <t xml:space="preserve">In the presence of --&gt; Sufficient enough to be considered as a relation or should be 0?
</t>
    </r>
    <r>
      <rPr>
        <rFont val="Arial"/>
        <color rgb="FF4A86E8"/>
        <sz val="10.0"/>
      </rPr>
      <t xml:space="preserve">[Jiaying] Unclear to me whether TRAF2/TRAF6 are the actual entities doing the ubiquitylation...? </t>
    </r>
  </si>
  <si>
    <t>@GENE$ undergoes K63 ubiquitination in the presence of TRAF2 or TRAF6 and ubiquitinated @GENE$ regulates the catalytic function of the IKK complex.</t>
  </si>
  <si>
    <t>@GENE$ undergoes K63 ubiquitination in the presence of TRAF2 or TRAF6 and ubiquitinated NLRC5 regulates the catalytic function of the @GENE$ complex.</t>
  </si>
  <si>
    <t>[Jiaying] NLRC5 regulates catalytic function of IKK complex = stimulation? inhibition? Unclear.</t>
  </si>
  <si>
    <t>NLRC5 undergoes @VARIANT$ ubiquitination in the presence of @GENE$ or TRAF6 and ubiquitinated NLRC5 regulates the catalytic function of the IKK complex.</t>
  </si>
  <si>
    <r>
      <rPr>
        <rFont val="Arial"/>
        <color theme="1"/>
        <sz val="10.0"/>
      </rPr>
      <t xml:space="preserve">Should be 0 or 3? 
</t>
    </r>
    <r>
      <rPr>
        <rFont val="Arial"/>
        <color rgb="FF4A86E8"/>
        <sz val="10.0"/>
      </rPr>
      <t>[Jiaying] If K63 is considered a variant (K63-ubiquitination is ubiquitination with a specific type of ubiquitin linkage), then it doesn't count as ubiquitination??</t>
    </r>
  </si>
  <si>
    <t>NLRC5 undergoes @VARIANT$ ubiquitination in the presence of TRAF2 or @GENE$ and ubiquitinated NLRC5 regulates the catalytic function of the IKK complex.</t>
  </si>
  <si>
    <r>
      <rPr>
        <rFont val="Arial"/>
        <color theme="1"/>
        <sz val="10.0"/>
      </rPr>
      <t xml:space="preserve">Should be 0 or 3? 
</t>
    </r>
    <r>
      <rPr>
        <rFont val="Arial"/>
        <color rgb="FF4A86E8"/>
        <sz val="10.0"/>
      </rPr>
      <t>[Jiaying] If K63 is considered a variant (K63-ubiquitination is ubiquitination with a specific type of ubiquitin linkage), then it doesn't count as ubiquitination??</t>
    </r>
  </si>
  <si>
    <t>NLRC5 undergoes @VARIANT$ ubiquitination in the presence of TRAF2 or TRAF6 and ubiquitinated @GENE$ regulates the catalytic function of the IKK complex.</t>
  </si>
  <si>
    <r>
      <rPr>
        <rFont val="Arial"/>
        <color theme="1"/>
        <sz val="10.0"/>
      </rPr>
      <t xml:space="preserve">Should be 0 or 3? 
</t>
    </r>
    <r>
      <rPr>
        <rFont val="Arial"/>
        <color rgb="FF4A86E8"/>
        <sz val="10.0"/>
      </rPr>
      <t>[Jiaying] If K63 is considered a variant (K63-ubiquitination is ubiquitination with a specific type of ubiquitin linkage), then it doesn't count as ubiquitination??</t>
    </r>
  </si>
  <si>
    <t>NLRC5 undergoes @VARIANT$ ubiquitination in the presence of TRAF2 or TRAF6 and ubiquitinated NLRC5 regulates the catalytic function of the @GENE$ complex.</t>
  </si>
  <si>
    <t>NLRC5 undergoes K63 ubiquitination in the presence of @GENE$ or @GENE$ and ubiquitinated NLRC5 regulates the catalytic function of the IKK complex.</t>
  </si>
  <si>
    <t>NLRC5 undergoes K63 ubiquitination in the presence of @GENE$ or TRAF6 and ubiquitinated @GENE$ regulates the catalytic function of the IKK complex.</t>
  </si>
  <si>
    <r>
      <rPr>
        <rFont val="Arial"/>
        <color theme="1"/>
        <sz val="10.0"/>
      </rPr>
      <t xml:space="preserve">"In the presence of"?
</t>
    </r>
    <r>
      <rPr>
        <rFont val="Arial"/>
        <color rgb="FF4A86E8"/>
        <sz val="10.0"/>
      </rPr>
      <t xml:space="preserve">[Jiaying] Unclear to me whether TRAF2/TRAF6 are the actual entities doing the ubiquitylation...? </t>
    </r>
  </si>
  <si>
    <t>NLRC5 undergoes K63 ubiquitination in the presence of @GENE$ or TRAF6 and ubiquitinated NLRC5 regulates the catalytic function of the @GENE$ complex.</t>
  </si>
  <si>
    <t>NLRC5 undergoes K63 ubiquitination in the presence of TRAF2 or @GENE$ and ubiquitinated @GENE$ regulates the catalytic function of the IKK complex.</t>
  </si>
  <si>
    <r>
      <rPr>
        <rFont val="Arial"/>
        <color theme="1"/>
        <sz val="10.0"/>
      </rPr>
      <t xml:space="preserve">"In the presence of"?
</t>
    </r>
    <r>
      <rPr>
        <rFont val="Arial"/>
        <color rgb="FF4A86E8"/>
        <sz val="10.0"/>
      </rPr>
      <t xml:space="preserve">[Jiaying] Unclear to me whether TRAF2/TRAF6 are the actual entities doing the ubiquitylation...? </t>
    </r>
  </si>
  <si>
    <t>NLRC5 undergoes K63 ubiquitination in the presence of TRAF2 or @GENE$ and ubiquitinated NLRC5 regulates the catalytic function of the @GENE$ complex.</t>
  </si>
  <si>
    <t>NLRC5 undergoes K63 ubiquitination in the presence of TRAF2 or TRAF6 and ubiquitinated @GENE$ regulates the catalytic function of the @GENE$ complex.</t>
  </si>
  <si>
    <t>@GENE$ is another non-inflammasome @GENE$ that binds to TRAF6 and when stimulated with LPS, undergoes K63-linked ubiquitination; ubiquitinated NLRX1 inhibits IKK and NF-kappaB activation, as shown in overexpressed 293Ts (Box 3).</t>
  </si>
  <si>
    <t>@GENE$ is another non-inflammasome NLR that binds to @GENE$ and when stimulated with LPS, undergoes K63-linked ubiquitination; ubiquitinated NLRX1 inhibits IKK and NF-kappaB activation, as shown in overexpressed 293Ts (Box 3).</t>
  </si>
  <si>
    <r>
      <rPr>
        <rFont val="Arial"/>
        <color theme="1"/>
      </rPr>
      <t xml:space="preserve">Should be 0
</t>
    </r>
    <r>
      <rPr>
        <rFont val="Arial"/>
        <color rgb="FF4A86E8"/>
      </rPr>
      <t>[Jiaying] Should be 2 - NLRX1 binds to TRAF6</t>
    </r>
  </si>
  <si>
    <r>
      <rPr>
        <rFont val="Arial"/>
        <color theme="1"/>
        <sz val="10.0"/>
      </rPr>
      <t xml:space="preserve">Binding
</t>
    </r>
    <r>
      <rPr>
        <rFont val="Arial"/>
        <color rgb="FF4A86E8"/>
        <sz val="10.0"/>
      </rPr>
      <t>[Jiaying] Ligand-receptor binding, now classified as interaction (protein-protein)</t>
    </r>
  </si>
  <si>
    <t>@GENE$ is another non-inflammasome NLR that binds to TRAF6 and when stimulated with @CHEMICAL$, undergoes K63-linked ubiquitination; ubiquitinated NLRX1 inhibits IKK and NF-kappaB activation, as shown in overexpressed 293Ts (Box 3).</t>
  </si>
  <si>
    <t>? / Y</t>
  </si>
  <si>
    <t>[Jiaying] LPS induces indirect ubiquitylation of NLRX1</t>
  </si>
  <si>
    <t>[Jiaying] LPS stimulates NLRX1 = stimulation</t>
  </si>
  <si>
    <t>@GENE$ is another non-inflammasome NLR that binds to TRAF6 and when stimulated with LPS, undergoes K63-linked ubiquitination; ubiquitinated @GENE$ inhibits IKK and NF-kappaB activation, as shown in overexpressed 293Ts (Box 3).</t>
  </si>
  <si>
    <t>@GENE$ is another non-inflammasome NLR that binds to TRAF6 and when stimulated with LPS, undergoes K63-linked ubiquitination; ubiquitinated NLRX1 inhibits @GENE$ and NF-kappaB activation, as shown in overexpressed 293Ts (Box 3).</t>
  </si>
  <si>
    <t>@GENE$ is another non-inflammasome NLR that binds to TRAF6 and when stimulated with LPS, undergoes K63-linked ubiquitination; ubiquitinated NLRX1 inhibits IKK and @GENE$ activation, as shown in overexpressed 293Ts (Box 3).</t>
  </si>
  <si>
    <t>@GENE$ is another non-inflammasome NLR that binds to TRAF6 and when stimulated with LPS, undergoes K63-linked ubiquitination; ubiquitinated NLRX1 inhibits IKK and NF-kappaB activation, as shown in overexpressed @CELLLINE$ (Box 3).</t>
  </si>
  <si>
    <t>NLRX1 is another non-inflammasome @GENE$ that binds to @GENE$ and when stimulated with LPS, undergoes K63-linked ubiquitination; ubiquitinated NLRX1 inhibits IKK and NF-kappaB activation, as shown in overexpressed 293Ts (Box 3).</t>
  </si>
  <si>
    <r>
      <rPr>
        <rFont val="Arial"/>
        <color theme="1"/>
      </rPr>
      <t xml:space="preserve">Should be 0
</t>
    </r>
    <r>
      <rPr>
        <rFont val="Arial"/>
        <color rgb="FF4A86E8"/>
      </rPr>
      <t>[Jiaying] Should be 2 - NLRX1 binds to TRAF6</t>
    </r>
  </si>
  <si>
    <r>
      <rPr>
        <rFont val="Arial"/>
        <color theme="1"/>
        <sz val="10.0"/>
      </rPr>
      <t xml:space="preserve">Binding
</t>
    </r>
    <r>
      <rPr>
        <rFont val="Arial"/>
        <color rgb="FF4A86E8"/>
        <sz val="10.0"/>
      </rPr>
      <t>[Jiaying] Ligand-receptor binding, now classified as interaction (protein-protein)</t>
    </r>
  </si>
  <si>
    <t>NLRX1 is another non-inflammasome @GENE$ that binds to TRAF6 and when stimulated with @CHEMICAL$, undergoes K63-linked ubiquitination; ubiquitinated NLRX1 inhibits IKK and NF-kappaB activation, as shown in overexpressed 293Ts (Box 3).</t>
  </si>
  <si>
    <t>NLRX1 is another non-inflammasome @GENE$ that binds to TRAF6 and when stimulated with LPS, undergoes K63-linked ubiquitination; ubiquitinated @GENE$ inhibits IKK and NF-kappaB activation, as shown in overexpressed 293Ts (Box 3).</t>
  </si>
  <si>
    <t>NLRX1 is another non-inflammasome @GENE$ that binds to TRAF6 and when stimulated with LPS, undergoes K63-linked ubiquitination; ubiquitinated NLRX1 inhibits @GENE$ and NF-kappaB activation, as shown in overexpressed 293Ts (Box 3).</t>
  </si>
  <si>
    <t>[Jiaying] ubiquitinated NLRX1 inhibits IKK and NFkB = inhibition</t>
  </si>
  <si>
    <t>NLRX1 is another non-inflammasome @GENE$ that binds to TRAF6 and when stimulated with LPS, undergoes K63-linked ubiquitination; ubiquitinated NLRX1 inhibits IKK and @GENE$ activation, as shown in overexpressed 293Ts (Box 3).</t>
  </si>
  <si>
    <t>NLRX1 is another non-inflammasome @GENE$ that binds to TRAF6 and when stimulated with LPS, undergoes K63-linked ubiquitination; ubiquitinated NLRX1 inhibits IKK and NF-kappaB activation, as shown in overexpressed @CELLLINE$ (Box 3).</t>
  </si>
  <si>
    <t>NLRX1 is another non-inflammasome NLR that binds to @GENE$ and when stimulated with @CHEMICAL$, undergoes K63-linked ubiquitination; ubiquitinated NLRX1 inhibits IKK and NF-kappaB activation, as shown in overexpressed 293Ts (Box 3).</t>
  </si>
  <si>
    <t>NLRX1 is another non-inflammasome NLR that binds to @GENE$ and when stimulated with LPS, undergoes K63-linked ubiquitination; ubiquitinated @GENE$ inhibits IKK and NF-kappaB activation, as shown in overexpressed 293Ts (Box 3).</t>
  </si>
  <si>
    <r>
      <rPr>
        <rFont val="Arial"/>
        <color theme="1"/>
        <sz val="10.0"/>
      </rPr>
      <t xml:space="preserve">Should be 0?
</t>
    </r>
    <r>
      <rPr>
        <rFont val="Arial"/>
        <color rgb="FF4A86E8"/>
        <sz val="10.0"/>
      </rPr>
      <t>[Jiaying] agreed should be 0 - not clear whether TRAF6 is responsible for NLRX1 ubiquitylation</t>
    </r>
  </si>
  <si>
    <t>NLRX1 is another non-inflammasome NLR that binds to @GENE$ and when stimulated with LPS, undergoes K63-linked ubiquitination; ubiquitinated NLRX1 inhibits @GENE$ and NF-kappaB activation, as shown in overexpressed 293Ts (Box 3).</t>
  </si>
  <si>
    <t>NLRX1 is another non-inflammasome NLR that binds to @GENE$ and when stimulated with LPS, undergoes K63-linked ubiquitination; ubiquitinated NLRX1 inhibits IKK and @GENE$ activation, as shown in overexpressed 293Ts (Box 3).</t>
  </si>
  <si>
    <t>NLRX1 is another non-inflammasome NLR that binds to @GENE$ and when stimulated with LPS, undergoes K63-linked ubiquitination; ubiquitinated NLRX1 inhibits IKK and NF-kappaB activation, as shown in overexpressed @CELLLINE$ (Box 3).</t>
  </si>
  <si>
    <t>NLRX1 is another non-inflammasome NLR that binds to TRAF6 and when stimulated with @CHEMICAL$, undergoes K63-linked ubiquitination; ubiquitinated @GENE$ inhibits IKK and NF-kappaB activation, as shown in overexpressed 293Ts (Box 3).</t>
  </si>
  <si>
    <t>NLRX1 is another non-inflammasome NLR that binds to TRAF6 and when stimulated with @CHEMICAL$, undergoes K63-linked ubiquitination; ubiquitinated NLRX1 inhibits @GENE$ and NF-kappaB activation, as shown in overexpressed 293Ts (Box 3).</t>
  </si>
  <si>
    <t>[Jiaying] LPS induces NLRX1 ubiquitylation, ubiquitinated NLRX1 inhibits IKK and NFkB = inhibition</t>
  </si>
  <si>
    <t>NLRX1 is another non-inflammasome NLR that binds to TRAF6 and when stimulated with @CHEMICAL$, undergoes K63-linked ubiquitination; ubiquitinated NLRX1 inhibits IKK and @GENE$ activation, as shown in overexpressed 293Ts (Box 3).</t>
  </si>
  <si>
    <t>NLRX1 is another non-inflammasome NLR that binds to TRAF6 and when stimulated with @CHEMICAL$, undergoes K63-linked ubiquitination; ubiquitinated NLRX1 inhibits IKK and NF-kappaB activation, as shown in overexpressed @CELLLINE$ (Box 3).</t>
  </si>
  <si>
    <t>NLRX1 is another non-inflammasome NLR that binds to TRAF6 and when stimulated with LPS, undergoes K63-linked ubiquitination; ubiquitinated @GENE$ inhibits @GENE$ and NF-kappaB activation, as shown in overexpressed 293Ts (Box 3).</t>
  </si>
  <si>
    <t>NLRX1 is another non-inflammasome NLR that binds to TRAF6 and when stimulated with LPS, undergoes K63-linked ubiquitination; ubiquitinated @GENE$ inhibits IKK and @GENE$ activation, as shown in overexpressed 293Ts (Box 3).</t>
  </si>
  <si>
    <t>NLRX1 is another non-inflammasome NLR that binds to TRAF6 and when stimulated with LPS, undergoes K63-linked ubiquitination; ubiquitinated @GENE$ inhibits IKK and NF-kappaB activation, as shown in overexpressed @CELLLINE$ (Box 3).</t>
  </si>
  <si>
    <t>NLRX1 is another non-inflammasome NLR that binds to TRAF6 and when stimulated with LPS, undergoes K63-linked ubiquitination; ubiquitinated NLRX1 inhibits @GENE$ and @GENE$ activation, as shown in overexpressed 293Ts (Box 3).</t>
  </si>
  <si>
    <t>NLRX1 is another non-inflammasome NLR that binds to TRAF6 and when stimulated with LPS, undergoes K63-linked ubiquitination; ubiquitinated NLRX1 inhibits @GENE$ and NF-kappaB activation, as shown in overexpressed @CELLLINE$ (Box 3).</t>
  </si>
  <si>
    <t>NLRX1 is another non-inflammasome NLR that binds to TRAF6 and when stimulated with LPS, undergoes K63-linked ubiquitination; ubiquitinated NLRX1 inhibits IKK and @GENE$ activation, as shown in overexpressed @CELLLINE$ (Box 3).</t>
  </si>
  <si>
    <t>One of the components of @GENE$ is the @GENE$ HOIL-1 which has been shown to generate oxyester linkages on several proteins and on linear polysaccharides. We show that HOIL-1 activity requires linear tetra-Ub binding which enables HOIL-1 to mono-ubiquitylate linear Ub chains and polysaccharides.</t>
  </si>
  <si>
    <t>(HOIL-1, monoubiquitylates, Ub chains)</t>
  </si>
  <si>
    <t>One of the components of @GENE$ is the ubiquitin ligase @GENE$ which has been shown to generate oxyester linkages on several proteins and on linear polysaccharides. We show that HOIL-1 activity requires linear tetra-Ub binding which enables HOIL-1 to mono-ubiquitylate linear Ub chains and polysaccharides.</t>
  </si>
  <si>
    <t>(HOIL-1, monoubiquitylates, polysaccharides)</t>
  </si>
  <si>
    <t>One of the components of @GENE$ is the ubiquitin ligase HOIL-1 which has been shown to generate oxyester linkages on several proteins and on linear @CHEMICAL$. We show that HOIL-1 activity requires linear tetra-Ub binding which enables HOIL-1 to mono-ubiquitylate linear Ub chains and polysaccharides.</t>
  </si>
  <si>
    <t>One of the components of @GENE$ is the ubiquitin ligase HOIL-1 which has been shown to generate oxyester linkages on several proteins and on linear polysaccharides. We show that @GENE$ activity requires linear tetra-Ub binding which enables HOIL-1 to mono-ubiquitylate linear Ub chains and polysaccharides.</t>
  </si>
  <si>
    <t>One of the components of @GENE$ is the ubiquitin ligase HOIL-1 which has been shown to generate oxyester linkages on several proteins and on linear polysaccharides. We show that HOIL-1 activity requires linear tetra-@GENE$ binding which enables HOIL-1 to mono-ubiquitylate linear Ub chains and polysaccharides.</t>
  </si>
  <si>
    <t>One of the components of @GENE$ is the ubiquitin ligase HOIL-1 which has been shown to generate oxyester linkages on several proteins and on linear polysaccharides. We show that HOIL-1 activity requires linear tetra-Ub binding which enables @GENE$ to mono-ubiquitylate linear Ub chains and polysaccharides.</t>
  </si>
  <si>
    <t>One of the components of @GENE$ is the ubiquitin ligase HOIL-1 which has been shown to generate oxyester linkages on several proteins and on linear polysaccharides. We show that HOIL-1 activity requires linear tetra-Ub binding which enables HOIL-1 to mono-ubiquitylate linear @CHEMICAL$ chains and polysaccharides.</t>
  </si>
  <si>
    <t>One of the components of @GENE$ is the ubiquitin ligase HOIL-1 which has been shown to generate oxyester linkages on several proteins and on linear polysaccharides. We show that HOIL-1 activity requires linear tetra-Ub binding which enables HOIL-1 to mono-ubiquitylate linear Ub chains and @CHEMICAL$.</t>
  </si>
  <si>
    <t>One of the components of LUBAC is the @GENE$ @GENE$ which has been shown to generate oxyester linkages on several proteins and on linear polysaccharides. We show that HOIL-1 activity requires linear tetra-Ub binding which enables HOIL-1 to mono-ubiquitylate linear Ub chains and polysaccharides.</t>
  </si>
  <si>
    <t>One of the components of LUBAC is the @GENE$ HOIL-1 which has been shown to generate oxyester linkages on several proteins and on linear @CHEMICAL$. We show that HOIL-1 activity requires linear tetra-Ub binding which enables HOIL-1 to mono-ubiquitylate linear Ub chains and polysaccharides.</t>
  </si>
  <si>
    <r>
      <rPr>
        <rFont val="Arial"/>
        <color theme="1"/>
        <sz val="10.0"/>
      </rPr>
      <t xml:space="preserve">Ubiquitin ligase too general?
</t>
    </r>
    <r>
      <rPr>
        <rFont val="Arial"/>
        <color rgb="FF4A86E8"/>
        <sz val="10.0"/>
      </rPr>
      <t>[Jiaying] Agreed should be 0 - "ubiquitin ligase" is too generic a term to be biologically meaningful if we label this as an interaction…</t>
    </r>
  </si>
  <si>
    <t>One of the components of LUBAC is the @GENE$ HOIL-1 which has been shown to generate oxyester linkages on several proteins and on linear polysaccharides. We show that @GENE$ activity requires linear tetra-Ub binding which enables HOIL-1 to mono-ubiquitylate linear Ub chains and polysaccharides.</t>
  </si>
  <si>
    <t>One of the components of LUBAC is the @GENE$ HOIL-1 which has been shown to generate oxyester linkages on several proteins and on linear polysaccharides. We show that HOIL-1 activity requires linear tetra-@GENE$ binding which enables HOIL-1 to mono-ubiquitylate linear Ub chains and polysaccharides.</t>
  </si>
  <si>
    <t>[Jiaying] Should be 0 - "ubiquitin ligase" is too generic a term to be biologically meaningful if we label this as an interaction…</t>
  </si>
  <si>
    <t>One of the components of LUBAC is the @GENE$ HOIL-1 which has been shown to generate oxyester linkages on several proteins and on linear polysaccharides. We show that HOIL-1 activity requires linear tetra-Ub binding which enables @GENE$ to mono-ubiquitylate linear Ub chains and polysaccharides.</t>
  </si>
  <si>
    <t>One of the components of LUBAC is the @GENE$ HOIL-1 which has been shown to generate oxyester linkages on several proteins and on linear polysaccharides. We show that HOIL-1 activity requires linear tetra-Ub binding which enables HOIL-1 to mono-ubiquitylate linear @CHEMICAL$ chains and polysaccharides.</t>
  </si>
  <si>
    <t>One of the components of LUBAC is the @GENE$ HOIL-1 which has been shown to generate oxyester linkages on several proteins and on linear polysaccharides. We show that HOIL-1 activity requires linear tetra-Ub binding which enables HOIL-1 to mono-ubiquitylate linear Ub chains and @CHEMICAL$.</t>
  </si>
  <si>
    <t>One of the components of LUBAC is the ubiquitin ligase @GENE$ which has been shown to generate oxyester linkages on several proteins and on linear @CHEMICAL$. We show that HOIL-1 activity requires linear tetra-Ub binding which enables HOIL-1 to mono-ubiquitylate linear Ub chains and polysaccharides.</t>
  </si>
  <si>
    <r>
      <rPr>
        <rFont val="Arial"/>
        <color theme="1"/>
        <sz val="10.0"/>
      </rPr>
      <t xml:space="preserve">HOIL-1 ubiquitylates Ub chains but those Ub in "tetra-Ub binding" also indicate a ubiquitination relation? 
</t>
    </r>
    <r>
      <rPr>
        <rFont val="Arial"/>
        <color rgb="FF4A86E8"/>
        <sz val="10.0"/>
      </rPr>
      <t>[Jiaying] Not sure if there is enough context to conclude there is ubiquitylation between these 2 mentions of HOIL1 and polysaccharides? Does "generate oxyester linkages" and "ubiquitin ligase" necessarily mean ubiquitylation?</t>
    </r>
  </si>
  <si>
    <t>One of the components of LUBAC is the ubiquitin ligase @GENE$ which has been shown to generate oxyester linkages on several proteins and on linear polysaccharides. We show that @GENE$ activity requires linear tetra-Ub binding which enables HOIL-1 to mono-ubiquitylate linear Ub chains and polysaccharides.</t>
  </si>
  <si>
    <t>One of the components of LUBAC is the ubiquitin ligase @GENE$ which has been shown to generate oxyester linkages on several proteins and on linear polysaccharides. We show that HOIL-1 activity requires linear tetra-@GENE$ binding which enables HOIL-1 to mono-ubiquitylate linear Ub chains and polysaccharides.</t>
  </si>
  <si>
    <t>[Jiaying] Not sure if there is enough context to conclude there is ubiquitylation between these 2 mentions of HOIL1 and Ub?</t>
  </si>
  <si>
    <t>One of the components of LUBAC is the ubiquitin ligase @GENE$ which has been shown to generate oxyester linkages on several proteins and on linear polysaccharides. We show that HOIL-1 activity requires linear tetra-Ub binding which enables @GENE$ to mono-ubiquitylate linear Ub chains and polysaccharides.</t>
  </si>
  <si>
    <t>One of the components of LUBAC is the ubiquitin ligase @GENE$ which has been shown to generate oxyester linkages on several proteins and on linear polysaccharides. We show that HOIL-1 activity requires linear tetra-Ub binding which enables HOIL-1 to mono-ubiquitylate linear @CHEMICAL$ chains and polysaccharides.</t>
  </si>
  <si>
    <t>[Jiaying] Not the best 2 mentions of HOIL1 and Ub to show the ubiquitylation relation...?</t>
  </si>
  <si>
    <t>One of the components of LUBAC is the ubiquitin ligase @GENE$ which has been shown to generate oxyester linkages on several proteins and on linear polysaccharides. We show that HOIL-1 activity requires linear tetra-Ub binding which enables HOIL-1 to mono-ubiquitylate linear Ub chains and @CHEMICAL$.</t>
  </si>
  <si>
    <t>[Jiaying] Not the best 2 mentions of HOIL1 and polysaccharides to show the ubiquitylation relation...?</t>
  </si>
  <si>
    <t>One of the components of LUBAC is the ubiquitin ligase HOIL-1 which has been shown to generate oxyester linkages on several proteins and on linear @CHEMICAL$. We show that @GENE$ activity requires linear tetra-Ub binding which enables HOIL-1 to mono-ubiquitylate linear Ub chains and polysaccharides.</t>
  </si>
  <si>
    <t>One of the components of LUBAC is the ubiquitin ligase HOIL-1 which has been shown to generate oxyester linkages on several proteins and on linear @CHEMICAL$. We show that HOIL-1 activity requires linear tetra-@GENE$ binding which enables HOIL-1 to mono-ubiquitylate linear Ub chains and polysaccharides.</t>
  </si>
  <si>
    <t>One of the components of LUBAC is the ubiquitin ligase HOIL-1 which has been shown to generate oxyester linkages on several proteins and on linear @CHEMICAL$. We show that HOIL-1 activity requires linear tetra-Ub binding which enables @GENE$ to mono-ubiquitylate linear Ub chains and polysaccharides.</t>
  </si>
  <si>
    <t>One of the components of LUBAC is the ubiquitin ligase HOIL-1 which has been shown to generate oxyester linkages on several proteins and on linear @CHEMICAL$. We show that HOIL-1 activity requires linear tetra-Ub binding which enables HOIL-1 to mono-ubiquitylate linear @CHEMICAL$ chains and polysaccharides.</t>
  </si>
  <si>
    <t>One of the components of LUBAC is the ubiquitin ligase HOIL-1 which has been shown to generate oxyester linkages on several proteins and on linear @CHEMICAL$. We show that HOIL-1 activity requires linear tetra-Ub binding which enables HOIL-1 to mono-ubiquitylate linear Ub chains and @CHEMICAL$.</t>
  </si>
  <si>
    <t>One of the components of LUBAC is the ubiquitin ligase HOIL-1 which has been shown to generate oxyester linkages on several proteins and on linear polysaccharides. We show that @GENE$ activity requires linear tetra-@GENE$ binding which enables HOIL-1 to mono-ubiquitylate linear Ub chains and polysaccharides.</t>
  </si>
  <si>
    <t>One of the components of LUBAC is the ubiquitin ligase HOIL-1 which has been shown to generate oxyester linkages on several proteins and on linear polysaccharides. We show that @GENE$ activity requires linear tetra-Ub binding which enables @GENE$ to mono-ubiquitylate linear Ub chains and polysaccharides.</t>
  </si>
  <si>
    <t>One of the components of LUBAC is the ubiquitin ligase HOIL-1 which has been shown to generate oxyester linkages on several proteins and on linear polysaccharides. We show that @GENE$ activity requires linear tetra-Ub binding which enables HOIL-1 to mono-ubiquitylate linear @CHEMICAL$ chains and polysaccharides.</t>
  </si>
  <si>
    <t>One of the components of LUBAC is the ubiquitin ligase HOIL-1 which has been shown to generate oxyester linkages on several proteins and on linear polysaccharides. We show that @GENE$ activity requires linear tetra-Ub binding which enables HOIL-1 to mono-ubiquitylate linear Ub chains and @CHEMICAL$.</t>
  </si>
  <si>
    <t>One of the components of LUBAC is the ubiquitin ligase HOIL-1 which has been shown to generate oxyester linkages on several proteins and on linear polysaccharides. We show that HOIL-1 activity requires linear tetra-@GENE$ binding which enables @GENE$ to mono-ubiquitylate linear Ub chains and polysaccharides.</t>
  </si>
  <si>
    <t>One of the components of LUBAC is the ubiquitin ligase HOIL-1 which has been shown to generate oxyester linkages on several proteins and on linear polysaccharides. We show that HOIL-1 activity requires linear tetra-@GENE$ binding which enables HOIL-1 to mono-ubiquitylate linear @CHEMICAL$ chains and polysaccharides.</t>
  </si>
  <si>
    <t>One of the components of LUBAC is the ubiquitin ligase HOIL-1 which has been shown to generate oxyester linkages on several proteins and on linear polysaccharides. We show that HOIL-1 activity requires linear tetra-@GENE$ binding which enables HOIL-1 to mono-ubiquitylate linear Ub chains and @CHEMICAL$.</t>
  </si>
  <si>
    <t>One of the components of LUBAC is the ubiquitin ligase HOIL-1 which has been shown to generate oxyester linkages on several proteins and on linear polysaccharides. We show that HOIL-1 activity requires linear tetra-Ub binding which enables @GENE$ to mono-ubiquitylate linear @CHEMICAL$ chains and polysaccharides.</t>
  </si>
  <si>
    <t>One of the components of LUBAC is the ubiquitin ligase HOIL-1 which has been shown to generate oxyester linkages on several proteins and on linear polysaccharides. We show that HOIL-1 activity requires linear tetra-Ub binding which enables @GENE$ to mono-ubiquitylate linear Ub chains and @CHEMICAL$.</t>
  </si>
  <si>
    <t>One of the components of LUBAC is the ubiquitin ligase HOIL-1 which has been shown to generate oxyester linkages on several proteins and on linear polysaccharides. We show that HOIL-1 activity requires linear tetra-Ub binding which enables HOIL-1 to mono-ubiquitylate linear @CHEMICAL$ chains and @CHEMICAL$.</t>
  </si>
  <si>
    <t>It has been shown that @GENE$ mono-ubiquitylates several immune signaling proteins such as @GENE$ (Myeloid differentiation factor 88), the IL-1 receptor associated kinases IRAK1and IRAK2 by catalyzing formation of an ester bond between the hydroxy group of serine or threonine residues and the C-terminal glycine of Ub.</t>
  </si>
  <si>
    <t>(HOIL-1L, mono-ubiquitylates, MyD88)</t>
  </si>
  <si>
    <t>It has been shown that @GENE$ mono-ubiquitylates several immune signaling proteins such as MyD88 (@GENE$), the IL-1 receptor associated kinases IRAK1and IRAK2 by catalyzing formation of an ester bond between the hydroxy group of serine or threonine residues and the C-terminal glycine of Ub.</t>
  </si>
  <si>
    <t>(HOIL-1L, mono-ubiquitylates, IRAK1)</t>
  </si>
  <si>
    <t>It has been shown that @GENE$ mono-ubiquitylates several immune signaling proteins such as MyD88 (Myeloid differentiation factor 88), the @GENE$ IRAK1and IRAK2 by catalyzing formation of an ester bond between the hydroxy group of serine or threonine residues and the C-terminal glycine of Ub.</t>
  </si>
  <si>
    <t>(HOIL-1L, mono-ubiquitylates, IRAK2)</t>
  </si>
  <si>
    <t>It has been shown that @GENE$ mono-ubiquitylates several immune signaling proteins such as MyD88 (Myeloid differentiation factor 88), the IL-1 receptor associated kinases @GENE$ IRAK2 by catalyzing formation of an ester bond between the hydroxy group of serine or threonine residues and the C-terminal glycine of Ub.</t>
  </si>
  <si>
    <t>"IRAK1" should be tagged as @GENE$, not "IRAK1and"</t>
  </si>
  <si>
    <t>It has been shown that @GENE$ mono-ubiquitylates several immune signaling proteins such as MyD88 (Myeloid differentiation factor 88), the IL-1 receptor associated kinases IRAK1and @GENE$ by catalyzing formation of an ester bond between the hydroxy group of serine or threonine residues and the C-terminal glycine of Ub.</t>
  </si>
  <si>
    <t>It has been shown that @GENE$ mono-ubiquitylates several immune signaling proteins such as MyD88 (Myeloid differentiation factor 88), the IL-1 receptor associated kinases IRAK1and IRAK2 by catalyzing formation of an ester bond between the hydroxy group of serine or threonine residues and the C-terminal glycine of @GENE$.</t>
  </si>
  <si>
    <t>It has been shown that HOIL-1L mono-ubiquitylates several immune signaling proteins such as @GENE$ (@GENE$), the IL-1 receptor associated kinases IRAK1and IRAK2 by catalyzing formation of an ester bond between the hydroxy group of serine or threonine residues and the C-terminal glycine of Ub.</t>
  </si>
  <si>
    <t>It has been shown that HOIL-1L mono-ubiquitylates several immune signaling proteins such as @GENE$ (Myeloid differentiation factor 88), the @GENE$ IRAK1and IRAK2 by catalyzing formation of an ester bond between the hydroxy group of serine or threonine residues and the C-terminal glycine of Ub.</t>
  </si>
  <si>
    <t>It has been shown that HOIL-1L mono-ubiquitylates several immune signaling proteins such as @GENE$ (Myeloid differentiation factor 88), the IL-1 receptor associated kinases @GENE$ IRAK2 by catalyzing formation of an ester bond between the hydroxy group of serine or threonine residues and the C-terminal glycine of Ub.</t>
  </si>
  <si>
    <t>It has been shown that HOIL-1L mono-ubiquitylates several immune signaling proteins such as @GENE$ (Myeloid differentiation factor 88), the IL-1 receptor associated kinases IRAK1and @GENE$ by catalyzing formation of an ester bond between the hydroxy group of serine or threonine residues and the C-terminal glycine of Ub.</t>
  </si>
  <si>
    <t>It has been shown that HOIL-1L mono-ubiquitylates several immune signaling proteins such as @GENE$ (Myeloid differentiation factor 88), the IL-1 receptor associated kinases IRAK1and IRAK2 by catalyzing formation of an ester bond between the hydroxy group of serine or threonine residues and the C-terminal glycine of @GENE$.</t>
  </si>
  <si>
    <t>It has been shown that HOIL-1L mono-ubiquitylates several immune signaling proteins such as MyD88 (@GENE$), the @GENE$ IRAK1and IRAK2 by catalyzing formation of an ester bond between the hydroxy group of serine or threonine residues and the C-terminal glycine of Ub.</t>
  </si>
  <si>
    <t>It has been shown that HOIL-1L mono-ubiquitylates several immune signaling proteins such as MyD88 (@GENE$), the IL-1 receptor associated kinases @GENE$ IRAK2 by catalyzing formation of an ester bond between the hydroxy group of serine or threonine residues and the C-terminal glycine of Ub.</t>
  </si>
  <si>
    <t>It has been shown that HOIL-1L mono-ubiquitylates several immune signaling proteins such as MyD88 (@GENE$), the IL-1 receptor associated kinases IRAK1and @GENE$ by catalyzing formation of an ester bond between the hydroxy group of serine or threonine residues and the C-terminal glycine of Ub.</t>
  </si>
  <si>
    <t>It has been shown that HOIL-1L mono-ubiquitylates several immune signaling proteins such as MyD88 (@GENE$), the IL-1 receptor associated kinases IRAK1and IRAK2 by catalyzing formation of an ester bond between the hydroxy group of serine or threonine residues and the C-terminal glycine of @GENE$.</t>
  </si>
  <si>
    <t>It has been shown that HOIL-1L mono-ubiquitylates several immune signaling proteins such as MyD88 (Myeloid differentiation factor 88), the @GENE$ @GENE$ IRAK2 by catalyzing formation of an ester bond between the hydroxy group of serine or threonine residues and the C-terminal glycine of Ub.</t>
  </si>
  <si>
    <t>It has been shown that HOIL-1L mono-ubiquitylates several immune signaling proteins such as MyD88 (Myeloid differentiation factor 88), the @GENE$ IRAK1and @GENE$ by catalyzing formation of an ester bond between the hydroxy group of serine or threonine residues and the C-terminal glycine of Ub.</t>
  </si>
  <si>
    <t>It has been shown that HOIL-1L mono-ubiquitylates several immune signaling proteins such as MyD88 (Myeloid differentiation factor 88), the @GENE$ IRAK1and IRAK2 by catalyzing formation of an ester bond between the hydroxy group of serine or threonine residues and the C-terminal glycine of @GENE$.</t>
  </si>
  <si>
    <t>It has been shown that HOIL-1L mono-ubiquitylates several immune signaling proteins such as MyD88 (Myeloid differentiation factor 88), the IL-1 receptor associated kinases @GENE$ @GENE$ by catalyzing formation of an ester bond between the hydroxy group of serine or threonine residues and the C-terminal glycine of Ub.</t>
  </si>
  <si>
    <t>It has been shown that HOIL-1L mono-ubiquitylates several immune signaling proteins such as MyD88 (Myeloid differentiation factor 88), the IL-1 receptor associated kinases @GENE$ IRAK2 by catalyzing formation of an ester bond between the hydroxy group of serine or threonine residues and the C-terminal glycine of @GENE$.</t>
  </si>
  <si>
    <t>It has been shown that HOIL-1L mono-ubiquitylates several immune signaling proteins such as MyD88 (Myeloid differentiation factor 88), the IL-1 receptor associated kinases IRAK1and @GENE$ by catalyzing formation of an ester bond between the hydroxy group of serine or threonine residues and the C-terminal glycine of @GENE$.</t>
  </si>
  <si>
    <t>@GENE$ that can catalyze the ubiquitylation of @GENE$ include Itch, Ligand of Numb-Protein X (LNX), Deltex (DTX), Mind bomb (Mib) 1, Mib2, Neuralized (Neur) 1, and Neur2.</t>
  </si>
  <si>
    <t>(Itch, catalyzes ubiquitylation of, Notch)</t>
  </si>
  <si>
    <t>@GENE$ that can catalyze the ubiquitylation of Notch include @GENE$, Ligand of Numb-Protein X (LNX), Deltex (DTX), Mind bomb (Mib) 1, Mib2, Neuralized (Neur) 1, and Neur2.</t>
  </si>
  <si>
    <t>(LNX, catalyzes ubiquitylation of, Notch)</t>
  </si>
  <si>
    <t>@GENE$ that can catalyze the ubiquitylation of Notch include Itch, @GENE$ (LNX), Deltex (DTX), Mind bomb (Mib) 1, Mib2, Neuralized (Neur) 1, and Neur2.</t>
  </si>
  <si>
    <t>(DTX, catalyzes ubiquitylation of, Notch)</t>
  </si>
  <si>
    <t>@GENE$ that can catalyze the ubiquitylation of Notch include Itch, Ligand of Numb-Protein X (@GENE$), Deltex (DTX), Mind bomb (Mib) 1, Mib2, Neuralized (Neur) 1, and Neur2.</t>
  </si>
  <si>
    <t>(Mib1, catalyzes ubiquitylation of, Notch)</t>
  </si>
  <si>
    <t>@GENE$ that can catalyze the ubiquitylation of Notch include Itch, Ligand of Numb-Protein X (LNX), @GENE$ (DTX), Mind bomb (Mib) 1, Mib2, Neuralized (Neur) 1, and Neur2.</t>
  </si>
  <si>
    <t>(Mib2, catalyzes ubiquitylation of, Notch)</t>
  </si>
  <si>
    <t>@GENE$ that can catalyze the ubiquitylation of Notch include Itch, Ligand of Numb-Protein X (LNX), Deltex (@GENE$), Mind bomb (Mib) 1, Mib2, Neuralized (Neur) 1, and Neur2.</t>
  </si>
  <si>
    <t>(Neur1, catalyzes ubiquitylation of, Notch)</t>
  </si>
  <si>
    <t>@GENE$ that can catalyze the ubiquitylation of Notch include Itch, Ligand of Numb-Protein X (LNX), Deltex (DTX), @GENE$ (Mib) 1, Mib2, Neuralized (Neur) 1, and Neur2.</t>
  </si>
  <si>
    <t>(Neur2, catalyzes ubiquitylation of, Notch)</t>
  </si>
  <si>
    <t>@GENE$ that can catalyze the ubiquitylation of Notch include Itch, Ligand of Numb-Protein X (LNX), Deltex (DTX), Mind bomb (@GENE$, Mib2, Neuralized (Neur) 1, and Neur2.</t>
  </si>
  <si>
    <t>@GENE$ that can catalyze the ubiquitylation of Notch include Itch, Ligand of Numb-Protein X (LNX), Deltex (DTX), Mind bomb (Mib) 1, @GENE$, Neuralized (Neur) 1, and Neur2.</t>
  </si>
  <si>
    <t>@GENE$ that can catalyze the ubiquitylation of Notch include Itch, Ligand of Numb-Protein X (LNX), Deltex (DTX), Mind bomb (Mib) 1, Mib2, @GENE$, and Neur2.</t>
  </si>
  <si>
    <t>@GENE$ that can catalyze the ubiquitylation of Notch include Itch, Ligand of Numb-Protein X (LNX), Deltex (DTX), Mind bomb (Mib) 1, Mib2, Neuralized (Neur) 1, and @GENE$.</t>
  </si>
  <si>
    <t>E3 ubiquitin ligases that can catalyze the ubiquitylation of @GENE$ include @GENE$, Ligand of Numb-Protein X (LNX), Deltex (DTX), Mind bomb (Mib) 1, Mib2, Neuralized (Neur) 1, and Neur2.</t>
  </si>
  <si>
    <t>E3 ubiquitin ligases that can catalyze the ubiquitylation of @GENE$ include Itch, @GENE$ (LNX), Deltex (DTX), Mind bomb (Mib) 1, Mib2, Neuralized (Neur) 1, and Neur2.</t>
  </si>
  <si>
    <t>E3 ubiquitin ligases that can catalyze the ubiquitylation of @GENE$ include Itch, Ligand of Numb-Protein X (@GENE$), Deltex (DTX), Mind bomb (Mib) 1, Mib2, Neuralized (Neur) 1, and Neur2.</t>
  </si>
  <si>
    <t>E3 ubiquitin ligases that can catalyze the ubiquitylation of @GENE$ include Itch, Ligand of Numb-Protein X (LNX), @GENE$ (DTX), Mind bomb (Mib) 1, Mib2, Neuralized (Neur) 1, and Neur2.</t>
  </si>
  <si>
    <t>E3 ubiquitin ligases that can catalyze the ubiquitylation of @GENE$ include Itch, Ligand of Numb-Protein X (LNX), Deltex (@GENE$), Mind bomb (Mib) 1, Mib2, Neuralized (Neur) 1, and Neur2.</t>
  </si>
  <si>
    <t>E3 ubiquitin ligases that can catalyze the ubiquitylation of @GENE$ include Itch, Ligand of Numb-Protein X (LNX), Deltex (DTX), @GENE$ (Mib) 1, Mib2, Neuralized (Neur) 1, and Neur2.</t>
  </si>
  <si>
    <t>"Mind bomb 1" should be tagged as @GENE$, not just "Mind bomb"</t>
  </si>
  <si>
    <t>E3 ubiquitin ligases that can catalyze the ubiquitylation of @GENE$ include Itch, Ligand of Numb-Protein X (LNX), Deltex (DTX), Mind bomb (@GENE$, Mib2, Neuralized (Neur) 1, and Neur2.</t>
  </si>
  <si>
    <t>"Mib1" should be tagged as @GENE$, not "(Mib) 1"</t>
  </si>
  <si>
    <t>E3 ubiquitin ligases that can catalyze the ubiquitylation of @GENE$ include Itch, Ligand of Numb-Protein X (LNX), Deltex (DTX), Mind bomb (Mib) 1, @GENE$, Neuralized (Neur) 1, and Neur2.</t>
  </si>
  <si>
    <t>E3 ubiquitin ligases that can catalyze the ubiquitylation of @GENE$ include Itch, Ligand of Numb-Protein X (LNX), Deltex (DTX), Mind bomb (Mib) 1, Mib2, @GENE$, and Neur2.</t>
  </si>
  <si>
    <t>"Neur1" should be tagged as @GENE$, not "Neuralized (Neur) 1"</t>
  </si>
  <si>
    <t>E3 ubiquitin ligases that can catalyze the ubiquitylation of @GENE$ include Itch, Ligand of Numb-Protein X (LNX), Deltex (DTX), Mind bomb (Mib) 1, Mib2, Neuralized (Neur) 1, and @GENE$.</t>
  </si>
  <si>
    <t>E3 ubiquitin ligases that can catalyze the ubiquitylation of Notch include @GENE$, @GENE$ (LNX), Deltex (DTX), Mind bomb (Mib) 1, Mib2, Neuralized (Neur) 1, and Neur2.</t>
  </si>
  <si>
    <t>E3 ubiquitin ligases that can catalyze the ubiquitylation of Notch include @GENE$, Ligand of Numb-Protein X (@GENE$), Deltex (DTX), Mind bomb (Mib) 1, Mib2, Neuralized (Neur) 1, and Neur2.</t>
  </si>
  <si>
    <t>E3 ubiquitin ligases that can catalyze the ubiquitylation of Notch include @GENE$, Ligand of Numb-Protein X (LNX), @GENE$ (DTX), Mind bomb (Mib) 1, Mib2, Neuralized (Neur) 1, and Neur2.</t>
  </si>
  <si>
    <t>E3 ubiquitin ligases that can catalyze the ubiquitylation of Notch include @GENE$, Ligand of Numb-Protein X (LNX), Deltex (@GENE$), Mind bomb (Mib) 1, Mib2, Neuralized (Neur) 1, and Neur2.</t>
  </si>
  <si>
    <t>E3 ubiquitin ligases that can catalyze the ubiquitylation of Notch include @GENE$, Ligand of Numb-Protein X (LNX), Deltex (DTX), @GENE$ (Mib) 1, Mib2, Neuralized (Neur) 1, and Neur2.</t>
  </si>
  <si>
    <t>E3 ubiquitin ligases that can catalyze the ubiquitylation of Notch include @GENE$, Ligand of Numb-Protein X (LNX), Deltex (DTX), Mind bomb (@GENE$, Mib2, Neuralized (Neur) 1, and Neur2.</t>
  </si>
  <si>
    <t>E3 ubiquitin ligases that can catalyze the ubiquitylation of Notch include @GENE$, Ligand of Numb-Protein X (LNX), Deltex (DTX), Mind bomb (Mib) 1, @GENE$, Neuralized (Neur) 1, and Neur2.</t>
  </si>
  <si>
    <t>E3 ubiquitin ligases that can catalyze the ubiquitylation of Notch include @GENE$, Ligand of Numb-Protein X (LNX), Deltex (DTX), Mind bomb (Mib) 1, Mib2, @GENE$, and Neur2.</t>
  </si>
  <si>
    <t>E3 ubiquitin ligases that can catalyze the ubiquitylation of Notch include @GENE$, Ligand of Numb-Protein X (LNX), Deltex (DTX), Mind bomb (Mib) 1, Mib2, Neuralized (Neur) 1, and @GENE$.</t>
  </si>
  <si>
    <t>E3 ubiquitin ligases that can catalyze the ubiquitylation of Notch include Itch, @GENE$ (@GENE$), Deltex (DTX), Mind bomb (Mib) 1, Mib2, Neuralized (Neur) 1, and Neur2.</t>
  </si>
  <si>
    <t>E3 ubiquitin ligases that can catalyze the ubiquitylation of Notch include Itch, @GENE$ (LNX), @GENE$ (DTX), Mind bomb (Mib) 1, Mib2, Neuralized (Neur) 1, and Neur2.</t>
  </si>
  <si>
    <t>E3 ubiquitin ligases that can catalyze the ubiquitylation of Notch include Itch, @GENE$ (LNX), Deltex (@GENE$), Mind bomb (Mib) 1, Mib2, Neuralized (Neur) 1, and Neur2.</t>
  </si>
  <si>
    <t>E3 ubiquitin ligases that can catalyze the ubiquitylation of Notch include Itch, @GENE$ (LNX), Deltex (DTX), @GENE$ (Mib) 1, Mib2, Neuralized (Neur) 1, and Neur2.</t>
  </si>
  <si>
    <t>E3 ubiquitin ligases that can catalyze the ubiquitylation of Notch include Itch, @GENE$ (LNX), Deltex (DTX), Mind bomb (@GENE$, Mib2, Neuralized (Neur) 1, and Neur2.</t>
  </si>
  <si>
    <t>E3 ubiquitin ligases that can catalyze the ubiquitylation of Notch include Itch, @GENE$ (LNX), Deltex (DTX), Mind bomb (Mib) 1, @GENE$, Neuralized (Neur) 1, and Neur2.</t>
  </si>
  <si>
    <t>E3 ubiquitin ligases that can catalyze the ubiquitylation of Notch include Itch, @GENE$ (LNX), Deltex (DTX), Mind bomb (Mib) 1, Mib2, @GENE$, and Neur2.</t>
  </si>
  <si>
    <t>E3 ubiquitin ligases that can catalyze the ubiquitylation of Notch include Itch, @GENE$ (LNX), Deltex (DTX), Mind bomb (Mib) 1, Mib2, Neuralized (Neur) 1, and @GENE$.</t>
  </si>
  <si>
    <t>E3 ubiquitin ligases that can catalyze the ubiquitylation of Notch include Itch, Ligand of Numb-Protein X (@GENE$), @GENE$ (DTX), Mind bomb (Mib) 1, Mib2, Neuralized (Neur) 1, and Neur2.</t>
  </si>
  <si>
    <t>E3 ubiquitin ligases that can catalyze the ubiquitylation of Notch include Itch, Ligand of Numb-Protein X (@GENE$), Deltex (@GENE$), Mind bomb (Mib) 1, Mib2, Neuralized (Neur) 1, and Neur2.</t>
  </si>
  <si>
    <t>E3 ubiquitin ligases that can catalyze the ubiquitylation of Notch include Itch, Ligand of Numb-Protein X (@GENE$), Deltex (DTX), @GENE$ (Mib) 1, Mib2, Neuralized (Neur) 1, and Neur2.</t>
  </si>
  <si>
    <t>E3 ubiquitin ligases that can catalyze the ubiquitylation of Notch include Itch, Ligand of Numb-Protein X (@GENE$), Deltex (DTX), Mind bomb (@GENE$, Mib2, Neuralized (Neur) 1, and Neur2.</t>
  </si>
  <si>
    <t>E3 ubiquitin ligases that can catalyze the ubiquitylation of Notch include Itch, Ligand of Numb-Protein X (@GENE$), Deltex (DTX), Mind bomb (Mib) 1, @GENE$, Neuralized (Neur) 1, and Neur2.</t>
  </si>
  <si>
    <t>E3 ubiquitin ligases that can catalyze the ubiquitylation of Notch include Itch, Ligand of Numb-Protein X (@GENE$), Deltex (DTX), Mind bomb (Mib) 1, Mib2, @GENE$, and Neur2.</t>
  </si>
  <si>
    <t>E3 ubiquitin ligases that can catalyze the ubiquitylation of Notch include Itch, Ligand of Numb-Protein X (@GENE$), Deltex (DTX), Mind bomb (Mib) 1, Mib2, Neuralized (Neur) 1, and @GENE$.</t>
  </si>
  <si>
    <t>E3 ubiquitin ligases that can catalyze the ubiquitylation of Notch include Itch, Ligand of Numb-Protein X (LNX), @GENE$ (@GENE$), Mind bomb (Mib) 1, Mib2, Neuralized (Neur) 1, and Neur2.</t>
  </si>
  <si>
    <t>E3 ubiquitin ligases that can catalyze the ubiquitylation of Notch include Itch, Ligand of Numb-Protein X (LNX), @GENE$ (DTX), @GENE$ (Mib) 1, Mib2, Neuralized (Neur) 1, and Neur2.</t>
  </si>
  <si>
    <t>E3 ubiquitin ligases that can catalyze the ubiquitylation of Notch include Itch, Ligand of Numb-Protein X (LNX), @GENE$ (DTX), Mind bomb (@GENE$, Mib2, Neuralized (Neur) 1, and Neur2.</t>
  </si>
  <si>
    <t>E3 ubiquitin ligases that can catalyze the ubiquitylation of Notch include Itch, Ligand of Numb-Protein X (LNX), @GENE$ (DTX), Mind bomb (Mib) 1, @GENE$, Neuralized (Neur) 1, and Neur2.</t>
  </si>
  <si>
    <t>E3 ubiquitin ligases that can catalyze the ubiquitylation of Notch include Itch, Ligand of Numb-Protein X (LNX), @GENE$ (DTX), Mind bomb (Mib) 1, Mib2, @GENE$, and Neur2.</t>
  </si>
  <si>
    <t>E3 ubiquitin ligases that can catalyze the ubiquitylation of Notch include Itch, Ligand of Numb-Protein X (LNX), @GENE$ (DTX), Mind bomb (Mib) 1, Mib2, Neuralized (Neur) 1, and @GENE$.</t>
  </si>
  <si>
    <t>E3 ubiquitin ligases that can catalyze the ubiquitylation of Notch include Itch, Ligand of Numb-Protein X (LNX), Deltex (@GENE$), @GENE$ (Mib) 1, Mib2, Neuralized (Neur) 1, and Neur2.</t>
  </si>
  <si>
    <t>E3 ubiquitin ligases that can catalyze the ubiquitylation of Notch include Itch, Ligand of Numb-Protein X (LNX), Deltex (@GENE$), Mind bomb (@GENE$, Mib2, Neuralized (Neur) 1, and Neur2.</t>
  </si>
  <si>
    <t>E3 ubiquitin ligases that can catalyze the ubiquitylation of Notch include Itch, Ligand of Numb-Protein X (LNX), Deltex (@GENE$), Mind bomb (Mib) 1, @GENE$, Neuralized (Neur) 1, and Neur2.</t>
  </si>
  <si>
    <t>E3 ubiquitin ligases that can catalyze the ubiquitylation of Notch include Itch, Ligand of Numb-Protein X (LNX), Deltex (@GENE$), Mind bomb (Mib) 1, Mib2, @GENE$, and Neur2.</t>
  </si>
  <si>
    <t>E3 ubiquitin ligases that can catalyze the ubiquitylation of Notch include Itch, Ligand of Numb-Protein X (LNX), Deltex (@GENE$), Mind bomb (Mib) 1, Mib2, Neuralized (Neur) 1, and @GENE$.</t>
  </si>
  <si>
    <t>E3 ubiquitin ligases that can catalyze the ubiquitylation of Notch include Itch, Ligand of Numb-Protein X (LNX), Deltex (DTX), @GENE$ (@GENE$, Mib2, Neuralized (Neur) 1, and Neur2.</t>
  </si>
  <si>
    <t>E3 ubiquitin ligases that can catalyze the ubiquitylation of Notch include Itch, Ligand of Numb-Protein X (LNX), Deltex (DTX), @GENE$ (Mib) 1, @GENE$, Neuralized (Neur) 1, and Neur2.</t>
  </si>
  <si>
    <t>E3 ubiquitin ligases that can catalyze the ubiquitylation of Notch include Itch, Ligand of Numb-Protein X (LNX), Deltex (DTX), @GENE$ (Mib) 1, Mib2, @GENE$, and Neur2.</t>
  </si>
  <si>
    <t>E3 ubiquitin ligases that can catalyze the ubiquitylation of Notch include Itch, Ligand of Numb-Protein X (LNX), Deltex (DTX), @GENE$ (Mib) 1, Mib2, Neuralized (Neur) 1, and @GENE$.</t>
  </si>
  <si>
    <t>E3 ubiquitin ligases that can catalyze the ubiquitylation of Notch include Itch, Ligand of Numb-Protein X (LNX), Deltex (DTX), Mind bomb (@GENE$, @GENE$, Neuralized (Neur) 1, and Neur2.</t>
  </si>
  <si>
    <t>E3 ubiquitin ligases that can catalyze the ubiquitylation of Notch include Itch, Ligand of Numb-Protein X (LNX), Deltex (DTX), Mind bomb (@GENE$, Mib2, @GENE$, and Neur2.</t>
  </si>
  <si>
    <t>E3 ubiquitin ligases that can catalyze the ubiquitylation of Notch include Itch, Ligand of Numb-Protein X (LNX), Deltex (DTX), Mind bomb (@GENE$, Mib2, Neuralized (Neur) 1, and @GENE$.</t>
  </si>
  <si>
    <t>E3 ubiquitin ligases that can catalyze the ubiquitylation of Notch include Itch, Ligand of Numb-Protein X (LNX), Deltex (DTX), Mind bomb (Mib) 1, @GENE$, @GENE$, and Neur2.</t>
  </si>
  <si>
    <t>E3 ubiquitin ligases that can catalyze the ubiquitylation of Notch include Itch, Ligand of Numb-Protein X (LNX), Deltex (DTX), Mind bomb (Mib) 1, @GENE$, Neuralized (Neur) 1, and @GENE$.</t>
  </si>
  <si>
    <t>E3 ubiquitin ligases that can catalyze the ubiquitylation of Notch include Itch, Ligand of Numb-Protein X (LNX), Deltex (DTX), Mind bomb (Mib) 1, Mib2, @GENE$, and @GENE$.</t>
  </si>
  <si>
    <t>However, Zhao Y et al. reported that @GENE$, together with @GENE$, regulates thymic-derived CD4+ CD25+ regulatory T cells (tTregs) development by targeting Foxp3 for ubiquitination and degradation in the proteasome</t>
  </si>
  <si>
    <t>(Cbl-b, targets ubiquitylation of, Foxp3)</t>
  </si>
  <si>
    <t>However, Zhao Y et al. reported that @GENE$, together with Stub1, regulates thymic-derived @GENE$+ CD25+ regulatory T cells (tTregs) development by targeting Foxp3 for ubiquitination and degradation in the proteasome</t>
  </si>
  <si>
    <t>(Stub1, targets ubiquitylation of, Foxp3)</t>
  </si>
  <si>
    <t>However, Zhao Y et al. reported that @GENE$, together with Stub1, regulates thymic-derived CD4+ @GENE$+ regulatory T cells (tTregs) development by targeting Foxp3 for ubiquitination and degradation in the proteasome</t>
  </si>
  <si>
    <t>However, Zhao Y et al. reported that @GENE$, together with Stub1, regulates thymic-derived CD4+ CD25+ regulatory T cells (tTregs) development by targeting @GENE$ for ubiquitination and degradation in the proteasome</t>
  </si>
  <si>
    <t>[Jiaying] Cbl-b and Stub1 target Foxp3 for ubiquitination and degradation = inhibition</t>
  </si>
  <si>
    <t>However, Zhao Y et al. reported that Cbl-b, together with @GENE$, regulates thymic-derived @GENE$+ CD25+ regulatory T cells (tTregs) development by targeting Foxp3 for ubiquitination and degradation in the proteasome</t>
  </si>
  <si>
    <t>However, Zhao Y et al. reported that Cbl-b, together with @GENE$, regulates thymic-derived CD4+ @GENE$+ regulatory T cells (tTregs) development by targeting Foxp3 for ubiquitination and degradation in the proteasome</t>
  </si>
  <si>
    <t>However, Zhao Y et al. reported that Cbl-b, together with @GENE$, regulates thymic-derived CD4+ CD25+ regulatory T cells (tTregs) development by targeting @GENE$ for ubiquitination and degradation in the proteasome</t>
  </si>
  <si>
    <t>However, Zhao Y et al. reported that Cbl-b, together with Stub1, regulates thymic-derived @GENE$+ @GENE$+ regulatory T cells (tTregs) development by targeting Foxp3 for ubiquitination and degradation in the proteasome</t>
  </si>
  <si>
    <t>However, Zhao Y et al. reported that Cbl-b, together with Stub1, regulates thymic-derived @GENE$+ CD25+ regulatory T cells (tTregs) development by targeting @GENE$ for ubiquitination and degradation in the proteasome</t>
  </si>
  <si>
    <t>However, Zhao Y et al. reported that Cbl-b, together with Stub1, regulates thymic-derived CD4+ @GENE$+ regulatory T cells (tTregs) development by targeting @GENE$ for ubiquitination and degradation in the proteasome</t>
  </si>
  <si>
    <t>Membrane-associated @GENE$ (@GENE$) is an E3 ubiquitin ligase that regulates MHCII ubiquitination</t>
  </si>
  <si>
    <t>(MARCH1, ubiquitylates, MHCII)</t>
  </si>
  <si>
    <t>Membrane-associated @GENE$ (MARCH1) is an E3 ubiquitin ligase that regulates @GENE$ ubiquitination</t>
  </si>
  <si>
    <t>[Jiaying] Not sure if counts as ubiquitylation if the full gene/entity name is not tagged, i.e. RING-CH1 alone is the entity tagged (meaning not membrane-associated)?</t>
  </si>
  <si>
    <t>"Membrane-associated RING-CH1" should be tagged as @GENE$, not just "RING-CH1"</t>
  </si>
  <si>
    <t>Membrane-associated RING-CH1 (@GENE$) is an E3 ubiquitin ligase that regulates @GENE$ ubiquitination</t>
  </si>
  <si>
    <t>Another @GENE$, @GENE$, is responsible for MHC II ubiquitination specifically in thymic epithelial cells.</t>
  </si>
  <si>
    <t>(MARCH8, ubiquitylates, MHCII)</t>
  </si>
  <si>
    <t>Another @GENE$, MARCH8, is responsible for @GENE$ ubiquitination specifically in thymic epithelial cells.</t>
  </si>
  <si>
    <r>
      <rPr>
        <rFont val="Arial"/>
        <color theme="1"/>
        <sz val="10.0"/>
      </rPr>
      <t xml:space="preserve">E3 ligase too general?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t>
    </r>
  </si>
  <si>
    <t>Another E3 ligase, @GENE$, is responsible for @GENE$ ubiquitination specifically in thymic epithelial cells.</t>
  </si>
  <si>
    <t>@GENE$ binds directly onto @GENE$ (PCNA) loaded on DNA, which serves as a landing pad for the independent recruitment of the ubiquitin ligase and its substrates.</t>
  </si>
  <si>
    <r>
      <rPr>
        <rFont val="Arial"/>
        <color theme="1"/>
      </rPr>
      <t xml:space="preserve">Should be 0
</t>
    </r>
    <r>
      <rPr>
        <rFont val="Arial"/>
        <color rgb="FF4A86E8"/>
      </rPr>
      <t>[Jiaying] Should be 2 - Cdt2 binds to PCNA</t>
    </r>
  </si>
  <si>
    <r>
      <rPr>
        <rFont val="Arial"/>
        <color theme="1"/>
        <sz val="10.0"/>
      </rPr>
      <t xml:space="preserve">Binding
</t>
    </r>
    <r>
      <rPr>
        <rFont val="Arial"/>
        <color rgb="FF4A86E8"/>
        <sz val="10.0"/>
      </rPr>
      <t>[Jiaying] Ligand-receptor binding, now classified as interaction (protein-protein)</t>
    </r>
  </si>
  <si>
    <t>Should DNA be tagged as @CHEMICAL$?</t>
  </si>
  <si>
    <t>@GENE$ binds directly onto proliferating cell nuclear antigen (@GENE$) loaded on DNA, which serves as a landing pad for the independent recruitment of the ubiquitin ligase and its substrates.</t>
  </si>
  <si>
    <r>
      <rPr>
        <rFont val="Arial"/>
        <color theme="1"/>
      </rPr>
      <t xml:space="preserve">Should be 0
</t>
    </r>
    <r>
      <rPr>
        <rFont val="Arial"/>
        <color rgb="FF4A86E8"/>
      </rPr>
      <t>[Jiaying] Should be 2 - Cdt2 binds to PCNA</t>
    </r>
  </si>
  <si>
    <r>
      <rPr>
        <rFont val="Arial"/>
        <color theme="1"/>
        <sz val="10.0"/>
      </rPr>
      <t xml:space="preserve">Binding
</t>
    </r>
    <r>
      <rPr>
        <rFont val="Arial"/>
        <color rgb="FF4A86E8"/>
        <sz val="10.0"/>
      </rPr>
      <t>[Jiaying] Ligand-receptor binding, now classified as interaction (protein-protein)</t>
    </r>
  </si>
  <si>
    <t>Cdt2 binds directly onto @GENE$ (@GENE$) loaded on DNA, which serves as a landing pad for the independent recruitment of the ubiquitin ligase and its substrates.</t>
  </si>
  <si>
    <t>Moreover, it was shown that @GENE$ could facilitate ubiquitination of a single serine, threonine or lysine (but not cysteine) residue placed close to the C-terminus of the cytosolic tail of @GENE$, resulting in its efficient degradation.</t>
  </si>
  <si>
    <r>
      <rPr>
        <rFont val="Arial"/>
        <color theme="1"/>
        <sz val="10.0"/>
      </rPr>
      <t xml:space="preserve">Should be 3?
</t>
    </r>
    <r>
      <rPr>
        <rFont val="Arial"/>
        <color rgb="FF4A86E8"/>
        <sz val="10.0"/>
      </rPr>
      <t>[Jiaying] agreed should be 3 - mK3 ubiquitinates MHC-I HC</t>
    </r>
  </si>
  <si>
    <t>These surprising findings were extended to show that, even in the context of the native sequence, serine residues were preferentially ubiquitinated over lysine residues in a reaction catalysed by the @GENE$ @GENE$, a tail-anchored ER membrane protein, which was shown to be the cognate E2 of mK3.</t>
  </si>
  <si>
    <t>(Ube2j2, catalyses ubiquitylation of, serine)</t>
  </si>
  <si>
    <t>These surprising findings were extended to show that, even in the context of the native sequence, serine residues were preferentially ubiquitinated over lysine residues in a reaction catalysed by the @GENE$ Ube2j2, a @GENE$, which was shown to be the cognate E2 of mK3.</t>
  </si>
  <si>
    <t>These surprising findings were extended to show that, even in the context of the native sequence, serine residues were preferentially ubiquitinated over lysine residues in a reaction catalysed by the @GENE$ Ube2j2, a tail-anchored ER membrane protein, which was shown to be the cognate E2 of @GENE$.</t>
  </si>
  <si>
    <t>These surprising findings were extended to show that, even in the context of the native sequence, serine residues were preferentially ubiquitinated over lysine residues in a reaction catalysed by the E2 @GENE$, a @GENE$, which was shown to be the cognate E2 of mK3.</t>
  </si>
  <si>
    <t>These surprising findings were extended to show that, even in the context of the native sequence, serine residues were preferentially ubiquitinated over lysine residues in a reaction catalysed by the E2 @GENE$, a tail-anchored ER membrane protein, which was shown to be the cognate E2 of @GENE$.</t>
  </si>
  <si>
    <t>[Jiaying] Should be 2 - "cognate" implies some kind of binding or interaction</t>
  </si>
  <si>
    <t>These surprising findings were extended to show that, even in the context of the native sequence, serine residues were preferentially ubiquitinated over lysine residues in a reaction catalysed by the E2 Ube2j2, a @GENE$, which was shown to be the cognate E2 of @GENE$.</t>
  </si>
  <si>
    <t>We also showed that during @SPECIES$ development, the ribosome was ubiquitinated by @GENE$, an E3 ubiquitin ligase that activates RQC. Ribosomal protein Rps10/eS10 was found to be a key ubiquitinated protein during development.</t>
  </si>
  <si>
    <t>We also showed that during @SPECIES$ development, the ribosome was ubiquitinated by Znf598, an E3 ubiquitin ligase that activates @GENE$. Ribosomal protein Rps10/eS10 was found to be a key ubiquitinated protein during development.</t>
  </si>
  <si>
    <t>We also showed that during @SPECIES$ development, the ribosome was ubiquitinated by Znf598, an E3 ubiquitin ligase that activates RQC. @GENE$ Rps10/eS10 was found to be a key ubiquitinated protein during development.</t>
  </si>
  <si>
    <t>We also showed that during @SPECIES$ development, the ribosome was ubiquitinated by Znf598, an E3 ubiquitin ligase that activates RQC. Ribosomal protein @GENE$/eS10 was found to be a key ubiquitinated protein during development.</t>
  </si>
  <si>
    <t>We also showed that during @SPECIES$ development, the ribosome was ubiquitinated by Znf598, an E3 ubiquitin ligase that activates RQC. Ribosomal protein Rps10/@GENE$ was found to be a key ubiquitinated protein during development.</t>
  </si>
  <si>
    <t>We also showed that during zebrafish development, the ribosome was ubiquitinated by @GENE$, an E3 ubiquitin ligase that activates @GENE$. Ribosomal protein Rps10/eS10 was found to be a key ubiquitinated protein during development.</t>
  </si>
  <si>
    <t>[Jiaying] Znf598 activates RQC = stimulation</t>
  </si>
  <si>
    <t>We also showed that during zebrafish development, the ribosome was ubiquitinated by @GENE$, an E3 ubiquitin ligase that activates RQC. @GENE$ Rps10/eS10 was found to be a key ubiquitinated protein during development.</t>
  </si>
  <si>
    <r>
      <rPr>
        <rFont val="Arial"/>
        <color theme="1"/>
        <sz val="10.0"/>
      </rPr>
      <t xml:space="preserve">Ribosomal protein too general
</t>
    </r>
    <r>
      <rPr>
        <rFont val="Arial"/>
        <color rgb="FF4A86E8"/>
        <sz val="10.0"/>
      </rPr>
      <t>[Jiaying] agreed "ribosomal protein" is too general a term</t>
    </r>
  </si>
  <si>
    <t>We also showed that during zebrafish development, the ribosome was ubiquitinated by @GENE$, an E3 ubiquitin ligase that activates RQC. Ribosomal protein @GENE$/eS10 was found to be a key ubiquitinated protein during development.</t>
  </si>
  <si>
    <t>We also showed that during zebrafish development, the ribosome was ubiquitinated by @GENE$, an E3 ubiquitin ligase that activates RQC. Ribosomal protein Rps10/@GENE$ was found to be a key ubiquitinated protein during development.</t>
  </si>
  <si>
    <t>We also showed that during zebrafish development, the ribosome was ubiquitinated by Znf598, an E3 ubiquitin ligase that activates @GENE$. @GENE$ Rps10/eS10 was found to be a key ubiquitinated protein during development.</t>
  </si>
  <si>
    <t>We also showed that during zebrafish development, the ribosome was ubiquitinated by Znf598, an E3 ubiquitin ligase that activates @GENE$. Ribosomal protein @GENE$/eS10 was found to be a key ubiquitinated protein during development.</t>
  </si>
  <si>
    <t>We also showed that during zebrafish development, the ribosome was ubiquitinated by Znf598, an E3 ubiquitin ligase that activates @GENE$. Ribosomal protein Rps10/@GENE$ was found to be a key ubiquitinated protein during development.</t>
  </si>
  <si>
    <t>We also showed that during zebrafish development, the ribosome was ubiquitinated by Znf598, an E3 ubiquitin ligase that activates RQC. @GENE$ @GENE$/eS10 was found to be a key ubiquitinated protein during development.</t>
  </si>
  <si>
    <t>We also showed that during zebrafish development, the ribosome was ubiquitinated by Znf598, an E3 ubiquitin ligase that activates RQC. @GENE$ Rps10/@GENE$ was found to be a key ubiquitinated protein during development.</t>
  </si>
  <si>
    <t>We also showed that during zebrafish development, the ribosome was ubiquitinated by Znf598, an E3 ubiquitin ligase that activates RQC. Ribosomal protein @GENE$/@GENE$ was found to be a key ubiquitinated protein during development.</t>
  </si>
  <si>
    <t>Upon stimulation with @GENE$ cytokines such as @GENE$, LUBAC conjugates an M1-polyubiquitin chain onto NF-kappaB-essential modulator (NEMO), receptor-interacting Ser/Thr kinase 1 (RIPK1), and other proteins.</t>
  </si>
  <si>
    <t>"inflammatory" should not be tagged as @GENE$</t>
  </si>
  <si>
    <t>Upon stimulation with @GENE$ cytokines such as TNF-alpha, @GENE$ conjugates an M1-polyubiquitin chain onto NF-kappaB-essential modulator (NEMO), receptor-interacting Ser/Thr kinase 1 (RIPK1), and other proteins.</t>
  </si>
  <si>
    <t>Upon stimulation with @GENE$ cytokines such as TNF-alpha, LUBAC conjugates an M1-polyubiquitin chain onto @GENE$ (NEMO), receptor-interacting Ser/Thr kinase 1 (RIPK1), and other proteins.</t>
  </si>
  <si>
    <t>Upon stimulation with @GENE$ cytokines such as TNF-alpha, LUBAC conjugates an M1-polyubiquitin chain onto NF-kappaB-essential modulator (@GENE$), receptor-interacting Ser/Thr kinase 1 (RIPK1), and other proteins.</t>
  </si>
  <si>
    <t>Upon stimulation with @GENE$ cytokines such as TNF-alpha, LUBAC conjugates an M1-polyubiquitin chain onto NF-kappaB-essential modulator (NEMO), @GENE$ (RIPK1), and other proteins.</t>
  </si>
  <si>
    <t>Upon stimulation with @GENE$ cytokines such as TNF-alpha, LUBAC conjugates an M1-polyubiquitin chain onto NF-kappaB-essential modulator (NEMO), receptor-interacting Ser/Thr kinase 1 (@GENE$), and other proteins.</t>
  </si>
  <si>
    <t>Upon stimulation with inflammatory cytokines such as @GENE$, @GENE$ conjugates an M1-polyubiquitin chain onto NF-kappaB-essential modulator (NEMO), receptor-interacting Ser/Thr kinase 1 (RIPK1), and other proteins.</t>
  </si>
  <si>
    <t>[Jiaying] TNFa activates LUBAC = stimulation</t>
  </si>
  <si>
    <t>Upon stimulation with inflammatory cytokines such as @GENE$, LUBAC conjugates an M1-polyubiquitin chain onto @GENE$ (NEMO), receptor-interacting Ser/Thr kinase 1 (RIPK1), and other proteins.</t>
  </si>
  <si>
    <t>Upon stimulation with inflammatory cytokines such as @GENE$, LUBAC conjugates an M1-polyubiquitin chain onto NF-kappaB-essential modulator (@GENE$), receptor-interacting Ser/Thr kinase 1 (RIPK1), and other proteins.</t>
  </si>
  <si>
    <t>Upon stimulation with inflammatory cytokines such as @GENE$, LUBAC conjugates an M1-polyubiquitin chain onto NF-kappaB-essential modulator (NEMO), @GENE$ (RIPK1), and other proteins.</t>
  </si>
  <si>
    <t>Upon stimulation with inflammatory cytokines such as @GENE$, LUBAC conjugates an M1-polyubiquitin chain onto NF-kappaB-essential modulator (NEMO), receptor-interacting Ser/Thr kinase 1 (@GENE$), and other proteins.</t>
  </si>
  <si>
    <t>Upon stimulation with inflammatory cytokines such as TNF-alpha, @GENE$ conjugates an M1-polyubiquitin chain onto @GENE$ (NEMO), receptor-interacting Ser/Thr kinase 1 (RIPK1), and other proteins.</t>
  </si>
  <si>
    <r>
      <rPr>
        <rFont val="Arial"/>
        <color theme="1"/>
        <sz val="10.0"/>
      </rPr>
      <t xml:space="preserve">Conjugate polyubiquitin chain --&gt; ubiquitination?
</t>
    </r>
    <r>
      <rPr>
        <rFont val="Arial"/>
        <color rgb="FF4A86E8"/>
        <sz val="10.0"/>
      </rPr>
      <t>[Jiaying] conjugate polyubiquitin chain = ubiquitination</t>
    </r>
  </si>
  <si>
    <t>Upon stimulation with inflammatory cytokines such as TNF-alpha, @GENE$ conjugates an M1-polyubiquitin chain onto NF-kappaB-essential modulator (@GENE$), receptor-interacting Ser/Thr kinase 1 (RIPK1), and other proteins.</t>
  </si>
  <si>
    <t>Upon stimulation with inflammatory cytokines such as TNF-alpha, @GENE$ conjugates an M1-polyubiquitin chain onto NF-kappaB-essential modulator (NEMO), @GENE$ (RIPK1), and other proteins.</t>
  </si>
  <si>
    <t>Upon stimulation with inflammatory cytokines such as TNF-alpha, @GENE$ conjugates an M1-polyubiquitin chain onto NF-kappaB-essential modulator (NEMO), receptor-interacting Ser/Thr kinase 1 (@GENE$), and other proteins.</t>
  </si>
  <si>
    <t>Upon stimulation with inflammatory cytokines such as TNF-alpha, LUBAC conjugates an M1-polyubiquitin chain onto @GENE$ (@GENE$), receptor-interacting Ser/Thr kinase 1 (RIPK1), and other proteins.</t>
  </si>
  <si>
    <t>Upon stimulation with inflammatory cytokines such as TNF-alpha, LUBAC conjugates an M1-polyubiquitin chain onto @GENE$ (NEMO), @GENE$ (RIPK1), and other proteins.</t>
  </si>
  <si>
    <t>Upon stimulation with inflammatory cytokines such as TNF-alpha, LUBAC conjugates an M1-polyubiquitin chain onto @GENE$ (NEMO), receptor-interacting Ser/Thr kinase 1 (@GENE$), and other proteins.</t>
  </si>
  <si>
    <t>Upon stimulation with inflammatory cytokines such as TNF-alpha, LUBAC conjugates an M1-polyubiquitin chain onto NF-kappaB-essential modulator (@GENE$), @GENE$ (RIPK1), and other proteins.</t>
  </si>
  <si>
    <t>Upon stimulation with inflammatory cytokines such as TNF-alpha, LUBAC conjugates an M1-polyubiquitin chain onto NF-kappaB-essential modulator (@GENE$), receptor-interacting Ser/Thr kinase 1 (@GENE$), and other proteins.</t>
  </si>
  <si>
    <t>Upon stimulation with inflammatory cytokines such as TNF-alpha, LUBAC conjugates an M1-polyubiquitin chain onto NF-kappaB-essential modulator (NEMO), @GENE$ (@GENE$), and other proteins.</t>
  </si>
  <si>
    <t>A much more recent line of evidence for DDR leading to this atypical ubiquitination stems from the research on @GENE$, an @GENE$ that generates the majority of cellular K6-linked species upon inhibition of the valosin-containing protein (VCP/p97/Cdc48).</t>
  </si>
  <si>
    <r>
      <rPr>
        <rFont val="Arial"/>
        <color theme="1"/>
        <sz val="10.0"/>
      </rPr>
      <t xml:space="preserve">(HUWE1, inhibits, VCP)
</t>
    </r>
    <r>
      <rPr>
        <rFont val="Arial"/>
        <color rgb="FF4A86E8"/>
        <sz val="10.0"/>
      </rPr>
      <t>[Jiaying] VCP/p97/Cdc48 inhibition causes HUWE1 to generate K6 ubiquitylations, not HUWE1 inhibits the VCP/p97/Cdc48 complex...?</t>
    </r>
  </si>
  <si>
    <t>A much more recent line of evidence for DDR leading to this atypical ubiquitination stems from the research on @GENE$, an E3 ligase that generates the majority of cellular @CHEMICAL$-linked species upon inhibition of the valosin-containing protein (VCP/p97/Cdc48).</t>
  </si>
  <si>
    <t>(HUWE1, inhibits, p97)</t>
  </si>
  <si>
    <t>A much more recent line of evidence for DDR leading to this atypical ubiquitination stems from the research on @GENE$, an E3 ligase that generates the majority of cellular K6-linked species upon inhibition of the @GENE$ (VCP/p97/Cdc48).</t>
  </si>
  <si>
    <t>(HUWE1, inhibits, Cdc48)</t>
  </si>
  <si>
    <t>A much more recent line of evidence for DDR leading to this atypical ubiquitination stems from the research on @GENE$, an E3 ligase that generates the majority of cellular K6-linked species upon inhibition of the valosin-containing protein (@GENE$/p97/Cdc48).</t>
  </si>
  <si>
    <t>A much more recent line of evidence for DDR leading to this atypical ubiquitination stems from the research on @GENE$, an E3 ligase that generates the majority of cellular K6-linked species upon inhibition of the valosin-containing protein (VCP/@GENE$/Cdc48).</t>
  </si>
  <si>
    <t>A much more recent line of evidence for DDR leading to this atypical ubiquitination stems from the research on @GENE$, an E3 ligase that generates the majority of cellular K6-linked species upon inhibition of the valosin-containing protein (VCP/p97/@GENE$).</t>
  </si>
  <si>
    <t>A much more recent line of evidence for DDR leading to this atypical ubiquitination stems from the research on HUWE1, an @GENE$ that generates the majority of cellular @CHEMICAL$-linked species upon inhibition of the valosin-containing protein (VCP/p97/Cdc48).</t>
  </si>
  <si>
    <t>A much more recent line of evidence for DDR leading to this atypical ubiquitination stems from the research on HUWE1, an @GENE$ that generates the majority of cellular K6-linked species upon inhibition of the @GENE$ (VCP/p97/Cdc48).</t>
  </si>
  <si>
    <t>A much more recent line of evidence for DDR leading to this atypical ubiquitination stems from the research on HUWE1, an @GENE$ that generates the majority of cellular K6-linked species upon inhibition of the valosin-containing protein (@GENE$/p97/Cdc48).</t>
  </si>
  <si>
    <t>A much more recent line of evidence for DDR leading to this atypical ubiquitination stems from the research on HUWE1, an @GENE$ that generates the majority of cellular K6-linked species upon inhibition of the valosin-containing protein (VCP/@GENE$/Cdc48).</t>
  </si>
  <si>
    <t>A much more recent line of evidence for DDR leading to this atypical ubiquitination stems from the research on HUWE1, an @GENE$ that generates the majority of cellular K6-linked species upon inhibition of the valosin-containing protein (VCP/p97/@GENE$).</t>
  </si>
  <si>
    <t>A much more recent line of evidence for DDR leading to this atypical ubiquitination stems from the research on HUWE1, an E3 ligase that generates the majority of cellular @CHEMICAL$-linked species upon inhibition of the @GENE$ (VCP/p97/Cdc48).</t>
  </si>
  <si>
    <t>A much more recent line of evidence for DDR leading to this atypical ubiquitination stems from the research on HUWE1, an E3 ligase that generates the majority of cellular @CHEMICAL$-linked species upon inhibition of the valosin-containing protein (@GENE$/p97/Cdc48).</t>
  </si>
  <si>
    <t>A much more recent line of evidence for DDR leading to this atypical ubiquitination stems from the research on HUWE1, an E3 ligase that generates the majority of cellular @CHEMICAL$-linked species upon inhibition of the valosin-containing protein (VCP/@GENE$/Cdc48).</t>
  </si>
  <si>
    <t>A much more recent line of evidence for DDR leading to this atypical ubiquitination stems from the research on HUWE1, an E3 ligase that generates the majority of cellular @CHEMICAL$-linked species upon inhibition of the valosin-containing protein (VCP/p97/@GENE$).</t>
  </si>
  <si>
    <t>A much more recent line of evidence for DDR leading to this atypical ubiquitination stems from the research on HUWE1, an E3 ligase that generates the majority of cellular K6-linked species upon inhibition of the @GENE$ (@GENE$/p97/Cdc48).</t>
  </si>
  <si>
    <t>A much more recent line of evidence for DDR leading to this atypical ubiquitination stems from the research on HUWE1, an E3 ligase that generates the majority of cellular K6-linked species upon inhibition of the @GENE$ (VCP/@GENE$/Cdc48).</t>
  </si>
  <si>
    <t>A much more recent line of evidence for DDR leading to this atypical ubiquitination stems from the research on HUWE1, an E3 ligase that generates the majority of cellular K6-linked species upon inhibition of the @GENE$ (VCP/p97/@GENE$).</t>
  </si>
  <si>
    <t>A much more recent line of evidence for DDR leading to this atypical ubiquitination stems from the research on HUWE1, an E3 ligase that generates the majority of cellular K6-linked species upon inhibition of the valosin-containing protein (@GENE$/@GENE$/Cdc48).</t>
  </si>
  <si>
    <t>A much more recent line of evidence for DDR leading to this atypical ubiquitination stems from the research on HUWE1, an E3 ligase that generates the majority of cellular K6-linked species upon inhibition of the valosin-containing protein (@GENE$/p97/@GENE$).</t>
  </si>
  <si>
    <t>A much more recent line of evidence for DDR leading to this atypical ubiquitination stems from the research on HUWE1, an E3 ligase that generates the majority of cellular K6-linked species upon inhibition of the valosin-containing protein (VCP/@GENE$/@GENE$).</t>
  </si>
  <si>
    <t>@GENE$ belongs to the @GENE$ family and functions as either an E3 or an E4 enzyme in protein ubiquitination. Lu et al. studied the differential degradation of TRA2A and PYCR2 by E3 ubiquitin ligase E4B. In their study, they validated the ubiquitination of TRA2A and PYCR2 by E4B in vitro and in mammalian cells. They found that E4B mediated the degradation by forming K11- and K48- linked polyubiquitin chains on TRA2A and PYCR2, respectively.</t>
  </si>
  <si>
    <t>(Ubiquitination of TRA2A and PYCR2 by E4B)</t>
  </si>
  <si>
    <t>@GENE$ belongs to the U-box E3 ubiquitin ligase family and functions as either an E3 or an E4 enzyme in protein ubiquitination. Lu et al. studied the differential degradation of @GENE$ and PYCR2 by E3 ubiquitin ligase E4B. In their study, they validated the ubiquitination of TRA2A and PYCR2 by E4B in vitro and in mammalian cells. They found that E4B mediated the degradation by forming K11- and K48- linked polyubiquitin chains on TRA2A and PYCR2, respectively.</t>
  </si>
  <si>
    <r>
      <rPr>
        <rFont val="Arial"/>
        <color theme="1"/>
        <sz val="10.0"/>
      </rPr>
      <t xml:space="preserve">Should be 3?
</t>
    </r>
    <r>
      <rPr>
        <rFont val="Arial"/>
        <color rgb="FF4A86E8"/>
        <sz val="10.0"/>
      </rPr>
      <t>[Jiaying] Not the best 2 mentions of E4B and TRA2A to show the ubiquitylation relation...?</t>
    </r>
  </si>
  <si>
    <t>@GENE$ belongs to the U-box E3 ubiquitin ligase family and functions as either an E3 or an E4 enzyme in protein ubiquitination. Lu et al. studied the differential degradation of TRA2A and @GENE$ by E3 ubiquitin ligase E4B. In their study, they validated the ubiquitination of TRA2A and PYCR2 by E4B in vitro and in mammalian cells. They found that E4B mediated the degradation by forming K11- and K48- linked polyubiquitin chains on TRA2A and PYCR2, respectively.</t>
  </si>
  <si>
    <r>
      <rPr>
        <rFont val="Arial"/>
        <color theme="1"/>
        <sz val="10.0"/>
      </rPr>
      <t xml:space="preserve">Should be 3?
</t>
    </r>
    <r>
      <rPr>
        <rFont val="Arial"/>
        <color rgb="FF4A86E8"/>
        <sz val="10.0"/>
      </rPr>
      <t>[Jiaying] Not the best 2 mentions of E4B and PYCR2 to show the ubiquitylation relation...?</t>
    </r>
  </si>
  <si>
    <t>@GENE$ belongs to the U-box E3 ubiquitin ligase family and functions as either an E3 or an E4 enzyme in protein ubiquitination. Lu et al. studied the differential degradation of TRA2A and PYCR2 by @GENE$ E4B. In their study, they validated the ubiquitination of TRA2A and PYCR2 by E4B in vitro and in mammalian cells. They found that E4B mediated the degradation by forming K11- and K48- linked polyubiquitin chains on TRA2A and PYCR2, respectively.</t>
  </si>
  <si>
    <t>@GENE$ belongs to the U-box E3 ubiquitin ligase family and functions as either an E3 or an E4 enzyme in protein ubiquitination. Lu et al. studied the differential degradation of TRA2A and PYCR2 by E3 ubiquitin ligase @GENE$ In their study, they validated the ubiquitination of TRA2A and PYCR2 by E4B in vitro and in mammalian cells. They found that E4B mediated the degradation by forming K11- and K48- linked polyubiquitin chains on TRA2A and PYCR2, respectively.</t>
  </si>
  <si>
    <t>@GENE$ belongs to the U-box E3 ubiquitin ligase family and functions as either an E3 or an E4 enzyme in protein ubiquitination. Lu et al. studied the differential degradation of TRA2A and PYCR2 by E3 ubiquitin ligase E4B. In their study, they validated the ubiquitination of @GENE$ and PYCR2 by E4B in vitro and in mammalian cells. They found that E4B mediated the degradation by forming K11- and K48- linked polyubiquitin chains on TRA2A and PYCR2, respectively.</t>
  </si>
  <si>
    <t>?</t>
  </si>
  <si>
    <t>[Jiaying] Not the best 2 mentions of E4B and TRA2A to show the ubiquitylation relation...?</t>
  </si>
  <si>
    <t>@GENE$ belongs to the U-box E3 ubiquitin ligase family and functions as either an E3 or an E4 enzyme in protein ubiquitination. Lu et al. studied the differential degradation of TRA2A and PYCR2 by E3 ubiquitin ligase E4B. In their study, they validated the ubiquitination of TRA2A and @GENE$ by E4B in vitro and in mammalian cells. They found that E4B mediated the degradation by forming K11- and K48- linked polyubiquitin chains on TRA2A and PYCR2, respectively.</t>
  </si>
  <si>
    <t>[Jiaying] Not the best 2 mentions of E4B and PYCR2 to show the ubiquitylation relation...?</t>
  </si>
  <si>
    <t>@GENE$ belongs to the U-box E3 ubiquitin ligase family and functions as either an E3 or an E4 enzyme in protein ubiquitination. Lu et al. studied the differential degradation of TRA2A and PYCR2 by E3 ubiquitin ligase E4B. In their study, they validated the ubiquitination of TRA2A and PYCR2 by @GENE$ in vitro and in mammalian cells. They found that E4B mediated the degradation by forming K11- and K48- linked polyubiquitin chains on TRA2A and PYCR2, respectively.</t>
  </si>
  <si>
    <t>@GENE$ belongs to the U-box E3 ubiquitin ligase family and functions as either an E3 or an E4 enzyme in protein ubiquitination. Lu et al. studied the differential degradation of TRA2A and PYCR2 by E3 ubiquitin ligase E4B. In their study, they validated the ubiquitination of TRA2A and PYCR2 by E4B in vitro and in mammalian cells. They found that @GENE$ mediated the degradation by forming K11- and K48- linked polyubiquitin chains on TRA2A and PYCR2, respectively.</t>
  </si>
  <si>
    <t>@GENE$ belongs to the U-box E3 ubiquitin ligase family and functions as either an E3 or an E4 enzyme in protein ubiquitination. Lu et al. studied the differential degradation of TRA2A and PYCR2 by E3 ubiquitin ligase E4B. In their study, they validated the ubiquitination of TRA2A and PYCR2 by E4B in vitro and in mammalian cells. They found that E4B mediated the degradation by forming K11- and K48- linked polyubiquitin chains on @GENE$ and PYCR2, respectively.</t>
  </si>
  <si>
    <t>@GENE$ belongs to the U-box E3 ubiquitin ligase family and functions as either an E3 or an E4 enzyme in protein ubiquitination. Lu et al. studied the differential degradation of TRA2A and PYCR2 by E3 ubiquitin ligase E4B. In their study, they validated the ubiquitination of TRA2A and PYCR2 by E4B in vitro and in mammalian cells. They found that E4B mediated the degradation by forming K11- and K48- linked polyubiquitin chains on TRA2A and @GENE$, respectively.</t>
  </si>
  <si>
    <t>E4B belongs to the @GENE$ family and functions as either an E3 or an E4 enzyme in protein ubiquitination. Lu et al. studied the differential degradation of @GENE$ and PYCR2 by E3 ubiquitin ligase E4B. In their study, they validated the ubiquitination of TRA2A and PYCR2 by E4B in vitro and in mammalian cells. They found that E4B mediated the degradation by forming K11- and K48- linked polyubiquitin chains on TRA2A and PYCR2, respectively.</t>
  </si>
  <si>
    <r>
      <rPr>
        <rFont val="Arial"/>
        <color theme="1"/>
        <sz val="10.0"/>
      </rPr>
      <t xml:space="preserve">E3 ubqituitin ligase too general or consider as relation?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t>
    </r>
  </si>
  <si>
    <t>E4B belongs to the @GENE$ family and functions as either an E3 or an E4 enzyme in protein ubiquitination. Lu et al. studied the differential degradation of TRA2A and @GENE$ by E3 ubiquitin ligase E4B. In their study, they validated the ubiquitination of TRA2A and PYCR2 by E4B in vitro and in mammalian cells. They found that E4B mediated the degradation by forming K11- and K48- linked polyubiquitin chains on TRA2A and PYCR2, respectively.</t>
  </si>
  <si>
    <r>
      <rPr>
        <rFont val="Arial"/>
        <color theme="1"/>
        <sz val="10.0"/>
      </rPr>
      <t xml:space="preserve">E3 ubqituitin ligase too general or consider as relation?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t>
    </r>
  </si>
  <si>
    <t>E4B belongs to the @GENE$ family and functions as either an E3 or an E4 enzyme in protein ubiquitination. Lu et al. studied the differential degradation of TRA2A and PYCR2 by @GENE$ E4B. In their study, they validated the ubiquitination of TRA2A and PYCR2 by E4B in vitro and in mammalian cells. They found that E4B mediated the degradation by forming K11- and K48- linked polyubiquitin chains on TRA2A and PYCR2, respectively.</t>
  </si>
  <si>
    <t>E4B belongs to the @GENE$ family and functions as either an E3 or an E4 enzyme in protein ubiquitination. Lu et al. studied the differential degradation of TRA2A and PYCR2 by E3 ubiquitin ligase @GENE$ In their study, they validated the ubiquitination of TRA2A and PYCR2 by E4B in vitro and in mammalian cells. They found that E4B mediated the degradation by forming K11- and K48- linked polyubiquitin chains on TRA2A and PYCR2, respectively.</t>
  </si>
  <si>
    <t>E4B belongs to the @GENE$ family and functions as either an E3 or an E4 enzyme in protein ubiquitination. Lu et al. studied the differential degradation of TRA2A and PYCR2 by E3 ubiquitin ligase E4B. In their study, they validated the ubiquitination of @GENE$ and PYCR2 by E4B in vitro and in mammalian cells. They found that E4B mediated the degradation by forming K11- and K48- linked polyubiquitin chains on TRA2A and PYCR2, respectively.</t>
  </si>
  <si>
    <r>
      <rPr>
        <rFont val="Arial"/>
        <color theme="1"/>
        <sz val="10.0"/>
      </rPr>
      <t xml:space="preserve">E3 ubqituitin ligase too general or consider as relation?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t>
    </r>
  </si>
  <si>
    <t>E4B belongs to the @GENE$ family and functions as either an E3 or an E4 enzyme in protein ubiquitination. Lu et al. studied the differential degradation of TRA2A and PYCR2 by E3 ubiquitin ligase E4B. In their study, they validated the ubiquitination of TRA2A and @GENE$ by E4B in vitro and in mammalian cells. They found that E4B mediated the degradation by forming K11- and K48- linked polyubiquitin chains on TRA2A and PYCR2, respectively.</t>
  </si>
  <si>
    <r>
      <rPr>
        <rFont val="Arial"/>
        <color theme="1"/>
        <sz val="10.0"/>
      </rPr>
      <t xml:space="preserve">E3 ubqituitin ligase too general or consider as relation?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t>
    </r>
  </si>
  <si>
    <t>E4B belongs to the @GENE$ family and functions as either an E3 or an E4 enzyme in protein ubiquitination. Lu et al. studied the differential degradation of TRA2A and PYCR2 by E3 ubiquitin ligase E4B. In their study, they validated the ubiquitination of TRA2A and PYCR2 by @GENE$ in vitro and in mammalian cells. They found that E4B mediated the degradation by forming K11- and K48- linked polyubiquitin chains on TRA2A and PYCR2, respectively.</t>
  </si>
  <si>
    <t>E4B belongs to the @GENE$ family and functions as either an E3 or an E4 enzyme in protein ubiquitination. Lu et al. studied the differential degradation of TRA2A and PYCR2 by E3 ubiquitin ligase E4B. In their study, they validated the ubiquitination of TRA2A and PYCR2 by E4B in vitro and in mammalian cells. They found that @GENE$ mediated the degradation by forming K11- and K48- linked polyubiquitin chains on TRA2A and PYCR2, respectively.</t>
  </si>
  <si>
    <t>E4B belongs to the @GENE$ family and functions as either an E3 or an E4 enzyme in protein ubiquitination. Lu et al. studied the differential degradation of TRA2A and PYCR2 by E3 ubiquitin ligase E4B. In their study, they validated the ubiquitination of TRA2A and PYCR2 by E4B in vitro and in mammalian cells. They found that E4B mediated the degradation by forming K11- and K48- linked polyubiquitin chains on @GENE$ and PYCR2, respectively.</t>
  </si>
  <si>
    <r>
      <rPr>
        <rFont val="Arial"/>
        <color theme="1"/>
        <sz val="10.0"/>
      </rPr>
      <t xml:space="preserve">E3 ubqituitin ligase too general or consider as relation?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t>
    </r>
  </si>
  <si>
    <t>E4B belongs to the @GENE$ family and functions as either an E3 or an E4 enzyme in protein ubiquitination. Lu et al. studied the differential degradation of TRA2A and PYCR2 by E3 ubiquitin ligase E4B. In their study, they validated the ubiquitination of TRA2A and PYCR2 by E4B in vitro and in mammalian cells. They found that E4B mediated the degradation by forming K11- and K48- linked polyubiquitin chains on TRA2A and @GENE$, respectively.</t>
  </si>
  <si>
    <r>
      <rPr>
        <rFont val="Arial"/>
        <color theme="1"/>
        <sz val="10.0"/>
      </rPr>
      <t xml:space="preserve">E3 ubqituitin ligase too general or consider as relation?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t>
    </r>
  </si>
  <si>
    <t>E4B belongs to the U-box E3 ubiquitin ligase family and functions as either an E3 or an E4 enzyme in protein ubiquitination. Lu et al. studied the differential degradation of @GENE$ and @GENE$ by E3 ubiquitin ligase E4B. In their study, they validated the ubiquitination of TRA2A and PYCR2 by E4B in vitro and in mammalian cells. They found that E4B mediated the degradation by forming K11- and K48- linked polyubiquitin chains on TRA2A and PYCR2, respectively.</t>
  </si>
  <si>
    <t>E4B belongs to the U-box E3 ubiquitin ligase family and functions as either an E3 or an E4 enzyme in protein ubiquitination. Lu et al. studied the differential degradation of @GENE$ and PYCR2 by @GENE$ E4B. In their study, they validated the ubiquitination of TRA2A and PYCR2 by E4B in vitro and in mammalian cells. They found that E4B mediated the degradation by forming K11- and K48- linked polyubiquitin chains on TRA2A and PYCR2, respectively.</t>
  </si>
  <si>
    <r>
      <rPr>
        <rFont val="Arial"/>
        <color theme="1"/>
        <sz val="10.0"/>
      </rPr>
      <t xml:space="preserve">E3 ubqituitin ligase too general or consider as relation?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t>
    </r>
  </si>
  <si>
    <t>E4B belongs to the U-box E3 ubiquitin ligase family and functions as either an E3 or an E4 enzyme in protein ubiquitination. Lu et al. studied the differential degradation of @GENE$ and PYCR2 by E3 ubiquitin ligase @GENE$ In their study, they validated the ubiquitination of TRA2A and PYCR2 by E4B in vitro and in mammalian cells. They found that E4B mediated the degradation by forming K11- and K48- linked polyubiquitin chains on TRA2A and PYCR2, respectively.</t>
  </si>
  <si>
    <r>
      <rPr>
        <rFont val="Arial"/>
        <color theme="1"/>
        <sz val="10.0"/>
      </rPr>
      <t xml:space="preserve">E3 ubqituitin ligase too general or consider as relation? 
</t>
    </r>
    <r>
      <rPr>
        <rFont val="Arial"/>
        <color rgb="FF4A86E8"/>
        <sz val="10.0"/>
      </rPr>
      <t>[Jiaying] Not the best 2 mentions of E4B and TRA2A to show the ubiquitylation relation...?</t>
    </r>
  </si>
  <si>
    <t>E4B belongs to the U-box E3 ubiquitin ligase family and functions as either an E3 or an E4 enzyme in protein ubiquitination. Lu et al. studied the differential degradation of @GENE$ and PYCR2 by E3 ubiquitin ligase E4B. In their study, they validated the ubiquitination of @GENE$ and PYCR2 by E4B in vitro and in mammalian cells. They found that E4B mediated the degradation by forming K11- and K48- linked polyubiquitin chains on TRA2A and PYCR2, respectively.</t>
  </si>
  <si>
    <t>E4B belongs to the U-box E3 ubiquitin ligase family and functions as either an E3 or an E4 enzyme in protein ubiquitination. Lu et al. studied the differential degradation of @GENE$ and PYCR2 by E3 ubiquitin ligase E4B. In their study, they validated the ubiquitination of TRA2A and @GENE$ by E4B in vitro and in mammalian cells. They found that E4B mediated the degradation by forming K11- and K48- linked polyubiquitin chains on TRA2A and PYCR2, respectively.</t>
  </si>
  <si>
    <t>E4B belongs to the U-box E3 ubiquitin ligase family and functions as either an E3 or an E4 enzyme in protein ubiquitination. Lu et al. studied the differential degradation of @GENE$ and PYCR2 by E3 ubiquitin ligase E4B. In their study, they validated the ubiquitination of TRA2A and PYCR2 by @GENE$ in vitro and in mammalian cells. They found that E4B mediated the degradation by forming K11- and K48- linked polyubiquitin chains on TRA2A and PYCR2, respectively.</t>
  </si>
  <si>
    <t>E4B belongs to the U-box E3 ubiquitin ligase family and functions as either an E3 or an E4 enzyme in protein ubiquitination. Lu et al. studied the differential degradation of @GENE$ and PYCR2 by E3 ubiquitin ligase E4B. In their study, they validated the ubiquitination of TRA2A and PYCR2 by E4B in vitro and in mammalian cells. They found that @GENE$ mediated the degradation by forming K11- and K48- linked polyubiquitin chains on TRA2A and PYCR2, respectively.</t>
  </si>
  <si>
    <t>E4B belongs to the U-box E3 ubiquitin ligase family and functions as either an E3 or an E4 enzyme in protein ubiquitination. Lu et al. studied the differential degradation of @GENE$ and PYCR2 by E3 ubiquitin ligase E4B. In their study, they validated the ubiquitination of TRA2A and PYCR2 by E4B in vitro and in mammalian cells. They found that E4B mediated the degradation by forming K11- and K48- linked polyubiquitin chains on @GENE$ and PYCR2, respectively.</t>
  </si>
  <si>
    <t>E4B belongs to the U-box E3 ubiquitin ligase family and functions as either an E3 or an E4 enzyme in protein ubiquitination. Lu et al. studied the differential degradation of @GENE$ and PYCR2 by E3 ubiquitin ligase E4B. In their study, they validated the ubiquitination of TRA2A and PYCR2 by E4B in vitro and in mammalian cells. They found that E4B mediated the degradation by forming K11- and K48- linked polyubiquitin chains on TRA2A and @GENE$, respectively.</t>
  </si>
  <si>
    <t>E4B belongs to the U-box E3 ubiquitin ligase family and functions as either an E3 or an E4 enzyme in protein ubiquitination. Lu et al. studied the differential degradation of TRA2A and @GENE$ by @GENE$ E4B. In their study, they validated the ubiquitination of TRA2A and PYCR2 by E4B in vitro and in mammalian cells. They found that E4B mediated the degradation by forming K11- and K48- linked polyubiquitin chains on TRA2A and PYCR2, respectively.</t>
  </si>
  <si>
    <r>
      <rPr>
        <rFont val="Arial"/>
        <color theme="1"/>
        <sz val="10.0"/>
      </rPr>
      <t xml:space="preserve">E3 ubqituitin ligase too general or consider as relation?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t>
    </r>
  </si>
  <si>
    <t>E4B belongs to the U-box E3 ubiquitin ligase family and functions as either an E3 or an E4 enzyme in protein ubiquitination. Lu et al. studied the differential degradation of TRA2A and @GENE$ by E3 ubiquitin ligase @GENE$ In their study, they validated the ubiquitination of TRA2A and PYCR2 by E4B in vitro and in mammalian cells. They found that E4B mediated the degradation by forming K11- and K48- linked polyubiquitin chains on TRA2A and PYCR2, respectively.</t>
  </si>
  <si>
    <t>E4B belongs to the U-box E3 ubiquitin ligase family and functions as either an E3 or an E4 enzyme in protein ubiquitination. Lu et al. studied the differential degradation of TRA2A and @GENE$ by E3 ubiquitin ligase E4B. In their study, they validated the ubiquitination of @GENE$ and PYCR2 by E4B in vitro and in mammalian cells. They found that E4B mediated the degradation by forming K11- and K48- linked polyubiquitin chains on TRA2A and PYCR2, respectively.</t>
  </si>
  <si>
    <t>E4B belongs to the U-box E3 ubiquitin ligase family and functions as either an E3 or an E4 enzyme in protein ubiquitination. Lu et al. studied the differential degradation of TRA2A and @GENE$ by E3 ubiquitin ligase E4B. In their study, they validated the ubiquitination of TRA2A and @GENE$ by E4B in vitro and in mammalian cells. They found that E4B mediated the degradation by forming K11- and K48- linked polyubiquitin chains on TRA2A and PYCR2, respectively.</t>
  </si>
  <si>
    <t>E4B belongs to the U-box E3 ubiquitin ligase family and functions as either an E3 or an E4 enzyme in protein ubiquitination. Lu et al. studied the differential degradation of TRA2A and @GENE$ by E3 ubiquitin ligase E4B. In their study, they validated the ubiquitination of TRA2A and PYCR2 by @GENE$ in vitro and in mammalian cells. They found that E4B mediated the degradation by forming K11- and K48- linked polyubiquitin chains on TRA2A and PYCR2, respectively.</t>
  </si>
  <si>
    <t>E4B belongs to the U-box E3 ubiquitin ligase family and functions as either an E3 or an E4 enzyme in protein ubiquitination. Lu et al. studied the differential degradation of TRA2A and @GENE$ by E3 ubiquitin ligase E4B. In their study, they validated the ubiquitination of TRA2A and PYCR2 by E4B in vitro and in mammalian cells. They found that @GENE$ mediated the degradation by forming K11- and K48- linked polyubiquitin chains on TRA2A and PYCR2, respectively.</t>
  </si>
  <si>
    <t>E4B belongs to the U-box E3 ubiquitin ligase family and functions as either an E3 or an E4 enzyme in protein ubiquitination. Lu et al. studied the differential degradation of TRA2A and @GENE$ by E3 ubiquitin ligase E4B. In their study, they validated the ubiquitination of TRA2A and PYCR2 by E4B in vitro and in mammalian cells. They found that E4B mediated the degradation by forming K11- and K48- linked polyubiquitin chains on @GENE$ and PYCR2, respectively.</t>
  </si>
  <si>
    <t>E4B belongs to the U-box E3 ubiquitin ligase family and functions as either an E3 or an E4 enzyme in protein ubiquitination. Lu et al. studied the differential degradation of TRA2A and @GENE$ by E3 ubiquitin ligase E4B. In their study, they validated the ubiquitination of TRA2A and PYCR2 by E4B in vitro and in mammalian cells. They found that E4B mediated the degradation by forming K11- and K48- linked polyubiquitin chains on TRA2A and @GENE$, respectively.</t>
  </si>
  <si>
    <t>E4B belongs to the U-box E3 ubiquitin ligase family and functions as either an E3 or an E4 enzyme in protein ubiquitination. Lu et al. studied the differential degradation of TRA2A and PYCR2 by @GENE$ @GENE$ In their study, they validated the ubiquitination of TRA2A and PYCR2 by E4B in vitro and in mammalian cells. They found that E4B mediated the degradation by forming K11- and K48- linked polyubiquitin chains on TRA2A and PYCR2, respectively.</t>
  </si>
  <si>
    <t>E4B belongs to the U-box E3 ubiquitin ligase family and functions as either an E3 or an E4 enzyme in protein ubiquitination. Lu et al. studied the differential degradation of TRA2A and PYCR2 by @GENE$ E4B. In their study, they validated the ubiquitination of @GENE$ and PYCR2 by E4B in vitro and in mammalian cells. They found that E4B mediated the degradation by forming K11- and K48- linked polyubiquitin chains on TRA2A and PYCR2, respectively.</t>
  </si>
  <si>
    <r>
      <rPr>
        <rFont val="Arial"/>
        <color theme="1"/>
        <sz val="10.0"/>
      </rPr>
      <t xml:space="preserve">E3 ubqituitin ligase too general or consider as relation?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t>
    </r>
  </si>
  <si>
    <t>E4B belongs to the U-box E3 ubiquitin ligase family and functions as either an E3 or an E4 enzyme in protein ubiquitination. Lu et al. studied the differential degradation of TRA2A and PYCR2 by @GENE$ E4B. In their study, they validated the ubiquitination of TRA2A and @GENE$ by E4B in vitro and in mammalian cells. They found that E4B mediated the degradation by forming K11- and K48- linked polyubiquitin chains on TRA2A and PYCR2, respectively.</t>
  </si>
  <si>
    <r>
      <rPr>
        <rFont val="Arial"/>
        <color theme="1"/>
        <sz val="10.0"/>
      </rPr>
      <t xml:space="preserve">E3 ubqituitin ligase too general or consider as relation?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t>
    </r>
  </si>
  <si>
    <t>E4B belongs to the U-box E3 ubiquitin ligase family and functions as either an E3 or an E4 enzyme in protein ubiquitination. Lu et al. studied the differential degradation of TRA2A and PYCR2 by @GENE$ E4B. In their study, they validated the ubiquitination of TRA2A and PYCR2 by @GENE$ in vitro and in mammalian cells. They found that E4B mediated the degradation by forming K11- and K48- linked polyubiquitin chains on TRA2A and PYCR2, respectively.</t>
  </si>
  <si>
    <t>E4B belongs to the U-box E3 ubiquitin ligase family and functions as either an E3 or an E4 enzyme in protein ubiquitination. Lu et al. studied the differential degradation of TRA2A and PYCR2 by @GENE$ E4B. In their study, they validated the ubiquitination of TRA2A and PYCR2 by E4B in vitro and in mammalian cells. They found that @GENE$ mediated the degradation by forming K11- and K48- linked polyubiquitin chains on TRA2A and PYCR2, respectively.</t>
  </si>
  <si>
    <t>E4B belongs to the U-box E3 ubiquitin ligase family and functions as either an E3 or an E4 enzyme in protein ubiquitination. Lu et al. studied the differential degradation of TRA2A and PYCR2 by @GENE$ E4B. In their study, they validated the ubiquitination of TRA2A and PYCR2 by E4B in vitro and in mammalian cells. They found that E4B mediated the degradation by forming K11- and K48- linked polyubiquitin chains on @GENE$ and PYCR2, respectively.</t>
  </si>
  <si>
    <r>
      <rPr>
        <rFont val="Arial"/>
        <color theme="1"/>
        <sz val="10.0"/>
      </rPr>
      <t xml:space="preserve">E3 ubqituitin ligase too general or consider as relation?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t>
    </r>
  </si>
  <si>
    <t>E4B belongs to the U-box E3 ubiquitin ligase family and functions as either an E3 or an E4 enzyme in protein ubiquitination. Lu et al. studied the differential degradation of TRA2A and PYCR2 by @GENE$ E4B. In their study, they validated the ubiquitination of TRA2A and PYCR2 by E4B in vitro and in mammalian cells. They found that E4B mediated the degradation by forming K11- and K48- linked polyubiquitin chains on TRA2A and @GENE$, respectively.</t>
  </si>
  <si>
    <r>
      <rPr>
        <rFont val="Arial"/>
        <color theme="1"/>
        <sz val="10.0"/>
      </rPr>
      <t xml:space="preserve">E3 ubqituitin ligase too general or consider as relation?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t>
    </r>
  </si>
  <si>
    <t>E4B belongs to the U-box E3 ubiquitin ligase family and functions as either an E3 or an E4 enzyme in protein ubiquitination. Lu et al. studied the differential degradation of TRA2A and PYCR2 by E3 ubiquitin ligase @GENE$ In their study, they validated the ubiquitination of @GENE$ and PYCR2 by E4B in vitro and in mammalian cells. They found that E4B mediated the degradation by forming K11- and K48- linked polyubiquitin chains on TRA2A and PYCR2, respectively.</t>
  </si>
  <si>
    <t>E4B belongs to the U-box E3 ubiquitin ligase family and functions as either an E3 or an E4 enzyme in protein ubiquitination. Lu et al. studied the differential degradation of TRA2A and PYCR2 by E3 ubiquitin ligase @GENE$ In their study, they validated the ubiquitination of TRA2A and @GENE$ by E4B in vitro and in mammalian cells. They found that E4B mediated the degradation by forming K11- and K48- linked polyubiquitin chains on TRA2A and PYCR2, respectively.</t>
  </si>
  <si>
    <t>E4B belongs to the U-box E3 ubiquitin ligase family and functions as either an E3 or an E4 enzyme in protein ubiquitination. Lu et al. studied the differential degradation of TRA2A and PYCR2 by E3 ubiquitin ligase @GENE$ In their study, they validated the ubiquitination of TRA2A and PYCR2 by @GENE$ in vitro and in mammalian cells. They found that E4B mediated the degradation by forming K11- and K48- linked polyubiquitin chains on TRA2A and PYCR2, respectively.</t>
  </si>
  <si>
    <t>E4B belongs to the U-box E3 ubiquitin ligase family and functions as either an E3 or an E4 enzyme in protein ubiquitination. Lu et al. studied the differential degradation of TRA2A and PYCR2 by E3 ubiquitin ligase @GENE$ In their study, they validated the ubiquitination of TRA2A and PYCR2 by E4B in vitro and in mammalian cells. They found that @GENE$ mediated the degradation by forming K11- and K48- linked polyubiquitin chains on TRA2A and PYCR2, respectively.</t>
  </si>
  <si>
    <t>E4B belongs to the U-box E3 ubiquitin ligase family and functions as either an E3 or an E4 enzyme in protein ubiquitination. Lu et al. studied the differential degradation of TRA2A and PYCR2 by E3 ubiquitin ligase @GENE$ In their study, they validated the ubiquitination of TRA2A and PYCR2 by E4B in vitro and in mammalian cells. They found that E4B mediated the degradation by forming K11- and K48- linked polyubiquitin chains on @GENE$ and PYCR2, respectively.</t>
  </si>
  <si>
    <t>E4B belongs to the U-box E3 ubiquitin ligase family and functions as either an E3 or an E4 enzyme in protein ubiquitination. Lu et al. studied the differential degradation of TRA2A and PYCR2 by E3 ubiquitin ligase @GENE$ In their study, they validated the ubiquitination of TRA2A and PYCR2 by E4B in vitro and in mammalian cells. They found that E4B mediated the degradation by forming K11- and K48- linked polyubiquitin chains on TRA2A and @GENE$, respectively.</t>
  </si>
  <si>
    <t>E4B belongs to the U-box E3 ubiquitin ligase family and functions as either an E3 or an E4 enzyme in protein ubiquitination. Lu et al. studied the differential degradation of TRA2A and PYCR2 by E3 ubiquitin ligase E4B. In their study, they validated the ubiquitination of @GENE$ and @GENE$ by E4B in vitro and in mammalian cells. They found that E4B mediated the degradation by forming K11- and K48- linked polyubiquitin chains on TRA2A and PYCR2, respectively.</t>
  </si>
  <si>
    <t>E4B belongs to the U-box E3 ubiquitin ligase family and functions as either an E3 or an E4 enzyme in protein ubiquitination. Lu et al. studied the differential degradation of TRA2A and PYCR2 by E3 ubiquitin ligase E4B. In their study, they validated the ubiquitination of @GENE$ and PYCR2 by @GENE$ in vitro and in mammalian cells. They found that E4B mediated the degradation by forming K11- and K48- linked polyubiquitin chains on TRA2A and PYCR2, respectively.</t>
  </si>
  <si>
    <t>E4B belongs to the U-box E3 ubiquitin ligase family and functions as either an E3 or an E4 enzyme in protein ubiquitination. Lu et al. studied the differential degradation of TRA2A and PYCR2 by E3 ubiquitin ligase E4B. In their study, they validated the ubiquitination of @GENE$ and PYCR2 by E4B in vitro and in mammalian cells. They found that @GENE$ mediated the degradation by forming K11- and K48- linked polyubiquitin chains on TRA2A and PYCR2, respectively.</t>
  </si>
  <si>
    <t>E4B belongs to the U-box E3 ubiquitin ligase family and functions as either an E3 or an E4 enzyme in protein ubiquitination. Lu et al. studied the differential degradation of TRA2A and PYCR2 by E3 ubiquitin ligase E4B. In their study, they validated the ubiquitination of @GENE$ and PYCR2 by E4B in vitro and in mammalian cells. They found that E4B mediated the degradation by forming K11- and K48- linked polyubiquitin chains on @GENE$ and PYCR2, respectively.</t>
  </si>
  <si>
    <t>E4B belongs to the U-box E3 ubiquitin ligase family and functions as either an E3 or an E4 enzyme in protein ubiquitination. Lu et al. studied the differential degradation of TRA2A and PYCR2 by E3 ubiquitin ligase E4B. In their study, they validated the ubiquitination of @GENE$ and PYCR2 by E4B in vitro and in mammalian cells. They found that E4B mediated the degradation by forming K11- and K48- linked polyubiquitin chains on TRA2A and @GENE$, respectively.</t>
  </si>
  <si>
    <t>E4B belongs to the U-box E3 ubiquitin ligase family and functions as either an E3 or an E4 enzyme in protein ubiquitination. Lu et al. studied the differential degradation of TRA2A and PYCR2 by E3 ubiquitin ligase E4B. In their study, they validated the ubiquitination of TRA2A and @GENE$ by @GENE$ in vitro and in mammalian cells. They found that E4B mediated the degradation by forming K11- and K48- linked polyubiquitin chains on TRA2A and PYCR2, respectively.</t>
  </si>
  <si>
    <t>E4B belongs to the U-box E3 ubiquitin ligase family and functions as either an E3 or an E4 enzyme in protein ubiquitination. Lu et al. studied the differential degradation of TRA2A and PYCR2 by E3 ubiquitin ligase E4B. In their study, they validated the ubiquitination of TRA2A and @GENE$ by E4B in vitro and in mammalian cells. They found that @GENE$ mediated the degradation by forming K11- and K48- linked polyubiquitin chains on TRA2A and PYCR2, respectively.</t>
  </si>
  <si>
    <t>E4B belongs to the U-box E3 ubiquitin ligase family and functions as either an E3 or an E4 enzyme in protein ubiquitination. Lu et al. studied the differential degradation of TRA2A and PYCR2 by E3 ubiquitin ligase E4B. In their study, they validated the ubiquitination of TRA2A and @GENE$ by E4B in vitro and in mammalian cells. They found that E4B mediated the degradation by forming K11- and K48- linked polyubiquitin chains on @GENE$ and PYCR2, respectively.</t>
  </si>
  <si>
    <t>E4B belongs to the U-box E3 ubiquitin ligase family and functions as either an E3 or an E4 enzyme in protein ubiquitination. Lu et al. studied the differential degradation of TRA2A and PYCR2 by E3 ubiquitin ligase E4B. In their study, they validated the ubiquitination of TRA2A and @GENE$ by E4B in vitro and in mammalian cells. They found that E4B mediated the degradation by forming K11- and K48- linked polyubiquitin chains on TRA2A and @GENE$, respectively.</t>
  </si>
  <si>
    <t>E4B belongs to the U-box E3 ubiquitin ligase family and functions as either an E3 or an E4 enzyme in protein ubiquitination. Lu et al. studied the differential degradation of TRA2A and PYCR2 by E3 ubiquitin ligase E4B. In their study, they validated the ubiquitination of TRA2A and PYCR2 by @GENE$ in vitro and in mammalian cells. They found that @GENE$ mediated the degradation by forming K11- and K48- linked polyubiquitin chains on TRA2A and PYCR2, respectively.</t>
  </si>
  <si>
    <t>E4B belongs to the U-box E3 ubiquitin ligase family and functions as either an E3 or an E4 enzyme in protein ubiquitination. Lu et al. studied the differential degradation of TRA2A and PYCR2 by E3 ubiquitin ligase E4B. In their study, they validated the ubiquitination of TRA2A and PYCR2 by @GENE$ in vitro and in mammalian cells. They found that E4B mediated the degradation by forming K11- and K48- linked polyubiquitin chains on @GENE$ and PYCR2, respectively.</t>
  </si>
  <si>
    <t>E4B belongs to the U-box E3 ubiquitin ligase family and functions as either an E3 or an E4 enzyme in protein ubiquitination. Lu et al. studied the differential degradation of TRA2A and PYCR2 by E3 ubiquitin ligase E4B. In their study, they validated the ubiquitination of TRA2A and PYCR2 by @GENE$ in vitro and in mammalian cells. They found that E4B mediated the degradation by forming K11- and K48- linked polyubiquitin chains on TRA2A and @GENE$, respectively.</t>
  </si>
  <si>
    <t>E4B belongs to the U-box E3 ubiquitin ligase family and functions as either an E3 or an E4 enzyme in protein ubiquitination. Lu et al. studied the differential degradation of TRA2A and PYCR2 by E3 ubiquitin ligase E4B. In their study, they validated the ubiquitination of TRA2A and PYCR2 by E4B in vitro and in mammalian cells. They found that @GENE$ mediated the degradation by forming K11- and K48- linked polyubiquitin chains on @GENE$ and PYCR2, respectively.</t>
  </si>
  <si>
    <t>E4B belongs to the U-box E3 ubiquitin ligase family and functions as either an E3 or an E4 enzyme in protein ubiquitination. Lu et al. studied the differential degradation of TRA2A and PYCR2 by E3 ubiquitin ligase E4B. In their study, they validated the ubiquitination of TRA2A and PYCR2 by E4B in vitro and in mammalian cells. They found that @GENE$ mediated the degradation by forming K11- and K48- linked polyubiquitin chains on TRA2A and @GENE$, respectively.</t>
  </si>
  <si>
    <t>E4B belongs to the U-box E3 ubiquitin ligase family and functions as either an E3 or an E4 enzyme in protein ubiquitination. Lu et al. studied the differential degradation of TRA2A and PYCR2 by E3 ubiquitin ligase E4B. In their study, they validated the ubiquitination of TRA2A and PYCR2 by E4B in vitro and in mammalian cells. They found that E4B mediated the degradation by forming K11- and K48- linked polyubiquitin chains on @GENE$ and @GENE$, respectively.</t>
  </si>
  <si>
    <t>Polyubiquitination of @GENE$ and @GENE$ is induced by stimulation of interleukin-1 receptor (IL-1R) or of TLRs by pathogens.</t>
  </si>
  <si>
    <t>(IL-1R, induces polyubiquitylation of, IRAK-1)</t>
  </si>
  <si>
    <t>Polyubiquitination of @GENE$ and TRAF6 is induced by stimulation of @GENE$ (IL-1R) or of TLRs by pathogens.</t>
  </si>
  <si>
    <t>(IL-1R, induces polyubiquitylation of, TRAF6)</t>
  </si>
  <si>
    <t>Polyubiquitination of @GENE$ and TRAF6 is induced by stimulation of interleukin-1 receptor (@GENE$) or of TLRs by pathogens.</t>
  </si>
  <si>
    <t>Polyubiquitination of @GENE$ and TRAF6 is induced by stimulation of interleukin-1 receptor (IL-1R) or of @GENE$ by pathogens.</t>
  </si>
  <si>
    <t>Polyubiquitination of IRAK-1 and @GENE$ is induced by stimulation of @GENE$ (IL-1R) or of TLRs by pathogens.</t>
  </si>
  <si>
    <t>Polyubiquitination of IRAK-1 and @GENE$ is induced by stimulation of interleukin-1 receptor (@GENE$) or of TLRs by pathogens.</t>
  </si>
  <si>
    <t>Polyubiquitination of IRAK-1 and @GENE$ is induced by stimulation of interleukin-1 receptor (IL-1R) or of @GENE$ by pathogens.</t>
  </si>
  <si>
    <t>Polyubiquitination of IRAK-1 and TRAF6 is induced by stimulation of @GENE$ (@GENE$) or of TLRs by pathogens.</t>
  </si>
  <si>
    <t>Polyubiquitination of IRAK-1 and TRAF6 is induced by stimulation of @GENE$ (IL-1R) or of @GENE$ by pathogens.</t>
  </si>
  <si>
    <t>Polyubiquitination of IRAK-1 and TRAF6 is induced by stimulation of interleukin-1 receptor (@GENE$) or of @GENE$ by pathogens.</t>
  </si>
  <si>
    <t>For example, the @GENE$ family of E2 enzymes directly ubiquitinate the substrate @GENE$ in a manner independent of ubiquitin ligase E3, and conjugated ubiquitin is protected from active deubiquitination.</t>
  </si>
  <si>
    <t>(SETDB1, ubiquitylated by, UBE2E)</t>
  </si>
  <si>
    <t>For example, the @GENE$ family of E2 enzymes directly ubiquitinate the substrate SETDB1 in a manner independent of @GENE$ E3, and conjugated ubiquitin is protected from active deubiquitination.</t>
  </si>
  <si>
    <t>For example, the @GENE$ family of E2 enzymes directly ubiquitinate the substrate SETDB1 in a manner independent of ubiquitin ligase @GENE$, and conjugated ubiquitin is protected from active deubiquitination.</t>
  </si>
  <si>
    <t>For example, the @GENE$ family of E2 enzymes directly ubiquitinate the substrate SETDB1 in a manner independent of ubiquitin ligase E3, and conjugated @GENE$ is protected from active deubiquitination.</t>
  </si>
  <si>
    <t>For example, the UBE2E family of E2 enzymes directly ubiquitinate the substrate @GENE$ in a manner independent of @GENE$ E3, and conjugated ubiquitin is protected from active deubiquitination.</t>
  </si>
  <si>
    <t>For example, the UBE2E family of E2 enzymes directly ubiquitinate the substrate @GENE$ in a manner independent of ubiquitin ligase @GENE$, and conjugated ubiquitin is protected from active deubiquitination.</t>
  </si>
  <si>
    <t>For example, the UBE2E family of E2 enzymes directly ubiquitinate the substrate @GENE$ in a manner independent of ubiquitin ligase E3, and conjugated @GENE$ is protected from active deubiquitination.</t>
  </si>
  <si>
    <t>For example, the UBE2E family of E2 enzymes directly ubiquitinate the substrate SETDB1 in a manner independent of @GENE$ @GENE$, and conjugated ubiquitin is protected from active deubiquitination.</t>
  </si>
  <si>
    <t>For example, the UBE2E family of E2 enzymes directly ubiquitinate the substrate SETDB1 in a manner independent of @GENE$ E3, and conjugated @GENE$ is protected from active deubiquitination.</t>
  </si>
  <si>
    <t>For example, the UBE2E family of E2 enzymes directly ubiquitinate the substrate SETDB1 in a manner independent of ubiquitin ligase @GENE$, and conjugated @GENE$ is protected from active deubiquitination.</t>
  </si>
  <si>
    <t>Our results are consistent with a model in which @GENE$ is ubiquitinated by @GENE$ proteins, and accumulation of the resulting ubiquitin-BRD1732 conjugate leads to competitive inhibition of the ubiquitin-proteasome system (Fig. 4F).</t>
  </si>
  <si>
    <t>(BRD1732, ubiquitinated by, RNF19)</t>
  </si>
  <si>
    <t>Our results are consistent with a model in which @GENE$ is ubiquitinated by RNF19 proteins, and accumulation of the resulting ubiquitin-@GENE$ conjugate leads to competitive inhibition of the ubiquitin-proteasome system (Fig. 4F).</t>
  </si>
  <si>
    <t>Our results are consistent with a model in which BRD1732 is ubiquitinated by @GENE$ proteins, and accumulation of the resulting ubiquitin-@GENE$ conjugate leads to competitive inhibition of the ubiquitin-proteasome system (Fig. 4F).</t>
  </si>
  <si>
    <t>The N-terminal end of proteins can be also targeted for ubiquitination. The @GENE$, @GENE$ catalyzes ubiquitination on the N-terminal end of UCHL1 and UCHL5, altering their DUB activity. There are also several other proteins such as FKBP1A, SURF4, DUT, GADD45A, TXNL1, EIFR3G, TAM1, STAM, and PAPOLA targeted for the N-terminal ubiquitination in which the role of ubiquitination and the responsible enzymes remain unclear.</t>
  </si>
  <si>
    <t>The N-terminal end of proteins can be also targeted for ubiquitination. The @GENE$, UBE2W catalyzes ubiquitination on the N-terminal end of @GENE$ and UCHL5, altering their DUB activity. There are also several other proteins such as FKBP1A, SURF4, DUT, GADD45A, TXNL1, EIFR3G, TAM1, STAM, and PAPOLA targeted for the N-terminal ubiquitination in which the role of ubiquitination and the responsible enzymes remain unclear.</t>
  </si>
  <si>
    <r>
      <rPr>
        <rFont val="Arial"/>
        <color theme="1"/>
        <sz val="10.0"/>
      </rPr>
      <t xml:space="preserve">ubiquitin-conjugating enzyme too general?
</t>
    </r>
    <r>
      <rPr>
        <rFont val="Arial"/>
        <color rgb="FF4A86E8"/>
        <sz val="10.0"/>
      </rPr>
      <t>[Jiaying] agreed "ubiquitin-conjugating enzyme" is too general a term</t>
    </r>
  </si>
  <si>
    <t>The N-terminal end of proteins can be also targeted for ubiquitination. The @GENE$, UBE2W catalyzes ubiquitination on the N-terminal end of UCHL1 and @GENE$, altering their DUB activity. There are also several other proteins such as FKBP1A, SURF4, DUT, GADD45A, TXNL1, EIFR3G, TAM1, STAM, and PAPOLA targeted for the N-terminal ubiquitination in which the role of ubiquitination and the responsible enzymes remain unclear.</t>
  </si>
  <si>
    <r>
      <rPr>
        <rFont val="Arial"/>
        <color theme="1"/>
        <sz val="10.0"/>
      </rPr>
      <t xml:space="preserve">ubiquitin-conjugating enzyme too general?
</t>
    </r>
    <r>
      <rPr>
        <rFont val="Arial"/>
        <color rgb="FF4A86E8"/>
        <sz val="10.0"/>
      </rPr>
      <t>[Jiaying] agreed "ubiquitin-conjugating enzyme" is too general a term</t>
    </r>
  </si>
  <si>
    <t>The N-terminal end of proteins can be also targeted for ubiquitination. The @GENE$, UBE2W catalyzes ubiquitination on the N-terminal end of UCHL1 and UCHL5, altering their @GENE$ activity. There are also several other proteins such as FKBP1A, SURF4, DUT, GADD45A, TXNL1, EIFR3G, TAM1, STAM, and PAPOLA targeted for the N-terminal ubiquitination in which the role of ubiquitination and the responsible enzymes remain unclear.</t>
  </si>
  <si>
    <t>The N-terminal end of proteins can be also targeted for ubiquitination. The @GENE$, UBE2W catalyzes ubiquitination on the N-terminal end of UCHL1 and UCHL5, altering their DUB activity. There are also several other proteins such as @GENE$, SURF4, DUT, GADD45A, TXNL1, EIFR3G, TAM1, STAM, and PAPOLA targeted for the N-terminal ubiquitination in which the role of ubiquitination and the responsible enzymes remain unclear.</t>
  </si>
  <si>
    <r>
      <rPr>
        <rFont val="Arial"/>
        <color theme="1"/>
        <sz val="10.0"/>
      </rPr>
      <t xml:space="preserve">ubiquitin-conjugating enzyme too general?
</t>
    </r>
    <r>
      <rPr>
        <rFont val="Arial"/>
        <color rgb="FF4A86E8"/>
        <sz val="10.0"/>
      </rPr>
      <t>[Jiaying] agreed "ubiquitin-conjugating enzyme" is too general a term</t>
    </r>
  </si>
  <si>
    <t>The N-terminal end of proteins can be also targeted for ubiquitination. The @GENE$, UBE2W catalyzes ubiquitination on the N-terminal end of UCHL1 and UCHL5, altering their DUB activity. There are also several other proteins such as FKBP1A, @GENE$, DUT, GADD45A, TXNL1, EIFR3G, TAM1, STAM, and PAPOLA targeted for the N-terminal ubiquitination in which the role of ubiquitination and the responsible enzymes remain unclear.</t>
  </si>
  <si>
    <r>
      <rPr>
        <rFont val="Arial"/>
        <color theme="1"/>
        <sz val="10.0"/>
      </rPr>
      <t xml:space="preserve">ubiquitin-conjugating enzyme too general?
</t>
    </r>
    <r>
      <rPr>
        <rFont val="Arial"/>
        <color rgb="FF4A86E8"/>
        <sz val="10.0"/>
      </rPr>
      <t>[Jiaying] agreed "ubiquitin-conjugating enzyme" is too general a term</t>
    </r>
  </si>
  <si>
    <t>The N-terminal end of proteins can be also targeted for ubiquitination. The @GENE$, UBE2W catalyzes ubiquitination on the N-terminal end of UCHL1 and UCHL5, altering their DUB activity. There are also several other proteins such as FKBP1A, SURF4, @GENE$, GADD45A, TXNL1, EIFR3G, TAM1, STAM, and PAPOLA targeted for the N-terminal ubiquitination in which the role of ubiquitination and the responsible enzymes remain unclear.</t>
  </si>
  <si>
    <r>
      <rPr>
        <rFont val="Arial"/>
        <color theme="1"/>
        <sz val="10.0"/>
      </rPr>
      <t xml:space="preserve">ubiquitin-conjugating enzyme too general?
</t>
    </r>
    <r>
      <rPr>
        <rFont val="Arial"/>
        <color rgb="FF4A86E8"/>
        <sz val="10.0"/>
      </rPr>
      <t>[Jiaying] agreed "ubiquitin-conjugating enzyme" is too general a term</t>
    </r>
  </si>
  <si>
    <t>The N-terminal end of proteins can be also targeted for ubiquitination. The @GENE$, UBE2W catalyzes ubiquitination on the N-terminal end of UCHL1 and UCHL5, altering their DUB activity. There are also several other proteins such as FKBP1A, SURF4, DUT, @GENE$, TXNL1, EIFR3G, TAM1, STAM, and PAPOLA targeted for the N-terminal ubiquitination in which the role of ubiquitination and the responsible enzymes remain unclear.</t>
  </si>
  <si>
    <r>
      <rPr>
        <rFont val="Arial"/>
        <color theme="1"/>
        <sz val="10.0"/>
      </rPr>
      <t xml:space="preserve">ubiquitin-conjugating enzyme too general?
</t>
    </r>
    <r>
      <rPr>
        <rFont val="Arial"/>
        <color rgb="FF4A86E8"/>
        <sz val="10.0"/>
      </rPr>
      <t>[Jiaying] agreed "ubiquitin-conjugating enzyme" is too general a term</t>
    </r>
  </si>
  <si>
    <t>The N-terminal end of proteins can be also targeted for ubiquitination. The @GENE$, UBE2W catalyzes ubiquitination on the N-terminal end of UCHL1 and UCHL5, altering their DUB activity. There are also several other proteins such as FKBP1A, SURF4, DUT, GADD45A, @GENE$, EIFR3G, TAM1, STAM, and PAPOLA targeted for the N-terminal ubiquitination in which the role of ubiquitination and the responsible enzymes remain unclear.</t>
  </si>
  <si>
    <r>
      <rPr>
        <rFont val="Arial"/>
        <color theme="1"/>
        <sz val="10.0"/>
      </rPr>
      <t xml:space="preserve">ubiquitin-conjugating enzyme too general?
</t>
    </r>
    <r>
      <rPr>
        <rFont val="Arial"/>
        <color rgb="FF4A86E8"/>
        <sz val="10.0"/>
      </rPr>
      <t>[Jiaying] agreed "ubiquitin-conjugating enzyme" is too general a term</t>
    </r>
  </si>
  <si>
    <t>The N-terminal end of proteins can be also targeted for ubiquitination. The @GENE$, UBE2W catalyzes ubiquitination on the N-terminal end of UCHL1 and UCHL5, altering their DUB activity. There are also several other proteins such as FKBP1A, SURF4, DUT, GADD45A, TXNL1, @GENE$, TAM1, STAM, and PAPOLA targeted for the N-terminal ubiquitination in which the role of ubiquitination and the responsible enzymes remain unclear.</t>
  </si>
  <si>
    <r>
      <rPr>
        <rFont val="Arial"/>
        <color theme="1"/>
        <sz val="10.0"/>
      </rPr>
      <t xml:space="preserve">ubiquitin-conjugating enzyme too general?
</t>
    </r>
    <r>
      <rPr>
        <rFont val="Arial"/>
        <color rgb="FF4A86E8"/>
        <sz val="10.0"/>
      </rPr>
      <t>[Jiaying] agreed "ubiquitin-conjugating enzyme" is too general a term</t>
    </r>
  </si>
  <si>
    <t>The N-terminal end of proteins can be also targeted for ubiquitination. The @GENE$, UBE2W catalyzes ubiquitination on the N-terminal end of UCHL1 and UCHL5, altering their DUB activity. There are also several other proteins such as FKBP1A, SURF4, DUT, GADD45A, TXNL1, EIFR3G, @GENE$, STAM, and PAPOLA targeted for the N-terminal ubiquitination in which the role of ubiquitination and the responsible enzymes remain unclear.</t>
  </si>
  <si>
    <r>
      <rPr>
        <rFont val="Arial"/>
        <color theme="1"/>
        <sz val="10.0"/>
      </rPr>
      <t xml:space="preserve">ubiquitin-conjugating enzyme too general?
</t>
    </r>
    <r>
      <rPr>
        <rFont val="Arial"/>
        <color rgb="FF4A86E8"/>
        <sz val="10.0"/>
      </rPr>
      <t>[Jiaying] agreed "ubiquitin-conjugating enzyme" is too general a term</t>
    </r>
  </si>
  <si>
    <t>The N-terminal end of proteins can be also targeted for ubiquitination. The @GENE$, UBE2W catalyzes ubiquitination on the N-terminal end of UCHL1 and UCHL5, altering their DUB activity. There are also several other proteins such as FKBP1A, SURF4, DUT, GADD45A, TXNL1, EIFR3G, TAM1, @GENE$, and PAPOLA targeted for the N-terminal ubiquitination in which the role of ubiquitination and the responsible enzymes remain unclear.</t>
  </si>
  <si>
    <r>
      <rPr>
        <rFont val="Arial"/>
        <color theme="1"/>
        <sz val="10.0"/>
      </rPr>
      <t xml:space="preserve">ubiquitin-conjugating enzyme too general?
</t>
    </r>
    <r>
      <rPr>
        <rFont val="Arial"/>
        <color rgb="FF4A86E8"/>
        <sz val="10.0"/>
      </rPr>
      <t>[Jiaying] agreed "ubiquitin-conjugating enzyme" is too general a term</t>
    </r>
  </si>
  <si>
    <t>The N-terminal end of proteins can be also targeted for ubiquitination. The @GENE$, UBE2W catalyzes ubiquitination on the N-terminal end of UCHL1 and UCHL5, altering their DUB activity. There are also several other proteins such as FKBP1A, SURF4, DUT, GADD45A, TXNL1, EIFR3G, TAM1, STAM, and @GENE$ targeted for the N-terminal ubiquitination in which the role of ubiquitination and the responsible enzymes remain unclear.</t>
  </si>
  <si>
    <r>
      <rPr>
        <rFont val="Arial"/>
        <color theme="1"/>
        <sz val="10.0"/>
      </rPr>
      <t xml:space="preserve">ubiquitin-conjugating enzyme too general?
</t>
    </r>
    <r>
      <rPr>
        <rFont val="Arial"/>
        <color rgb="FF4A86E8"/>
        <sz val="10.0"/>
      </rPr>
      <t>[Jiaying] agreed "ubiquitin-conjugating enzyme" is too general a term</t>
    </r>
  </si>
  <si>
    <t>The N-terminal end of proteins can be also targeted for ubiquitination. The ubiquitin-conjugating enzyme, @GENE$ catalyzes ubiquitination on the N-terminal end of @GENE$ and UCHL5, altering their DUB activity. There are also several other proteins such as FKBP1A, SURF4, DUT, GADD45A, TXNL1, EIFR3G, TAM1, STAM, and PAPOLA targeted for the N-terminal ubiquitination in which the role of ubiquitination and the responsible enzymes remain unclear.</t>
  </si>
  <si>
    <t>The N-terminal end of proteins can be also targeted for ubiquitination. The ubiquitin-conjugating enzyme, @GENE$ catalyzes ubiquitination on the N-terminal end of UCHL1 and @GENE$, altering their DUB activity. There are also several other proteins such as FKBP1A, SURF4, DUT, GADD45A, TXNL1, EIFR3G, TAM1, STAM, and PAPOLA targeted for the N-terminal ubiquitination in which the role of ubiquitination and the responsible enzymes remain unclear.</t>
  </si>
  <si>
    <t>The N-terminal end of proteins can be also targeted for ubiquitination. The ubiquitin-conjugating enzyme, @GENE$ catalyzes ubiquitination on the N-terminal end of UCHL1 and UCHL5, altering their @GENE$ activity. There are also several other proteins such as FKBP1A, SURF4, DUT, GADD45A, TXNL1, EIFR3G, TAM1, STAM, and PAPOLA targeted for the N-terminal ubiquitination in which the role of ubiquitination and the responsible enzymes remain unclear.</t>
  </si>
  <si>
    <t>The N-terminal end of proteins can be also targeted for ubiquitination. The ubiquitin-conjugating enzyme, @GENE$ catalyzes ubiquitination on the N-terminal end of UCHL1 and UCHL5, altering their DUB activity. There are also several other proteins such as @GENE$, SURF4, DUT, GADD45A, TXNL1, EIFR3G, TAM1, STAM, and PAPOLA targeted for the N-terminal ubiquitination in which the role of ubiquitination and the responsible enzymes remain unclear.</t>
  </si>
  <si>
    <r>
      <rPr>
        <rFont val="Arial"/>
        <color theme="1"/>
        <sz val="10.0"/>
      </rPr>
      <t xml:space="preserve">Unclear if UBE2W is the entity targetting the ubiquitination of proteins in the third sentence
</t>
    </r>
    <r>
      <rPr>
        <rFont val="Arial"/>
        <color rgb="FF4A86E8"/>
        <sz val="10.0"/>
      </rPr>
      <t>[Jiaying] agreed the ubiquitinating entity is unclear and may not be UBE2W, especially when the 3rd sentence ends with "the role of ubiquitination and the responsible enzymes remain unclear"</t>
    </r>
  </si>
  <si>
    <t>The N-terminal end of proteins can be also targeted for ubiquitination. The ubiquitin-conjugating enzyme, @GENE$ catalyzes ubiquitination on the N-terminal end of UCHL1 and UCHL5, altering their DUB activity. There are also several other proteins such as FKBP1A, @GENE$, DUT, GADD45A, TXNL1, EIFR3G, TAM1, STAM, and PAPOLA targeted for the N-terminal ubiquitination in which the role of ubiquitination and the responsible enzymes remain unclear.</t>
  </si>
  <si>
    <r>
      <rPr>
        <rFont val="Arial"/>
        <color theme="1"/>
        <sz val="10.0"/>
      </rPr>
      <t xml:space="preserve">Unclear if UBE2W is the entity targetting the ubiquitination of proteins in the third sentence
</t>
    </r>
    <r>
      <rPr>
        <rFont val="Arial"/>
        <color rgb="FF4A86E8"/>
        <sz val="10.0"/>
      </rPr>
      <t>[Jiaying] agreed the ubiquitinating entity is unclear and may not be UBE2W, especially when the 3rd sentence ends with "the role of ubiquitination and the responsible enzymes remain unclear"</t>
    </r>
  </si>
  <si>
    <t>The N-terminal end of proteins can be also targeted for ubiquitination. The ubiquitin-conjugating enzyme, @GENE$ catalyzes ubiquitination on the N-terminal end of UCHL1 and UCHL5, altering their DUB activity. There are also several other proteins such as FKBP1A, SURF4, @GENE$, GADD45A, TXNL1, EIFR3G, TAM1, STAM, and PAPOLA targeted for the N-terminal ubiquitination in which the role of ubiquitination and the responsible enzymes remain unclear.</t>
  </si>
  <si>
    <r>
      <rPr>
        <rFont val="Arial"/>
        <color theme="1"/>
        <sz val="10.0"/>
      </rPr>
      <t xml:space="preserve">Unclear if UBE2W is the entity targetting the ubiquitination of proteins in the third sentence
</t>
    </r>
    <r>
      <rPr>
        <rFont val="Arial"/>
        <color rgb="FF4A86E8"/>
        <sz val="10.0"/>
      </rPr>
      <t>[Jiaying] agreed the ubiquitinating entity is unclear and may not be UBE2W, especially when the 3rd sentence ends with "the role of ubiquitination and the responsible enzymes remain unclear"</t>
    </r>
  </si>
  <si>
    <t>The N-terminal end of proteins can be also targeted for ubiquitination. The ubiquitin-conjugating enzyme, @GENE$ catalyzes ubiquitination on the N-terminal end of UCHL1 and UCHL5, altering their DUB activity. There are also several other proteins such as FKBP1A, SURF4, DUT, @GENE$, TXNL1, EIFR3G, TAM1, STAM, and PAPOLA targeted for the N-terminal ubiquitination in which the role of ubiquitination and the responsible enzymes remain unclear.</t>
  </si>
  <si>
    <r>
      <rPr>
        <rFont val="Arial"/>
        <color theme="1"/>
        <sz val="10.0"/>
      </rPr>
      <t xml:space="preserve">Unclear if UBE2W is the entity targetting the ubiquitination of proteins in the third sentence
</t>
    </r>
    <r>
      <rPr>
        <rFont val="Arial"/>
        <color rgb="FF4A86E8"/>
        <sz val="10.0"/>
      </rPr>
      <t>[Jiaying] agreed the ubiquitinating entity is unclear and may not be UBE2W, especially when the 3rd sentence ends with "the role of ubiquitination and the responsible enzymes remain unclear"</t>
    </r>
  </si>
  <si>
    <t>The N-terminal end of proteins can be also targeted for ubiquitination. The ubiquitin-conjugating enzyme, @GENE$ catalyzes ubiquitination on the N-terminal end of UCHL1 and UCHL5, altering their DUB activity. There are also several other proteins such as FKBP1A, SURF4, DUT, GADD45A, @GENE$, EIFR3G, TAM1, STAM, and PAPOLA targeted for the N-terminal ubiquitination in which the role of ubiquitination and the responsible enzymes remain unclear.</t>
  </si>
  <si>
    <r>
      <rPr>
        <rFont val="Arial"/>
        <color theme="1"/>
        <sz val="10.0"/>
      </rPr>
      <t xml:space="preserve">Unclear if UBE2W is the entity targetting the ubiquitination of proteins in the third sentence
</t>
    </r>
    <r>
      <rPr>
        <rFont val="Arial"/>
        <color rgb="FF4A86E8"/>
        <sz val="10.0"/>
      </rPr>
      <t>[Jiaying] agreed the ubiquitinating entity is unclear and may not be UBE2W, especially when the 3rd sentence ends with "the role of ubiquitination and the responsible enzymes remain unclear"</t>
    </r>
  </si>
  <si>
    <t>The N-terminal end of proteins can be also targeted for ubiquitination. The ubiquitin-conjugating enzyme, @GENE$ catalyzes ubiquitination on the N-terminal end of UCHL1 and UCHL5, altering their DUB activity. There are also several other proteins such as FKBP1A, SURF4, DUT, GADD45A, TXNL1, @GENE$, TAM1, STAM, and PAPOLA targeted for the N-terminal ubiquitination in which the role of ubiquitination and the responsible enzymes remain unclear.</t>
  </si>
  <si>
    <r>
      <rPr>
        <rFont val="Arial"/>
        <color theme="1"/>
        <sz val="10.0"/>
      </rPr>
      <t xml:space="preserve">Unclear if UBE2W is the entity targetting the ubiquitination of proteins in the third sentence
</t>
    </r>
    <r>
      <rPr>
        <rFont val="Arial"/>
        <color rgb="FF4A86E8"/>
        <sz val="10.0"/>
      </rPr>
      <t>[Jiaying] agreed the ubiquitinating entity is unclear and may not be UBE2W, especially when the 3rd sentence ends with "the role of ubiquitination and the responsible enzymes remain unclear"</t>
    </r>
  </si>
  <si>
    <t>The N-terminal end of proteins can be also targeted for ubiquitination. The ubiquitin-conjugating enzyme, @GENE$ catalyzes ubiquitination on the N-terminal end of UCHL1 and UCHL5, altering their DUB activity. There are also several other proteins such as FKBP1A, SURF4, DUT, GADD45A, TXNL1, EIFR3G, @GENE$, STAM, and PAPOLA targeted for the N-terminal ubiquitination in which the role of ubiquitination and the responsible enzymes remain unclear.</t>
  </si>
  <si>
    <r>
      <rPr>
        <rFont val="Arial"/>
        <color theme="1"/>
        <sz val="10.0"/>
      </rPr>
      <t xml:space="preserve">Unclear if UBE2W is the entity targetting the ubiquitination of proteins in the third sentence
</t>
    </r>
    <r>
      <rPr>
        <rFont val="Arial"/>
        <color rgb="FF4A86E8"/>
        <sz val="10.0"/>
      </rPr>
      <t>[Jiaying] agreed the ubiquitinating entity is unclear and may not be UBE2W, especially when the 3rd sentence ends with "the role of ubiquitination and the responsible enzymes remain unclear"</t>
    </r>
  </si>
  <si>
    <t>The N-terminal end of proteins can be also targeted for ubiquitination. The ubiquitin-conjugating enzyme, @GENE$ catalyzes ubiquitination on the N-terminal end of UCHL1 and UCHL5, altering their DUB activity. There are also several other proteins such as FKBP1A, SURF4, DUT, GADD45A, TXNL1, EIFR3G, TAM1, @GENE$, and PAPOLA targeted for the N-terminal ubiquitination in which the role of ubiquitination and the responsible enzymes remain unclear.</t>
  </si>
  <si>
    <r>
      <rPr>
        <rFont val="Arial"/>
        <color theme="1"/>
        <sz val="10.0"/>
      </rPr>
      <t xml:space="preserve">Unclear if UBE2W is the entity targetting the ubiquitination of proteins in the third sentence
</t>
    </r>
    <r>
      <rPr>
        <rFont val="Arial"/>
        <color rgb="FF4A86E8"/>
        <sz val="10.0"/>
      </rPr>
      <t>[Jiaying] agreed the ubiquitinating entity is unclear and may not be UBE2W, especially when the 3rd sentence ends with "the role of ubiquitination and the responsible enzymes remain unclear"</t>
    </r>
  </si>
  <si>
    <t>The N-terminal end of proteins can be also targeted for ubiquitination. The ubiquitin-conjugating enzyme, @GENE$ catalyzes ubiquitination on the N-terminal end of UCHL1 and UCHL5, altering their DUB activity. There are also several other proteins such as FKBP1A, SURF4, DUT, GADD45A, TXNL1, EIFR3G, TAM1, STAM, and @GENE$ targeted for the N-terminal ubiquitination in which the role of ubiquitination and the responsible enzymes remain unclear.</t>
  </si>
  <si>
    <r>
      <rPr>
        <rFont val="Arial"/>
        <color theme="1"/>
        <sz val="10.0"/>
      </rPr>
      <t xml:space="preserve">Unclear if UBE2W is the entity targetting the ubiquitination of proteins in the third sentence
</t>
    </r>
    <r>
      <rPr>
        <rFont val="Arial"/>
        <color rgb="FF4A86E8"/>
        <sz val="10.0"/>
      </rPr>
      <t>[Jiaying] agreed the ubiquitinating entity is unclear and may not be UBE2W, especially when the 3rd sentence ends with "the role of ubiquitination and the responsible enzymes remain unclear"</t>
    </r>
  </si>
  <si>
    <t>The N-terminal end of proteins can be also targeted for ubiquitination. The ubiquitin-conjugating enzyme, UBE2W catalyzes ubiquitination on the N-terminal end of @GENE$ and @GENE$, altering their DUB activity. There are also several other proteins such as FKBP1A, SURF4, DUT, GADD45A, TXNL1, EIFR3G,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</si>
  <si>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@GENE$ and UCHL5, altering their @GENE$ activity. There are also several other proteins such as FKBP1A, SURF4, DUT, GADD45A, TXNL1, EIFR3G,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</si>
  <si>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@GENE$ and UCHL5, altering their DUB activity. There are also several other proteins such as @GENE$, SURF4, DUT, GADD45A, TXNL1, EIFR3G,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</si>
  <si>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@GENE$ and UCHL5, altering their DUB activity. There are also several other proteins such as FKBP1A, @GENE$, DUT, GADD45A, TXNL1, EIFR3G,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</si>
  <si>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@GENE$ and UCHL5, altering their DUB activity. There are also several other proteins such as FKBP1A, SURF4, @GENE$, GADD45A, TXNL1, EIFR3G,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</si>
  <si>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@GENE$ and UCHL5, altering their DUB activity. There are also several other proteins such as FKBP1A, SURF4, DUT, @GENE$, TXNL1, EIFR3G,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</si>
  <si>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@GENE$ and UCHL5, altering their DUB activity. There are also several other proteins such as FKBP1A, SURF4, DUT, GADD45A, @GENE$, EIFR3G,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</si>
  <si>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@GENE$ and UCHL5, altering their DUB activity. There are also several other proteins such as FKBP1A, SURF4, DUT, GADD45A, TXNL1, @GENE$,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</si>
  <si>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@GENE$ and UCHL5, altering their DUB activity. There are also several other proteins such as FKBP1A, SURF4, DUT, GADD45A, TXNL1, EIFR3G, @GENE$,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</si>
  <si>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@GENE$ and UCHL5, altering their DUB activity. There are also several other proteins such as FKBP1A, SURF4, DUT, GADD45A, TXNL1, EIFR3G, TAM1, @GENE$,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</si>
  <si>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@GENE$ and UCHL5, altering their DUB activity. There are also several other proteins such as FKBP1A, SURF4, DUT, GADD45A, TXNL1, EIFR3G, TAM1, STAM, and @GENE$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</si>
  <si>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@GENE$, altering their @GENE$ activity. There are also several other proteins such as FKBP1A, SURF4, DUT, GADD45A, TXNL1, EIFR3G,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</si>
  <si>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@GENE$, altering their DUB activity. There are also several other proteins such as @GENE$, SURF4, DUT, GADD45A, TXNL1, EIFR3G,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</si>
  <si>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@GENE$, altering their DUB activity. There are also several other proteins such as FKBP1A, @GENE$, DUT, GADD45A, TXNL1, EIFR3G,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</si>
  <si>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@GENE$, altering their DUB activity. There are also several other proteins such as FKBP1A, SURF4, @GENE$, GADD45A, TXNL1, EIFR3G,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</si>
  <si>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@GENE$, altering their DUB activity. There are also several other proteins such as FKBP1A, SURF4, DUT, @GENE$, TXNL1, EIFR3G,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</si>
  <si>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@GENE$, altering their DUB activity. There are also several other proteins such as FKBP1A, SURF4, DUT, GADD45A, @GENE$, EIFR3G,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</si>
  <si>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@GENE$, altering their DUB activity. There are also several other proteins such as FKBP1A, SURF4, DUT, GADD45A, TXNL1, @GENE$,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</si>
  <si>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@GENE$, altering their DUB activity. There are also several other proteins such as FKBP1A, SURF4, DUT, GADD45A, TXNL1, EIFR3G, @GENE$,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</si>
  <si>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@GENE$, altering their DUB activity. There are also several other proteins such as FKBP1A, SURF4, DUT, GADD45A, TXNL1, EIFR3G, TAM1, @GENE$,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</si>
  <si>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@GENE$, altering their DUB activity. There are also several other proteins such as FKBP1A, SURF4, DUT, GADD45A, TXNL1, EIFR3G, TAM1, STAM, and @GENE$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</si>
  <si>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@GENE$ activity. There are also several other proteins such as @GENE$, SURF4, DUT, GADD45A, TXNL1, EIFR3G,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</si>
  <si>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@GENE$ activity. There are also several other proteins such as FKBP1A, @GENE$, DUT, GADD45A, TXNL1, EIFR3G,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</si>
  <si>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@GENE$ activity. There are also several other proteins such as FKBP1A, SURF4, @GENE$, GADD45A, TXNL1, EIFR3G,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</si>
  <si>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@GENE$ activity. There are also several other proteins such as FKBP1A, SURF4, DUT, @GENE$, TXNL1, EIFR3G,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</si>
  <si>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@GENE$ activity. There are also several other proteins such as FKBP1A, SURF4, DUT, GADD45A, @GENE$, EIFR3G,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</si>
  <si>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@GENE$ activity. There are also several other proteins such as FKBP1A, SURF4, DUT, GADD45A, TXNL1, @GENE$,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</si>
  <si>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@GENE$ activity. There are also several other proteins such as FKBP1A, SURF4, DUT, GADD45A, TXNL1, EIFR3G, @GENE$,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</si>
  <si>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@GENE$ activity. There are also several other proteins such as FKBP1A, SURF4, DUT, GADD45A, TXNL1, EIFR3G, TAM1, @GENE$,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</si>
  <si>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@GENE$ activity. There are also several other proteins such as FKBP1A, SURF4, DUT, GADD45A, TXNL1, EIFR3G, TAM1, STAM, and @GENE$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</si>
  <si>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@GENE$, @GENE$, DUT, GADD45A, TXNL1, EIFR3G,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</si>
  <si>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@GENE$, SURF4, @GENE$, GADD45A, TXNL1, EIFR3G,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</si>
  <si>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@GENE$, SURF4, DUT, @GENE$, TXNL1, EIFR3G,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</si>
  <si>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@GENE$, SURF4, DUT, GADD45A, @GENE$, EIFR3G,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</si>
  <si>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@GENE$, SURF4, DUT, GADD45A, TXNL1, @GENE$,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</si>
  <si>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@GENE$, SURF4, DUT, GADD45A, TXNL1, EIFR3G, @GENE$,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</si>
  <si>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@GENE$, SURF4, DUT, GADD45A, TXNL1, EIFR3G, TAM1, @GENE$,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</si>
  <si>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@GENE$, SURF4, DUT, GADD45A, TXNL1, EIFR3G, TAM1, STAM, and @GENE$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</si>
  <si>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FKBP1A, @GENE$, @GENE$, GADD45A, TXNL1, EIFR3G,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</si>
  <si>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FKBP1A, @GENE$, DUT, @GENE$, TXNL1, EIFR3G,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</si>
  <si>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FKBP1A, @GENE$, DUT, GADD45A, @GENE$, EIFR3G,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</si>
  <si>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FKBP1A, @GENE$, DUT, GADD45A, TXNL1, @GENE$,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</si>
  <si>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FKBP1A, @GENE$, DUT, GADD45A, TXNL1, EIFR3G, @GENE$,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</si>
  <si>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FKBP1A, @GENE$, DUT, GADD45A, TXNL1, EIFR3G, TAM1, @GENE$,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</si>
  <si>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FKBP1A, @GENE$, DUT, GADD45A, TXNL1, EIFR3G, TAM1, STAM, and @GENE$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</si>
  <si>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FKBP1A, SURF4, @GENE$, @GENE$, TXNL1, EIFR3G,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</si>
  <si>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FKBP1A, SURF4, @GENE$, GADD45A, @GENE$, EIFR3G,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</si>
  <si>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FKBP1A, SURF4, @GENE$, GADD45A, TXNL1, @GENE$,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</si>
  <si>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FKBP1A, SURF4, @GENE$, GADD45A, TXNL1, EIFR3G, @GENE$,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</si>
  <si>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FKBP1A, SURF4, @GENE$, GADD45A, TXNL1, EIFR3G, TAM1, @GENE$,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</si>
  <si>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FKBP1A, SURF4, @GENE$, GADD45A, TXNL1, EIFR3G, TAM1, STAM, and @GENE$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</si>
  <si>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FKBP1A, SURF4, DUT, @GENE$, @GENE$, EIFR3G,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</si>
  <si>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FKBP1A, SURF4, DUT, @GENE$, TXNL1, @GENE$,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</si>
  <si>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FKBP1A, SURF4, DUT, @GENE$, TXNL1, EIFR3G, @GENE$,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</si>
  <si>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FKBP1A, SURF4, DUT, @GENE$, TXNL1, EIFR3G, TAM1, @GENE$,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</si>
  <si>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FKBP1A, SURF4, DUT, @GENE$, TXNL1, EIFR3G, TAM1, STAM, and @GENE$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</si>
  <si>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FKBP1A, SURF4, DUT, GADD45A, @GENE$, @GENE$, TAM1,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</si>
  <si>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FKBP1A, SURF4, DUT, GADD45A, @GENE$, EIFR3G, @GENE$,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</si>
  <si>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FKBP1A, SURF4, DUT, GADD45A, @GENE$, EIFR3G, TAM1, @GENE$,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</si>
  <si>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FKBP1A, SURF4, DUT, GADD45A, @GENE$, EIFR3G, TAM1, STAM, and @GENE$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</si>
  <si>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FKBP1A, SURF4, DUT, GADD45A, TXNL1, @GENE$, @GENE$, STAM,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</si>
  <si>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FKBP1A, SURF4, DUT, GADD45A, TXNL1, @GENE$, TAM1, @GENE$,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</si>
  <si>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FKBP1A, SURF4, DUT, GADD45A, TXNL1, @GENE$, TAM1, STAM, and @GENE$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</si>
  <si>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FKBP1A, SURF4, DUT, GADD45A, TXNL1, EIFR3G, @GENE$, @GENE$, and PAPOLA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</si>
  <si>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FKBP1A, SURF4, DUT, GADD45A, TXNL1, EIFR3G, @GENE$, STAM, and @GENE$ targeted for the N-terminal ubiquitination in which the role of ubiquitination and the responsible enzymes remain unclear.</t>
  </si>
  <si>
    <t>The N-terminal end of proteins can be also targeted for ubiquitination. The ubiquitin-conjugating enzyme, UBE2W catalyzes ubiquitination on the N-terminal end of UCHL1 and UCHL5, altering their DUB activity. There are also several other proteins such as FKBP1A, SURF4, DUT, GADD45A, TXNL1, EIFR3G, TAM1, @GENE$, and @GENE$ targeted for the N-terminal ubiquitination in which the role of ubiquitination and the responsible enzymes remain unclear.</t>
  </si>
  <si>
    <t>Ubiquitination of @CHEMICAL$ is catalyzed by the RING-type ubiquitin @GENE$ RNF213/Mysterin (Fig. 3 B), a distinct E3 ligase linked to Moyamoya disease, a cerebrovascular disorder.</t>
  </si>
  <si>
    <t>Should be 0? Ligase is tagged as the @GENE$?
[Jiaying] agreed should be 0 - "ligase" is too generic a term to be biologically meaningful</t>
  </si>
  <si>
    <t>"ligase" tagged as @GENE$ instead of "RING-type ubiquitin ligase"??</t>
  </si>
  <si>
    <t>Ubiquitination of @CHEMICAL$ is catalyzed by the RING-type ubiquitin ligase @GENE$/Mysterin (Fig. 3 B), a distinct E3 ligase linked to Moyamoya disease, a cerebrovascular disorder.</t>
  </si>
  <si>
    <t>Ubiquitination of @CHEMICAL$ is catalyzed by the RING-type ubiquitin ligase RNF213/@GENE$ (Fig. 3 B), a distinct E3 ligase linked to Moyamoya disease, a cerebrovascular disorder.</t>
  </si>
  <si>
    <r>
      <rPr>
        <rFont val="Arial"/>
        <color theme="1"/>
        <sz val="10.0"/>
      </rPr>
      <t xml:space="preserve">Should be 3
</t>
    </r>
    <r>
      <rPr>
        <rFont val="Arial"/>
        <color rgb="FF4A86E8"/>
        <sz val="10.0"/>
      </rPr>
      <t>[Jiaying] agreed should be 3</t>
    </r>
  </si>
  <si>
    <t>Ubiquitination of @CHEMICAL$ is catalyzed by the RING-type ubiquitin ligase RNF213/Mysterin (Fig. 3 B), a distinct @GENE$ linked to Moyamoya disease, a cerebrovascular disorder.</t>
  </si>
  <si>
    <r>
      <rPr>
        <rFont val="Arial"/>
        <color theme="1"/>
        <sz val="10.0"/>
      </rPr>
      <t xml:space="preserve">Should be 3? Or is E3 ligase too general?
</t>
    </r>
    <r>
      <rPr>
        <rFont val="Arial"/>
        <color rgb="FF4A86E8"/>
        <sz val="10.0"/>
      </rPr>
      <t>[Jiaying] Not sure if "E3 ligase" is too generic but we should be consistent with the above input texts whether we consider "E3 ligase" as a valid entity or not; we have been accepting it as a "protein family" in previous input texts...</t>
    </r>
  </si>
  <si>
    <t>Ubiquitination of @CHEMICAL$ is catalyzed by the RING-type ubiquitin ligase RNF213/Mysterin (Fig. 3 B), a distinct E3 ligase linked to @DISEASE$, a cerebrovascular disorder.</t>
  </si>
  <si>
    <t>Ubiquitination of @CHEMICAL$ is catalyzed by the RING-type ubiquitin ligase RNF213/Mysterin (Fig. 3 B), a distinct E3 ligase linked to Moyamoya disease, a @DISEASE$.</t>
  </si>
  <si>
    <t>Ubiquitination of LPS is catalyzed by the RING-type ubiquitin @GENE$ @GENE$/Mysterin (Fig. 3 B), a distinct E3 ligase linked to Moyamoya disease, a cerebrovascular disorder.</t>
  </si>
  <si>
    <t>Ubiquitination of LPS is catalyzed by the RING-type ubiquitin @GENE$ RNF213/@GENE$ (Fig. 3 B), a distinct E3 ligase linked to Moyamoya disease, a cerebrovascular disorder.</t>
  </si>
  <si>
    <t>Ubiquitination of LPS is catalyzed by the RING-type ubiquitin @GENE$ RNF213/Mysterin (Fig. 3 B), a distinct @GENE$ linked to Moyamoya disease, a cerebrovascular disorder.</t>
  </si>
  <si>
    <t>Ubiquitination of LPS is catalyzed by the RING-type ubiquitin @GENE$ RNF213/Mysterin (Fig. 3 B), a distinct E3 ligase linked to @DISEASE$, a cerebrovascular disorder.</t>
  </si>
  <si>
    <t>Ubiquitination of LPS is catalyzed by the RING-type ubiquitin @GENE$ RNF213/Mysterin (Fig. 3 B), a distinct E3 ligase linked to Moyamoya disease, a @DISEASE$.</t>
  </si>
  <si>
    <t>Ubiquitination of LPS is catalyzed by the RING-type ubiquitin ligase @GENE$/@GENE$ (Fig. 3 B), a distinct E3 ligase linked to Moyamoya disease, a cerebrovascular disorder.</t>
  </si>
  <si>
    <t>Ubiquitination of LPS is catalyzed by the RING-type ubiquitin ligase @GENE$/Mysterin (Fig. 3 B), a distinct @GENE$ linked to Moyamoya disease, a cerebrovascular disorder.</t>
  </si>
  <si>
    <t>Ubiquitination of LPS is catalyzed by the RING-type ubiquitin ligase @GENE$/Mysterin (Fig. 3 B), a distinct E3 ligase linked to @DISEASE$, a cerebrovascular disorder.</t>
  </si>
  <si>
    <t>Ubiquitination of LPS is catalyzed by the RING-type ubiquitin ligase @GENE$/Mysterin (Fig. 3 B), a distinct E3 ligase linked to Moyamoya disease, a @DISEASE$.</t>
  </si>
  <si>
    <t>Ubiquitination of LPS is catalyzed by the RING-type ubiquitin ligase RNF213/@GENE$ (Fig. 3 B), a distinct @GENE$ linked to Moyamoya disease, a cerebrovascular disorder.</t>
  </si>
  <si>
    <t>Ubiquitination of LPS is catalyzed by the RING-type ubiquitin ligase RNF213/@GENE$ (Fig. 3 B), a distinct E3 ligase linked to @DISEASE$, a cerebrovascular disorder.</t>
  </si>
  <si>
    <t>Ubiquitination of LPS is catalyzed by the RING-type ubiquitin ligase RNF213/@GENE$ (Fig. 3 B), a distinct E3 ligase linked to Moyamoya disease, a @DISEASE$.</t>
  </si>
  <si>
    <t>Ubiquitination of LPS is catalyzed by the RING-type ubiquitin ligase RNF213/Mysterin (Fig. 3 B), a distinct @GENE$ linked to @DISEASE$, a cerebrovascular disorder.</t>
  </si>
  <si>
    <t>Ubiquitination of LPS is catalyzed by the RING-type ubiquitin ligase RNF213/Mysterin (Fig. 3 B), a distinct @GENE$ linked to Moyamoya disease, a @DISEASE$.</t>
  </si>
  <si>
    <t>Ubiquitination of LPS is catalyzed by the RING-type ubiquitin ligase RNF213/Mysterin (Fig. 3 B), a distinct E3 ligase linked to @DISEASE$, a @DISEASE$.</t>
  </si>
  <si>
    <t>More recently, @CHEMICAL$ (@CHEMICAL$ and maltoheptaose) were shown to be ubiquitinated by the RBR-type ubiquitin ligase HOIL-1 (Fig. 3 C). Sugar ubiquitination by HOIL-1 with the E2 UbcH7 has been confirmed in vitro.</t>
  </si>
  <si>
    <t>(Glycogen, ubiquitinated by, HOIL-1)</t>
  </si>
  <si>
    <t>More recently, @CHEMICAL$ (glycogen and @CHEMICAL$) were shown to be ubiquitinated by the RBR-type ubiquitin ligase HOIL-1 (Fig. 3 C). Sugar ubiquitination by HOIL-1 with the E2 UbcH7 has been confirmed in vitro.</t>
  </si>
  <si>
    <t>(Maltoheptaose, ubiquitinated by, HOIL-1)</t>
  </si>
  <si>
    <t>More recently, @CHEMICAL$ (glycogen and maltoheptaose) were shown to be ubiquitinated by the @GENE$ HOIL-1 (Fig. 3 C). Sugar ubiquitination by HOIL-1 with the E2 UbcH7 has been confirmed in vitro.</t>
  </si>
  <si>
    <r>
      <rPr>
        <rFont val="Arial"/>
        <color theme="1"/>
        <sz val="10.0"/>
      </rPr>
      <t xml:space="preserve">Too general? 
</t>
    </r>
    <r>
      <rPr>
        <rFont val="Arial"/>
        <color rgb="FF4A86E8"/>
        <sz val="10.0"/>
      </rPr>
      <t>[Jiaying] agreed that "sugars" is too generic a term to be biologically meaningful</t>
    </r>
  </si>
  <si>
    <t>More recently, @CHEMICAL$ (glycogen and maltoheptaose) were shown to be ubiquitinated by the RBR-type ubiquitin ligase @GENE$ (Fig. 3 C). Sugar ubiquitination by HOIL-1 with the E2 UbcH7 has been confirmed in vitro.</t>
  </si>
  <si>
    <r>
      <rPr>
        <rFont val="Arial"/>
        <color theme="1"/>
        <sz val="10.0"/>
      </rPr>
      <t xml:space="preserve">Too general? 
</t>
    </r>
    <r>
      <rPr>
        <rFont val="Arial"/>
        <color rgb="FF4A86E8"/>
        <sz val="10.0"/>
      </rPr>
      <t>[Jiaying] agreed that "sugars" is too generic a term to be biologically meaningful</t>
    </r>
  </si>
  <si>
    <t>More recently, @CHEMICAL$ (glycogen and maltoheptaose) were shown to be ubiquitinated by the RBR-type ubiquitin ligase HOIL-1 (Fig. 3 C). @CHEMICAL$ ubiquitination by HOIL-1 with the E2 UbcH7 has been confirmed in vitro.</t>
  </si>
  <si>
    <t>More recently, @CHEMICAL$ (glycogen and maltoheptaose) were shown to be ubiquitinated by the RBR-type ubiquitin ligase HOIL-1 (Fig. 3 C). Sugar ubiquitination by @GENE$ with the E2 UbcH7 has been confirmed in vitro.</t>
  </si>
  <si>
    <r>
      <rPr>
        <rFont val="Arial"/>
        <color theme="1"/>
        <sz val="10.0"/>
      </rPr>
      <t xml:space="preserve">Sugar too general? 
</t>
    </r>
    <r>
      <rPr>
        <rFont val="Arial"/>
        <color rgb="FF4A86E8"/>
        <sz val="10.0"/>
      </rPr>
      <t>[Jiaying] agreed that "sugars" is too generic a term to be biologically meaningful</t>
    </r>
  </si>
  <si>
    <t>More recently, @CHEMICAL$ (glycogen and maltoheptaose) were shown to be ubiquitinated by the RBR-type ubiquitin ligase HOIL-1 (Fig. 3 C). Sugar ubiquitination by HOIL-1 with the E2 @GENE$ has been confirmed in vitro.</t>
  </si>
  <si>
    <r>
      <rPr>
        <rFont val="Arial"/>
        <color theme="1"/>
        <sz val="10.0"/>
      </rPr>
      <t xml:space="preserve">Sugar too general? 
</t>
    </r>
    <r>
      <rPr>
        <rFont val="Arial"/>
        <color rgb="FF4A86E8"/>
        <sz val="10.0"/>
      </rPr>
      <t>[Jiaying] agreed that "sugars" is too generic a term to be biologically meaningful</t>
    </r>
  </si>
  <si>
    <t>More recently, sugars (@CHEMICAL$ and @CHEMICAL$) were shown to be ubiquitinated by the RBR-type ubiquitin ligase HOIL-1 (Fig. 3 C). Sugar ubiquitination by HOIL-1 with the E2 UbcH7 has been confirmed in vitro.</t>
  </si>
  <si>
    <t>More recently, sugars (@CHEMICAL$ and maltoheptaose) were shown to be ubiquitinated by the @GENE$ HOIL-1 (Fig. 3 C). Sugar ubiquitination by HOIL-1 with the E2 UbcH7 has been confirmed in vitro.</t>
  </si>
  <si>
    <r>
      <rPr>
        <rFont val="Arial"/>
        <color theme="1"/>
        <sz val="10.0"/>
      </rPr>
      <t xml:space="preserve">RBR-type ubiquitin ligase too general?
</t>
    </r>
    <r>
      <rPr>
        <rFont val="Arial"/>
        <color rgb="FF4A86E8"/>
        <sz val="10.0"/>
      </rPr>
      <t>[Jiaying] Possible that "RBR-type ubiquitin ligase" is too generic but we should be consistent with the above input texts whether we consider specific protein families as a valid entity or not</t>
    </r>
  </si>
  <si>
    <t>More recently, sugars (@CHEMICAL$ and maltoheptaose) were shown to be ubiquitinated by the RBR-type ubiquitin ligase @GENE$ (Fig. 3 C). Sugar ubiquitination by HOIL-1 with the E2 UbcH7 has been confirmed in vitro.</t>
  </si>
  <si>
    <t>More recently, sugars (@CHEMICAL$ and maltoheptaose) were shown to be ubiquitinated by the RBR-type ubiquitin ligase HOIL-1 (Fig. 3 C). @CHEMICAL$ ubiquitination by HOIL-1 with the E2 UbcH7 has been confirmed in vitro.</t>
  </si>
  <si>
    <t>More recently, sugars (@CHEMICAL$ and maltoheptaose) were shown to be ubiquitinated by the RBR-type ubiquitin ligase HOIL-1 (Fig. 3 C). Sugar ubiquitination by @GENE$ with the E2 UbcH7 has been confirmed in vitro.</t>
  </si>
  <si>
    <t>More recently, sugars (@CHEMICAL$ and maltoheptaose) were shown to be ubiquitinated by the RBR-type ubiquitin ligase HOIL-1 (Fig. 3 C). Sugar ubiquitination by HOIL-1 with the E2 @GENE$ has been confirmed in vitro.</t>
  </si>
  <si>
    <r>
      <rPr>
        <rFont val="Arial"/>
        <color theme="1"/>
        <sz val="10.0"/>
      </rPr>
      <t xml:space="preserve">Should be 3?
</t>
    </r>
    <r>
      <rPr>
        <rFont val="Arial"/>
        <color rgb="FF4A86E8"/>
        <sz val="10.0"/>
      </rPr>
      <t>[Jiaying] agreed could be 3 - sounds like HOIL1 needs to work in tandem with UbcH7?</t>
    </r>
  </si>
  <si>
    <t>More recently, sugars (glycogen and @CHEMICAL$) were shown to be ubiquitinated by the @GENE$ HOIL-1 (Fig. 3 C). Sugar ubiquitination by HOIL-1 with the E2 UbcH7 has been confirmed in vitro.</t>
  </si>
  <si>
    <r>
      <rPr>
        <rFont val="Arial"/>
        <color theme="1"/>
        <sz val="10.0"/>
      </rPr>
      <t xml:space="preserve">RBR-type ubiquitin ligase too general?
</t>
    </r>
    <r>
      <rPr>
        <rFont val="Arial"/>
        <color rgb="FF4A86E8"/>
        <sz val="10.0"/>
      </rPr>
      <t>[Jiaying] Possible that "RBR-type ubiquitin ligase" is too generic but we should be consistent with the above input texts whether we consider specific protein families as a valid entity or not</t>
    </r>
  </si>
  <si>
    <t>More recently, sugars (glycogen and @CHEMICAL$) were shown to be ubiquitinated by the RBR-type ubiquitin ligase @GENE$ (Fig. 3 C). Sugar ubiquitination by HOIL-1 with the E2 UbcH7 has been confirmed in vitro.</t>
  </si>
  <si>
    <t>More recently, sugars (glycogen and @CHEMICAL$) were shown to be ubiquitinated by the RBR-type ubiquitin ligase HOIL-1 (Fig. 3 C). @CHEMICAL$ ubiquitination by HOIL-1 with the E2 UbcH7 has been confirmed in vitro.</t>
  </si>
  <si>
    <t>More recently, sugars (glycogen and @CHEMICAL$) were shown to be ubiquitinated by the RBR-type ubiquitin ligase HOIL-1 (Fig. 3 C). Sugar ubiquitination by @GENE$ with the E2 UbcH7 has been confirmed in vitro.</t>
  </si>
  <si>
    <t>More recently, sugars (glycogen and @CHEMICAL$) were shown to be ubiquitinated by the RBR-type ubiquitin ligase HOIL-1 (Fig. 3 C). Sugar ubiquitination by HOIL-1 with the E2 @GENE$ has been confirmed in vitro.</t>
  </si>
  <si>
    <r>
      <rPr>
        <rFont val="Arial"/>
        <color theme="1"/>
        <sz val="10.0"/>
      </rPr>
      <t xml:space="preserve">Should be 3?
</t>
    </r>
    <r>
      <rPr>
        <rFont val="Arial"/>
        <color rgb="FF4A86E8"/>
        <sz val="10.0"/>
      </rPr>
      <t>[Jiaying] agreed could be 3 - sounds like HOIL1 needs to work in tandem with UbcH7?</t>
    </r>
  </si>
  <si>
    <t>More recently, sugars (glycogen and maltoheptaose) were shown to be ubiquitinated by the @GENE$ @GENE$ (Fig. 3 C). Sugar ubiquitination by HOIL-1 with the E2 UbcH7 has been confirmed in vitro.</t>
  </si>
  <si>
    <t>More recently, sugars (glycogen and maltoheptaose) were shown to be ubiquitinated by the @GENE$ HOIL-1 (Fig. 3 C). @CHEMICAL$ ubiquitination by HOIL-1 with the E2 UbcH7 has been confirmed in vitro.</t>
  </si>
  <si>
    <r>
      <rPr>
        <rFont val="Arial"/>
        <color theme="1"/>
        <sz val="10.0"/>
      </rPr>
      <t xml:space="preserve">RBR-type ubiquitin ligase too general?
</t>
    </r>
    <r>
      <rPr>
        <rFont val="Arial"/>
        <color rgb="FF4A86E8"/>
        <sz val="10.0"/>
      </rPr>
      <t>[Jiaying] Possible that "RBR-type ubiquitin ligase" is too generic but we should be consistent with the above input texts whether we consider specific protein families as a valid entity or not</t>
    </r>
  </si>
  <si>
    <t>More recently, sugars (glycogen and maltoheptaose) were shown to be ubiquitinated by the @GENE$ HOIL-1 (Fig. 3 C). Sugar ubiquitination by @GENE$ with the E2 UbcH7 has been confirmed in vitro.</t>
  </si>
  <si>
    <t>More recently, sugars (glycogen and maltoheptaose) were shown to be ubiquitinated by the @GENE$ HOIL-1 (Fig. 3 C). Sugar ubiquitination by HOIL-1 with the E2 @GENE$ has been confirmed in vitro.</t>
  </si>
  <si>
    <t>More recently, sugars (glycogen and maltoheptaose) were shown to be ubiquitinated by the RBR-type ubiquitin ligase @GENE$ (Fig. 3 C). @CHEMICAL$ ubiquitination by HOIL-1 with the E2 UbcH7 has been confirmed in vitro.</t>
  </si>
  <si>
    <r>
      <rPr>
        <rFont val="Arial"/>
        <color theme="1"/>
        <sz val="10.0"/>
      </rPr>
      <t xml:space="preserve">Sugar too general? 
</t>
    </r>
    <r>
      <rPr>
        <rFont val="Arial"/>
        <color rgb="FF4A86E8"/>
        <sz val="10.0"/>
      </rPr>
      <t>[Jiaying] agreed that "sugars" is too generic a term to be biologically meaningful</t>
    </r>
  </si>
  <si>
    <t>More recently, sugars (glycogen and maltoheptaose) were shown to be ubiquitinated by the RBR-type ubiquitin ligase @GENE$ (Fig. 3 C). Sugar ubiquitination by @GENE$ with the E2 UbcH7 has been confirmed in vitro.</t>
  </si>
  <si>
    <t>More recently, sugars (glycogen and maltoheptaose) were shown to be ubiquitinated by the RBR-type ubiquitin ligase @GENE$ (Fig. 3 C). Sugar ubiquitination by HOIL-1 with the E2 @GENE$ has been confirmed in vitro.</t>
  </si>
  <si>
    <t>More recently, sugars (glycogen and maltoheptaose) were shown to be ubiquitinated by the RBR-type ubiquitin ligase HOIL-1 (Fig. 3 C). @CHEMICAL$ ubiquitination by @GENE$ with the E2 UbcH7 has been confirmed in vitro.</t>
  </si>
  <si>
    <r>
      <rPr>
        <rFont val="Arial"/>
        <color theme="1"/>
        <sz val="10.0"/>
      </rPr>
      <t xml:space="preserve">Sugar too general? 
</t>
    </r>
    <r>
      <rPr>
        <rFont val="Arial"/>
        <color rgb="FF4A86E8"/>
        <sz val="10.0"/>
      </rPr>
      <t>[Jiaying] agreed that "sugars" is too generic a term to be biologically meaningful</t>
    </r>
  </si>
  <si>
    <t>More recently, sugars (glycogen and maltoheptaose) were shown to be ubiquitinated by the RBR-type ubiquitin ligase HOIL-1 (Fig. 3 C). @CHEMICAL$ ubiquitination by HOIL-1 with the E2 @GENE$ has been confirmed in vitro.</t>
  </si>
  <si>
    <t>More recently, sugars (glycogen and maltoheptaose) were shown to be ubiquitinated by the RBR-type ubiquitin ligase HOIL-1 (Fig. 3 C). Sugar ubiquitination by @GENE$ with the E2 @GENE$ has been confirmed in vitro.</t>
  </si>
  <si>
    <t>@GENE$-@GENE$ is the E2 ubiquitin-conjugating enzyme/E3 ubiquitin ligase that catalyzes the mono-ubiquitylation of PCNA.</t>
  </si>
  <si>
    <t>(Rad6-Rad18, catalyzes mono-ubiquitylation of, PCNA)</t>
  </si>
  <si>
    <t>@GENE$-Rad18 is the @GENE$/E3 ubiquitin ligase that catalyzes the mono-ubiquitylation of PCNA.</t>
  </si>
  <si>
    <t>@GENE$-Rad18 is the E2 ubiquitin-conjugating enzyme/@GENE$ that catalyzes the mono-ubiquitylation of PCNA.</t>
  </si>
  <si>
    <t>@GENE$-Rad18 is the E2 ubiquitin-conjugating enzyme/E3 ubiquitin ligase that catalyzes the mono-ubiquitylation of @GENE$.</t>
  </si>
  <si>
    <t>Rad6-@GENE$ is the @GENE$/E3 ubiquitin ligase that catalyzes the mono-ubiquitylation of PCNA.</t>
  </si>
  <si>
    <t>Rad6-@GENE$ is the E2 ubiquitin-conjugating enzyme/@GENE$ that catalyzes the mono-ubiquitylation of PCNA.</t>
  </si>
  <si>
    <t>Rad6-@GENE$ is the E2 ubiquitin-conjugating enzyme/E3 ubiquitin ligase that catalyzes the mono-ubiquitylation of @GENE$.</t>
  </si>
  <si>
    <t>Rad6-Rad18 is the @GENE$/@GENE$ that catalyzes the mono-ubiquitylation of PCNA.</t>
  </si>
  <si>
    <t>Rad6-Rad18 is the @GENE$/E3 ubiquitin ligase that catalyzes the mono-ubiquitylation of @GENE$.</t>
  </si>
  <si>
    <r>
      <rPr>
        <rFont val="Arial"/>
        <color theme="1"/>
        <sz val="10.0"/>
      </rPr>
      <t xml:space="preserve">E2 ubiquitin-conjugating enzyme too general?
</t>
    </r>
    <r>
      <rPr>
        <rFont val="Arial"/>
        <color rgb="FF4A86E8"/>
        <sz val="10.0"/>
      </rPr>
      <t>[Jiaying] Possible that "E2 ubiquitin-conjugating enzyme" is too generic but we should be consistent with the above input texts whether we consider specific protein families as a valid entity or not</t>
    </r>
  </si>
  <si>
    <t>Rad6-Rad18 is the E2 ubiquitin-conjugating enzyme/@GENE$ that catalyzes the mono-ubiquitylation of @GENE$.</t>
  </si>
  <si>
    <r>
      <rPr>
        <rFont val="Arial"/>
        <color theme="1"/>
        <sz val="10.0"/>
      </rPr>
      <t xml:space="preserve">E3 ubiquitin ligase too general?
</t>
    </r>
    <r>
      <rPr>
        <rFont val="Arial"/>
        <color rgb="FF4A86E8"/>
        <sz val="10.0"/>
      </rPr>
      <t>[Jiaying] Possible that "E3 ubiquitin ligase" is too generic but we should be consistent with the above input texts whether we consider specific protein families as a valid entity or not</t>
    </r>
  </si>
  <si>
    <t>@SPECIES$ @GENE$ is a 134 kDa protein that has two functions. First, it is an E3 ubiquitin ligase that binds Ubc13-Mms2 and forms K63-linked poly-ubiquitin chains on mono-ubiquitylated PCNA.</t>
  </si>
  <si>
    <t>(Rad5, binds to, Ubc13-Mms2)</t>
  </si>
  <si>
    <t>@SPECIES$ Rad5 is a 134 kDa protein that has two functions. First, it is an @GENE$ ubiquitin ligase that binds Ubc13-Mms2 and forms K63-linked poly-ubiquitin chains on mono-ubiquitylated PCNA.</t>
  </si>
  <si>
    <t>@SPECIES$ Rad5 is a 134 kDa protein that has two functions. First, it is an E3 ubiquitin @GENE$ that binds Ubc13-Mms2 and forms K63-linked poly-ubiquitin chains on mono-ubiquitylated PCNA.</t>
  </si>
  <si>
    <t>@SPECIES$ Rad5 is a 134 kDa protein that has two functions. First, it is an E3 ubiquitin ligase that binds @GENE$-Mms2 and forms K63-linked poly-ubiquitin chains on mono-ubiquitylated PCNA.</t>
  </si>
  <si>
    <t>@SPECIES$ Rad5 is a 134 kDa protein that has two functions. First, it is an E3 ubiquitin ligase that binds Ubc13-@GENE$ and forms K63-linked poly-ubiquitin chains on mono-ubiquitylated PCNA.</t>
  </si>
  <si>
    <t>@SPECIES$ Rad5 is a 134 kDa protein that has two functions. First, it is an E3 ubiquitin ligase that binds Ubc13-Mms2 and forms K63-linked poly-ubiquitin chains on mono-ubiquitylated @GENE$.</t>
  </si>
  <si>
    <t>Yeast @GENE$ is a 134 kDa protein that has two functions. First, it is an @GENE$ ubiquitin ligase that binds Ubc13-Mms2 and forms K63-linked poly-ubiquitin chains on mono-ubiquitylated PCNA.</t>
  </si>
  <si>
    <t>Yeast @GENE$ is a 134 kDa protein that has two functions. First, it is an E3 ubiquitin @GENE$ that binds Ubc13-Mms2 and forms K63-linked poly-ubiquitin chains on mono-ubiquitylated PCNA.</t>
  </si>
  <si>
    <t>Yeast @GENE$ is a 134 kDa protein that has two functions. First, it is an E3 ubiquitin ligase that binds @GENE$-Mms2 and forms K63-linked poly-ubiquitin chains on mono-ubiquitylated PCNA.</t>
  </si>
  <si>
    <r>
      <rPr>
        <rFont val="Arial"/>
        <color theme="1"/>
      </rPr>
      <t xml:space="preserve">Should be 0
</t>
    </r>
    <r>
      <rPr>
        <rFont val="Arial"/>
        <color rgb="FF4A86E8"/>
      </rPr>
      <t>[Jiaying] Should be 2 - Rad5 binds to Ubc13-Mms2</t>
    </r>
  </si>
  <si>
    <r>
      <rPr>
        <rFont val="Arial"/>
        <color theme="1"/>
        <sz val="10.0"/>
      </rPr>
      <t xml:space="preserve">Binding
</t>
    </r>
    <r>
      <rPr>
        <rFont val="Arial"/>
        <color rgb="FF4A86E8"/>
        <sz val="10.0"/>
      </rPr>
      <t>[Jiaying] Ligand-receptor binding, now classified as interaction (protein-protein)</t>
    </r>
  </si>
  <si>
    <t>Yeast @GENE$ is a 134 kDa protein that has two functions. First, it is an E3 ubiquitin ligase that binds Ubc13-@GENE$ and forms K63-linked poly-ubiquitin chains on mono-ubiquitylated PCNA.</t>
  </si>
  <si>
    <r>
      <rPr>
        <rFont val="Arial"/>
        <color theme="1"/>
      </rPr>
      <t xml:space="preserve">Should be 0
</t>
    </r>
    <r>
      <rPr>
        <rFont val="Arial"/>
        <color rgb="FF4A86E8"/>
      </rPr>
      <t>[Jiaying] Should be 2 - Rad5 binds to Ubc13-Mms2</t>
    </r>
  </si>
  <si>
    <r>
      <rPr>
        <rFont val="Arial"/>
        <color theme="1"/>
        <sz val="10.0"/>
      </rPr>
      <t xml:space="preserve">Binding
</t>
    </r>
    <r>
      <rPr>
        <rFont val="Arial"/>
        <color rgb="FF4A86E8"/>
        <sz val="10.0"/>
      </rPr>
      <t>[Jiaying] Ligand-receptor binding, now classified as interaction (protein-protein)</t>
    </r>
  </si>
  <si>
    <t>Yeast @GENE$ is a 134 kDa protein that has two functions. First, it is an E3 ubiquitin ligase that binds Ubc13-Mms2 and forms K63-linked poly-ubiquitin chains on mono-ubiquitylated @GENE$.</t>
  </si>
  <si>
    <r>
      <rPr>
        <rFont val="Arial"/>
        <color theme="1"/>
        <sz val="10.0"/>
      </rPr>
      <t xml:space="preserve">Rad5 forms polyubiquitin chains on PCNA --&gt; ubiquitylation?
</t>
    </r>
    <r>
      <rPr>
        <rFont val="Arial"/>
        <color rgb="FF4A86E8"/>
        <sz val="10.0"/>
      </rPr>
      <t>[Jiaying] Shoudl be 3 - agreed this is ubiquitylation</t>
    </r>
  </si>
  <si>
    <t>Yeast Rad5 is a 134 kDa protein that has two functions. First, it is an @GENE$ ubiquitin @GENE$ that binds Ubc13-Mms2 and forms K63-linked poly-ubiquitin chains on mono-ubiquitylated PCNA.</t>
  </si>
  <si>
    <t>"E3 ubiquitin ligase" should be tagged as @GENE$, not just "E3" or "ligase"</t>
  </si>
  <si>
    <t>Yeast Rad5 is a 134 kDa protein that has two functions. First, it is an @GENE$ ubiquitin ligase that binds @GENE$-Mms2 and forms K63-linked poly-ubiquitin chains on mono-ubiquitylated PCNA.</t>
  </si>
  <si>
    <r>
      <rPr>
        <rFont val="Arial"/>
        <color theme="1"/>
        <sz val="10.0"/>
      </rPr>
      <t xml:space="preserve">Should be 0
</t>
    </r>
    <r>
      <rPr>
        <rFont val="Arial"/>
        <color rgb="FF4A86E8"/>
        <sz val="10.0"/>
      </rPr>
      <t>[Jiaying] Could be 2 - Rad5 binds to Ubc13-Mms2
Possible that "E3 ubiquitin ligase" is too generic but we should be consistent with the above input texts whether we consider specific protein families as a valid entity or not</t>
    </r>
    <r>
      <rPr>
        <rFont val="Arial"/>
        <color theme="1"/>
        <sz val="10.0"/>
      </rPr>
      <t xml:space="preserve"> </t>
    </r>
  </si>
  <si>
    <t>Yeast Rad5 is a 134 kDa protein that has two functions. First, it is an @GENE$ ubiquitin ligase that binds Ubc13-@GENE$ and forms K63-linked poly-ubiquitin chains on mono-ubiquitylated PCNA.</t>
  </si>
  <si>
    <r>
      <rPr>
        <rFont val="Arial"/>
        <color theme="1"/>
        <sz val="10.0"/>
      </rPr>
      <t xml:space="preserve">Should be 0
</t>
    </r>
    <r>
      <rPr>
        <rFont val="Arial"/>
        <color rgb="FF4A86E8"/>
        <sz val="10.0"/>
      </rPr>
      <t>[Jiaying] Could be 2 - Rad5 binds to Ubc13-Mms2
Possible that "E3 ubiquitin ligase" is too generic but we should be consistent with the above input texts whether we consider specific protein families as a valid entity or not</t>
    </r>
    <r>
      <rPr>
        <rFont val="Arial"/>
        <color theme="1"/>
        <sz val="10.0"/>
      </rPr>
      <t xml:space="preserve"> </t>
    </r>
  </si>
  <si>
    <t>Yeast Rad5 is a 134 kDa protein that has two functions. First, it is an @GENE$ ubiquitin ligase that binds Ubc13-Mms2 and forms K63-linked poly-ubiquitin chains on mono-ubiquitylated @GENE$.</t>
  </si>
  <si>
    <r>
      <rPr>
        <rFont val="Arial"/>
        <color theme="1"/>
        <sz val="10.0"/>
      </rPr>
      <t xml:space="preserve">Rad5 forms polyubiquitin chains on PCNA --&gt; ubiquitylation? E3 ligase too general?
</t>
    </r>
    <r>
      <rPr>
        <rFont val="Arial"/>
        <color rgb="FF4A86E8"/>
        <sz val="10.0"/>
      </rPr>
      <t xml:space="preserve">[Jiaying] Possible that "E3 (ubiquitin ligase)" is too generic but we should be consistent with the above input texts whether we consider specific protein families as a valid entity or not </t>
    </r>
  </si>
  <si>
    <t>Yeast Rad5 is a 134 kDa protein that has two functions. First, it is an E3 ubiquitin @GENE$ that binds @GENE$-Mms2 and forms K63-linked poly-ubiquitin chains on mono-ubiquitylated PCNA.</t>
  </si>
  <si>
    <r>
      <rPr>
        <rFont val="Arial"/>
        <color theme="1"/>
        <sz val="10.0"/>
      </rPr>
      <t xml:space="preserve">Should be 0
</t>
    </r>
    <r>
      <rPr>
        <rFont val="Arial"/>
        <color rgb="FF4A86E8"/>
        <sz val="10.0"/>
      </rPr>
      <t>[Jiaying] Should be 0 - consider that "ligase" is too generic a term to be biologically meaningful</t>
    </r>
  </si>
  <si>
    <r>
      <rPr>
        <rFont val="Arial"/>
        <color theme="1"/>
        <sz val="10.0"/>
      </rPr>
      <t xml:space="preserve">Binding
</t>
    </r>
    <r>
      <rPr>
        <rFont val="Arial"/>
        <color rgb="FF4A86E8"/>
        <sz val="10.0"/>
      </rPr>
      <t>[Jiaying] Should be no relation</t>
    </r>
  </si>
  <si>
    <t>Yeast Rad5 is a 134 kDa protein that has two functions. First, it is an E3 ubiquitin @GENE$ that binds Ubc13-@GENE$ and forms K63-linked poly-ubiquitin chains on mono-ubiquitylated PCNA.</t>
  </si>
  <si>
    <r>
      <rPr>
        <rFont val="Arial"/>
        <color theme="1"/>
        <sz val="10.0"/>
      </rPr>
      <t xml:space="preserve">Should be 0
</t>
    </r>
    <r>
      <rPr>
        <rFont val="Arial"/>
        <color rgb="FF4A86E8"/>
        <sz val="10.0"/>
      </rPr>
      <t>[Jiaying] Should be 0 - consider that "ligase" is too generic a term to be biologically meaningful</t>
    </r>
  </si>
  <si>
    <r>
      <rPr>
        <rFont val="Arial"/>
        <color theme="1"/>
        <sz val="10.0"/>
      </rPr>
      <t xml:space="preserve">Binding
</t>
    </r>
    <r>
      <rPr>
        <rFont val="Arial"/>
        <color rgb="FF4A86E8"/>
        <sz val="10.0"/>
      </rPr>
      <t>[Jiaying] Should be no relation</t>
    </r>
  </si>
  <si>
    <t>Yeast Rad5 is a 134 kDa protein that has two functions. First, it is an E3 ubiquitin @GENE$ that binds Ubc13-Mms2 and forms K63-linked poly-ubiquitin chains on mono-ubiquitylated @GENE$.</t>
  </si>
  <si>
    <r>
      <rPr>
        <rFont val="Arial"/>
        <color theme="1"/>
        <sz val="10.0"/>
      </rPr>
      <t xml:space="preserve">Rad5 forms polyubiquitin chains on PCNA --&gt; ubiquitylation? E3 ligase too general?
</t>
    </r>
    <r>
      <rPr>
        <rFont val="Arial"/>
        <color rgb="FF4A86E8"/>
        <sz val="10.0"/>
      </rPr>
      <t xml:space="preserve">[Jiaying] Should be 0 - consider that "ligase" is too generic a term to be biologically meaningful </t>
    </r>
  </si>
  <si>
    <t>Yeast Rad5 is a 134 kDa protein that has two functions. First, it is an E3 ubiquitin ligase that binds @GENE$-@GENE$ and forms K63-linked poly-ubiquitin chains on mono-ubiquitylated PCNA.</t>
  </si>
  <si>
    <r>
      <rPr>
        <rFont val="Arial"/>
        <color theme="1"/>
        <sz val="10.0"/>
      </rPr>
      <t xml:space="preserve">Rad5 forms polyubiquitin chains on PCNA --&gt; ubiquitylation? E3 ligase too general? 
</t>
    </r>
    <r>
      <rPr>
        <rFont val="Arial"/>
        <color rgb="FF4A86E8"/>
        <sz val="10.0"/>
      </rPr>
      <t>[Jiaying] Should be 2 - Ubc13 binds to Mms2</t>
    </r>
  </si>
  <si>
    <t>Yeast Rad5 is a 134 kDa protein that has two functions. First, it is an E3 ubiquitin ligase that binds @GENE$-Mms2 and forms K63-linked poly-ubiquitin chains on mono-ubiquitylated @GENE$.</t>
  </si>
  <si>
    <t>Yeast Rad5 is a 134 kDa protein that has two functions. First, it is an E3 ubiquitin ligase that binds Ubc13-@GENE$ and forms K63-linked poly-ubiquitin chains on mono-ubiquitylated @GENE$.</t>
  </si>
  <si>
    <t>A substantial amount of evidence suggests that the @GENE$ protein, which is the E3 ubiquitin ligase responsible for @GENE$ mono-ubiquitylation, and the Rad5 protein, which is the E3 ubiquitin ligase responsible for PCNA poly-ubiquitylation, play a more direct role in orchestrating the events leading to DNA damage bypass than was originally thought.</t>
  </si>
  <si>
    <t>(PCNA, responsible for mono-ubiquitylation of, Rad18)</t>
  </si>
  <si>
    <t>A substantial amount of evidence suggests that the @GENE$ protein, which is the E3 ubiquitin ligase responsible for PCNA mono-ubiquitylation, and the @GENE$ protein, which is the E3 ubiquitin ligase responsible for PCNA poly-ubiquitylation, play a more direct role in orchestrating the events leading to DNA damage bypass than was originally thought.</t>
  </si>
  <si>
    <t>(PCNA, responsible for poly-ubiquitylation of, Rad5)</t>
  </si>
  <si>
    <t>A substantial amount of evidence suggests that the @GENE$ protein, which is the E3 ubiquitin ligase responsible for PCNA mono-ubiquitylation, and the Rad5 protein, which is the E3 ubiquitin ligase responsible for @GENE$ poly-ubiquitylation, play a more direct role in orchestrating the events leading to DNA damage bypass than was originally thought.</t>
  </si>
  <si>
    <t xml:space="preserve">[Jiaying] If this is considered 0 then we should be consistent in our annotations of previous input texts to only accept specific mentions of entities that give us the relation instead of all mentions of the same entity? </t>
  </si>
  <si>
    <t>A substantial amount of evidence suggests that the Rad18 protein, which is the E3 ubiquitin ligase responsible for @GENE$ mono-ubiquitylation, and the @GENE$ protein, which is the E3 ubiquitin ligase responsible for PCNA poly-ubiquitylation, play a more direct role in orchestrating the events leading to DNA damage bypass than was originally thought.</t>
  </si>
  <si>
    <t>A substantial amount of evidence suggests that the Rad18 protein, which is the E3 ubiquitin ligase responsible for @GENE$ mono-ubiquitylation, and the Rad5 protein, which is the E3 ubiquitin ligase responsible for @GENE$ poly-ubiquitylation, play a more direct role in orchestrating the events leading to DNA damage bypass than was originally thought.</t>
  </si>
  <si>
    <t>A substantial amount of evidence suggests that the Rad18 protein, which is the E3 ubiquitin ligase responsible for PCNA mono-ubiquitylation, and the @GENE$ protein, which is the E3 ubiquitin ligase responsible for @GENE$ poly-ubiquitylation, play a more direct role in orchestrating the events leading to DNA damage bypass than was originally thought.</t>
  </si>
  <si>
    <t>@GENE$ ubiquitination occurs when @GENE$ is phosphorylated at Ser32/Ser36. Phosphorylation of Ser32/Ser36 allows certain ubiquitin E3 ligases to recognize IκBα. Ubiquitinated IκBα is then recognized by the proteasome complex, which leads to its degradation.</t>
  </si>
  <si>
    <t>@GENE$ ubiquitination occurs when IκBα is phosphorylated at Ser32/Ser36. Phosphorylation of Ser32/Ser36 allows certain ubiquitin E3 ligases to recognize @GENE$. Ubiquitinated IκBα is then recognized by the proteasome complex, which leads to its degradation.</t>
  </si>
  <si>
    <t>@GENE$ ubiquitination occurs when IκBα is phosphorylated at Ser32/Ser36. Phosphorylation of Ser32/Ser36 allows certain ubiquitin E3 ligases to recognize IκBα. Ubiquitinated @GENE$ is then recognized by the proteasome complex, which leads to its degradation.</t>
  </si>
  <si>
    <t>IκBα ubiquitination occurs when @GENE$ is phosphorylated at Ser32/Ser36. Phosphorylation of Ser32/Ser36 allows certain ubiquitin E3 ligases to recognize @GENE$. Ubiquitinated IκBα is then recognized by the proteasome complex, which leads to its degradation.</t>
  </si>
  <si>
    <t>IκBα ubiquitination occurs when @GENE$ is phosphorylated at Ser32/Ser36. Phosphorylation of Ser32/Ser36 allows certain ubiquitin E3 ligases to recognize IκBα. Ubiquitinated @GENE$ is then recognized by the proteasome complex, which leads to its degradation.</t>
  </si>
  <si>
    <t>IκBα ubiquitination occurs when IκBα is phosphorylated at Ser32/Ser36. Phosphorylation of Ser32/Ser36 allows certain ubiquitin E3 ligases to recognize @GENE$. Ubiquitinated @GENE$ is then recognized by the proteasome complex, which leads to its degradation.</t>
  </si>
  <si>
    <t>Depending on the linkage between ubiquitin molecules, these chains can encode distinct information. For example, chains linked through Lys48 of @GENE$ (K48-linked chains) are a targeting device for protein degradation by the 26S proteasome</t>
  </si>
  <si>
    <t>@GENE$ moieties are linked by an isopeptide bond between a Gly76 carboxyl group and either a Lys sidechain primary amino group (Lys6, Lys11, Lys27, Lys29, Lys33, Lys48, or Lys63) or the @GENE$ amino terminus (Met1)</t>
  </si>
  <si>
    <r>
      <rPr>
        <rFont val="Arial"/>
        <color theme="1"/>
      </rPr>
      <t xml:space="preserve">Should be 0
</t>
    </r>
    <r>
      <rPr>
        <rFont val="Arial"/>
        <color rgb="FF4A86E8"/>
      </rPr>
      <t>[Jiaying] Should be 2 - ubiquitin binds to ubiquitin</t>
    </r>
  </si>
  <si>
    <r>
      <rPr>
        <rFont val="Arial"/>
        <color theme="1"/>
        <sz val="10.0"/>
      </rPr>
      <t xml:space="preserve">Binding
</t>
    </r>
    <r>
      <rPr>
        <rFont val="Arial"/>
        <color rgb="FF4A86E8"/>
        <sz val="10.0"/>
      </rPr>
      <t>[Jiaying] Ligand-receptor binding, now classified as interaction (protein-protein)</t>
    </r>
  </si>
  <si>
    <t>270-272</t>
  </si>
  <si>
    <t>[Jiaying] Should be 0 for all entity pairs to be identified in this input text - there is no mention of phosphorylation nor ubiquitylation, also no mention of any targets for SUMO to bind/be conjugated to?
Not sure if SUMO being conjugated by the E1 ligase Aos1/Uba2 and E2 ligase Ubc9 count as SUMO binding to all 3 entities.</t>
  </si>
  <si>
    <t>Line breaks in input text cause AIONER to only look at a portion of the text --&gt; no entities are identified/tagged</t>
  </si>
  <si>
    <t>@GENE$ then phosphorylates @GENE$ to target IκBα for K48 polyubiquitination, which leads to the degradation of ubiquitinated IκBα by the proteasome, allowing the p50/RelA complex to enter the nucleus and activate target genes.</t>
  </si>
  <si>
    <t>(IKK, phosphorylates, IkBa)</t>
  </si>
  <si>
    <t>[Jiaying] IKK phosphorylation targets IκBα for ubiquitination and degradation = inhibition</t>
  </si>
  <si>
    <t>@GENE$ then phosphorylates IκBα to target @GENE$ for K48 polyubiquitination, which leads to the degradation of ubiquitinated IκBα by the proteasome, allowing the p50/RelA complex to enter the nucleus and activate target genes.</t>
  </si>
  <si>
    <t>(IKBa, polyubiquitylation, K48)</t>
  </si>
  <si>
    <t>@GENE$ then phosphorylates IκBα to target IκBα for K48 polyubiquitination, which leads to the degradation of ubiquitinated @GENE$ by the proteasome, allowing the p50/RelA complex to enter the nucleus and activate target genes.</t>
  </si>
  <si>
    <t>[Jiaying] Not the best 2 mentions of IKK and IκBα to show the phosphorylation relation...</t>
  </si>
  <si>
    <t>@GENE$ then phosphorylates IκBα to target IκBα for K48 polyubiquitination, which leads to the degradation of ubiquitinated IκBα by the proteasome, allowing the @GENE$/RelA complex to enter the nucleus and activate target genes.</t>
  </si>
  <si>
    <t>[Jiaying] IKK phosphorylation targets IκBα for ubiquitination and degradation which allows p50/RelA to activate target genes = stimulation?</t>
  </si>
  <si>
    <t>@GENE$ then phosphorylates IκBα to target IκBα for K48 polyubiquitination, which leads to the degradation of ubiquitinated IκBα by the proteasome, allowing the p50/@GENE$ complex to enter the nucleus and activate target genes.</t>
  </si>
  <si>
    <t>IKK then phosphorylates @GENE$ to target @GENE$ for K48 polyubiquitination, which leads to the degradation of ubiquitinated IκBα by the proteasome, allowing the p50/RelA complex to enter the nucleus and activate target genes.</t>
  </si>
  <si>
    <t>IKK then phosphorylates @GENE$ to target IκBα for K48 polyubiquitination, which leads to the degradation of ubiquitinated @GENE$ by the proteasome, allowing the p50/RelA complex to enter the nucleus and activate target genes.</t>
  </si>
  <si>
    <t>IKK then phosphorylates @GENE$ to target IκBα for K48 polyubiquitination, which leads to the degradation of ubiquitinated IκBα by the proteasome, allowing the @GENE$/RelA complex to enter the nucleus and activate target genes.</t>
  </si>
  <si>
    <t>IKK then phosphorylates @GENE$ to target IκBα for K48 polyubiquitination, which leads to the degradation of ubiquitinated IκBα by the proteasome, allowing the p50/@GENE$ complex to enter the nucleus and activate target genes.</t>
  </si>
  <si>
    <t>IKK then phosphorylates IκBα to target @GENE$ for K48 polyubiquitination, which leads to the degradation of ubiquitinated @GENE$ by the proteasome, allowing the p50/RelA complex to enter the nucleus and activate target genes.</t>
  </si>
  <si>
    <t>IKK then phosphorylates IκBα to target @GENE$ for K48 polyubiquitination, which leads to the degradation of ubiquitinated IκBα by the proteasome, allowing the @GENE$/RelA complex to enter the nucleus and activate target genes.</t>
  </si>
  <si>
    <t>IKK then phosphorylates IκBα to target @GENE$ for K48 polyubiquitination, which leads to the degradation of ubiquitinated IκBα by the proteasome, allowing the p50/@GENE$ complex to enter the nucleus and activate target genes.</t>
  </si>
  <si>
    <t>IKK then phosphorylates IκBα to target IκBα for K48 polyubiquitination, which leads to the degradation of ubiquitinated @GENE$ by the proteasome, allowing the @GENE$/RelA complex to enter the nucleus and activate target genes.</t>
  </si>
  <si>
    <t>[Jiaying] IκBα degradation allows p50/RelA to activate target genes i.e. IκBα inhibits p50/RelA = inhibition?</t>
  </si>
  <si>
    <t>IKK then phosphorylates IκBα to target IκBα for K48 polyubiquitination, which leads to the degradation of ubiquitinated @GENE$ by the proteasome, allowing the p50/@GENE$ complex to enter the nucleus and activate target genes.</t>
  </si>
  <si>
    <t>IKK then phosphorylates IκBα to target IκBα for K48 polyubiquitination, which leads to the degradation of ubiquitinated IκBα by the proteasome, allowing the @GENE$/@GENE$ complex to enter the nucleus and activate target genes.</t>
  </si>
  <si>
    <t>[Jiaying] Should be 2 - p50 and RelA are in complex i.e. they bind each other?</t>
  </si>
  <si>
    <t>In the non-canonical pathway, under unstimulated conditions, @GENE$ is persistently degraded by the proteasome due to @VARIANT$ polyubiquitination by cIAP1/2 because the TRAF2/TRAF3 heterodimer acts as a molecular bridge between NIK and cIAP1/2.</t>
  </si>
  <si>
    <t>(K48, polyubiquitinated by, cIAP1/2)</t>
  </si>
  <si>
    <t>In the non-canonical pathway, under unstimulated conditions, @GENE$ is persistently degraded by the proteasome due to K48 polyubiquitination by @GENE$ because the TRAF2/TRAF3 heterodimer acts as a molecular bridge between NIK and cIAP1/2.</t>
  </si>
  <si>
    <t>[Jiaying] Should be 3 - NIK undergoes K48 polyubiquitination by cIAP1/2</t>
  </si>
  <si>
    <t>[Jiaying] NIK is degraded via K48 polyubiquitination by cIAP1/2 = inhibition</t>
  </si>
  <si>
    <t>In the non-canonical pathway, under unstimulated conditions, @GENE$ is persistently degraded by the proteasome due to K48 polyubiquitination by cIAP1/2 because the @GENE$/TRAF3 heterodimer acts as a molecular bridge between NIK and cIAP1/2.</t>
  </si>
  <si>
    <t>In the non-canonical pathway, under unstimulated conditions, @GENE$ is persistently degraded by the proteasome due to K48 polyubiquitination by cIAP1/2 because the TRAF2/@GENE$ heterodimer acts as a molecular bridge between NIK and cIAP1/2.</t>
  </si>
  <si>
    <t>In the non-canonical pathway, under unstimulated conditions, @GENE$ is persistently degraded by the proteasome due to K48 polyubiquitination by cIAP1/2 because the TRAF2/TRAF3 heterodimer acts as a molecular bridge between @GENE$ and cIAP1/2.</t>
  </si>
  <si>
    <t>In the non-canonical pathway, under unstimulated conditions, @GENE$ is persistently degraded by the proteasome due to K48 polyubiquitination by cIAP1/2 because the TRAF2/TRAF3 heterodimer acts as a molecular bridge between NIK and @GENE$.</t>
  </si>
  <si>
    <t>In the non-canonical pathway, under unstimulated conditions, NIK is persistently degraded by the proteasome due to @VARIANT$ polyubiquitination by @GENE$ because the TRAF2/TRAF3 heterodimer acts as a molecular bridge between NIK and cIAP1/2.</t>
  </si>
  <si>
    <t>[Jiaying] Should be 0 - NIK undergoes K48 polyubiquitination by cIAP1/2, K48 is the lysine position on NIK</t>
  </si>
  <si>
    <t>In the non-canonical pathway, under unstimulated conditions, NIK is persistently degraded by the proteasome due to @VARIANT$ polyubiquitination by cIAP1/2 because the @GENE$/TRAF3 heterodimer acts as a molecular bridge between NIK and cIAP1/2.</t>
  </si>
  <si>
    <t>In the non-canonical pathway, under unstimulated conditions, NIK is persistently degraded by the proteasome due to @VARIANT$ polyubiquitination by cIAP1/2 because the TRAF2/@GENE$ heterodimer acts as a molecular bridge between NIK and cIAP1/2.</t>
  </si>
  <si>
    <t>In the non-canonical pathway, under unstimulated conditions, NIK is persistently degraded by the proteasome due to @VARIANT$ polyubiquitination by cIAP1/2 because the TRAF2/TRAF3 heterodimer acts as a molecular bridge between @GENE$ and cIAP1/2.</t>
  </si>
  <si>
    <t>In the non-canonical pathway, under unstimulated conditions, NIK is persistently degraded by the proteasome due to @VARIANT$ polyubiquitination by cIAP1/2 because the TRAF2/TRAF3 heterodimer acts as a molecular bridge between NIK and @GENE$.</t>
  </si>
  <si>
    <t>In the non-canonical pathway, under unstimulated conditions, NIK is persistently degraded by the proteasome due to K48 polyubiquitination by @GENE$ because the @GENE$/TRAF3 heterodimer acts as a molecular bridge between NIK and cIAP1/2.</t>
  </si>
  <si>
    <t>In the non-canonical pathway, under unstimulated conditions, NIK is persistently degraded by the proteasome due to K48 polyubiquitination by @GENE$ because the TRAF2/@GENE$ heterodimer acts as a molecular bridge between NIK and cIAP1/2.</t>
  </si>
  <si>
    <t>In the non-canonical pathway, under unstimulated conditions, NIK is persistently degraded by the proteasome due to K48 polyubiquitination by @GENE$ because the TRAF2/TRAF3 heterodimer acts as a molecular bridge between @GENE$ and cIAP1/2.</t>
  </si>
  <si>
    <t>In the non-canonical pathway, under unstimulated conditions, NIK is persistently degraded by the proteasome due to K48 polyubiquitination by @GENE$ because the TRAF2/TRAF3 heterodimer acts as a molecular bridge between NIK and @GENE$.</t>
  </si>
  <si>
    <t>In the non-canonical pathway, under unstimulated conditions, NIK is persistently degraded by the proteasome due to K48 polyubiquitination by cIAP1/2 because the @GENE$/@GENE$ heterodimer acts as a molecular bridge between NIK and cIAP1/2.</t>
  </si>
  <si>
    <t>[Jiaying] Should be 2 - TRAF2 and TRAF3 form a heterodimer i.e. they bind each other</t>
  </si>
  <si>
    <t>In the non-canonical pathway, under unstimulated conditions, NIK is persistently degraded by the proteasome due to K48 polyubiquitination by cIAP1/2 because the @GENE$/TRAF3 heterodimer acts as a molecular bridge between @GENE$ and cIAP1/2.</t>
  </si>
  <si>
    <t>[Jiaying] Should be 2 - TRAF2 and TRAF3 form a molecular bridge between NIK and cIAP1/2 i.e. TRAF2/TRAF3 bind to NIK and cIAP1/2</t>
  </si>
  <si>
    <t>In the non-canonical pathway, under unstimulated conditions, NIK is persistently degraded by the proteasome due to K48 polyubiquitination by cIAP1/2 because the @GENE$/TRAF3 heterodimer acts as a molecular bridge between NIK and @GENE$.</t>
  </si>
  <si>
    <t>[Jiaying] Should be 2 - TRAF2 and TRAF3 form a molecular bridge between NIK and cIAP1/2 i.e. TRAF2/TRAF3 bind to NIK and cIAP1/3</t>
  </si>
  <si>
    <t>In the non-canonical pathway, under unstimulated conditions, NIK is persistently degraded by the proteasome due to K48 polyubiquitination by cIAP1/2 because the TRAF2/@GENE$ heterodimer acts as a molecular bridge between @GENE$ and cIAP1/2.</t>
  </si>
  <si>
    <t>[Jiaying] Should be 2 - TRAF2 and TRAF3 form a molecular bridge between NIK and cIAP1/2 i.e. TRAF2/TRAF3 bind to NIK and cIAP1/4</t>
  </si>
  <si>
    <t>In the non-canonical pathway, under unstimulated conditions, NIK is persistently degraded by the proteasome due to K48 polyubiquitination by cIAP1/2 because the TRAF2/@GENE$ heterodimer acts as a molecular bridge between NIK and @GENE$.</t>
  </si>
  <si>
    <t>[Jiaying] Should be 2 - TRAF2 and TRAF3 form a molecular bridge between NIK and cIAP1/2 i.e. TRAF2/TRAF3 bind to NIK and cIAP1/5</t>
  </si>
  <si>
    <t>In the non-canonical pathway, under unstimulated conditions, NIK is persistently degraded by the proteasome due to K48 polyubiquitination by cIAP1/2 because the TRAF2/TRAF3 heterodimer acts as a molecular bridge between @GENE$ and @GENE$.</t>
  </si>
  <si>
    <t>We focused on the E3 activity of @GENE$ and found that, upon @GENE$ stimulation, TAK1 undergoes K63-type polyubiquitination catalyzed by TRAF6 (E3) and Ubc13 (E2), which is required for TAK1 activation.</t>
  </si>
  <si>
    <t>We focused on the E3 activity of @GENE$ and found that, upon IL-1 stimulation, @GENE$ undergoes K63-type polyubiquitination catalyzed by TRAF6 (E3) and Ubc13 (E2), which is required for TAK1 activation.</t>
  </si>
  <si>
    <t>[Jiaying] Not the best 2 mentions of TRAF6 and TAK1 to show the ubiquitylation relation...?</t>
  </si>
  <si>
    <t>We focused on the E3 activity of @GENE$ and found that, upon IL-1 stimulation, TAK1 undergoes K63-type polyubiquitination catalyzed by @GENE$ (E3) and Ubc13 (E2), which is required for TAK1 activation.</t>
  </si>
  <si>
    <t>(IL-1, stimulates polyubiquitination of, TAK1)</t>
  </si>
  <si>
    <t>We focused on the E3 activity of @GENE$ and found that, upon IL-1 stimulation, TAK1 undergoes K63-type polyubiquitination catalyzed by TRAF6 (E3) and @GENE$ (E2), which is required for TAK1 activation.</t>
  </si>
  <si>
    <t>We focused on the E3 activity of @GENE$ and found that, upon IL-1 stimulation, TAK1 undergoes K63-type polyubiquitination catalyzed by TRAF6 (E3) and Ubc13 (E2), which is required for @GENE$ activation.</t>
  </si>
  <si>
    <t>We focused on the E3 activity of TRAF6 and found that, upon @GENE$ stimulation, @GENE$ undergoes K63-type polyubiquitination catalyzed by TRAF6 (E3) and Ubc13 (E2), which is required for TAK1 activation.</t>
  </si>
  <si>
    <r>
      <rPr>
        <rFont val="Arial"/>
        <color theme="1"/>
        <sz val="10.0"/>
      </rPr>
      <t xml:space="preserve">IL-1 stimulation leads to TAK1 polyubiquitination. Should be 3?
</t>
    </r>
    <r>
      <rPr>
        <rFont val="Arial"/>
        <color rgb="FF4A86E8"/>
        <sz val="10.0"/>
      </rPr>
      <t>[Jiaying] agreed could be 3 - if we consider indirect induction of ubiquitylation</t>
    </r>
  </si>
  <si>
    <t>We focused on the E3 activity of TRAF6 and found that, upon @GENE$ stimulation, TAK1 undergoes K63-type polyubiquitination catalyzed by @GENE$ (E3) and Ubc13 (E2), which is required for TAK1 activation.</t>
  </si>
  <si>
    <t>[Jiaying] IL-1 stimulation triggers ubiquitin ligase activity of TRAF6 and Ubc13 = stimulation?</t>
  </si>
  <si>
    <t>We focused on the E3 activity of TRAF6 and found that, upon @GENE$ stimulation, TAK1 undergoes K63-type polyubiquitination catalyzed by TRAF6 (E3) and @GENE$ (E2), which is required for TAK1 activation.</t>
  </si>
  <si>
    <t>We focused on the E3 activity of TRAF6 and found that, upon @GENE$ stimulation, TAK1 undergoes K63-type polyubiquitination catalyzed by TRAF6 (E3) and Ubc13 (E2), which is required for @GENE$ activation.</t>
  </si>
  <si>
    <r>
      <rPr>
        <rFont val="Arial"/>
        <color theme="1"/>
        <sz val="10.0"/>
      </rPr>
      <t xml:space="preserve">IL-1 stimulation leads to TAK1 polyubiquitination. Should be 3?
</t>
    </r>
    <r>
      <rPr>
        <rFont val="Arial"/>
        <color rgb="FF4A86E8"/>
        <sz val="10.0"/>
      </rPr>
      <t>[Jiaying] agreed could be 3 - if we consider indirect induction of ubiquitylation
Not the best 2 mentions of IL-1 and TAK1 to show the ubiquitylation relation though...?</t>
    </r>
  </si>
  <si>
    <t>We focused on the E3 activity of TRAF6 and found that, upon IL-1 stimulation, @GENE$ undergoes K63-type polyubiquitination catalyzed by @GENE$ (E3) and Ubc13 (E2), which is required for TAK1 activation.</t>
  </si>
  <si>
    <t>(TRAF6, catalyzes polyubqiutination of, TAK1)</t>
  </si>
  <si>
    <t>We focused on the E3 activity of TRAF6 and found that, upon IL-1 stimulation, @GENE$ undergoes K63-type polyubiquitination catalyzed by TRAF6 (E3) and @GENE$ (E2), which is required for TAK1 activation.</t>
  </si>
  <si>
    <t>(Ubc13, catalyzes polyubqiutination of, TAK1)</t>
  </si>
  <si>
    <t>We focused on the E3 activity of TRAF6 and found that, upon IL-1 stimulation, @GENE$ undergoes K63-type polyubiquitination catalyzed by TRAF6 (E3) and Ubc13 (E2), which is required for @GENE$ activation.</t>
  </si>
  <si>
    <t>We focused on the E3 activity of TRAF6 and found that, upon IL-1 stimulation, TAK1 undergoes K63-type polyubiquitination catalyzed by @GENE$ (E3) and @GENE$ (E2), which is required for TAK1 activation.</t>
  </si>
  <si>
    <t>We focused on the E3 activity of TRAF6 and found that, upon IL-1 stimulation, TAK1 undergoes K63-type polyubiquitination catalyzed by @GENE$ (E3) and Ubc13 (E2), which is required for @GENE$ activation.</t>
  </si>
  <si>
    <r>
      <rPr>
        <rFont val="Arial"/>
        <color theme="1"/>
        <sz val="10.0"/>
      </rPr>
      <t xml:space="preserve">Should be 3- catalysts are included in the relation
</t>
    </r>
    <r>
      <rPr>
        <rFont val="Arial"/>
        <color rgb="FF4A86E8"/>
        <sz val="10.0"/>
      </rPr>
      <t>[Jiaying] agreed should be 3
Not the best 2 mentions of TRAF6 and TAK1 to show the ubiquitylation relation though...?</t>
    </r>
  </si>
  <si>
    <t>We focused on the E3 activity of TRAF6 and found that, upon IL-1 stimulation, TAK1 undergoes K63-type polyubiquitination catalyzed by TRAF6 (E3) and @GENE$ (E2), which is required for @GENE$ activation.</t>
  </si>
  <si>
    <r>
      <rPr>
        <rFont val="Arial"/>
        <color theme="1"/>
        <sz val="10.0"/>
      </rPr>
      <t xml:space="preserve">Should be 2- catalysts are included in the relation
</t>
    </r>
    <r>
      <rPr>
        <rFont val="Arial"/>
        <color rgb="FF4A86E8"/>
        <sz val="10.0"/>
      </rPr>
      <t>[Jiaying] should be 3, not 2? 
Not the best 2 mentions of Ubc13 and TAK1 to show the ubiquitylation relation though...?</t>
    </r>
  </si>
  <si>
    <t>@GENE$ polyubiquitinates @GENE$ and this polyubiquitination and subsequent degradation of CSB occur following UV irradiation, even in the absence of Cockayne syndrome A (CSA) protein.</t>
  </si>
  <si>
    <t>(CSB, polyubiquitinated by, BRCA1)</t>
  </si>
  <si>
    <t>@GENE$ polyubiquitinates CSB and this polyubiquitination and subsequent degradation of @GENE$ occur following UV irradiation, even in the absence of Cockayne syndrome A (CSA) protein.</t>
  </si>
  <si>
    <t>[Jiaying] Not the best 2 mentions of BRCA1 and CSB to show the ubiquitylation relation...?</t>
  </si>
  <si>
    <t>[Jiaying] BRCA1 polyubiquitinates CSB to induce CSB degradation = inhibition?</t>
  </si>
  <si>
    <t>@GENE$ polyubiquitinates CSB and this polyubiquitination and subsequent degradation of CSB occur following UV irradiation, even in the absence of @GENE$ (CSA) protein.</t>
  </si>
  <si>
    <t>@GENE$ polyubiquitinates CSB and this polyubiquitination and subsequent degradation of CSB occur following UV irradiation, even in the absence of Cockayne syndrome A (@GENE$) protein.</t>
  </si>
  <si>
    <t>BRCA1 polyubiquitinates @GENE$ and this polyubiquitination and subsequent degradation of @GENE$ occur following UV irradiation, even in the absence of Cockayne syndrome A (CSA) protein.</t>
  </si>
  <si>
    <t>BRCA1 polyubiquitinates @GENE$ and this polyubiquitination and subsequent degradation of CSB occur following UV irradiation, even in the absence of @GENE$ (CSA) protein.</t>
  </si>
  <si>
    <t>BRCA1 polyubiquitinates @GENE$ and this polyubiquitination and subsequent degradation of CSB occur following UV irradiation, even in the absence of Cockayne syndrome A (@GENE$) protein.</t>
  </si>
  <si>
    <t>BRCA1 polyubiquitinates CSB and this polyubiquitination and subsequent degradation of @GENE$ occur following UV irradiation, even in the absence of @GENE$ (CSA) protein.</t>
  </si>
  <si>
    <t>BRCA1 polyubiquitinates CSB and this polyubiquitination and subsequent degradation of @GENE$ occur following UV irradiation, even in the absence of Cockayne syndrome A (@GENE$) protein.</t>
  </si>
  <si>
    <t>BRCA1 polyubiquitinates CSB and this polyubiquitination and subsequent degradation of CSB occur following UV irradiation, even in the absence of @GENE$ (@GENE$) protein.</t>
  </si>
  <si>
    <t>@GENE$ associates with @GENE$ (RNAPII)( 14 ) and mediates the ubiquitination of RNAPII following UV irradiation</t>
  </si>
  <si>
    <t>[Jiaying] Should be 2 - BRCA1 associates with RNAPII = binding
Not the best 2 mentions of BRCA1 and RNAPII to show the ubiquitylation relation...?</t>
  </si>
  <si>
    <t>@GENE$ associates with RNA polymerase II (@GENE$)( 14 ) and mediates the ubiquitination of RNAPII following UV irradiation</t>
  </si>
  <si>
    <t>@GENE$ associates with RNA polymerase II (RNAPII)( 14 ) and mediates the ubiquitination of @GENE$ following UV irradiation</t>
  </si>
  <si>
    <t>(BRCA1, mediates ubiquitination, RNAPII)</t>
  </si>
  <si>
    <t>BRCA1 associates with @GENE$ (@GENE$)( 14 ) and mediates the ubiquitination of RNAPII following UV irradiation</t>
  </si>
  <si>
    <t>BRCA1 associates with @GENE$ (RNAPII)( 14 ) and mediates the ubiquitination of @GENE$ following UV irradiation</t>
  </si>
  <si>
    <t>BRCA1 associates with RNA polymerase II (@GENE$)( 14 ) and mediates the ubiquitination of @GENE$ following UV irradiation</t>
  </si>
  <si>
    <t>@GENE$ (@GENE$)-mediated response to hypoxic conditions is turned off by VHL-mediated ubiquitination of HIFα. To achieve this, VHL binds HIFα and recruits it to a specific E3 ubiquitin ligase complex, a Cullin-RING-ligase.</t>
  </si>
  <si>
    <t>(VHL, mediates ubiquitination, HIFα)</t>
  </si>
  <si>
    <t>@GENE$ (HIF)-mediated response to @DISEASE$ conditions is turned off by VHL-mediated ubiquitination of HIFα. To achieve this, VHL binds HIFα and recruits it to a specific E3 ubiquitin ligase complex, a Cullin-RING-ligase.</t>
  </si>
  <si>
    <t>(VHL, binds to, HIFa)</t>
  </si>
  <si>
    <t>[Jiaying] Hypoxic conditions induce HIF-mediated responses = stimulation</t>
  </si>
  <si>
    <t>@GENE$ (HIF)-mediated response to hypoxic conditions is turned off by @GENE$-mediated ubiquitination of HIFα. To achieve this, VHL binds HIFα and recruits it to a specific E3 ubiquitin ligase complex, a Cullin-RING-ligase.</t>
  </si>
  <si>
    <t xml:space="preserve">[Jiaying] Not the best 2 mentions of VHL and HIF to show the ubiquitylation relation...? If this is 0 then we should be consistent with all entity pairs involving non-relevant mentions of the same entity being marked as 0. </t>
  </si>
  <si>
    <t>[Jiaying] VHL turns off HIF-mediated responses = inhibition?</t>
  </si>
  <si>
    <t>@GENE$ (HIF)-mediated response to hypoxic conditions is turned off by VHL-mediated ubiquitination of @GENE$. To achieve this, VHL binds HIFα and recruits it to a specific E3 ubiquitin ligase complex, a Cullin-RING-ligase.</t>
  </si>
  <si>
    <t>@GENE$ (HIF)-mediated response to hypoxic conditions is turned off by VHL-mediated ubiquitination of HIFα. To achieve this, @GENE$ binds HIFα and recruits it to a specific E3 ubiquitin ligase complex, a Cullin-RING-ligase.</t>
  </si>
  <si>
    <t>@GENE$ (HIF)-mediated response to hypoxic conditions is turned off by VHL-mediated ubiquitination of HIFα. To achieve this, VHL binds @GENE$ and recruits it to a specific E3 ubiquitin ligase complex, a Cullin-RING-ligase.</t>
  </si>
  <si>
    <t>@GENE$ (HIF)-mediated response to hypoxic conditions is turned off by VHL-mediated ubiquitination of HIFα. To achieve this, VHL binds HIFα and recruits it to a specific @GENE$ complex, a Cullin-RING-ligase.</t>
  </si>
  <si>
    <t>@GENE$ (HIF)-mediated response to hypoxic conditions is turned off by VHL-mediated ubiquitination of HIFα. To achieve this, VHL binds HIFα and recruits it to a specific E3 ubiquitin ligase complex, a @GENE$.</t>
  </si>
  <si>
    <t>Hypoxia inducible factor (@GENE$)-mediated response to @DISEASE$ conditions is turned off by VHL-mediated ubiquitination of HIFα. To achieve this, VHL binds HIFα and recruits it to a specific E3 ubiquitin ligase complex, a Cullin-RING-ligase.</t>
  </si>
  <si>
    <t>Hypoxia inducible factor (@GENE$)-mediated response to hypoxic conditions is turned off by @GENE$-mediated ubiquitination of HIFα. To achieve this, VHL binds HIFα and recruits it to a specific E3 ubiquitin ligase complex, a Cullin-RING-ligase.</t>
  </si>
  <si>
    <t>Hypoxia inducible factor (@GENE$)-mediated response to hypoxic conditions is turned off by VHL-mediated ubiquitination of @GENE$. To achieve this, VHL binds HIFα and recruits it to a specific E3 ubiquitin ligase complex, a Cullin-RING-ligase.</t>
  </si>
  <si>
    <t>Hypoxia inducible factor (@GENE$)-mediated response to hypoxic conditions is turned off by VHL-mediated ubiquitination of HIFα. To achieve this, @GENE$ binds HIFα and recruits it to a specific E3 ubiquitin ligase complex, a Cullin-RING-ligase.</t>
  </si>
  <si>
    <t>Hypoxia inducible factor (@GENE$)-mediated response to hypoxic conditions is turned off by VHL-mediated ubiquitination of HIFα. To achieve this, VHL binds @GENE$ and recruits it to a specific E3 ubiquitin ligase complex, a Cullin-RING-ligase.</t>
  </si>
  <si>
    <t>Hypoxia inducible factor (@GENE$)-mediated response to hypoxic conditions is turned off by VHL-mediated ubiquitination of HIFα. To achieve this, VHL binds HIFα and recruits it to a specific @GENE$ complex, a Cullin-RING-ligase.</t>
  </si>
  <si>
    <t>Hypoxia inducible factor (@GENE$)-mediated response to hypoxic conditions is turned off by VHL-mediated ubiquitination of HIFα. To achieve this, VHL binds HIFα and recruits it to a specific E3 ubiquitin ligase complex, a @GENE$.</t>
  </si>
  <si>
    <t>Hypoxia inducible factor (HIF)-mediated response to @DISEASE$ conditions is turned off by @GENE$-mediated ubiquitination of HIFα. To achieve this, VHL binds HIFα and recruits it to a specific E3 ubiquitin ligase complex, a Cullin-RING-ligase.</t>
  </si>
  <si>
    <t>Hypoxia inducible factor (HIF)-mediated response to @DISEASE$ conditions is turned off by VHL-mediated ubiquitination of @GENE$. To achieve this, VHL binds HIFα and recruits it to a specific E3 ubiquitin ligase complex, a Cullin-RING-ligase.</t>
  </si>
  <si>
    <t>Hypoxia inducible factor (HIF)-mediated response to @DISEASE$ conditions is turned off by VHL-mediated ubiquitination of HIFα. To achieve this, @GENE$ binds HIFα and recruits it to a specific E3 ubiquitin ligase complex, a Cullin-RING-ligase.</t>
  </si>
  <si>
    <t>Hypoxia inducible factor (HIF)-mediated response to @DISEASE$ conditions is turned off by VHL-mediated ubiquitination of HIFα. To achieve this, VHL binds @GENE$ and recruits it to a specific E3 ubiquitin ligase complex, a Cullin-RING-ligase.</t>
  </si>
  <si>
    <t>Hypoxia inducible factor (HIF)-mediated response to @DISEASE$ conditions is turned off by VHL-mediated ubiquitination of HIFα. To achieve this, VHL binds HIFα and recruits it to a specific @GENE$ complex, a Cullin-RING-ligase.</t>
  </si>
  <si>
    <t>Hypoxia inducible factor (HIF)-mediated response to @DISEASE$ conditions is turned off by VHL-mediated ubiquitination of HIFα. To achieve this, VHL binds HIFα and recruits it to a specific E3 ubiquitin ligase complex, a @GENE$.</t>
  </si>
  <si>
    <t>Hypoxia inducible factor (HIF)-mediated response to hypoxic conditions is turned off by @GENE$-mediated ubiquitination of @GENE$. To achieve this, VHL binds HIFα and recruits it to a specific E3 ubiquitin ligase complex, a Cullin-RING-ligase.</t>
  </si>
  <si>
    <t>Hypoxia inducible factor (HIF)-mediated response to hypoxic conditions is turned off by @GENE$-mediated ubiquitination of HIFα. To achieve this, @GENE$ binds HIFα and recruits it to a specific E3 ubiquitin ligase complex, a Cullin-RING-ligase.</t>
  </si>
  <si>
    <t>Hypoxia inducible factor (HIF)-mediated response to hypoxic conditions is turned off by @GENE$-mediated ubiquitination of HIFα. To achieve this, VHL binds @GENE$ and recruits it to a specific E3 ubiquitin ligase complex, a Cullin-RING-ligase.</t>
  </si>
  <si>
    <r>
      <rPr>
        <rFont val="Arial"/>
        <color theme="1"/>
        <sz val="10.0"/>
      </rPr>
      <t xml:space="preserve">Should be 0
</t>
    </r>
    <r>
      <rPr>
        <rFont val="Arial"/>
        <color rgb="FF4A86E8"/>
        <sz val="10.0"/>
      </rPr>
      <t>[Jiaying] could be 2 - VHL binds HIFa. 
Not the best 2 mentions of VHL and HIFa to show the ubiquitylation relation though...?</t>
    </r>
  </si>
  <si>
    <r>
      <rPr>
        <rFont val="Arial"/>
        <color theme="1"/>
        <sz val="10.0"/>
      </rPr>
      <t xml:space="preserve">Binding
</t>
    </r>
    <r>
      <rPr>
        <rFont val="Arial"/>
        <color rgb="FF4A86E8"/>
        <sz val="10.0"/>
      </rPr>
      <t>[Jiaying] Ligand-receptor binding, now classified as interaction (protein-protein)</t>
    </r>
  </si>
  <si>
    <t>Hypoxia inducible factor (HIF)-mediated response to hypoxic conditions is turned off by @GENE$-mediated ubiquitination of HIFα. To achieve this, VHL binds HIFα and recruits it to a specific @GENE$ complex, a Cullin-RING-ligase.</t>
  </si>
  <si>
    <t xml:space="preserve">[Jiaying] could be 2 - VHL binds HIFa and recruits it to E3 ubiquitin ligase complex (Cullin-RING-ligase); recruitment = VHL also binds the Cullin-RING-ligase. Not the best 2 mentions of VHL and E3 ubiquitin ligase to show the binding relation though...? If this is 0 then we should be consistent with all entity pairs involving non-relevant mentions of the same entity being marked as 0. </t>
  </si>
  <si>
    <t>Hypoxia inducible factor (HIF)-mediated response to hypoxic conditions is turned off by @GENE$-mediated ubiquitination of HIFα. To achieve this, VHL binds HIFα and recruits it to a specific E3 ubiquitin ligase complex, a @GENE$.</t>
  </si>
  <si>
    <t xml:space="preserve">[Jiaying] could be 2 - VHL binds HIFa and recruits it to E3 ubiquitin ligase complex (Cullin-RING-ligase); recruitment = VHL also binds the Cullin-RING-ligase. Not the best 2 mentions of VHL and Cullin-RING-ligase to show the binding relation though...? If this is 0 then we should be consistent with all entity pairs involving non-relevant mentions of the same entity being marked as 0. </t>
  </si>
  <si>
    <t>Hypoxia inducible factor (HIF)-mediated response to hypoxic conditions is turned off by VHL-mediated ubiquitination of @GENE$. To achieve this, @GENE$ binds HIFα and recruits it to a specific E3 ubiquitin ligase complex, a Cullin-RING-ligase.</t>
  </si>
  <si>
    <r>
      <rPr>
        <rFont val="Arial"/>
        <color theme="1"/>
        <sz val="10.0"/>
      </rPr>
      <t xml:space="preserve">Should be 0
</t>
    </r>
    <r>
      <rPr>
        <rFont val="Arial"/>
        <color rgb="FF4A86E8"/>
        <sz val="10.0"/>
      </rPr>
      <t>[Jiaying] could be 2 - VHL binds HIFa. 
Not the best 2 mentions of VHL and HIFa to show the ubiquitylation relation though...?</t>
    </r>
  </si>
  <si>
    <r>
      <rPr>
        <rFont val="Arial"/>
        <color theme="1"/>
        <sz val="10.0"/>
      </rPr>
      <t xml:space="preserve">Binding
</t>
    </r>
    <r>
      <rPr>
        <rFont val="Arial"/>
        <color rgb="FF4A86E8"/>
        <sz val="10.0"/>
      </rPr>
      <t>[Jiaying] Ligand-receptor binding, now classified as interaction (protein-protein)</t>
    </r>
  </si>
  <si>
    <t>Hypoxia inducible factor (HIF)-mediated response to hypoxic conditions is turned off by VHL-mediated ubiquitination of @GENE$. To achieve this, VHL binds @GENE$ and recruits it to a specific E3 ubiquitin ligase complex, a Cullin-RING-ligase.</t>
  </si>
  <si>
    <t>Hypoxia inducible factor (HIF)-mediated response to hypoxic conditions is turned off by VHL-mediated ubiquitination of @GENE$. To achieve this, VHL binds HIFα and recruits it to a specific @GENE$ complex, a Cullin-RING-ligase.</t>
  </si>
  <si>
    <t>Hypoxia inducible factor (HIF)-mediated response to hypoxic conditions is turned off by VHL-mediated ubiquitination of @GENE$. To achieve this, VHL binds HIFα and recruits it to a specific E3 ubiquitin ligase complex, a @GENE$.</t>
  </si>
  <si>
    <t>Hypoxia inducible factor (HIF)-mediated response to hypoxic conditions is turned off by VHL-mediated ubiquitination of HIFα. To achieve this, @GENE$ binds @GENE$ and recruits it to a specific E3 ubiquitin ligase complex, a Cullin-RING-ligase.</t>
  </si>
  <si>
    <r>
      <rPr>
        <rFont val="Arial"/>
        <color theme="1"/>
        <sz val="10.0"/>
      </rPr>
      <t xml:space="preserve">Should be 0
</t>
    </r>
    <r>
      <rPr>
        <rFont val="Arial"/>
        <color rgb="FF4A86E8"/>
        <sz val="10.0"/>
      </rPr>
      <t>[Jiaying] should be 2 - VHL binds HIFa = binding</t>
    </r>
  </si>
  <si>
    <r>
      <rPr>
        <rFont val="Arial"/>
        <color theme="1"/>
        <sz val="10.0"/>
      </rPr>
      <t xml:space="preserve">Binding
</t>
    </r>
    <r>
      <rPr>
        <rFont val="Arial"/>
        <color rgb="FF4A86E8"/>
        <sz val="10.0"/>
      </rPr>
      <t>[Jiaying] Ligand-receptor binding, now classified as interaction (protein-protein)</t>
    </r>
  </si>
  <si>
    <t>Hypoxia inducible factor (HIF)-mediated response to hypoxic conditions is turned off by VHL-mediated ubiquitination of HIFα. To achieve this, @GENE$ binds HIFα and recruits it to a specific @GENE$ complex, a Cullin-RING-ligase.</t>
  </si>
  <si>
    <t>[Jiaying] should be 2 - VHL binds HIFa and recruits it to E3 ubiquitin ligase complex (Cullin-RING-ligase); recruitment = VHL also binds the Cullin-RING-ligase.</t>
  </si>
  <si>
    <t>Hypoxia inducible factor (HIF)-mediated response to hypoxic conditions is turned off by VHL-mediated ubiquitination of HIFα. To achieve this, @GENE$ binds HIFα and recruits it to a specific E3 ubiquitin ligase complex, a @GENE$.</t>
  </si>
  <si>
    <t>Hypoxia inducible factor (HIF)-mediated response to hypoxic conditions is turned off by VHL-mediated ubiquitination of HIFα. To achieve this, VHL binds @GENE$ and recruits it to a specific @GENE$ complex, a Cullin-RING-ligase.</t>
  </si>
  <si>
    <t>[Jiaying] should be 2 - VHL binds HIFa and recruits it to E3 ubiquitin ligase complex (Cullin-RING-ligase); recruitment = HIFa also binds the Cullin-RING-ligase.</t>
  </si>
  <si>
    <t>Hypoxia inducible factor (HIF)-mediated response to hypoxic conditions is turned off by VHL-mediated ubiquitination of HIFα. To achieve this, VHL binds @GENE$ and recruits it to a specific E3 ubiquitin ligase complex, a @GENE$.</t>
  </si>
  <si>
    <t>Hypoxia inducible factor (HIF)-mediated response to hypoxic conditions is turned off by VHL-mediated ubiquitination of HIFα. To achieve this, VHL binds HIFα and recruits it to a specific @GENE$ complex, a @GENE$.</t>
  </si>
  <si>
    <t>The @GENE$ protein @GENE$ mediates c-Myc ubiquitylation by binding to the MB2 domain.</t>
  </si>
  <si>
    <t>(Skp2, mediates ubiquitination, c-Myc)</t>
  </si>
  <si>
    <t>The @GENE$ protein Skp2 mediates @GENE$ ubiquitylation by binding to the MB2 domain.</t>
  </si>
  <si>
    <t>[Jiaying] Possible that "F-box" is too generic but we should be consistent with the above input texts whether we consider specific protein families as a valid entity or not</t>
  </si>
  <si>
    <t>The F-box protein @GENE$ mediates @GENE$ ubiquitylation by binding to the MB2 domain.</t>
  </si>
  <si>
    <t>In this study, @GENE$ was modified by polyubiquitination in an amino acid-sensitive manner. By screening a series of @GENE$, RNF152, a lysosomal E3 ligase, was identified to mediate K63-linked polyubiquitination of RagA.</t>
  </si>
  <si>
    <t>[Jiaying] Possible that "E3 ubiquitin ligase" is too generic but we should be consistent with the above input texts whether we consider specific protein families as a valid entity or not</t>
  </si>
  <si>
    <t>In this study, @GENE$ was modified by polyubiquitination in an amino acid-sensitive manner. By screening a series of E3 ligases, @GENE$, a lysosomal E3 ligase, was identified to mediate K63-linked polyubiquitination of RagA.</t>
  </si>
  <si>
    <t>In this study, @GENE$ was modified by polyubiquitination in an amino acid-sensitive manner. By screening a series of E3 ligases, RNF152, a lysosomal @GENE$, was identified to mediate K63-linked polyubiquitination of RagA.</t>
  </si>
  <si>
    <r>
      <rPr>
        <rFont val="Arial"/>
        <color theme="1"/>
        <sz val="10.0"/>
      </rPr>
      <t xml:space="preserve">E3 ligase too general?
</t>
    </r>
    <r>
      <rPr>
        <rFont val="Arial"/>
        <color rgb="FF4A86E8"/>
        <sz val="10.0"/>
      </rPr>
      <t>[Jiaying] Possible that "E3 ubiquitin ligase" is too generic but we should be consistent with the above input texts whether we consider specific protein families as a valid entity or not</t>
    </r>
  </si>
  <si>
    <t>In this study, @GENE$ was modified by polyubiquitination in an amino acid-sensitive manner. By screening a series of E3 ligases, RNF152, a lysosomal E3 ligase, was identified to mediate K63-linked polyubiquitination of @GENE$</t>
  </si>
  <si>
    <t>In this study, RagA was modified by polyubiquitination in an amino acid-sensitive manner. By screening a series of @GENE$, @GENE$, a lysosomal E3 ligase, was identified to mediate K63-linked polyubiquitination of RagA.</t>
  </si>
  <si>
    <t>In this study, RagA was modified by polyubiquitination in an amino acid-sensitive manner. By screening a series of @GENE$, RNF152, a lysosomal @GENE$, was identified to mediate K63-linked polyubiquitination of RagA.</t>
  </si>
  <si>
    <t>In this study, RagA was modified by polyubiquitination in an amino acid-sensitive manner. By screening a series of @GENE$, RNF152, a lysosomal E3 ligase, was identified to mediate K63-linked polyubiquitination of @GENE$</t>
  </si>
  <si>
    <r>
      <rPr>
        <rFont val="Arial"/>
        <color theme="1"/>
        <sz val="10.0"/>
      </rPr>
      <t xml:space="preserve">E3 ligase too general?
</t>
    </r>
    <r>
      <rPr>
        <rFont val="Arial"/>
        <color rgb="FF4A86E8"/>
        <sz val="10.0"/>
      </rPr>
      <t>[Jiaying] Possible that "E3 ubiquitin ligase" is too generic but we should be consistent with the above input texts whether we consider specific protein families as a valid entity or not</t>
    </r>
  </si>
  <si>
    <t>In this study, RagA was modified by polyubiquitination in an amino acid-sensitive manner. By screening a series of E3 ligases, @GENE$, a lysosomal @GENE$, was identified to mediate K63-linked polyubiquitination of RagA.</t>
  </si>
  <si>
    <t>In this study, RagA was modified by polyubiquitination in an amino acid-sensitive manner. By screening a series of E3 ligases, @GENE$, a lysosomal E3 ligase, was identified to mediate K63-linked polyubiquitination of @GENE$</t>
  </si>
  <si>
    <t>(RNF152, mediates ubiquitination, RagA)</t>
  </si>
  <si>
    <t>In this study, RagA was modified by polyubiquitination in an amino acid-sensitive manner. By screening a series of E3 ligases, RNF152, a lysosomal @GENE$, was identified to mediate K63-linked polyubiquitination of @GENE$</t>
  </si>
  <si>
    <r>
      <rPr>
        <rFont val="Arial"/>
        <color theme="1"/>
        <sz val="10.0"/>
      </rPr>
      <t xml:space="preserve">E3 ligase too general?
</t>
    </r>
    <r>
      <rPr>
        <rFont val="Arial"/>
        <color rgb="FF4A86E8"/>
        <sz val="10.0"/>
      </rPr>
      <t>[Jiaying] Possible that "E3 ubiquitin ligase" is too generic but we should be consistent with the above input texts whether we consider specific protein families as a valid entity or not</t>
    </r>
  </si>
  <si>
    <t>Moreover, @GENE$, another @GENE$, could mediate RagA polyubiquitination on lysine 15.</t>
  </si>
  <si>
    <t>(SKP2, mediates polyubiquitination of, RagA)</t>
  </si>
  <si>
    <t>Moreover, @GENE$, another E3 ligase, could mediate @GENE$ polyubiquitination on lysine 15.</t>
  </si>
  <si>
    <t>Moreover, SKP2, another @GENE$, could mediate @GENE$ polyubiquitination on lysine 15.</t>
  </si>
  <si>
    <t>[Jiaying] Possible that "E3 ligase" is too generic but we should be consistent with the above input texts whether we consider specific protein families as a valid entity or not</t>
  </si>
  <si>
    <t>In addition to @GENE$/@GENE$, TRAF6, an E3 ligase, is also reported to regulate mTOR translocation to the lysosome in response to amino acid stimulation by catalyzing the K63 ubiquitination of mTOR in the form of the p62-TRAF6 heterodimer complex.</t>
  </si>
  <si>
    <t>In addition to @GENE$/SKP2, @GENE$, an E3 ligase, is also reported to regulate mTOR translocation to the lysosome in response to amino acid stimulation by catalyzing the K63 ubiquitination of mTOR in the form of the p62-TRAF6 heterodimer complex.</t>
  </si>
  <si>
    <t>In addition to @GENE$/SKP2, TRAF6, an @GENE$, is also reported to regulate mTOR translocation to the lysosome in response to amino acid stimulation by catalyzing the K63 ubiquitination of mTOR in the form of the p62-TRAF6 heterodimer complex.</t>
  </si>
  <si>
    <t>In addition to @GENE$/SKP2, TRAF6, an E3 ligase, is also reported to regulate @GENE$ translocation to the lysosome in response to amino acid stimulation by catalyzing the K63 ubiquitination of mTOR in the form of the p62-TRAF6 heterodimer complex.</t>
  </si>
  <si>
    <t>[Jiaying] RNF152, SKP2, TRAF6 regulate mTOR translocation to the lysosome = stimulation or inhibition, but unclear which</t>
  </si>
  <si>
    <t>In addition to @GENE$/SKP2, TRAF6, an E3 ligase, is also reported to regulate mTOR translocation to the lysosome in response to amino acid stimulation by catalyzing the K63 ubiquitination of @GENE$ in the form of the p62-TRAF6 heterodimer complex.</t>
  </si>
  <si>
    <t>In addition to @GENE$/SKP2, TRAF6, an E3 ligase, is also reported to regulate mTOR translocation to the lysosome in response to amino acid stimulation by catalyzing the K63 ubiquitination of mTOR in the form of the @GENE$-TRAF6 heterodimer complex.</t>
  </si>
  <si>
    <t>In addition to @GENE$/SKP2, TRAF6, an E3 ligase, is also reported to regulate mTOR translocation to the lysosome in response to amino acid stimulation by catalyzing the K63 ubiquitination of mTOR in the form of the p62-@GENE$ heterodimer complex.</t>
  </si>
  <si>
    <t>In addition to RNF152/@GENE$, @GENE$, an E3 ligase, is also reported to regulate mTOR translocation to the lysosome in response to amino acid stimulation by catalyzing the K63 ubiquitination of mTOR in the form of the p62-TRAF6 heterodimer complex.</t>
  </si>
  <si>
    <t>In addition to RNF152/@GENE$, TRAF6, an @GENE$, is also reported to regulate mTOR translocation to the lysosome in response to amino acid stimulation by catalyzing the K63 ubiquitination of mTOR in the form of the p62-TRAF6 heterodimer complex.</t>
  </si>
  <si>
    <t>In addition to RNF152/@GENE$, TRAF6, an E3 ligase, is also reported to regulate @GENE$ translocation to the lysosome in response to amino acid stimulation by catalyzing the K63 ubiquitination of mTOR in the form of the p62-TRAF6 heterodimer complex.</t>
  </si>
  <si>
    <t>In addition to RNF152/@GENE$, TRAF6, an E3 ligase, is also reported to regulate mTOR translocation to the lysosome in response to amino acid stimulation by catalyzing the K63 ubiquitination of @GENE$ in the form of the p62-TRAF6 heterodimer complex.</t>
  </si>
  <si>
    <t>In addition to RNF152/@GENE$, TRAF6, an E3 ligase, is also reported to regulate mTOR translocation to the lysosome in response to amino acid stimulation by catalyzing the K63 ubiquitination of mTOR in the form of the @GENE$-TRAF6 heterodimer complex.</t>
  </si>
  <si>
    <t>In addition to RNF152/@GENE$, TRAF6, an E3 ligase, is also reported to regulate mTOR translocation to the lysosome in response to amino acid stimulation by catalyzing the K63 ubiquitination of mTOR in the form of the p62-@GENE$ heterodimer complex.</t>
  </si>
  <si>
    <t>In addition to RNF152/SKP2, @GENE$, an @GENE$, is also reported to regulate mTOR translocation to the lysosome in response to amino acid stimulation by catalyzing the K63 ubiquitination of mTOR in the form of the p62-TRAF6 heterodimer complex.</t>
  </si>
  <si>
    <t>In addition to RNF152/SKP2, @GENE$, an E3 ligase, is also reported to regulate @GENE$ translocation to the lysosome in response to amino acid stimulation by catalyzing the K63 ubiquitination of mTOR in the form of the p62-TRAF6 heterodimer complex.</t>
  </si>
  <si>
    <t xml:space="preserve">[Jiaying] Not the best 2 mentions of TRAF6 and mTOR to show the ubiquitylation relation though...? </t>
  </si>
  <si>
    <t>In addition to RNF152/SKP2, @GENE$, an E3 ligase, is also reported to regulate mTOR translocation to the lysosome in response to amino acid stimulation by catalyzing the K63 ubiquitination of @GENE$ in the form of the p62-TRAF6 heterodimer complex.</t>
  </si>
  <si>
    <t>(TRAF6, catalyzes ubiquitylation of, mTOR)</t>
  </si>
  <si>
    <t>In addition to RNF152/SKP2, @GENE$, an E3 ligase, is also reported to regulate mTOR translocation to the lysosome in response to amino acid stimulation by catalyzing the K63 ubiquitination of mTOR in the form of the @GENE$-TRAF6 heterodimer complex.</t>
  </si>
  <si>
    <t xml:space="preserve">[Jiaying] could be 2 - p62 and TRAF6 are in complex i.e. they bind each other. If this is 0 then we should be consistent with all entity pairs involving non-relevant mentions of the same entity being marked as 0. </t>
  </si>
  <si>
    <t>In addition to RNF152/SKP2, @GENE$, an E3 ligase, is also reported to regulate mTOR translocation to the lysosome in response to amino acid stimulation by catalyzing the K63 ubiquitination of mTOR in the form of the p62-@GENE$ heterodimer complex.</t>
  </si>
  <si>
    <t>In addition to RNF152/SKP2, TRAF6, an @GENE$, is also reported to regulate @GENE$ translocation to the lysosome in response to amino acid stimulation by catalyzing the K63 ubiquitination of mTOR in the form of the p62-TRAF6 heterodimer complex.</t>
  </si>
  <si>
    <r>
      <rPr>
        <rFont val="Arial"/>
        <color theme="1"/>
        <sz val="10.0"/>
      </rPr>
      <t xml:space="preserve">E3 ligase is too general? Should be 0? 
</t>
    </r>
    <r>
      <rPr>
        <rFont val="Arial"/>
        <color rgb="FF4A86E8"/>
        <sz val="10.0"/>
      </rPr>
      <t>[Jiaying] Possible that "E3 ligase" is too generic but we should be consistent with the above input texts whether we consider specific protein families as a valid entity or not</t>
    </r>
  </si>
  <si>
    <t>In addition to RNF152/SKP2, TRAF6, an @GENE$, is also reported to regulate mTOR translocation to the lysosome in response to amino acid stimulation by catalyzing the K63 ubiquitination of @GENE$ in the form of the p62-TRAF6 heterodimer complex.</t>
  </si>
  <si>
    <r>
      <rPr>
        <rFont val="Arial"/>
        <color theme="1"/>
        <sz val="10.0"/>
      </rPr>
      <t xml:space="preserve">E3 ligase is too general? Should be 0? 
</t>
    </r>
    <r>
      <rPr>
        <rFont val="Arial"/>
        <color rgb="FF4A86E8"/>
        <sz val="10.0"/>
      </rPr>
      <t>[Jiaying] Possible that "E3 ligase" is too generic but we should be consistent with the above input texts whether we consider specific protein families as a valid entity or not</t>
    </r>
  </si>
  <si>
    <t>In addition to RNF152/SKP2, TRAF6, an @GENE$, is also reported to regulate mTOR translocation to the lysosome in response to amino acid stimulation by catalyzing the K63 ubiquitination of mTOR in the form of the @GENE$-TRAF6 heterodimer complex.</t>
  </si>
  <si>
    <t>In addition to RNF152/SKP2, TRAF6, an @GENE$, is also reported to regulate mTOR translocation to the lysosome in response to amino acid stimulation by catalyzing the K63 ubiquitination of mTOR in the form of the p62-@GENE$ heterodimer complex.</t>
  </si>
  <si>
    <t>In addition to RNF152/SKP2, TRAF6, an E3 ligase, is also reported to regulate @GENE$ translocation to the lysosome in response to amino acid stimulation by catalyzing the K63 ubiquitination of @GENE$ in the form of the p62-TRAF6 heterodimer complex.</t>
  </si>
  <si>
    <t>In addition to RNF152/SKP2, TRAF6, an E3 ligase, is also reported to regulate @GENE$ translocation to the lysosome in response to amino acid stimulation by catalyzing the K63 ubiquitination of mTOR in the form of the @GENE$-TRAF6 heterodimer complex.</t>
  </si>
  <si>
    <t>In addition to RNF152/SKP2, TRAF6, an E3 ligase, is also reported to regulate @GENE$ translocation to the lysosome in response to amino acid stimulation by catalyzing the K63 ubiquitination of mTOR in the form of the p62-@GENE$ heterodimer complex.</t>
  </si>
  <si>
    <r>
      <rPr>
        <rFont val="Arial"/>
        <color theme="1"/>
        <sz val="10.0"/>
      </rPr>
      <t xml:space="preserve">Should be 0? 
</t>
    </r>
    <r>
      <rPr>
        <rFont val="Arial"/>
        <color rgb="FF4A86E8"/>
        <sz val="10.0"/>
      </rPr>
      <t xml:space="preserve">[Jiaying] could be 0 or 3 - TRAF6 ubiquitylates mTOR. If this is 0 then we should be consistent with all entity pairs involving non-relevant mentions of the same entity being marked as 0. </t>
    </r>
  </si>
  <si>
    <t>In addition to RNF152/SKP2, TRAF6, an E3 ligase, is also reported to regulate mTOR translocation to the lysosome in response to amino acid stimulation by catalyzing the K63 ubiquitination of @GENE$ in the form of the @GENE$-TRAF6 heterodimer complex.</t>
  </si>
  <si>
    <t>In addition to RNF152/SKP2, TRAF6, an E3 ligase, is also reported to regulate mTOR translocation to the lysosome in response to amino acid stimulation by catalyzing the K63 ubiquitination of @GENE$ in the form of the p62-@GENE$ heterodimer complex.</t>
  </si>
  <si>
    <r>
      <rPr>
        <rFont val="Arial"/>
        <color theme="1"/>
        <sz val="10.0"/>
      </rPr>
      <t xml:space="preserve">Should be 0? 
</t>
    </r>
    <r>
      <rPr>
        <rFont val="Arial"/>
        <color rgb="FF4A86E8"/>
        <sz val="10.0"/>
      </rPr>
      <t>[Jiaying] should be 3 - TRAF6 ubiquitylates mTOR</t>
    </r>
  </si>
  <si>
    <t>In addition to RNF152/SKP2, TRAF6, an E3 ligase, is also reported to regulate mTOR translocation to the lysosome in response to amino acid stimulation by catalyzing the K63 ubiquitination of mTOR in the form of the @GENE$-@GENE$ heterodimer complex.</t>
  </si>
  <si>
    <r>
      <rPr>
        <rFont val="Arial"/>
        <color theme="1"/>
        <sz val="10.0"/>
      </rPr>
      <t xml:space="preserve">(p62-TRAF6 heterodimer complex)
</t>
    </r>
    <r>
      <rPr>
        <rFont val="Arial"/>
        <color rgb="FF4A86E8"/>
        <sz val="10.0"/>
      </rPr>
      <t>[Jiaying] Should be 2 - p62 and TRAF6 are in complex i.e. they bind each other</t>
    </r>
  </si>
  <si>
    <t>In this process, @GENE$ directly binds to @GENE$ and mediates its degradation by the proteasome (Fig. 2a)</t>
  </si>
  <si>
    <r>
      <rPr>
        <rFont val="Arial"/>
        <color theme="1"/>
        <sz val="10.0"/>
      </rPr>
      <t xml:space="preserve">Should be 0
</t>
    </r>
    <r>
      <rPr>
        <rFont val="Arial"/>
        <color rgb="FF4A86E8"/>
        <sz val="10.0"/>
      </rPr>
      <t>[Jiaying] should be 2 - FBXW7 binds mTOR = binding</t>
    </r>
  </si>
  <si>
    <r>
      <rPr>
        <rFont val="Arial"/>
        <color theme="1"/>
        <sz val="10.0"/>
      </rPr>
      <t xml:space="preserve">Binding
</t>
    </r>
    <r>
      <rPr>
        <rFont val="Arial"/>
        <color rgb="FF4A86E8"/>
        <sz val="10.0"/>
      </rPr>
      <t>[Jiaying] Ligand-receptor binding, now classified as interaction (protein-protein)</t>
    </r>
  </si>
  <si>
    <t>@GENE$ plays a central role in the DNA damage response (DDR) by ubiquitylating @GENE$ at K13 and K15.</t>
  </si>
  <si>
    <t>(RNF168, ubiquitylate, H2A)</t>
  </si>
  <si>
    <t>Briefly, @GENE$ (@GENE$ in human cells) is responsible for generating a K63 linked poly-ubiquitin chain on RPB1, which is then trimmed to mono-ubiquitylation by the Rsp5-associated deubiquitinating enzyme (DUB) Ubp2.</t>
  </si>
  <si>
    <t>(DUB, mono-ubiquitinates, RPB1)</t>
  </si>
  <si>
    <t>Briefly, @GENE$ (NEDD4 in @SPECIES$ cells) is responsible for generating a K63 linked poly-ubiquitin chain on RPB1, which is then trimmed to mono-ubiquitylation by the Rsp5-associated deubiquitinating enzyme (DUB) Ubp2.</t>
  </si>
  <si>
    <t>Briefly, @GENE$ (NEDD4 in human cells) is responsible for generating a K63 linked poly-ubiquitin chain on @GENE$, which is then trimmed to mono-ubiquitylation by the Rsp5-associated deubiquitinating enzyme (DUB) Ubp2.</t>
  </si>
  <si>
    <r>
      <rPr>
        <rFont val="Arial"/>
        <color theme="1"/>
        <sz val="10.0"/>
      </rPr>
      <t xml:space="preserve">Rsp5 is responsible for generating a polyubiquitin chain on RPB1 --&gt; ubiquitination?
</t>
    </r>
    <r>
      <rPr>
        <rFont val="Arial"/>
        <color rgb="FF4A86E8"/>
        <sz val="10.0"/>
      </rPr>
      <t>[Jiaying] should be 3 - this is ubiquitylation</t>
    </r>
  </si>
  <si>
    <t>Briefly, @GENE$ (NEDD4 in human cells) is responsible for generating a K63 linked poly-ubiquitin chain on RPB1, which is then trimmed to mono-ubiquitylation by the @GENE$-associated deubiquitinating enzyme (DUB) Ubp2.</t>
  </si>
  <si>
    <t>"Rsp5-associated deubiquitinating enzyme" should be tagged as @GENE$, not just "Rsp5"</t>
  </si>
  <si>
    <t>Briefly, @GENE$ (NEDD4 in human cells) is responsible for generating a K63 linked poly-ubiquitin chain on RPB1, which is then trimmed to mono-ubiquitylation by the Rsp5-associated deubiquitinating enzyme (@GENE$) Ubp2.</t>
  </si>
  <si>
    <t>Briefly, @GENE$ (NEDD4 in human cells) is responsible for generating a K63 linked poly-ubiquitin chain on RPB1, which is then trimmed to mono-ubiquitylation by the Rsp5-associated deubiquitinating enzyme (DUB) @GENE$.</t>
  </si>
  <si>
    <t>Briefly, Rsp5 (@GENE$ in @SPECIES$ cells) is responsible for generating a K63 linked poly-ubiquitin chain on RPB1, which is then trimmed to mono-ubiquitylation by the Rsp5-associated deubiquitinating enzyme (DUB) Ubp2.</t>
  </si>
  <si>
    <t>Briefly, Rsp5 (@GENE$ in human cells) is responsible for generating a K63 linked poly-ubiquitin chain on @GENE$, which is then trimmed to mono-ubiquitylation by the Rsp5-associated deubiquitinating enzyme (DUB) Ubp2.</t>
  </si>
  <si>
    <t>[Jiaying] should be 3 - this is ubiquitylation</t>
  </si>
  <si>
    <t>Briefly, Rsp5 (@GENE$ in human cells) is responsible for generating a K63 linked poly-ubiquitin chain on RPB1, which is then trimmed to mono-ubiquitylation by the @GENE$-associated deubiquitinating enzyme (DUB) Ubp2.</t>
  </si>
  <si>
    <t>Briefly, Rsp5 (@GENE$ in human cells) is responsible for generating a K63 linked poly-ubiquitin chain on RPB1, which is then trimmed to mono-ubiquitylation by the Rsp5-associated deubiquitinating enzyme (@GENE$) Ubp2.</t>
  </si>
  <si>
    <t>Briefly, Rsp5 (@GENE$ in human cells) is responsible for generating a K63 linked poly-ubiquitin chain on RPB1, which is then trimmed to mono-ubiquitylation by the Rsp5-associated deubiquitinating enzyme (DUB) @GENE$.</t>
  </si>
  <si>
    <t>Briefly, Rsp5 (NEDD4 in @SPECIES$ cells) is responsible for generating a K63 linked poly-ubiquitin chain on @GENE$, which is then trimmed to mono-ubiquitylation by the Rsp5-associated deubiquitinating enzyme (DUB) Ubp2.</t>
  </si>
  <si>
    <t>Briefly, Rsp5 (NEDD4 in @SPECIES$ cells) is responsible for generating a K63 linked poly-ubiquitin chain on RPB1, which is then trimmed to mono-ubiquitylation by the @GENE$-associated deubiquitinating enzyme (DUB) Ubp2.</t>
  </si>
  <si>
    <t>Briefly, Rsp5 (NEDD4 in @SPECIES$ cells) is responsible for generating a K63 linked poly-ubiquitin chain on RPB1, which is then trimmed to mono-ubiquitylation by the Rsp5-associated deubiquitinating enzyme (@GENE$) Ubp2.</t>
  </si>
  <si>
    <t>Briefly, Rsp5 (NEDD4 in @SPECIES$ cells) is responsible for generating a K63 linked poly-ubiquitin chain on RPB1, which is then trimmed to mono-ubiquitylation by the Rsp5-associated deubiquitinating enzyme (DUB) @GENE$.</t>
  </si>
  <si>
    <t>Briefly, Rsp5 (NEDD4 in human cells) is responsible for generating a K63 linked poly-ubiquitin chain on @GENE$, which is then trimmed to mono-ubiquitylation by the @GENE$-associated deubiquitinating enzyme (DUB) Ubp2.</t>
  </si>
  <si>
    <t>[Jiaying] could be 3 - Rsp5 ubiquitylates RPB1, but not the best 2 mentions of Rsp5 and RPB1 to show the ubiquitylation relation</t>
  </si>
  <si>
    <t>Briefly, Rsp5 (NEDD4 in human cells) is responsible for generating a K63 linked poly-ubiquitin chain on @GENE$, which is then trimmed to mono-ubiquitylation by the Rsp5-associated deubiquitinating enzyme (@GENE$) Ubp2.</t>
  </si>
  <si>
    <t>[Jiaying] should be 0 - the DUB Ubp2 DE-ubiquitylates poly-ubiquitylated RPB1</t>
  </si>
  <si>
    <t>Briefly, Rsp5 (NEDD4 in human cells) is responsible for generating a K63 linked poly-ubiquitin chain on @GENE$, which is then trimmed to mono-ubiquitylation by the Rsp5-associated deubiquitinating enzyme (DUB) @GENE$.</t>
  </si>
  <si>
    <t>[Jiaying] should be 0 - the DUB Ubp2 DE-ubiquitylates poly-ubiquitylated RPB2</t>
  </si>
  <si>
    <t>Briefly, Rsp5 (NEDD4 in human cells) is responsible for generating a K63 linked poly-ubiquitin chain on RPB1, which is then trimmed to mono-ubiquitylation by the @GENE$-associated deubiquitinating enzyme (@GENE$) Ubp2.</t>
  </si>
  <si>
    <t>Briefly, Rsp5 (NEDD4 in human cells) is responsible for generating a K63 linked poly-ubiquitin chain on RPB1, which is then trimmed to mono-ubiquitylation by the @GENE$-associated deubiquitinating enzyme (DUB) @GENE$.</t>
  </si>
  <si>
    <t>Briefly, Rsp5 (NEDD4 in human cells) is responsible for generating a K63 linked poly-ubiquitin chain on RPB1, which is then trimmed to mono-ubiquitylation by the Rsp5-associated deubiquitinating enzyme (@GENE$) @GENE$.</t>
  </si>
  <si>
    <t>While this two-ligase system has been successfully reconstituted for @SPECIES$ and mammalian factors in vitro , the @SPECIES$ E3 ligase VHL has also been shown to ubiquitylate RPB1 in vivo .</t>
  </si>
  <si>
    <t>(VHL, ubiquitylates, RPB1)</t>
  </si>
  <si>
    <t>While this two-ligase system has been successfully reconstituted for @SPECIES$ and mammalian factors in vitro , the human @GENE$ VHL has also been shown to ubiquitylate RPB1 in vivo .</t>
  </si>
  <si>
    <t>While this two-ligase system has been successfully reconstituted for @SPECIES$ and mammalian factors in vitro , the human E3 ligase @GENE$ has also been shown to ubiquitylate RPB1 in vivo .</t>
  </si>
  <si>
    <t>While this two-ligase system has been successfully reconstituted for @SPECIES$ and mammalian factors in vitro , the human E3 ligase VHL has also been shown to ubiquitylate @GENE$ in vivo .</t>
  </si>
  <si>
    <t>While this two-ligase system has been successfully reconstituted for yeast and mammalian factors in vitro , the @SPECIES$ @GENE$ VHL has also been shown to ubiquitylate RPB1 in vivo .</t>
  </si>
  <si>
    <t>While this two-ligase system has been successfully reconstituted for yeast and mammalian factors in vitro , the @SPECIES$ E3 ligase @GENE$ has also been shown to ubiquitylate RPB1 in vivo .</t>
  </si>
  <si>
    <t>While this two-ligase system has been successfully reconstituted for yeast and mammalian factors in vitro , the @SPECIES$ E3 ligase VHL has also been shown to ubiquitylate @GENE$ in vivo .</t>
  </si>
  <si>
    <t>While this two-ligase system has been successfully reconstituted for yeast and mammalian factors in vitro , the human @GENE$ @GENE$ has also been shown to ubiquitylate RPB1 in vivo .</t>
  </si>
  <si>
    <t>While this two-ligase system has been successfully reconstituted for yeast and mammalian factors in vitro , the human @GENE$ VHL has also been shown to ubiquitylate @GENE$ in vivo .</t>
  </si>
  <si>
    <t>While this two-ligase system has been successfully reconstituted for yeast and mammalian factors in vitro , the human E3 ligase @GENE$ has also been shown to ubiquitylate @GENE$ in vivo .</t>
  </si>
  <si>
    <t>Consequently, @VARIANT$@GENE$ is recognized by SCFFbw7 for K48-linked ubiquitination and degradation through the proteasome system.</t>
  </si>
  <si>
    <t>Consequently, @VARIANT$MYC is recognized by @GENE$ for K48-linked ubiquitination and degradation through the proteasome system.</t>
  </si>
  <si>
    <r>
      <rPr>
        <rFont val="Arial"/>
        <color theme="1"/>
        <sz val="10.0"/>
      </rPr>
      <t xml:space="preserve">p-T58-MYC is recognized for ubiquitination by SCFFbw7. Entity tagging issue? 
</t>
    </r>
    <r>
      <rPr>
        <rFont val="Arial"/>
        <color rgb="FF4A86E8"/>
        <sz val="10.0"/>
      </rPr>
      <t>[Jiaying] Should be 0 - the entity pair with the ubiquitylation reaction is Myc and SCFFbw7. 
Technically this entity tagging is correct - p-T58-Myc refers to the Myc protein phosphorylated on threonine-58, so if we ignore the phosphorylation annotation, Myc is the protein entity we are after</t>
    </r>
  </si>
  <si>
    <t>Consequently, p-T58-@GENE$ is recognized by @GENE$ for K48-linked ubiquitination and degradation through the proteasome system.</t>
  </si>
  <si>
    <t>As the substrate-binding subunit of the @GENE$ ubiquitin ligase complex, @GENE$ was shown to bind to the MBII and bHLH-LZ domains of MYC and can mediate its ubiquitination and degradation during the G1/S transition of the cell cycle.</t>
  </si>
  <si>
    <t>As the substrate-binding subunit of the @GENE$ ubiquitin ligase complex, Skp2 was shown to bind to the MBII and bHLH-LZ domains of @GENE$ and can mediate its ubiquitination and degradation during the G1/S transition of the cell cycle.</t>
  </si>
  <si>
    <r>
      <rPr>
        <rFont val="Arial"/>
        <color theme="1"/>
        <sz val="10.0"/>
      </rPr>
      <t xml:space="preserve">Should be 0
</t>
    </r>
    <r>
      <rPr>
        <rFont val="Arial"/>
        <color rgb="FF4A86E8"/>
        <sz val="10.0"/>
      </rPr>
      <t>[Jiaying] should be 2 and 3 - SCFSkp2 binds and ubiquitylates MYC = binding</t>
    </r>
  </si>
  <si>
    <r>
      <rPr>
        <rFont val="Arial"/>
        <color theme="1"/>
        <sz val="10.0"/>
      </rPr>
      <t xml:space="preserve">Binding
</t>
    </r>
    <r>
      <rPr>
        <rFont val="Arial"/>
        <color rgb="FF4A86E8"/>
        <sz val="10.0"/>
      </rPr>
      <t>[Jiaying] Ligand-receptor binding, now classified as interaction (protein-protein)</t>
    </r>
  </si>
  <si>
    <t>As the substrate-binding subunit of the SCFSkp2 ubiquitin ligase complex, @GENE$ was shown to bind to the MBII and bHLH-LZ domains of @GENE$ and can mediate its ubiquitination and degradation during the G1/S transition of the cell cycle.</t>
  </si>
  <si>
    <r>
      <rPr>
        <rFont val="Arial"/>
        <color theme="1"/>
        <sz val="10.0"/>
      </rPr>
      <t xml:space="preserve">Should be 0
</t>
    </r>
    <r>
      <rPr>
        <rFont val="Arial"/>
        <color rgb="FF4A86E8"/>
        <sz val="10.0"/>
      </rPr>
      <t>[Jiaying] should be 2 and 3 - Skp2 binds and ubiquitylates MYC = binding</t>
    </r>
  </si>
  <si>
    <r>
      <rPr>
        <rFont val="Arial"/>
        <color theme="1"/>
        <sz val="10.0"/>
      </rPr>
      <t xml:space="preserve">Binding
</t>
    </r>
    <r>
      <rPr>
        <rFont val="Arial"/>
        <color rgb="FF4A86E8"/>
        <sz val="10.0"/>
      </rPr>
      <t>[Jiaying] Ligand-receptor binding, now classified as interaction (protein-protein)</t>
    </r>
  </si>
  <si>
    <t xml:space="preserve">@GENE$targets @GENE$for proteasome degradation by promoting MYC ubiquitination at K326 via K48-linked ubiquitin chains independently of T58 or S62 phosphorylation. </t>
  </si>
  <si>
    <t>SCFFBXO32 promotes ubituitination of MYC</t>
  </si>
  <si>
    <t>Input text has a second sentence that disappeared during AIONER entity tagging - need to find out why</t>
  </si>
  <si>
    <t xml:space="preserve">@GENE$targets MYC for proteasome degradation by promoting @GENE$ubiquitination at K326 via K48-linked ubiquitin chains independently of T58 or S62 phosphorylation. </t>
  </si>
  <si>
    <t xml:space="preserve">SCFFBXO32 targets @GENE$for proteasome degradation by promoting @GENE$ubiquitination at K326 via K48-linked ubiquitin chains independently of T58 or S62 phosphorylation. </t>
  </si>
  <si>
    <t>@GENE$ mediates ubiquitination and degradation of @GENE$ by directly binding to MYC, while this binding is attenuated by the prostate cancer-associated mutations, SPOPF102C and SPOPF133V.</t>
  </si>
  <si>
    <t>SPOP mediates ubiquitination of MYC</t>
  </si>
  <si>
    <t>@GENE$ mediates ubiquitination and degradation of MYC by directly binding to @GENE$, while this binding is attenuated by the prostate cancer-associated mutations, SPOPF102C and SPOPF133V.</t>
  </si>
  <si>
    <r>
      <rPr>
        <rFont val="Arial"/>
        <color theme="1"/>
        <sz val="10.0"/>
      </rPr>
      <t xml:space="preserve">Should be 0
</t>
    </r>
    <r>
      <rPr>
        <rFont val="Arial"/>
        <color rgb="FF4A86E8"/>
        <sz val="10.0"/>
      </rPr>
      <t>[Jiaying] should be 2 - SPOP binds and ubiquitylates MYC = binding</t>
    </r>
  </si>
  <si>
    <r>
      <rPr>
        <rFont val="Arial"/>
        <color theme="1"/>
        <sz val="10.0"/>
      </rPr>
      <t xml:space="preserve">Binding
</t>
    </r>
    <r>
      <rPr>
        <rFont val="Arial"/>
        <color rgb="FF4A86E8"/>
        <sz val="10.0"/>
      </rPr>
      <t>[Jiaying] Ligand-receptor binding, now classified as interaction (protein-protein)</t>
    </r>
  </si>
  <si>
    <t>@GENE$ mediates ubiquitination and degradation of MYC by directly binding to MYC, while this binding is attenuated by the @DISEASE$-associated mutations, SPOPF102C and SPOPF133V.</t>
  </si>
  <si>
    <t>@GENE$ mediates ubiquitination and degradation of MYC by directly binding to MYC, while this binding is attenuated by the prostate cancer-associated mutations, @GENE$ and SPOPF133V.</t>
  </si>
  <si>
    <t>[Jiaying] SPOPF102C and SPOPF133V prevent SPOP binding and ubiquitylation of MYC = preventation</t>
  </si>
  <si>
    <t>"SPOPF102C" should be tagged as @VARIANT$, not @GENE$</t>
  </si>
  <si>
    <t>@GENE$ mediates ubiquitination and degradation of MYC by directly binding to MYC, while this binding is attenuated by the prostate cancer-associated mutations, SPOPF102C and @GENE$</t>
  </si>
  <si>
    <t>"SPOPF133V" should be tagged as @VARIANT$, not @GENE$</t>
  </si>
  <si>
    <t>SPOP mediates ubiquitination and degradation of @GENE$ by directly binding to @GENE$, while this binding is attenuated by the prostate cancer-associated mutations, SPOPF102C and SPOPF133V.</t>
  </si>
  <si>
    <t>SPOP mediates ubiquitination and degradation of @GENE$ by directly binding to MYC, while this binding is attenuated by the @DISEASE$-associated mutations, SPOPF102C and SPOPF133V.</t>
  </si>
  <si>
    <t>SPOP mediates ubiquitination and degradation of @GENE$ by directly binding to MYC, while this binding is attenuated by the prostate cancer-associated mutations, @GENE$ and SPOPF133V.</t>
  </si>
  <si>
    <t>SPOP mediates ubiquitination and degradation of @GENE$ by directly binding to MYC, while this binding is attenuated by the prostate cancer-associated mutations, SPOPF102C and @GENE$</t>
  </si>
  <si>
    <t>SPOP mediates ubiquitination and degradation of MYC by directly binding to @GENE$, while this binding is attenuated by the @DISEASE$-associated mutations, SPOPF102C and SPOPF133V.</t>
  </si>
  <si>
    <t>SPOP mediates ubiquitination and degradation of MYC by directly binding to @GENE$, while this binding is attenuated by the prostate cancer-associated mutations, @GENE$ and SPOPF133V.</t>
  </si>
  <si>
    <t>SPOP mediates ubiquitination and degradation of MYC by directly binding to @GENE$, while this binding is attenuated by the prostate cancer-associated mutations, SPOPF102C and @GENE$</t>
  </si>
  <si>
    <t>SPOP mediates ubiquitination and degradation of MYC by directly binding to MYC, while this binding is attenuated by the @DISEASE$-associated mutations, @GENE$ and SPOPF133V.</t>
  </si>
  <si>
    <t>SPOP mediates ubiquitination and degradation of MYC by directly binding to MYC, while this binding is attenuated by the @DISEASE$-associated mutations, SPOPF102C and @GENE$</t>
  </si>
  <si>
    <t>SPOP mediates ubiquitination and degradation of MYC by directly binding to MYC, while this binding is attenuated by the prostate cancer-associated mutations, @GENE$ and @GENE$</t>
  </si>
  <si>
    <t>"SPOPF102C" and "SPOPF133V" should be tagged as @VARIANT$, not @GENE$</t>
  </si>
  <si>
    <t>Recently, @GENE$ has been shown to stabilize @GENE$ by blocking the binding between SPOP and MYC and thus inhibiting SPOP- induced MYC ubiquitination and degradation in TNBCs, indicating a new RNA-mediated mechanism utilized by cancer cells to stabilize MYC protein.</t>
  </si>
  <si>
    <t>(LINC01638, inhibits ubiquitination of, MYC)</t>
  </si>
  <si>
    <t>Recently, @GENE$ has been shown to stabilize MYC by blocking the binding between @GENE$ and MYC and thus inhibiting SPOP- induced MYC ubiquitination and degradation in TNBCs, indicating a new RNA-mediated mechanism utilized by cancer cells to stabilize MYC protein.</t>
  </si>
  <si>
    <t>(MYC, binds to, SPOP)</t>
  </si>
  <si>
    <t>[Jiaying] LINC01638 lncRNA blocks SPOP binding to MYC = inhibition</t>
  </si>
  <si>
    <t>Recently, @GENE$ has been shown to stabilize MYC by blocking the binding between SPOP and @GENE$ and thus inhibiting SPOP- induced MYC ubiquitination and degradation in TNBCs, indicating a new RNA-mediated mechanism utilized by cancer cells to stabilize MYC protein.</t>
  </si>
  <si>
    <t>(SPOP, induces ubiquitination of, MYC)</t>
  </si>
  <si>
    <t>Recently, @GENE$ has been shown to stabilize MYC by blocking the binding between SPOP and MYC and thus inhibiting @GENE$- induced MYC ubiquitination and degradation in TNBCs, indicating a new RNA-mediated mechanism utilized by cancer cells to stabilize MYC protein.</t>
  </si>
  <si>
    <t>Recently, @GENE$ has been shown to stabilize MYC by blocking the binding between SPOP and MYC and thus inhibiting SPOP- induced @GENE$ ubiquitination and degradation in TNBCs, indicating a new RNA-mediated mechanism utilized by cancer cells to stabilize MYC protein.</t>
  </si>
  <si>
    <t>Recently, @GENE$ has been shown to stabilize MYC by blocking the binding between SPOP and MYC and thus inhibiting SPOP- induced MYC ubiquitination and degradation in @DISEASE$, indicating a new RNA-mediated mechanism utilized by cancer cells to stabilize MYC protein.</t>
  </si>
  <si>
    <t>Recently, @GENE$ has been shown to stabilize MYC by blocking the binding between SPOP and MYC and thus inhibiting SPOP- induced MYC ubiquitination and degradation in TNBCs, indicating a new RNA-mediated mechanism utilized by @DISEASE$ cells to stabilize MYC protein.</t>
  </si>
  <si>
    <t>Recently, @GENE$ has been shown to stabilize MYC by blocking the binding between SPOP and MYC and thus inhibiting SPOP- induced MYC ubiquitination and degradation in TNBCs, indicating a new RNA-mediated mechanism utilized by cancer cells to stabilize @GENE$ protein.</t>
  </si>
  <si>
    <t>Recently, LINC01638 lncRNA has been shown to stabilize @GENE$ by blocking the binding between @GENE$ and MYC and thus inhibiting SPOP- induced MYC ubiquitination and degradation in TNBCs, indicating a new RNA-mediated mechanism utilized by cancer cells to stabilize MYC protein.</t>
  </si>
  <si>
    <r>
      <rPr>
        <rFont val="Arial"/>
        <color theme="1"/>
        <sz val="10.0"/>
      </rPr>
      <t xml:space="preserve">Should be 0
</t>
    </r>
    <r>
      <rPr>
        <rFont val="Arial"/>
        <color rgb="FF4A86E8"/>
        <sz val="10.0"/>
      </rPr>
      <t>[Jiaying] could be 2 - SPOP binds and ubiquitylates MYC = binding
Not the best 2 mentions of SPOP and MYC to show the binding relation though...?</t>
    </r>
  </si>
  <si>
    <r>
      <rPr>
        <rFont val="Arial"/>
        <color theme="1"/>
        <sz val="10.0"/>
      </rPr>
      <t xml:space="preserve">Binding
</t>
    </r>
    <r>
      <rPr>
        <rFont val="Arial"/>
        <color rgb="FF4A86E8"/>
        <sz val="10.0"/>
      </rPr>
      <t>[Jiaying] Ligand-receptor binding, now classified as interaction (protein-protein)</t>
    </r>
  </si>
  <si>
    <t>Recently, LINC01638 lncRNA has been shown to stabilize @GENE$ by blocking the binding between SPOP and @GENE$ and thus inhibiting SPOP- induced MYC ubiquitination and degradation in TNBCs, indicating a new RNA-mediated mechanism utilized by cancer cells to stabilize MYC protein.</t>
  </si>
  <si>
    <t>Recently, LINC01638 lncRNA has been shown to stabilize @GENE$ by blocking the binding between SPOP and MYC and thus inhibiting @GENE$- induced MYC ubiquitination and degradation in TNBCs, indicating a new RNA-mediated mechanism utilized by cancer cells to stabilize MYC protein.</t>
  </si>
  <si>
    <r>
      <rPr>
        <rFont val="Arial"/>
        <color theme="1"/>
        <sz val="10.0"/>
      </rPr>
      <t xml:space="preserve">Should be 0
</t>
    </r>
    <r>
      <rPr>
        <rFont val="Arial"/>
        <color rgb="FF4A86E8"/>
        <sz val="10.0"/>
      </rPr>
      <t>[Jiaying] could be 2 - SPOP binds and ubiquitylates MYC = binding
Not the best 2 mentions of SPOP and MYC to show the ubiquitylation relation though...?</t>
    </r>
  </si>
  <si>
    <r>
      <rPr>
        <rFont val="Arial"/>
        <color theme="1"/>
        <sz val="10.0"/>
      </rPr>
      <t xml:space="preserve">Binding
</t>
    </r>
    <r>
      <rPr>
        <rFont val="Arial"/>
        <color rgb="FF4A86E8"/>
        <sz val="10.0"/>
      </rPr>
      <t>[Jiaying] Ligand-receptor binding, now classified as interaction (protein-protein)</t>
    </r>
  </si>
  <si>
    <t>Recently, LINC01638 lncRNA has been shown to stabilize @GENE$ by blocking the binding between SPOP and MYC and thus inhibiting SPOP- induced @GENE$ ubiquitination and degradation in TNBCs, indicating a new RNA-mediated mechanism utilized by cancer cells to stabilize MYC protein.</t>
  </si>
  <si>
    <t>Recently, LINC01638 lncRNA has been shown to stabilize @GENE$ by blocking the binding between SPOP and MYC and thus inhibiting SPOP- induced MYC ubiquitination and degradation in @DISEASE$, indicating a new RNA-mediated mechanism utilized by cancer cells to stabilize MYC protein.</t>
  </si>
  <si>
    <t>Recently, LINC01638 lncRNA has been shown to stabilize @GENE$ by blocking the binding between SPOP and MYC and thus inhibiting SPOP- induced MYC ubiquitination and degradation in TNBCs, indicating a new RNA-mediated mechanism utilized by @DISEASE$ cells to stabilize MYC protein.</t>
  </si>
  <si>
    <t>Recently, LINC01638 lncRNA has been shown to stabilize @GENE$ by blocking the binding between SPOP and MYC and thus inhibiting SPOP- induced MYC ubiquitination and degradation in TNBCs, indicating a new RNA-mediated mechanism utilized by cancer cells to stabilize @GENE$ protein.</t>
  </si>
  <si>
    <t>Recently, LINC01638 lncRNA has been shown to stabilize MYC by blocking the binding between @GENE$ and @GENE$ and thus inhibiting SPOP- induced MYC ubiquitination and degradation in TNBCs, indicating a new RNA-mediated mechanism utilized by cancer cells to stabilize MYC protein.</t>
  </si>
  <si>
    <r>
      <rPr>
        <rFont val="Arial"/>
        <color theme="1"/>
        <sz val="10.0"/>
      </rPr>
      <t xml:space="preserve">Should be 0
</t>
    </r>
    <r>
      <rPr>
        <rFont val="Arial"/>
        <color rgb="FF4A86E8"/>
        <sz val="10.0"/>
      </rPr>
      <t>[Jiaying] should be 2 - SPOP binds and ubiquitylates MYC = binding</t>
    </r>
  </si>
  <si>
    <r>
      <rPr>
        <rFont val="Arial"/>
        <color theme="1"/>
        <sz val="10.0"/>
      </rPr>
      <t xml:space="preserve">Binding
</t>
    </r>
    <r>
      <rPr>
        <rFont val="Arial"/>
        <color rgb="FF4A86E8"/>
        <sz val="10.0"/>
      </rPr>
      <t>[Jiaying] Ligand-receptor binding, now classified as interaction (protein-protein)</t>
    </r>
  </si>
  <si>
    <t>Recently, LINC01638 lncRNA has been shown to stabilize MYC by blocking the binding between @GENE$ and MYC and thus inhibiting @GENE$- induced MYC ubiquitination and degradation in TNBCs, indicating a new RNA-mediated mechanism utilized by cancer cells to stabilize MYC protein.</t>
  </si>
  <si>
    <t>Recently, LINC01638 lncRNA has been shown to stabilize MYC by blocking the binding between @GENE$ and MYC and thus inhibiting SPOP- induced @GENE$ ubiquitination and degradation in TNBCs, indicating a new RNA-mediated mechanism utilized by cancer cells to stabilize MYC protein.</t>
  </si>
  <si>
    <r>
      <rPr>
        <rFont val="Arial"/>
        <color theme="1"/>
        <sz val="10.0"/>
      </rPr>
      <t xml:space="preserve">Should be 0
</t>
    </r>
    <r>
      <rPr>
        <rFont val="Arial"/>
        <color rgb="FF4A86E8"/>
        <sz val="10.0"/>
      </rPr>
      <t>[Jiaying] could be 2 - SPOP binds and ubiquitylates MYC = binding
Not the best 2 mentions of SPOP and MYC to show the ubiquitylation relation though...?</t>
    </r>
  </si>
  <si>
    <r>
      <rPr>
        <rFont val="Arial"/>
        <color theme="1"/>
        <sz val="10.0"/>
      </rPr>
      <t xml:space="preserve">Binding
</t>
    </r>
    <r>
      <rPr>
        <rFont val="Arial"/>
        <color rgb="FF4A86E8"/>
        <sz val="10.0"/>
      </rPr>
      <t>[Jiaying] Ligand-receptor binding, now classified as interaction (protein-protein)</t>
    </r>
  </si>
  <si>
    <t>Recently, LINC01638 lncRNA has been shown to stabilize MYC by blocking the binding between @GENE$ and MYC and thus inhibiting SPOP- induced MYC ubiquitination and degradation in @DISEASE$, indicating a new RNA-mediated mechanism utilized by cancer cells to stabilize MYC protein.</t>
  </si>
  <si>
    <t>Recently, LINC01638 lncRNA has been shown to stabilize MYC by blocking the binding between @GENE$ and MYC and thus inhibiting SPOP- induced MYC ubiquitination and degradation in TNBCs, indicating a new RNA-mediated mechanism utilized by @DISEASE$ cells to stabilize MYC protein.</t>
  </si>
  <si>
    <t>Recently, LINC01638 lncRNA has been shown to stabilize MYC by blocking the binding between @GENE$ and MYC and thus inhibiting SPOP- induced MYC ubiquitination and degradation in TNBCs, indicating a new RNA-mediated mechanism utilized by cancer cells to stabilize @GENE$ protein.</t>
  </si>
  <si>
    <r>
      <rPr>
        <rFont val="Arial"/>
        <color theme="1"/>
        <sz val="10.0"/>
      </rPr>
      <t xml:space="preserve">Should be 0
</t>
    </r>
    <r>
      <rPr>
        <rFont val="Arial"/>
        <color rgb="FF4A86E8"/>
        <sz val="10.0"/>
      </rPr>
      <t>[Jiaying] could be 2 - SPOP binds and ubiquitylates MYC = binding
Not the best 2 mentions of SPOP and MYC to show the ubiquitylation relation though...?</t>
    </r>
  </si>
  <si>
    <r>
      <rPr>
        <rFont val="Arial"/>
        <color theme="1"/>
        <sz val="10.0"/>
      </rPr>
      <t xml:space="preserve">Binding
</t>
    </r>
    <r>
      <rPr>
        <rFont val="Arial"/>
        <color rgb="FF4A86E8"/>
        <sz val="10.0"/>
      </rPr>
      <t>[Jiaying] Ligand-receptor binding, now classified as interaction (protein-protein)</t>
    </r>
  </si>
  <si>
    <t>Recently, LINC01638 lncRNA has been shown to stabilize MYC by blocking the binding between SPOP and @GENE$ and thus inhibiting @GENE$- induced MYC ubiquitination and degradation in TNBCs, indicating a new RNA-mediated mechanism utilized by cancer cells to stabilize MYC protein.</t>
  </si>
  <si>
    <r>
      <rPr>
        <rFont val="Arial"/>
        <color theme="1"/>
        <sz val="10.0"/>
      </rPr>
      <t xml:space="preserve">Should be 0
</t>
    </r>
    <r>
      <rPr>
        <rFont val="Arial"/>
        <color rgb="FF4A86E8"/>
        <sz val="10.0"/>
      </rPr>
      <t>[Jiaying] could be 2 - SPOP binds and ubiquitylates MYC = binding
Not the best 2 mentions of SPOP and MYC to show the ubiquitylation relation though...?</t>
    </r>
  </si>
  <si>
    <r>
      <rPr>
        <rFont val="Arial"/>
        <color theme="1"/>
        <sz val="10.0"/>
      </rPr>
      <t xml:space="preserve">Binding
</t>
    </r>
    <r>
      <rPr>
        <rFont val="Arial"/>
        <color rgb="FF4A86E8"/>
        <sz val="10.0"/>
      </rPr>
      <t>[Jiaying] Ligand-receptor binding, now classified as interaction (protein-protein)</t>
    </r>
  </si>
  <si>
    <t>Recently, LINC01638 lncRNA has been shown to stabilize MYC by blocking the binding between SPOP and @GENE$ and thus inhibiting SPOP- induced @GENE$ ubiquitination and degradation in TNBCs, indicating a new RNA-mediated mechanism utilized by cancer cells to stabilize MYC protein.</t>
  </si>
  <si>
    <t>Recently, LINC01638 lncRNA has been shown to stabilize MYC by blocking the binding between SPOP and @GENE$ and thus inhibiting SPOP- induced MYC ubiquitination and degradation in @DISEASE$, indicating a new RNA-mediated mechanism utilized by cancer cells to stabilize MYC protein.</t>
  </si>
  <si>
    <t>Recently, LINC01638 lncRNA has been shown to stabilize MYC by blocking the binding between SPOP and @GENE$ and thus inhibiting SPOP- induced MYC ubiquitination and degradation in TNBCs, indicating a new RNA-mediated mechanism utilized by @DISEASE$ cells to stabilize MYC protein.</t>
  </si>
  <si>
    <t>Recently, LINC01638 lncRNA has been shown to stabilize MYC by blocking the binding between SPOP and @GENE$ and thus inhibiting SPOP- induced MYC ubiquitination and degradation in TNBCs, indicating a new RNA-mediated mechanism utilized by cancer cells to stabilize @GENE$ protein.</t>
  </si>
  <si>
    <t>Recently, LINC01638 lncRNA has been shown to stabilize MYC by blocking the binding between SPOP and MYC and thus inhibiting @GENE$- induced @GENE$ ubiquitination and degradation in TNBCs, indicating a new RNA-mediated mechanism utilized by cancer cells to stabilize MYC protein.</t>
  </si>
  <si>
    <r>
      <rPr>
        <rFont val="Arial"/>
        <color theme="1"/>
        <sz val="10.0"/>
      </rPr>
      <t xml:space="preserve">SPOP-induced MYC ubiquitination
</t>
    </r>
    <r>
      <rPr>
        <rFont val="Arial"/>
        <color rgb="FF4A86E8"/>
        <sz val="10.0"/>
      </rPr>
      <t>[Jiaying] should be 3</t>
    </r>
  </si>
  <si>
    <t>Recently, LINC01638 lncRNA has been shown to stabilize MYC by blocking the binding between SPOP and MYC and thus inhibiting @GENE$- induced MYC ubiquitination and degradation in @DISEASE$, indicating a new RNA-mediated mechanism utilized by cancer cells to stabilize MYC protein.</t>
  </si>
  <si>
    <t>Recently, LINC01638 lncRNA has been shown to stabilize MYC by blocking the binding between SPOP and MYC and thus inhibiting @GENE$- induced MYC ubiquitination and degradation in TNBCs, indicating a new RNA-mediated mechanism utilized by @DISEASE$ cells to stabilize MYC protein.</t>
  </si>
  <si>
    <t>Recently, LINC01638 lncRNA has been shown to stabilize MYC by blocking the binding between SPOP and MYC and thus inhibiting @GENE$- induced MYC ubiquitination and degradation in TNBCs, indicating a new RNA-mediated mechanism utilized by cancer cells to stabilize @GENE$ protein.</t>
  </si>
  <si>
    <r>
      <rPr>
        <rFont val="Arial"/>
        <color theme="1"/>
        <sz val="10.0"/>
      </rPr>
      <t xml:space="preserve">Should be 0
</t>
    </r>
    <r>
      <rPr>
        <rFont val="Arial"/>
        <color rgb="FF4A86E8"/>
        <sz val="10.0"/>
      </rPr>
      <t>[Jiaying] could be 2 and 3 - SPOP binds and ubiquitylates MYC = binding
Not the best 2 mentions of SPOP and MYC to show the binding and ubiquitylation relation though...?</t>
    </r>
  </si>
  <si>
    <r>
      <rPr>
        <rFont val="Arial"/>
        <color theme="1"/>
        <sz val="10.0"/>
      </rPr>
      <t xml:space="preserve">Binding
</t>
    </r>
    <r>
      <rPr>
        <rFont val="Arial"/>
        <color rgb="FF4A86E8"/>
        <sz val="10.0"/>
      </rPr>
      <t>[Jiaying] Ligand-receptor binding, now classified as interaction (protein-protein)</t>
    </r>
  </si>
  <si>
    <t>Recently, LINC01638 lncRNA has been shown to stabilize MYC by blocking the binding between SPOP and MYC and thus inhibiting SPOP- induced @GENE$ ubiquitination and degradation in @DISEASE$, indicating a new RNA-mediated mechanism utilized by cancer cells to stabilize MYC protein.</t>
  </si>
  <si>
    <t>Recently, LINC01638 lncRNA has been shown to stabilize MYC by blocking the binding between SPOP and MYC and thus inhibiting SPOP- induced @GENE$ ubiquitination and degradation in TNBCs, indicating a new RNA-mediated mechanism utilized by @DISEASE$ cells to stabilize MYC protein.</t>
  </si>
  <si>
    <t>Recently, LINC01638 lncRNA has been shown to stabilize MYC by blocking the binding between SPOP and MYC and thus inhibiting SPOP- induced @GENE$ ubiquitination and degradation in TNBCs, indicating a new RNA-mediated mechanism utilized by cancer cells to stabilize @GENE$ protein.</t>
  </si>
  <si>
    <t>Recently, LINC01638 lncRNA has been shown to stabilize MYC by blocking the binding between SPOP and MYC and thus inhibiting SPOP- induced MYC ubiquitination and degradation in @DISEASE$, indicating a new RNA-mediated mechanism utilized by @DISEASE$ cells to stabilize MYC protein.</t>
  </si>
  <si>
    <t>Recently, LINC01638 lncRNA has been shown to stabilize MYC by blocking the binding between SPOP and MYC and thus inhibiting SPOP- induced MYC ubiquitination and degradation in @DISEASE$, indicating a new RNA-mediated mechanism utilized by cancer cells to stabilize @GENE$ protein.</t>
  </si>
  <si>
    <t>Recently, LINC01638 lncRNA has been shown to stabilize MYC by blocking the binding between SPOP and MYC and thus inhibiting SPOP- induced MYC ubiquitination and degradation in TNBCs, indicating a new RNA-mediated mechanism utilized by @DISEASE$ cells to stabilize @GENE$ protein.</t>
  </si>
  <si>
    <t>However, subsequent studies showed that @GENE$ binds to @GENE$ and mediates MYC polyubiquitination and proteasome degradation, suggesting that Pirh2 is a bona fide ubiquitin E3 ligase for MYC.</t>
  </si>
  <si>
    <r>
      <rPr>
        <rFont val="Arial"/>
        <color theme="1"/>
        <sz val="10.0"/>
      </rPr>
      <t xml:space="preserve">Should be 0
</t>
    </r>
    <r>
      <rPr>
        <rFont val="Arial"/>
        <color rgb="FF4A86E8"/>
        <sz val="10.0"/>
      </rPr>
      <t>[Jiaying] should be 2 - Pirh2 binds and ubiquitylates MYC = binding</t>
    </r>
  </si>
  <si>
    <r>
      <rPr>
        <rFont val="Arial"/>
        <color theme="1"/>
        <sz val="10.0"/>
      </rPr>
      <t xml:space="preserve">Binding
</t>
    </r>
    <r>
      <rPr>
        <rFont val="Arial"/>
        <color rgb="FF4A86E8"/>
        <sz val="10.0"/>
      </rPr>
      <t>[Jiaying] Ligand-receptor binding, now classified as interaction (protein-protein)</t>
    </r>
  </si>
  <si>
    <t>However, subsequent studies showed that @GENE$ binds to MYC and mediates @GENE$ polyubiquitination and proteasome degradation, suggesting that Pirh2 is a bona fide ubiquitin E3 ligase for MYC.</t>
  </si>
  <si>
    <t>However, subsequent studies showed that @GENE$ binds to MYC and mediates MYC polyubiquitination and proteasome degradation, suggesting that @GENE$ is a bona fide ubiquitin E3 ligase for MYC.</t>
  </si>
  <si>
    <t>However, subsequent studies showed that @GENE$ binds to MYC and mediates MYC polyubiquitination and proteasome degradation, suggesting that Pirh2 is a bona fide @GENE$ for MYC.</t>
  </si>
  <si>
    <t>However, subsequent studies showed that @GENE$ binds to MYC and mediates MYC polyubiquitination and proteasome degradation, suggesting that Pirh2 is a bona fide ubiquitin E3 ligase for @GENE$.</t>
  </si>
  <si>
    <r>
      <rPr>
        <rFont val="Arial"/>
        <color theme="1"/>
        <sz val="10.0"/>
      </rPr>
      <t xml:space="preserve">Should be 0
</t>
    </r>
    <r>
      <rPr>
        <rFont val="Arial"/>
        <color rgb="FF4A86E8"/>
        <sz val="10.0"/>
      </rPr>
      <t>[Jiaying] could be 2 and 3 - Pirh2 binds and ubiquitylates MYC = binding
Not the best 2 mentions of Pirh2 and MYC to show the binding and ubiquitylation relation though...?</t>
    </r>
  </si>
  <si>
    <r>
      <rPr>
        <rFont val="Arial"/>
        <color theme="1"/>
        <sz val="10.0"/>
      </rPr>
      <t xml:space="preserve">Binding
</t>
    </r>
    <r>
      <rPr>
        <rFont val="Arial"/>
        <color rgb="FF4A86E8"/>
        <sz val="10.0"/>
      </rPr>
      <t>[Jiaying] Ligand-receptor binding, now classified as interaction (protein-protein)</t>
    </r>
  </si>
  <si>
    <t>However, subsequent studies showed that Pirh2 binds to @GENE$ and mediates @GENE$ polyubiquitination and proteasome degradation, suggesting that Pirh2 is a bona fide ubiquitin E3 ligase for MYC.</t>
  </si>
  <si>
    <t>However, subsequent studies showed that Pirh2 binds to @GENE$ and mediates MYC polyubiquitination and proteasome degradation, suggesting that @GENE$ is a bona fide ubiquitin E3 ligase for MYC.</t>
  </si>
  <si>
    <r>
      <rPr>
        <rFont val="Arial"/>
        <color theme="1"/>
        <sz val="10.0"/>
      </rPr>
      <t xml:space="preserve">Should be 0
</t>
    </r>
    <r>
      <rPr>
        <rFont val="Arial"/>
        <color rgb="FF4A86E8"/>
        <sz val="10.0"/>
      </rPr>
      <t>[Jiaying] could be 2 - Pirh2 binds and ubiquitylates MYC = binding
Not the best 2 mentions of Pirh2 and MYC to show the binding and ubiquitylation relation though...?</t>
    </r>
  </si>
  <si>
    <r>
      <rPr>
        <rFont val="Arial"/>
        <color theme="1"/>
        <sz val="10.0"/>
      </rPr>
      <t xml:space="preserve">Binding
</t>
    </r>
    <r>
      <rPr>
        <rFont val="Arial"/>
        <color rgb="FF4A86E8"/>
        <sz val="10.0"/>
      </rPr>
      <t>[Jiaying] Ligand-receptor binding, now classified as interaction (protein-protein)</t>
    </r>
  </si>
  <si>
    <t>However, subsequent studies showed that Pirh2 binds to @GENE$ and mediates MYC polyubiquitination and proteasome degradation, suggesting that Pirh2 is a bona fide @GENE$ for MYC.</t>
  </si>
  <si>
    <r>
      <rPr>
        <rFont val="Arial"/>
        <color theme="1"/>
        <sz val="10.0"/>
      </rPr>
      <t xml:space="preserve">Binding
</t>
    </r>
    <r>
      <rPr>
        <rFont val="Arial"/>
        <color rgb="FF4A86E8"/>
        <sz val="10.0"/>
      </rPr>
      <t>[Jiaying] Ligand-receptor binding, now classified as interaction (protein-protein)</t>
    </r>
  </si>
  <si>
    <t>However, subsequent studies showed that Pirh2 binds to @GENE$ and mediates MYC polyubiquitination and proteasome degradation, suggesting that Pirh2 is a bona fide ubiquitin E3 ligase for @GENE$.</t>
  </si>
  <si>
    <t>However, subsequent studies showed that Pirh2 binds to MYC and mediates @GENE$ polyubiquitination and proteasome degradation, suggesting that @GENE$ is a bona fide ubiquitin E3 ligase for MYC.</t>
  </si>
  <si>
    <r>
      <rPr>
        <rFont val="Arial"/>
        <color theme="1"/>
        <sz val="10.0"/>
      </rPr>
      <t xml:space="preserve">Should be 0
</t>
    </r>
    <r>
      <rPr>
        <rFont val="Arial"/>
        <color rgb="FF4A86E8"/>
        <sz val="10.0"/>
      </rPr>
      <t>[Jiaying] could be 2 - Pirh2 binds and ubiquitylates MYC = binding
Not the best 2 mentions of Pirh2 and MYC to show the binding and ubiquitylation relation though...?</t>
    </r>
  </si>
  <si>
    <r>
      <rPr>
        <rFont val="Arial"/>
        <color theme="1"/>
        <sz val="10.0"/>
      </rPr>
      <t xml:space="preserve">Binding
</t>
    </r>
    <r>
      <rPr>
        <rFont val="Arial"/>
        <color rgb="FF4A86E8"/>
        <sz val="10.0"/>
      </rPr>
      <t>[Jiaying] Ligand-receptor binding, now classified as interaction (protein-protein)</t>
    </r>
  </si>
  <si>
    <t>However, subsequent studies showed that Pirh2 binds to MYC and mediates @GENE$ polyubiquitination and proteasome degradation, suggesting that Pirh2 is a bona fide @GENE$ for MYC.</t>
  </si>
  <si>
    <r>
      <rPr>
        <rFont val="Arial"/>
        <color theme="1"/>
        <sz val="10.0"/>
      </rPr>
      <t xml:space="preserve">Should be 0
</t>
    </r>
    <r>
      <rPr>
        <rFont val="Arial"/>
        <color rgb="FF4A86E8"/>
        <sz val="10.0"/>
      </rPr>
      <t>[Jiaying] could be 3 - Pirh2 is an E3 ligase for MYC. 
Not sure if "E3 ligase" is too generic but we should be consistent with the above input texts whether we consider "E3 ligase" as a valid entity or not; we have been accepting it as a "protein family" in previous input texts...</t>
    </r>
  </si>
  <si>
    <t>However, subsequent studies showed that Pirh2 binds to MYC and mediates @GENE$ polyubiquitination and proteasome degradation, suggesting that Pirh2 is a bona fide ubiquitin E3 ligase for @GENE$.</t>
  </si>
  <si>
    <t>However, subsequent studies showed that Pirh2 binds to MYC and mediates MYC polyubiquitination and proteasome degradation, suggesting that @GENE$ is a bona fide @GENE$ for MYC.</t>
  </si>
  <si>
    <t>However, subsequent studies showed that Pirh2 binds to MYC and mediates MYC polyubiquitination and proteasome degradation, suggesting that @GENE$ is a bona fide ubiquitin E3 ligase for @GENE$.</t>
  </si>
  <si>
    <r>
      <rPr>
        <rFont val="Arial"/>
        <color theme="1"/>
        <sz val="10.0"/>
      </rPr>
      <t xml:space="preserve">Should be 0
</t>
    </r>
    <r>
      <rPr>
        <rFont val="Arial"/>
        <color rgb="FF4A86E8"/>
        <sz val="10.0"/>
      </rPr>
      <t>[Jiaying] should be 3 - Pirh2 is a ubiquitin ligase for MYC = ubiquitylation</t>
    </r>
  </si>
  <si>
    <r>
      <rPr>
        <rFont val="Arial"/>
        <color theme="1"/>
        <sz val="10.0"/>
      </rPr>
      <t xml:space="preserve">Binding
</t>
    </r>
    <r>
      <rPr>
        <rFont val="Arial"/>
        <color rgb="FF4A86E8"/>
        <sz val="10.0"/>
      </rPr>
      <t>[Jiaying] Ligand-receptor binding, now classified as interaction (protein-protein)</t>
    </r>
  </si>
  <si>
    <t>However, subsequent studies showed that Pirh2 binds to MYC and mediates MYC polyubiquitination and proteasome degradation, suggesting that Pirh2 is a bona fide @GENE$ for @GENE$.</t>
  </si>
  <si>
    <r>
      <rPr>
        <rFont val="Arial"/>
        <color theme="1"/>
        <sz val="10.0"/>
      </rPr>
      <t xml:space="preserve">Should be 0
</t>
    </r>
    <r>
      <rPr>
        <rFont val="Arial"/>
        <color rgb="FF4A86E8"/>
        <sz val="10.0"/>
      </rPr>
      <t>[Jiaying] could be 3 - Pirh2 is an E3 ligase for MYC. 
Not sure if "E3 ligase" is too generic but we should be consistent with the above input texts whether we consider "E3 ligase" as a valid entity or not; we have been accepting it as a "protein family" in previous input texts...</t>
    </r>
  </si>
  <si>
    <t>@GENE$interacts with both @GENE$and N-MYC at their C-terminal bHLH-LZ domain, thus mediating DCX-dependent MYC ubiquitination and degradation.</t>
  </si>
  <si>
    <r>
      <rPr>
        <rFont val="Arial"/>
        <color theme="1"/>
        <sz val="10.0"/>
      </rPr>
      <t xml:space="preserve">TRUSS mediates MYC ubiquitination?
</t>
    </r>
    <r>
      <rPr>
        <rFont val="Arial"/>
        <color rgb="FF4A86E8"/>
        <sz val="10.0"/>
      </rPr>
      <t>[Jiaying] should be 2 - TRUSS interacts with MYC and N-MYC = binding</t>
    </r>
  </si>
  <si>
    <t>@GENE$interacts with both MYC and @GENE$at their C-terminal bHLH-LZ domain, thus mediating DCX-dependent MYC ubiquitination and degradation.</t>
  </si>
  <si>
    <t>[Jiaying] should be 2 - TRUSS interacts with MYC and N-MYC = binding</t>
  </si>
  <si>
    <t>@GENE$interacts with both MYC and N-MYC at their C-terminal bHLH-LZ domain, thus mediating @GENE$dependent MYC ubiquitination and degradation.</t>
  </si>
  <si>
    <t>[Jiaying] should be 0 - unclear whether there is any relation between TRUSS and DCX</t>
  </si>
  <si>
    <t>@GENE$interacts with both MYC and N-MYC at their C-terminal bHLH-LZ domain, thus mediating DCX-dependent @GENE$ ubiquitination and degradation.</t>
  </si>
  <si>
    <t>[Jiaying] could be 2 and 3 - TRUSS binds and ubiquitylates MYC
Not the best 2 mentions of TRUSS and MYC to show the binding and ubiquitylation relation though...?</t>
  </si>
  <si>
    <t>TRUSS interacts with both @GENE$and @GENE$at their C-terminal bHLH-LZ domain, thus mediating DCX-dependent MYC ubiquitination and degradation.</t>
  </si>
  <si>
    <t>TRUSS interacts with both @GENE$and N-MYC at their C-terminal bHLH-LZ domain, thus mediating @GENE$dependent MYC ubiquitination and degradation.</t>
  </si>
  <si>
    <r>
      <rPr>
        <rFont val="Arial"/>
        <color theme="1"/>
        <sz val="10.0"/>
      </rPr>
      <t xml:space="preserve">Should be 3- MYC ubiquitylation is dependent on DCX
</t>
    </r>
    <r>
      <rPr>
        <rFont val="Arial"/>
        <color rgb="FF4A86E8"/>
        <sz val="10.0"/>
      </rPr>
      <t>[Jiaying] agreed could be 3</t>
    </r>
  </si>
  <si>
    <t>TRUSS interacts with both @GENE$and N-MYC at their C-terminal bHLH-LZ domain, thus mediating DCX-dependent @GENE$ubiquitination and degradation.</t>
  </si>
  <si>
    <t>TRUSS interacts with both MYC and @GENE$at their C-terminal bHLH-LZ domain, thus mediating @GENE$dependent MYC ubiquitination and degradation.</t>
  </si>
  <si>
    <t>TRUSS interacts with both MYC and @GENE$at their C-terminal bHLH-LZ domain, thus mediating DCX-dependent @GENE$ubiquitination and degradation.</t>
  </si>
  <si>
    <t>TRUSS interacts with both MYC and N-MYC at their C-terminal bHLH-LZ domain, thus mediating @GENE$dependent @GENE$ubiquitination and degradation.</t>
  </si>
  <si>
    <r>
      <rPr>
        <rFont val="Arial"/>
        <color theme="1"/>
        <sz val="10.0"/>
      </rPr>
      <t xml:space="preserve">Should be 3- MYC ubiquitylation is dependent on DCX
</t>
    </r>
    <r>
      <rPr>
        <rFont val="Arial"/>
        <color rgb="FF4A86E8"/>
        <sz val="10.0"/>
      </rPr>
      <t>[Jiaying] agreed could be 3</t>
    </r>
  </si>
  <si>
    <t>It has been shown that @GENE$ mediates polyubiquitination of @GENE$ for degradation and suppresses MYC activity.</t>
  </si>
  <si>
    <t>(CHIP, mediates polyubiquitination of, MYC)</t>
  </si>
  <si>
    <t>It has been shown that @GENE$ mediates polyubiquitination of MYC for degradation and suppresses @GENE$ activity.</t>
  </si>
  <si>
    <t>[Jiaying] Not the best 2 mentions of CHIP and MYC to show the ubiquitylation relation though...?</t>
  </si>
  <si>
    <t>It has been shown that CHIP mediates polyubiquitination of @GENE$ for degradation and suppresses @GENE$ activity.</t>
  </si>
  <si>
    <t>Galactokinase catalyzes the phosphorylation of galactose, using ATP as phosphate donor (Figure 20–6). Galactose-1-phosphate reacts with UDPGlc to form uridine diphosphate galactose (UDPGal) and glucose-1-phosphate, in a reaction catalyzed by galactose-1-phosphate uridyl transferase.</t>
  </si>
  <si>
    <t>Phosphorylation of carbamate by the second ATP then forms carbamoyl phosphate.</t>
  </si>
  <si>
    <t>(carbamoyl phosphate, product of, phosphorylation)</t>
  </si>
  <si>
    <t>(Carbamate, phosphorylated by, ATP)</t>
  </si>
  <si>
    <t>Similarly, deoxycytidine kinase (EC 2.7.1.24 phosphorylates deoxycytidine and 2′- deoxyguanosine, forming dCMP and dGMP, respectively</t>
  </si>
  <si>
    <t>(dCMP/ dGMP, product of, phosphorylation)</t>
  </si>
  <si>
    <t>Insulin and mitogenic growth polypeptides, or growth factors (eg, IGF-1, PDGF, interleukin-2, and angiotensin II) activate the PI3 kinase/AKT kinase signaling pathways, which activate the mTOR kinase, and results in the phosphorylation of 4E-BP. Phosphorylated 4E-BP dissociates from 4E, and the latter is then able to form the 4F complex and bind to the mRNA cap.</t>
  </si>
  <si>
    <t>IL-1b stimulation also triggers p65 phosphorylation within minutes in the cytoplasm and CK2 activity associated with this NF-kB protein has been reported and This cytoplasmic CKII activity is also associated with p65 upon TNFa stimulation and targets Ser529 of this substrate</t>
  </si>
  <si>
    <t>(CKII, catalyze phosphorylation, p65 protein)</t>
  </si>
  <si>
    <t>Phosphorylation of RelB at Thr84 and Ser552 in cells stimulated by 12-O-tetradecanoylphorbol 13-acetate and ionomycin triggers degradation of RelB via the proteasome pathway but, again, the identity of the kinase that phosphorylates RelB at these residues is unknown at present</t>
  </si>
  <si>
    <t>(12-O-tetradecanoylphorbol 13-acetate/ ionomycin, stimulates phosphorylation, RelB)</t>
  </si>
  <si>
    <t>(PKA, catalyzes phosphorylation, p50 at Ser337)</t>
  </si>
  <si>
    <t>In the present report, we investigated the effect of curcumin on constitutively active and IL-6-inducible STAT3 phosphorylation in MM cells.</t>
  </si>
  <si>
    <t>Our results show that IFN-alpha induced STAT1 phosphorylation, and curcumin suppressed the phosphorylation in a time-dependent manner</t>
  </si>
  <si>
    <t>Because IL-6 is a growth factor for MM and induces STAT3 phosphorylation</t>
  </si>
  <si>
    <t>LLL12 specifically inhibited STAT3 phosphorylation, nuclear localization, DNA binding activity, down-regulated STAT3 downstream genes, and induced apoptosis in MM cells.</t>
  </si>
  <si>
    <t>The PKA inhibitors H89 or KT5720 blocked phosphorylation of overexpressed TFAM at serine 55</t>
  </si>
  <si>
    <t>In response to postprandial increase in insulin, Akt phosphorylation of T308 and S473 correlated significantly with sites on TBC1D1 (T596) and TBC1D4 (S318, S341, S704).</t>
  </si>
  <si>
    <t xml:space="preserve">(Phosphorylation of TBC1D1 (S237, T596), correlates, α2/β2/γ3 AMPK trimer) </t>
  </si>
  <si>
    <t>(Phosphorylation of TBC1D4 (S341, S704), correlates, α2/β2/γ1 AMPK trimer)</t>
  </si>
  <si>
    <t>Phosphorylation of AMPK at T172 correlates well with total AMPK kinase activity in human skeletal muscle during whole body exercise</t>
  </si>
  <si>
    <t>MCM7 phosphorylation at Tyr-600 mediated by epidermal growth factor receptor (EGFR)-p56Lyn-axis promotes MCM complex assembly and chromatin loading, consequently enhancing DNA synthesis and cancer cell proliferation</t>
  </si>
  <si>
    <t>The enzyme hexokinase binds glucose and ATP so as to catalyze a reaction between them, actin molecules bind to each other to assemble into actin filaments</t>
  </si>
  <si>
    <t>(Hexokinase, catalyses, glucose and ATP binding)</t>
  </si>
  <si>
    <t>Not all proteins that bind to activated RTKs via SH2 domains help to relay the signal onward. Some act to decrease the signaling process, providing negative feedback. One example is the c-Cbl protein, which can dock on some activated receptors and catalyze their ubiquitylation, covalently adding one or more ubiqui- tin molecules to specific sites on the receptor.</t>
  </si>
  <si>
    <t>(c-Cbl, binds to, RTKs via SH2 domain)</t>
  </si>
  <si>
    <t>(c-Cbl, catalyze ubiquitylation of, RTKs)</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</si>
  <si>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co-Smad, Smad4, and inhibit it, either by preventing its binding to R-Smads or by promoting its ubiquitylation and degradation.</t>
  </si>
  <si>
    <t>(Smurf, ubiquitylates, receptor)</t>
  </si>
  <si>
    <t>(Smurf, ubiquitylates Smads)</t>
  </si>
  <si>
    <t>(protein phosphate, dephosphorylates, receptor)</t>
  </si>
  <si>
    <t>(inhibitory Smad, binds to, co-smad, Smad4)</t>
  </si>
  <si>
    <t>(inhbitory Smad, promotes ubiquitylation of co-Smad, Smad4)</t>
  </si>
  <si>
    <t>Like Cdh1, Sic1 is inhibited by M-Cdk, which phosphorylates Sic1 during mitosis and thereby promotes its ubiquitylation by SCF</t>
  </si>
  <si>
    <t>(Cdh1, ubiquitylated by, SCF)</t>
  </si>
  <si>
    <t>(Sic1, ubiquitylated by, SCF)</t>
  </si>
  <si>
    <t>(Sic1, inhibitated by, M-Cdk)</t>
  </si>
  <si>
    <t>(Cdh1, inhibited by, M-Cdk)</t>
  </si>
  <si>
    <t>(M-Cdk, phosphorylated Sic1)</t>
  </si>
  <si>
    <t>APC/C catalyzes ubiquitylation of regulatory proteins involved primarily in exit from mitosis, including securin and S-cyclins and M-cyclins; regulated by association with activating subunits Cdc20 or Cdh1</t>
  </si>
  <si>
    <t>SCF employs various substrate-binding (F-box) subunits to catalyze ubiquitylation of regulatory proteins involved in G1 control, including some CKIs (Sic1 in budding yeast, p27 in mammals)</t>
  </si>
  <si>
    <t>CRL4–Cdt2 catalyzes ubiquitylation of the replication regulator Cdt1 during S phase, thereby suppressing further loading of Mcm helicase at origin</t>
  </si>
  <si>
    <t>(Cdt1, catalyze ubiquitylation of, CRL-Cdt2)</t>
  </si>
  <si>
    <t xml:space="preserve"> A20 negatively regulates NF-kappaB signaling by inhibiting E3 ligase or substrate activity (TRAF2, TRAF6, cIAP1, RIPK1, and MALT1)</t>
  </si>
  <si>
    <t>K63-linked polyubiquitin chains (red ovals) and linear polyubiquitin chains (green ovals) catalyzed by Ubc13-Uev1a and UbcH5/linear ubiquitin chain assembly complex (LUBAC) are necessary for efficient activation of immune and antiviral cell signaling pathways.</t>
  </si>
  <si>
    <t>(Ubc13-Uev1a, catalyzes, K63-linked polyubiquitin chains)</t>
  </si>
  <si>
    <t>(UbcH5, catalyzes, K63-linked polyubiquitin chains)</t>
  </si>
  <si>
    <t xml:space="preserve">Recently, Ubc13 was also shown to associate with NLRP3, catalyze K63-linked ubiquitination of NLRP3 and activate the inflammasome </t>
  </si>
  <si>
    <t>(Ubc13, catalyze ubiquitination of NLRP3)</t>
  </si>
  <si>
    <t>E3 ubiquitin ligases that can catalyze the ubiquitylation of Notch include Itch, Ligand of Numb-Protein X (LNX), Deltex (DTX), Mind bomb (Mib) 1, Mib2, Neuralized (Neur) 1, and Neur2.</t>
  </si>
  <si>
    <t>These surprising findings were extended to show that, even in the context of the native sequence, serine residues were preferentially ubiquitinated over lysine residues in a reaction catalysed by the E2 Ube2j2, a tail-anchored ER membrane protein, which was shown to be the cognate E2 of mK3.</t>
  </si>
  <si>
    <t>A much more recent line of evidence for DDR leading to this atypical ubiquitination stems from the research on HUWE1, an E3 ligase that generates the majority of cellular K6-linked species upon inhibition of the valosin-containing protein (VCP/p97/Cdc48).</t>
  </si>
  <si>
    <t>(HUWE1, inhibits, VCP)</t>
  </si>
  <si>
    <t xml:space="preserve">Polyubiquitination of IRAK-1 and TRAF6 is induced by stimulation of interleukin-1 receptor (IL-1R) or of TLRs by pathogens. </t>
  </si>
  <si>
    <t>The N-terminal end of proteins can be also targeted for ubiquitination. The ubiquitin-conjugating enzyme, UBE2W catalyzes ubiquitination on the N-terminal end of UCHL1 and UCHL5, altering their DUB activity. There are also several other proteins such as FKBP1A, SURF4, DUT, GADD45A, TXNL1, EIFR3G, TAM1, STAM, and PAPOLA targeted for the N-terminal ubiquitination in which the role of ubiquitination and the responsible enzymes remain unclear.</t>
  </si>
  <si>
    <t>(UBE2W, catalyzes ubiquitination of, UCHL1)</t>
  </si>
  <si>
    <t>(UBE2W, catalyzes ubiquitination of, UCHL5)</t>
  </si>
  <si>
    <t>(UBE2W, catalyzes ubiquitination of, FKBP1A)</t>
  </si>
  <si>
    <t>(UBE2W, catalyzes ubiquitination of, SURF4)</t>
  </si>
  <si>
    <t>(UBE2W, catalyzes ubiquitination of, DUT)</t>
  </si>
  <si>
    <t>(UBE2W, catalyzes ubiquitination of, GADD45A)</t>
  </si>
  <si>
    <t>(UBE2W, catalyzes ubiquitination of, TXNL1)</t>
  </si>
  <si>
    <t>(UBE2W, catalyzes ubiquitination of, EIFR3G)</t>
  </si>
  <si>
    <t>(UBE2W, catalyzes ubiquitination of, TAM1)</t>
  </si>
  <si>
    <t>(UBE2W, catalyzes ubiquitination of, STAM)</t>
  </si>
  <si>
    <t>(UBE2W, catalyzes ubiquitination of, PAPOLA)</t>
  </si>
  <si>
    <t xml:space="preserve">Ubiquitination of LPS is catalyzed by the RING-type ubiquitin ligase RNF213/Mysterin (Fig. 3 B), a distinct E3 ligase linked to Moyamoya disease, a cerebrovascular disorder. </t>
  </si>
  <si>
    <t>(RNF213, catalyzes ubiquitination of, LPS)</t>
  </si>
  <si>
    <t>IKK then phosphorylates IκBα to target IκBα for K48 polyubiquitination, which leads to the degradation of ubiquitinated IκBα by the proteasome, allowing the p50/RelA complex to enter the nucleus and activate target genes.</t>
  </si>
  <si>
    <t>(IκBα, ubiquitinated by, IKK)</t>
  </si>
  <si>
    <t>SPOP mediates ubiquitination and degradation of MYC by directly binding to MYC, while this binding is attenuated by the prostate cancer-associated mutations, SPOPF102C and SPOPF133V.</t>
  </si>
  <si>
    <t>(SPOP, mediates ubiquitination, MYC)</t>
  </si>
  <si>
    <t>(SPOP, binds, MYC)</t>
  </si>
  <si>
    <t>Recently, LINC01638 lncRNA has been shown to stabilize MYC by blocking the binding between SPOP and MYC and thus inhibiting SPOP- induced MYC ubiquitination and degradation in TNBCs, indicating a new RNA-mediated mechanism utilized by cancer cells to stabilize MYC protein.</t>
  </si>
  <si>
    <t>However, subsequent studies showed that Pirh2 binds to MYC and mediates MYC polyubiquitination and proteasome degradation, suggesting that Pirh2 is a bona fide ubiquitin E3 ligase for MYC.</t>
  </si>
  <si>
    <t>(Pirh2, ubiquitinates, MYC)</t>
  </si>
  <si>
    <t>(Pirh2, binds to, MYC)</t>
  </si>
  <si>
    <t>Situation</t>
  </si>
  <si>
    <t>What to do</t>
  </si>
  <si>
    <t>Notes</t>
  </si>
  <si>
    <t>Approved by Zach?</t>
  </si>
  <si>
    <t>"Catalyzes"</t>
  </si>
  <si>
    <t>Relation</t>
  </si>
  <si>
    <t xml:space="preserve">Indirect relations will be considered. </t>
  </si>
  <si>
    <t>"Stimulates"</t>
  </si>
  <si>
    <t>"Induces"</t>
  </si>
  <si>
    <t>"Mediates ubiquitination"</t>
  </si>
  <si>
    <t>"Regulates ubiquitination"</t>
  </si>
  <si>
    <t>"Targets ubiquitination"</t>
  </si>
  <si>
    <t xml:space="preserve">"Promotes" </t>
  </si>
  <si>
    <t xml:space="preserve">"Responsible for" </t>
  </si>
  <si>
    <t>"Inhibits" or "Blocks"</t>
  </si>
  <si>
    <t>No relation but note in separate column as another relation</t>
  </si>
  <si>
    <t>BioREx in PubTator already accounts for "inhibition" as a relation, and we don't have sufficient training data to consider "inhibition" as a relation of its own.</t>
  </si>
  <si>
    <t>"Correlates"</t>
  </si>
  <si>
    <t xml:space="preserve">Multiple reactions between the same entities </t>
  </si>
  <si>
    <t>Context-dependent</t>
  </si>
  <si>
    <t>Products formed from the reaction</t>
  </si>
  <si>
    <t>X-"dependent" ubiquitynation</t>
  </si>
  <si>
    <t>Context-dependent? But usually consider X as having the relation.</t>
  </si>
  <si>
    <t xml:space="preserve">X-Y "complex" --&gt; (X, binds, Y)? </t>
  </si>
  <si>
    <t>General terms like "E3 ligase"</t>
  </si>
  <si>
    <t>Consider broader family terms for now.</t>
  </si>
  <si>
    <t>"ADP/ATP as the phosphate recipient/donor"</t>
  </si>
  <si>
    <t>ADP receiving phosphate to form ATP is common in many biochemical reactions, so is ATP as the phosphate source... is this meaningful? Or should we only care about the entity catalysing the phosphate transfer and the entity receiving the phosphate from ATP?</t>
  </si>
  <si>
    <t>Signalling cascades, e.g. "A activates B which activates C to phosphorylate D"</t>
  </si>
  <si>
    <t>Relation - A phosphorylates D (indirectly)
Relation - B phosphorylates D (indirectly)
Relation - C phosphorylates D
Context-dependent - A activates/phosphorylates B (if activation is via phosphorylation IFF stated in the text)
Context-dependent - A activates/phosphorylates C (if activation is via phosphorylation IFF stated in the text)
Context-dependent - B activates/phosphorylates C (if activation is via phosphorylation IFF stated in the text)</t>
  </si>
  <si>
    <t>Gene mentioned multiple times in the same sentence/passage but only one instance/phrase shows the relation, e.g. "Phosphorylation of A in cells stimulated by B triggers degradation of A... (more mentions of A without directly mentioning phosphorylation)"</t>
  </si>
  <si>
    <t>Relation - B phosphorylates A (direct mention)
?? No relation - B and A (other mentions without direct mentions to phosphorylation)</t>
  </si>
  <si>
    <t>"A is phosphorylated at amino acid residue B by kinase C"</t>
  </si>
  <si>
    <t>Relation - C phosphorylates A directly
?? C phosphorylates amino acid B (without reference to protein A)?
?? C phosphorylates amino acid B (with reference to protein A in the same sentence)</t>
  </si>
  <si>
    <t>Not biologically relevant to refer to amino acid residues alone without naming the protein...?
To consider: the exact amino acid residue being phosphorylated may be important information biologically... what should we do if both amino acid residue and the target protein are mentioned? Technically it would be C phosphorylates A at residue B, but we are only tagging entities in pairs for relation identification currently</t>
  </si>
  <si>
    <t xml:space="preserve">"X-bound Y" </t>
  </si>
  <si>
    <t>Relation (interaction) - X binds Y</t>
  </si>
  <si>
    <t>Phosphorylation of amino acid residue without mentioning which protein</t>
  </si>
  <si>
    <t>?? No relation</t>
  </si>
  <si>
    <t>Arguably it is more important to know and tag the target protein being phosphorylated?</t>
  </si>
  <si>
    <t>NOTE: K63 and K48 refer to amino acid positions on ubiquitin where ubiquitin monomers are linked... they are NOT genes</t>
  </si>
  <si>
    <t>General question: how do we tag interactions that occur within the same entity? e.g. "molecules of X bind to each other", but only 1 entity ("X") is tagged so there's no entity pair</t>
  </si>
  <si>
    <t>General question: do we also want to tag biological processes (e.g. cytotoxicity, mitophagy, etc.) as entities? These may be desirable attributes we would want to induce in cells cultured for e.g. therapeutic purposes</t>
  </si>
  <si>
    <t>General question: do we want AIONER to tag distinct entities when phrases like "X is a Y receptor" exist, i.e. "Y" should be tagged as @GENE$/@CHEMICAL$, AND "Y receptor" tagged as @GENE$?</t>
  </si>
  <si>
    <t>General question: how do we tag multiple relations that occur with the same entity pair? e.g. "X binds to and catalyses ubiquitylation of Y"</t>
  </si>
  <si>
    <t>X binds to Y
X ubiquitylates Y</t>
  </si>
  <si>
    <t xml:space="preserve">General question: should all phosphorylation/ubiquitylation (and their inverse) relations also be tagged as "interaction" relations? </t>
  </si>
  <si>
    <t>General observation: AIONER cannot accurately tag multiple entities when they are consolidated together, e.g. "SMAD1/2/3" gets tagged as a single @GENE$ rather than SMAD1, SMAD2, SMAD3 getting tagged as 3 separate entities</t>
  </si>
  <si>
    <t>General observation: perhaps we should consider cleaning up input text in a standardised manner before putting it through AIONER? e.g. correcting typos and misplaced spacing, removing line breaks, listing individual gene names if they get consolidated (as in above example), etc...</t>
  </si>
  <si>
    <t>Statement #</t>
  </si>
  <si>
    <t>AIONER text input</t>
  </si>
  <si>
    <t>AIONER output</t>
  </si>
  <si>
    <t>Entity-tagging script output</t>
  </si>
  <si>
    <t>15485686|t|The amino acid side chains of the four histones in the nucleosome core are subjected to a remarkable variety of covalent modifications, including the acetylation of lysines, the mono-, di-, and trimethylation of lysines, and the phosphorylation
of serines</t>
  </si>
  <si>
    <t xml:space="preserve">Nil </t>
  </si>
  <si>
    <t>15485686        0        5        Smad7        Gene
15485686        20        25        Smad6        Gene
15485686        163        168        Smads        Gene
15485686        217        221        Smad        Gene
15485686        281        286        Smurf        Gene
15485686        389        395        Smurfs        Gene
15485686        445        450        Smads        Gene
15485686        472        510        Smad ubiquitylation regulatory factors        Gene
15485686        515        521        Smurfs        Gene
15485686        608        618        recep- tor        Gene
15485686        648        653        Smads        Gene
15485686        669        673        Smad        Gene
15485686        675        680        Smad4        Gene
15485686        736        741        Smads        Gene</t>
  </si>
  <si>
    <t>15485686|t|The specific enzymes that
catalyze modification by ubiquitin-like proteins are somewhat</t>
  </si>
  <si>
    <t>Nil</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</si>
</sst>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color theme="1"/>
      <name val="Arial"/>
      <scheme val="minor"/>
    </font>
    <font>
      <sz val="10.0"/>
      <color theme="1"/>
      <name val="Arial"/>
      <scheme val="minor"/>
    </font>
    <font>
      <b/>
      <sz val="10.0"/>
      <color theme="1"/>
      <name val="Arial"/>
      <scheme val="minor"/>
    </font>
    <font>
      <b/>
      <color rgb="FFCC0000"/>
      <name val="Arial"/>
    </font>
    <font>
      <b/>
      <sz val="10.0"/>
      <color rgb="FFCC0000"/>
      <name val="Arial"/>
      <scheme val="minor"/>
    </font>
    <font>
      <sz val="10.0"/>
      <color rgb="FF4A86E8"/>
      <name val="Arial"/>
      <scheme val="minor"/>
    </font>
    <font>
      <sz val="11.0"/>
      <color theme="1"/>
      <name val="Arial"/>
      <scheme val="minor"/>
    </font>
    <font>
      <b/>
      <color theme="1"/>
      <name val="Arial"/>
      <scheme val="minor"/>
    </font>
    <font>
      <b/>
      <sz val="10.0"/>
      <color rgb="FF4A86E8"/>
      <name val="Arial"/>
      <scheme val="minor"/>
    </font>
    <font>
      <sz val="10.0"/>
      <color theme="1"/>
      <name val="Arial"/>
    </font>
    <font>
      <color rgb="FF4A86E8"/>
      <name val="Arial"/>
      <scheme val="minor"/>
    </font>
    <font>
      <color theme="1"/>
      <name val="Arial"/>
    </font>
    <font>
      <b/>
      <color theme="1"/>
      <name val="Arial"/>
    </font>
    <font>
      <sz val="11.0"/>
      <color rgb="FF000000"/>
      <name val="&quot;Courier New&quot;"/>
    </font>
  </fonts>
  <fills count="7">
    <fill>
      <patternFill patternType="none"/>
    </fill>
    <fill>
      <patternFill patternType="lightGray"/>
    </fill>
    <fill>
      <patternFill patternType="solid">
        <fgColor rgb="FFFF00FF"/>
        <bgColor rgb="FFFF00FF"/>
      </patternFill>
    </fill>
    <fill>
      <patternFill patternType="solid">
        <fgColor rgb="FFFFFFFF"/>
        <bgColor rgb="FFFFFFFF"/>
      </patternFill>
    </fill>
    <fill>
      <patternFill patternType="solid">
        <fgColor rgb="FFD9EAD3"/>
        <bgColor rgb="FFD9EAD3"/>
      </patternFill>
    </fill>
    <fill>
      <patternFill patternType="solid">
        <fgColor rgb="FFFFF2CC"/>
        <bgColor rgb="FFFFF2CC"/>
      </patternFill>
    </fill>
    <fill>
      <patternFill patternType="solid">
        <fgColor rgb="FFF4CCCC"/>
        <bgColor rgb="FFF4CC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0">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1" numFmtId="0" xfId="0" applyAlignment="1" applyFont="1">
      <alignment readingOrder="0" vertical="center"/>
    </xf>
    <xf borderId="0" fillId="0" fontId="1" numFmtId="0" xfId="0" applyAlignment="1" applyFont="1">
      <alignment vertical="center"/>
    </xf>
    <xf borderId="0" fillId="0" fontId="1" numFmtId="0" xfId="0" applyAlignment="1" applyFont="1">
      <alignment horizontal="center" vertical="center"/>
    </xf>
    <xf borderId="1" fillId="0" fontId="2" numFmtId="0" xfId="0" applyAlignment="1" applyBorder="1" applyFont="1">
      <alignment readingOrder="0" vertical="center"/>
    </xf>
    <xf borderId="1" fillId="0" fontId="2" numFmtId="0" xfId="0" applyAlignment="1" applyBorder="1" applyFont="1">
      <alignment readingOrder="0" shrinkToFit="0" vertical="center" wrapText="1"/>
    </xf>
    <xf borderId="0" fillId="0" fontId="2" numFmtId="0" xfId="0" applyAlignment="1" applyFont="1">
      <alignment readingOrder="0" vertical="center"/>
    </xf>
    <xf borderId="0" fillId="0" fontId="2" numFmtId="0" xfId="0" applyAlignment="1" applyFont="1">
      <alignment readingOrder="0" shrinkToFit="0" vertical="center" wrapText="1"/>
    </xf>
    <xf borderId="0" fillId="0" fontId="2" numFmtId="0" xfId="0" applyAlignment="1" applyFont="1">
      <alignment horizontal="left" readingOrder="0" shrinkToFit="0" vertical="center" wrapText="1"/>
    </xf>
    <xf borderId="0" fillId="0" fontId="2" numFmtId="0" xfId="0" applyAlignment="1" applyFont="1">
      <alignment vertical="center"/>
    </xf>
    <xf borderId="0" fillId="0" fontId="2" numFmtId="0" xfId="0" applyAlignment="1" applyFont="1">
      <alignment horizontal="left" shrinkToFit="0" vertical="center" wrapText="1"/>
    </xf>
    <xf borderId="0" fillId="0" fontId="2" numFmtId="0" xfId="0" applyAlignment="1" applyFont="1">
      <alignment shrinkToFit="0" vertical="center" wrapText="1"/>
    </xf>
    <xf borderId="0" fillId="0" fontId="3" numFmtId="0" xfId="0" applyAlignment="1" applyFont="1">
      <alignment readingOrder="0" vertical="center"/>
    </xf>
    <xf borderId="0" fillId="0" fontId="4" numFmtId="0" xfId="0" applyAlignment="1" applyFont="1">
      <alignment readingOrder="0" shrinkToFit="0" vertical="center" wrapText="1"/>
    </xf>
    <xf borderId="0" fillId="0" fontId="5" numFmtId="0" xfId="0" applyAlignment="1" applyFont="1">
      <alignment readingOrder="0" shrinkToFit="0" vertical="center" wrapText="1"/>
    </xf>
    <xf borderId="0" fillId="0" fontId="6" numFmtId="0" xfId="0" applyAlignment="1" applyFont="1">
      <alignment horizontal="left" readingOrder="0" shrinkToFit="0" vertical="center" wrapText="1"/>
    </xf>
    <xf borderId="0" fillId="0" fontId="7" numFmtId="0" xfId="0" applyAlignment="1" applyFont="1">
      <alignment readingOrder="0" shrinkToFit="0" vertical="center" wrapText="1"/>
    </xf>
    <xf borderId="0" fillId="0" fontId="7" numFmtId="0" xfId="0" applyAlignment="1" applyFont="1">
      <alignment readingOrder="0" vertical="center"/>
    </xf>
    <xf borderId="0" fillId="0" fontId="5" numFmtId="0" xfId="0" applyAlignment="1" applyFont="1">
      <alignment horizontal="left" readingOrder="0" shrinkToFit="0" vertical="center" wrapText="1"/>
    </xf>
    <xf borderId="0" fillId="0" fontId="6" numFmtId="0" xfId="0" applyAlignment="1" applyFont="1">
      <alignment readingOrder="0" shrinkToFit="0" vertical="center" wrapText="1"/>
    </xf>
    <xf borderId="0" fillId="0" fontId="8" numFmtId="0" xfId="0" applyAlignment="1" applyFont="1">
      <alignment readingOrder="0" vertical="center"/>
    </xf>
    <xf borderId="0" fillId="0" fontId="9" numFmtId="0" xfId="0" applyAlignment="1" applyFont="1">
      <alignment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horizontal="left" shrinkToFit="0" vertical="center" wrapText="1"/>
    </xf>
    <xf borderId="0" fillId="0" fontId="1" numFmtId="0" xfId="0" applyAlignment="1" applyFont="1">
      <alignment horizontal="left" vertical="center"/>
    </xf>
    <xf borderId="0" fillId="0" fontId="10" numFmtId="0" xfId="0" applyAlignment="1" applyFont="1">
      <alignment horizontal="right" readingOrder="0" shrinkToFit="0" vertical="center" wrapText="1"/>
    </xf>
    <xf borderId="0" fillId="0" fontId="10" numFmtId="0" xfId="0" applyAlignment="1" applyFont="1">
      <alignment horizontal="right" shrinkToFit="0" vertical="center" wrapText="1"/>
    </xf>
    <xf borderId="0" fillId="0" fontId="1" numFmtId="0" xfId="0" applyAlignment="1" applyFont="1">
      <alignment horizontal="left"/>
    </xf>
    <xf borderId="0" fillId="0" fontId="11" numFmtId="0" xfId="0" applyAlignment="1" applyFont="1">
      <alignment horizontal="left" readingOrder="0"/>
    </xf>
    <xf borderId="0" fillId="2" fontId="2" numFmtId="0" xfId="0" applyAlignment="1" applyFill="1" applyFont="1">
      <alignment vertical="center"/>
    </xf>
    <xf borderId="0" fillId="2" fontId="2" numFmtId="0" xfId="0" applyAlignment="1" applyFont="1">
      <alignment shrinkToFit="0" vertical="center" wrapText="1"/>
    </xf>
    <xf borderId="0" fillId="2" fontId="2" numFmtId="0" xfId="0" applyAlignment="1" applyFont="1">
      <alignment horizontal="left" shrinkToFit="0" vertical="center" wrapText="1"/>
    </xf>
    <xf borderId="0" fillId="0" fontId="6" numFmtId="0" xfId="0" applyAlignment="1" applyFont="1">
      <alignment readingOrder="0" vertical="center"/>
    </xf>
    <xf borderId="0" fillId="0" fontId="11" numFmtId="0" xfId="0" applyAlignment="1" applyFont="1">
      <alignment horizontal="left" readingOrder="0" shrinkToFit="0" vertical="center" wrapText="1"/>
    </xf>
    <xf borderId="0" fillId="3" fontId="0" numFmtId="0" xfId="0" applyAlignment="1" applyFill="1" applyFont="1">
      <alignment horizontal="left" readingOrder="0" shrinkToFit="0" vertical="center" wrapText="1"/>
    </xf>
    <xf borderId="0" fillId="0" fontId="0" numFmtId="0" xfId="0" applyAlignment="1" applyFont="1">
      <alignment readingOrder="0" shrinkToFit="0" vertical="center" wrapText="1"/>
    </xf>
    <xf borderId="0" fillId="0" fontId="12" numFmtId="0" xfId="0" applyAlignment="1" applyFont="1">
      <alignment horizontal="center" readingOrder="0" vertical="center"/>
    </xf>
    <xf borderId="0" fillId="0" fontId="12" numFmtId="0" xfId="0" applyAlignment="1" applyFont="1">
      <alignment vertical="center"/>
    </xf>
    <xf borderId="0" fillId="0" fontId="12" numFmtId="0" xfId="0" applyAlignment="1" applyFont="1">
      <alignment readingOrder="0" shrinkToFit="0" vertical="center" wrapText="1"/>
    </xf>
    <xf borderId="0" fillId="0" fontId="12" numFmtId="0" xfId="0" applyFont="1"/>
    <xf borderId="0" fillId="0" fontId="4" numFmtId="0" xfId="0" applyAlignment="1" applyFont="1">
      <alignment readingOrder="0" shrinkToFit="0" vertical="center" wrapText="1"/>
    </xf>
    <xf borderId="0" fillId="0" fontId="12" numFmtId="0" xfId="0" applyAlignment="1" applyFont="1">
      <alignment horizontal="left"/>
    </xf>
    <xf borderId="0" fillId="0" fontId="11" numFmtId="0" xfId="0" applyAlignment="1" applyFont="1">
      <alignment readingOrder="0" shrinkToFit="0" vertical="center" wrapText="1"/>
    </xf>
    <xf borderId="0" fillId="0" fontId="1" numFmtId="0" xfId="0" applyAlignment="1" applyFont="1">
      <alignment readingOrder="0"/>
    </xf>
    <xf borderId="0" fillId="0" fontId="8" numFmtId="0" xfId="0" applyAlignment="1" applyFont="1">
      <alignment readingOrder="0"/>
    </xf>
    <xf borderId="0" fillId="4" fontId="1" numFmtId="0" xfId="0" applyAlignment="1" applyFill="1" applyFont="1">
      <alignment readingOrder="0"/>
    </xf>
    <xf borderId="0" fillId="5" fontId="1" numFmtId="0" xfId="0" applyAlignment="1" applyFill="1" applyFont="1">
      <alignment readingOrder="0"/>
    </xf>
    <xf borderId="0" fillId="6" fontId="1" numFmtId="0" xfId="0" applyAlignment="1" applyFill="1" applyFont="1">
      <alignment readingOrder="0"/>
    </xf>
    <xf borderId="0" fillId="0" fontId="12" numFmtId="0" xfId="0" applyAlignment="1" applyFont="1">
      <alignment readingOrder="0" vertical="bottom"/>
    </xf>
    <xf borderId="0" fillId="0" fontId="13" numFmtId="0" xfId="0" applyAlignment="1" applyFont="1">
      <alignment readingOrder="0" vertical="bottom"/>
    </xf>
    <xf borderId="0" fillId="0" fontId="12" numFmtId="0" xfId="0" applyAlignment="1" applyFont="1">
      <alignment horizontal="right" vertical="bottom"/>
    </xf>
    <xf borderId="0" fillId="0" fontId="12" numFmtId="0" xfId="0" applyAlignment="1" applyFont="1">
      <alignment vertical="bottom"/>
    </xf>
    <xf borderId="0" fillId="6" fontId="12" numFmtId="0" xfId="0" applyAlignment="1" applyFont="1">
      <alignment vertical="bottom"/>
    </xf>
    <xf borderId="0" fillId="4" fontId="12" numFmtId="0" xfId="0" applyAlignment="1" applyFont="1">
      <alignment vertical="bottom"/>
    </xf>
    <xf borderId="0" fillId="0" fontId="8"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3" fontId="14" numFmtId="0" xfId="0" applyAlignment="1" applyFont="1">
      <alignment horizontal="left" readingOrder="0" shrinkToFit="0" vertical="center" wrapText="1"/>
    </xf>
    <xf borderId="0" fillId="3" fontId="14" numFmtId="0" xfId="0" applyAlignment="1" applyFont="1">
      <alignment horizontal="left" readingOrder="0" shrinkToFit="0" wrapText="1"/>
    </xf>
  </cellXfs>
  <cellStyles count="1">
    <cellStyle xfId="0" name="Normal" builtinId="0"/>
  </cellStyles>
  <dxfs count="2">
    <dxf>
      <font/>
      <fill>
        <patternFill patternType="solid">
          <fgColor rgb="FFEA9999"/>
          <bgColor rgb="FFEA9999"/>
        </patternFill>
      </fill>
      <border/>
    </dxf>
    <dxf>
      <font/>
      <fill>
        <patternFill patternType="solid">
          <fgColor rgb="FFFFF2CC"/>
          <bgColor rgb="FFFFF2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f t="shared" ref="A1:A882" si="1">IF(MOD(ROW(),3)=1,(ROW()+2)/3,"")</f>
        <v>1</v>
      </c>
      <c r="B1" s="2" t="s">
        <v>0</v>
      </c>
      <c r="C1" s="3"/>
      <c r="D1" s="3"/>
      <c r="E1" s="3"/>
      <c r="F1" s="3"/>
      <c r="G1" s="3"/>
      <c r="H1" s="3"/>
      <c r="I1" s="3"/>
      <c r="J1" s="3"/>
      <c r="K1" s="3"/>
      <c r="L1" s="3"/>
      <c r="M1" s="3"/>
      <c r="N1" s="3"/>
      <c r="O1" s="3"/>
      <c r="P1" s="3"/>
      <c r="Q1" s="3"/>
      <c r="R1" s="3"/>
      <c r="S1" s="3"/>
      <c r="T1" s="3"/>
      <c r="U1" s="3"/>
      <c r="V1" s="3"/>
      <c r="W1" s="3"/>
      <c r="X1" s="3"/>
      <c r="Y1" s="3"/>
      <c r="Z1" s="3"/>
      <c r="AA1" s="3"/>
    </row>
    <row r="2">
      <c r="A2" s="1" t="str">
        <f t="shared" si="1"/>
        <v/>
      </c>
      <c r="B2" s="2" t="s">
        <v>1</v>
      </c>
      <c r="C2" s="3"/>
      <c r="D2" s="3"/>
      <c r="E2" s="3"/>
      <c r="F2" s="3"/>
      <c r="G2" s="3"/>
      <c r="H2" s="3"/>
      <c r="I2" s="3"/>
      <c r="J2" s="3"/>
      <c r="K2" s="3"/>
      <c r="L2" s="3"/>
      <c r="M2" s="3"/>
      <c r="N2" s="3"/>
      <c r="O2" s="3"/>
      <c r="P2" s="3"/>
      <c r="Q2" s="3"/>
      <c r="R2" s="3"/>
      <c r="S2" s="3"/>
      <c r="T2" s="3"/>
      <c r="U2" s="3"/>
      <c r="V2" s="3"/>
      <c r="W2" s="3"/>
      <c r="X2" s="3"/>
      <c r="Y2" s="3"/>
      <c r="Z2" s="3"/>
      <c r="AA2" s="3"/>
    </row>
    <row r="3">
      <c r="A3" s="1" t="str">
        <f t="shared" si="1"/>
        <v/>
      </c>
      <c r="B3" s="3"/>
      <c r="C3" s="3"/>
      <c r="D3" s="3"/>
      <c r="E3" s="3"/>
      <c r="F3" s="3"/>
      <c r="G3" s="3"/>
      <c r="H3" s="3"/>
      <c r="I3" s="3"/>
      <c r="J3" s="3"/>
      <c r="K3" s="3"/>
      <c r="L3" s="3"/>
      <c r="M3" s="3"/>
      <c r="N3" s="3"/>
      <c r="O3" s="3"/>
      <c r="P3" s="3"/>
      <c r="Q3" s="3"/>
      <c r="R3" s="3"/>
      <c r="S3" s="3"/>
      <c r="T3" s="3"/>
      <c r="U3" s="3"/>
      <c r="V3" s="3"/>
      <c r="W3" s="3"/>
      <c r="X3" s="3"/>
      <c r="Y3" s="3"/>
      <c r="Z3" s="3"/>
      <c r="AA3" s="3"/>
    </row>
    <row r="4">
      <c r="A4" s="1">
        <f t="shared" si="1"/>
        <v>2</v>
      </c>
      <c r="B4" s="2" t="s">
        <v>2</v>
      </c>
      <c r="C4" s="3"/>
      <c r="D4" s="3"/>
      <c r="E4" s="3"/>
      <c r="F4" s="3"/>
      <c r="G4" s="3"/>
      <c r="H4" s="3"/>
      <c r="I4" s="3"/>
      <c r="J4" s="3"/>
      <c r="K4" s="3"/>
      <c r="L4" s="3"/>
      <c r="M4" s="3"/>
      <c r="N4" s="3"/>
      <c r="O4" s="3"/>
      <c r="P4" s="3"/>
      <c r="Q4" s="3"/>
      <c r="R4" s="3"/>
      <c r="S4" s="3"/>
      <c r="T4" s="3"/>
      <c r="U4" s="3"/>
      <c r="V4" s="3"/>
      <c r="W4" s="3"/>
      <c r="X4" s="3"/>
      <c r="Y4" s="3"/>
      <c r="Z4" s="3"/>
      <c r="AA4" s="3"/>
    </row>
    <row r="5">
      <c r="A5" s="1" t="str">
        <f t="shared" si="1"/>
        <v/>
      </c>
      <c r="B5" s="2" t="s">
        <v>1</v>
      </c>
      <c r="C5" s="3"/>
      <c r="D5" s="3"/>
      <c r="E5" s="3"/>
      <c r="F5" s="3"/>
      <c r="G5" s="3"/>
      <c r="H5" s="3"/>
      <c r="I5" s="3"/>
      <c r="J5" s="3"/>
      <c r="K5" s="3"/>
      <c r="L5" s="3"/>
      <c r="M5" s="3"/>
      <c r="N5" s="3"/>
      <c r="O5" s="3"/>
      <c r="P5" s="3"/>
      <c r="Q5" s="3"/>
      <c r="R5" s="3"/>
      <c r="S5" s="3"/>
      <c r="T5" s="3"/>
      <c r="U5" s="3"/>
      <c r="V5" s="3"/>
      <c r="W5" s="3"/>
      <c r="X5" s="3"/>
      <c r="Y5" s="3"/>
      <c r="Z5" s="3"/>
      <c r="AA5" s="3"/>
    </row>
    <row r="6">
      <c r="A6" s="1" t="str">
        <f t="shared" si="1"/>
        <v/>
      </c>
      <c r="B6" s="3"/>
      <c r="C6" s="3"/>
      <c r="D6" s="3"/>
      <c r="E6" s="3"/>
      <c r="F6" s="3"/>
      <c r="G6" s="3"/>
      <c r="H6" s="3"/>
      <c r="I6" s="3"/>
      <c r="J6" s="3"/>
      <c r="K6" s="3"/>
      <c r="L6" s="3"/>
      <c r="M6" s="3"/>
      <c r="N6" s="3"/>
      <c r="O6" s="3"/>
      <c r="P6" s="3"/>
      <c r="Q6" s="3"/>
      <c r="R6" s="3"/>
      <c r="S6" s="3"/>
      <c r="T6" s="3"/>
      <c r="U6" s="3"/>
      <c r="V6" s="3"/>
      <c r="W6" s="3"/>
      <c r="X6" s="3"/>
      <c r="Y6" s="3"/>
      <c r="Z6" s="3"/>
      <c r="AA6" s="3"/>
    </row>
    <row r="7">
      <c r="A7" s="1">
        <f t="shared" si="1"/>
        <v>3</v>
      </c>
      <c r="B7" s="2" t="s">
        <v>3</v>
      </c>
      <c r="C7" s="3"/>
      <c r="D7" s="3"/>
      <c r="E7" s="3"/>
      <c r="F7" s="3"/>
      <c r="G7" s="3"/>
      <c r="H7" s="3"/>
      <c r="I7" s="3"/>
      <c r="J7" s="3"/>
      <c r="K7" s="3"/>
      <c r="L7" s="3"/>
      <c r="M7" s="3"/>
      <c r="N7" s="3"/>
      <c r="O7" s="3"/>
      <c r="P7" s="3"/>
      <c r="Q7" s="3"/>
      <c r="R7" s="3"/>
      <c r="S7" s="3"/>
      <c r="T7" s="3"/>
      <c r="U7" s="3"/>
      <c r="V7" s="3"/>
      <c r="W7" s="3"/>
      <c r="X7" s="3"/>
      <c r="Y7" s="3"/>
      <c r="Z7" s="3"/>
      <c r="AA7" s="3"/>
    </row>
    <row r="8">
      <c r="A8" s="1" t="str">
        <f t="shared" si="1"/>
        <v/>
      </c>
      <c r="B8" s="2" t="s">
        <v>1</v>
      </c>
      <c r="C8" s="3"/>
      <c r="D8" s="3"/>
      <c r="E8" s="3"/>
      <c r="F8" s="3"/>
      <c r="G8" s="3"/>
      <c r="H8" s="3"/>
      <c r="I8" s="3"/>
      <c r="J8" s="3"/>
      <c r="K8" s="3"/>
      <c r="L8" s="3"/>
      <c r="M8" s="3"/>
      <c r="N8" s="3"/>
      <c r="O8" s="3"/>
      <c r="P8" s="3"/>
      <c r="Q8" s="3"/>
      <c r="R8" s="3"/>
      <c r="S8" s="3"/>
      <c r="T8" s="3"/>
      <c r="U8" s="3"/>
      <c r="V8" s="3"/>
      <c r="W8" s="3"/>
      <c r="X8" s="3"/>
      <c r="Y8" s="3"/>
      <c r="Z8" s="3"/>
      <c r="AA8" s="3"/>
    </row>
    <row r="9">
      <c r="A9" s="1" t="str">
        <f t="shared" si="1"/>
        <v/>
      </c>
      <c r="B9" s="3"/>
      <c r="C9" s="3"/>
      <c r="D9" s="3"/>
      <c r="E9" s="3"/>
      <c r="F9" s="3"/>
      <c r="G9" s="3"/>
      <c r="H9" s="3"/>
      <c r="I9" s="3"/>
      <c r="J9" s="3"/>
      <c r="K9" s="3"/>
      <c r="L9" s="3"/>
      <c r="M9" s="3"/>
      <c r="N9" s="3"/>
      <c r="O9" s="3"/>
      <c r="P9" s="3"/>
      <c r="Q9" s="3"/>
      <c r="R9" s="3"/>
      <c r="S9" s="3"/>
      <c r="T9" s="3"/>
      <c r="U9" s="3"/>
      <c r="V9" s="3"/>
      <c r="W9" s="3"/>
      <c r="X9" s="3"/>
      <c r="Y9" s="3"/>
      <c r="Z9" s="3"/>
      <c r="AA9" s="3"/>
    </row>
    <row r="10">
      <c r="A10" s="1">
        <f t="shared" si="1"/>
        <v>4</v>
      </c>
      <c r="B10" s="2" t="s">
        <v>4</v>
      </c>
      <c r="C10" s="3"/>
      <c r="D10" s="3"/>
      <c r="E10" s="3"/>
      <c r="F10" s="3"/>
      <c r="G10" s="3"/>
      <c r="H10" s="3"/>
      <c r="I10" s="3"/>
      <c r="J10" s="3"/>
      <c r="K10" s="3"/>
      <c r="L10" s="3"/>
      <c r="M10" s="3"/>
      <c r="N10" s="3"/>
      <c r="O10" s="3"/>
      <c r="P10" s="3"/>
      <c r="Q10" s="3"/>
      <c r="R10" s="3"/>
      <c r="S10" s="3"/>
      <c r="T10" s="3"/>
      <c r="U10" s="3"/>
      <c r="V10" s="3"/>
      <c r="W10" s="3"/>
      <c r="X10" s="3"/>
      <c r="Y10" s="3"/>
      <c r="Z10" s="3"/>
      <c r="AA10" s="3"/>
    </row>
    <row r="11">
      <c r="A11" s="1" t="str">
        <f t="shared" si="1"/>
        <v/>
      </c>
      <c r="B11" s="2" t="s">
        <v>1</v>
      </c>
      <c r="C11" s="3"/>
      <c r="D11" s="3"/>
      <c r="E11" s="3"/>
      <c r="F11" s="3"/>
      <c r="G11" s="3"/>
      <c r="H11" s="3"/>
      <c r="I11" s="3"/>
      <c r="J11" s="3"/>
      <c r="K11" s="3"/>
      <c r="L11" s="3"/>
      <c r="M11" s="3"/>
      <c r="N11" s="3"/>
      <c r="O11" s="3"/>
      <c r="P11" s="3"/>
      <c r="Q11" s="3"/>
      <c r="R11" s="3"/>
      <c r="S11" s="3"/>
      <c r="T11" s="3"/>
      <c r="U11" s="3"/>
      <c r="V11" s="3"/>
      <c r="W11" s="3"/>
      <c r="X11" s="3"/>
      <c r="Y11" s="3"/>
      <c r="Z11" s="3"/>
      <c r="AA11" s="3"/>
    </row>
    <row r="12">
      <c r="A12" s="1" t="str">
        <f t="shared" si="1"/>
        <v/>
      </c>
      <c r="B12" s="3"/>
      <c r="C12" s="3"/>
      <c r="D12" s="3"/>
      <c r="E12" s="3"/>
      <c r="F12" s="3"/>
      <c r="G12" s="3"/>
      <c r="H12" s="3"/>
      <c r="I12" s="3"/>
      <c r="J12" s="3"/>
      <c r="K12" s="3"/>
      <c r="L12" s="3"/>
      <c r="M12" s="3"/>
      <c r="N12" s="3"/>
      <c r="O12" s="3"/>
      <c r="P12" s="3"/>
      <c r="Q12" s="3"/>
      <c r="R12" s="3"/>
      <c r="S12" s="3"/>
      <c r="T12" s="3"/>
      <c r="U12" s="3"/>
      <c r="V12" s="3"/>
      <c r="W12" s="3"/>
      <c r="X12" s="3"/>
      <c r="Y12" s="3"/>
      <c r="Z12" s="3"/>
      <c r="AA12" s="3"/>
    </row>
    <row r="13">
      <c r="A13" s="1">
        <f t="shared" si="1"/>
        <v>5</v>
      </c>
      <c r="B13" s="2" t="s">
        <v>5</v>
      </c>
      <c r="C13" s="3"/>
      <c r="D13" s="3"/>
      <c r="E13" s="3"/>
      <c r="F13" s="3"/>
      <c r="G13" s="3"/>
      <c r="H13" s="3"/>
      <c r="I13" s="3"/>
      <c r="J13" s="3"/>
      <c r="K13" s="3"/>
      <c r="L13" s="3"/>
      <c r="M13" s="3"/>
      <c r="N13" s="3"/>
      <c r="O13" s="3"/>
      <c r="P13" s="3"/>
      <c r="Q13" s="3"/>
      <c r="R13" s="3"/>
      <c r="S13" s="3"/>
      <c r="T13" s="3"/>
      <c r="U13" s="3"/>
      <c r="V13" s="3"/>
      <c r="W13" s="3"/>
      <c r="X13" s="3"/>
      <c r="Y13" s="3"/>
      <c r="Z13" s="3"/>
      <c r="AA13" s="3"/>
    </row>
    <row r="14">
      <c r="A14" s="1" t="str">
        <f t="shared" si="1"/>
        <v/>
      </c>
      <c r="B14" s="2" t="s">
        <v>1</v>
      </c>
      <c r="C14" s="3"/>
      <c r="D14" s="3"/>
      <c r="E14" s="3"/>
      <c r="F14" s="3"/>
      <c r="G14" s="3"/>
      <c r="H14" s="3"/>
      <c r="I14" s="3"/>
      <c r="J14" s="3"/>
      <c r="K14" s="3"/>
      <c r="L14" s="3"/>
      <c r="M14" s="3"/>
      <c r="N14" s="3"/>
      <c r="O14" s="3"/>
      <c r="P14" s="3"/>
      <c r="Q14" s="3"/>
      <c r="R14" s="3"/>
      <c r="S14" s="3"/>
      <c r="T14" s="3"/>
      <c r="U14" s="3"/>
      <c r="V14" s="3"/>
      <c r="W14" s="3"/>
      <c r="X14" s="3"/>
      <c r="Y14" s="3"/>
      <c r="Z14" s="3"/>
      <c r="AA14" s="3"/>
    </row>
    <row r="15">
      <c r="A15" s="1" t="str">
        <f t="shared" si="1"/>
        <v/>
      </c>
      <c r="B15" s="3"/>
      <c r="C15" s="3"/>
      <c r="D15" s="3"/>
      <c r="E15" s="3"/>
      <c r="F15" s="3"/>
      <c r="G15" s="3"/>
      <c r="H15" s="3"/>
      <c r="I15" s="3"/>
      <c r="J15" s="3"/>
      <c r="K15" s="3"/>
      <c r="L15" s="3"/>
      <c r="M15" s="3"/>
      <c r="N15" s="3"/>
      <c r="O15" s="3"/>
      <c r="P15" s="3"/>
      <c r="Q15" s="3"/>
      <c r="R15" s="3"/>
      <c r="S15" s="3"/>
      <c r="T15" s="3"/>
      <c r="U15" s="3"/>
      <c r="V15" s="3"/>
      <c r="W15" s="3"/>
      <c r="X15" s="3"/>
      <c r="Y15" s="3"/>
      <c r="Z15" s="3"/>
      <c r="AA15" s="3"/>
    </row>
    <row r="16">
      <c r="A16" s="1">
        <f t="shared" si="1"/>
        <v>6</v>
      </c>
      <c r="B16" s="2" t="s">
        <v>6</v>
      </c>
      <c r="C16" s="3"/>
      <c r="D16" s="3"/>
      <c r="E16" s="3"/>
      <c r="F16" s="3"/>
      <c r="G16" s="3"/>
      <c r="H16" s="3"/>
      <c r="I16" s="3"/>
      <c r="J16" s="3"/>
      <c r="K16" s="3"/>
      <c r="L16" s="3"/>
      <c r="M16" s="3"/>
      <c r="N16" s="3"/>
      <c r="O16" s="3"/>
      <c r="P16" s="3"/>
      <c r="Q16" s="3"/>
      <c r="R16" s="3"/>
      <c r="S16" s="3"/>
      <c r="T16" s="3"/>
      <c r="U16" s="3"/>
      <c r="V16" s="3"/>
      <c r="W16" s="3"/>
      <c r="X16" s="3"/>
      <c r="Y16" s="3"/>
      <c r="Z16" s="3"/>
      <c r="AA16" s="3"/>
    </row>
    <row r="17">
      <c r="A17" s="1" t="str">
        <f t="shared" si="1"/>
        <v/>
      </c>
      <c r="B17" s="2" t="s">
        <v>1</v>
      </c>
      <c r="C17" s="3"/>
      <c r="D17" s="3"/>
      <c r="E17" s="3"/>
      <c r="F17" s="3"/>
      <c r="G17" s="3"/>
      <c r="H17" s="3"/>
      <c r="I17" s="3"/>
      <c r="J17" s="3"/>
      <c r="K17" s="3"/>
      <c r="L17" s="3"/>
      <c r="M17" s="3"/>
      <c r="N17" s="3"/>
      <c r="O17" s="3"/>
      <c r="P17" s="3"/>
      <c r="Q17" s="3"/>
      <c r="R17" s="3"/>
      <c r="S17" s="3"/>
      <c r="T17" s="3"/>
      <c r="U17" s="3"/>
      <c r="V17" s="3"/>
      <c r="W17" s="3"/>
      <c r="X17" s="3"/>
      <c r="Y17" s="3"/>
      <c r="Z17" s="3"/>
      <c r="AA17" s="3"/>
    </row>
    <row r="18">
      <c r="A18" s="1" t="str">
        <f t="shared" si="1"/>
        <v/>
      </c>
      <c r="B18" s="3"/>
      <c r="C18" s="3"/>
      <c r="D18" s="3"/>
      <c r="E18" s="3"/>
      <c r="F18" s="3"/>
      <c r="G18" s="3"/>
      <c r="H18" s="3"/>
      <c r="I18" s="3"/>
      <c r="J18" s="3"/>
      <c r="K18" s="3"/>
      <c r="L18" s="3"/>
      <c r="M18" s="3"/>
      <c r="N18" s="3"/>
      <c r="O18" s="3"/>
      <c r="P18" s="3"/>
      <c r="Q18" s="3"/>
      <c r="R18" s="3"/>
      <c r="S18" s="3"/>
      <c r="T18" s="3"/>
      <c r="U18" s="3"/>
      <c r="V18" s="3"/>
      <c r="W18" s="3"/>
      <c r="X18" s="3"/>
      <c r="Y18" s="3"/>
      <c r="Z18" s="3"/>
      <c r="AA18" s="3"/>
    </row>
    <row r="19">
      <c r="A19" s="1">
        <f t="shared" si="1"/>
        <v>7</v>
      </c>
      <c r="B19" s="2" t="s">
        <v>7</v>
      </c>
      <c r="C19" s="3"/>
      <c r="D19" s="3"/>
      <c r="E19" s="3"/>
      <c r="F19" s="3"/>
      <c r="G19" s="3"/>
      <c r="H19" s="3"/>
      <c r="I19" s="3"/>
      <c r="J19" s="3"/>
      <c r="K19" s="3"/>
      <c r="L19" s="3"/>
      <c r="M19" s="3"/>
      <c r="N19" s="3"/>
      <c r="O19" s="3"/>
      <c r="P19" s="3"/>
      <c r="Q19" s="3"/>
      <c r="R19" s="3"/>
      <c r="S19" s="3"/>
      <c r="T19" s="3"/>
      <c r="U19" s="3"/>
      <c r="V19" s="3"/>
      <c r="W19" s="3"/>
      <c r="X19" s="3"/>
      <c r="Y19" s="3"/>
      <c r="Z19" s="3"/>
      <c r="AA19" s="3"/>
    </row>
    <row r="20">
      <c r="A20" s="1" t="str">
        <f t="shared" si="1"/>
        <v/>
      </c>
      <c r="B20" s="2" t="s">
        <v>1</v>
      </c>
      <c r="C20" s="3"/>
      <c r="D20" s="3"/>
      <c r="E20" s="3"/>
      <c r="F20" s="3"/>
      <c r="G20" s="3"/>
      <c r="H20" s="3"/>
      <c r="I20" s="3"/>
      <c r="J20" s="3"/>
      <c r="K20" s="3"/>
      <c r="L20" s="3"/>
      <c r="M20" s="3"/>
      <c r="N20" s="3"/>
      <c r="O20" s="3"/>
      <c r="P20" s="3"/>
      <c r="Q20" s="3"/>
      <c r="R20" s="3"/>
      <c r="S20" s="3"/>
      <c r="T20" s="3"/>
      <c r="U20" s="3"/>
      <c r="V20" s="3"/>
      <c r="W20" s="3"/>
      <c r="X20" s="3"/>
      <c r="Y20" s="3"/>
      <c r="Z20" s="3"/>
      <c r="AA20" s="3"/>
    </row>
    <row r="21">
      <c r="A21" s="1" t="str">
        <f t="shared" si="1"/>
        <v/>
      </c>
      <c r="B21" s="3"/>
      <c r="C21" s="3"/>
      <c r="D21" s="3"/>
      <c r="E21" s="3"/>
      <c r="F21" s="3"/>
      <c r="G21" s="3"/>
      <c r="H21" s="3"/>
      <c r="I21" s="3"/>
      <c r="J21" s="3"/>
      <c r="K21" s="3"/>
      <c r="L21" s="3"/>
      <c r="M21" s="3"/>
      <c r="N21" s="3"/>
      <c r="O21" s="3"/>
      <c r="P21" s="3"/>
      <c r="Q21" s="3"/>
      <c r="R21" s="3"/>
      <c r="S21" s="3"/>
      <c r="T21" s="3"/>
      <c r="U21" s="3"/>
      <c r="V21" s="3"/>
      <c r="W21" s="3"/>
      <c r="X21" s="3"/>
      <c r="Y21" s="3"/>
      <c r="Z21" s="3"/>
      <c r="AA21" s="3"/>
    </row>
    <row r="22">
      <c r="A22" s="1">
        <f t="shared" si="1"/>
        <v>8</v>
      </c>
      <c r="B22" s="2" t="s">
        <v>8</v>
      </c>
      <c r="C22" s="3"/>
      <c r="D22" s="3"/>
      <c r="E22" s="3"/>
      <c r="F22" s="3"/>
      <c r="G22" s="3"/>
      <c r="H22" s="3"/>
      <c r="I22" s="3"/>
      <c r="J22" s="3"/>
      <c r="K22" s="3"/>
      <c r="L22" s="3"/>
      <c r="M22" s="3"/>
      <c r="N22" s="3"/>
      <c r="O22" s="3"/>
      <c r="P22" s="3"/>
      <c r="Q22" s="3"/>
      <c r="R22" s="3"/>
      <c r="S22" s="3"/>
      <c r="T22" s="3"/>
      <c r="U22" s="3"/>
      <c r="V22" s="3"/>
      <c r="W22" s="3"/>
      <c r="X22" s="3"/>
      <c r="Y22" s="3"/>
      <c r="Z22" s="3"/>
      <c r="AA22" s="3"/>
    </row>
    <row r="23">
      <c r="A23" s="1" t="str">
        <f t="shared" si="1"/>
        <v/>
      </c>
      <c r="B23" s="2" t="s">
        <v>1</v>
      </c>
      <c r="C23" s="3"/>
      <c r="D23" s="3"/>
      <c r="E23" s="3"/>
      <c r="F23" s="3"/>
      <c r="G23" s="3"/>
      <c r="H23" s="3"/>
      <c r="I23" s="3"/>
      <c r="J23" s="3"/>
      <c r="K23" s="3"/>
      <c r="L23" s="3"/>
      <c r="M23" s="3"/>
      <c r="N23" s="3"/>
      <c r="O23" s="3"/>
      <c r="P23" s="3"/>
      <c r="Q23" s="3"/>
      <c r="R23" s="3"/>
      <c r="S23" s="3"/>
      <c r="T23" s="3"/>
      <c r="U23" s="3"/>
      <c r="V23" s="3"/>
      <c r="W23" s="3"/>
      <c r="X23" s="3"/>
      <c r="Y23" s="3"/>
      <c r="Z23" s="3"/>
      <c r="AA23" s="3"/>
    </row>
    <row r="24">
      <c r="A24" s="1" t="str">
        <f t="shared" si="1"/>
        <v/>
      </c>
      <c r="B24" s="3"/>
      <c r="C24" s="3"/>
      <c r="D24" s="3"/>
      <c r="E24" s="3"/>
      <c r="F24" s="3"/>
      <c r="G24" s="3"/>
      <c r="H24" s="3"/>
      <c r="I24" s="3"/>
      <c r="J24" s="3"/>
      <c r="K24" s="3"/>
      <c r="L24" s="3"/>
      <c r="M24" s="3"/>
      <c r="N24" s="3"/>
      <c r="O24" s="3"/>
      <c r="P24" s="3"/>
      <c r="Q24" s="3"/>
      <c r="R24" s="3"/>
      <c r="S24" s="3"/>
      <c r="T24" s="3"/>
      <c r="U24" s="3"/>
      <c r="V24" s="3"/>
      <c r="W24" s="3"/>
      <c r="X24" s="3"/>
      <c r="Y24" s="3"/>
      <c r="Z24" s="3"/>
      <c r="AA24" s="3"/>
    </row>
    <row r="25">
      <c r="A25" s="1">
        <f t="shared" si="1"/>
        <v>9</v>
      </c>
      <c r="B25" s="2" t="s">
        <v>9</v>
      </c>
      <c r="C25" s="3"/>
      <c r="D25" s="3"/>
      <c r="E25" s="3"/>
      <c r="F25" s="3"/>
      <c r="G25" s="3"/>
      <c r="H25" s="3"/>
      <c r="I25" s="3"/>
      <c r="J25" s="3"/>
      <c r="K25" s="3"/>
      <c r="L25" s="3"/>
      <c r="M25" s="3"/>
      <c r="N25" s="3"/>
      <c r="O25" s="3"/>
      <c r="P25" s="3"/>
      <c r="Q25" s="3"/>
      <c r="R25" s="3"/>
      <c r="S25" s="3"/>
      <c r="T25" s="3"/>
      <c r="U25" s="3"/>
      <c r="V25" s="3"/>
      <c r="W25" s="3"/>
      <c r="X25" s="3"/>
      <c r="Y25" s="3"/>
      <c r="Z25" s="3"/>
      <c r="AA25" s="3"/>
    </row>
    <row r="26">
      <c r="A26" s="1" t="str">
        <f t="shared" si="1"/>
        <v/>
      </c>
      <c r="B26" s="2" t="s">
        <v>1</v>
      </c>
      <c r="C26" s="3"/>
      <c r="D26" s="3"/>
      <c r="E26" s="3"/>
      <c r="F26" s="3"/>
      <c r="G26" s="3"/>
      <c r="H26" s="3"/>
      <c r="I26" s="3"/>
      <c r="J26" s="3"/>
      <c r="K26" s="3"/>
      <c r="L26" s="3"/>
      <c r="M26" s="3"/>
      <c r="N26" s="3"/>
      <c r="O26" s="3"/>
      <c r="P26" s="3"/>
      <c r="Q26" s="3"/>
      <c r="R26" s="3"/>
      <c r="S26" s="3"/>
      <c r="T26" s="3"/>
      <c r="U26" s="3"/>
      <c r="V26" s="3"/>
      <c r="W26" s="3"/>
      <c r="X26" s="3"/>
      <c r="Y26" s="3"/>
      <c r="Z26" s="3"/>
      <c r="AA26" s="3"/>
    </row>
    <row r="27">
      <c r="A27" s="1" t="str">
        <f t="shared" si="1"/>
        <v/>
      </c>
      <c r="B27" s="3"/>
      <c r="C27" s="3"/>
      <c r="D27" s="3"/>
      <c r="E27" s="3"/>
      <c r="F27" s="3"/>
      <c r="G27" s="3"/>
      <c r="H27" s="3"/>
      <c r="I27" s="3"/>
      <c r="J27" s="3"/>
      <c r="K27" s="3"/>
      <c r="L27" s="3"/>
      <c r="M27" s="3"/>
      <c r="N27" s="3"/>
      <c r="O27" s="3"/>
      <c r="P27" s="3"/>
      <c r="Q27" s="3"/>
      <c r="R27" s="3"/>
      <c r="S27" s="3"/>
      <c r="T27" s="3"/>
      <c r="U27" s="3"/>
      <c r="V27" s="3"/>
      <c r="W27" s="3"/>
      <c r="X27" s="3"/>
      <c r="Y27" s="3"/>
      <c r="Z27" s="3"/>
      <c r="AA27" s="3"/>
    </row>
    <row r="28">
      <c r="A28" s="1">
        <f t="shared" si="1"/>
        <v>10</v>
      </c>
      <c r="B28" s="2" t="s">
        <v>10</v>
      </c>
      <c r="C28" s="3"/>
      <c r="D28" s="3"/>
      <c r="E28" s="3"/>
      <c r="F28" s="3"/>
      <c r="G28" s="3"/>
      <c r="H28" s="3"/>
      <c r="I28" s="3"/>
      <c r="J28" s="3"/>
      <c r="K28" s="3"/>
      <c r="L28" s="3"/>
      <c r="M28" s="3"/>
      <c r="N28" s="3"/>
      <c r="O28" s="3"/>
      <c r="P28" s="3"/>
      <c r="Q28" s="3"/>
      <c r="R28" s="3"/>
      <c r="S28" s="3"/>
      <c r="T28" s="3"/>
      <c r="U28" s="3"/>
      <c r="V28" s="3"/>
      <c r="W28" s="3"/>
      <c r="X28" s="3"/>
      <c r="Y28" s="3"/>
      <c r="Z28" s="3"/>
      <c r="AA28" s="3"/>
    </row>
    <row r="29">
      <c r="A29" s="1" t="str">
        <f t="shared" si="1"/>
        <v/>
      </c>
      <c r="B29" s="2" t="s">
        <v>1</v>
      </c>
      <c r="C29" s="3"/>
      <c r="D29" s="3"/>
      <c r="E29" s="3"/>
      <c r="F29" s="3"/>
      <c r="G29" s="3"/>
      <c r="H29" s="3"/>
      <c r="I29" s="3"/>
      <c r="J29" s="3"/>
      <c r="K29" s="3"/>
      <c r="L29" s="3"/>
      <c r="M29" s="3"/>
      <c r="N29" s="3"/>
      <c r="O29" s="3"/>
      <c r="P29" s="3"/>
      <c r="Q29" s="3"/>
      <c r="R29" s="3"/>
      <c r="S29" s="3"/>
      <c r="T29" s="3"/>
      <c r="U29" s="3"/>
      <c r="V29" s="3"/>
      <c r="W29" s="3"/>
      <c r="X29" s="3"/>
      <c r="Y29" s="3"/>
      <c r="Z29" s="3"/>
      <c r="AA29" s="3"/>
    </row>
    <row r="30">
      <c r="A30" s="1" t="str">
        <f t="shared" si="1"/>
        <v/>
      </c>
      <c r="B30" s="3"/>
      <c r="C30" s="3"/>
      <c r="D30" s="3"/>
      <c r="E30" s="3"/>
      <c r="F30" s="3"/>
      <c r="G30" s="3"/>
      <c r="H30" s="3"/>
      <c r="I30" s="3"/>
      <c r="J30" s="3"/>
      <c r="K30" s="3"/>
      <c r="L30" s="3"/>
      <c r="M30" s="3"/>
      <c r="N30" s="3"/>
      <c r="O30" s="3"/>
      <c r="P30" s="3"/>
      <c r="Q30" s="3"/>
      <c r="R30" s="3"/>
      <c r="S30" s="3"/>
      <c r="T30" s="3"/>
      <c r="U30" s="3"/>
      <c r="V30" s="3"/>
      <c r="W30" s="3"/>
      <c r="X30" s="3"/>
      <c r="Y30" s="3"/>
      <c r="Z30" s="3"/>
      <c r="AA30" s="3"/>
    </row>
    <row r="31">
      <c r="A31" s="1">
        <f t="shared" si="1"/>
        <v>11</v>
      </c>
      <c r="B31" s="2" t="s">
        <v>11</v>
      </c>
      <c r="C31" s="3"/>
      <c r="D31" s="3"/>
      <c r="E31" s="3"/>
      <c r="F31" s="3"/>
      <c r="G31" s="3"/>
      <c r="H31" s="3"/>
      <c r="I31" s="3"/>
      <c r="J31" s="3"/>
      <c r="K31" s="3"/>
      <c r="L31" s="3"/>
      <c r="M31" s="3"/>
      <c r="N31" s="3"/>
      <c r="O31" s="3"/>
      <c r="P31" s="3"/>
      <c r="Q31" s="3"/>
      <c r="R31" s="3"/>
      <c r="S31" s="3"/>
      <c r="T31" s="3"/>
      <c r="U31" s="3"/>
      <c r="V31" s="3"/>
      <c r="W31" s="3"/>
      <c r="X31" s="3"/>
      <c r="Y31" s="3"/>
      <c r="Z31" s="3"/>
      <c r="AA31" s="3"/>
    </row>
    <row r="32">
      <c r="A32" s="1" t="str">
        <f t="shared" si="1"/>
        <v/>
      </c>
      <c r="B32" s="2" t="s">
        <v>1</v>
      </c>
      <c r="C32" s="3"/>
      <c r="D32" s="3"/>
      <c r="E32" s="3"/>
      <c r="F32" s="3"/>
      <c r="G32" s="3"/>
      <c r="H32" s="3"/>
      <c r="I32" s="3"/>
      <c r="J32" s="3"/>
      <c r="K32" s="3"/>
      <c r="L32" s="3"/>
      <c r="M32" s="3"/>
      <c r="N32" s="3"/>
      <c r="O32" s="3"/>
      <c r="P32" s="3"/>
      <c r="Q32" s="3"/>
      <c r="R32" s="3"/>
      <c r="S32" s="3"/>
      <c r="T32" s="3"/>
      <c r="U32" s="3"/>
      <c r="V32" s="3"/>
      <c r="W32" s="3"/>
      <c r="X32" s="3"/>
      <c r="Y32" s="3"/>
      <c r="Z32" s="3"/>
      <c r="AA32" s="3"/>
    </row>
    <row r="33">
      <c r="A33" s="1" t="str">
        <f t="shared" si="1"/>
        <v/>
      </c>
      <c r="B33" s="3"/>
      <c r="C33" s="3"/>
      <c r="D33" s="3"/>
      <c r="E33" s="3"/>
      <c r="F33" s="3"/>
      <c r="G33" s="3"/>
      <c r="H33" s="3"/>
      <c r="I33" s="3"/>
      <c r="J33" s="3"/>
      <c r="K33" s="3"/>
      <c r="L33" s="3"/>
      <c r="M33" s="3"/>
      <c r="N33" s="3"/>
      <c r="O33" s="3"/>
      <c r="P33" s="3"/>
      <c r="Q33" s="3"/>
      <c r="R33" s="3"/>
      <c r="S33" s="3"/>
      <c r="T33" s="3"/>
      <c r="U33" s="3"/>
      <c r="V33" s="3"/>
      <c r="W33" s="3"/>
      <c r="X33" s="3"/>
      <c r="Y33" s="3"/>
      <c r="Z33" s="3"/>
      <c r="AA33" s="3"/>
    </row>
    <row r="34">
      <c r="A34" s="1">
        <f t="shared" si="1"/>
        <v>12</v>
      </c>
      <c r="B34" s="2" t="s">
        <v>12</v>
      </c>
      <c r="C34" s="3"/>
      <c r="D34" s="3"/>
      <c r="E34" s="3"/>
      <c r="F34" s="3"/>
      <c r="G34" s="3"/>
      <c r="H34" s="3"/>
      <c r="I34" s="3"/>
      <c r="J34" s="3"/>
      <c r="K34" s="3"/>
      <c r="L34" s="3"/>
      <c r="M34" s="3"/>
      <c r="N34" s="3"/>
      <c r="O34" s="3"/>
      <c r="P34" s="3"/>
      <c r="Q34" s="3"/>
      <c r="R34" s="3"/>
      <c r="S34" s="3"/>
      <c r="T34" s="3"/>
      <c r="U34" s="3"/>
      <c r="V34" s="3"/>
      <c r="W34" s="3"/>
      <c r="X34" s="3"/>
      <c r="Y34" s="3"/>
      <c r="Z34" s="3"/>
      <c r="AA34" s="3"/>
    </row>
    <row r="35">
      <c r="A35" s="1" t="str">
        <f t="shared" si="1"/>
        <v/>
      </c>
      <c r="B35" s="2" t="s">
        <v>1</v>
      </c>
      <c r="C35" s="3"/>
      <c r="D35" s="3"/>
      <c r="E35" s="3"/>
      <c r="F35" s="3"/>
      <c r="G35" s="3"/>
      <c r="H35" s="3"/>
      <c r="I35" s="3"/>
      <c r="J35" s="3"/>
      <c r="K35" s="3"/>
      <c r="L35" s="3"/>
      <c r="M35" s="3"/>
      <c r="N35" s="3"/>
      <c r="O35" s="3"/>
      <c r="P35" s="3"/>
      <c r="Q35" s="3"/>
      <c r="R35" s="3"/>
      <c r="S35" s="3"/>
      <c r="T35" s="3"/>
      <c r="U35" s="3"/>
      <c r="V35" s="3"/>
      <c r="W35" s="3"/>
      <c r="X35" s="3"/>
      <c r="Y35" s="3"/>
      <c r="Z35" s="3"/>
      <c r="AA35" s="3"/>
    </row>
    <row r="36">
      <c r="A36" s="1" t="str">
        <f t="shared" si="1"/>
        <v/>
      </c>
      <c r="B36" s="3"/>
      <c r="C36" s="3"/>
      <c r="D36" s="3"/>
      <c r="E36" s="3"/>
      <c r="F36" s="3"/>
      <c r="G36" s="3"/>
      <c r="H36" s="3"/>
      <c r="I36" s="3"/>
      <c r="J36" s="3"/>
      <c r="K36" s="3"/>
      <c r="L36" s="3"/>
      <c r="M36" s="3"/>
      <c r="N36" s="3"/>
      <c r="O36" s="3"/>
      <c r="P36" s="3"/>
      <c r="Q36" s="3"/>
      <c r="R36" s="3"/>
      <c r="S36" s="3"/>
      <c r="T36" s="3"/>
      <c r="U36" s="3"/>
      <c r="V36" s="3"/>
      <c r="W36" s="3"/>
      <c r="X36" s="3"/>
      <c r="Y36" s="3"/>
      <c r="Z36" s="3"/>
      <c r="AA36" s="3"/>
    </row>
    <row r="37">
      <c r="A37" s="1">
        <f t="shared" si="1"/>
        <v>13</v>
      </c>
      <c r="B37" s="2" t="s">
        <v>13</v>
      </c>
      <c r="C37" s="3"/>
      <c r="D37" s="3"/>
      <c r="E37" s="3"/>
      <c r="F37" s="3"/>
      <c r="G37" s="3"/>
      <c r="H37" s="3"/>
      <c r="I37" s="3"/>
      <c r="J37" s="3"/>
      <c r="K37" s="3"/>
      <c r="L37" s="3"/>
      <c r="M37" s="3"/>
      <c r="N37" s="3"/>
      <c r="O37" s="3"/>
      <c r="P37" s="3"/>
      <c r="Q37" s="3"/>
      <c r="R37" s="3"/>
      <c r="S37" s="3"/>
      <c r="T37" s="3"/>
      <c r="U37" s="3"/>
      <c r="V37" s="3"/>
      <c r="W37" s="3"/>
      <c r="X37" s="3"/>
      <c r="Y37" s="3"/>
      <c r="Z37" s="3"/>
      <c r="AA37" s="3"/>
    </row>
    <row r="38">
      <c r="A38" s="1" t="str">
        <f t="shared" si="1"/>
        <v/>
      </c>
      <c r="B38" s="2" t="s">
        <v>1</v>
      </c>
      <c r="C38" s="3"/>
      <c r="D38" s="3"/>
      <c r="E38" s="3"/>
      <c r="F38" s="3"/>
      <c r="G38" s="3"/>
      <c r="H38" s="3"/>
      <c r="I38" s="3"/>
      <c r="J38" s="3"/>
      <c r="K38" s="3"/>
      <c r="L38" s="3"/>
      <c r="M38" s="3"/>
      <c r="N38" s="3"/>
      <c r="O38" s="3"/>
      <c r="P38" s="3"/>
      <c r="Q38" s="3"/>
      <c r="R38" s="3"/>
      <c r="S38" s="3"/>
      <c r="T38" s="3"/>
      <c r="U38" s="3"/>
      <c r="V38" s="3"/>
      <c r="W38" s="3"/>
      <c r="X38" s="3"/>
      <c r="Y38" s="3"/>
      <c r="Z38" s="3"/>
      <c r="AA38" s="3"/>
    </row>
    <row r="39">
      <c r="A39" s="1" t="str">
        <f t="shared" si="1"/>
        <v/>
      </c>
      <c r="B39" s="3"/>
      <c r="C39" s="3"/>
      <c r="D39" s="3"/>
      <c r="E39" s="3"/>
      <c r="F39" s="3"/>
      <c r="G39" s="3"/>
      <c r="H39" s="3"/>
      <c r="I39" s="3"/>
      <c r="J39" s="3"/>
      <c r="K39" s="3"/>
      <c r="L39" s="3"/>
      <c r="M39" s="3"/>
      <c r="N39" s="3"/>
      <c r="O39" s="3"/>
      <c r="P39" s="3"/>
      <c r="Q39" s="3"/>
      <c r="R39" s="3"/>
      <c r="S39" s="3"/>
      <c r="T39" s="3"/>
      <c r="U39" s="3"/>
      <c r="V39" s="3"/>
      <c r="W39" s="3"/>
      <c r="X39" s="3"/>
      <c r="Y39" s="3"/>
      <c r="Z39" s="3"/>
      <c r="AA39" s="3"/>
    </row>
    <row r="40">
      <c r="A40" s="1">
        <f t="shared" si="1"/>
        <v>14</v>
      </c>
      <c r="B40" s="2" t="s">
        <v>14</v>
      </c>
      <c r="C40" s="3"/>
      <c r="D40" s="3"/>
      <c r="E40" s="3"/>
      <c r="F40" s="3"/>
      <c r="G40" s="3"/>
      <c r="H40" s="3"/>
      <c r="I40" s="3"/>
      <c r="J40" s="3"/>
      <c r="K40" s="3"/>
      <c r="L40" s="3"/>
      <c r="M40" s="3"/>
      <c r="N40" s="3"/>
      <c r="O40" s="3"/>
      <c r="P40" s="3"/>
      <c r="Q40" s="3"/>
      <c r="R40" s="3"/>
      <c r="S40" s="3"/>
      <c r="T40" s="3"/>
      <c r="U40" s="3"/>
      <c r="V40" s="3"/>
      <c r="W40" s="3"/>
      <c r="X40" s="3"/>
      <c r="Y40" s="3"/>
      <c r="Z40" s="3"/>
      <c r="AA40" s="3"/>
    </row>
    <row r="41">
      <c r="A41" s="1" t="str">
        <f t="shared" si="1"/>
        <v/>
      </c>
      <c r="B41" s="2" t="s">
        <v>1</v>
      </c>
      <c r="C41" s="3"/>
      <c r="D41" s="3"/>
      <c r="E41" s="3"/>
      <c r="F41" s="3"/>
      <c r="G41" s="3"/>
      <c r="H41" s="3"/>
      <c r="I41" s="3"/>
      <c r="J41" s="3"/>
      <c r="K41" s="3"/>
      <c r="L41" s="3"/>
      <c r="M41" s="3"/>
      <c r="N41" s="3"/>
      <c r="O41" s="3"/>
      <c r="P41" s="3"/>
      <c r="Q41" s="3"/>
      <c r="R41" s="3"/>
      <c r="S41" s="3"/>
      <c r="T41" s="3"/>
      <c r="U41" s="3"/>
      <c r="V41" s="3"/>
      <c r="W41" s="3"/>
      <c r="X41" s="3"/>
      <c r="Y41" s="3"/>
      <c r="Z41" s="3"/>
      <c r="AA41" s="3"/>
    </row>
    <row r="42">
      <c r="A42" s="1" t="str">
        <f t="shared" si="1"/>
        <v/>
      </c>
      <c r="B42" s="3"/>
      <c r="C42" s="3"/>
      <c r="D42" s="3"/>
      <c r="E42" s="3"/>
      <c r="F42" s="3"/>
      <c r="G42" s="3"/>
      <c r="H42" s="3"/>
      <c r="I42" s="3"/>
      <c r="J42" s="3"/>
      <c r="K42" s="3"/>
      <c r="L42" s="3"/>
      <c r="M42" s="3"/>
      <c r="N42" s="3"/>
      <c r="O42" s="3"/>
      <c r="P42" s="3"/>
      <c r="Q42" s="3"/>
      <c r="R42" s="3"/>
      <c r="S42" s="3"/>
      <c r="T42" s="3"/>
      <c r="U42" s="3"/>
      <c r="V42" s="3"/>
      <c r="W42" s="3"/>
      <c r="X42" s="3"/>
      <c r="Y42" s="3"/>
      <c r="Z42" s="3"/>
      <c r="AA42" s="3"/>
    </row>
    <row r="43">
      <c r="A43" s="1">
        <f t="shared" si="1"/>
        <v>15</v>
      </c>
      <c r="B43" s="2" t="s">
        <v>15</v>
      </c>
      <c r="C43" s="3"/>
      <c r="D43" s="3"/>
      <c r="E43" s="3"/>
      <c r="F43" s="3"/>
      <c r="G43" s="3"/>
      <c r="H43" s="3"/>
      <c r="I43" s="3"/>
      <c r="J43" s="3"/>
      <c r="K43" s="3"/>
      <c r="L43" s="3"/>
      <c r="M43" s="3"/>
      <c r="N43" s="3"/>
      <c r="O43" s="3"/>
      <c r="P43" s="3"/>
      <c r="Q43" s="3"/>
      <c r="R43" s="3"/>
      <c r="S43" s="3"/>
      <c r="T43" s="3"/>
      <c r="U43" s="3"/>
      <c r="V43" s="3"/>
      <c r="W43" s="3"/>
      <c r="X43" s="3"/>
      <c r="Y43" s="3"/>
      <c r="Z43" s="3"/>
      <c r="AA43" s="3"/>
    </row>
    <row r="44">
      <c r="A44" s="1" t="str">
        <f t="shared" si="1"/>
        <v/>
      </c>
      <c r="B44" s="2" t="s">
        <v>1</v>
      </c>
      <c r="C44" s="3"/>
      <c r="D44" s="3"/>
      <c r="E44" s="3"/>
      <c r="F44" s="3"/>
      <c r="G44" s="3"/>
      <c r="H44" s="3"/>
      <c r="I44" s="3"/>
      <c r="J44" s="3"/>
      <c r="K44" s="3"/>
      <c r="L44" s="3"/>
      <c r="M44" s="3"/>
      <c r="N44" s="3"/>
      <c r="O44" s="3"/>
      <c r="P44" s="3"/>
      <c r="Q44" s="3"/>
      <c r="R44" s="3"/>
      <c r="S44" s="3"/>
      <c r="T44" s="3"/>
      <c r="U44" s="3"/>
      <c r="V44" s="3"/>
      <c r="W44" s="3"/>
      <c r="X44" s="3"/>
      <c r="Y44" s="3"/>
      <c r="Z44" s="3"/>
      <c r="AA44" s="3"/>
    </row>
    <row r="45">
      <c r="A45" s="1" t="str">
        <f t="shared" si="1"/>
        <v/>
      </c>
      <c r="B45" s="3"/>
      <c r="C45" s="3"/>
      <c r="D45" s="3"/>
      <c r="E45" s="3"/>
      <c r="F45" s="3"/>
      <c r="G45" s="3"/>
      <c r="H45" s="3"/>
      <c r="I45" s="3"/>
      <c r="J45" s="3"/>
      <c r="K45" s="3"/>
      <c r="L45" s="3"/>
      <c r="M45" s="3"/>
      <c r="N45" s="3"/>
      <c r="O45" s="3"/>
      <c r="P45" s="3"/>
      <c r="Q45" s="3"/>
      <c r="R45" s="3"/>
      <c r="S45" s="3"/>
      <c r="T45" s="3"/>
      <c r="U45" s="3"/>
      <c r="V45" s="3"/>
      <c r="W45" s="3"/>
      <c r="X45" s="3"/>
      <c r="Y45" s="3"/>
      <c r="Z45" s="3"/>
      <c r="AA45" s="3"/>
    </row>
    <row r="46">
      <c r="A46" s="1">
        <f t="shared" si="1"/>
        <v>16</v>
      </c>
      <c r="B46" s="2" t="s">
        <v>16</v>
      </c>
      <c r="C46" s="3"/>
      <c r="D46" s="3"/>
      <c r="E46" s="3"/>
      <c r="F46" s="3"/>
      <c r="G46" s="3"/>
      <c r="H46" s="3"/>
      <c r="I46" s="3"/>
      <c r="J46" s="3"/>
      <c r="K46" s="3"/>
      <c r="L46" s="3"/>
      <c r="M46" s="3"/>
      <c r="N46" s="3"/>
      <c r="O46" s="3"/>
      <c r="P46" s="3"/>
      <c r="Q46" s="3"/>
      <c r="R46" s="3"/>
      <c r="S46" s="3"/>
      <c r="T46" s="3"/>
      <c r="U46" s="3"/>
      <c r="V46" s="3"/>
      <c r="W46" s="3"/>
      <c r="X46" s="3"/>
      <c r="Y46" s="3"/>
      <c r="Z46" s="3"/>
      <c r="AA46" s="3"/>
    </row>
    <row r="47">
      <c r="A47" s="1" t="str">
        <f t="shared" si="1"/>
        <v/>
      </c>
      <c r="B47" s="2" t="s">
        <v>1</v>
      </c>
      <c r="C47" s="3"/>
      <c r="D47" s="3"/>
      <c r="E47" s="3"/>
      <c r="F47" s="3"/>
      <c r="G47" s="3"/>
      <c r="H47" s="3"/>
      <c r="I47" s="3"/>
      <c r="J47" s="3"/>
      <c r="K47" s="3"/>
      <c r="L47" s="3"/>
      <c r="M47" s="3"/>
      <c r="N47" s="3"/>
      <c r="O47" s="3"/>
      <c r="P47" s="3"/>
      <c r="Q47" s="3"/>
      <c r="R47" s="3"/>
      <c r="S47" s="3"/>
      <c r="T47" s="3"/>
      <c r="U47" s="3"/>
      <c r="V47" s="3"/>
      <c r="W47" s="3"/>
      <c r="X47" s="3"/>
      <c r="Y47" s="3"/>
      <c r="Z47" s="3"/>
      <c r="AA47" s="3"/>
    </row>
    <row r="48">
      <c r="A48" s="1" t="str">
        <f t="shared" si="1"/>
        <v/>
      </c>
      <c r="B48" s="3"/>
      <c r="C48" s="3"/>
      <c r="D48" s="3"/>
      <c r="E48" s="3"/>
      <c r="F48" s="3"/>
      <c r="G48" s="3"/>
      <c r="H48" s="3"/>
      <c r="I48" s="3"/>
      <c r="J48" s="3"/>
      <c r="K48" s="3"/>
      <c r="L48" s="3"/>
      <c r="M48" s="3"/>
      <c r="N48" s="3"/>
      <c r="O48" s="3"/>
      <c r="P48" s="3"/>
      <c r="Q48" s="3"/>
      <c r="R48" s="3"/>
      <c r="S48" s="3"/>
      <c r="T48" s="3"/>
      <c r="U48" s="3"/>
      <c r="V48" s="3"/>
      <c r="W48" s="3"/>
      <c r="X48" s="3"/>
      <c r="Y48" s="3"/>
      <c r="Z48" s="3"/>
      <c r="AA48" s="3"/>
    </row>
    <row r="49">
      <c r="A49" s="1">
        <f t="shared" si="1"/>
        <v>17</v>
      </c>
      <c r="B49" s="2" t="s">
        <v>17</v>
      </c>
      <c r="C49" s="3"/>
      <c r="D49" s="3"/>
      <c r="E49" s="3"/>
      <c r="F49" s="3"/>
      <c r="G49" s="3"/>
      <c r="H49" s="3"/>
      <c r="I49" s="3"/>
      <c r="J49" s="3"/>
      <c r="K49" s="3"/>
      <c r="L49" s="3"/>
      <c r="M49" s="3"/>
      <c r="N49" s="3"/>
      <c r="O49" s="3"/>
      <c r="P49" s="3"/>
      <c r="Q49" s="3"/>
      <c r="R49" s="3"/>
      <c r="S49" s="3"/>
      <c r="T49" s="3"/>
      <c r="U49" s="3"/>
      <c r="V49" s="3"/>
      <c r="W49" s="3"/>
      <c r="X49" s="3"/>
      <c r="Y49" s="3"/>
      <c r="Z49" s="3"/>
      <c r="AA49" s="3"/>
    </row>
    <row r="50">
      <c r="A50" s="1" t="str">
        <f t="shared" si="1"/>
        <v/>
      </c>
      <c r="B50" s="2" t="s">
        <v>1</v>
      </c>
      <c r="C50" s="3"/>
      <c r="D50" s="3"/>
      <c r="E50" s="3"/>
      <c r="F50" s="3"/>
      <c r="G50" s="3"/>
      <c r="H50" s="3"/>
      <c r="I50" s="3"/>
      <c r="J50" s="3"/>
      <c r="K50" s="3"/>
      <c r="L50" s="3"/>
      <c r="M50" s="3"/>
      <c r="N50" s="3"/>
      <c r="O50" s="3"/>
      <c r="P50" s="3"/>
      <c r="Q50" s="3"/>
      <c r="R50" s="3"/>
      <c r="S50" s="3"/>
      <c r="T50" s="3"/>
      <c r="U50" s="3"/>
      <c r="V50" s="3"/>
      <c r="W50" s="3"/>
      <c r="X50" s="3"/>
      <c r="Y50" s="3"/>
      <c r="Z50" s="3"/>
      <c r="AA50" s="3"/>
    </row>
    <row r="51">
      <c r="A51" s="1" t="str">
        <f t="shared" si="1"/>
        <v/>
      </c>
      <c r="B51" s="3"/>
      <c r="C51" s="3"/>
      <c r="D51" s="3"/>
      <c r="E51" s="3"/>
      <c r="F51" s="3"/>
      <c r="G51" s="3"/>
      <c r="H51" s="3"/>
      <c r="I51" s="3"/>
      <c r="J51" s="3"/>
      <c r="K51" s="3"/>
      <c r="L51" s="3"/>
      <c r="M51" s="3"/>
      <c r="N51" s="3"/>
      <c r="O51" s="3"/>
      <c r="P51" s="3"/>
      <c r="Q51" s="3"/>
      <c r="R51" s="3"/>
      <c r="S51" s="3"/>
      <c r="T51" s="3"/>
      <c r="U51" s="3"/>
      <c r="V51" s="3"/>
      <c r="W51" s="3"/>
      <c r="X51" s="3"/>
      <c r="Y51" s="3"/>
      <c r="Z51" s="3"/>
      <c r="AA51" s="3"/>
    </row>
    <row r="52">
      <c r="A52" s="1">
        <f t="shared" si="1"/>
        <v>18</v>
      </c>
      <c r="B52" s="2" t="s">
        <v>18</v>
      </c>
      <c r="C52" s="3"/>
      <c r="D52" s="3"/>
      <c r="E52" s="3"/>
      <c r="F52" s="3"/>
      <c r="G52" s="3"/>
      <c r="H52" s="3"/>
      <c r="I52" s="3"/>
      <c r="J52" s="3"/>
      <c r="K52" s="3"/>
      <c r="L52" s="3"/>
      <c r="M52" s="3"/>
      <c r="N52" s="3"/>
      <c r="O52" s="3"/>
      <c r="P52" s="3"/>
      <c r="Q52" s="3"/>
      <c r="R52" s="3"/>
      <c r="S52" s="3"/>
      <c r="T52" s="3"/>
      <c r="U52" s="3"/>
      <c r="V52" s="3"/>
      <c r="W52" s="3"/>
      <c r="X52" s="3"/>
      <c r="Y52" s="3"/>
      <c r="Z52" s="3"/>
      <c r="AA52" s="3"/>
    </row>
    <row r="53">
      <c r="A53" s="1" t="str">
        <f t="shared" si="1"/>
        <v/>
      </c>
      <c r="B53" s="2" t="s">
        <v>1</v>
      </c>
      <c r="C53" s="3"/>
      <c r="D53" s="3"/>
      <c r="E53" s="3"/>
      <c r="F53" s="3"/>
      <c r="G53" s="3"/>
      <c r="H53" s="3"/>
      <c r="I53" s="3"/>
      <c r="J53" s="3"/>
      <c r="K53" s="3"/>
      <c r="L53" s="3"/>
      <c r="M53" s="3"/>
      <c r="N53" s="3"/>
      <c r="O53" s="3"/>
      <c r="P53" s="3"/>
      <c r="Q53" s="3"/>
      <c r="R53" s="3"/>
      <c r="S53" s="3"/>
      <c r="T53" s="3"/>
      <c r="U53" s="3"/>
      <c r="V53" s="3"/>
      <c r="W53" s="3"/>
      <c r="X53" s="3"/>
      <c r="Y53" s="3"/>
      <c r="Z53" s="3"/>
      <c r="AA53" s="3"/>
    </row>
    <row r="54">
      <c r="A54" s="1" t="str">
        <f t="shared" si="1"/>
        <v/>
      </c>
      <c r="B54" s="3"/>
      <c r="C54" s="3"/>
      <c r="D54" s="3"/>
      <c r="E54" s="3"/>
      <c r="F54" s="3"/>
      <c r="G54" s="3"/>
      <c r="H54" s="3"/>
      <c r="I54" s="3"/>
      <c r="J54" s="3"/>
      <c r="K54" s="3"/>
      <c r="L54" s="3"/>
      <c r="M54" s="3"/>
      <c r="N54" s="3"/>
      <c r="O54" s="3"/>
      <c r="P54" s="3"/>
      <c r="Q54" s="3"/>
      <c r="R54" s="3"/>
      <c r="S54" s="3"/>
      <c r="T54" s="3"/>
      <c r="U54" s="3"/>
      <c r="V54" s="3"/>
      <c r="W54" s="3"/>
      <c r="X54" s="3"/>
      <c r="Y54" s="3"/>
      <c r="Z54" s="3"/>
      <c r="AA54" s="3"/>
    </row>
    <row r="55">
      <c r="A55" s="1">
        <f t="shared" si="1"/>
        <v>19</v>
      </c>
      <c r="B55" s="2" t="s">
        <v>19</v>
      </c>
      <c r="C55" s="3"/>
      <c r="D55" s="3"/>
      <c r="E55" s="3"/>
      <c r="F55" s="3"/>
      <c r="G55" s="3"/>
      <c r="H55" s="3"/>
      <c r="I55" s="3"/>
      <c r="J55" s="3"/>
      <c r="K55" s="3"/>
      <c r="L55" s="3"/>
      <c r="M55" s="3"/>
      <c r="N55" s="3"/>
      <c r="O55" s="3"/>
      <c r="P55" s="3"/>
      <c r="Q55" s="3"/>
      <c r="R55" s="3"/>
      <c r="S55" s="3"/>
      <c r="T55" s="3"/>
      <c r="U55" s="3"/>
      <c r="V55" s="3"/>
      <c r="W55" s="3"/>
      <c r="X55" s="3"/>
      <c r="Y55" s="3"/>
      <c r="Z55" s="3"/>
      <c r="AA55" s="3"/>
    </row>
    <row r="56">
      <c r="A56" s="1" t="str">
        <f t="shared" si="1"/>
        <v/>
      </c>
      <c r="B56" s="2" t="s">
        <v>1</v>
      </c>
      <c r="C56" s="3"/>
      <c r="D56" s="3"/>
      <c r="E56" s="3"/>
      <c r="F56" s="3"/>
      <c r="G56" s="3"/>
      <c r="H56" s="3"/>
      <c r="I56" s="3"/>
      <c r="J56" s="3"/>
      <c r="K56" s="3"/>
      <c r="L56" s="3"/>
      <c r="M56" s="3"/>
      <c r="N56" s="3"/>
      <c r="O56" s="3"/>
      <c r="P56" s="3"/>
      <c r="Q56" s="3"/>
      <c r="R56" s="3"/>
      <c r="S56" s="3"/>
      <c r="T56" s="3"/>
      <c r="U56" s="3"/>
      <c r="V56" s="3"/>
      <c r="W56" s="3"/>
      <c r="X56" s="3"/>
      <c r="Y56" s="3"/>
      <c r="Z56" s="3"/>
      <c r="AA56" s="3"/>
    </row>
    <row r="57">
      <c r="A57" s="1" t="str">
        <f t="shared" si="1"/>
        <v/>
      </c>
      <c r="B57" s="3"/>
      <c r="C57" s="3"/>
      <c r="D57" s="3"/>
      <c r="E57" s="3"/>
      <c r="F57" s="3"/>
      <c r="G57" s="3"/>
      <c r="H57" s="3"/>
      <c r="I57" s="3"/>
      <c r="J57" s="3"/>
      <c r="K57" s="3"/>
      <c r="L57" s="3"/>
      <c r="M57" s="3"/>
      <c r="N57" s="3"/>
      <c r="O57" s="3"/>
      <c r="P57" s="3"/>
      <c r="Q57" s="3"/>
      <c r="R57" s="3"/>
      <c r="S57" s="3"/>
      <c r="T57" s="3"/>
      <c r="U57" s="3"/>
      <c r="V57" s="3"/>
      <c r="W57" s="3"/>
      <c r="X57" s="3"/>
      <c r="Y57" s="3"/>
      <c r="Z57" s="3"/>
      <c r="AA57" s="3"/>
    </row>
    <row r="58">
      <c r="A58" s="1">
        <f t="shared" si="1"/>
        <v>20</v>
      </c>
      <c r="B58" s="2" t="s">
        <v>20</v>
      </c>
      <c r="C58" s="3"/>
      <c r="D58" s="3"/>
      <c r="E58" s="3"/>
      <c r="F58" s="3"/>
      <c r="G58" s="3"/>
      <c r="H58" s="3"/>
      <c r="I58" s="3"/>
      <c r="J58" s="3"/>
      <c r="K58" s="3"/>
      <c r="L58" s="3"/>
      <c r="M58" s="3"/>
      <c r="N58" s="3"/>
      <c r="O58" s="3"/>
      <c r="P58" s="3"/>
      <c r="Q58" s="3"/>
      <c r="R58" s="3"/>
      <c r="S58" s="3"/>
      <c r="T58" s="3"/>
      <c r="U58" s="3"/>
      <c r="V58" s="3"/>
      <c r="W58" s="3"/>
      <c r="X58" s="3"/>
      <c r="Y58" s="3"/>
      <c r="Z58" s="3"/>
      <c r="AA58" s="3"/>
    </row>
    <row r="59">
      <c r="A59" s="1" t="str">
        <f t="shared" si="1"/>
        <v/>
      </c>
      <c r="B59" s="2" t="s">
        <v>1</v>
      </c>
      <c r="C59" s="3"/>
      <c r="D59" s="3"/>
      <c r="E59" s="3"/>
      <c r="F59" s="3"/>
      <c r="G59" s="3"/>
      <c r="H59" s="3"/>
      <c r="I59" s="3"/>
      <c r="J59" s="3"/>
      <c r="K59" s="3"/>
      <c r="L59" s="3"/>
      <c r="M59" s="3"/>
      <c r="N59" s="3"/>
      <c r="O59" s="3"/>
      <c r="P59" s="3"/>
      <c r="Q59" s="3"/>
      <c r="R59" s="3"/>
      <c r="S59" s="3"/>
      <c r="T59" s="3"/>
      <c r="U59" s="3"/>
      <c r="V59" s="3"/>
      <c r="W59" s="3"/>
      <c r="X59" s="3"/>
      <c r="Y59" s="3"/>
      <c r="Z59" s="3"/>
      <c r="AA59" s="3"/>
    </row>
    <row r="60">
      <c r="A60" s="1" t="str">
        <f t="shared" si="1"/>
        <v/>
      </c>
      <c r="B60" s="3"/>
      <c r="C60" s="3"/>
      <c r="D60" s="3"/>
      <c r="E60" s="3"/>
      <c r="F60" s="3"/>
      <c r="G60" s="3"/>
      <c r="H60" s="3"/>
      <c r="I60" s="3"/>
      <c r="J60" s="3"/>
      <c r="K60" s="3"/>
      <c r="L60" s="3"/>
      <c r="M60" s="3"/>
      <c r="N60" s="3"/>
      <c r="O60" s="3"/>
      <c r="P60" s="3"/>
      <c r="Q60" s="3"/>
      <c r="R60" s="3"/>
      <c r="S60" s="3"/>
      <c r="T60" s="3"/>
      <c r="U60" s="3"/>
      <c r="V60" s="3"/>
      <c r="W60" s="3"/>
      <c r="X60" s="3"/>
      <c r="Y60" s="3"/>
      <c r="Z60" s="3"/>
      <c r="AA60" s="3"/>
    </row>
    <row r="61">
      <c r="A61" s="1">
        <f t="shared" si="1"/>
        <v>21</v>
      </c>
      <c r="B61" s="2" t="s">
        <v>21</v>
      </c>
      <c r="C61" s="3"/>
      <c r="D61" s="3"/>
      <c r="E61" s="3"/>
      <c r="F61" s="3"/>
      <c r="G61" s="3"/>
      <c r="H61" s="3"/>
      <c r="I61" s="3"/>
      <c r="J61" s="3"/>
      <c r="K61" s="3"/>
      <c r="L61" s="3"/>
      <c r="M61" s="3"/>
      <c r="N61" s="3"/>
      <c r="O61" s="3"/>
      <c r="P61" s="3"/>
      <c r="Q61" s="3"/>
      <c r="R61" s="3"/>
      <c r="S61" s="3"/>
      <c r="T61" s="3"/>
      <c r="U61" s="3"/>
      <c r="V61" s="3"/>
      <c r="W61" s="3"/>
      <c r="X61" s="3"/>
      <c r="Y61" s="3"/>
      <c r="Z61" s="3"/>
      <c r="AA61" s="3"/>
    </row>
    <row r="62">
      <c r="A62" s="1" t="str">
        <f t="shared" si="1"/>
        <v/>
      </c>
      <c r="B62" s="2" t="s">
        <v>1</v>
      </c>
      <c r="C62" s="3"/>
      <c r="D62" s="3"/>
      <c r="E62" s="3"/>
      <c r="F62" s="3"/>
      <c r="G62" s="3"/>
      <c r="H62" s="3"/>
      <c r="I62" s="3"/>
      <c r="J62" s="3"/>
      <c r="K62" s="3"/>
      <c r="L62" s="3"/>
      <c r="M62" s="3"/>
      <c r="N62" s="3"/>
      <c r="O62" s="3"/>
      <c r="P62" s="3"/>
      <c r="Q62" s="3"/>
      <c r="R62" s="3"/>
      <c r="S62" s="3"/>
      <c r="T62" s="3"/>
      <c r="U62" s="3"/>
      <c r="V62" s="3"/>
      <c r="W62" s="3"/>
      <c r="X62" s="3"/>
      <c r="Y62" s="3"/>
      <c r="Z62" s="3"/>
      <c r="AA62" s="3"/>
    </row>
    <row r="63">
      <c r="A63" s="1" t="str">
        <f t="shared" si="1"/>
        <v/>
      </c>
      <c r="B63" s="3"/>
      <c r="C63" s="3"/>
      <c r="D63" s="3"/>
      <c r="E63" s="3"/>
      <c r="F63" s="3"/>
      <c r="G63" s="3"/>
      <c r="H63" s="3"/>
      <c r="I63" s="3"/>
      <c r="J63" s="3"/>
      <c r="K63" s="3"/>
      <c r="L63" s="3"/>
      <c r="M63" s="3"/>
      <c r="N63" s="3"/>
      <c r="O63" s="3"/>
      <c r="P63" s="3"/>
      <c r="Q63" s="3"/>
      <c r="R63" s="3"/>
      <c r="S63" s="3"/>
      <c r="T63" s="3"/>
      <c r="U63" s="3"/>
      <c r="V63" s="3"/>
      <c r="W63" s="3"/>
      <c r="X63" s="3"/>
      <c r="Y63" s="3"/>
      <c r="Z63" s="3"/>
      <c r="AA63" s="3"/>
    </row>
    <row r="64">
      <c r="A64" s="1">
        <f t="shared" si="1"/>
        <v>22</v>
      </c>
      <c r="B64" s="2" t="s">
        <v>22</v>
      </c>
      <c r="C64" s="3"/>
      <c r="D64" s="3"/>
      <c r="E64" s="3"/>
      <c r="F64" s="3"/>
      <c r="G64" s="3"/>
      <c r="H64" s="3"/>
      <c r="I64" s="3"/>
      <c r="J64" s="3"/>
      <c r="K64" s="3"/>
      <c r="L64" s="3"/>
      <c r="M64" s="3"/>
      <c r="N64" s="3"/>
      <c r="O64" s="3"/>
      <c r="P64" s="3"/>
      <c r="Q64" s="3"/>
      <c r="R64" s="3"/>
      <c r="S64" s="3"/>
      <c r="T64" s="3"/>
      <c r="U64" s="3"/>
      <c r="V64" s="3"/>
      <c r="W64" s="3"/>
      <c r="X64" s="3"/>
      <c r="Y64" s="3"/>
      <c r="Z64" s="3"/>
      <c r="AA64" s="3"/>
    </row>
    <row r="65">
      <c r="A65" s="1" t="str">
        <f t="shared" si="1"/>
        <v/>
      </c>
      <c r="B65" s="2" t="s">
        <v>1</v>
      </c>
      <c r="C65" s="3"/>
      <c r="D65" s="3"/>
      <c r="E65" s="3"/>
      <c r="F65" s="3"/>
      <c r="G65" s="3"/>
      <c r="H65" s="3"/>
      <c r="I65" s="3"/>
      <c r="J65" s="3"/>
      <c r="K65" s="3"/>
      <c r="L65" s="3"/>
      <c r="M65" s="3"/>
      <c r="N65" s="3"/>
      <c r="O65" s="3"/>
      <c r="P65" s="3"/>
      <c r="Q65" s="3"/>
      <c r="R65" s="3"/>
      <c r="S65" s="3"/>
      <c r="T65" s="3"/>
      <c r="U65" s="3"/>
      <c r="V65" s="3"/>
      <c r="W65" s="3"/>
      <c r="X65" s="3"/>
      <c r="Y65" s="3"/>
      <c r="Z65" s="3"/>
      <c r="AA65" s="3"/>
    </row>
    <row r="66">
      <c r="A66" s="1" t="str">
        <f t="shared" si="1"/>
        <v/>
      </c>
      <c r="B66" s="3"/>
      <c r="C66" s="3"/>
      <c r="D66" s="3"/>
      <c r="E66" s="3"/>
      <c r="F66" s="3"/>
      <c r="G66" s="3"/>
      <c r="H66" s="3"/>
      <c r="I66" s="3"/>
      <c r="J66" s="3"/>
      <c r="K66" s="3"/>
      <c r="L66" s="3"/>
      <c r="M66" s="3"/>
      <c r="N66" s="3"/>
      <c r="O66" s="3"/>
      <c r="P66" s="3"/>
      <c r="Q66" s="3"/>
      <c r="R66" s="3"/>
      <c r="S66" s="3"/>
      <c r="T66" s="3"/>
      <c r="U66" s="3"/>
      <c r="V66" s="3"/>
      <c r="W66" s="3"/>
      <c r="X66" s="3"/>
      <c r="Y66" s="3"/>
      <c r="Z66" s="3"/>
      <c r="AA66" s="3"/>
    </row>
    <row r="67">
      <c r="A67" s="1">
        <f t="shared" si="1"/>
        <v>23</v>
      </c>
      <c r="B67" s="2" t="s">
        <v>23</v>
      </c>
      <c r="C67" s="3"/>
      <c r="D67" s="3"/>
      <c r="E67" s="3"/>
      <c r="F67" s="3"/>
      <c r="G67" s="3"/>
      <c r="H67" s="3"/>
      <c r="I67" s="3"/>
      <c r="J67" s="3"/>
      <c r="K67" s="3"/>
      <c r="L67" s="3"/>
      <c r="M67" s="3"/>
      <c r="N67" s="3"/>
      <c r="O67" s="3"/>
      <c r="P67" s="3"/>
      <c r="Q67" s="3"/>
      <c r="R67" s="3"/>
      <c r="S67" s="3"/>
      <c r="T67" s="3"/>
      <c r="U67" s="3"/>
      <c r="V67" s="3"/>
      <c r="W67" s="3"/>
      <c r="X67" s="3"/>
      <c r="Y67" s="3"/>
      <c r="Z67" s="3"/>
      <c r="AA67" s="3"/>
    </row>
    <row r="68">
      <c r="A68" s="1" t="str">
        <f t="shared" si="1"/>
        <v/>
      </c>
      <c r="B68" s="2" t="s">
        <v>1</v>
      </c>
      <c r="C68" s="3"/>
      <c r="D68" s="3"/>
      <c r="E68" s="3"/>
      <c r="F68" s="3"/>
      <c r="G68" s="3"/>
      <c r="H68" s="3"/>
      <c r="I68" s="3"/>
      <c r="J68" s="3"/>
      <c r="K68" s="3"/>
      <c r="L68" s="3"/>
      <c r="M68" s="3"/>
      <c r="N68" s="3"/>
      <c r="O68" s="3"/>
      <c r="P68" s="3"/>
      <c r="Q68" s="3"/>
      <c r="R68" s="3"/>
      <c r="S68" s="3"/>
      <c r="T68" s="3"/>
      <c r="U68" s="3"/>
      <c r="V68" s="3"/>
      <c r="W68" s="3"/>
      <c r="X68" s="3"/>
      <c r="Y68" s="3"/>
      <c r="Z68" s="3"/>
      <c r="AA68" s="3"/>
    </row>
    <row r="69">
      <c r="A69" s="1" t="str">
        <f t="shared" si="1"/>
        <v/>
      </c>
      <c r="B69" s="3"/>
      <c r="C69" s="3"/>
      <c r="D69" s="3"/>
      <c r="E69" s="3"/>
      <c r="F69" s="3"/>
      <c r="G69" s="3"/>
      <c r="H69" s="3"/>
      <c r="I69" s="3"/>
      <c r="J69" s="3"/>
      <c r="K69" s="3"/>
      <c r="L69" s="3"/>
      <c r="M69" s="3"/>
      <c r="N69" s="3"/>
      <c r="O69" s="3"/>
      <c r="P69" s="3"/>
      <c r="Q69" s="3"/>
      <c r="R69" s="3"/>
      <c r="S69" s="3"/>
      <c r="T69" s="3"/>
      <c r="U69" s="3"/>
      <c r="V69" s="3"/>
      <c r="W69" s="3"/>
      <c r="X69" s="3"/>
      <c r="Y69" s="3"/>
      <c r="Z69" s="3"/>
      <c r="AA69" s="3"/>
    </row>
    <row r="70">
      <c r="A70" s="1">
        <f t="shared" si="1"/>
        <v>24</v>
      </c>
      <c r="B70" s="2" t="s">
        <v>24</v>
      </c>
      <c r="C70" s="3"/>
      <c r="D70" s="3"/>
      <c r="E70" s="3"/>
      <c r="F70" s="3"/>
      <c r="G70" s="3"/>
      <c r="H70" s="3"/>
      <c r="I70" s="3"/>
      <c r="J70" s="3"/>
      <c r="K70" s="3"/>
      <c r="L70" s="3"/>
      <c r="M70" s="3"/>
      <c r="N70" s="3"/>
      <c r="O70" s="3"/>
      <c r="P70" s="3"/>
      <c r="Q70" s="3"/>
      <c r="R70" s="3"/>
      <c r="S70" s="3"/>
      <c r="T70" s="3"/>
      <c r="U70" s="3"/>
      <c r="V70" s="3"/>
      <c r="W70" s="3"/>
      <c r="X70" s="3"/>
      <c r="Y70" s="3"/>
      <c r="Z70" s="3"/>
      <c r="AA70" s="3"/>
    </row>
    <row r="71">
      <c r="A71" s="1" t="str">
        <f t="shared" si="1"/>
        <v/>
      </c>
      <c r="B71" s="2" t="s">
        <v>1</v>
      </c>
      <c r="C71" s="3"/>
      <c r="D71" s="3"/>
      <c r="E71" s="3"/>
      <c r="F71" s="3"/>
      <c r="G71" s="3"/>
      <c r="H71" s="3"/>
      <c r="I71" s="3"/>
      <c r="J71" s="3"/>
      <c r="K71" s="3"/>
      <c r="L71" s="3"/>
      <c r="M71" s="3"/>
      <c r="N71" s="3"/>
      <c r="O71" s="3"/>
      <c r="P71" s="3"/>
      <c r="Q71" s="3"/>
      <c r="R71" s="3"/>
      <c r="S71" s="3"/>
      <c r="T71" s="3"/>
      <c r="U71" s="3"/>
      <c r="V71" s="3"/>
      <c r="W71" s="3"/>
      <c r="X71" s="3"/>
      <c r="Y71" s="3"/>
      <c r="Z71" s="3"/>
      <c r="AA71" s="3"/>
    </row>
    <row r="72">
      <c r="A72" s="1" t="str">
        <f t="shared" si="1"/>
        <v/>
      </c>
      <c r="B72" s="3"/>
      <c r="C72" s="3"/>
      <c r="D72" s="3"/>
      <c r="E72" s="3"/>
      <c r="F72" s="3"/>
      <c r="G72" s="3"/>
      <c r="H72" s="3"/>
      <c r="I72" s="3"/>
      <c r="J72" s="3"/>
      <c r="K72" s="3"/>
      <c r="L72" s="3"/>
      <c r="M72" s="3"/>
      <c r="N72" s="3"/>
      <c r="O72" s="3"/>
      <c r="P72" s="3"/>
      <c r="Q72" s="3"/>
      <c r="R72" s="3"/>
      <c r="S72" s="3"/>
      <c r="T72" s="3"/>
      <c r="U72" s="3"/>
      <c r="V72" s="3"/>
      <c r="W72" s="3"/>
      <c r="X72" s="3"/>
      <c r="Y72" s="3"/>
      <c r="Z72" s="3"/>
      <c r="AA72" s="3"/>
    </row>
    <row r="73">
      <c r="A73" s="1">
        <f t="shared" si="1"/>
        <v>25</v>
      </c>
      <c r="B73" s="2" t="s">
        <v>25</v>
      </c>
      <c r="C73" s="3"/>
      <c r="D73" s="3"/>
      <c r="E73" s="3"/>
      <c r="F73" s="3"/>
      <c r="G73" s="3"/>
      <c r="H73" s="3"/>
      <c r="I73" s="3"/>
      <c r="J73" s="3"/>
      <c r="K73" s="3"/>
      <c r="L73" s="3"/>
      <c r="M73" s="3"/>
      <c r="N73" s="3"/>
      <c r="O73" s="3"/>
      <c r="P73" s="3"/>
      <c r="Q73" s="3"/>
      <c r="R73" s="3"/>
      <c r="S73" s="3"/>
      <c r="T73" s="3"/>
      <c r="U73" s="3"/>
      <c r="V73" s="3"/>
      <c r="W73" s="3"/>
      <c r="X73" s="3"/>
      <c r="Y73" s="3"/>
      <c r="Z73" s="3"/>
      <c r="AA73" s="3"/>
    </row>
    <row r="74">
      <c r="A74" s="1" t="str">
        <f t="shared" si="1"/>
        <v/>
      </c>
      <c r="B74" s="2" t="s">
        <v>1</v>
      </c>
      <c r="C74" s="3"/>
      <c r="D74" s="3"/>
      <c r="E74" s="3"/>
      <c r="F74" s="3"/>
      <c r="G74" s="3"/>
      <c r="H74" s="3"/>
      <c r="I74" s="3"/>
      <c r="J74" s="3"/>
      <c r="K74" s="3"/>
      <c r="L74" s="3"/>
      <c r="M74" s="3"/>
      <c r="N74" s="3"/>
      <c r="O74" s="3"/>
      <c r="P74" s="3"/>
      <c r="Q74" s="3"/>
      <c r="R74" s="3"/>
      <c r="S74" s="3"/>
      <c r="T74" s="3"/>
      <c r="U74" s="3"/>
      <c r="V74" s="3"/>
      <c r="W74" s="3"/>
      <c r="X74" s="3"/>
      <c r="Y74" s="3"/>
      <c r="Z74" s="3"/>
      <c r="AA74" s="3"/>
    </row>
    <row r="75">
      <c r="A75" s="1" t="str">
        <f t="shared" si="1"/>
        <v/>
      </c>
      <c r="B75" s="3"/>
      <c r="C75" s="3"/>
      <c r="D75" s="3"/>
      <c r="E75" s="3"/>
      <c r="F75" s="3"/>
      <c r="G75" s="3"/>
      <c r="H75" s="3"/>
      <c r="I75" s="3"/>
      <c r="J75" s="3"/>
      <c r="K75" s="3"/>
      <c r="L75" s="3"/>
      <c r="M75" s="3"/>
      <c r="N75" s="3"/>
      <c r="O75" s="3"/>
      <c r="P75" s="3"/>
      <c r="Q75" s="3"/>
      <c r="R75" s="3"/>
      <c r="S75" s="3"/>
      <c r="T75" s="3"/>
      <c r="U75" s="3"/>
      <c r="V75" s="3"/>
      <c r="W75" s="3"/>
      <c r="X75" s="3"/>
      <c r="Y75" s="3"/>
      <c r="Z75" s="3"/>
      <c r="AA75" s="3"/>
    </row>
    <row r="76">
      <c r="A76" s="1">
        <f t="shared" si="1"/>
        <v>26</v>
      </c>
      <c r="B76" s="2" t="s">
        <v>26</v>
      </c>
      <c r="C76" s="3"/>
      <c r="D76" s="3"/>
      <c r="E76" s="3"/>
      <c r="F76" s="3"/>
      <c r="G76" s="3"/>
      <c r="H76" s="3"/>
      <c r="I76" s="3"/>
      <c r="J76" s="3"/>
      <c r="K76" s="3"/>
      <c r="L76" s="3"/>
      <c r="M76" s="3"/>
      <c r="N76" s="3"/>
      <c r="O76" s="3"/>
      <c r="P76" s="3"/>
      <c r="Q76" s="3"/>
      <c r="R76" s="3"/>
      <c r="S76" s="3"/>
      <c r="T76" s="3"/>
      <c r="U76" s="3"/>
      <c r="V76" s="3"/>
      <c r="W76" s="3"/>
      <c r="X76" s="3"/>
      <c r="Y76" s="3"/>
      <c r="Z76" s="3"/>
      <c r="AA76" s="3"/>
    </row>
    <row r="77">
      <c r="A77" s="1" t="str">
        <f t="shared" si="1"/>
        <v/>
      </c>
      <c r="B77" s="2" t="s">
        <v>1</v>
      </c>
      <c r="C77" s="3"/>
      <c r="D77" s="3"/>
      <c r="E77" s="3"/>
      <c r="F77" s="3"/>
      <c r="G77" s="3"/>
      <c r="H77" s="3"/>
      <c r="I77" s="3"/>
      <c r="J77" s="3"/>
      <c r="K77" s="3"/>
      <c r="L77" s="3"/>
      <c r="M77" s="3"/>
      <c r="N77" s="3"/>
      <c r="O77" s="3"/>
      <c r="P77" s="3"/>
      <c r="Q77" s="3"/>
      <c r="R77" s="3"/>
      <c r="S77" s="3"/>
      <c r="T77" s="3"/>
      <c r="U77" s="3"/>
      <c r="V77" s="3"/>
      <c r="W77" s="3"/>
      <c r="X77" s="3"/>
      <c r="Y77" s="3"/>
      <c r="Z77" s="3"/>
      <c r="AA77" s="3"/>
    </row>
    <row r="78">
      <c r="A78" s="1" t="str">
        <f t="shared" si="1"/>
        <v/>
      </c>
      <c r="B78" s="3"/>
      <c r="C78" s="3"/>
      <c r="D78" s="3"/>
      <c r="E78" s="3"/>
      <c r="F78" s="3"/>
      <c r="G78" s="3"/>
      <c r="H78" s="3"/>
      <c r="I78" s="3"/>
      <c r="J78" s="3"/>
      <c r="K78" s="3"/>
      <c r="L78" s="3"/>
      <c r="M78" s="3"/>
      <c r="N78" s="3"/>
      <c r="O78" s="3"/>
      <c r="P78" s="3"/>
      <c r="Q78" s="3"/>
      <c r="R78" s="3"/>
      <c r="S78" s="3"/>
      <c r="T78" s="3"/>
      <c r="U78" s="3"/>
      <c r="V78" s="3"/>
      <c r="W78" s="3"/>
      <c r="X78" s="3"/>
      <c r="Y78" s="3"/>
      <c r="Z78" s="3"/>
      <c r="AA78" s="3"/>
    </row>
    <row r="79">
      <c r="A79" s="1">
        <f t="shared" si="1"/>
        <v>27</v>
      </c>
      <c r="B79" s="2" t="s">
        <v>27</v>
      </c>
      <c r="C79" s="3"/>
      <c r="D79" s="3"/>
      <c r="E79" s="3"/>
      <c r="F79" s="3"/>
      <c r="G79" s="3"/>
      <c r="H79" s="3"/>
      <c r="I79" s="3"/>
      <c r="J79" s="3"/>
      <c r="K79" s="3"/>
      <c r="L79" s="3"/>
      <c r="M79" s="3"/>
      <c r="N79" s="3"/>
      <c r="O79" s="3"/>
      <c r="P79" s="3"/>
      <c r="Q79" s="3"/>
      <c r="R79" s="3"/>
      <c r="S79" s="3"/>
      <c r="T79" s="3"/>
      <c r="U79" s="3"/>
      <c r="V79" s="3"/>
      <c r="W79" s="3"/>
      <c r="X79" s="3"/>
      <c r="Y79" s="3"/>
      <c r="Z79" s="3"/>
      <c r="AA79" s="3"/>
    </row>
    <row r="80">
      <c r="A80" s="1" t="str">
        <f t="shared" si="1"/>
        <v/>
      </c>
      <c r="B80" s="2" t="s">
        <v>1</v>
      </c>
      <c r="C80" s="3"/>
      <c r="D80" s="3"/>
      <c r="E80" s="3"/>
      <c r="F80" s="3"/>
      <c r="G80" s="3"/>
      <c r="H80" s="3"/>
      <c r="I80" s="3"/>
      <c r="J80" s="3"/>
      <c r="K80" s="3"/>
      <c r="L80" s="3"/>
      <c r="M80" s="3"/>
      <c r="N80" s="3"/>
      <c r="O80" s="3"/>
      <c r="P80" s="3"/>
      <c r="Q80" s="3"/>
      <c r="R80" s="3"/>
      <c r="S80" s="3"/>
      <c r="T80" s="3"/>
      <c r="U80" s="3"/>
      <c r="V80" s="3"/>
      <c r="W80" s="3"/>
      <c r="X80" s="3"/>
      <c r="Y80" s="3"/>
      <c r="Z80" s="3"/>
      <c r="AA80" s="3"/>
    </row>
    <row r="81">
      <c r="A81" s="1" t="str">
        <f t="shared" si="1"/>
        <v/>
      </c>
      <c r="B81" s="3"/>
      <c r="C81" s="3"/>
      <c r="D81" s="3"/>
      <c r="E81" s="3"/>
      <c r="F81" s="3"/>
      <c r="G81" s="3"/>
      <c r="H81" s="3"/>
      <c r="I81" s="3"/>
      <c r="J81" s="3"/>
      <c r="K81" s="3"/>
      <c r="L81" s="3"/>
      <c r="M81" s="3"/>
      <c r="N81" s="3"/>
      <c r="O81" s="3"/>
      <c r="P81" s="3"/>
      <c r="Q81" s="3"/>
      <c r="R81" s="3"/>
      <c r="S81" s="3"/>
      <c r="T81" s="3"/>
      <c r="U81" s="3"/>
      <c r="V81" s="3"/>
      <c r="W81" s="3"/>
      <c r="X81" s="3"/>
      <c r="Y81" s="3"/>
      <c r="Z81" s="3"/>
      <c r="AA81" s="3"/>
    </row>
    <row r="82">
      <c r="A82" s="1">
        <f t="shared" si="1"/>
        <v>28</v>
      </c>
      <c r="B82" s="2" t="s">
        <v>28</v>
      </c>
      <c r="C82" s="3"/>
      <c r="D82" s="3"/>
      <c r="E82" s="3"/>
      <c r="F82" s="3"/>
      <c r="G82" s="3"/>
      <c r="H82" s="3"/>
      <c r="I82" s="3"/>
      <c r="J82" s="3"/>
      <c r="K82" s="3"/>
      <c r="L82" s="3"/>
      <c r="M82" s="3"/>
      <c r="N82" s="3"/>
      <c r="O82" s="3"/>
      <c r="P82" s="3"/>
      <c r="Q82" s="3"/>
      <c r="R82" s="3"/>
      <c r="S82" s="3"/>
      <c r="T82" s="3"/>
      <c r="U82" s="3"/>
      <c r="V82" s="3"/>
      <c r="W82" s="3"/>
      <c r="X82" s="3"/>
      <c r="Y82" s="3"/>
      <c r="Z82" s="3"/>
      <c r="AA82" s="3"/>
    </row>
    <row r="83">
      <c r="A83" s="1" t="str">
        <f t="shared" si="1"/>
        <v/>
      </c>
      <c r="B83" s="2" t="s">
        <v>1</v>
      </c>
      <c r="C83" s="3"/>
      <c r="D83" s="3"/>
      <c r="E83" s="3"/>
      <c r="F83" s="3"/>
      <c r="G83" s="3"/>
      <c r="H83" s="3"/>
      <c r="I83" s="3"/>
      <c r="J83" s="3"/>
      <c r="K83" s="3"/>
      <c r="L83" s="3"/>
      <c r="M83" s="3"/>
      <c r="N83" s="3"/>
      <c r="O83" s="3"/>
      <c r="P83" s="3"/>
      <c r="Q83" s="3"/>
      <c r="R83" s="3"/>
      <c r="S83" s="3"/>
      <c r="T83" s="3"/>
      <c r="U83" s="3"/>
      <c r="V83" s="3"/>
      <c r="W83" s="3"/>
      <c r="X83" s="3"/>
      <c r="Y83" s="3"/>
      <c r="Z83" s="3"/>
      <c r="AA83" s="3"/>
    </row>
    <row r="84">
      <c r="A84" s="1" t="str">
        <f t="shared" si="1"/>
        <v/>
      </c>
      <c r="B84" s="3"/>
      <c r="C84" s="3"/>
      <c r="D84" s="3"/>
      <c r="E84" s="3"/>
      <c r="F84" s="3"/>
      <c r="G84" s="3"/>
      <c r="H84" s="3"/>
      <c r="I84" s="3"/>
      <c r="J84" s="3"/>
      <c r="K84" s="3"/>
      <c r="L84" s="3"/>
      <c r="M84" s="3"/>
      <c r="N84" s="3"/>
      <c r="O84" s="3"/>
      <c r="P84" s="3"/>
      <c r="Q84" s="3"/>
      <c r="R84" s="3"/>
      <c r="S84" s="3"/>
      <c r="T84" s="3"/>
      <c r="U84" s="3"/>
      <c r="V84" s="3"/>
      <c r="W84" s="3"/>
      <c r="X84" s="3"/>
      <c r="Y84" s="3"/>
      <c r="Z84" s="3"/>
      <c r="AA84" s="3"/>
    </row>
    <row r="85">
      <c r="A85" s="1">
        <f t="shared" si="1"/>
        <v>29</v>
      </c>
      <c r="B85" s="2" t="s">
        <v>29</v>
      </c>
      <c r="C85" s="3"/>
      <c r="D85" s="3"/>
      <c r="E85" s="3"/>
      <c r="F85" s="3"/>
      <c r="G85" s="3"/>
      <c r="H85" s="3"/>
      <c r="I85" s="3"/>
      <c r="J85" s="3"/>
      <c r="K85" s="3"/>
      <c r="L85" s="3"/>
      <c r="M85" s="3"/>
      <c r="N85" s="3"/>
      <c r="O85" s="3"/>
      <c r="P85" s="3"/>
      <c r="Q85" s="3"/>
      <c r="R85" s="3"/>
      <c r="S85" s="3"/>
      <c r="T85" s="3"/>
      <c r="U85" s="3"/>
      <c r="V85" s="3"/>
      <c r="W85" s="3"/>
      <c r="X85" s="3"/>
      <c r="Y85" s="3"/>
      <c r="Z85" s="3"/>
      <c r="AA85" s="3"/>
    </row>
    <row r="86">
      <c r="A86" s="1" t="str">
        <f t="shared" si="1"/>
        <v/>
      </c>
      <c r="B86" s="2" t="s">
        <v>1</v>
      </c>
      <c r="C86" s="3"/>
      <c r="D86" s="3"/>
      <c r="E86" s="3"/>
      <c r="F86" s="3"/>
      <c r="G86" s="3"/>
      <c r="H86" s="3"/>
      <c r="I86" s="3"/>
      <c r="J86" s="3"/>
      <c r="K86" s="3"/>
      <c r="L86" s="3"/>
      <c r="M86" s="3"/>
      <c r="N86" s="3"/>
      <c r="O86" s="3"/>
      <c r="P86" s="3"/>
      <c r="Q86" s="3"/>
      <c r="R86" s="3"/>
      <c r="S86" s="3"/>
      <c r="T86" s="3"/>
      <c r="U86" s="3"/>
      <c r="V86" s="3"/>
      <c r="W86" s="3"/>
      <c r="X86" s="3"/>
      <c r="Y86" s="3"/>
      <c r="Z86" s="3"/>
      <c r="AA86" s="3"/>
    </row>
    <row r="87">
      <c r="A87" s="1" t="str">
        <f t="shared" si="1"/>
        <v/>
      </c>
      <c r="B87" s="3"/>
      <c r="C87" s="3"/>
      <c r="D87" s="3"/>
      <c r="E87" s="3"/>
      <c r="F87" s="3"/>
      <c r="G87" s="3"/>
      <c r="H87" s="3"/>
      <c r="I87" s="3"/>
      <c r="J87" s="3"/>
      <c r="K87" s="3"/>
      <c r="L87" s="3"/>
      <c r="M87" s="3"/>
      <c r="N87" s="3"/>
      <c r="O87" s="3"/>
      <c r="P87" s="3"/>
      <c r="Q87" s="3"/>
      <c r="R87" s="3"/>
      <c r="S87" s="3"/>
      <c r="T87" s="3"/>
      <c r="U87" s="3"/>
      <c r="V87" s="3"/>
      <c r="W87" s="3"/>
      <c r="X87" s="3"/>
      <c r="Y87" s="3"/>
      <c r="Z87" s="3"/>
      <c r="AA87" s="3"/>
    </row>
    <row r="88">
      <c r="A88" s="1">
        <f t="shared" si="1"/>
        <v>30</v>
      </c>
      <c r="B88" s="2" t="s">
        <v>30</v>
      </c>
      <c r="C88" s="3"/>
      <c r="D88" s="3"/>
      <c r="E88" s="3"/>
      <c r="F88" s="3"/>
      <c r="G88" s="3"/>
      <c r="H88" s="3"/>
      <c r="I88" s="3"/>
      <c r="J88" s="3"/>
      <c r="K88" s="3"/>
      <c r="L88" s="3"/>
      <c r="M88" s="3"/>
      <c r="N88" s="3"/>
      <c r="O88" s="3"/>
      <c r="P88" s="3"/>
      <c r="Q88" s="3"/>
      <c r="R88" s="3"/>
      <c r="S88" s="3"/>
      <c r="T88" s="3"/>
      <c r="U88" s="3"/>
      <c r="V88" s="3"/>
      <c r="W88" s="3"/>
      <c r="X88" s="3"/>
      <c r="Y88" s="3"/>
      <c r="Z88" s="3"/>
      <c r="AA88" s="3"/>
    </row>
    <row r="89">
      <c r="A89" s="1" t="str">
        <f t="shared" si="1"/>
        <v/>
      </c>
      <c r="B89" s="2" t="s">
        <v>1</v>
      </c>
      <c r="C89" s="3"/>
      <c r="D89" s="3"/>
      <c r="E89" s="3"/>
      <c r="F89" s="3"/>
      <c r="G89" s="3"/>
      <c r="H89" s="3"/>
      <c r="I89" s="3"/>
      <c r="J89" s="3"/>
      <c r="K89" s="3"/>
      <c r="L89" s="3"/>
      <c r="M89" s="3"/>
      <c r="N89" s="3"/>
      <c r="O89" s="3"/>
      <c r="P89" s="3"/>
      <c r="Q89" s="3"/>
      <c r="R89" s="3"/>
      <c r="S89" s="3"/>
      <c r="T89" s="3"/>
      <c r="U89" s="3"/>
      <c r="V89" s="3"/>
      <c r="W89" s="3"/>
      <c r="X89" s="3"/>
      <c r="Y89" s="3"/>
      <c r="Z89" s="3"/>
      <c r="AA89" s="3"/>
    </row>
    <row r="90">
      <c r="A90" s="1" t="str">
        <f t="shared" si="1"/>
        <v/>
      </c>
      <c r="B90" s="3"/>
      <c r="C90" s="3"/>
      <c r="D90" s="3"/>
      <c r="E90" s="3"/>
      <c r="F90" s="3"/>
      <c r="G90" s="3"/>
      <c r="H90" s="3"/>
      <c r="I90" s="3"/>
      <c r="J90" s="3"/>
      <c r="K90" s="3"/>
      <c r="L90" s="3"/>
      <c r="M90" s="3"/>
      <c r="N90" s="3"/>
      <c r="O90" s="3"/>
      <c r="P90" s="3"/>
      <c r="Q90" s="3"/>
      <c r="R90" s="3"/>
      <c r="S90" s="3"/>
      <c r="T90" s="3"/>
      <c r="U90" s="3"/>
      <c r="V90" s="3"/>
      <c r="W90" s="3"/>
      <c r="X90" s="3"/>
      <c r="Y90" s="3"/>
      <c r="Z90" s="3"/>
      <c r="AA90" s="3"/>
    </row>
    <row r="91">
      <c r="A91" s="1">
        <f t="shared" si="1"/>
        <v>31</v>
      </c>
      <c r="B91" s="2" t="s">
        <v>31</v>
      </c>
      <c r="C91" s="3"/>
      <c r="D91" s="3"/>
      <c r="E91" s="3"/>
      <c r="F91" s="3"/>
      <c r="G91" s="3"/>
      <c r="H91" s="3"/>
      <c r="I91" s="3"/>
      <c r="J91" s="3"/>
      <c r="K91" s="3"/>
      <c r="L91" s="3"/>
      <c r="M91" s="3"/>
      <c r="N91" s="3"/>
      <c r="O91" s="3"/>
      <c r="P91" s="3"/>
      <c r="Q91" s="3"/>
      <c r="R91" s="3"/>
      <c r="S91" s="3"/>
      <c r="T91" s="3"/>
      <c r="U91" s="3"/>
      <c r="V91" s="3"/>
      <c r="W91" s="3"/>
      <c r="X91" s="3"/>
      <c r="Y91" s="3"/>
      <c r="Z91" s="3"/>
      <c r="AA91" s="3"/>
    </row>
    <row r="92">
      <c r="A92" s="1" t="str">
        <f t="shared" si="1"/>
        <v/>
      </c>
      <c r="B92" s="2" t="s">
        <v>1</v>
      </c>
      <c r="C92" s="3"/>
      <c r="D92" s="3"/>
      <c r="E92" s="3"/>
      <c r="F92" s="3"/>
      <c r="G92" s="3"/>
      <c r="H92" s="3"/>
      <c r="I92" s="3"/>
      <c r="J92" s="3"/>
      <c r="K92" s="3"/>
      <c r="L92" s="3"/>
      <c r="M92" s="3"/>
      <c r="N92" s="3"/>
      <c r="O92" s="3"/>
      <c r="P92" s="3"/>
      <c r="Q92" s="3"/>
      <c r="R92" s="3"/>
      <c r="S92" s="3"/>
      <c r="T92" s="3"/>
      <c r="U92" s="3"/>
      <c r="V92" s="3"/>
      <c r="W92" s="3"/>
      <c r="X92" s="3"/>
      <c r="Y92" s="3"/>
      <c r="Z92" s="3"/>
      <c r="AA92" s="3"/>
    </row>
    <row r="93">
      <c r="A93" s="1" t="str">
        <f t="shared" si="1"/>
        <v/>
      </c>
      <c r="B93" s="3"/>
      <c r="C93" s="3"/>
      <c r="D93" s="3"/>
      <c r="E93" s="3"/>
      <c r="F93" s="3"/>
      <c r="G93" s="3"/>
      <c r="H93" s="3"/>
      <c r="I93" s="3"/>
      <c r="J93" s="3"/>
      <c r="K93" s="3"/>
      <c r="L93" s="3"/>
      <c r="M93" s="3"/>
      <c r="N93" s="3"/>
      <c r="O93" s="3"/>
      <c r="P93" s="3"/>
      <c r="Q93" s="3"/>
      <c r="R93" s="3"/>
      <c r="S93" s="3"/>
      <c r="T93" s="3"/>
      <c r="U93" s="3"/>
      <c r="V93" s="3"/>
      <c r="W93" s="3"/>
      <c r="X93" s="3"/>
      <c r="Y93" s="3"/>
      <c r="Z93" s="3"/>
      <c r="AA93" s="3"/>
    </row>
    <row r="94">
      <c r="A94" s="1">
        <f t="shared" si="1"/>
        <v>32</v>
      </c>
      <c r="B94" s="2" t="s">
        <v>32</v>
      </c>
      <c r="C94" s="3"/>
      <c r="D94" s="3"/>
      <c r="E94" s="3"/>
      <c r="F94" s="3"/>
      <c r="G94" s="3"/>
      <c r="H94" s="3"/>
      <c r="I94" s="3"/>
      <c r="J94" s="3"/>
      <c r="K94" s="3"/>
      <c r="L94" s="3"/>
      <c r="M94" s="3"/>
      <c r="N94" s="3"/>
      <c r="O94" s="3"/>
      <c r="P94" s="3"/>
      <c r="Q94" s="3"/>
      <c r="R94" s="3"/>
      <c r="S94" s="3"/>
      <c r="T94" s="3"/>
      <c r="U94" s="3"/>
      <c r="V94" s="3"/>
      <c r="W94" s="3"/>
      <c r="X94" s="3"/>
      <c r="Y94" s="3"/>
      <c r="Z94" s="3"/>
      <c r="AA94" s="3"/>
    </row>
    <row r="95">
      <c r="A95" s="1" t="str">
        <f t="shared" si="1"/>
        <v/>
      </c>
      <c r="B95" s="2" t="s">
        <v>1</v>
      </c>
      <c r="C95" s="3"/>
      <c r="D95" s="3"/>
      <c r="E95" s="3"/>
      <c r="F95" s="3"/>
      <c r="G95" s="3"/>
      <c r="H95" s="3"/>
      <c r="I95" s="3"/>
      <c r="J95" s="3"/>
      <c r="K95" s="3"/>
      <c r="L95" s="3"/>
      <c r="M95" s="3"/>
      <c r="N95" s="3"/>
      <c r="O95" s="3"/>
      <c r="P95" s="3"/>
      <c r="Q95" s="3"/>
      <c r="R95" s="3"/>
      <c r="S95" s="3"/>
      <c r="T95" s="3"/>
      <c r="U95" s="3"/>
      <c r="V95" s="3"/>
      <c r="W95" s="3"/>
      <c r="X95" s="3"/>
      <c r="Y95" s="3"/>
      <c r="Z95" s="3"/>
      <c r="AA95" s="3"/>
    </row>
    <row r="96">
      <c r="A96" s="1" t="str">
        <f t="shared" si="1"/>
        <v/>
      </c>
      <c r="B96" s="3"/>
      <c r="C96" s="3"/>
      <c r="D96" s="3"/>
      <c r="E96" s="3"/>
      <c r="F96" s="3"/>
      <c r="G96" s="3"/>
      <c r="H96" s="3"/>
      <c r="I96" s="3"/>
      <c r="J96" s="3"/>
      <c r="K96" s="3"/>
      <c r="L96" s="3"/>
      <c r="M96" s="3"/>
      <c r="N96" s="3"/>
      <c r="O96" s="3"/>
      <c r="P96" s="3"/>
      <c r="Q96" s="3"/>
      <c r="R96" s="3"/>
      <c r="S96" s="3"/>
      <c r="T96" s="3"/>
      <c r="U96" s="3"/>
      <c r="V96" s="3"/>
      <c r="W96" s="3"/>
      <c r="X96" s="3"/>
      <c r="Y96" s="3"/>
      <c r="Z96" s="3"/>
      <c r="AA96" s="3"/>
    </row>
    <row r="97">
      <c r="A97" s="1">
        <f t="shared" si="1"/>
        <v>33</v>
      </c>
      <c r="B97" s="2" t="s">
        <v>33</v>
      </c>
      <c r="C97" s="3"/>
      <c r="D97" s="3"/>
      <c r="E97" s="3"/>
      <c r="F97" s="3"/>
      <c r="G97" s="3"/>
      <c r="H97" s="3"/>
      <c r="I97" s="3"/>
      <c r="J97" s="3"/>
      <c r="K97" s="3"/>
      <c r="L97" s="3"/>
      <c r="M97" s="3"/>
      <c r="N97" s="3"/>
      <c r="O97" s="3"/>
      <c r="P97" s="3"/>
      <c r="Q97" s="3"/>
      <c r="R97" s="3"/>
      <c r="S97" s="3"/>
      <c r="T97" s="3"/>
      <c r="U97" s="3"/>
      <c r="V97" s="3"/>
      <c r="W97" s="3"/>
      <c r="X97" s="3"/>
      <c r="Y97" s="3"/>
      <c r="Z97" s="3"/>
      <c r="AA97" s="3"/>
    </row>
    <row r="98">
      <c r="A98" s="1" t="str">
        <f t="shared" si="1"/>
        <v/>
      </c>
      <c r="B98" s="2" t="s">
        <v>1</v>
      </c>
      <c r="C98" s="3"/>
      <c r="D98" s="3"/>
      <c r="E98" s="3"/>
      <c r="F98" s="3"/>
      <c r="G98" s="3"/>
      <c r="H98" s="3"/>
      <c r="I98" s="3"/>
      <c r="J98" s="3"/>
      <c r="K98" s="3"/>
      <c r="L98" s="3"/>
      <c r="M98" s="3"/>
      <c r="N98" s="3"/>
      <c r="O98" s="3"/>
      <c r="P98" s="3"/>
      <c r="Q98" s="3"/>
      <c r="R98" s="3"/>
      <c r="S98" s="3"/>
      <c r="T98" s="3"/>
      <c r="U98" s="3"/>
      <c r="V98" s="3"/>
      <c r="W98" s="3"/>
      <c r="X98" s="3"/>
      <c r="Y98" s="3"/>
      <c r="Z98" s="3"/>
      <c r="AA98" s="3"/>
    </row>
    <row r="99">
      <c r="A99" s="1" t="str">
        <f t="shared" si="1"/>
        <v/>
      </c>
      <c r="B99" s="3"/>
      <c r="C99" s="3"/>
      <c r="D99" s="3"/>
      <c r="E99" s="3"/>
      <c r="F99" s="3"/>
      <c r="G99" s="3"/>
      <c r="H99" s="3"/>
      <c r="I99" s="3"/>
      <c r="J99" s="3"/>
      <c r="K99" s="3"/>
      <c r="L99" s="3"/>
      <c r="M99" s="3"/>
      <c r="N99" s="3"/>
      <c r="O99" s="3"/>
      <c r="P99" s="3"/>
      <c r="Q99" s="3"/>
      <c r="R99" s="3"/>
      <c r="S99" s="3"/>
      <c r="T99" s="3"/>
      <c r="U99" s="3"/>
      <c r="V99" s="3"/>
      <c r="W99" s="3"/>
      <c r="X99" s="3"/>
      <c r="Y99" s="3"/>
      <c r="Z99" s="3"/>
      <c r="AA99" s="3"/>
    </row>
    <row r="100">
      <c r="A100" s="1">
        <f t="shared" si="1"/>
        <v>34</v>
      </c>
      <c r="B100" s="2" t="s">
        <v>34</v>
      </c>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1" t="str">
        <f t="shared" si="1"/>
        <v/>
      </c>
      <c r="B101" s="2" t="s">
        <v>1</v>
      </c>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1" t="str">
        <f t="shared" si="1"/>
        <v/>
      </c>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1">
        <f t="shared" si="1"/>
        <v>35</v>
      </c>
      <c r="B103" s="2" t="s">
        <v>35</v>
      </c>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1" t="str">
        <f t="shared" si="1"/>
        <v/>
      </c>
      <c r="B104" s="2" t="s">
        <v>1</v>
      </c>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1" t="str">
        <f t="shared" si="1"/>
        <v/>
      </c>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1">
        <f t="shared" si="1"/>
        <v>36</v>
      </c>
      <c r="B106" s="2" t="s">
        <v>36</v>
      </c>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1" t="str">
        <f t="shared" si="1"/>
        <v/>
      </c>
      <c r="B107" s="2" t="s">
        <v>1</v>
      </c>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1" t="str">
        <f t="shared" si="1"/>
        <v/>
      </c>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1">
        <f t="shared" si="1"/>
        <v>37</v>
      </c>
      <c r="B109" s="2" t="s">
        <v>37</v>
      </c>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1" t="str">
        <f t="shared" si="1"/>
        <v/>
      </c>
      <c r="B110" s="2" t="s">
        <v>1</v>
      </c>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1" t="str">
        <f t="shared" si="1"/>
        <v/>
      </c>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1">
        <f t="shared" si="1"/>
        <v>38</v>
      </c>
      <c r="B112" s="2" t="s">
        <v>38</v>
      </c>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1" t="str">
        <f t="shared" si="1"/>
        <v/>
      </c>
      <c r="B113" s="2" t="s">
        <v>1</v>
      </c>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1" t="str">
        <f t="shared" si="1"/>
        <v/>
      </c>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1">
        <f t="shared" si="1"/>
        <v>39</v>
      </c>
      <c r="B115" s="2" t="s">
        <v>39</v>
      </c>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1" t="str">
        <f t="shared" si="1"/>
        <v/>
      </c>
      <c r="B116" s="2" t="s">
        <v>1</v>
      </c>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1" t="str">
        <f t="shared" si="1"/>
        <v/>
      </c>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1">
        <f t="shared" si="1"/>
        <v>40</v>
      </c>
      <c r="B118" s="2" t="s">
        <v>40</v>
      </c>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1" t="str">
        <f t="shared" si="1"/>
        <v/>
      </c>
      <c r="B119" s="2" t="s">
        <v>1</v>
      </c>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1" t="str">
        <f t="shared" si="1"/>
        <v/>
      </c>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1">
        <f t="shared" si="1"/>
        <v>41</v>
      </c>
      <c r="B121" s="2" t="s">
        <v>41</v>
      </c>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1" t="str">
        <f t="shared" si="1"/>
        <v/>
      </c>
      <c r="B122" s="2" t="s">
        <v>1</v>
      </c>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1" t="str">
        <f t="shared" si="1"/>
        <v/>
      </c>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1">
        <f t="shared" si="1"/>
        <v>42</v>
      </c>
      <c r="B124" s="2" t="s">
        <v>42</v>
      </c>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1" t="str">
        <f t="shared" si="1"/>
        <v/>
      </c>
      <c r="B125" s="2" t="s">
        <v>1</v>
      </c>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1" t="str">
        <f t="shared" si="1"/>
        <v/>
      </c>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1">
        <f t="shared" si="1"/>
        <v>43</v>
      </c>
      <c r="B127" s="2" t="s">
        <v>43</v>
      </c>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1" t="str">
        <f t="shared" si="1"/>
        <v/>
      </c>
      <c r="B128" s="2" t="s">
        <v>1</v>
      </c>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1" t="str">
        <f t="shared" si="1"/>
        <v/>
      </c>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1">
        <f t="shared" si="1"/>
        <v>44</v>
      </c>
      <c r="B130" s="2" t="s">
        <v>44</v>
      </c>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1" t="str">
        <f t="shared" si="1"/>
        <v/>
      </c>
      <c r="B131" s="2" t="s">
        <v>1</v>
      </c>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1" t="str">
        <f t="shared" si="1"/>
        <v/>
      </c>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1">
        <f t="shared" si="1"/>
        <v>45</v>
      </c>
      <c r="B133" s="2" t="s">
        <v>45</v>
      </c>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1" t="str">
        <f t="shared" si="1"/>
        <v/>
      </c>
      <c r="B134" s="2" t="s">
        <v>1</v>
      </c>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1" t="str">
        <f t="shared" si="1"/>
        <v/>
      </c>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1">
        <f t="shared" si="1"/>
        <v>46</v>
      </c>
      <c r="B136" s="2" t="s">
        <v>46</v>
      </c>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1" t="str">
        <f t="shared" si="1"/>
        <v/>
      </c>
      <c r="B137" s="2" t="s">
        <v>1</v>
      </c>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1" t="str">
        <f t="shared" si="1"/>
        <v/>
      </c>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1">
        <f t="shared" si="1"/>
        <v>47</v>
      </c>
      <c r="B139" s="2" t="s">
        <v>47</v>
      </c>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1" t="str">
        <f t="shared" si="1"/>
        <v/>
      </c>
      <c r="B140" s="2" t="s">
        <v>1</v>
      </c>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1" t="str">
        <f t="shared" si="1"/>
        <v/>
      </c>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1">
        <f t="shared" si="1"/>
        <v>48</v>
      </c>
      <c r="B142" s="2" t="s">
        <v>48</v>
      </c>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1" t="str">
        <f t="shared" si="1"/>
        <v/>
      </c>
      <c r="B143" s="2" t="s">
        <v>1</v>
      </c>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1" t="str">
        <f t="shared" si="1"/>
        <v/>
      </c>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1">
        <f t="shared" si="1"/>
        <v>49</v>
      </c>
      <c r="B145" s="2" t="s">
        <v>49</v>
      </c>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1" t="str">
        <f t="shared" si="1"/>
        <v/>
      </c>
      <c r="B146" s="2" t="s">
        <v>1</v>
      </c>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1" t="str">
        <f t="shared" si="1"/>
        <v/>
      </c>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1">
        <f t="shared" si="1"/>
        <v>50</v>
      </c>
      <c r="B148" s="2" t="s">
        <v>50</v>
      </c>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1" t="str">
        <f t="shared" si="1"/>
        <v/>
      </c>
      <c r="B149" s="2" t="s">
        <v>1</v>
      </c>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1" t="str">
        <f t="shared" si="1"/>
        <v/>
      </c>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1">
        <f t="shared" si="1"/>
        <v>51</v>
      </c>
      <c r="B151" s="2" t="s">
        <v>51</v>
      </c>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1" t="str">
        <f t="shared" si="1"/>
        <v/>
      </c>
      <c r="B152" s="2" t="s">
        <v>1</v>
      </c>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1" t="str">
        <f t="shared" si="1"/>
        <v/>
      </c>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1">
        <f t="shared" si="1"/>
        <v>52</v>
      </c>
      <c r="B154" s="2" t="s">
        <v>52</v>
      </c>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1" t="str">
        <f t="shared" si="1"/>
        <v/>
      </c>
      <c r="B155" s="2" t="s">
        <v>1</v>
      </c>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1" t="str">
        <f t="shared" si="1"/>
        <v/>
      </c>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1">
        <f t="shared" si="1"/>
        <v>53</v>
      </c>
      <c r="B157" s="2" t="s">
        <v>53</v>
      </c>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1" t="str">
        <f t="shared" si="1"/>
        <v/>
      </c>
      <c r="B158" s="2" t="s">
        <v>1</v>
      </c>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1" t="str">
        <f t="shared" si="1"/>
        <v/>
      </c>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1">
        <f t="shared" si="1"/>
        <v>54</v>
      </c>
      <c r="B160" s="2" t="s">
        <v>54</v>
      </c>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1" t="str">
        <f t="shared" si="1"/>
        <v/>
      </c>
      <c r="B161" s="2" t="s">
        <v>1</v>
      </c>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1" t="str">
        <f t="shared" si="1"/>
        <v/>
      </c>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1">
        <f t="shared" si="1"/>
        <v>55</v>
      </c>
      <c r="B163" s="2" t="s">
        <v>55</v>
      </c>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1" t="str">
        <f t="shared" si="1"/>
        <v/>
      </c>
      <c r="B164" s="2" t="s">
        <v>1</v>
      </c>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1" t="str">
        <f t="shared" si="1"/>
        <v/>
      </c>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1">
        <f t="shared" si="1"/>
        <v>56</v>
      </c>
      <c r="B166" s="2" t="s">
        <v>56</v>
      </c>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1" t="str">
        <f t="shared" si="1"/>
        <v/>
      </c>
      <c r="B167" s="2" t="s">
        <v>1</v>
      </c>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1" t="str">
        <f t="shared" si="1"/>
        <v/>
      </c>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1">
        <f t="shared" si="1"/>
        <v>57</v>
      </c>
      <c r="B169" s="2" t="s">
        <v>57</v>
      </c>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1" t="str">
        <f t="shared" si="1"/>
        <v/>
      </c>
      <c r="B170" s="2" t="s">
        <v>1</v>
      </c>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1" t="str">
        <f t="shared" si="1"/>
        <v/>
      </c>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1">
        <f t="shared" si="1"/>
        <v>58</v>
      </c>
      <c r="B172" s="2" t="s">
        <v>58</v>
      </c>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1" t="str">
        <f t="shared" si="1"/>
        <v/>
      </c>
      <c r="B173" s="2" t="s">
        <v>1</v>
      </c>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1" t="str">
        <f t="shared" si="1"/>
        <v/>
      </c>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1">
        <f t="shared" si="1"/>
        <v>59</v>
      </c>
      <c r="B175" s="2" t="s">
        <v>59</v>
      </c>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1" t="str">
        <f t="shared" si="1"/>
        <v/>
      </c>
      <c r="B176" s="2" t="s">
        <v>1</v>
      </c>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1" t="str">
        <f t="shared" si="1"/>
        <v/>
      </c>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1">
        <f t="shared" si="1"/>
        <v>60</v>
      </c>
      <c r="B178" s="2" t="s">
        <v>60</v>
      </c>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1" t="str">
        <f t="shared" si="1"/>
        <v/>
      </c>
      <c r="B179" s="2" t="s">
        <v>1</v>
      </c>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1" t="str">
        <f t="shared" si="1"/>
        <v/>
      </c>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1">
        <f t="shared" si="1"/>
        <v>61</v>
      </c>
      <c r="B181" s="2" t="s">
        <v>61</v>
      </c>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1" t="str">
        <f t="shared" si="1"/>
        <v/>
      </c>
      <c r="B182" s="2" t="s">
        <v>1</v>
      </c>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1" t="str">
        <f t="shared" si="1"/>
        <v/>
      </c>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1">
        <f t="shared" si="1"/>
        <v>62</v>
      </c>
      <c r="B184" s="2" t="s">
        <v>62</v>
      </c>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1" t="str">
        <f t="shared" si="1"/>
        <v/>
      </c>
      <c r="B185" s="2" t="s">
        <v>1</v>
      </c>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1" t="str">
        <f t="shared" si="1"/>
        <v/>
      </c>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1">
        <f t="shared" si="1"/>
        <v>63</v>
      </c>
      <c r="B187" s="2" t="s">
        <v>63</v>
      </c>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1" t="str">
        <f t="shared" si="1"/>
        <v/>
      </c>
      <c r="B188" s="2" t="s">
        <v>1</v>
      </c>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1" t="str">
        <f t="shared" si="1"/>
        <v/>
      </c>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1">
        <f t="shared" si="1"/>
        <v>64</v>
      </c>
      <c r="B190" s="2" t="s">
        <v>64</v>
      </c>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1" t="str">
        <f t="shared" si="1"/>
        <v/>
      </c>
      <c r="B191" s="2" t="s">
        <v>1</v>
      </c>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1" t="str">
        <f t="shared" si="1"/>
        <v/>
      </c>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1">
        <f t="shared" si="1"/>
        <v>65</v>
      </c>
      <c r="B193" s="2" t="s">
        <v>65</v>
      </c>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1" t="str">
        <f t="shared" si="1"/>
        <v/>
      </c>
      <c r="B194" s="2" t="s">
        <v>1</v>
      </c>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1" t="str">
        <f t="shared" si="1"/>
        <v/>
      </c>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1">
        <f t="shared" si="1"/>
        <v>66</v>
      </c>
      <c r="B196" s="2" t="s">
        <v>66</v>
      </c>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1" t="str">
        <f t="shared" si="1"/>
        <v/>
      </c>
      <c r="B197" s="2" t="s">
        <v>1</v>
      </c>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1" t="str">
        <f t="shared" si="1"/>
        <v/>
      </c>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1">
        <f t="shared" si="1"/>
        <v>67</v>
      </c>
      <c r="B199" s="2" t="s">
        <v>67</v>
      </c>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1" t="str">
        <f t="shared" si="1"/>
        <v/>
      </c>
      <c r="B200" s="2" t="s">
        <v>1</v>
      </c>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1" t="str">
        <f t="shared" si="1"/>
        <v/>
      </c>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1">
        <f t="shared" si="1"/>
        <v>68</v>
      </c>
      <c r="B202" s="2" t="s">
        <v>68</v>
      </c>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1" t="str">
        <f t="shared" si="1"/>
        <v/>
      </c>
      <c r="B203" s="2" t="s">
        <v>1</v>
      </c>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1" t="str">
        <f t="shared" si="1"/>
        <v/>
      </c>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1">
        <f t="shared" si="1"/>
        <v>69</v>
      </c>
      <c r="B205" s="2" t="s">
        <v>69</v>
      </c>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1" t="str">
        <f t="shared" si="1"/>
        <v/>
      </c>
      <c r="B206" s="2" t="s">
        <v>1</v>
      </c>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1" t="str">
        <f t="shared" si="1"/>
        <v/>
      </c>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1">
        <f t="shared" si="1"/>
        <v>70</v>
      </c>
      <c r="B208" s="2" t="s">
        <v>70</v>
      </c>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1" t="str">
        <f t="shared" si="1"/>
        <v/>
      </c>
      <c r="B209" s="2" t="s">
        <v>1</v>
      </c>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1" t="str">
        <f t="shared" si="1"/>
        <v/>
      </c>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1">
        <f t="shared" si="1"/>
        <v>71</v>
      </c>
      <c r="B211" s="2" t="s">
        <v>71</v>
      </c>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1" t="str">
        <f t="shared" si="1"/>
        <v/>
      </c>
      <c r="B212" s="2" t="s">
        <v>1</v>
      </c>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1" t="str">
        <f t="shared" si="1"/>
        <v/>
      </c>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1">
        <f t="shared" si="1"/>
        <v>72</v>
      </c>
      <c r="B214" s="2" t="s">
        <v>72</v>
      </c>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1" t="str">
        <f t="shared" si="1"/>
        <v/>
      </c>
      <c r="B215" s="2" t="s">
        <v>1</v>
      </c>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1" t="str">
        <f t="shared" si="1"/>
        <v/>
      </c>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1">
        <f t="shared" si="1"/>
        <v>73</v>
      </c>
      <c r="B217" s="2" t="s">
        <v>73</v>
      </c>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1" t="str">
        <f t="shared" si="1"/>
        <v/>
      </c>
      <c r="B218" s="2" t="s">
        <v>1</v>
      </c>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1" t="str">
        <f t="shared" si="1"/>
        <v/>
      </c>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1">
        <f t="shared" si="1"/>
        <v>74</v>
      </c>
      <c r="B220" s="2" t="s">
        <v>74</v>
      </c>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1" t="str">
        <f t="shared" si="1"/>
        <v/>
      </c>
      <c r="B221" s="2" t="s">
        <v>1</v>
      </c>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1" t="str">
        <f t="shared" si="1"/>
        <v/>
      </c>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1">
        <f t="shared" si="1"/>
        <v>75</v>
      </c>
      <c r="B223" s="2" t="s">
        <v>75</v>
      </c>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1" t="str">
        <f t="shared" si="1"/>
        <v/>
      </c>
      <c r="B224" s="2" t="s">
        <v>1</v>
      </c>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1" t="str">
        <f t="shared" si="1"/>
        <v/>
      </c>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1">
        <f t="shared" si="1"/>
        <v>76</v>
      </c>
      <c r="B226" s="2" t="s">
        <v>76</v>
      </c>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1" t="str">
        <f t="shared" si="1"/>
        <v/>
      </c>
      <c r="B227" s="2" t="s">
        <v>1</v>
      </c>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1" t="str">
        <f t="shared" si="1"/>
        <v/>
      </c>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1">
        <f t="shared" si="1"/>
        <v>77</v>
      </c>
      <c r="B229" s="2" t="s">
        <v>77</v>
      </c>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1" t="str">
        <f t="shared" si="1"/>
        <v/>
      </c>
      <c r="B230" s="2" t="s">
        <v>1</v>
      </c>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1" t="str">
        <f t="shared" si="1"/>
        <v/>
      </c>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1">
        <f t="shared" si="1"/>
        <v>78</v>
      </c>
      <c r="B232" s="2" t="s">
        <v>78</v>
      </c>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1" t="str">
        <f t="shared" si="1"/>
        <v/>
      </c>
      <c r="B233" s="2" t="s">
        <v>1</v>
      </c>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1" t="str">
        <f t="shared" si="1"/>
        <v/>
      </c>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1">
        <f t="shared" si="1"/>
        <v>79</v>
      </c>
      <c r="B235" s="2" t="s">
        <v>79</v>
      </c>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1" t="str">
        <f t="shared" si="1"/>
        <v/>
      </c>
      <c r="B236" s="2" t="s">
        <v>1</v>
      </c>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1" t="str">
        <f t="shared" si="1"/>
        <v/>
      </c>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1">
        <f t="shared" si="1"/>
        <v>80</v>
      </c>
      <c r="B238" s="2" t="s">
        <v>80</v>
      </c>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1" t="str">
        <f t="shared" si="1"/>
        <v/>
      </c>
      <c r="B239" s="2" t="s">
        <v>1</v>
      </c>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1" t="str">
        <f t="shared" si="1"/>
        <v/>
      </c>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1">
        <f t="shared" si="1"/>
        <v>81</v>
      </c>
      <c r="B241" s="2" t="s">
        <v>81</v>
      </c>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1" t="str">
        <f t="shared" si="1"/>
        <v/>
      </c>
      <c r="B242" s="2" t="s">
        <v>1</v>
      </c>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1" t="str">
        <f t="shared" si="1"/>
        <v/>
      </c>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1">
        <f t="shared" si="1"/>
        <v>82</v>
      </c>
      <c r="B244" s="2" t="s">
        <v>82</v>
      </c>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1" t="str">
        <f t="shared" si="1"/>
        <v/>
      </c>
      <c r="B245" s="2" t="s">
        <v>1</v>
      </c>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1" t="str">
        <f t="shared" si="1"/>
        <v/>
      </c>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1">
        <f t="shared" si="1"/>
        <v>83</v>
      </c>
      <c r="B247" s="2" t="s">
        <v>83</v>
      </c>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1" t="str">
        <f t="shared" si="1"/>
        <v/>
      </c>
      <c r="B248" s="2" t="s">
        <v>1</v>
      </c>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1" t="str">
        <f t="shared" si="1"/>
        <v/>
      </c>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1">
        <f t="shared" si="1"/>
        <v>84</v>
      </c>
      <c r="B250" s="2" t="s">
        <v>84</v>
      </c>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1" t="str">
        <f t="shared" si="1"/>
        <v/>
      </c>
      <c r="B251" s="2" t="s">
        <v>1</v>
      </c>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1" t="str">
        <f t="shared" si="1"/>
        <v/>
      </c>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1">
        <f t="shared" si="1"/>
        <v>85</v>
      </c>
      <c r="B253" s="2" t="s">
        <v>85</v>
      </c>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1" t="str">
        <f t="shared" si="1"/>
        <v/>
      </c>
      <c r="B254" s="2" t="s">
        <v>1</v>
      </c>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1" t="str">
        <f t="shared" si="1"/>
        <v/>
      </c>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1">
        <f t="shared" si="1"/>
        <v>86</v>
      </c>
      <c r="B256" s="2" t="s">
        <v>86</v>
      </c>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1" t="str">
        <f t="shared" si="1"/>
        <v/>
      </c>
      <c r="B257" s="2" t="s">
        <v>1</v>
      </c>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1" t="str">
        <f t="shared" si="1"/>
        <v/>
      </c>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1">
        <f t="shared" si="1"/>
        <v>87</v>
      </c>
      <c r="B259" s="2" t="s">
        <v>87</v>
      </c>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1" t="str">
        <f t="shared" si="1"/>
        <v/>
      </c>
      <c r="B260" s="2" t="s">
        <v>1</v>
      </c>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1" t="str">
        <f t="shared" si="1"/>
        <v/>
      </c>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1">
        <f t="shared" si="1"/>
        <v>88</v>
      </c>
      <c r="B262" s="2" t="s">
        <v>88</v>
      </c>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1" t="str">
        <f t="shared" si="1"/>
        <v/>
      </c>
      <c r="B263" s="2" t="s">
        <v>1</v>
      </c>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1" t="str">
        <f t="shared" si="1"/>
        <v/>
      </c>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1">
        <f t="shared" si="1"/>
        <v>89</v>
      </c>
      <c r="B265" s="2" t="s">
        <v>89</v>
      </c>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1" t="str">
        <f t="shared" si="1"/>
        <v/>
      </c>
      <c r="B266" s="2" t="s">
        <v>1</v>
      </c>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1" t="str">
        <f t="shared" si="1"/>
        <v/>
      </c>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1">
        <f t="shared" si="1"/>
        <v>90</v>
      </c>
      <c r="B268" s="2" t="s">
        <v>90</v>
      </c>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1" t="str">
        <f t="shared" si="1"/>
        <v/>
      </c>
      <c r="B269" s="2" t="s">
        <v>1</v>
      </c>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1" t="str">
        <f t="shared" si="1"/>
        <v/>
      </c>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1">
        <f t="shared" si="1"/>
        <v>91</v>
      </c>
      <c r="B271" s="2" t="s">
        <v>91</v>
      </c>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1" t="str">
        <f t="shared" si="1"/>
        <v/>
      </c>
      <c r="B272" s="2" t="s">
        <v>1</v>
      </c>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1" t="str">
        <f t="shared" si="1"/>
        <v/>
      </c>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1">
        <f t="shared" si="1"/>
        <v>92</v>
      </c>
      <c r="B274" s="2" t="s">
        <v>92</v>
      </c>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1" t="str">
        <f t="shared" si="1"/>
        <v/>
      </c>
      <c r="B275" s="2" t="s">
        <v>1</v>
      </c>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1" t="str">
        <f t="shared" si="1"/>
        <v/>
      </c>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1">
        <f t="shared" si="1"/>
        <v>93</v>
      </c>
      <c r="B277" s="2" t="s">
        <v>93</v>
      </c>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1" t="str">
        <f t="shared" si="1"/>
        <v/>
      </c>
      <c r="B278" s="2" t="s">
        <v>1</v>
      </c>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1" t="str">
        <f t="shared" si="1"/>
        <v/>
      </c>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1">
        <f t="shared" si="1"/>
        <v>94</v>
      </c>
      <c r="B280" s="2" t="s">
        <v>94</v>
      </c>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1" t="str">
        <f t="shared" si="1"/>
        <v/>
      </c>
      <c r="B281" s="2" t="s">
        <v>1</v>
      </c>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1" t="str">
        <f t="shared" si="1"/>
        <v/>
      </c>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1">
        <f t="shared" si="1"/>
        <v>95</v>
      </c>
      <c r="B283" s="2" t="s">
        <v>95</v>
      </c>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1" t="str">
        <f t="shared" si="1"/>
        <v/>
      </c>
      <c r="B284" s="2" t="s">
        <v>1</v>
      </c>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1" t="str">
        <f t="shared" si="1"/>
        <v/>
      </c>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1">
        <f t="shared" si="1"/>
        <v>96</v>
      </c>
      <c r="B286" s="2" t="s">
        <v>96</v>
      </c>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1" t="str">
        <f t="shared" si="1"/>
        <v/>
      </c>
      <c r="B287" s="2" t="s">
        <v>1</v>
      </c>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1" t="str">
        <f t="shared" si="1"/>
        <v/>
      </c>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1">
        <f t="shared" si="1"/>
        <v>97</v>
      </c>
      <c r="B289" s="2" t="s">
        <v>97</v>
      </c>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1" t="str">
        <f t="shared" si="1"/>
        <v/>
      </c>
      <c r="B290" s="2" t="s">
        <v>1</v>
      </c>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1" t="str">
        <f t="shared" si="1"/>
        <v/>
      </c>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1">
        <f t="shared" si="1"/>
        <v>98</v>
      </c>
      <c r="B292" s="2" t="s">
        <v>98</v>
      </c>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1" t="str">
        <f t="shared" si="1"/>
        <v/>
      </c>
      <c r="B293" s="2" t="s">
        <v>1</v>
      </c>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1" t="str">
        <f t="shared" si="1"/>
        <v/>
      </c>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1">
        <f t="shared" si="1"/>
        <v>99</v>
      </c>
      <c r="B295" s="2" t="s">
        <v>99</v>
      </c>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1" t="str">
        <f t="shared" si="1"/>
        <v/>
      </c>
      <c r="B296" s="2" t="s">
        <v>1</v>
      </c>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1" t="str">
        <f t="shared" si="1"/>
        <v/>
      </c>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1">
        <f t="shared" si="1"/>
        <v>100</v>
      </c>
      <c r="B298" s="2" t="s">
        <v>100</v>
      </c>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1" t="str">
        <f t="shared" si="1"/>
        <v/>
      </c>
      <c r="B299" s="2" t="s">
        <v>1</v>
      </c>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1" t="str">
        <f t="shared" si="1"/>
        <v/>
      </c>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1">
        <f t="shared" si="1"/>
        <v>101</v>
      </c>
      <c r="B301" s="2" t="s">
        <v>101</v>
      </c>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1" t="str">
        <f t="shared" si="1"/>
        <v/>
      </c>
      <c r="B302" s="2" t="s">
        <v>1</v>
      </c>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1" t="str">
        <f t="shared" si="1"/>
        <v/>
      </c>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1">
        <f t="shared" si="1"/>
        <v>102</v>
      </c>
      <c r="B304" s="2" t="s">
        <v>102</v>
      </c>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1" t="str">
        <f t="shared" si="1"/>
        <v/>
      </c>
      <c r="B305" s="2" t="s">
        <v>1</v>
      </c>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1" t="str">
        <f t="shared" si="1"/>
        <v/>
      </c>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1">
        <f t="shared" si="1"/>
        <v>103</v>
      </c>
      <c r="B307" s="2" t="s">
        <v>103</v>
      </c>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1" t="str">
        <f t="shared" si="1"/>
        <v/>
      </c>
      <c r="B308" s="2" t="s">
        <v>1</v>
      </c>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1" t="str">
        <f t="shared" si="1"/>
        <v/>
      </c>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1">
        <f t="shared" si="1"/>
        <v>104</v>
      </c>
      <c r="B310" s="2" t="s">
        <v>104</v>
      </c>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1" t="str">
        <f t="shared" si="1"/>
        <v/>
      </c>
      <c r="B311" s="2" t="s">
        <v>1</v>
      </c>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1" t="str">
        <f t="shared" si="1"/>
        <v/>
      </c>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1">
        <f t="shared" si="1"/>
        <v>105</v>
      </c>
      <c r="B313" s="2" t="s">
        <v>105</v>
      </c>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1" t="str">
        <f t="shared" si="1"/>
        <v/>
      </c>
      <c r="B314" s="2" t="s">
        <v>1</v>
      </c>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1" t="str">
        <f t="shared" si="1"/>
        <v/>
      </c>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1">
        <f t="shared" si="1"/>
        <v>106</v>
      </c>
      <c r="B316" s="2" t="s">
        <v>106</v>
      </c>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1" t="str">
        <f t="shared" si="1"/>
        <v/>
      </c>
      <c r="B317" s="2" t="s">
        <v>1</v>
      </c>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1" t="str">
        <f t="shared" si="1"/>
        <v/>
      </c>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1">
        <f t="shared" si="1"/>
        <v>107</v>
      </c>
      <c r="B319" s="2" t="s">
        <v>107</v>
      </c>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1" t="str">
        <f t="shared" si="1"/>
        <v/>
      </c>
      <c r="B320" s="2" t="s">
        <v>1</v>
      </c>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1" t="str">
        <f t="shared" si="1"/>
        <v/>
      </c>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1">
        <f t="shared" si="1"/>
        <v>108</v>
      </c>
      <c r="B322" s="2" t="s">
        <v>108</v>
      </c>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1" t="str">
        <f t="shared" si="1"/>
        <v/>
      </c>
      <c r="B323" s="2" t="s">
        <v>1</v>
      </c>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1" t="str">
        <f t="shared" si="1"/>
        <v/>
      </c>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1">
        <f t="shared" si="1"/>
        <v>109</v>
      </c>
      <c r="B325" s="2" t="s">
        <v>109</v>
      </c>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1" t="str">
        <f t="shared" si="1"/>
        <v/>
      </c>
      <c r="B326" s="2" t="s">
        <v>1</v>
      </c>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1" t="str">
        <f t="shared" si="1"/>
        <v/>
      </c>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1">
        <f t="shared" si="1"/>
        <v>110</v>
      </c>
      <c r="B328" s="2" t="s">
        <v>110</v>
      </c>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1" t="str">
        <f t="shared" si="1"/>
        <v/>
      </c>
      <c r="B329" s="2" t="s">
        <v>1</v>
      </c>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1" t="str">
        <f t="shared" si="1"/>
        <v/>
      </c>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1">
        <f t="shared" si="1"/>
        <v>111</v>
      </c>
      <c r="B331" s="2" t="s">
        <v>111</v>
      </c>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1" t="str">
        <f t="shared" si="1"/>
        <v/>
      </c>
      <c r="B332" s="2" t="s">
        <v>1</v>
      </c>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1" t="str">
        <f t="shared" si="1"/>
        <v/>
      </c>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1">
        <f t="shared" si="1"/>
        <v>112</v>
      </c>
      <c r="B334" s="2" t="s">
        <v>112</v>
      </c>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1" t="str">
        <f t="shared" si="1"/>
        <v/>
      </c>
      <c r="B335" s="2" t="s">
        <v>1</v>
      </c>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1" t="str">
        <f t="shared" si="1"/>
        <v/>
      </c>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1">
        <f t="shared" si="1"/>
        <v>113</v>
      </c>
      <c r="B337" s="2" t="s">
        <v>113</v>
      </c>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1" t="str">
        <f t="shared" si="1"/>
        <v/>
      </c>
      <c r="B338" s="2" t="s">
        <v>1</v>
      </c>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1" t="str">
        <f t="shared" si="1"/>
        <v/>
      </c>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1">
        <f t="shared" si="1"/>
        <v>114</v>
      </c>
      <c r="B340" s="2" t="s">
        <v>114</v>
      </c>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1" t="str">
        <f t="shared" si="1"/>
        <v/>
      </c>
      <c r="B341" s="2" t="s">
        <v>1</v>
      </c>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1" t="str">
        <f t="shared" si="1"/>
        <v/>
      </c>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1">
        <f t="shared" si="1"/>
        <v>115</v>
      </c>
      <c r="B343" s="2" t="s">
        <v>115</v>
      </c>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1" t="str">
        <f t="shared" si="1"/>
        <v/>
      </c>
      <c r="B344" s="2" t="s">
        <v>1</v>
      </c>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1" t="str">
        <f t="shared" si="1"/>
        <v/>
      </c>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1">
        <f t="shared" si="1"/>
        <v>116</v>
      </c>
      <c r="B346" s="2" t="s">
        <v>116</v>
      </c>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1" t="str">
        <f t="shared" si="1"/>
        <v/>
      </c>
      <c r="B347" s="2" t="s">
        <v>1</v>
      </c>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1" t="str">
        <f t="shared" si="1"/>
        <v/>
      </c>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1">
        <f t="shared" si="1"/>
        <v>117</v>
      </c>
      <c r="B349" s="2" t="s">
        <v>117</v>
      </c>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1" t="str">
        <f t="shared" si="1"/>
        <v/>
      </c>
      <c r="B350" s="2" t="s">
        <v>1</v>
      </c>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1" t="str">
        <f t="shared" si="1"/>
        <v/>
      </c>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1">
        <f t="shared" si="1"/>
        <v>118</v>
      </c>
      <c r="B352" s="2" t="s">
        <v>118</v>
      </c>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1" t="str">
        <f t="shared" si="1"/>
        <v/>
      </c>
      <c r="B353" s="2" t="s">
        <v>1</v>
      </c>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1" t="str">
        <f t="shared" si="1"/>
        <v/>
      </c>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1">
        <f t="shared" si="1"/>
        <v>119</v>
      </c>
      <c r="B355" s="2" t="s">
        <v>119</v>
      </c>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1" t="str">
        <f t="shared" si="1"/>
        <v/>
      </c>
      <c r="B356" s="2" t="s">
        <v>1</v>
      </c>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1" t="str">
        <f t="shared" si="1"/>
        <v/>
      </c>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1">
        <f t="shared" si="1"/>
        <v>120</v>
      </c>
      <c r="B358" s="2" t="s">
        <v>120</v>
      </c>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1" t="str">
        <f t="shared" si="1"/>
        <v/>
      </c>
      <c r="B359" s="2" t="s">
        <v>1</v>
      </c>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1" t="str">
        <f t="shared" si="1"/>
        <v/>
      </c>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1">
        <f t="shared" si="1"/>
        <v>121</v>
      </c>
      <c r="B361" s="2" t="s">
        <v>121</v>
      </c>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1" t="str">
        <f t="shared" si="1"/>
        <v/>
      </c>
      <c r="B362" s="2" t="s">
        <v>1</v>
      </c>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1" t="str">
        <f t="shared" si="1"/>
        <v/>
      </c>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1">
        <f t="shared" si="1"/>
        <v>122</v>
      </c>
      <c r="B364" s="2" t="s">
        <v>122</v>
      </c>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1" t="str">
        <f t="shared" si="1"/>
        <v/>
      </c>
      <c r="B365" s="2" t="s">
        <v>1</v>
      </c>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1" t="str">
        <f t="shared" si="1"/>
        <v/>
      </c>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1">
        <f t="shared" si="1"/>
        <v>123</v>
      </c>
      <c r="B367" s="2" t="s">
        <v>123</v>
      </c>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1" t="str">
        <f t="shared" si="1"/>
        <v/>
      </c>
      <c r="B368" s="2" t="s">
        <v>1</v>
      </c>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1" t="str">
        <f t="shared" si="1"/>
        <v/>
      </c>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1">
        <f t="shared" si="1"/>
        <v>124</v>
      </c>
      <c r="B370" s="2" t="s">
        <v>124</v>
      </c>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1" t="str">
        <f t="shared" si="1"/>
        <v/>
      </c>
      <c r="B371" s="2" t="s">
        <v>1</v>
      </c>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1" t="str">
        <f t="shared" si="1"/>
        <v/>
      </c>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1">
        <f t="shared" si="1"/>
        <v>125</v>
      </c>
      <c r="B373" s="2" t="s">
        <v>125</v>
      </c>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1" t="str">
        <f t="shared" si="1"/>
        <v/>
      </c>
      <c r="B374" s="2" t="s">
        <v>1</v>
      </c>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1" t="str">
        <f t="shared" si="1"/>
        <v/>
      </c>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1">
        <f t="shared" si="1"/>
        <v>126</v>
      </c>
      <c r="B376" s="2" t="s">
        <v>126</v>
      </c>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1" t="str">
        <f t="shared" si="1"/>
        <v/>
      </c>
      <c r="B377" s="2" t="s">
        <v>1</v>
      </c>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1" t="str">
        <f t="shared" si="1"/>
        <v/>
      </c>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1">
        <f t="shared" si="1"/>
        <v>127</v>
      </c>
      <c r="B379" s="2" t="s">
        <v>127</v>
      </c>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1" t="str">
        <f t="shared" si="1"/>
        <v/>
      </c>
      <c r="B380" s="2" t="s">
        <v>1</v>
      </c>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1" t="str">
        <f t="shared" si="1"/>
        <v/>
      </c>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1">
        <f t="shared" si="1"/>
        <v>128</v>
      </c>
      <c r="B382" s="2" t="s">
        <v>128</v>
      </c>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1" t="str">
        <f t="shared" si="1"/>
        <v/>
      </c>
      <c r="B383" s="2" t="s">
        <v>1</v>
      </c>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1" t="str">
        <f t="shared" si="1"/>
        <v/>
      </c>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1">
        <f t="shared" si="1"/>
        <v>129</v>
      </c>
      <c r="B385" s="2" t="s">
        <v>129</v>
      </c>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1" t="str">
        <f t="shared" si="1"/>
        <v/>
      </c>
      <c r="B386" s="2" t="s">
        <v>1</v>
      </c>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1" t="str">
        <f t="shared" si="1"/>
        <v/>
      </c>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1">
        <f t="shared" si="1"/>
        <v>130</v>
      </c>
      <c r="B388" s="2" t="s">
        <v>130</v>
      </c>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1" t="str">
        <f t="shared" si="1"/>
        <v/>
      </c>
      <c r="B389" s="2" t="s">
        <v>1</v>
      </c>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1" t="str">
        <f t="shared" si="1"/>
        <v/>
      </c>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1">
        <f t="shared" si="1"/>
        <v>131</v>
      </c>
      <c r="B391" s="2" t="s">
        <v>131</v>
      </c>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1" t="str">
        <f t="shared" si="1"/>
        <v/>
      </c>
      <c r="B392" s="2" t="s">
        <v>1</v>
      </c>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1" t="str">
        <f t="shared" si="1"/>
        <v/>
      </c>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1">
        <f t="shared" si="1"/>
        <v>132</v>
      </c>
      <c r="B394" s="2" t="s">
        <v>132</v>
      </c>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1" t="str">
        <f t="shared" si="1"/>
        <v/>
      </c>
      <c r="B395" s="2" t="s">
        <v>1</v>
      </c>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1" t="str">
        <f t="shared" si="1"/>
        <v/>
      </c>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1">
        <f t="shared" si="1"/>
        <v>133</v>
      </c>
      <c r="B397" s="2" t="s">
        <v>133</v>
      </c>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1" t="str">
        <f t="shared" si="1"/>
        <v/>
      </c>
      <c r="B398" s="2" t="s">
        <v>1</v>
      </c>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1" t="str">
        <f t="shared" si="1"/>
        <v/>
      </c>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1">
        <f t="shared" si="1"/>
        <v>134</v>
      </c>
      <c r="B400" s="2" t="s">
        <v>134</v>
      </c>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1" t="str">
        <f t="shared" si="1"/>
        <v/>
      </c>
      <c r="B401" s="2" t="s">
        <v>1</v>
      </c>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1" t="str">
        <f t="shared" si="1"/>
        <v/>
      </c>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1">
        <f t="shared" si="1"/>
        <v>135</v>
      </c>
      <c r="B403" s="2" t="s">
        <v>135</v>
      </c>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1" t="str">
        <f t="shared" si="1"/>
        <v/>
      </c>
      <c r="B404" s="2" t="s">
        <v>1</v>
      </c>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1" t="str">
        <f t="shared" si="1"/>
        <v/>
      </c>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1">
        <f t="shared" si="1"/>
        <v>136</v>
      </c>
      <c r="B406" s="2" t="s">
        <v>136</v>
      </c>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1" t="str">
        <f t="shared" si="1"/>
        <v/>
      </c>
      <c r="B407" s="2" t="s">
        <v>1</v>
      </c>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1" t="str">
        <f t="shared" si="1"/>
        <v/>
      </c>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1">
        <f t="shared" si="1"/>
        <v>137</v>
      </c>
      <c r="B409" s="2" t="s">
        <v>137</v>
      </c>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1" t="str">
        <f t="shared" si="1"/>
        <v/>
      </c>
      <c r="B410" s="2" t="s">
        <v>1</v>
      </c>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1" t="str">
        <f t="shared" si="1"/>
        <v/>
      </c>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1">
        <f t="shared" si="1"/>
        <v>138</v>
      </c>
      <c r="B412" s="2" t="s">
        <v>138</v>
      </c>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1" t="str">
        <f t="shared" si="1"/>
        <v/>
      </c>
      <c r="B413" s="2" t="s">
        <v>1</v>
      </c>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1" t="str">
        <f t="shared" si="1"/>
        <v/>
      </c>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1">
        <f t="shared" si="1"/>
        <v>139</v>
      </c>
      <c r="B415" s="2" t="s">
        <v>139</v>
      </c>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1" t="str">
        <f t="shared" si="1"/>
        <v/>
      </c>
      <c r="B416" s="2" t="s">
        <v>1</v>
      </c>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1" t="str">
        <f t="shared" si="1"/>
        <v/>
      </c>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1">
        <f t="shared" si="1"/>
        <v>140</v>
      </c>
      <c r="B418" s="2" t="s">
        <v>140</v>
      </c>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1" t="str">
        <f t="shared" si="1"/>
        <v/>
      </c>
      <c r="B419" s="2" t="s">
        <v>1</v>
      </c>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1" t="str">
        <f t="shared" si="1"/>
        <v/>
      </c>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1">
        <f t="shared" si="1"/>
        <v>141</v>
      </c>
      <c r="B421" s="2" t="s">
        <v>141</v>
      </c>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1" t="str">
        <f t="shared" si="1"/>
        <v/>
      </c>
      <c r="B422" s="2" t="s">
        <v>1</v>
      </c>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1" t="str">
        <f t="shared" si="1"/>
        <v/>
      </c>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1">
        <f t="shared" si="1"/>
        <v>142</v>
      </c>
      <c r="B424" s="2" t="s">
        <v>142</v>
      </c>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1" t="str">
        <f t="shared" si="1"/>
        <v/>
      </c>
      <c r="B425" s="2" t="s">
        <v>1</v>
      </c>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1" t="str">
        <f t="shared" si="1"/>
        <v/>
      </c>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1">
        <f t="shared" si="1"/>
        <v>143</v>
      </c>
      <c r="B427" s="2" t="s">
        <v>143</v>
      </c>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1" t="str">
        <f t="shared" si="1"/>
        <v/>
      </c>
      <c r="B428" s="2" t="s">
        <v>1</v>
      </c>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1" t="str">
        <f t="shared" si="1"/>
        <v/>
      </c>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1">
        <f t="shared" si="1"/>
        <v>144</v>
      </c>
      <c r="B430" s="2" t="s">
        <v>144</v>
      </c>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1" t="str">
        <f t="shared" si="1"/>
        <v/>
      </c>
      <c r="B431" s="2" t="s">
        <v>1</v>
      </c>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1" t="str">
        <f t="shared" si="1"/>
        <v/>
      </c>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1">
        <f t="shared" si="1"/>
        <v>145</v>
      </c>
      <c r="B433" s="2" t="s">
        <v>145</v>
      </c>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1" t="str">
        <f t="shared" si="1"/>
        <v/>
      </c>
      <c r="B434" s="2" t="s">
        <v>1</v>
      </c>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1" t="str">
        <f t="shared" si="1"/>
        <v/>
      </c>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1">
        <f t="shared" si="1"/>
        <v>146</v>
      </c>
      <c r="B436" s="2" t="s">
        <v>146</v>
      </c>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1" t="str">
        <f t="shared" si="1"/>
        <v/>
      </c>
      <c r="B437" s="2" t="s">
        <v>1</v>
      </c>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1" t="str">
        <f t="shared" si="1"/>
        <v/>
      </c>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1">
        <f t="shared" si="1"/>
        <v>147</v>
      </c>
      <c r="B439" s="2" t="s">
        <v>147</v>
      </c>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1" t="str">
        <f t="shared" si="1"/>
        <v/>
      </c>
      <c r="B440" s="2" t="s">
        <v>1</v>
      </c>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1" t="str">
        <f t="shared" si="1"/>
        <v/>
      </c>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1">
        <f t="shared" si="1"/>
        <v>148</v>
      </c>
      <c r="B442" s="2" t="s">
        <v>148</v>
      </c>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1" t="str">
        <f t="shared" si="1"/>
        <v/>
      </c>
      <c r="B443" s="2" t="s">
        <v>1</v>
      </c>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1" t="str">
        <f t="shared" si="1"/>
        <v/>
      </c>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1">
        <f t="shared" si="1"/>
        <v>149</v>
      </c>
      <c r="B445" s="2" t="s">
        <v>149</v>
      </c>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1" t="str">
        <f t="shared" si="1"/>
        <v/>
      </c>
      <c r="B446" s="2" t="s">
        <v>1</v>
      </c>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1" t="str">
        <f t="shared" si="1"/>
        <v/>
      </c>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1">
        <f t="shared" si="1"/>
        <v>150</v>
      </c>
      <c r="B448" s="2" t="s">
        <v>150</v>
      </c>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1" t="str">
        <f t="shared" si="1"/>
        <v/>
      </c>
      <c r="B449" s="2" t="s">
        <v>1</v>
      </c>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1" t="str">
        <f t="shared" si="1"/>
        <v/>
      </c>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1">
        <f t="shared" si="1"/>
        <v>151</v>
      </c>
      <c r="B451" s="2" t="s">
        <v>151</v>
      </c>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1" t="str">
        <f t="shared" si="1"/>
        <v/>
      </c>
      <c r="B452" s="2" t="s">
        <v>1</v>
      </c>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1" t="str">
        <f t="shared" si="1"/>
        <v/>
      </c>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1">
        <f t="shared" si="1"/>
        <v>152</v>
      </c>
      <c r="B454" s="2" t="s">
        <v>152</v>
      </c>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1" t="str">
        <f t="shared" si="1"/>
        <v/>
      </c>
      <c r="B455" s="2" t="s">
        <v>1</v>
      </c>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1" t="str">
        <f t="shared" si="1"/>
        <v/>
      </c>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1">
        <f t="shared" si="1"/>
        <v>153</v>
      </c>
      <c r="B457" s="2" t="s">
        <v>153</v>
      </c>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1" t="str">
        <f t="shared" si="1"/>
        <v/>
      </c>
      <c r="B458" s="2" t="s">
        <v>1</v>
      </c>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1" t="str">
        <f t="shared" si="1"/>
        <v/>
      </c>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1">
        <f t="shared" si="1"/>
        <v>154</v>
      </c>
      <c r="B460" s="2" t="s">
        <v>154</v>
      </c>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1" t="str">
        <f t="shared" si="1"/>
        <v/>
      </c>
      <c r="B461" s="2" t="s">
        <v>1</v>
      </c>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1" t="str">
        <f t="shared" si="1"/>
        <v/>
      </c>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1">
        <f t="shared" si="1"/>
        <v>155</v>
      </c>
      <c r="B463" s="2" t="s">
        <v>155</v>
      </c>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1" t="str">
        <f t="shared" si="1"/>
        <v/>
      </c>
      <c r="B464" s="2" t="s">
        <v>1</v>
      </c>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1" t="str">
        <f t="shared" si="1"/>
        <v/>
      </c>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1">
        <f t="shared" si="1"/>
        <v>156</v>
      </c>
      <c r="B466" s="2" t="s">
        <v>156</v>
      </c>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1" t="str">
        <f t="shared" si="1"/>
        <v/>
      </c>
      <c r="B467" s="2" t="s">
        <v>1</v>
      </c>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1" t="str">
        <f t="shared" si="1"/>
        <v/>
      </c>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1">
        <f t="shared" si="1"/>
        <v>157</v>
      </c>
      <c r="B469" s="2" t="s">
        <v>157</v>
      </c>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1" t="str">
        <f t="shared" si="1"/>
        <v/>
      </c>
      <c r="B470" s="2" t="s">
        <v>1</v>
      </c>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1" t="str">
        <f t="shared" si="1"/>
        <v/>
      </c>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1">
        <f t="shared" si="1"/>
        <v>158</v>
      </c>
      <c r="B472" s="2" t="s">
        <v>158</v>
      </c>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1" t="str">
        <f t="shared" si="1"/>
        <v/>
      </c>
      <c r="B473" s="2" t="s">
        <v>1</v>
      </c>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1" t="str">
        <f t="shared" si="1"/>
        <v/>
      </c>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1">
        <f t="shared" si="1"/>
        <v>159</v>
      </c>
      <c r="B475" s="2" t="s">
        <v>159</v>
      </c>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1" t="str">
        <f t="shared" si="1"/>
        <v/>
      </c>
      <c r="B476" s="2" t="s">
        <v>1</v>
      </c>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1" t="str">
        <f t="shared" si="1"/>
        <v/>
      </c>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1">
        <f t="shared" si="1"/>
        <v>160</v>
      </c>
      <c r="B478" s="2" t="s">
        <v>160</v>
      </c>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1" t="str">
        <f t="shared" si="1"/>
        <v/>
      </c>
      <c r="B479" s="2" t="s">
        <v>1</v>
      </c>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1" t="str">
        <f t="shared" si="1"/>
        <v/>
      </c>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1">
        <f t="shared" si="1"/>
        <v>161</v>
      </c>
      <c r="B481" s="2" t="s">
        <v>161</v>
      </c>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1" t="str">
        <f t="shared" si="1"/>
        <v/>
      </c>
      <c r="B482" s="2" t="s">
        <v>1</v>
      </c>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1" t="str">
        <f t="shared" si="1"/>
        <v/>
      </c>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1">
        <f t="shared" si="1"/>
        <v>162</v>
      </c>
      <c r="B484" s="2" t="s">
        <v>162</v>
      </c>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1" t="str">
        <f t="shared" si="1"/>
        <v/>
      </c>
      <c r="B485" s="2" t="s">
        <v>1</v>
      </c>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1" t="str">
        <f t="shared" si="1"/>
        <v/>
      </c>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1">
        <f t="shared" si="1"/>
        <v>163</v>
      </c>
      <c r="B487" s="2" t="s">
        <v>163</v>
      </c>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1" t="str">
        <f t="shared" si="1"/>
        <v/>
      </c>
      <c r="B488" s="2" t="s">
        <v>1</v>
      </c>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1" t="str">
        <f t="shared" si="1"/>
        <v/>
      </c>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1">
        <f t="shared" si="1"/>
        <v>164</v>
      </c>
      <c r="B490" s="2" t="s">
        <v>164</v>
      </c>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1" t="str">
        <f t="shared" si="1"/>
        <v/>
      </c>
      <c r="B491" s="2" t="s">
        <v>1</v>
      </c>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1" t="str">
        <f t="shared" si="1"/>
        <v/>
      </c>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1">
        <f t="shared" si="1"/>
        <v>165</v>
      </c>
      <c r="B493" s="2" t="s">
        <v>165</v>
      </c>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1" t="str">
        <f t="shared" si="1"/>
        <v/>
      </c>
      <c r="B494" s="2" t="s">
        <v>1</v>
      </c>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1" t="str">
        <f t="shared" si="1"/>
        <v/>
      </c>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1">
        <f t="shared" si="1"/>
        <v>166</v>
      </c>
      <c r="B496" s="2" t="s">
        <v>166</v>
      </c>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1" t="str">
        <f t="shared" si="1"/>
        <v/>
      </c>
      <c r="B497" s="2" t="s">
        <v>1</v>
      </c>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1" t="str">
        <f t="shared" si="1"/>
        <v/>
      </c>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1">
        <f t="shared" si="1"/>
        <v>167</v>
      </c>
      <c r="B499" s="2" t="s">
        <v>167</v>
      </c>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1" t="str">
        <f t="shared" si="1"/>
        <v/>
      </c>
      <c r="B500" s="2" t="s">
        <v>1</v>
      </c>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1" t="str">
        <f t="shared" si="1"/>
        <v/>
      </c>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1">
        <f t="shared" si="1"/>
        <v>168</v>
      </c>
      <c r="B502" s="2" t="s">
        <v>168</v>
      </c>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1" t="str">
        <f t="shared" si="1"/>
        <v/>
      </c>
      <c r="B503" s="2" t="s">
        <v>1</v>
      </c>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1" t="str">
        <f t="shared" si="1"/>
        <v/>
      </c>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1">
        <f t="shared" si="1"/>
        <v>169</v>
      </c>
      <c r="B505" s="2" t="s">
        <v>169</v>
      </c>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1" t="str">
        <f t="shared" si="1"/>
        <v/>
      </c>
      <c r="B506" s="2" t="s">
        <v>1</v>
      </c>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1" t="str">
        <f t="shared" si="1"/>
        <v/>
      </c>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1">
        <f t="shared" si="1"/>
        <v>170</v>
      </c>
      <c r="B508" s="2" t="s">
        <v>170</v>
      </c>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1" t="str">
        <f t="shared" si="1"/>
        <v/>
      </c>
      <c r="B509" s="2" t="s">
        <v>1</v>
      </c>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1" t="str">
        <f t="shared" si="1"/>
        <v/>
      </c>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1">
        <f t="shared" si="1"/>
        <v>171</v>
      </c>
      <c r="B511" s="2" t="s">
        <v>171</v>
      </c>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1" t="str">
        <f t="shared" si="1"/>
        <v/>
      </c>
      <c r="B512" s="2" t="s">
        <v>1</v>
      </c>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1" t="str">
        <f t="shared" si="1"/>
        <v/>
      </c>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1">
        <f t="shared" si="1"/>
        <v>172</v>
      </c>
      <c r="B514" s="2" t="s">
        <v>172</v>
      </c>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1" t="str">
        <f t="shared" si="1"/>
        <v/>
      </c>
      <c r="B515" s="2" t="s">
        <v>1</v>
      </c>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1" t="str">
        <f t="shared" si="1"/>
        <v/>
      </c>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1">
        <f t="shared" si="1"/>
        <v>173</v>
      </c>
      <c r="B517" s="2" t="s">
        <v>173</v>
      </c>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1" t="str">
        <f t="shared" si="1"/>
        <v/>
      </c>
      <c r="B518" s="2" t="s">
        <v>1</v>
      </c>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1" t="str">
        <f t="shared" si="1"/>
        <v/>
      </c>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1">
        <f t="shared" si="1"/>
        <v>174</v>
      </c>
      <c r="B520" s="2" t="s">
        <v>174</v>
      </c>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1" t="str">
        <f t="shared" si="1"/>
        <v/>
      </c>
      <c r="B521" s="2" t="s">
        <v>1</v>
      </c>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1" t="str">
        <f t="shared" si="1"/>
        <v/>
      </c>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1">
        <f t="shared" si="1"/>
        <v>175</v>
      </c>
      <c r="B523" s="2" t="s">
        <v>175</v>
      </c>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1" t="str">
        <f t="shared" si="1"/>
        <v/>
      </c>
      <c r="B524" s="2" t="s">
        <v>1</v>
      </c>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1" t="str">
        <f t="shared" si="1"/>
        <v/>
      </c>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1">
        <f t="shared" si="1"/>
        <v>176</v>
      </c>
      <c r="B526" s="2" t="s">
        <v>176</v>
      </c>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1" t="str">
        <f t="shared" si="1"/>
        <v/>
      </c>
      <c r="B527" s="2" t="s">
        <v>1</v>
      </c>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1" t="str">
        <f t="shared" si="1"/>
        <v/>
      </c>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1">
        <f t="shared" si="1"/>
        <v>177</v>
      </c>
      <c r="B529" s="2" t="s">
        <v>177</v>
      </c>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1" t="str">
        <f t="shared" si="1"/>
        <v/>
      </c>
      <c r="B530" s="2" t="s">
        <v>1</v>
      </c>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1" t="str">
        <f t="shared" si="1"/>
        <v/>
      </c>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1">
        <f t="shared" si="1"/>
        <v>178</v>
      </c>
      <c r="B532" s="2" t="s">
        <v>178</v>
      </c>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1" t="str">
        <f t="shared" si="1"/>
        <v/>
      </c>
      <c r="B533" s="2" t="s">
        <v>1</v>
      </c>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1" t="str">
        <f t="shared" si="1"/>
        <v/>
      </c>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1">
        <f t="shared" si="1"/>
        <v>179</v>
      </c>
      <c r="B535" s="2" t="s">
        <v>179</v>
      </c>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1" t="str">
        <f t="shared" si="1"/>
        <v/>
      </c>
      <c r="B536" s="2" t="s">
        <v>1</v>
      </c>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1" t="str">
        <f t="shared" si="1"/>
        <v/>
      </c>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1">
        <f t="shared" si="1"/>
        <v>180</v>
      </c>
      <c r="B538" s="2" t="s">
        <v>180</v>
      </c>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1" t="str">
        <f t="shared" si="1"/>
        <v/>
      </c>
      <c r="B539" s="2" t="s">
        <v>1</v>
      </c>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1" t="str">
        <f t="shared" si="1"/>
        <v/>
      </c>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1">
        <f t="shared" si="1"/>
        <v>181</v>
      </c>
      <c r="B541" s="2" t="s">
        <v>181</v>
      </c>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1" t="str">
        <f t="shared" si="1"/>
        <v/>
      </c>
      <c r="B542" s="2" t="s">
        <v>1</v>
      </c>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1" t="str">
        <f t="shared" si="1"/>
        <v/>
      </c>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1">
        <f t="shared" si="1"/>
        <v>182</v>
      </c>
      <c r="B544" s="2" t="s">
        <v>182</v>
      </c>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1" t="str">
        <f t="shared" si="1"/>
        <v/>
      </c>
      <c r="B545" s="2" t="s">
        <v>1</v>
      </c>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1" t="str">
        <f t="shared" si="1"/>
        <v/>
      </c>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1">
        <f t="shared" si="1"/>
        <v>183</v>
      </c>
      <c r="B547" s="2" t="s">
        <v>183</v>
      </c>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1" t="str">
        <f t="shared" si="1"/>
        <v/>
      </c>
      <c r="B548" s="2" t="s">
        <v>1</v>
      </c>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1" t="str">
        <f t="shared" si="1"/>
        <v/>
      </c>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1">
        <f t="shared" si="1"/>
        <v>184</v>
      </c>
      <c r="B550" s="2" t="s">
        <v>184</v>
      </c>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1" t="str">
        <f t="shared" si="1"/>
        <v/>
      </c>
      <c r="B551" s="2" t="s">
        <v>1</v>
      </c>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1" t="str">
        <f t="shared" si="1"/>
        <v/>
      </c>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1">
        <f t="shared" si="1"/>
        <v>185</v>
      </c>
      <c r="B553" s="2" t="s">
        <v>185</v>
      </c>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1" t="str">
        <f t="shared" si="1"/>
        <v/>
      </c>
      <c r="B554" s="2" t="s">
        <v>1</v>
      </c>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1" t="str">
        <f t="shared" si="1"/>
        <v/>
      </c>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1">
        <f t="shared" si="1"/>
        <v>186</v>
      </c>
      <c r="B556" s="2" t="s">
        <v>186</v>
      </c>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1" t="str">
        <f t="shared" si="1"/>
        <v/>
      </c>
      <c r="B557" s="2" t="s">
        <v>1</v>
      </c>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1" t="str">
        <f t="shared" si="1"/>
        <v/>
      </c>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1">
        <f t="shared" si="1"/>
        <v>187</v>
      </c>
      <c r="B559" s="2" t="s">
        <v>187</v>
      </c>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1" t="str">
        <f t="shared" si="1"/>
        <v/>
      </c>
      <c r="B560" s="2" t="s">
        <v>1</v>
      </c>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1" t="str">
        <f t="shared" si="1"/>
        <v/>
      </c>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1">
        <f t="shared" si="1"/>
        <v>188</v>
      </c>
      <c r="B562" s="2" t="s">
        <v>188</v>
      </c>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1" t="str">
        <f t="shared" si="1"/>
        <v/>
      </c>
      <c r="B563" s="2" t="s">
        <v>1</v>
      </c>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1" t="str">
        <f t="shared" si="1"/>
        <v/>
      </c>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1">
        <f t="shared" si="1"/>
        <v>189</v>
      </c>
      <c r="B565" s="2" t="s">
        <v>189</v>
      </c>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1" t="str">
        <f t="shared" si="1"/>
        <v/>
      </c>
      <c r="B566" s="2" t="s">
        <v>1</v>
      </c>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1" t="str">
        <f t="shared" si="1"/>
        <v/>
      </c>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1">
        <f t="shared" si="1"/>
        <v>190</v>
      </c>
      <c r="B568" s="2" t="s">
        <v>190</v>
      </c>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1" t="str">
        <f t="shared" si="1"/>
        <v/>
      </c>
      <c r="B569" s="2" t="s">
        <v>1</v>
      </c>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1" t="str">
        <f t="shared" si="1"/>
        <v/>
      </c>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1">
        <f t="shared" si="1"/>
        <v>191</v>
      </c>
      <c r="B571" s="2" t="s">
        <v>191</v>
      </c>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1" t="str">
        <f t="shared" si="1"/>
        <v/>
      </c>
      <c r="B572" s="2" t="s">
        <v>1</v>
      </c>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1" t="str">
        <f t="shared" si="1"/>
        <v/>
      </c>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1">
        <f t="shared" si="1"/>
        <v>192</v>
      </c>
      <c r="B574" s="2" t="s">
        <v>192</v>
      </c>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1" t="str">
        <f t="shared" si="1"/>
        <v/>
      </c>
      <c r="B575" s="2" t="s">
        <v>1</v>
      </c>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1" t="str">
        <f t="shared" si="1"/>
        <v/>
      </c>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1">
        <f t="shared" si="1"/>
        <v>193</v>
      </c>
      <c r="B577" s="2" t="s">
        <v>193</v>
      </c>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1" t="str">
        <f t="shared" si="1"/>
        <v/>
      </c>
      <c r="B578" s="2" t="s">
        <v>1</v>
      </c>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1" t="str">
        <f t="shared" si="1"/>
        <v/>
      </c>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1">
        <f t="shared" si="1"/>
        <v>194</v>
      </c>
      <c r="B580" s="2" t="s">
        <v>194</v>
      </c>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1" t="str">
        <f t="shared" si="1"/>
        <v/>
      </c>
      <c r="B581" s="2" t="s">
        <v>1</v>
      </c>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1" t="str">
        <f t="shared" si="1"/>
        <v/>
      </c>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1">
        <f t="shared" si="1"/>
        <v>195</v>
      </c>
      <c r="B583" s="2" t="s">
        <v>195</v>
      </c>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1" t="str">
        <f t="shared" si="1"/>
        <v/>
      </c>
      <c r="B584" s="2" t="s">
        <v>1</v>
      </c>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1" t="str">
        <f t="shared" si="1"/>
        <v/>
      </c>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1">
        <f t="shared" si="1"/>
        <v>196</v>
      </c>
      <c r="B586" s="2" t="s">
        <v>196</v>
      </c>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1" t="str">
        <f t="shared" si="1"/>
        <v/>
      </c>
      <c r="B587" s="2" t="s">
        <v>1</v>
      </c>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1" t="str">
        <f t="shared" si="1"/>
        <v/>
      </c>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1">
        <f t="shared" si="1"/>
        <v>197</v>
      </c>
      <c r="B589" s="2" t="s">
        <v>197</v>
      </c>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1" t="str">
        <f t="shared" si="1"/>
        <v/>
      </c>
      <c r="B590" s="2" t="s">
        <v>1</v>
      </c>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1" t="str">
        <f t="shared" si="1"/>
        <v/>
      </c>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1">
        <f t="shared" si="1"/>
        <v>198</v>
      </c>
      <c r="B592" s="2" t="s">
        <v>198</v>
      </c>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1" t="str">
        <f t="shared" si="1"/>
        <v/>
      </c>
      <c r="B593" s="2" t="s">
        <v>1</v>
      </c>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1" t="str">
        <f t="shared" si="1"/>
        <v/>
      </c>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1">
        <f t="shared" si="1"/>
        <v>199</v>
      </c>
      <c r="B595" s="2" t="s">
        <v>199</v>
      </c>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1" t="str">
        <f t="shared" si="1"/>
        <v/>
      </c>
      <c r="B596" s="2" t="s">
        <v>1</v>
      </c>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1" t="str">
        <f t="shared" si="1"/>
        <v/>
      </c>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1">
        <f t="shared" si="1"/>
        <v>200</v>
      </c>
      <c r="B598" s="2" t="s">
        <v>200</v>
      </c>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1" t="str">
        <f t="shared" si="1"/>
        <v/>
      </c>
      <c r="B599" s="2" t="s">
        <v>1</v>
      </c>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1" t="str">
        <f t="shared" si="1"/>
        <v/>
      </c>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1">
        <f t="shared" si="1"/>
        <v>201</v>
      </c>
      <c r="B601" s="2" t="s">
        <v>201</v>
      </c>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1" t="str">
        <f t="shared" si="1"/>
        <v/>
      </c>
      <c r="B602" s="2" t="s">
        <v>1</v>
      </c>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1" t="str">
        <f t="shared" si="1"/>
        <v/>
      </c>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1">
        <f t="shared" si="1"/>
        <v>202</v>
      </c>
      <c r="B604" s="2" t="s">
        <v>202</v>
      </c>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1" t="str">
        <f t="shared" si="1"/>
        <v/>
      </c>
      <c r="B605" s="2" t="s">
        <v>1</v>
      </c>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1" t="str">
        <f t="shared" si="1"/>
        <v/>
      </c>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1">
        <f t="shared" si="1"/>
        <v>203</v>
      </c>
      <c r="B607" s="2" t="s">
        <v>203</v>
      </c>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1" t="str">
        <f t="shared" si="1"/>
        <v/>
      </c>
      <c r="B608" s="2" t="s">
        <v>1</v>
      </c>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1" t="str">
        <f t="shared" si="1"/>
        <v/>
      </c>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1">
        <f t="shared" si="1"/>
        <v>204</v>
      </c>
      <c r="B610" s="2" t="s">
        <v>204</v>
      </c>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1" t="str">
        <f t="shared" si="1"/>
        <v/>
      </c>
      <c r="B611" s="2" t="s">
        <v>1</v>
      </c>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1" t="str">
        <f t="shared" si="1"/>
        <v/>
      </c>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1">
        <f t="shared" si="1"/>
        <v>205</v>
      </c>
      <c r="B613" s="2" t="s">
        <v>205</v>
      </c>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1" t="str">
        <f t="shared" si="1"/>
        <v/>
      </c>
      <c r="B614" s="2" t="s">
        <v>1</v>
      </c>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1" t="str">
        <f t="shared" si="1"/>
        <v/>
      </c>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1">
        <f t="shared" si="1"/>
        <v>206</v>
      </c>
      <c r="B616" s="2" t="s">
        <v>206</v>
      </c>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1" t="str">
        <f t="shared" si="1"/>
        <v/>
      </c>
      <c r="B617" s="2" t="s">
        <v>1</v>
      </c>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1" t="str">
        <f t="shared" si="1"/>
        <v/>
      </c>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1">
        <f t="shared" si="1"/>
        <v>207</v>
      </c>
      <c r="B619" s="2" t="s">
        <v>207</v>
      </c>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1" t="str">
        <f t="shared" si="1"/>
        <v/>
      </c>
      <c r="B620" s="2" t="s">
        <v>1</v>
      </c>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1" t="str">
        <f t="shared" si="1"/>
        <v/>
      </c>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1">
        <f t="shared" si="1"/>
        <v>208</v>
      </c>
      <c r="B622" s="2" t="s">
        <v>208</v>
      </c>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1" t="str">
        <f t="shared" si="1"/>
        <v/>
      </c>
      <c r="B623" s="2" t="s">
        <v>1</v>
      </c>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1" t="str">
        <f t="shared" si="1"/>
        <v/>
      </c>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1">
        <f t="shared" si="1"/>
        <v>209</v>
      </c>
      <c r="B625" s="2" t="s">
        <v>209</v>
      </c>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1" t="str">
        <f t="shared" si="1"/>
        <v/>
      </c>
      <c r="B626" s="2" t="s">
        <v>1</v>
      </c>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1" t="str">
        <f t="shared" si="1"/>
        <v/>
      </c>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1">
        <f t="shared" si="1"/>
        <v>210</v>
      </c>
      <c r="B628" s="2" t="s">
        <v>210</v>
      </c>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1" t="str">
        <f t="shared" si="1"/>
        <v/>
      </c>
      <c r="B629" s="2" t="s">
        <v>1</v>
      </c>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1" t="str">
        <f t="shared" si="1"/>
        <v/>
      </c>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1">
        <f t="shared" si="1"/>
        <v>211</v>
      </c>
      <c r="B631" s="2" t="s">
        <v>211</v>
      </c>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1" t="str">
        <f t="shared" si="1"/>
        <v/>
      </c>
      <c r="B632" s="2" t="s">
        <v>1</v>
      </c>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1" t="str">
        <f t="shared" si="1"/>
        <v/>
      </c>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1">
        <f t="shared" si="1"/>
        <v>212</v>
      </c>
      <c r="B634" s="2" t="s">
        <v>212</v>
      </c>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1" t="str">
        <f t="shared" si="1"/>
        <v/>
      </c>
      <c r="B635" s="2" t="s">
        <v>1</v>
      </c>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1" t="str">
        <f t="shared" si="1"/>
        <v/>
      </c>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1">
        <f t="shared" si="1"/>
        <v>213</v>
      </c>
      <c r="B637" s="2" t="s">
        <v>213</v>
      </c>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1" t="str">
        <f t="shared" si="1"/>
        <v/>
      </c>
      <c r="B638" s="2" t="s">
        <v>1</v>
      </c>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1" t="str">
        <f t="shared" si="1"/>
        <v/>
      </c>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1">
        <f t="shared" si="1"/>
        <v>214</v>
      </c>
      <c r="B640" s="2" t="s">
        <v>214</v>
      </c>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1" t="str">
        <f t="shared" si="1"/>
        <v/>
      </c>
      <c r="B641" s="2" t="s">
        <v>1</v>
      </c>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1" t="str">
        <f t="shared" si="1"/>
        <v/>
      </c>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1">
        <f t="shared" si="1"/>
        <v>215</v>
      </c>
      <c r="B643" s="2" t="s">
        <v>215</v>
      </c>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1" t="str">
        <f t="shared" si="1"/>
        <v/>
      </c>
      <c r="B644" s="2" t="s">
        <v>1</v>
      </c>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1" t="str">
        <f t="shared" si="1"/>
        <v/>
      </c>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1">
        <f t="shared" si="1"/>
        <v>216</v>
      </c>
      <c r="B646" s="2" t="s">
        <v>216</v>
      </c>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1" t="str">
        <f t="shared" si="1"/>
        <v/>
      </c>
      <c r="B647" s="2" t="s">
        <v>1</v>
      </c>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1" t="str">
        <f t="shared" si="1"/>
        <v/>
      </c>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1">
        <f t="shared" si="1"/>
        <v>217</v>
      </c>
      <c r="B649" s="2" t="s">
        <v>217</v>
      </c>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1" t="str">
        <f t="shared" si="1"/>
        <v/>
      </c>
      <c r="B650" s="2" t="s">
        <v>1</v>
      </c>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1" t="str">
        <f t="shared" si="1"/>
        <v/>
      </c>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1">
        <f t="shared" si="1"/>
        <v>218</v>
      </c>
      <c r="B652" s="2" t="s">
        <v>218</v>
      </c>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1" t="str">
        <f t="shared" si="1"/>
        <v/>
      </c>
      <c r="B653" s="2" t="s">
        <v>1</v>
      </c>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1" t="str">
        <f t="shared" si="1"/>
        <v/>
      </c>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1">
        <f t="shared" si="1"/>
        <v>219</v>
      </c>
      <c r="B655" s="2" t="s">
        <v>219</v>
      </c>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1" t="str">
        <f t="shared" si="1"/>
        <v/>
      </c>
      <c r="B656" s="2" t="s">
        <v>1</v>
      </c>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1" t="str">
        <f t="shared" si="1"/>
        <v/>
      </c>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1">
        <f t="shared" si="1"/>
        <v>220</v>
      </c>
      <c r="B658" s="2" t="s">
        <v>220</v>
      </c>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1" t="str">
        <f t="shared" si="1"/>
        <v/>
      </c>
      <c r="B659" s="2" t="s">
        <v>1</v>
      </c>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1" t="str">
        <f t="shared" si="1"/>
        <v/>
      </c>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1">
        <f t="shared" si="1"/>
        <v>221</v>
      </c>
      <c r="B661" s="2" t="s">
        <v>221</v>
      </c>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1" t="str">
        <f t="shared" si="1"/>
        <v/>
      </c>
      <c r="B662" s="2" t="s">
        <v>1</v>
      </c>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1" t="str">
        <f t="shared" si="1"/>
        <v/>
      </c>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1">
        <f t="shared" si="1"/>
        <v>222</v>
      </c>
      <c r="B664" s="2" t="s">
        <v>222</v>
      </c>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1" t="str">
        <f t="shared" si="1"/>
        <v/>
      </c>
      <c r="B665" s="2" t="s">
        <v>1</v>
      </c>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1" t="str">
        <f t="shared" si="1"/>
        <v/>
      </c>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1">
        <f t="shared" si="1"/>
        <v>223</v>
      </c>
      <c r="B667" s="2" t="s">
        <v>223</v>
      </c>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1" t="str">
        <f t="shared" si="1"/>
        <v/>
      </c>
      <c r="B668" s="2" t="s">
        <v>1</v>
      </c>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1" t="str">
        <f t="shared" si="1"/>
        <v/>
      </c>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1">
        <f t="shared" si="1"/>
        <v>224</v>
      </c>
      <c r="B670" s="2" t="s">
        <v>224</v>
      </c>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1" t="str">
        <f t="shared" si="1"/>
        <v/>
      </c>
      <c r="B671" s="2" t="s">
        <v>1</v>
      </c>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1" t="str">
        <f t="shared" si="1"/>
        <v/>
      </c>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1">
        <f t="shared" si="1"/>
        <v>225</v>
      </c>
      <c r="B673" s="2" t="s">
        <v>225</v>
      </c>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1" t="str">
        <f t="shared" si="1"/>
        <v/>
      </c>
      <c r="B674" s="2" t="s">
        <v>1</v>
      </c>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1" t="str">
        <f t="shared" si="1"/>
        <v/>
      </c>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1">
        <f t="shared" si="1"/>
        <v>226</v>
      </c>
      <c r="B676" s="2" t="s">
        <v>226</v>
      </c>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1" t="str">
        <f t="shared" si="1"/>
        <v/>
      </c>
      <c r="B677" s="2" t="s">
        <v>1</v>
      </c>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1" t="str">
        <f t="shared" si="1"/>
        <v/>
      </c>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1">
        <f t="shared" si="1"/>
        <v>227</v>
      </c>
      <c r="B679" s="2" t="s">
        <v>227</v>
      </c>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1" t="str">
        <f t="shared" si="1"/>
        <v/>
      </c>
      <c r="B680" s="2" t="s">
        <v>1</v>
      </c>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1" t="str">
        <f t="shared" si="1"/>
        <v/>
      </c>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1">
        <f t="shared" si="1"/>
        <v>228</v>
      </c>
      <c r="B682" s="2" t="s">
        <v>228</v>
      </c>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1" t="str">
        <f t="shared" si="1"/>
        <v/>
      </c>
      <c r="B683" s="2" t="s">
        <v>1</v>
      </c>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1" t="str">
        <f t="shared" si="1"/>
        <v/>
      </c>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1">
        <f t="shared" si="1"/>
        <v>229</v>
      </c>
      <c r="B685" s="2" t="s">
        <v>229</v>
      </c>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1" t="str">
        <f t="shared" si="1"/>
        <v/>
      </c>
      <c r="B686" s="2" t="s">
        <v>1</v>
      </c>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1" t="str">
        <f t="shared" si="1"/>
        <v/>
      </c>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1">
        <f t="shared" si="1"/>
        <v>230</v>
      </c>
      <c r="B688" s="2" t="s">
        <v>230</v>
      </c>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1" t="str">
        <f t="shared" si="1"/>
        <v/>
      </c>
      <c r="B689" s="2" t="s">
        <v>1</v>
      </c>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1" t="str">
        <f t="shared" si="1"/>
        <v/>
      </c>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1">
        <f t="shared" si="1"/>
        <v>231</v>
      </c>
      <c r="B691" s="2" t="s">
        <v>231</v>
      </c>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1" t="str">
        <f t="shared" si="1"/>
        <v/>
      </c>
      <c r="B692" s="2" t="s">
        <v>1</v>
      </c>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1" t="str">
        <f t="shared" si="1"/>
        <v/>
      </c>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1">
        <f t="shared" si="1"/>
        <v>232</v>
      </c>
      <c r="B694" s="2" t="s">
        <v>232</v>
      </c>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1" t="str">
        <f t="shared" si="1"/>
        <v/>
      </c>
      <c r="B695" s="2" t="s">
        <v>1</v>
      </c>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1" t="str">
        <f t="shared" si="1"/>
        <v/>
      </c>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1">
        <f t="shared" si="1"/>
        <v>233</v>
      </c>
      <c r="B697" s="2" t="s">
        <v>233</v>
      </c>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1" t="str">
        <f t="shared" si="1"/>
        <v/>
      </c>
      <c r="B698" s="2" t="s">
        <v>1</v>
      </c>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1" t="str">
        <f t="shared" si="1"/>
        <v/>
      </c>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1">
        <f t="shared" si="1"/>
        <v>234</v>
      </c>
      <c r="B700" s="2" t="s">
        <v>234</v>
      </c>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1" t="str">
        <f t="shared" si="1"/>
        <v/>
      </c>
      <c r="B701" s="2" t="s">
        <v>1</v>
      </c>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1" t="str">
        <f t="shared" si="1"/>
        <v/>
      </c>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1">
        <f t="shared" si="1"/>
        <v>235</v>
      </c>
      <c r="B703" s="2" t="s">
        <v>235</v>
      </c>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1" t="str">
        <f t="shared" si="1"/>
        <v/>
      </c>
      <c r="B704" s="2" t="s">
        <v>1</v>
      </c>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1" t="str">
        <f t="shared" si="1"/>
        <v/>
      </c>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1">
        <f t="shared" si="1"/>
        <v>236</v>
      </c>
      <c r="B706" s="2" t="s">
        <v>236</v>
      </c>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1" t="str">
        <f t="shared" si="1"/>
        <v/>
      </c>
      <c r="B707" s="2" t="s">
        <v>1</v>
      </c>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1" t="str">
        <f t="shared" si="1"/>
        <v/>
      </c>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1">
        <f t="shared" si="1"/>
        <v>237</v>
      </c>
      <c r="B709" s="2" t="s">
        <v>237</v>
      </c>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1" t="str">
        <f t="shared" si="1"/>
        <v/>
      </c>
      <c r="B710" s="2" t="s">
        <v>1</v>
      </c>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1" t="str">
        <f t="shared" si="1"/>
        <v/>
      </c>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1">
        <f t="shared" si="1"/>
        <v>238</v>
      </c>
      <c r="B712" s="2" t="s">
        <v>238</v>
      </c>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1" t="str">
        <f t="shared" si="1"/>
        <v/>
      </c>
      <c r="B713" s="2" t="s">
        <v>1</v>
      </c>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1" t="str">
        <f t="shared" si="1"/>
        <v/>
      </c>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1">
        <f t="shared" si="1"/>
        <v>239</v>
      </c>
      <c r="B715" s="2" t="s">
        <v>239</v>
      </c>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1" t="str">
        <f t="shared" si="1"/>
        <v/>
      </c>
      <c r="B716" s="2" t="s">
        <v>1</v>
      </c>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1" t="str">
        <f t="shared" si="1"/>
        <v/>
      </c>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1">
        <f t="shared" si="1"/>
        <v>240</v>
      </c>
      <c r="B718" s="2" t="s">
        <v>240</v>
      </c>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1" t="str">
        <f t="shared" si="1"/>
        <v/>
      </c>
      <c r="B719" s="2" t="s">
        <v>1</v>
      </c>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1" t="str">
        <f t="shared" si="1"/>
        <v/>
      </c>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1">
        <f t="shared" si="1"/>
        <v>241</v>
      </c>
      <c r="B721" s="2" t="s">
        <v>241</v>
      </c>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1" t="str">
        <f t="shared" si="1"/>
        <v/>
      </c>
      <c r="B722" s="2" t="s">
        <v>1</v>
      </c>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1" t="str">
        <f t="shared" si="1"/>
        <v/>
      </c>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1">
        <f t="shared" si="1"/>
        <v>242</v>
      </c>
      <c r="B724" s="2" t="s">
        <v>242</v>
      </c>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1" t="str">
        <f t="shared" si="1"/>
        <v/>
      </c>
      <c r="B725" s="2" t="s">
        <v>1</v>
      </c>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1" t="str">
        <f t="shared" si="1"/>
        <v/>
      </c>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1">
        <f t="shared" si="1"/>
        <v>243</v>
      </c>
      <c r="B727" s="2" t="s">
        <v>243</v>
      </c>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1" t="str">
        <f t="shared" si="1"/>
        <v/>
      </c>
      <c r="B728" s="2" t="s">
        <v>1</v>
      </c>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1" t="str">
        <f t="shared" si="1"/>
        <v/>
      </c>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1">
        <f t="shared" si="1"/>
        <v>244</v>
      </c>
      <c r="B730" s="2" t="s">
        <v>244</v>
      </c>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1" t="str">
        <f t="shared" si="1"/>
        <v/>
      </c>
      <c r="B731" s="2" t="s">
        <v>1</v>
      </c>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1" t="str">
        <f t="shared" si="1"/>
        <v/>
      </c>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1">
        <f t="shared" si="1"/>
        <v>245</v>
      </c>
      <c r="B733" s="2" t="s">
        <v>245</v>
      </c>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1" t="str">
        <f t="shared" si="1"/>
        <v/>
      </c>
      <c r="B734" s="2" t="s">
        <v>1</v>
      </c>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1" t="str">
        <f t="shared" si="1"/>
        <v/>
      </c>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1">
        <f t="shared" si="1"/>
        <v>246</v>
      </c>
      <c r="B736" s="2" t="s">
        <v>246</v>
      </c>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1" t="str">
        <f t="shared" si="1"/>
        <v/>
      </c>
      <c r="B737" s="2" t="s">
        <v>1</v>
      </c>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1" t="str">
        <f t="shared" si="1"/>
        <v/>
      </c>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1">
        <f t="shared" si="1"/>
        <v>247</v>
      </c>
      <c r="B739" s="2" t="s">
        <v>247</v>
      </c>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1" t="str">
        <f t="shared" si="1"/>
        <v/>
      </c>
      <c r="B740" s="2" t="s">
        <v>1</v>
      </c>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1" t="str">
        <f t="shared" si="1"/>
        <v/>
      </c>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1">
        <f t="shared" si="1"/>
        <v>248</v>
      </c>
      <c r="B742" s="2" t="s">
        <v>248</v>
      </c>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1" t="str">
        <f t="shared" si="1"/>
        <v/>
      </c>
      <c r="B743" s="2" t="s">
        <v>1</v>
      </c>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1" t="str">
        <f t="shared" si="1"/>
        <v/>
      </c>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1">
        <f t="shared" si="1"/>
        <v>249</v>
      </c>
      <c r="B745" s="2" t="s">
        <v>249</v>
      </c>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1" t="str">
        <f t="shared" si="1"/>
        <v/>
      </c>
      <c r="B746" s="2" t="s">
        <v>1</v>
      </c>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1" t="str">
        <f t="shared" si="1"/>
        <v/>
      </c>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1">
        <f t="shared" si="1"/>
        <v>250</v>
      </c>
      <c r="B748" s="2" t="s">
        <v>250</v>
      </c>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1" t="str">
        <f t="shared" si="1"/>
        <v/>
      </c>
      <c r="B749" s="2" t="s">
        <v>1</v>
      </c>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1" t="str">
        <f t="shared" si="1"/>
        <v/>
      </c>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1">
        <f t="shared" si="1"/>
        <v>251</v>
      </c>
      <c r="B751" s="2" t="s">
        <v>251</v>
      </c>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1" t="str">
        <f t="shared" si="1"/>
        <v/>
      </c>
      <c r="B752" s="2" t="s">
        <v>1</v>
      </c>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1" t="str">
        <f t="shared" si="1"/>
        <v/>
      </c>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1">
        <f t="shared" si="1"/>
        <v>252</v>
      </c>
      <c r="B754" s="2" t="s">
        <v>252</v>
      </c>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1" t="str">
        <f t="shared" si="1"/>
        <v/>
      </c>
      <c r="B755" s="2" t="s">
        <v>1</v>
      </c>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1" t="str">
        <f t="shared" si="1"/>
        <v/>
      </c>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1">
        <f t="shared" si="1"/>
        <v>253</v>
      </c>
      <c r="B757" s="2" t="s">
        <v>253</v>
      </c>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1" t="str">
        <f t="shared" si="1"/>
        <v/>
      </c>
      <c r="B758" s="2" t="s">
        <v>1</v>
      </c>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1" t="str">
        <f t="shared" si="1"/>
        <v/>
      </c>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1">
        <f t="shared" si="1"/>
        <v>254</v>
      </c>
      <c r="B760" s="2" t="s">
        <v>254</v>
      </c>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1" t="str">
        <f t="shared" si="1"/>
        <v/>
      </c>
      <c r="B761" s="2" t="s">
        <v>1</v>
      </c>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1" t="str">
        <f t="shared" si="1"/>
        <v/>
      </c>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1">
        <f t="shared" si="1"/>
        <v>255</v>
      </c>
      <c r="B763" s="2" t="s">
        <v>255</v>
      </c>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1" t="str">
        <f t="shared" si="1"/>
        <v/>
      </c>
      <c r="B764" s="2" t="s">
        <v>1</v>
      </c>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1" t="str">
        <f t="shared" si="1"/>
        <v/>
      </c>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1">
        <f t="shared" si="1"/>
        <v>256</v>
      </c>
      <c r="B766" s="2" t="s">
        <v>256</v>
      </c>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1" t="str">
        <f t="shared" si="1"/>
        <v/>
      </c>
      <c r="B767" s="2" t="s">
        <v>1</v>
      </c>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1" t="str">
        <f t="shared" si="1"/>
        <v/>
      </c>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1">
        <f t="shared" si="1"/>
        <v>257</v>
      </c>
      <c r="B769" s="2" t="s">
        <v>257</v>
      </c>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1" t="str">
        <f t="shared" si="1"/>
        <v/>
      </c>
      <c r="B770" s="2" t="s">
        <v>1</v>
      </c>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1" t="str">
        <f t="shared" si="1"/>
        <v/>
      </c>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1">
        <f t="shared" si="1"/>
        <v>258</v>
      </c>
      <c r="B772" s="2" t="s">
        <v>258</v>
      </c>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1" t="str">
        <f t="shared" si="1"/>
        <v/>
      </c>
      <c r="B773" s="2" t="s">
        <v>1</v>
      </c>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1" t="str">
        <f t="shared" si="1"/>
        <v/>
      </c>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1">
        <f t="shared" si="1"/>
        <v>259</v>
      </c>
      <c r="B775" s="2" t="s">
        <v>259</v>
      </c>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1" t="str">
        <f t="shared" si="1"/>
        <v/>
      </c>
      <c r="B776" s="2" t="s">
        <v>1</v>
      </c>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1" t="str">
        <f t="shared" si="1"/>
        <v/>
      </c>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1">
        <f t="shared" si="1"/>
        <v>260</v>
      </c>
      <c r="B778" s="2" t="s">
        <v>260</v>
      </c>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1" t="str">
        <f t="shared" si="1"/>
        <v/>
      </c>
      <c r="B779" s="2" t="s">
        <v>1</v>
      </c>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1" t="str">
        <f t="shared" si="1"/>
        <v/>
      </c>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1">
        <f t="shared" si="1"/>
        <v>261</v>
      </c>
      <c r="B781" s="2" t="s">
        <v>261</v>
      </c>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1" t="str">
        <f t="shared" si="1"/>
        <v/>
      </c>
      <c r="B782" s="2" t="s">
        <v>1</v>
      </c>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1" t="str">
        <f t="shared" si="1"/>
        <v/>
      </c>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1">
        <f t="shared" si="1"/>
        <v>262</v>
      </c>
      <c r="B784" s="2" t="s">
        <v>262</v>
      </c>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1" t="str">
        <f t="shared" si="1"/>
        <v/>
      </c>
      <c r="B785" s="2" t="s">
        <v>1</v>
      </c>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1" t="str">
        <f t="shared" si="1"/>
        <v/>
      </c>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1">
        <f t="shared" si="1"/>
        <v>263</v>
      </c>
      <c r="B787" s="2" t="s">
        <v>263</v>
      </c>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1" t="str">
        <f t="shared" si="1"/>
        <v/>
      </c>
      <c r="B788" s="2" t="s">
        <v>1</v>
      </c>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1" t="str">
        <f t="shared" si="1"/>
        <v/>
      </c>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1">
        <f t="shared" si="1"/>
        <v>264</v>
      </c>
      <c r="B790" s="2" t="s">
        <v>264</v>
      </c>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1" t="str">
        <f t="shared" si="1"/>
        <v/>
      </c>
      <c r="B791" s="2" t="s">
        <v>1</v>
      </c>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1" t="str">
        <f t="shared" si="1"/>
        <v/>
      </c>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1">
        <f t="shared" si="1"/>
        <v>265</v>
      </c>
      <c r="B793" s="2" t="s">
        <v>265</v>
      </c>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1" t="str">
        <f t="shared" si="1"/>
        <v/>
      </c>
      <c r="B794" s="2" t="s">
        <v>1</v>
      </c>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1" t="str">
        <f t="shared" si="1"/>
        <v/>
      </c>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1">
        <f t="shared" si="1"/>
        <v>266</v>
      </c>
      <c r="B796" s="2" t="s">
        <v>266</v>
      </c>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1" t="str">
        <f t="shared" si="1"/>
        <v/>
      </c>
      <c r="B797" s="2" t="s">
        <v>1</v>
      </c>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1" t="str">
        <f t="shared" si="1"/>
        <v/>
      </c>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1">
        <f t="shared" si="1"/>
        <v>267</v>
      </c>
      <c r="B799" s="2" t="s">
        <v>267</v>
      </c>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1" t="str">
        <f t="shared" si="1"/>
        <v/>
      </c>
      <c r="B800" s="2" t="s">
        <v>1</v>
      </c>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1" t="str">
        <f t="shared" si="1"/>
        <v/>
      </c>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1">
        <f t="shared" si="1"/>
        <v>268</v>
      </c>
      <c r="B802" s="2" t="s">
        <v>268</v>
      </c>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1" t="str">
        <f t="shared" si="1"/>
        <v/>
      </c>
      <c r="B803" s="2" t="s">
        <v>1</v>
      </c>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1" t="str">
        <f t="shared" si="1"/>
        <v/>
      </c>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1">
        <f t="shared" si="1"/>
        <v>269</v>
      </c>
      <c r="B805" s="2" t="s">
        <v>269</v>
      </c>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1" t="str">
        <f t="shared" si="1"/>
        <v/>
      </c>
      <c r="B806" s="2" t="s">
        <v>1</v>
      </c>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1" t="str">
        <f t="shared" si="1"/>
        <v/>
      </c>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1">
        <f t="shared" si="1"/>
        <v>270</v>
      </c>
      <c r="B808" s="2" t="s">
        <v>270</v>
      </c>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1" t="str">
        <f t="shared" si="1"/>
        <v/>
      </c>
      <c r="B809" s="2" t="s">
        <v>271</v>
      </c>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1" t="str">
        <f t="shared" si="1"/>
        <v/>
      </c>
      <c r="B810" s="2" t="s">
        <v>272</v>
      </c>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1">
        <f t="shared" si="1"/>
        <v>271</v>
      </c>
      <c r="B811" s="2" t="s">
        <v>273</v>
      </c>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1" t="str">
        <f t="shared" si="1"/>
        <v/>
      </c>
      <c r="B812" s="2" t="s">
        <v>274</v>
      </c>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1" t="str">
        <f t="shared" si="1"/>
        <v/>
      </c>
      <c r="B813" s="2" t="s">
        <v>275</v>
      </c>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1">
        <f t="shared" si="1"/>
        <v>272</v>
      </c>
      <c r="B814" s="2" t="s">
        <v>276</v>
      </c>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1" t="str">
        <f t="shared" si="1"/>
        <v/>
      </c>
      <c r="B815" s="2" t="s">
        <v>1</v>
      </c>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1" t="str">
        <f t="shared" si="1"/>
        <v/>
      </c>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1">
        <f t="shared" si="1"/>
        <v>273</v>
      </c>
      <c r="B817" s="2" t="s">
        <v>277</v>
      </c>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1" t="str">
        <f t="shared" si="1"/>
        <v/>
      </c>
      <c r="B818" s="2" t="s">
        <v>1</v>
      </c>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1" t="str">
        <f t="shared" si="1"/>
        <v/>
      </c>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1">
        <f t="shared" si="1"/>
        <v>274</v>
      </c>
      <c r="B820" s="2" t="s">
        <v>278</v>
      </c>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1" t="str">
        <f t="shared" si="1"/>
        <v/>
      </c>
      <c r="B821" s="2" t="s">
        <v>1</v>
      </c>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1" t="str">
        <f t="shared" si="1"/>
        <v/>
      </c>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1">
        <f t="shared" si="1"/>
        <v>275</v>
      </c>
      <c r="B823" s="2" t="s">
        <v>279</v>
      </c>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1" t="str">
        <f t="shared" si="1"/>
        <v/>
      </c>
      <c r="B824" s="2" t="s">
        <v>1</v>
      </c>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1" t="str">
        <f t="shared" si="1"/>
        <v/>
      </c>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1">
        <f t="shared" si="1"/>
        <v>276</v>
      </c>
      <c r="B826" s="2" t="s">
        <v>280</v>
      </c>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1" t="str">
        <f t="shared" si="1"/>
        <v/>
      </c>
      <c r="B827" s="2" t="s">
        <v>1</v>
      </c>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1" t="str">
        <f t="shared" si="1"/>
        <v/>
      </c>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1">
        <f t="shared" si="1"/>
        <v>277</v>
      </c>
      <c r="B829" s="2" t="s">
        <v>281</v>
      </c>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1" t="str">
        <f t="shared" si="1"/>
        <v/>
      </c>
      <c r="B830" s="2" t="s">
        <v>1</v>
      </c>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1" t="str">
        <f t="shared" si="1"/>
        <v/>
      </c>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1">
        <f t="shared" si="1"/>
        <v>278</v>
      </c>
      <c r="B832" s="2" t="s">
        <v>282</v>
      </c>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1" t="str">
        <f t="shared" si="1"/>
        <v/>
      </c>
      <c r="B833" s="2" t="s">
        <v>1</v>
      </c>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1" t="str">
        <f t="shared" si="1"/>
        <v/>
      </c>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1">
        <f t="shared" si="1"/>
        <v>279</v>
      </c>
      <c r="B835" s="2" t="s">
        <v>283</v>
      </c>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1" t="str">
        <f t="shared" si="1"/>
        <v/>
      </c>
      <c r="B836" s="2" t="s">
        <v>1</v>
      </c>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1" t="str">
        <f t="shared" si="1"/>
        <v/>
      </c>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1">
        <f t="shared" si="1"/>
        <v>280</v>
      </c>
      <c r="B838" s="2" t="s">
        <v>284</v>
      </c>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1" t="str">
        <f t="shared" si="1"/>
        <v/>
      </c>
      <c r="B839" s="2" t="s">
        <v>1</v>
      </c>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1" t="str">
        <f t="shared" si="1"/>
        <v/>
      </c>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1">
        <f t="shared" si="1"/>
        <v>281</v>
      </c>
      <c r="B841" s="2" t="s">
        <v>285</v>
      </c>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1" t="str">
        <f t="shared" si="1"/>
        <v/>
      </c>
      <c r="B842" s="2" t="s">
        <v>1</v>
      </c>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1" t="str">
        <f t="shared" si="1"/>
        <v/>
      </c>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1">
        <f t="shared" si="1"/>
        <v>282</v>
      </c>
      <c r="B844" s="2" t="s">
        <v>286</v>
      </c>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1" t="str">
        <f t="shared" si="1"/>
        <v/>
      </c>
      <c r="B845" s="2" t="s">
        <v>1</v>
      </c>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1" t="str">
        <f t="shared" si="1"/>
        <v/>
      </c>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1">
        <f t="shared" si="1"/>
        <v>283</v>
      </c>
      <c r="B847" s="2" t="s">
        <v>287</v>
      </c>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1" t="str">
        <f t="shared" si="1"/>
        <v/>
      </c>
      <c r="B848" s="2" t="s">
        <v>1</v>
      </c>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1" t="str">
        <f t="shared" si="1"/>
        <v/>
      </c>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1">
        <f t="shared" si="1"/>
        <v>284</v>
      </c>
      <c r="B850" s="2" t="s">
        <v>288</v>
      </c>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1" t="str">
        <f t="shared" si="1"/>
        <v/>
      </c>
      <c r="B851" s="2" t="s">
        <v>1</v>
      </c>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1" t="str">
        <f t="shared" si="1"/>
        <v/>
      </c>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1">
        <f t="shared" si="1"/>
        <v>285</v>
      </c>
      <c r="B853" s="2" t="s">
        <v>289</v>
      </c>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1" t="str">
        <f t="shared" si="1"/>
        <v/>
      </c>
      <c r="B854" s="2" t="s">
        <v>1</v>
      </c>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1" t="str">
        <f t="shared" si="1"/>
        <v/>
      </c>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1">
        <f t="shared" si="1"/>
        <v>286</v>
      </c>
      <c r="B856" s="2" t="s">
        <v>290</v>
      </c>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1" t="str">
        <f t="shared" si="1"/>
        <v/>
      </c>
      <c r="B857" s="2" t="s">
        <v>1</v>
      </c>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1" t="str">
        <f t="shared" si="1"/>
        <v/>
      </c>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1">
        <f t="shared" si="1"/>
        <v>287</v>
      </c>
      <c r="B859" s="2" t="s">
        <v>291</v>
      </c>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1" t="str">
        <f t="shared" si="1"/>
        <v/>
      </c>
      <c r="B860" s="2" t="s">
        <v>1</v>
      </c>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1" t="str">
        <f t="shared" si="1"/>
        <v/>
      </c>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1">
        <f t="shared" si="1"/>
        <v>288</v>
      </c>
      <c r="B862" s="2" t="s">
        <v>292</v>
      </c>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1" t="str">
        <f t="shared" si="1"/>
        <v/>
      </c>
      <c r="B863" s="2" t="s">
        <v>1</v>
      </c>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1" t="str">
        <f t="shared" si="1"/>
        <v/>
      </c>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1">
        <f t="shared" si="1"/>
        <v>289</v>
      </c>
      <c r="B865" s="2" t="s">
        <v>293</v>
      </c>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1" t="str">
        <f t="shared" si="1"/>
        <v/>
      </c>
      <c r="B866" s="2" t="s">
        <v>1</v>
      </c>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1" t="str">
        <f t="shared" si="1"/>
        <v/>
      </c>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1">
        <f t="shared" si="1"/>
        <v>290</v>
      </c>
      <c r="B868" s="2" t="s">
        <v>294</v>
      </c>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1" t="str">
        <f t="shared" si="1"/>
        <v/>
      </c>
      <c r="B869" s="2" t="s">
        <v>1</v>
      </c>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1" t="str">
        <f t="shared" si="1"/>
        <v/>
      </c>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1">
        <f t="shared" si="1"/>
        <v>291</v>
      </c>
      <c r="B871" s="2" t="s">
        <v>295</v>
      </c>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1" t="str">
        <f t="shared" si="1"/>
        <v/>
      </c>
      <c r="B872" s="2" t="s">
        <v>1</v>
      </c>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1" t="str">
        <f t="shared" si="1"/>
        <v/>
      </c>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1">
        <f t="shared" si="1"/>
        <v>292</v>
      </c>
      <c r="B874" s="2" t="s">
        <v>296</v>
      </c>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1" t="str">
        <f t="shared" si="1"/>
        <v/>
      </c>
      <c r="B875" s="2" t="s">
        <v>1</v>
      </c>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1" t="str">
        <f t="shared" si="1"/>
        <v/>
      </c>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1">
        <f t="shared" si="1"/>
        <v>293</v>
      </c>
      <c r="B877" s="2" t="s">
        <v>297</v>
      </c>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1" t="str">
        <f t="shared" si="1"/>
        <v/>
      </c>
      <c r="B878" s="2" t="s">
        <v>1</v>
      </c>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1" t="str">
        <f t="shared" si="1"/>
        <v/>
      </c>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1">
        <f t="shared" si="1"/>
        <v>294</v>
      </c>
      <c r="B880" s="2" t="s">
        <v>298</v>
      </c>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1" t="str">
        <f t="shared" si="1"/>
        <v/>
      </c>
      <c r="B881" s="2" t="s">
        <v>1</v>
      </c>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1" t="str">
        <f t="shared" si="1"/>
        <v/>
      </c>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4"/>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4"/>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4"/>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4"/>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4"/>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4"/>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4"/>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4"/>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4"/>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4"/>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4"/>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4"/>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4"/>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4"/>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4"/>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4"/>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4"/>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4"/>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4"/>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4"/>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4"/>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4"/>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4"/>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4"/>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4"/>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4"/>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4"/>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4"/>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4"/>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4"/>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4"/>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4"/>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4"/>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4"/>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4"/>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4"/>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4"/>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4"/>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4"/>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4"/>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4"/>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4"/>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4"/>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4"/>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4"/>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4"/>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4"/>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4"/>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4"/>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4"/>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4"/>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4"/>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4"/>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4"/>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4"/>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4"/>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4"/>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4"/>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4"/>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4"/>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4"/>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4"/>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4"/>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4"/>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4"/>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4"/>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4"/>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4"/>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4"/>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4"/>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4"/>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4"/>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4"/>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4"/>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4"/>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4"/>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4"/>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4"/>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4"/>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4"/>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4"/>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4"/>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4"/>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4"/>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4"/>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4"/>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4"/>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4"/>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4"/>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4"/>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4"/>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4"/>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4"/>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4"/>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4"/>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4"/>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4"/>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4"/>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4"/>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4"/>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4"/>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4"/>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4"/>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4"/>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4"/>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4"/>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4"/>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4"/>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4"/>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4"/>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4"/>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4"/>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4"/>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A996" s="4"/>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A997" s="4"/>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c r="A998" s="4"/>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c r="A999" s="4"/>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c r="A1000" s="4"/>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row r="1001">
      <c r="A1001" s="4"/>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row>
    <row r="1002">
      <c r="A1002" s="4"/>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row>
    <row r="1003">
      <c r="A1003" s="4"/>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row>
    <row r="1004">
      <c r="A1004" s="4"/>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row>
    <row r="1005">
      <c r="A1005" s="4"/>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row>
    <row r="1006">
      <c r="A1006" s="4"/>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row>
    <row r="1007">
      <c r="A1007" s="4"/>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row>
    <row r="1008">
      <c r="A1008" s="4"/>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row>
    <row r="1009">
      <c r="A1009" s="4"/>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row>
    <row r="1010">
      <c r="A1010" s="4"/>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row>
    <row r="1011">
      <c r="A1011" s="4"/>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row>
    <row r="1012">
      <c r="A1012" s="4"/>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row>
    <row r="1013">
      <c r="A1013" s="4"/>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row>
    <row r="1014">
      <c r="A1014" s="4"/>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row>
    <row r="1015">
      <c r="A1015" s="4"/>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c r="AA1015" s="3"/>
    </row>
    <row r="1016">
      <c r="A1016" s="4"/>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c r="AA1016" s="3"/>
    </row>
    <row r="1017">
      <c r="A1017" s="4"/>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c r="AA1017" s="3"/>
    </row>
    <row r="1018">
      <c r="A1018" s="4"/>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c r="AA1018" s="3"/>
    </row>
    <row r="1019">
      <c r="A1019" s="4"/>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c r="AA1019" s="3"/>
    </row>
    <row r="1020">
      <c r="A1020" s="4"/>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c r="AA1020" s="3"/>
    </row>
    <row r="1021">
      <c r="A1021" s="4"/>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c r="AA1021" s="3"/>
    </row>
    <row r="1022">
      <c r="A1022" s="4"/>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c r="AA1022" s="3"/>
    </row>
    <row r="1023">
      <c r="A1023" s="4"/>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c r="AA1023" s="3"/>
    </row>
    <row r="1024">
      <c r="A1024" s="4"/>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c r="AA1024" s="3"/>
    </row>
    <row r="1025">
      <c r="A1025" s="4"/>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c r="AA1025" s="3"/>
    </row>
    <row r="1026">
      <c r="A1026" s="4"/>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c r="AA1026" s="3"/>
    </row>
    <row r="1027">
      <c r="A1027" s="4"/>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c r="AA1027" s="3"/>
    </row>
    <row r="1028">
      <c r="A1028" s="4"/>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c r="AA1028" s="3"/>
    </row>
    <row r="1029">
      <c r="A1029" s="4"/>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c r="AA1029" s="3"/>
    </row>
    <row r="1030">
      <c r="A1030" s="4"/>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c r="AA1030" s="3"/>
    </row>
    <row r="1031">
      <c r="A1031" s="4"/>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c r="AA1031" s="3"/>
    </row>
    <row r="1032">
      <c r="A1032" s="4"/>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c r="AA1032" s="3"/>
    </row>
    <row r="1033">
      <c r="A1033" s="4"/>
      <c r="B1033" s="3"/>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c r="AA1033" s="3"/>
    </row>
    <row r="1034">
      <c r="A1034" s="4"/>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c r="AA1034" s="3"/>
    </row>
    <row r="1035">
      <c r="A1035" s="4"/>
      <c r="B1035" s="3"/>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c r="AA1035" s="3"/>
    </row>
    <row r="1036">
      <c r="A1036" s="4"/>
      <c r="B1036" s="3"/>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c r="AA1036" s="3"/>
    </row>
    <row r="1037">
      <c r="A1037" s="4"/>
      <c r="B1037" s="3"/>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c r="AA1037" s="3"/>
    </row>
    <row r="1038">
      <c r="A1038" s="4"/>
      <c r="B1038" s="3"/>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c r="AA1038" s="3"/>
    </row>
    <row r="1039">
      <c r="A1039" s="4"/>
      <c r="B1039" s="3"/>
      <c r="C1039" s="3"/>
      <c r="D1039" s="3"/>
      <c r="E1039" s="3"/>
      <c r="F1039" s="3"/>
      <c r="G1039" s="3"/>
      <c r="H1039" s="3"/>
      <c r="I1039" s="3"/>
      <c r="J1039" s="3"/>
      <c r="K1039" s="3"/>
      <c r="L1039" s="3"/>
      <c r="M1039" s="3"/>
      <c r="N1039" s="3"/>
      <c r="O1039" s="3"/>
      <c r="P1039" s="3"/>
      <c r="Q1039" s="3"/>
      <c r="R1039" s="3"/>
      <c r="S1039" s="3"/>
      <c r="T1039" s="3"/>
      <c r="U1039" s="3"/>
      <c r="V1039" s="3"/>
      <c r="W1039" s="3"/>
      <c r="X1039" s="3"/>
      <c r="Y1039" s="3"/>
      <c r="Z1039" s="3"/>
      <c r="AA1039" s="3"/>
    </row>
    <row r="1040">
      <c r="A1040" s="4"/>
      <c r="B1040" s="3"/>
      <c r="C1040" s="3"/>
      <c r="D1040" s="3"/>
      <c r="E1040" s="3"/>
      <c r="F1040" s="3"/>
      <c r="G1040" s="3"/>
      <c r="H1040" s="3"/>
      <c r="I1040" s="3"/>
      <c r="J1040" s="3"/>
      <c r="K1040" s="3"/>
      <c r="L1040" s="3"/>
      <c r="M1040" s="3"/>
      <c r="N1040" s="3"/>
      <c r="O1040" s="3"/>
      <c r="P1040" s="3"/>
      <c r="Q1040" s="3"/>
      <c r="R1040" s="3"/>
      <c r="S1040" s="3"/>
      <c r="T1040" s="3"/>
      <c r="U1040" s="3"/>
      <c r="V1040" s="3"/>
      <c r="W1040" s="3"/>
      <c r="X1040" s="3"/>
      <c r="Y1040" s="3"/>
      <c r="Z1040" s="3"/>
      <c r="AA1040" s="3"/>
    </row>
    <row r="1041">
      <c r="A1041" s="4"/>
      <c r="B1041" s="3"/>
      <c r="C1041" s="3"/>
      <c r="D1041" s="3"/>
      <c r="E1041" s="3"/>
      <c r="F1041" s="3"/>
      <c r="G1041" s="3"/>
      <c r="H1041" s="3"/>
      <c r="I1041" s="3"/>
      <c r="J1041" s="3"/>
      <c r="K1041" s="3"/>
      <c r="L1041" s="3"/>
      <c r="M1041" s="3"/>
      <c r="N1041" s="3"/>
      <c r="O1041" s="3"/>
      <c r="P1041" s="3"/>
      <c r="Q1041" s="3"/>
      <c r="R1041" s="3"/>
      <c r="S1041" s="3"/>
      <c r="T1041" s="3"/>
      <c r="U1041" s="3"/>
      <c r="V1041" s="3"/>
      <c r="W1041" s="3"/>
      <c r="X1041" s="3"/>
      <c r="Y1041" s="3"/>
      <c r="Z1041" s="3"/>
      <c r="AA1041" s="3"/>
    </row>
    <row r="1042">
      <c r="A1042" s="4"/>
      <c r="B1042" s="3"/>
      <c r="C1042" s="3"/>
      <c r="D1042" s="3"/>
      <c r="E1042" s="3"/>
      <c r="F1042" s="3"/>
      <c r="G1042" s="3"/>
      <c r="H1042" s="3"/>
      <c r="I1042" s="3"/>
      <c r="J1042" s="3"/>
      <c r="K1042" s="3"/>
      <c r="L1042" s="3"/>
      <c r="M1042" s="3"/>
      <c r="N1042" s="3"/>
      <c r="O1042" s="3"/>
      <c r="P1042" s="3"/>
      <c r="Q1042" s="3"/>
      <c r="R1042" s="3"/>
      <c r="S1042" s="3"/>
      <c r="T1042" s="3"/>
      <c r="U1042" s="3"/>
      <c r="V1042" s="3"/>
      <c r="W1042" s="3"/>
      <c r="X1042" s="3"/>
      <c r="Y1042" s="3"/>
      <c r="Z1042" s="3"/>
      <c r="AA1042" s="3"/>
    </row>
    <row r="1043">
      <c r="A1043" s="4"/>
      <c r="B1043" s="3"/>
      <c r="C1043" s="3"/>
      <c r="D1043" s="3"/>
      <c r="E1043" s="3"/>
      <c r="F1043" s="3"/>
      <c r="G1043" s="3"/>
      <c r="H1043" s="3"/>
      <c r="I1043" s="3"/>
      <c r="J1043" s="3"/>
      <c r="K1043" s="3"/>
      <c r="L1043" s="3"/>
      <c r="M1043" s="3"/>
      <c r="N1043" s="3"/>
      <c r="O1043" s="3"/>
      <c r="P1043" s="3"/>
      <c r="Q1043" s="3"/>
      <c r="R1043" s="3"/>
      <c r="S1043" s="3"/>
      <c r="T1043" s="3"/>
      <c r="U1043" s="3"/>
      <c r="V1043" s="3"/>
      <c r="W1043" s="3"/>
      <c r="X1043" s="3"/>
      <c r="Y1043" s="3"/>
      <c r="Z1043" s="3"/>
      <c r="AA1043" s="3"/>
    </row>
    <row r="1044">
      <c r="A1044" s="4"/>
      <c r="B1044" s="3"/>
      <c r="C1044" s="3"/>
      <c r="D1044" s="3"/>
      <c r="E1044" s="3"/>
      <c r="F1044" s="3"/>
      <c r="G1044" s="3"/>
      <c r="H1044" s="3"/>
      <c r="I1044" s="3"/>
      <c r="J1044" s="3"/>
      <c r="K1044" s="3"/>
      <c r="L1044" s="3"/>
      <c r="M1044" s="3"/>
      <c r="N1044" s="3"/>
      <c r="O1044" s="3"/>
      <c r="P1044" s="3"/>
      <c r="Q1044" s="3"/>
      <c r="R1044" s="3"/>
      <c r="S1044" s="3"/>
      <c r="T1044" s="3"/>
      <c r="U1044" s="3"/>
      <c r="V1044" s="3"/>
      <c r="W1044" s="3"/>
      <c r="X1044" s="3"/>
      <c r="Y1044" s="3"/>
      <c r="Z1044" s="3"/>
      <c r="AA1044" s="3"/>
    </row>
    <row r="1045">
      <c r="A1045" s="4"/>
      <c r="B1045" s="3"/>
      <c r="C1045" s="3"/>
      <c r="D1045" s="3"/>
      <c r="E1045" s="3"/>
      <c r="F1045" s="3"/>
      <c r="G1045" s="3"/>
      <c r="H1045" s="3"/>
      <c r="I1045" s="3"/>
      <c r="J1045" s="3"/>
      <c r="K1045" s="3"/>
      <c r="L1045" s="3"/>
      <c r="M1045" s="3"/>
      <c r="N1045" s="3"/>
      <c r="O1045" s="3"/>
      <c r="P1045" s="3"/>
      <c r="Q1045" s="3"/>
      <c r="R1045" s="3"/>
      <c r="S1045" s="3"/>
      <c r="T1045" s="3"/>
      <c r="U1045" s="3"/>
      <c r="V1045" s="3"/>
      <c r="W1045" s="3"/>
      <c r="X1045" s="3"/>
      <c r="Y1045" s="3"/>
      <c r="Z1045" s="3"/>
      <c r="AA1045" s="3"/>
    </row>
    <row r="1046">
      <c r="A1046" s="4"/>
      <c r="B1046" s="3"/>
      <c r="C1046" s="3"/>
      <c r="D1046" s="3"/>
      <c r="E1046" s="3"/>
      <c r="F1046" s="3"/>
      <c r="G1046" s="3"/>
      <c r="H1046" s="3"/>
      <c r="I1046" s="3"/>
      <c r="J1046" s="3"/>
      <c r="K1046" s="3"/>
      <c r="L1046" s="3"/>
      <c r="M1046" s="3"/>
      <c r="N1046" s="3"/>
      <c r="O1046" s="3"/>
      <c r="P1046" s="3"/>
      <c r="Q1046" s="3"/>
      <c r="R1046" s="3"/>
      <c r="S1046" s="3"/>
      <c r="T1046" s="3"/>
      <c r="U1046" s="3"/>
      <c r="V1046" s="3"/>
      <c r="W1046" s="3"/>
      <c r="X1046" s="3"/>
      <c r="Y1046" s="3"/>
      <c r="Z1046" s="3"/>
      <c r="AA1046" s="3"/>
    </row>
    <row r="1047">
      <c r="A1047" s="4"/>
      <c r="B1047" s="3"/>
      <c r="C1047" s="3"/>
      <c r="D1047" s="3"/>
      <c r="E1047" s="3"/>
      <c r="F1047" s="3"/>
      <c r="G1047" s="3"/>
      <c r="H1047" s="3"/>
      <c r="I1047" s="3"/>
      <c r="J1047" s="3"/>
      <c r="K1047" s="3"/>
      <c r="L1047" s="3"/>
      <c r="M1047" s="3"/>
      <c r="N1047" s="3"/>
      <c r="O1047" s="3"/>
      <c r="P1047" s="3"/>
      <c r="Q1047" s="3"/>
      <c r="R1047" s="3"/>
      <c r="S1047" s="3"/>
      <c r="T1047" s="3"/>
      <c r="U1047" s="3"/>
      <c r="V1047" s="3"/>
      <c r="W1047" s="3"/>
      <c r="X1047" s="3"/>
      <c r="Y1047" s="3"/>
      <c r="Z1047" s="3"/>
      <c r="AA1047" s="3"/>
    </row>
    <row r="1048">
      <c r="A1048" s="4"/>
      <c r="B1048" s="3"/>
      <c r="C1048" s="3"/>
      <c r="D1048" s="3"/>
      <c r="E1048" s="3"/>
      <c r="F1048" s="3"/>
      <c r="G1048" s="3"/>
      <c r="H1048" s="3"/>
      <c r="I1048" s="3"/>
      <c r="J1048" s="3"/>
      <c r="K1048" s="3"/>
      <c r="L1048" s="3"/>
      <c r="M1048" s="3"/>
      <c r="N1048" s="3"/>
      <c r="O1048" s="3"/>
      <c r="P1048" s="3"/>
      <c r="Q1048" s="3"/>
      <c r="R1048" s="3"/>
      <c r="S1048" s="3"/>
      <c r="T1048" s="3"/>
      <c r="U1048" s="3"/>
      <c r="V1048" s="3"/>
      <c r="W1048" s="3"/>
      <c r="X1048" s="3"/>
      <c r="Y1048" s="3"/>
      <c r="Z1048" s="3"/>
      <c r="AA1048" s="3"/>
    </row>
    <row r="1049">
      <c r="A1049" s="4"/>
      <c r="B1049" s="3"/>
      <c r="C1049" s="3"/>
      <c r="D1049" s="3"/>
      <c r="E1049" s="3"/>
      <c r="F1049" s="3"/>
      <c r="G1049" s="3"/>
      <c r="H1049" s="3"/>
      <c r="I1049" s="3"/>
      <c r="J1049" s="3"/>
      <c r="K1049" s="3"/>
      <c r="L1049" s="3"/>
      <c r="M1049" s="3"/>
      <c r="N1049" s="3"/>
      <c r="O1049" s="3"/>
      <c r="P1049" s="3"/>
      <c r="Q1049" s="3"/>
      <c r="R1049" s="3"/>
      <c r="S1049" s="3"/>
      <c r="T1049" s="3"/>
      <c r="U1049" s="3"/>
      <c r="V1049" s="3"/>
      <c r="W1049" s="3"/>
      <c r="X1049" s="3"/>
      <c r="Y1049" s="3"/>
      <c r="Z1049" s="3"/>
      <c r="AA1049" s="3"/>
    </row>
    <row r="1050">
      <c r="A1050" s="4"/>
      <c r="B1050" s="3"/>
      <c r="C1050" s="3"/>
      <c r="D1050" s="3"/>
      <c r="E1050" s="3"/>
      <c r="F1050" s="3"/>
      <c r="G1050" s="3"/>
      <c r="H1050" s="3"/>
      <c r="I1050" s="3"/>
      <c r="J1050" s="3"/>
      <c r="K1050" s="3"/>
      <c r="L1050" s="3"/>
      <c r="M1050" s="3"/>
      <c r="N1050" s="3"/>
      <c r="O1050" s="3"/>
      <c r="P1050" s="3"/>
      <c r="Q1050" s="3"/>
      <c r="R1050" s="3"/>
      <c r="S1050" s="3"/>
      <c r="T1050" s="3"/>
      <c r="U1050" s="3"/>
      <c r="V1050" s="3"/>
      <c r="W1050" s="3"/>
      <c r="X1050" s="3"/>
      <c r="Y1050" s="3"/>
      <c r="Z1050" s="3"/>
      <c r="AA1050" s="3"/>
    </row>
    <row r="1051">
      <c r="A1051" s="4"/>
      <c r="B1051" s="3"/>
      <c r="C1051" s="3"/>
      <c r="D1051" s="3"/>
      <c r="E1051" s="3"/>
      <c r="F1051" s="3"/>
      <c r="G1051" s="3"/>
      <c r="H1051" s="3"/>
      <c r="I1051" s="3"/>
      <c r="J1051" s="3"/>
      <c r="K1051" s="3"/>
      <c r="L1051" s="3"/>
      <c r="M1051" s="3"/>
      <c r="N1051" s="3"/>
      <c r="O1051" s="3"/>
      <c r="P1051" s="3"/>
      <c r="Q1051" s="3"/>
      <c r="R1051" s="3"/>
      <c r="S1051" s="3"/>
      <c r="T1051" s="3"/>
      <c r="U1051" s="3"/>
      <c r="V1051" s="3"/>
      <c r="W1051" s="3"/>
      <c r="X1051" s="3"/>
      <c r="Y1051" s="3"/>
      <c r="Z1051" s="3"/>
      <c r="AA1051" s="3"/>
    </row>
    <row r="1052">
      <c r="A1052" s="4"/>
      <c r="B1052" s="3"/>
      <c r="C1052" s="3"/>
      <c r="D1052" s="3"/>
      <c r="E1052" s="3"/>
      <c r="F1052" s="3"/>
      <c r="G1052" s="3"/>
      <c r="H1052" s="3"/>
      <c r="I1052" s="3"/>
      <c r="J1052" s="3"/>
      <c r="K1052" s="3"/>
      <c r="L1052" s="3"/>
      <c r="M1052" s="3"/>
      <c r="N1052" s="3"/>
      <c r="O1052" s="3"/>
      <c r="P1052" s="3"/>
      <c r="Q1052" s="3"/>
      <c r="R1052" s="3"/>
      <c r="S1052" s="3"/>
      <c r="T1052" s="3"/>
      <c r="U1052" s="3"/>
      <c r="V1052" s="3"/>
      <c r="W1052" s="3"/>
      <c r="X1052" s="3"/>
      <c r="Y1052" s="3"/>
      <c r="Z1052" s="3"/>
      <c r="AA1052" s="3"/>
    </row>
    <row r="1053">
      <c r="A1053" s="4"/>
      <c r="B1053" s="3"/>
      <c r="C1053" s="3"/>
      <c r="D1053" s="3"/>
      <c r="E1053" s="3"/>
      <c r="F1053" s="3"/>
      <c r="G1053" s="3"/>
      <c r="H1053" s="3"/>
      <c r="I1053" s="3"/>
      <c r="J1053" s="3"/>
      <c r="K1053" s="3"/>
      <c r="L1053" s="3"/>
      <c r="M1053" s="3"/>
      <c r="N1053" s="3"/>
      <c r="O1053" s="3"/>
      <c r="P1053" s="3"/>
      <c r="Q1053" s="3"/>
      <c r="R1053" s="3"/>
      <c r="S1053" s="3"/>
      <c r="T1053" s="3"/>
      <c r="U1053" s="3"/>
      <c r="V1053" s="3"/>
      <c r="W1053" s="3"/>
      <c r="X1053" s="3"/>
      <c r="Y1053" s="3"/>
      <c r="Z1053" s="3"/>
      <c r="AA1053" s="3"/>
    </row>
    <row r="1054">
      <c r="A1054" s="4"/>
      <c r="B1054" s="3"/>
      <c r="C1054" s="3"/>
      <c r="D1054" s="3"/>
      <c r="E1054" s="3"/>
      <c r="F1054" s="3"/>
      <c r="G1054" s="3"/>
      <c r="H1054" s="3"/>
      <c r="I1054" s="3"/>
      <c r="J1054" s="3"/>
      <c r="K1054" s="3"/>
      <c r="L1054" s="3"/>
      <c r="M1054" s="3"/>
      <c r="N1054" s="3"/>
      <c r="O1054" s="3"/>
      <c r="P1054" s="3"/>
      <c r="Q1054" s="3"/>
      <c r="R1054" s="3"/>
      <c r="S1054" s="3"/>
      <c r="T1054" s="3"/>
      <c r="U1054" s="3"/>
      <c r="V1054" s="3"/>
      <c r="W1054" s="3"/>
      <c r="X1054" s="3"/>
      <c r="Y1054" s="3"/>
      <c r="Z1054" s="3"/>
      <c r="AA1054" s="3"/>
    </row>
    <row r="1055">
      <c r="A1055" s="4"/>
      <c r="B1055" s="3"/>
      <c r="C1055" s="3"/>
      <c r="D1055" s="3"/>
      <c r="E1055" s="3"/>
      <c r="F1055" s="3"/>
      <c r="G1055" s="3"/>
      <c r="H1055" s="3"/>
      <c r="I1055" s="3"/>
      <c r="J1055" s="3"/>
      <c r="K1055" s="3"/>
      <c r="L1055" s="3"/>
      <c r="M1055" s="3"/>
      <c r="N1055" s="3"/>
      <c r="O1055" s="3"/>
      <c r="P1055" s="3"/>
      <c r="Q1055" s="3"/>
      <c r="R1055" s="3"/>
      <c r="S1055" s="3"/>
      <c r="T1055" s="3"/>
      <c r="U1055" s="3"/>
      <c r="V1055" s="3"/>
      <c r="W1055" s="3"/>
      <c r="X1055" s="3"/>
      <c r="Y1055" s="3"/>
      <c r="Z1055" s="3"/>
      <c r="AA1055" s="3"/>
    </row>
    <row r="1056">
      <c r="A1056" s="4"/>
      <c r="B1056" s="3"/>
      <c r="C1056" s="3"/>
      <c r="D1056" s="3"/>
      <c r="E1056" s="3"/>
      <c r="F1056" s="3"/>
      <c r="G1056" s="3"/>
      <c r="H1056" s="3"/>
      <c r="I1056" s="3"/>
      <c r="J1056" s="3"/>
      <c r="K1056" s="3"/>
      <c r="L1056" s="3"/>
      <c r="M1056" s="3"/>
      <c r="N1056" s="3"/>
      <c r="O1056" s="3"/>
      <c r="P1056" s="3"/>
      <c r="Q1056" s="3"/>
      <c r="R1056" s="3"/>
      <c r="S1056" s="3"/>
      <c r="T1056" s="3"/>
      <c r="U1056" s="3"/>
      <c r="V1056" s="3"/>
      <c r="W1056" s="3"/>
      <c r="X1056" s="3"/>
      <c r="Y1056" s="3"/>
      <c r="Z1056" s="3"/>
      <c r="AA1056" s="3"/>
    </row>
    <row r="1057">
      <c r="A1057" s="4"/>
      <c r="B1057" s="3"/>
      <c r="C1057" s="3"/>
      <c r="D1057" s="3"/>
      <c r="E1057" s="3"/>
      <c r="F1057" s="3"/>
      <c r="G1057" s="3"/>
      <c r="H1057" s="3"/>
      <c r="I1057" s="3"/>
      <c r="J1057" s="3"/>
      <c r="K1057" s="3"/>
      <c r="L1057" s="3"/>
      <c r="M1057" s="3"/>
      <c r="N1057" s="3"/>
      <c r="O1057" s="3"/>
      <c r="P1057" s="3"/>
      <c r="Q1057" s="3"/>
      <c r="R1057" s="3"/>
      <c r="S1057" s="3"/>
      <c r="T1057" s="3"/>
      <c r="U1057" s="3"/>
      <c r="V1057" s="3"/>
      <c r="W1057" s="3"/>
      <c r="X1057" s="3"/>
      <c r="Y1057" s="3"/>
      <c r="Z1057" s="3"/>
      <c r="AA1057" s="3"/>
    </row>
    <row r="1058">
      <c r="A1058" s="4"/>
      <c r="B1058" s="3"/>
      <c r="C1058" s="3"/>
      <c r="D1058" s="3"/>
      <c r="E1058" s="3"/>
      <c r="F1058" s="3"/>
      <c r="G1058" s="3"/>
      <c r="H1058" s="3"/>
      <c r="I1058" s="3"/>
      <c r="J1058" s="3"/>
      <c r="K1058" s="3"/>
      <c r="L1058" s="3"/>
      <c r="M1058" s="3"/>
      <c r="N1058" s="3"/>
      <c r="O1058" s="3"/>
      <c r="P1058" s="3"/>
      <c r="Q1058" s="3"/>
      <c r="R1058" s="3"/>
      <c r="S1058" s="3"/>
      <c r="T1058" s="3"/>
      <c r="U1058" s="3"/>
      <c r="V1058" s="3"/>
      <c r="W1058" s="3"/>
      <c r="X1058" s="3"/>
      <c r="Y1058" s="3"/>
      <c r="Z1058" s="3"/>
      <c r="AA1058" s="3"/>
    </row>
    <row r="1059">
      <c r="A1059" s="4"/>
      <c r="B1059" s="3"/>
      <c r="C1059" s="3"/>
      <c r="D1059" s="3"/>
      <c r="E1059" s="3"/>
      <c r="F1059" s="3"/>
      <c r="G1059" s="3"/>
      <c r="H1059" s="3"/>
      <c r="I1059" s="3"/>
      <c r="J1059" s="3"/>
      <c r="K1059" s="3"/>
      <c r="L1059" s="3"/>
      <c r="M1059" s="3"/>
      <c r="N1059" s="3"/>
      <c r="O1059" s="3"/>
      <c r="P1059" s="3"/>
      <c r="Q1059" s="3"/>
      <c r="R1059" s="3"/>
      <c r="S1059" s="3"/>
      <c r="T1059" s="3"/>
      <c r="U1059" s="3"/>
      <c r="V1059" s="3"/>
      <c r="W1059" s="3"/>
      <c r="X1059" s="3"/>
      <c r="Y1059" s="3"/>
      <c r="Z1059" s="3"/>
      <c r="AA1059" s="3"/>
    </row>
    <row r="1060">
      <c r="A1060" s="4"/>
      <c r="B1060" s="3"/>
      <c r="C1060" s="3"/>
      <c r="D1060" s="3"/>
      <c r="E1060" s="3"/>
      <c r="F1060" s="3"/>
      <c r="G1060" s="3"/>
      <c r="H1060" s="3"/>
      <c r="I1060" s="3"/>
      <c r="J1060" s="3"/>
      <c r="K1060" s="3"/>
      <c r="L1060" s="3"/>
      <c r="M1060" s="3"/>
      <c r="N1060" s="3"/>
      <c r="O1060" s="3"/>
      <c r="P1060" s="3"/>
      <c r="Q1060" s="3"/>
      <c r="R1060" s="3"/>
      <c r="S1060" s="3"/>
      <c r="T1060" s="3"/>
      <c r="U1060" s="3"/>
      <c r="V1060" s="3"/>
      <c r="W1060" s="3"/>
      <c r="X1060" s="3"/>
      <c r="Y1060" s="3"/>
      <c r="Z1060" s="3"/>
      <c r="AA1060" s="3"/>
    </row>
    <row r="1061">
      <c r="A1061" s="4"/>
      <c r="B1061" s="3"/>
      <c r="C1061" s="3"/>
      <c r="D1061" s="3"/>
      <c r="E1061" s="3"/>
      <c r="F1061" s="3"/>
      <c r="G1061" s="3"/>
      <c r="H1061" s="3"/>
      <c r="I1061" s="3"/>
      <c r="J1061" s="3"/>
      <c r="K1061" s="3"/>
      <c r="L1061" s="3"/>
      <c r="M1061" s="3"/>
      <c r="N1061" s="3"/>
      <c r="O1061" s="3"/>
      <c r="P1061" s="3"/>
      <c r="Q1061" s="3"/>
      <c r="R1061" s="3"/>
      <c r="S1061" s="3"/>
      <c r="T1061" s="3"/>
      <c r="U1061" s="3"/>
      <c r="V1061" s="3"/>
      <c r="W1061" s="3"/>
      <c r="X1061" s="3"/>
      <c r="Y1061" s="3"/>
      <c r="Z1061" s="3"/>
      <c r="AA1061" s="3"/>
    </row>
    <row r="1062">
      <c r="A1062" s="4"/>
      <c r="B1062" s="3"/>
      <c r="C1062" s="3"/>
      <c r="D1062" s="3"/>
      <c r="E1062" s="3"/>
      <c r="F1062" s="3"/>
      <c r="G1062" s="3"/>
      <c r="H1062" s="3"/>
      <c r="I1062" s="3"/>
      <c r="J1062" s="3"/>
      <c r="K1062" s="3"/>
      <c r="L1062" s="3"/>
      <c r="M1062" s="3"/>
      <c r="N1062" s="3"/>
      <c r="O1062" s="3"/>
      <c r="P1062" s="3"/>
      <c r="Q1062" s="3"/>
      <c r="R1062" s="3"/>
      <c r="S1062" s="3"/>
      <c r="T1062" s="3"/>
      <c r="U1062" s="3"/>
      <c r="V1062" s="3"/>
      <c r="W1062" s="3"/>
      <c r="X1062" s="3"/>
      <c r="Y1062" s="3"/>
      <c r="Z1062" s="3"/>
      <c r="AA1062" s="3"/>
    </row>
    <row r="1063">
      <c r="A1063" s="4"/>
      <c r="B1063" s="3"/>
      <c r="C1063" s="3"/>
      <c r="D1063" s="3"/>
      <c r="E1063" s="3"/>
      <c r="F1063" s="3"/>
      <c r="G1063" s="3"/>
      <c r="H1063" s="3"/>
      <c r="I1063" s="3"/>
      <c r="J1063" s="3"/>
      <c r="K1063" s="3"/>
      <c r="L1063" s="3"/>
      <c r="M1063" s="3"/>
      <c r="N1063" s="3"/>
      <c r="O1063" s="3"/>
      <c r="P1063" s="3"/>
      <c r="Q1063" s="3"/>
      <c r="R1063" s="3"/>
      <c r="S1063" s="3"/>
      <c r="T1063" s="3"/>
      <c r="U1063" s="3"/>
      <c r="V1063" s="3"/>
      <c r="W1063" s="3"/>
      <c r="X1063" s="3"/>
      <c r="Y1063" s="3"/>
      <c r="Z1063" s="3"/>
      <c r="AA1063" s="3"/>
    </row>
    <row r="1064">
      <c r="A1064" s="4"/>
      <c r="B1064" s="3"/>
      <c r="C1064" s="3"/>
      <c r="D1064" s="3"/>
      <c r="E1064" s="3"/>
      <c r="F1064" s="3"/>
      <c r="G1064" s="3"/>
      <c r="H1064" s="3"/>
      <c r="I1064" s="3"/>
      <c r="J1064" s="3"/>
      <c r="K1064" s="3"/>
      <c r="L1064" s="3"/>
      <c r="M1064" s="3"/>
      <c r="N1064" s="3"/>
      <c r="O1064" s="3"/>
      <c r="P1064" s="3"/>
      <c r="Q1064" s="3"/>
      <c r="R1064" s="3"/>
      <c r="S1064" s="3"/>
      <c r="T1064" s="3"/>
      <c r="U1064" s="3"/>
      <c r="V1064" s="3"/>
      <c r="W1064" s="3"/>
      <c r="X1064" s="3"/>
      <c r="Y1064" s="3"/>
      <c r="Z1064" s="3"/>
      <c r="AA1064" s="3"/>
    </row>
    <row r="1065">
      <c r="A1065" s="4"/>
      <c r="B1065" s="3"/>
      <c r="C1065" s="3"/>
      <c r="D1065" s="3"/>
      <c r="E1065" s="3"/>
      <c r="F1065" s="3"/>
      <c r="G1065" s="3"/>
      <c r="H1065" s="3"/>
      <c r="I1065" s="3"/>
      <c r="J1065" s="3"/>
      <c r="K1065" s="3"/>
      <c r="L1065" s="3"/>
      <c r="M1065" s="3"/>
      <c r="N1065" s="3"/>
      <c r="O1065" s="3"/>
      <c r="P1065" s="3"/>
      <c r="Q1065" s="3"/>
      <c r="R1065" s="3"/>
      <c r="S1065" s="3"/>
      <c r="T1065" s="3"/>
      <c r="U1065" s="3"/>
      <c r="V1065" s="3"/>
      <c r="W1065" s="3"/>
      <c r="X1065" s="3"/>
      <c r="Y1065" s="3"/>
      <c r="Z1065" s="3"/>
      <c r="AA1065" s="3"/>
    </row>
    <row r="1066">
      <c r="A1066" s="4"/>
      <c r="B1066" s="3"/>
      <c r="C1066" s="3"/>
      <c r="D1066" s="3"/>
      <c r="E1066" s="3"/>
      <c r="F1066" s="3"/>
      <c r="G1066" s="3"/>
      <c r="H1066" s="3"/>
      <c r="I1066" s="3"/>
      <c r="J1066" s="3"/>
      <c r="K1066" s="3"/>
      <c r="L1066" s="3"/>
      <c r="M1066" s="3"/>
      <c r="N1066" s="3"/>
      <c r="O1066" s="3"/>
      <c r="P1066" s="3"/>
      <c r="Q1066" s="3"/>
      <c r="R1066" s="3"/>
      <c r="S1066" s="3"/>
      <c r="T1066" s="3"/>
      <c r="U1066" s="3"/>
      <c r="V1066" s="3"/>
      <c r="W1066" s="3"/>
      <c r="X1066" s="3"/>
      <c r="Y1066" s="3"/>
      <c r="Z1066" s="3"/>
      <c r="AA1066" s="3"/>
    </row>
    <row r="1067">
      <c r="A1067" s="4"/>
      <c r="B1067" s="3"/>
      <c r="C1067" s="3"/>
      <c r="D1067" s="3"/>
      <c r="E1067" s="3"/>
      <c r="F1067" s="3"/>
      <c r="G1067" s="3"/>
      <c r="H1067" s="3"/>
      <c r="I1067" s="3"/>
      <c r="J1067" s="3"/>
      <c r="K1067" s="3"/>
      <c r="L1067" s="3"/>
      <c r="M1067" s="3"/>
      <c r="N1067" s="3"/>
      <c r="O1067" s="3"/>
      <c r="P1067" s="3"/>
      <c r="Q1067" s="3"/>
      <c r="R1067" s="3"/>
      <c r="S1067" s="3"/>
      <c r="T1067" s="3"/>
      <c r="U1067" s="3"/>
      <c r="V1067" s="3"/>
      <c r="W1067" s="3"/>
      <c r="X1067" s="3"/>
      <c r="Y1067" s="3"/>
      <c r="Z1067" s="3"/>
      <c r="AA1067" s="3"/>
    </row>
    <row r="1068">
      <c r="A1068" s="4"/>
      <c r="B1068" s="3"/>
      <c r="C1068" s="3"/>
      <c r="D1068" s="3"/>
      <c r="E1068" s="3"/>
      <c r="F1068" s="3"/>
      <c r="G1068" s="3"/>
      <c r="H1068" s="3"/>
      <c r="I1068" s="3"/>
      <c r="J1068" s="3"/>
      <c r="K1068" s="3"/>
      <c r="L1068" s="3"/>
      <c r="M1068" s="3"/>
      <c r="N1068" s="3"/>
      <c r="O1068" s="3"/>
      <c r="P1068" s="3"/>
      <c r="Q1068" s="3"/>
      <c r="R1068" s="3"/>
      <c r="S1068" s="3"/>
      <c r="T1068" s="3"/>
      <c r="U1068" s="3"/>
      <c r="V1068" s="3"/>
      <c r="W1068" s="3"/>
      <c r="X1068" s="3"/>
      <c r="Y1068" s="3"/>
      <c r="Z1068" s="3"/>
      <c r="AA1068" s="3"/>
    </row>
    <row r="1069">
      <c r="A1069" s="4"/>
      <c r="B1069" s="3"/>
      <c r="C1069" s="3"/>
      <c r="D1069" s="3"/>
      <c r="E1069" s="3"/>
      <c r="F1069" s="3"/>
      <c r="G1069" s="3"/>
      <c r="H1069" s="3"/>
      <c r="I1069" s="3"/>
      <c r="J1069" s="3"/>
      <c r="K1069" s="3"/>
      <c r="L1069" s="3"/>
      <c r="M1069" s="3"/>
      <c r="N1069" s="3"/>
      <c r="O1069" s="3"/>
      <c r="P1069" s="3"/>
      <c r="Q1069" s="3"/>
      <c r="R1069" s="3"/>
      <c r="S1069" s="3"/>
      <c r="T1069" s="3"/>
      <c r="U1069" s="3"/>
      <c r="V1069" s="3"/>
      <c r="W1069" s="3"/>
      <c r="X1069" s="3"/>
      <c r="Y1069" s="3"/>
      <c r="Z1069" s="3"/>
      <c r="AA1069" s="3"/>
    </row>
    <row r="1070">
      <c r="A1070" s="4"/>
      <c r="B1070" s="3"/>
      <c r="C1070" s="3"/>
      <c r="D1070" s="3"/>
      <c r="E1070" s="3"/>
      <c r="F1070" s="3"/>
      <c r="G1070" s="3"/>
      <c r="H1070" s="3"/>
      <c r="I1070" s="3"/>
      <c r="J1070" s="3"/>
      <c r="K1070" s="3"/>
      <c r="L1070" s="3"/>
      <c r="M1070" s="3"/>
      <c r="N1070" s="3"/>
      <c r="O1070" s="3"/>
      <c r="P1070" s="3"/>
      <c r="Q1070" s="3"/>
      <c r="R1070" s="3"/>
      <c r="S1070" s="3"/>
      <c r="T1070" s="3"/>
      <c r="U1070" s="3"/>
      <c r="V1070" s="3"/>
      <c r="W1070" s="3"/>
      <c r="X1070" s="3"/>
      <c r="Y1070" s="3"/>
      <c r="Z1070" s="3"/>
      <c r="AA1070" s="3"/>
    </row>
    <row r="1071">
      <c r="A1071" s="4"/>
      <c r="B1071" s="3"/>
      <c r="C1071" s="3"/>
      <c r="D1071" s="3"/>
      <c r="E1071" s="3"/>
      <c r="F1071" s="3"/>
      <c r="G1071" s="3"/>
      <c r="H1071" s="3"/>
      <c r="I1071" s="3"/>
      <c r="J1071" s="3"/>
      <c r="K1071" s="3"/>
      <c r="L1071" s="3"/>
      <c r="M1071" s="3"/>
      <c r="N1071" s="3"/>
      <c r="O1071" s="3"/>
      <c r="P1071" s="3"/>
      <c r="Q1071" s="3"/>
      <c r="R1071" s="3"/>
      <c r="S1071" s="3"/>
      <c r="T1071" s="3"/>
      <c r="U1071" s="3"/>
      <c r="V1071" s="3"/>
      <c r="W1071" s="3"/>
      <c r="X1071" s="3"/>
      <c r="Y1071" s="3"/>
      <c r="Z1071" s="3"/>
      <c r="AA1071" s="3"/>
    </row>
    <row r="1072">
      <c r="A1072" s="4"/>
      <c r="B1072" s="3"/>
      <c r="C1072" s="3"/>
      <c r="D1072" s="3"/>
      <c r="E1072" s="3"/>
      <c r="F1072" s="3"/>
      <c r="G1072" s="3"/>
      <c r="H1072" s="3"/>
      <c r="I1072" s="3"/>
      <c r="J1072" s="3"/>
      <c r="K1072" s="3"/>
      <c r="L1072" s="3"/>
      <c r="M1072" s="3"/>
      <c r="N1072" s="3"/>
      <c r="O1072" s="3"/>
      <c r="P1072" s="3"/>
      <c r="Q1072" s="3"/>
      <c r="R1072" s="3"/>
      <c r="S1072" s="3"/>
      <c r="T1072" s="3"/>
      <c r="U1072" s="3"/>
      <c r="V1072" s="3"/>
      <c r="W1072" s="3"/>
      <c r="X1072" s="3"/>
      <c r="Y1072" s="3"/>
      <c r="Z1072" s="3"/>
      <c r="AA1072" s="3"/>
    </row>
    <row r="1073">
      <c r="A1073" s="4"/>
      <c r="B1073" s="3"/>
      <c r="C1073" s="3"/>
      <c r="D1073" s="3"/>
      <c r="E1073" s="3"/>
      <c r="F1073" s="3"/>
      <c r="G1073" s="3"/>
      <c r="H1073" s="3"/>
      <c r="I1073" s="3"/>
      <c r="J1073" s="3"/>
      <c r="K1073" s="3"/>
      <c r="L1073" s="3"/>
      <c r="M1073" s="3"/>
      <c r="N1073" s="3"/>
      <c r="O1073" s="3"/>
      <c r="P1073" s="3"/>
      <c r="Q1073" s="3"/>
      <c r="R1073" s="3"/>
      <c r="S1073" s="3"/>
      <c r="T1073" s="3"/>
      <c r="U1073" s="3"/>
      <c r="V1073" s="3"/>
      <c r="W1073" s="3"/>
      <c r="X1073" s="3"/>
      <c r="Y1073" s="3"/>
      <c r="Z1073" s="3"/>
      <c r="AA1073" s="3"/>
    </row>
    <row r="1074">
      <c r="A1074" s="4"/>
      <c r="B1074" s="3"/>
      <c r="C1074" s="3"/>
      <c r="D1074" s="3"/>
      <c r="E1074" s="3"/>
      <c r="F1074" s="3"/>
      <c r="G1074" s="3"/>
      <c r="H1074" s="3"/>
      <c r="I1074" s="3"/>
      <c r="J1074" s="3"/>
      <c r="K1074" s="3"/>
      <c r="L1074" s="3"/>
      <c r="M1074" s="3"/>
      <c r="N1074" s="3"/>
      <c r="O1074" s="3"/>
      <c r="P1074" s="3"/>
      <c r="Q1074" s="3"/>
      <c r="R1074" s="3"/>
      <c r="S1074" s="3"/>
      <c r="T1074" s="3"/>
      <c r="U1074" s="3"/>
      <c r="V1074" s="3"/>
      <c r="W1074" s="3"/>
      <c r="X1074" s="3"/>
      <c r="Y1074" s="3"/>
      <c r="Z1074" s="3"/>
      <c r="AA1074" s="3"/>
    </row>
    <row r="1075">
      <c r="A1075" s="4"/>
      <c r="B1075" s="3"/>
      <c r="C1075" s="3"/>
      <c r="D1075" s="3"/>
      <c r="E1075" s="3"/>
      <c r="F1075" s="3"/>
      <c r="G1075" s="3"/>
      <c r="H1075" s="3"/>
      <c r="I1075" s="3"/>
      <c r="J1075" s="3"/>
      <c r="K1075" s="3"/>
      <c r="L1075" s="3"/>
      <c r="M1075" s="3"/>
      <c r="N1075" s="3"/>
      <c r="O1075" s="3"/>
      <c r="P1075" s="3"/>
      <c r="Q1075" s="3"/>
      <c r="R1075" s="3"/>
      <c r="S1075" s="3"/>
      <c r="T1075" s="3"/>
      <c r="U1075" s="3"/>
      <c r="V1075" s="3"/>
      <c r="W1075" s="3"/>
      <c r="X1075" s="3"/>
      <c r="Y1075" s="3"/>
      <c r="Z1075" s="3"/>
      <c r="AA1075" s="3"/>
    </row>
    <row r="1076">
      <c r="A1076" s="4"/>
      <c r="B1076" s="3"/>
      <c r="C1076" s="3"/>
      <c r="D1076" s="3"/>
      <c r="E1076" s="3"/>
      <c r="F1076" s="3"/>
      <c r="G1076" s="3"/>
      <c r="H1076" s="3"/>
      <c r="I1076" s="3"/>
      <c r="J1076" s="3"/>
      <c r="K1076" s="3"/>
      <c r="L1076" s="3"/>
      <c r="M1076" s="3"/>
      <c r="N1076" s="3"/>
      <c r="O1076" s="3"/>
      <c r="P1076" s="3"/>
      <c r="Q1076" s="3"/>
      <c r="R1076" s="3"/>
      <c r="S1076" s="3"/>
      <c r="T1076" s="3"/>
      <c r="U1076" s="3"/>
      <c r="V1076" s="3"/>
      <c r="W1076" s="3"/>
      <c r="X1076" s="3"/>
      <c r="Y1076" s="3"/>
      <c r="Z1076" s="3"/>
      <c r="AA1076" s="3"/>
    </row>
    <row r="1077">
      <c r="A1077" s="4"/>
      <c r="B1077" s="3"/>
      <c r="C1077" s="3"/>
      <c r="D1077" s="3"/>
      <c r="E1077" s="3"/>
      <c r="F1077" s="3"/>
      <c r="G1077" s="3"/>
      <c r="H1077" s="3"/>
      <c r="I1077" s="3"/>
      <c r="J1077" s="3"/>
      <c r="K1077" s="3"/>
      <c r="L1077" s="3"/>
      <c r="M1077" s="3"/>
      <c r="N1077" s="3"/>
      <c r="O1077" s="3"/>
      <c r="P1077" s="3"/>
      <c r="Q1077" s="3"/>
      <c r="R1077" s="3"/>
      <c r="S1077" s="3"/>
      <c r="T1077" s="3"/>
      <c r="U1077" s="3"/>
      <c r="V1077" s="3"/>
      <c r="W1077" s="3"/>
      <c r="X1077" s="3"/>
      <c r="Y1077" s="3"/>
      <c r="Z1077" s="3"/>
      <c r="AA1077" s="3"/>
    </row>
    <row r="1078">
      <c r="A1078" s="4"/>
      <c r="B1078" s="3"/>
      <c r="C1078" s="3"/>
      <c r="D1078" s="3"/>
      <c r="E1078" s="3"/>
      <c r="F1078" s="3"/>
      <c r="G1078" s="3"/>
      <c r="H1078" s="3"/>
      <c r="I1078" s="3"/>
      <c r="J1078" s="3"/>
      <c r="K1078" s="3"/>
      <c r="L1078" s="3"/>
      <c r="M1078" s="3"/>
      <c r="N1078" s="3"/>
      <c r="O1078" s="3"/>
      <c r="P1078" s="3"/>
      <c r="Q1078" s="3"/>
      <c r="R1078" s="3"/>
      <c r="S1078" s="3"/>
      <c r="T1078" s="3"/>
      <c r="U1078" s="3"/>
      <c r="V1078" s="3"/>
      <c r="W1078" s="3"/>
      <c r="X1078" s="3"/>
      <c r="Y1078" s="3"/>
      <c r="Z1078" s="3"/>
      <c r="AA1078" s="3"/>
    </row>
    <row r="1079">
      <c r="A1079" s="4"/>
      <c r="B1079" s="3"/>
      <c r="C1079" s="3"/>
      <c r="D1079" s="3"/>
      <c r="E1079" s="3"/>
      <c r="F1079" s="3"/>
      <c r="G1079" s="3"/>
      <c r="H1079" s="3"/>
      <c r="I1079" s="3"/>
      <c r="J1079" s="3"/>
      <c r="K1079" s="3"/>
      <c r="L1079" s="3"/>
      <c r="M1079" s="3"/>
      <c r="N1079" s="3"/>
      <c r="O1079" s="3"/>
      <c r="P1079" s="3"/>
      <c r="Q1079" s="3"/>
      <c r="R1079" s="3"/>
      <c r="S1079" s="3"/>
      <c r="T1079" s="3"/>
      <c r="U1079" s="3"/>
      <c r="V1079" s="3"/>
      <c r="W1079" s="3"/>
      <c r="X1079" s="3"/>
      <c r="Y1079" s="3"/>
      <c r="Z1079" s="3"/>
      <c r="AA1079" s="3"/>
    </row>
    <row r="1080">
      <c r="A1080" s="4"/>
      <c r="B1080" s="3"/>
      <c r="C1080" s="3"/>
      <c r="D1080" s="3"/>
      <c r="E1080" s="3"/>
      <c r="F1080" s="3"/>
      <c r="G1080" s="3"/>
      <c r="H1080" s="3"/>
      <c r="I1080" s="3"/>
      <c r="J1080" s="3"/>
      <c r="K1080" s="3"/>
      <c r="L1080" s="3"/>
      <c r="M1080" s="3"/>
      <c r="N1080" s="3"/>
      <c r="O1080" s="3"/>
      <c r="P1080" s="3"/>
      <c r="Q1080" s="3"/>
      <c r="R1080" s="3"/>
      <c r="S1080" s="3"/>
      <c r="T1080" s="3"/>
      <c r="U1080" s="3"/>
      <c r="V1080" s="3"/>
      <c r="W1080" s="3"/>
      <c r="X1080" s="3"/>
      <c r="Y1080" s="3"/>
      <c r="Z1080" s="3"/>
      <c r="AA1080" s="3"/>
    </row>
    <row r="1081">
      <c r="A1081" s="4"/>
      <c r="B1081" s="3"/>
      <c r="C1081" s="3"/>
      <c r="D1081" s="3"/>
      <c r="E1081" s="3"/>
      <c r="F1081" s="3"/>
      <c r="G1081" s="3"/>
      <c r="H1081" s="3"/>
      <c r="I1081" s="3"/>
      <c r="J1081" s="3"/>
      <c r="K1081" s="3"/>
      <c r="L1081" s="3"/>
      <c r="M1081" s="3"/>
      <c r="N1081" s="3"/>
      <c r="O1081" s="3"/>
      <c r="P1081" s="3"/>
      <c r="Q1081" s="3"/>
      <c r="R1081" s="3"/>
      <c r="S1081" s="3"/>
      <c r="T1081" s="3"/>
      <c r="U1081" s="3"/>
      <c r="V1081" s="3"/>
      <c r="W1081" s="3"/>
      <c r="X1081" s="3"/>
      <c r="Y1081" s="3"/>
      <c r="Z1081" s="3"/>
      <c r="AA1081" s="3"/>
    </row>
    <row r="1082">
      <c r="A1082" s="4"/>
      <c r="B1082" s="3"/>
      <c r="C1082" s="3"/>
      <c r="D1082" s="3"/>
      <c r="E1082" s="3"/>
      <c r="F1082" s="3"/>
      <c r="G1082" s="3"/>
      <c r="H1082" s="3"/>
      <c r="I1082" s="3"/>
      <c r="J1082" s="3"/>
      <c r="K1082" s="3"/>
      <c r="L1082" s="3"/>
      <c r="M1082" s="3"/>
      <c r="N1082" s="3"/>
      <c r="O1082" s="3"/>
      <c r="P1082" s="3"/>
      <c r="Q1082" s="3"/>
      <c r="R1082" s="3"/>
      <c r="S1082" s="3"/>
      <c r="T1082" s="3"/>
      <c r="U1082" s="3"/>
      <c r="V1082" s="3"/>
      <c r="W1082" s="3"/>
      <c r="X1082" s="3"/>
      <c r="Y1082" s="3"/>
      <c r="Z1082" s="3"/>
      <c r="AA1082" s="3"/>
    </row>
    <row r="1083">
      <c r="A1083" s="4"/>
      <c r="B1083" s="3"/>
      <c r="C1083" s="3"/>
      <c r="D1083" s="3"/>
      <c r="E1083" s="3"/>
      <c r="F1083" s="3"/>
      <c r="G1083" s="3"/>
      <c r="H1083" s="3"/>
      <c r="I1083" s="3"/>
      <c r="J1083" s="3"/>
      <c r="K1083" s="3"/>
      <c r="L1083" s="3"/>
      <c r="M1083" s="3"/>
      <c r="N1083" s="3"/>
      <c r="O1083" s="3"/>
      <c r="P1083" s="3"/>
      <c r="Q1083" s="3"/>
      <c r="R1083" s="3"/>
      <c r="S1083" s="3"/>
      <c r="T1083" s="3"/>
      <c r="U1083" s="3"/>
      <c r="V1083" s="3"/>
      <c r="W1083" s="3"/>
      <c r="X1083" s="3"/>
      <c r="Y1083" s="3"/>
      <c r="Z1083" s="3"/>
      <c r="AA1083" s="3"/>
    </row>
    <row r="1084">
      <c r="A1084" s="4"/>
      <c r="B1084" s="3"/>
      <c r="C1084" s="3"/>
      <c r="D1084" s="3"/>
      <c r="E1084" s="3"/>
      <c r="F1084" s="3"/>
      <c r="G1084" s="3"/>
      <c r="H1084" s="3"/>
      <c r="I1084" s="3"/>
      <c r="J1084" s="3"/>
      <c r="K1084" s="3"/>
      <c r="L1084" s="3"/>
      <c r="M1084" s="3"/>
      <c r="N1084" s="3"/>
      <c r="O1084" s="3"/>
      <c r="P1084" s="3"/>
      <c r="Q1084" s="3"/>
      <c r="R1084" s="3"/>
      <c r="S1084" s="3"/>
      <c r="T1084" s="3"/>
      <c r="U1084" s="3"/>
      <c r="V1084" s="3"/>
      <c r="W1084" s="3"/>
      <c r="X1084" s="3"/>
      <c r="Y1084" s="3"/>
      <c r="Z1084" s="3"/>
      <c r="AA1084" s="3"/>
    </row>
    <row r="1085">
      <c r="A1085" s="4"/>
      <c r="B1085" s="3"/>
      <c r="C1085" s="3"/>
      <c r="D1085" s="3"/>
      <c r="E1085" s="3"/>
      <c r="F1085" s="3"/>
      <c r="G1085" s="3"/>
      <c r="H1085" s="3"/>
      <c r="I1085" s="3"/>
      <c r="J1085" s="3"/>
      <c r="K1085" s="3"/>
      <c r="L1085" s="3"/>
      <c r="M1085" s="3"/>
      <c r="N1085" s="3"/>
      <c r="O1085" s="3"/>
      <c r="P1085" s="3"/>
      <c r="Q1085" s="3"/>
      <c r="R1085" s="3"/>
      <c r="S1085" s="3"/>
      <c r="T1085" s="3"/>
      <c r="U1085" s="3"/>
      <c r="V1085" s="3"/>
      <c r="W1085" s="3"/>
      <c r="X1085" s="3"/>
      <c r="Y1085" s="3"/>
      <c r="Z1085" s="3"/>
      <c r="AA1085" s="3"/>
    </row>
    <row r="1086">
      <c r="A1086" s="4"/>
      <c r="B1086" s="3"/>
      <c r="C1086" s="3"/>
      <c r="D1086" s="3"/>
      <c r="E1086" s="3"/>
      <c r="F1086" s="3"/>
      <c r="G1086" s="3"/>
      <c r="H1086" s="3"/>
      <c r="I1086" s="3"/>
      <c r="J1086" s="3"/>
      <c r="K1086" s="3"/>
      <c r="L1086" s="3"/>
      <c r="M1086" s="3"/>
      <c r="N1086" s="3"/>
      <c r="O1086" s="3"/>
      <c r="P1086" s="3"/>
      <c r="Q1086" s="3"/>
      <c r="R1086" s="3"/>
      <c r="S1086" s="3"/>
      <c r="T1086" s="3"/>
      <c r="U1086" s="3"/>
      <c r="V1086" s="3"/>
      <c r="W1086" s="3"/>
      <c r="X1086" s="3"/>
      <c r="Y1086" s="3"/>
      <c r="Z1086" s="3"/>
      <c r="AA1086" s="3"/>
    </row>
    <row r="1087">
      <c r="A1087" s="4"/>
      <c r="B1087" s="3"/>
      <c r="C1087" s="3"/>
      <c r="D1087" s="3"/>
      <c r="E1087" s="3"/>
      <c r="F1087" s="3"/>
      <c r="G1087" s="3"/>
      <c r="H1087" s="3"/>
      <c r="I1087" s="3"/>
      <c r="J1087" s="3"/>
      <c r="K1087" s="3"/>
      <c r="L1087" s="3"/>
      <c r="M1087" s="3"/>
      <c r="N1087" s="3"/>
      <c r="O1087" s="3"/>
      <c r="P1087" s="3"/>
      <c r="Q1087" s="3"/>
      <c r="R1087" s="3"/>
      <c r="S1087" s="3"/>
      <c r="T1087" s="3"/>
      <c r="U1087" s="3"/>
      <c r="V1087" s="3"/>
      <c r="W1087" s="3"/>
      <c r="X1087" s="3"/>
      <c r="Y1087" s="3"/>
      <c r="Z1087" s="3"/>
      <c r="AA1087" s="3"/>
    </row>
    <row r="1088">
      <c r="A1088" s="4"/>
      <c r="B1088" s="3"/>
      <c r="C1088" s="3"/>
      <c r="D1088" s="3"/>
      <c r="E1088" s="3"/>
      <c r="F1088" s="3"/>
      <c r="G1088" s="3"/>
      <c r="H1088" s="3"/>
      <c r="I1088" s="3"/>
      <c r="J1088" s="3"/>
      <c r="K1088" s="3"/>
      <c r="L1088" s="3"/>
      <c r="M1088" s="3"/>
      <c r="N1088" s="3"/>
      <c r="O1088" s="3"/>
      <c r="P1088" s="3"/>
      <c r="Q1088" s="3"/>
      <c r="R1088" s="3"/>
      <c r="S1088" s="3"/>
      <c r="T1088" s="3"/>
      <c r="U1088" s="3"/>
      <c r="V1088" s="3"/>
      <c r="W1088" s="3"/>
      <c r="X1088" s="3"/>
      <c r="Y1088" s="3"/>
      <c r="Z1088" s="3"/>
      <c r="AA1088" s="3"/>
    </row>
    <row r="1089">
      <c r="A1089" s="4"/>
      <c r="B1089" s="3"/>
      <c r="C1089" s="3"/>
      <c r="D1089" s="3"/>
      <c r="E1089" s="3"/>
      <c r="F1089" s="3"/>
      <c r="G1089" s="3"/>
      <c r="H1089" s="3"/>
      <c r="I1089" s="3"/>
      <c r="J1089" s="3"/>
      <c r="K1089" s="3"/>
      <c r="L1089" s="3"/>
      <c r="M1089" s="3"/>
      <c r="N1089" s="3"/>
      <c r="O1089" s="3"/>
      <c r="P1089" s="3"/>
      <c r="Q1089" s="3"/>
      <c r="R1089" s="3"/>
      <c r="S1089" s="3"/>
      <c r="T1089" s="3"/>
      <c r="U1089" s="3"/>
      <c r="V1089" s="3"/>
      <c r="W1089" s="3"/>
      <c r="X1089" s="3"/>
      <c r="Y1089" s="3"/>
      <c r="Z1089" s="3"/>
      <c r="AA1089" s="3"/>
    </row>
    <row r="1090">
      <c r="A1090" s="4"/>
      <c r="B1090" s="3"/>
      <c r="C1090" s="3"/>
      <c r="D1090" s="3"/>
      <c r="E1090" s="3"/>
      <c r="F1090" s="3"/>
      <c r="G1090" s="3"/>
      <c r="H1090" s="3"/>
      <c r="I1090" s="3"/>
      <c r="J1090" s="3"/>
      <c r="K1090" s="3"/>
      <c r="L1090" s="3"/>
      <c r="M1090" s="3"/>
      <c r="N1090" s="3"/>
      <c r="O1090" s="3"/>
      <c r="P1090" s="3"/>
      <c r="Q1090" s="3"/>
      <c r="R1090" s="3"/>
      <c r="S1090" s="3"/>
      <c r="T1090" s="3"/>
      <c r="U1090" s="3"/>
      <c r="V1090" s="3"/>
      <c r="W1090" s="3"/>
      <c r="X1090" s="3"/>
      <c r="Y1090" s="3"/>
      <c r="Z1090" s="3"/>
      <c r="AA1090" s="3"/>
    </row>
    <row r="1091">
      <c r="A1091" s="4"/>
      <c r="B1091" s="3"/>
      <c r="C1091" s="3"/>
      <c r="D1091" s="3"/>
      <c r="E1091" s="3"/>
      <c r="F1091" s="3"/>
      <c r="G1091" s="3"/>
      <c r="H1091" s="3"/>
      <c r="I1091" s="3"/>
      <c r="J1091" s="3"/>
      <c r="K1091" s="3"/>
      <c r="L1091" s="3"/>
      <c r="M1091" s="3"/>
      <c r="N1091" s="3"/>
      <c r="O1091" s="3"/>
      <c r="P1091" s="3"/>
      <c r="Q1091" s="3"/>
      <c r="R1091" s="3"/>
      <c r="S1091" s="3"/>
      <c r="T1091" s="3"/>
      <c r="U1091" s="3"/>
      <c r="V1091" s="3"/>
      <c r="W1091" s="3"/>
      <c r="X1091" s="3"/>
      <c r="Y1091" s="3"/>
      <c r="Z1091" s="3"/>
      <c r="AA1091" s="3"/>
    </row>
    <row r="1092">
      <c r="A1092" s="4"/>
      <c r="B1092" s="3"/>
      <c r="C1092" s="3"/>
      <c r="D1092" s="3"/>
      <c r="E1092" s="3"/>
      <c r="F1092" s="3"/>
      <c r="G1092" s="3"/>
      <c r="H1092" s="3"/>
      <c r="I1092" s="3"/>
      <c r="J1092" s="3"/>
      <c r="K1092" s="3"/>
      <c r="L1092" s="3"/>
      <c r="M1092" s="3"/>
      <c r="N1092" s="3"/>
      <c r="O1092" s="3"/>
      <c r="P1092" s="3"/>
      <c r="Q1092" s="3"/>
      <c r="R1092" s="3"/>
      <c r="S1092" s="3"/>
      <c r="T1092" s="3"/>
      <c r="U1092" s="3"/>
      <c r="V1092" s="3"/>
      <c r="W1092" s="3"/>
      <c r="X1092" s="3"/>
      <c r="Y1092" s="3"/>
      <c r="Z1092" s="3"/>
      <c r="AA1092" s="3"/>
    </row>
    <row r="1093">
      <c r="A1093" s="4"/>
      <c r="B1093" s="3"/>
      <c r="C1093" s="3"/>
      <c r="D1093" s="3"/>
      <c r="E1093" s="3"/>
      <c r="F1093" s="3"/>
      <c r="G1093" s="3"/>
      <c r="H1093" s="3"/>
      <c r="I1093" s="3"/>
      <c r="J1093" s="3"/>
      <c r="K1093" s="3"/>
      <c r="L1093" s="3"/>
      <c r="M1093" s="3"/>
      <c r="N1093" s="3"/>
      <c r="O1093" s="3"/>
      <c r="P1093" s="3"/>
      <c r="Q1093" s="3"/>
      <c r="R1093" s="3"/>
      <c r="S1093" s="3"/>
      <c r="T1093" s="3"/>
      <c r="U1093" s="3"/>
      <c r="V1093" s="3"/>
      <c r="W1093" s="3"/>
      <c r="X1093" s="3"/>
      <c r="Y1093" s="3"/>
      <c r="Z1093" s="3"/>
      <c r="AA1093" s="3"/>
    </row>
    <row r="1094">
      <c r="A1094" s="4"/>
      <c r="B1094" s="3"/>
      <c r="C1094" s="3"/>
      <c r="D1094" s="3"/>
      <c r="E1094" s="3"/>
      <c r="F1094" s="3"/>
      <c r="G1094" s="3"/>
      <c r="H1094" s="3"/>
      <c r="I1094" s="3"/>
      <c r="J1094" s="3"/>
      <c r="K1094" s="3"/>
      <c r="L1094" s="3"/>
      <c r="M1094" s="3"/>
      <c r="N1094" s="3"/>
      <c r="O1094" s="3"/>
      <c r="P1094" s="3"/>
      <c r="Q1094" s="3"/>
      <c r="R1094" s="3"/>
      <c r="S1094" s="3"/>
      <c r="T1094" s="3"/>
      <c r="U1094" s="3"/>
      <c r="V1094" s="3"/>
      <c r="W1094" s="3"/>
      <c r="X1094" s="3"/>
      <c r="Y1094" s="3"/>
      <c r="Z1094" s="3"/>
      <c r="AA1094" s="3"/>
    </row>
    <row r="1095">
      <c r="A1095" s="4"/>
      <c r="B1095" s="3"/>
      <c r="C1095" s="3"/>
      <c r="D1095" s="3"/>
      <c r="E1095" s="3"/>
      <c r="F1095" s="3"/>
      <c r="G1095" s="3"/>
      <c r="H1095" s="3"/>
      <c r="I1095" s="3"/>
      <c r="J1095" s="3"/>
      <c r="K1095" s="3"/>
      <c r="L1095" s="3"/>
      <c r="M1095" s="3"/>
      <c r="N1095" s="3"/>
      <c r="O1095" s="3"/>
      <c r="P1095" s="3"/>
      <c r="Q1095" s="3"/>
      <c r="R1095" s="3"/>
      <c r="S1095" s="3"/>
      <c r="T1095" s="3"/>
      <c r="U1095" s="3"/>
      <c r="V1095" s="3"/>
      <c r="W1095" s="3"/>
      <c r="X1095" s="3"/>
      <c r="Y1095" s="3"/>
      <c r="Z1095" s="3"/>
      <c r="AA1095" s="3"/>
    </row>
    <row r="1096">
      <c r="A1096" s="4"/>
      <c r="B1096" s="3"/>
      <c r="C1096" s="3"/>
      <c r="D1096" s="3"/>
      <c r="E1096" s="3"/>
      <c r="F1096" s="3"/>
      <c r="G1096" s="3"/>
      <c r="H1096" s="3"/>
      <c r="I1096" s="3"/>
      <c r="J1096" s="3"/>
      <c r="K1096" s="3"/>
      <c r="L1096" s="3"/>
      <c r="M1096" s="3"/>
      <c r="N1096" s="3"/>
      <c r="O1096" s="3"/>
      <c r="P1096" s="3"/>
      <c r="Q1096" s="3"/>
      <c r="R1096" s="3"/>
      <c r="S1096" s="3"/>
      <c r="T1096" s="3"/>
      <c r="U1096" s="3"/>
      <c r="V1096" s="3"/>
      <c r="W1096" s="3"/>
      <c r="X1096" s="3"/>
      <c r="Y1096" s="3"/>
      <c r="Z1096" s="3"/>
      <c r="AA1096" s="3"/>
    </row>
    <row r="1097">
      <c r="A1097" s="4"/>
      <c r="B1097" s="3"/>
      <c r="C1097" s="3"/>
      <c r="D1097" s="3"/>
      <c r="E1097" s="3"/>
      <c r="F1097" s="3"/>
      <c r="G1097" s="3"/>
      <c r="H1097" s="3"/>
      <c r="I1097" s="3"/>
      <c r="J1097" s="3"/>
      <c r="K1097" s="3"/>
      <c r="L1097" s="3"/>
      <c r="M1097" s="3"/>
      <c r="N1097" s="3"/>
      <c r="O1097" s="3"/>
      <c r="P1097" s="3"/>
      <c r="Q1097" s="3"/>
      <c r="R1097" s="3"/>
      <c r="S1097" s="3"/>
      <c r="T1097" s="3"/>
      <c r="U1097" s="3"/>
      <c r="V1097" s="3"/>
      <c r="W1097" s="3"/>
      <c r="X1097" s="3"/>
      <c r="Y1097" s="3"/>
      <c r="Z1097" s="3"/>
      <c r="AA1097" s="3"/>
    </row>
    <row r="1098">
      <c r="A1098" s="4"/>
      <c r="B1098" s="3"/>
      <c r="C1098" s="3"/>
      <c r="D1098" s="3"/>
      <c r="E1098" s="3"/>
      <c r="F1098" s="3"/>
      <c r="G1098" s="3"/>
      <c r="H1098" s="3"/>
      <c r="I1098" s="3"/>
      <c r="J1098" s="3"/>
      <c r="K1098" s="3"/>
      <c r="L1098" s="3"/>
      <c r="M1098" s="3"/>
      <c r="N1098" s="3"/>
      <c r="O1098" s="3"/>
      <c r="P1098" s="3"/>
      <c r="Q1098" s="3"/>
      <c r="R1098" s="3"/>
      <c r="S1098" s="3"/>
      <c r="T1098" s="3"/>
      <c r="U1098" s="3"/>
      <c r="V1098" s="3"/>
      <c r="W1098" s="3"/>
      <c r="X1098" s="3"/>
      <c r="Y1098" s="3"/>
      <c r="Z1098" s="3"/>
      <c r="AA1098" s="3"/>
    </row>
    <row r="1099">
      <c r="A1099" s="4"/>
      <c r="B1099" s="3"/>
      <c r="C1099" s="3"/>
      <c r="D1099" s="3"/>
      <c r="E1099" s="3"/>
      <c r="F1099" s="3"/>
      <c r="G1099" s="3"/>
      <c r="H1099" s="3"/>
      <c r="I1099" s="3"/>
      <c r="J1099" s="3"/>
      <c r="K1099" s="3"/>
      <c r="L1099" s="3"/>
      <c r="M1099" s="3"/>
      <c r="N1099" s="3"/>
      <c r="O1099" s="3"/>
      <c r="P1099" s="3"/>
      <c r="Q1099" s="3"/>
      <c r="R1099" s="3"/>
      <c r="S1099" s="3"/>
      <c r="T1099" s="3"/>
      <c r="U1099" s="3"/>
      <c r="V1099" s="3"/>
      <c r="W1099" s="3"/>
      <c r="X1099" s="3"/>
      <c r="Y1099" s="3"/>
      <c r="Z1099" s="3"/>
      <c r="AA1099" s="3"/>
    </row>
    <row r="1100">
      <c r="A1100" s="4"/>
      <c r="B1100" s="3"/>
      <c r="C1100" s="3"/>
      <c r="D1100" s="3"/>
      <c r="E1100" s="3"/>
      <c r="F1100" s="3"/>
      <c r="G1100" s="3"/>
      <c r="H1100" s="3"/>
      <c r="I1100" s="3"/>
      <c r="J1100" s="3"/>
      <c r="K1100" s="3"/>
      <c r="L1100" s="3"/>
      <c r="M1100" s="3"/>
      <c r="N1100" s="3"/>
      <c r="O1100" s="3"/>
      <c r="P1100" s="3"/>
      <c r="Q1100" s="3"/>
      <c r="R1100" s="3"/>
      <c r="S1100" s="3"/>
      <c r="T1100" s="3"/>
      <c r="U1100" s="3"/>
      <c r="V1100" s="3"/>
      <c r="W1100" s="3"/>
      <c r="X1100" s="3"/>
      <c r="Y1100" s="3"/>
      <c r="Z1100" s="3"/>
      <c r="AA1100" s="3"/>
    </row>
    <row r="1101">
      <c r="A1101" s="4"/>
      <c r="B1101" s="3"/>
      <c r="C1101" s="3"/>
      <c r="D1101" s="3"/>
      <c r="E1101" s="3"/>
      <c r="F1101" s="3"/>
      <c r="G1101" s="3"/>
      <c r="H1101" s="3"/>
      <c r="I1101" s="3"/>
      <c r="J1101" s="3"/>
      <c r="K1101" s="3"/>
      <c r="L1101" s="3"/>
      <c r="M1101" s="3"/>
      <c r="N1101" s="3"/>
      <c r="O1101" s="3"/>
      <c r="P1101" s="3"/>
      <c r="Q1101" s="3"/>
      <c r="R1101" s="3"/>
      <c r="S1101" s="3"/>
      <c r="T1101" s="3"/>
      <c r="U1101" s="3"/>
      <c r="V1101" s="3"/>
      <c r="W1101" s="3"/>
      <c r="X1101" s="3"/>
      <c r="Y1101" s="3"/>
      <c r="Z1101" s="3"/>
      <c r="AA1101" s="3"/>
    </row>
    <row r="1102">
      <c r="A1102" s="4"/>
      <c r="B1102" s="3"/>
      <c r="C1102" s="3"/>
      <c r="D1102" s="3"/>
      <c r="E1102" s="3"/>
      <c r="F1102" s="3"/>
      <c r="G1102" s="3"/>
      <c r="H1102" s="3"/>
      <c r="I1102" s="3"/>
      <c r="J1102" s="3"/>
      <c r="K1102" s="3"/>
      <c r="L1102" s="3"/>
      <c r="M1102" s="3"/>
      <c r="N1102" s="3"/>
      <c r="O1102" s="3"/>
      <c r="P1102" s="3"/>
      <c r="Q1102" s="3"/>
      <c r="R1102" s="3"/>
      <c r="S1102" s="3"/>
      <c r="T1102" s="3"/>
      <c r="U1102" s="3"/>
      <c r="V1102" s="3"/>
      <c r="W1102" s="3"/>
      <c r="X1102" s="3"/>
      <c r="Y1102" s="3"/>
      <c r="Z1102" s="3"/>
      <c r="AA1102" s="3"/>
    </row>
    <row r="1103">
      <c r="A1103" s="4"/>
      <c r="B1103" s="3"/>
      <c r="C1103" s="3"/>
      <c r="D1103" s="3"/>
      <c r="E1103" s="3"/>
      <c r="F1103" s="3"/>
      <c r="G1103" s="3"/>
      <c r="H1103" s="3"/>
      <c r="I1103" s="3"/>
      <c r="J1103" s="3"/>
      <c r="K1103" s="3"/>
      <c r="L1103" s="3"/>
      <c r="M1103" s="3"/>
      <c r="N1103" s="3"/>
      <c r="O1103" s="3"/>
      <c r="P1103" s="3"/>
      <c r="Q1103" s="3"/>
      <c r="R1103" s="3"/>
      <c r="S1103" s="3"/>
      <c r="T1103" s="3"/>
      <c r="U1103" s="3"/>
      <c r="V1103" s="3"/>
      <c r="W1103" s="3"/>
      <c r="X1103" s="3"/>
      <c r="Y1103" s="3"/>
      <c r="Z1103" s="3"/>
      <c r="AA1103" s="3"/>
    </row>
    <row r="1104">
      <c r="A1104" s="4"/>
      <c r="B1104" s="3"/>
      <c r="C1104" s="3"/>
      <c r="D1104" s="3"/>
      <c r="E1104" s="3"/>
      <c r="F1104" s="3"/>
      <c r="G1104" s="3"/>
      <c r="H1104" s="3"/>
      <c r="I1104" s="3"/>
      <c r="J1104" s="3"/>
      <c r="K1104" s="3"/>
      <c r="L1104" s="3"/>
      <c r="M1104" s="3"/>
      <c r="N1104" s="3"/>
      <c r="O1104" s="3"/>
      <c r="P1104" s="3"/>
      <c r="Q1104" s="3"/>
      <c r="R1104" s="3"/>
      <c r="S1104" s="3"/>
      <c r="T1104" s="3"/>
      <c r="U1104" s="3"/>
      <c r="V1104" s="3"/>
      <c r="W1104" s="3"/>
      <c r="X1104" s="3"/>
      <c r="Y1104" s="3"/>
      <c r="Z1104" s="3"/>
      <c r="AA1104" s="3"/>
    </row>
    <row r="1105">
      <c r="A1105" s="4"/>
      <c r="B1105" s="3"/>
      <c r="C1105" s="3"/>
      <c r="D1105" s="3"/>
      <c r="E1105" s="3"/>
      <c r="F1105" s="3"/>
      <c r="G1105" s="3"/>
      <c r="H1105" s="3"/>
      <c r="I1105" s="3"/>
      <c r="J1105" s="3"/>
      <c r="K1105" s="3"/>
      <c r="L1105" s="3"/>
      <c r="M1105" s="3"/>
      <c r="N1105" s="3"/>
      <c r="O1105" s="3"/>
      <c r="P1105" s="3"/>
      <c r="Q1105" s="3"/>
      <c r="R1105" s="3"/>
      <c r="S1105" s="3"/>
      <c r="T1105" s="3"/>
      <c r="U1105" s="3"/>
      <c r="V1105" s="3"/>
      <c r="W1105" s="3"/>
      <c r="X1105" s="3"/>
      <c r="Y1105" s="3"/>
      <c r="Z1105" s="3"/>
      <c r="AA1105" s="3"/>
    </row>
    <row r="1106">
      <c r="A1106" s="4"/>
      <c r="B1106" s="3"/>
      <c r="C1106" s="3"/>
      <c r="D1106" s="3"/>
      <c r="E1106" s="3"/>
      <c r="F1106" s="3"/>
      <c r="G1106" s="3"/>
      <c r="H1106" s="3"/>
      <c r="I1106" s="3"/>
      <c r="J1106" s="3"/>
      <c r="K1106" s="3"/>
      <c r="L1106" s="3"/>
      <c r="M1106" s="3"/>
      <c r="N1106" s="3"/>
      <c r="O1106" s="3"/>
      <c r="P1106" s="3"/>
      <c r="Q1106" s="3"/>
      <c r="R1106" s="3"/>
      <c r="S1106" s="3"/>
      <c r="T1106" s="3"/>
      <c r="U1106" s="3"/>
      <c r="V1106" s="3"/>
      <c r="W1106" s="3"/>
      <c r="X1106" s="3"/>
      <c r="Y1106" s="3"/>
      <c r="Z1106" s="3"/>
      <c r="AA1106" s="3"/>
    </row>
    <row r="1107">
      <c r="A1107" s="4"/>
      <c r="B1107" s="3"/>
      <c r="C1107" s="3"/>
      <c r="D1107" s="3"/>
      <c r="E1107" s="3"/>
      <c r="F1107" s="3"/>
      <c r="G1107" s="3"/>
      <c r="H1107" s="3"/>
      <c r="I1107" s="3"/>
      <c r="J1107" s="3"/>
      <c r="K1107" s="3"/>
      <c r="L1107" s="3"/>
      <c r="M1107" s="3"/>
      <c r="N1107" s="3"/>
      <c r="O1107" s="3"/>
      <c r="P1107" s="3"/>
      <c r="Q1107" s="3"/>
      <c r="R1107" s="3"/>
      <c r="S1107" s="3"/>
      <c r="T1107" s="3"/>
      <c r="U1107" s="3"/>
      <c r="V1107" s="3"/>
      <c r="W1107" s="3"/>
      <c r="X1107" s="3"/>
      <c r="Y1107" s="3"/>
      <c r="Z1107" s="3"/>
      <c r="AA1107" s="3"/>
    </row>
    <row r="1108">
      <c r="A1108" s="4"/>
      <c r="B1108" s="3"/>
      <c r="C1108" s="3"/>
      <c r="D1108" s="3"/>
      <c r="E1108" s="3"/>
      <c r="F1108" s="3"/>
      <c r="G1108" s="3"/>
      <c r="H1108" s="3"/>
      <c r="I1108" s="3"/>
      <c r="J1108" s="3"/>
      <c r="K1108" s="3"/>
      <c r="L1108" s="3"/>
      <c r="M1108" s="3"/>
      <c r="N1108" s="3"/>
      <c r="O1108" s="3"/>
      <c r="P1108" s="3"/>
      <c r="Q1108" s="3"/>
      <c r="R1108" s="3"/>
      <c r="S1108" s="3"/>
      <c r="T1108" s="3"/>
      <c r="U1108" s="3"/>
      <c r="V1108" s="3"/>
      <c r="W1108" s="3"/>
      <c r="X1108" s="3"/>
      <c r="Y1108" s="3"/>
      <c r="Z1108" s="3"/>
      <c r="AA1108" s="3"/>
    </row>
    <row r="1109">
      <c r="A1109" s="4"/>
      <c r="B1109" s="3"/>
      <c r="C1109" s="3"/>
      <c r="D1109" s="3"/>
      <c r="E1109" s="3"/>
      <c r="F1109" s="3"/>
      <c r="G1109" s="3"/>
      <c r="H1109" s="3"/>
      <c r="I1109" s="3"/>
      <c r="J1109" s="3"/>
      <c r="K1109" s="3"/>
      <c r="L1109" s="3"/>
      <c r="M1109" s="3"/>
      <c r="N1109" s="3"/>
      <c r="O1109" s="3"/>
      <c r="P1109" s="3"/>
      <c r="Q1109" s="3"/>
      <c r="R1109" s="3"/>
      <c r="S1109" s="3"/>
      <c r="T1109" s="3"/>
      <c r="U1109" s="3"/>
      <c r="V1109" s="3"/>
      <c r="W1109" s="3"/>
      <c r="X1109" s="3"/>
      <c r="Y1109" s="3"/>
      <c r="Z1109" s="3"/>
      <c r="AA1109" s="3"/>
    </row>
    <row r="1110">
      <c r="A1110" s="4"/>
      <c r="B1110" s="3"/>
      <c r="C1110" s="3"/>
      <c r="D1110" s="3"/>
      <c r="E1110" s="3"/>
      <c r="F1110" s="3"/>
      <c r="G1110" s="3"/>
      <c r="H1110" s="3"/>
      <c r="I1110" s="3"/>
      <c r="J1110" s="3"/>
      <c r="K1110" s="3"/>
      <c r="L1110" s="3"/>
      <c r="M1110" s="3"/>
      <c r="N1110" s="3"/>
      <c r="O1110" s="3"/>
      <c r="P1110" s="3"/>
      <c r="Q1110" s="3"/>
      <c r="R1110" s="3"/>
      <c r="S1110" s="3"/>
      <c r="T1110" s="3"/>
      <c r="U1110" s="3"/>
      <c r="V1110" s="3"/>
      <c r="W1110" s="3"/>
      <c r="X1110" s="3"/>
      <c r="Y1110" s="3"/>
      <c r="Z1110" s="3"/>
      <c r="AA1110" s="3"/>
    </row>
    <row r="1111">
      <c r="A1111" s="4"/>
      <c r="B1111" s="3"/>
      <c r="C1111" s="3"/>
      <c r="D1111" s="3"/>
      <c r="E1111" s="3"/>
      <c r="F1111" s="3"/>
      <c r="G1111" s="3"/>
      <c r="H1111" s="3"/>
      <c r="I1111" s="3"/>
      <c r="J1111" s="3"/>
      <c r="K1111" s="3"/>
      <c r="L1111" s="3"/>
      <c r="M1111" s="3"/>
      <c r="N1111" s="3"/>
      <c r="O1111" s="3"/>
      <c r="P1111" s="3"/>
      <c r="Q1111" s="3"/>
      <c r="R1111" s="3"/>
      <c r="S1111" s="3"/>
      <c r="T1111" s="3"/>
      <c r="U1111" s="3"/>
      <c r="V1111" s="3"/>
      <c r="W1111" s="3"/>
      <c r="X1111" s="3"/>
      <c r="Y1111" s="3"/>
      <c r="Z1111" s="3"/>
      <c r="AA1111" s="3"/>
    </row>
    <row r="1112">
      <c r="A1112" s="4"/>
      <c r="B1112" s="3"/>
      <c r="C1112" s="3"/>
      <c r="D1112" s="3"/>
      <c r="E1112" s="3"/>
      <c r="F1112" s="3"/>
      <c r="G1112" s="3"/>
      <c r="H1112" s="3"/>
      <c r="I1112" s="3"/>
      <c r="J1112" s="3"/>
      <c r="K1112" s="3"/>
      <c r="L1112" s="3"/>
      <c r="M1112" s="3"/>
      <c r="N1112" s="3"/>
      <c r="O1112" s="3"/>
      <c r="P1112" s="3"/>
      <c r="Q1112" s="3"/>
      <c r="R1112" s="3"/>
      <c r="S1112" s="3"/>
      <c r="T1112" s="3"/>
      <c r="U1112" s="3"/>
      <c r="V1112" s="3"/>
      <c r="W1112" s="3"/>
      <c r="X1112" s="3"/>
      <c r="Y1112" s="3"/>
      <c r="Z1112" s="3"/>
      <c r="AA1112" s="3"/>
    </row>
    <row r="1113">
      <c r="A1113" s="4"/>
      <c r="B1113" s="3"/>
      <c r="C1113" s="3"/>
      <c r="D1113" s="3"/>
      <c r="E1113" s="3"/>
      <c r="F1113" s="3"/>
      <c r="G1113" s="3"/>
      <c r="H1113" s="3"/>
      <c r="I1113" s="3"/>
      <c r="J1113" s="3"/>
      <c r="K1113" s="3"/>
      <c r="L1113" s="3"/>
      <c r="M1113" s="3"/>
      <c r="N1113" s="3"/>
      <c r="O1113" s="3"/>
      <c r="P1113" s="3"/>
      <c r="Q1113" s="3"/>
      <c r="R1113" s="3"/>
      <c r="S1113" s="3"/>
      <c r="T1113" s="3"/>
      <c r="U1113" s="3"/>
      <c r="V1113" s="3"/>
      <c r="W1113" s="3"/>
      <c r="X1113" s="3"/>
      <c r="Y1113" s="3"/>
      <c r="Z1113" s="3"/>
      <c r="AA1113" s="3"/>
    </row>
    <row r="1114">
      <c r="A1114" s="4"/>
      <c r="B1114" s="3"/>
      <c r="C1114" s="3"/>
      <c r="D1114" s="3"/>
      <c r="E1114" s="3"/>
      <c r="F1114" s="3"/>
      <c r="G1114" s="3"/>
      <c r="H1114" s="3"/>
      <c r="I1114" s="3"/>
      <c r="J1114" s="3"/>
      <c r="K1114" s="3"/>
      <c r="L1114" s="3"/>
      <c r="M1114" s="3"/>
      <c r="N1114" s="3"/>
      <c r="O1114" s="3"/>
      <c r="P1114" s="3"/>
      <c r="Q1114" s="3"/>
      <c r="R1114" s="3"/>
      <c r="S1114" s="3"/>
      <c r="T1114" s="3"/>
      <c r="U1114" s="3"/>
      <c r="V1114" s="3"/>
      <c r="W1114" s="3"/>
      <c r="X1114" s="3"/>
      <c r="Y1114" s="3"/>
      <c r="Z1114" s="3"/>
      <c r="AA1114" s="3"/>
    </row>
    <row r="1115">
      <c r="A1115" s="4"/>
      <c r="B1115" s="3"/>
      <c r="C1115" s="3"/>
      <c r="D1115" s="3"/>
      <c r="E1115" s="3"/>
      <c r="F1115" s="3"/>
      <c r="G1115" s="3"/>
      <c r="H1115" s="3"/>
      <c r="I1115" s="3"/>
      <c r="J1115" s="3"/>
      <c r="K1115" s="3"/>
      <c r="L1115" s="3"/>
      <c r="M1115" s="3"/>
      <c r="N1115" s="3"/>
      <c r="O1115" s="3"/>
      <c r="P1115" s="3"/>
      <c r="Q1115" s="3"/>
      <c r="R1115" s="3"/>
      <c r="S1115" s="3"/>
      <c r="T1115" s="3"/>
      <c r="U1115" s="3"/>
      <c r="V1115" s="3"/>
      <c r="W1115" s="3"/>
      <c r="X1115" s="3"/>
      <c r="Y1115" s="3"/>
      <c r="Z1115" s="3"/>
      <c r="AA1115" s="3"/>
    </row>
    <row r="1116">
      <c r="A1116" s="4"/>
      <c r="B1116" s="3"/>
      <c r="C1116" s="3"/>
      <c r="D1116" s="3"/>
      <c r="E1116" s="3"/>
      <c r="F1116" s="3"/>
      <c r="G1116" s="3"/>
      <c r="H1116" s="3"/>
      <c r="I1116" s="3"/>
      <c r="J1116" s="3"/>
      <c r="K1116" s="3"/>
      <c r="L1116" s="3"/>
      <c r="M1116" s="3"/>
      <c r="N1116" s="3"/>
      <c r="O1116" s="3"/>
      <c r="P1116" s="3"/>
      <c r="Q1116" s="3"/>
      <c r="R1116" s="3"/>
      <c r="S1116" s="3"/>
      <c r="T1116" s="3"/>
      <c r="U1116" s="3"/>
      <c r="V1116" s="3"/>
      <c r="W1116" s="3"/>
      <c r="X1116" s="3"/>
      <c r="Y1116" s="3"/>
      <c r="Z1116" s="3"/>
      <c r="AA1116" s="3"/>
    </row>
    <row r="1117">
      <c r="A1117" s="4"/>
      <c r="B1117" s="3"/>
      <c r="C1117" s="3"/>
      <c r="D1117" s="3"/>
      <c r="E1117" s="3"/>
      <c r="F1117" s="3"/>
      <c r="G1117" s="3"/>
      <c r="H1117" s="3"/>
      <c r="I1117" s="3"/>
      <c r="J1117" s="3"/>
      <c r="K1117" s="3"/>
      <c r="L1117" s="3"/>
      <c r="M1117" s="3"/>
      <c r="N1117" s="3"/>
      <c r="O1117" s="3"/>
      <c r="P1117" s="3"/>
      <c r="Q1117" s="3"/>
      <c r="R1117" s="3"/>
      <c r="S1117" s="3"/>
      <c r="T1117" s="3"/>
      <c r="U1117" s="3"/>
      <c r="V1117" s="3"/>
      <c r="W1117" s="3"/>
      <c r="X1117" s="3"/>
      <c r="Y1117" s="3"/>
      <c r="Z1117" s="3"/>
      <c r="AA1117" s="3"/>
    </row>
    <row r="1118">
      <c r="A1118" s="4"/>
      <c r="B1118" s="3"/>
      <c r="C1118" s="3"/>
      <c r="D1118" s="3"/>
      <c r="E1118" s="3"/>
      <c r="F1118" s="3"/>
      <c r="G1118" s="3"/>
      <c r="H1118" s="3"/>
      <c r="I1118" s="3"/>
      <c r="J1118" s="3"/>
      <c r="K1118" s="3"/>
      <c r="L1118" s="3"/>
      <c r="M1118" s="3"/>
      <c r="N1118" s="3"/>
      <c r="O1118" s="3"/>
      <c r="P1118" s="3"/>
      <c r="Q1118" s="3"/>
      <c r="R1118" s="3"/>
      <c r="S1118" s="3"/>
      <c r="T1118" s="3"/>
      <c r="U1118" s="3"/>
      <c r="V1118" s="3"/>
      <c r="W1118" s="3"/>
      <c r="X1118" s="3"/>
      <c r="Y1118" s="3"/>
      <c r="Z1118" s="3"/>
      <c r="AA1118" s="3"/>
    </row>
    <row r="1119">
      <c r="A1119" s="4"/>
      <c r="B1119" s="3"/>
      <c r="C1119" s="3"/>
      <c r="D1119" s="3"/>
      <c r="E1119" s="3"/>
      <c r="F1119" s="3"/>
      <c r="G1119" s="3"/>
      <c r="H1119" s="3"/>
      <c r="I1119" s="3"/>
      <c r="J1119" s="3"/>
      <c r="K1119" s="3"/>
      <c r="L1119" s="3"/>
      <c r="M1119" s="3"/>
      <c r="N1119" s="3"/>
      <c r="O1119" s="3"/>
      <c r="P1119" s="3"/>
      <c r="Q1119" s="3"/>
      <c r="R1119" s="3"/>
      <c r="S1119" s="3"/>
      <c r="T1119" s="3"/>
      <c r="U1119" s="3"/>
      <c r="V1119" s="3"/>
      <c r="W1119" s="3"/>
      <c r="X1119" s="3"/>
      <c r="Y1119" s="3"/>
      <c r="Z1119" s="3"/>
      <c r="AA1119" s="3"/>
    </row>
    <row r="1120">
      <c r="A1120" s="4"/>
      <c r="B1120" s="3"/>
      <c r="C1120" s="3"/>
      <c r="D1120" s="3"/>
      <c r="E1120" s="3"/>
      <c r="F1120" s="3"/>
      <c r="G1120" s="3"/>
      <c r="H1120" s="3"/>
      <c r="I1120" s="3"/>
      <c r="J1120" s="3"/>
      <c r="K1120" s="3"/>
      <c r="L1120" s="3"/>
      <c r="M1120" s="3"/>
      <c r="N1120" s="3"/>
      <c r="O1120" s="3"/>
      <c r="P1120" s="3"/>
      <c r="Q1120" s="3"/>
      <c r="R1120" s="3"/>
      <c r="S1120" s="3"/>
      <c r="T1120" s="3"/>
      <c r="U1120" s="3"/>
      <c r="V1120" s="3"/>
      <c r="W1120" s="3"/>
      <c r="X1120" s="3"/>
      <c r="Y1120" s="3"/>
      <c r="Z1120" s="3"/>
      <c r="AA1120" s="3"/>
    </row>
    <row r="1121">
      <c r="A1121" s="4"/>
      <c r="B1121" s="3"/>
      <c r="C1121" s="3"/>
      <c r="D1121" s="3"/>
      <c r="E1121" s="3"/>
      <c r="F1121" s="3"/>
      <c r="G1121" s="3"/>
      <c r="H1121" s="3"/>
      <c r="I1121" s="3"/>
      <c r="J1121" s="3"/>
      <c r="K1121" s="3"/>
      <c r="L1121" s="3"/>
      <c r="M1121" s="3"/>
      <c r="N1121" s="3"/>
      <c r="O1121" s="3"/>
      <c r="P1121" s="3"/>
      <c r="Q1121" s="3"/>
      <c r="R1121" s="3"/>
      <c r="S1121" s="3"/>
      <c r="T1121" s="3"/>
      <c r="U1121" s="3"/>
      <c r="V1121" s="3"/>
      <c r="W1121" s="3"/>
      <c r="X1121" s="3"/>
      <c r="Y1121" s="3"/>
      <c r="Z1121" s="3"/>
      <c r="AA1121" s="3"/>
    </row>
    <row r="1122">
      <c r="A1122" s="4"/>
      <c r="B1122" s="3"/>
      <c r="C1122" s="3"/>
      <c r="D1122" s="3"/>
      <c r="E1122" s="3"/>
      <c r="F1122" s="3"/>
      <c r="G1122" s="3"/>
      <c r="H1122" s="3"/>
      <c r="I1122" s="3"/>
      <c r="J1122" s="3"/>
      <c r="K1122" s="3"/>
      <c r="L1122" s="3"/>
      <c r="M1122" s="3"/>
      <c r="N1122" s="3"/>
      <c r="O1122" s="3"/>
      <c r="P1122" s="3"/>
      <c r="Q1122" s="3"/>
      <c r="R1122" s="3"/>
      <c r="S1122" s="3"/>
      <c r="T1122" s="3"/>
      <c r="U1122" s="3"/>
      <c r="V1122" s="3"/>
      <c r="W1122" s="3"/>
      <c r="X1122" s="3"/>
      <c r="Y1122" s="3"/>
      <c r="Z1122" s="3"/>
      <c r="AA1122" s="3"/>
    </row>
    <row r="1123">
      <c r="A1123" s="4"/>
      <c r="B1123" s="3"/>
      <c r="C1123" s="3"/>
      <c r="D1123" s="3"/>
      <c r="E1123" s="3"/>
      <c r="F1123" s="3"/>
      <c r="G1123" s="3"/>
      <c r="H1123" s="3"/>
      <c r="I1123" s="3"/>
      <c r="J1123" s="3"/>
      <c r="K1123" s="3"/>
      <c r="L1123" s="3"/>
      <c r="M1123" s="3"/>
      <c r="N1123" s="3"/>
      <c r="O1123" s="3"/>
      <c r="P1123" s="3"/>
      <c r="Q1123" s="3"/>
      <c r="R1123" s="3"/>
      <c r="S1123" s="3"/>
      <c r="T1123" s="3"/>
      <c r="U1123" s="3"/>
      <c r="V1123" s="3"/>
      <c r="W1123" s="3"/>
      <c r="X1123" s="3"/>
      <c r="Y1123" s="3"/>
      <c r="Z1123" s="3"/>
      <c r="AA1123" s="3"/>
    </row>
    <row r="1124">
      <c r="A1124" s="4"/>
      <c r="B1124" s="3"/>
      <c r="C1124" s="3"/>
      <c r="D1124" s="3"/>
      <c r="E1124" s="3"/>
      <c r="F1124" s="3"/>
      <c r="G1124" s="3"/>
      <c r="H1124" s="3"/>
      <c r="I1124" s="3"/>
      <c r="J1124" s="3"/>
      <c r="K1124" s="3"/>
      <c r="L1124" s="3"/>
      <c r="M1124" s="3"/>
      <c r="N1124" s="3"/>
      <c r="O1124" s="3"/>
      <c r="P1124" s="3"/>
      <c r="Q1124" s="3"/>
      <c r="R1124" s="3"/>
      <c r="S1124" s="3"/>
      <c r="T1124" s="3"/>
      <c r="U1124" s="3"/>
      <c r="V1124" s="3"/>
      <c r="W1124" s="3"/>
      <c r="X1124" s="3"/>
      <c r="Y1124" s="3"/>
      <c r="Z1124" s="3"/>
      <c r="AA1124" s="3"/>
    </row>
    <row r="1125">
      <c r="A1125" s="4"/>
      <c r="B1125" s="3"/>
      <c r="C1125" s="3"/>
      <c r="D1125" s="3"/>
      <c r="E1125" s="3"/>
      <c r="F1125" s="3"/>
      <c r="G1125" s="3"/>
      <c r="H1125" s="3"/>
      <c r="I1125" s="3"/>
      <c r="J1125" s="3"/>
      <c r="K1125" s="3"/>
      <c r="L1125" s="3"/>
      <c r="M1125" s="3"/>
      <c r="N1125" s="3"/>
      <c r="O1125" s="3"/>
      <c r="P1125" s="3"/>
      <c r="Q1125" s="3"/>
      <c r="R1125" s="3"/>
      <c r="S1125" s="3"/>
      <c r="T1125" s="3"/>
      <c r="U1125" s="3"/>
      <c r="V1125" s="3"/>
      <c r="W1125" s="3"/>
      <c r="X1125" s="3"/>
      <c r="Y1125" s="3"/>
      <c r="Z1125" s="3"/>
      <c r="AA1125" s="3"/>
    </row>
    <row r="1126">
      <c r="A1126" s="4"/>
      <c r="B1126" s="3"/>
      <c r="C1126" s="3"/>
      <c r="D1126" s="3"/>
      <c r="E1126" s="3"/>
      <c r="F1126" s="3"/>
      <c r="G1126" s="3"/>
      <c r="H1126" s="3"/>
      <c r="I1126" s="3"/>
      <c r="J1126" s="3"/>
      <c r="K1126" s="3"/>
      <c r="L1126" s="3"/>
      <c r="M1126" s="3"/>
      <c r="N1126" s="3"/>
      <c r="O1126" s="3"/>
      <c r="P1126" s="3"/>
      <c r="Q1126" s="3"/>
      <c r="R1126" s="3"/>
      <c r="S1126" s="3"/>
      <c r="T1126" s="3"/>
      <c r="U1126" s="3"/>
      <c r="V1126" s="3"/>
      <c r="W1126" s="3"/>
      <c r="X1126" s="3"/>
      <c r="Y1126" s="3"/>
      <c r="Z1126" s="3"/>
      <c r="AA1126" s="3"/>
    </row>
    <row r="1127">
      <c r="A1127" s="4"/>
      <c r="B1127" s="3"/>
      <c r="C1127" s="3"/>
      <c r="D1127" s="3"/>
      <c r="E1127" s="3"/>
      <c r="F1127" s="3"/>
      <c r="G1127" s="3"/>
      <c r="H1127" s="3"/>
      <c r="I1127" s="3"/>
      <c r="J1127" s="3"/>
      <c r="K1127" s="3"/>
      <c r="L1127" s="3"/>
      <c r="M1127" s="3"/>
      <c r="N1127" s="3"/>
      <c r="O1127" s="3"/>
      <c r="P1127" s="3"/>
      <c r="Q1127" s="3"/>
      <c r="R1127" s="3"/>
      <c r="S1127" s="3"/>
      <c r="T1127" s="3"/>
      <c r="U1127" s="3"/>
      <c r="V1127" s="3"/>
      <c r="W1127" s="3"/>
      <c r="X1127" s="3"/>
      <c r="Y1127" s="3"/>
      <c r="Z1127" s="3"/>
      <c r="AA1127" s="3"/>
    </row>
    <row r="1128">
      <c r="A1128" s="4"/>
      <c r="B1128" s="3"/>
      <c r="C1128" s="3"/>
      <c r="D1128" s="3"/>
      <c r="E1128" s="3"/>
      <c r="F1128" s="3"/>
      <c r="G1128" s="3"/>
      <c r="H1128" s="3"/>
      <c r="I1128" s="3"/>
      <c r="J1128" s="3"/>
      <c r="K1128" s="3"/>
      <c r="L1128" s="3"/>
      <c r="M1128" s="3"/>
      <c r="N1128" s="3"/>
      <c r="O1128" s="3"/>
      <c r="P1128" s="3"/>
      <c r="Q1128" s="3"/>
      <c r="R1128" s="3"/>
      <c r="S1128" s="3"/>
      <c r="T1128" s="3"/>
      <c r="U1128" s="3"/>
      <c r="V1128" s="3"/>
      <c r="W1128" s="3"/>
      <c r="X1128" s="3"/>
      <c r="Y1128" s="3"/>
      <c r="Z1128" s="3"/>
      <c r="AA1128" s="3"/>
    </row>
    <row r="1129">
      <c r="A1129" s="4"/>
      <c r="B1129" s="3"/>
      <c r="C1129" s="3"/>
      <c r="D1129" s="3"/>
      <c r="E1129" s="3"/>
      <c r="F1129" s="3"/>
      <c r="G1129" s="3"/>
      <c r="H1129" s="3"/>
      <c r="I1129" s="3"/>
      <c r="J1129" s="3"/>
      <c r="K1129" s="3"/>
      <c r="L1129" s="3"/>
      <c r="M1129" s="3"/>
      <c r="N1129" s="3"/>
      <c r="O1129" s="3"/>
      <c r="P1129" s="3"/>
      <c r="Q1129" s="3"/>
      <c r="R1129" s="3"/>
      <c r="S1129" s="3"/>
      <c r="T1129" s="3"/>
      <c r="U1129" s="3"/>
      <c r="V1129" s="3"/>
      <c r="W1129" s="3"/>
      <c r="X1129" s="3"/>
      <c r="Y1129" s="3"/>
      <c r="Z1129" s="3"/>
      <c r="AA1129" s="3"/>
    </row>
    <row r="1130">
      <c r="A1130" s="4"/>
      <c r="B1130" s="3"/>
      <c r="C1130" s="3"/>
      <c r="D1130" s="3"/>
      <c r="E1130" s="3"/>
      <c r="F1130" s="3"/>
      <c r="G1130" s="3"/>
      <c r="H1130" s="3"/>
      <c r="I1130" s="3"/>
      <c r="J1130" s="3"/>
      <c r="K1130" s="3"/>
      <c r="L1130" s="3"/>
      <c r="M1130" s="3"/>
      <c r="N1130" s="3"/>
      <c r="O1130" s="3"/>
      <c r="P1130" s="3"/>
      <c r="Q1130" s="3"/>
      <c r="R1130" s="3"/>
      <c r="S1130" s="3"/>
      <c r="T1130" s="3"/>
      <c r="U1130" s="3"/>
      <c r="V1130" s="3"/>
      <c r="W1130" s="3"/>
      <c r="X1130" s="3"/>
      <c r="Y1130" s="3"/>
      <c r="Z1130" s="3"/>
      <c r="AA1130" s="3"/>
    </row>
    <row r="1131">
      <c r="A1131" s="4"/>
      <c r="B1131" s="3"/>
      <c r="C1131" s="3"/>
      <c r="D1131" s="3"/>
      <c r="E1131" s="3"/>
      <c r="F1131" s="3"/>
      <c r="G1131" s="3"/>
      <c r="H1131" s="3"/>
      <c r="I1131" s="3"/>
      <c r="J1131" s="3"/>
      <c r="K1131" s="3"/>
      <c r="L1131" s="3"/>
      <c r="M1131" s="3"/>
      <c r="N1131" s="3"/>
      <c r="O1131" s="3"/>
      <c r="P1131" s="3"/>
      <c r="Q1131" s="3"/>
      <c r="R1131" s="3"/>
      <c r="S1131" s="3"/>
      <c r="T1131" s="3"/>
      <c r="U1131" s="3"/>
      <c r="V1131" s="3"/>
      <c r="W1131" s="3"/>
      <c r="X1131" s="3"/>
      <c r="Y1131" s="3"/>
      <c r="Z1131" s="3"/>
      <c r="AA1131" s="3"/>
    </row>
    <row r="1132">
      <c r="A1132" s="4"/>
      <c r="B1132" s="3"/>
      <c r="C1132" s="3"/>
      <c r="D1132" s="3"/>
      <c r="E1132" s="3"/>
      <c r="F1132" s="3"/>
      <c r="G1132" s="3"/>
      <c r="H1132" s="3"/>
      <c r="I1132" s="3"/>
      <c r="J1132" s="3"/>
      <c r="K1132" s="3"/>
      <c r="L1132" s="3"/>
      <c r="M1132" s="3"/>
      <c r="N1132" s="3"/>
      <c r="O1132" s="3"/>
      <c r="P1132" s="3"/>
      <c r="Q1132" s="3"/>
      <c r="R1132" s="3"/>
      <c r="S1132" s="3"/>
      <c r="T1132" s="3"/>
      <c r="U1132" s="3"/>
      <c r="V1132" s="3"/>
      <c r="W1132" s="3"/>
      <c r="X1132" s="3"/>
      <c r="Y1132" s="3"/>
      <c r="Z1132" s="3"/>
      <c r="AA1132" s="3"/>
    </row>
    <row r="1133">
      <c r="A1133" s="4"/>
      <c r="B1133" s="3"/>
      <c r="C1133" s="3"/>
      <c r="D1133" s="3"/>
      <c r="E1133" s="3"/>
      <c r="F1133" s="3"/>
      <c r="G1133" s="3"/>
      <c r="H1133" s="3"/>
      <c r="I1133" s="3"/>
      <c r="J1133" s="3"/>
      <c r="K1133" s="3"/>
      <c r="L1133" s="3"/>
      <c r="M1133" s="3"/>
      <c r="N1133" s="3"/>
      <c r="O1133" s="3"/>
      <c r="P1133" s="3"/>
      <c r="Q1133" s="3"/>
      <c r="R1133" s="3"/>
      <c r="S1133" s="3"/>
      <c r="T1133" s="3"/>
      <c r="U1133" s="3"/>
      <c r="V1133" s="3"/>
      <c r="W1133" s="3"/>
      <c r="X1133" s="3"/>
      <c r="Y1133" s="3"/>
      <c r="Z1133" s="3"/>
      <c r="AA1133" s="3"/>
    </row>
    <row r="1134">
      <c r="A1134" s="4"/>
      <c r="B1134" s="3"/>
      <c r="C1134" s="3"/>
      <c r="D1134" s="3"/>
      <c r="E1134" s="3"/>
      <c r="F1134" s="3"/>
      <c r="G1134" s="3"/>
      <c r="H1134" s="3"/>
      <c r="I1134" s="3"/>
      <c r="J1134" s="3"/>
      <c r="K1134" s="3"/>
      <c r="L1134" s="3"/>
      <c r="M1134" s="3"/>
      <c r="N1134" s="3"/>
      <c r="O1134" s="3"/>
      <c r="P1134" s="3"/>
      <c r="Q1134" s="3"/>
      <c r="R1134" s="3"/>
      <c r="S1134" s="3"/>
      <c r="T1134" s="3"/>
      <c r="U1134" s="3"/>
      <c r="V1134" s="3"/>
      <c r="W1134" s="3"/>
      <c r="X1134" s="3"/>
      <c r="Y1134" s="3"/>
      <c r="Z1134" s="3"/>
      <c r="AA1134" s="3"/>
    </row>
    <row r="1135">
      <c r="A1135" s="4"/>
      <c r="B1135" s="3"/>
      <c r="C1135" s="3"/>
      <c r="D1135" s="3"/>
      <c r="E1135" s="3"/>
      <c r="F1135" s="3"/>
      <c r="G1135" s="3"/>
      <c r="H1135" s="3"/>
      <c r="I1135" s="3"/>
      <c r="J1135" s="3"/>
      <c r="K1135" s="3"/>
      <c r="L1135" s="3"/>
      <c r="M1135" s="3"/>
      <c r="N1135" s="3"/>
      <c r="O1135" s="3"/>
      <c r="P1135" s="3"/>
      <c r="Q1135" s="3"/>
      <c r="R1135" s="3"/>
      <c r="S1135" s="3"/>
      <c r="T1135" s="3"/>
      <c r="U1135" s="3"/>
      <c r="V1135" s="3"/>
      <c r="W1135" s="3"/>
      <c r="X1135" s="3"/>
      <c r="Y1135" s="3"/>
      <c r="Z1135" s="3"/>
      <c r="AA1135" s="3"/>
    </row>
    <row r="1136">
      <c r="A1136" s="4"/>
      <c r="B1136" s="3"/>
      <c r="C1136" s="3"/>
      <c r="D1136" s="3"/>
      <c r="E1136" s="3"/>
      <c r="F1136" s="3"/>
      <c r="G1136" s="3"/>
      <c r="H1136" s="3"/>
      <c r="I1136" s="3"/>
      <c r="J1136" s="3"/>
      <c r="K1136" s="3"/>
      <c r="L1136" s="3"/>
      <c r="M1136" s="3"/>
      <c r="N1136" s="3"/>
      <c r="O1136" s="3"/>
      <c r="P1136" s="3"/>
      <c r="Q1136" s="3"/>
      <c r="R1136" s="3"/>
      <c r="S1136" s="3"/>
      <c r="T1136" s="3"/>
      <c r="U1136" s="3"/>
      <c r="V1136" s="3"/>
      <c r="W1136" s="3"/>
      <c r="X1136" s="3"/>
      <c r="Y1136" s="3"/>
      <c r="Z1136" s="3"/>
      <c r="AA1136" s="3"/>
    </row>
    <row r="1137">
      <c r="A1137" s="4"/>
      <c r="B1137" s="3"/>
      <c r="C1137" s="3"/>
      <c r="D1137" s="3"/>
      <c r="E1137" s="3"/>
      <c r="F1137" s="3"/>
      <c r="G1137" s="3"/>
      <c r="H1137" s="3"/>
      <c r="I1137" s="3"/>
      <c r="J1137" s="3"/>
      <c r="K1137" s="3"/>
      <c r="L1137" s="3"/>
      <c r="M1137" s="3"/>
      <c r="N1137" s="3"/>
      <c r="O1137" s="3"/>
      <c r="P1137" s="3"/>
      <c r="Q1137" s="3"/>
      <c r="R1137" s="3"/>
      <c r="S1137" s="3"/>
      <c r="T1137" s="3"/>
      <c r="U1137" s="3"/>
      <c r="V1137" s="3"/>
      <c r="W1137" s="3"/>
      <c r="X1137" s="3"/>
      <c r="Y1137" s="3"/>
      <c r="Z1137" s="3"/>
      <c r="AA1137" s="3"/>
    </row>
    <row r="1138">
      <c r="A1138" s="4"/>
      <c r="B1138" s="3"/>
      <c r="C1138" s="3"/>
      <c r="D1138" s="3"/>
      <c r="E1138" s="3"/>
      <c r="F1138" s="3"/>
      <c r="G1138" s="3"/>
      <c r="H1138" s="3"/>
      <c r="I1138" s="3"/>
      <c r="J1138" s="3"/>
      <c r="K1138" s="3"/>
      <c r="L1138" s="3"/>
      <c r="M1138" s="3"/>
      <c r="N1138" s="3"/>
      <c r="O1138" s="3"/>
      <c r="P1138" s="3"/>
      <c r="Q1138" s="3"/>
      <c r="R1138" s="3"/>
      <c r="S1138" s="3"/>
      <c r="T1138" s="3"/>
      <c r="U1138" s="3"/>
      <c r="V1138" s="3"/>
      <c r="W1138" s="3"/>
      <c r="X1138" s="3"/>
      <c r="Y1138" s="3"/>
      <c r="Z1138" s="3"/>
      <c r="AA1138" s="3"/>
    </row>
    <row r="1139">
      <c r="A1139" s="4"/>
      <c r="B1139" s="3"/>
      <c r="C1139" s="3"/>
      <c r="D1139" s="3"/>
      <c r="E1139" s="3"/>
      <c r="F1139" s="3"/>
      <c r="G1139" s="3"/>
      <c r="H1139" s="3"/>
      <c r="I1139" s="3"/>
      <c r="J1139" s="3"/>
      <c r="K1139" s="3"/>
      <c r="L1139" s="3"/>
      <c r="M1139" s="3"/>
      <c r="N1139" s="3"/>
      <c r="O1139" s="3"/>
      <c r="P1139" s="3"/>
      <c r="Q1139" s="3"/>
      <c r="R1139" s="3"/>
      <c r="S1139" s="3"/>
      <c r="T1139" s="3"/>
      <c r="U1139" s="3"/>
      <c r="V1139" s="3"/>
      <c r="W1139" s="3"/>
      <c r="X1139" s="3"/>
      <c r="Y1139" s="3"/>
      <c r="Z1139" s="3"/>
      <c r="AA1139" s="3"/>
    </row>
    <row r="1140">
      <c r="A1140" s="4"/>
      <c r="B1140" s="3"/>
      <c r="C1140" s="3"/>
      <c r="D1140" s="3"/>
      <c r="E1140" s="3"/>
      <c r="F1140" s="3"/>
      <c r="G1140" s="3"/>
      <c r="H1140" s="3"/>
      <c r="I1140" s="3"/>
      <c r="J1140" s="3"/>
      <c r="K1140" s="3"/>
      <c r="L1140" s="3"/>
      <c r="M1140" s="3"/>
      <c r="N1140" s="3"/>
      <c r="O1140" s="3"/>
      <c r="P1140" s="3"/>
      <c r="Q1140" s="3"/>
      <c r="R1140" s="3"/>
      <c r="S1140" s="3"/>
      <c r="T1140" s="3"/>
      <c r="U1140" s="3"/>
      <c r="V1140" s="3"/>
      <c r="W1140" s="3"/>
      <c r="X1140" s="3"/>
      <c r="Y1140" s="3"/>
      <c r="Z1140" s="3"/>
      <c r="AA1140" s="3"/>
    </row>
    <row r="1141">
      <c r="A1141" s="4"/>
      <c r="B1141" s="3"/>
      <c r="C1141" s="3"/>
      <c r="D1141" s="3"/>
      <c r="E1141" s="3"/>
      <c r="F1141" s="3"/>
      <c r="G1141" s="3"/>
      <c r="H1141" s="3"/>
      <c r="I1141" s="3"/>
      <c r="J1141" s="3"/>
      <c r="K1141" s="3"/>
      <c r="L1141" s="3"/>
      <c r="M1141" s="3"/>
      <c r="N1141" s="3"/>
      <c r="O1141" s="3"/>
      <c r="P1141" s="3"/>
      <c r="Q1141" s="3"/>
      <c r="R1141" s="3"/>
      <c r="S1141" s="3"/>
      <c r="T1141" s="3"/>
      <c r="U1141" s="3"/>
      <c r="V1141" s="3"/>
      <c r="W1141" s="3"/>
      <c r="X1141" s="3"/>
      <c r="Y1141" s="3"/>
      <c r="Z1141" s="3"/>
      <c r="AA1141" s="3"/>
    </row>
    <row r="1142">
      <c r="A1142" s="4"/>
      <c r="B1142" s="3"/>
      <c r="C1142" s="3"/>
      <c r="D1142" s="3"/>
      <c r="E1142" s="3"/>
      <c r="F1142" s="3"/>
      <c r="G1142" s="3"/>
      <c r="H1142" s="3"/>
      <c r="I1142" s="3"/>
      <c r="J1142" s="3"/>
      <c r="K1142" s="3"/>
      <c r="L1142" s="3"/>
      <c r="M1142" s="3"/>
      <c r="N1142" s="3"/>
      <c r="O1142" s="3"/>
      <c r="P1142" s="3"/>
      <c r="Q1142" s="3"/>
      <c r="R1142" s="3"/>
      <c r="S1142" s="3"/>
      <c r="T1142" s="3"/>
      <c r="U1142" s="3"/>
      <c r="V1142" s="3"/>
      <c r="W1142" s="3"/>
      <c r="X1142" s="3"/>
      <c r="Y1142" s="3"/>
      <c r="Z1142" s="3"/>
      <c r="AA1142" s="3"/>
    </row>
    <row r="1143">
      <c r="A1143" s="4"/>
      <c r="B1143" s="3"/>
      <c r="C1143" s="3"/>
      <c r="D1143" s="3"/>
      <c r="E1143" s="3"/>
      <c r="F1143" s="3"/>
      <c r="G1143" s="3"/>
      <c r="H1143" s="3"/>
      <c r="I1143" s="3"/>
      <c r="J1143" s="3"/>
      <c r="K1143" s="3"/>
      <c r="L1143" s="3"/>
      <c r="M1143" s="3"/>
      <c r="N1143" s="3"/>
      <c r="O1143" s="3"/>
      <c r="P1143" s="3"/>
      <c r="Q1143" s="3"/>
      <c r="R1143" s="3"/>
      <c r="S1143" s="3"/>
      <c r="T1143" s="3"/>
      <c r="U1143" s="3"/>
      <c r="V1143" s="3"/>
      <c r="W1143" s="3"/>
      <c r="X1143" s="3"/>
      <c r="Y1143" s="3"/>
      <c r="Z1143" s="3"/>
      <c r="AA1143" s="3"/>
    </row>
    <row r="1144">
      <c r="A1144" s="4"/>
      <c r="B1144" s="3"/>
      <c r="C1144" s="3"/>
      <c r="D1144" s="3"/>
      <c r="E1144" s="3"/>
      <c r="F1144" s="3"/>
      <c r="G1144" s="3"/>
      <c r="H1144" s="3"/>
      <c r="I1144" s="3"/>
      <c r="J1144" s="3"/>
      <c r="K1144" s="3"/>
      <c r="L1144" s="3"/>
      <c r="M1144" s="3"/>
      <c r="N1144" s="3"/>
      <c r="O1144" s="3"/>
      <c r="P1144" s="3"/>
      <c r="Q1144" s="3"/>
      <c r="R1144" s="3"/>
      <c r="S1144" s="3"/>
      <c r="T1144" s="3"/>
      <c r="U1144" s="3"/>
      <c r="V1144" s="3"/>
      <c r="W1144" s="3"/>
      <c r="X1144" s="3"/>
      <c r="Y1144" s="3"/>
      <c r="Z1144" s="3"/>
      <c r="AA1144" s="3"/>
    </row>
    <row r="1145">
      <c r="A1145" s="4"/>
      <c r="B1145" s="3"/>
      <c r="C1145" s="3"/>
      <c r="D1145" s="3"/>
      <c r="E1145" s="3"/>
      <c r="F1145" s="3"/>
      <c r="G1145" s="3"/>
      <c r="H1145" s="3"/>
      <c r="I1145" s="3"/>
      <c r="J1145" s="3"/>
      <c r="K1145" s="3"/>
      <c r="L1145" s="3"/>
      <c r="M1145" s="3"/>
      <c r="N1145" s="3"/>
      <c r="O1145" s="3"/>
      <c r="P1145" s="3"/>
      <c r="Q1145" s="3"/>
      <c r="R1145" s="3"/>
      <c r="S1145" s="3"/>
      <c r="T1145" s="3"/>
      <c r="U1145" s="3"/>
      <c r="V1145" s="3"/>
      <c r="W1145" s="3"/>
      <c r="X1145" s="3"/>
      <c r="Y1145" s="3"/>
      <c r="Z1145" s="3"/>
      <c r="AA1145" s="3"/>
    </row>
    <row r="1146">
      <c r="A1146" s="4"/>
      <c r="B1146" s="3"/>
      <c r="C1146" s="3"/>
      <c r="D1146" s="3"/>
      <c r="E1146" s="3"/>
      <c r="F1146" s="3"/>
      <c r="G1146" s="3"/>
      <c r="H1146" s="3"/>
      <c r="I1146" s="3"/>
      <c r="J1146" s="3"/>
      <c r="K1146" s="3"/>
      <c r="L1146" s="3"/>
      <c r="M1146" s="3"/>
      <c r="N1146" s="3"/>
      <c r="O1146" s="3"/>
      <c r="P1146" s="3"/>
      <c r="Q1146" s="3"/>
      <c r="R1146" s="3"/>
      <c r="S1146" s="3"/>
      <c r="T1146" s="3"/>
      <c r="U1146" s="3"/>
      <c r="V1146" s="3"/>
      <c r="W1146" s="3"/>
      <c r="X1146" s="3"/>
      <c r="Y1146" s="3"/>
      <c r="Z1146" s="3"/>
      <c r="AA1146" s="3"/>
    </row>
    <row r="1147">
      <c r="A1147" s="4"/>
      <c r="B1147" s="3"/>
      <c r="C1147" s="3"/>
      <c r="D1147" s="3"/>
      <c r="E1147" s="3"/>
      <c r="F1147" s="3"/>
      <c r="G1147" s="3"/>
      <c r="H1147" s="3"/>
      <c r="I1147" s="3"/>
      <c r="J1147" s="3"/>
      <c r="K1147" s="3"/>
      <c r="L1147" s="3"/>
      <c r="M1147" s="3"/>
      <c r="N1147" s="3"/>
      <c r="O1147" s="3"/>
      <c r="P1147" s="3"/>
      <c r="Q1147" s="3"/>
      <c r="R1147" s="3"/>
      <c r="S1147" s="3"/>
      <c r="T1147" s="3"/>
      <c r="U1147" s="3"/>
      <c r="V1147" s="3"/>
      <c r="W1147" s="3"/>
      <c r="X1147" s="3"/>
      <c r="Y1147" s="3"/>
      <c r="Z1147" s="3"/>
      <c r="AA1147" s="3"/>
    </row>
    <row r="1148">
      <c r="A1148" s="4"/>
      <c r="B1148" s="3"/>
      <c r="C1148" s="3"/>
      <c r="D1148" s="3"/>
      <c r="E1148" s="3"/>
      <c r="F1148" s="3"/>
      <c r="G1148" s="3"/>
      <c r="H1148" s="3"/>
      <c r="I1148" s="3"/>
      <c r="J1148" s="3"/>
      <c r="K1148" s="3"/>
      <c r="L1148" s="3"/>
      <c r="M1148" s="3"/>
      <c r="N1148" s="3"/>
      <c r="O1148" s="3"/>
      <c r="P1148" s="3"/>
      <c r="Q1148" s="3"/>
      <c r="R1148" s="3"/>
      <c r="S1148" s="3"/>
      <c r="T1148" s="3"/>
      <c r="U1148" s="3"/>
      <c r="V1148" s="3"/>
      <c r="W1148" s="3"/>
      <c r="X1148" s="3"/>
      <c r="Y1148" s="3"/>
      <c r="Z1148" s="3"/>
      <c r="AA1148" s="3"/>
    </row>
    <row r="1149">
      <c r="A1149" s="4"/>
      <c r="B1149" s="3"/>
      <c r="C1149" s="3"/>
      <c r="D1149" s="3"/>
      <c r="E1149" s="3"/>
      <c r="F1149" s="3"/>
      <c r="G1149" s="3"/>
      <c r="H1149" s="3"/>
      <c r="I1149" s="3"/>
      <c r="J1149" s="3"/>
      <c r="K1149" s="3"/>
      <c r="L1149" s="3"/>
      <c r="M1149" s="3"/>
      <c r="N1149" s="3"/>
      <c r="O1149" s="3"/>
      <c r="P1149" s="3"/>
      <c r="Q1149" s="3"/>
      <c r="R1149" s="3"/>
      <c r="S1149" s="3"/>
      <c r="T1149" s="3"/>
      <c r="U1149" s="3"/>
      <c r="V1149" s="3"/>
      <c r="W1149" s="3"/>
      <c r="X1149" s="3"/>
      <c r="Y1149" s="3"/>
      <c r="Z1149" s="3"/>
      <c r="AA1149" s="3"/>
    </row>
    <row r="1150">
      <c r="A1150" s="4"/>
      <c r="B1150" s="3"/>
      <c r="C1150" s="3"/>
      <c r="D1150" s="3"/>
      <c r="E1150" s="3"/>
      <c r="F1150" s="3"/>
      <c r="G1150" s="3"/>
      <c r="H1150" s="3"/>
      <c r="I1150" s="3"/>
      <c r="J1150" s="3"/>
      <c r="K1150" s="3"/>
      <c r="L1150" s="3"/>
      <c r="M1150" s="3"/>
      <c r="N1150" s="3"/>
      <c r="O1150" s="3"/>
      <c r="P1150" s="3"/>
      <c r="Q1150" s="3"/>
      <c r="R1150" s="3"/>
      <c r="S1150" s="3"/>
      <c r="T1150" s="3"/>
      <c r="U1150" s="3"/>
      <c r="V1150" s="3"/>
      <c r="W1150" s="3"/>
      <c r="X1150" s="3"/>
      <c r="Y1150" s="3"/>
      <c r="Z1150" s="3"/>
      <c r="AA1150" s="3"/>
    </row>
    <row r="1151">
      <c r="A1151" s="4"/>
      <c r="B1151" s="3"/>
      <c r="C1151" s="3"/>
      <c r="D1151" s="3"/>
      <c r="E1151" s="3"/>
      <c r="F1151" s="3"/>
      <c r="G1151" s="3"/>
      <c r="H1151" s="3"/>
      <c r="I1151" s="3"/>
      <c r="J1151" s="3"/>
      <c r="K1151" s="3"/>
      <c r="L1151" s="3"/>
      <c r="M1151" s="3"/>
      <c r="N1151" s="3"/>
      <c r="O1151" s="3"/>
      <c r="P1151" s="3"/>
      <c r="Q1151" s="3"/>
      <c r="R1151" s="3"/>
      <c r="S1151" s="3"/>
      <c r="T1151" s="3"/>
      <c r="U1151" s="3"/>
      <c r="V1151" s="3"/>
      <c r="W1151" s="3"/>
      <c r="X1151" s="3"/>
      <c r="Y1151" s="3"/>
      <c r="Z1151" s="3"/>
      <c r="AA1151" s="3"/>
    </row>
    <row r="1152">
      <c r="A1152" s="4"/>
      <c r="B1152" s="3"/>
      <c r="C1152" s="3"/>
      <c r="D1152" s="3"/>
      <c r="E1152" s="3"/>
      <c r="F1152" s="3"/>
      <c r="G1152" s="3"/>
      <c r="H1152" s="3"/>
      <c r="I1152" s="3"/>
      <c r="J1152" s="3"/>
      <c r="K1152" s="3"/>
      <c r="L1152" s="3"/>
      <c r="M1152" s="3"/>
      <c r="N1152" s="3"/>
      <c r="O1152" s="3"/>
      <c r="P1152" s="3"/>
      <c r="Q1152" s="3"/>
      <c r="R1152" s="3"/>
      <c r="S1152" s="3"/>
      <c r="T1152" s="3"/>
      <c r="U1152" s="3"/>
      <c r="V1152" s="3"/>
      <c r="W1152" s="3"/>
      <c r="X1152" s="3"/>
      <c r="Y1152" s="3"/>
      <c r="Z1152" s="3"/>
      <c r="AA1152" s="3"/>
    </row>
    <row r="1153">
      <c r="A1153" s="4"/>
      <c r="B1153" s="3"/>
      <c r="C1153" s="3"/>
      <c r="D1153" s="3"/>
      <c r="E1153" s="3"/>
      <c r="F1153" s="3"/>
      <c r="G1153" s="3"/>
      <c r="H1153" s="3"/>
      <c r="I1153" s="3"/>
      <c r="J1153" s="3"/>
      <c r="K1153" s="3"/>
      <c r="L1153" s="3"/>
      <c r="M1153" s="3"/>
      <c r="N1153" s="3"/>
      <c r="O1153" s="3"/>
      <c r="P1153" s="3"/>
      <c r="Q1153" s="3"/>
      <c r="R1153" s="3"/>
      <c r="S1153" s="3"/>
      <c r="T1153" s="3"/>
      <c r="U1153" s="3"/>
      <c r="V1153" s="3"/>
      <c r="W1153" s="3"/>
      <c r="X1153" s="3"/>
      <c r="Y1153" s="3"/>
      <c r="Z1153" s="3"/>
      <c r="AA1153" s="3"/>
    </row>
    <row r="1154">
      <c r="A1154" s="4"/>
      <c r="B1154" s="3"/>
      <c r="C1154" s="3"/>
      <c r="D1154" s="3"/>
      <c r="E1154" s="3"/>
      <c r="F1154" s="3"/>
      <c r="G1154" s="3"/>
      <c r="H1154" s="3"/>
      <c r="I1154" s="3"/>
      <c r="J1154" s="3"/>
      <c r="K1154" s="3"/>
      <c r="L1154" s="3"/>
      <c r="M1154" s="3"/>
      <c r="N1154" s="3"/>
      <c r="O1154" s="3"/>
      <c r="P1154" s="3"/>
      <c r="Q1154" s="3"/>
      <c r="R1154" s="3"/>
      <c r="S1154" s="3"/>
      <c r="T1154" s="3"/>
      <c r="U1154" s="3"/>
      <c r="V1154" s="3"/>
      <c r="W1154" s="3"/>
      <c r="X1154" s="3"/>
      <c r="Y1154" s="3"/>
      <c r="Z1154" s="3"/>
      <c r="AA1154" s="3"/>
    </row>
    <row r="1155">
      <c r="A1155" s="4"/>
      <c r="B1155" s="3"/>
      <c r="C1155" s="3"/>
      <c r="D1155" s="3"/>
      <c r="E1155" s="3"/>
      <c r="F1155" s="3"/>
      <c r="G1155" s="3"/>
      <c r="H1155" s="3"/>
      <c r="I1155" s="3"/>
      <c r="J1155" s="3"/>
      <c r="K1155" s="3"/>
      <c r="L1155" s="3"/>
      <c r="M1155" s="3"/>
      <c r="N1155" s="3"/>
      <c r="O1155" s="3"/>
      <c r="P1155" s="3"/>
      <c r="Q1155" s="3"/>
      <c r="R1155" s="3"/>
      <c r="S1155" s="3"/>
      <c r="T1155" s="3"/>
      <c r="U1155" s="3"/>
      <c r="V1155" s="3"/>
      <c r="W1155" s="3"/>
      <c r="X1155" s="3"/>
      <c r="Y1155" s="3"/>
      <c r="Z1155" s="3"/>
      <c r="AA1155" s="3"/>
    </row>
    <row r="1156">
      <c r="A1156" s="4"/>
      <c r="B1156" s="3"/>
      <c r="C1156" s="3"/>
      <c r="D1156" s="3"/>
      <c r="E1156" s="3"/>
      <c r="F1156" s="3"/>
      <c r="G1156" s="3"/>
      <c r="H1156" s="3"/>
      <c r="I1156" s="3"/>
      <c r="J1156" s="3"/>
      <c r="K1156" s="3"/>
      <c r="L1156" s="3"/>
      <c r="M1156" s="3"/>
      <c r="N1156" s="3"/>
      <c r="O1156" s="3"/>
      <c r="P1156" s="3"/>
      <c r="Q1156" s="3"/>
      <c r="R1156" s="3"/>
      <c r="S1156" s="3"/>
      <c r="T1156" s="3"/>
      <c r="U1156" s="3"/>
      <c r="V1156" s="3"/>
      <c r="W1156" s="3"/>
      <c r="X1156" s="3"/>
      <c r="Y1156" s="3"/>
      <c r="Z1156" s="3"/>
      <c r="AA1156" s="3"/>
    </row>
    <row r="1157">
      <c r="A1157" s="4"/>
      <c r="B1157" s="3"/>
      <c r="C1157" s="3"/>
      <c r="D1157" s="3"/>
      <c r="E1157" s="3"/>
      <c r="F1157" s="3"/>
      <c r="G1157" s="3"/>
      <c r="H1157" s="3"/>
      <c r="I1157" s="3"/>
      <c r="J1157" s="3"/>
      <c r="K1157" s="3"/>
      <c r="L1157" s="3"/>
      <c r="M1157" s="3"/>
      <c r="N1157" s="3"/>
      <c r="O1157" s="3"/>
      <c r="P1157" s="3"/>
      <c r="Q1157" s="3"/>
      <c r="R1157" s="3"/>
      <c r="S1157" s="3"/>
      <c r="T1157" s="3"/>
      <c r="U1157" s="3"/>
      <c r="V1157" s="3"/>
      <c r="W1157" s="3"/>
      <c r="X1157" s="3"/>
      <c r="Y1157" s="3"/>
      <c r="Z1157" s="3"/>
      <c r="AA1157" s="3"/>
    </row>
    <row r="1158">
      <c r="A1158" s="4"/>
      <c r="B1158" s="3"/>
      <c r="C1158" s="3"/>
      <c r="D1158" s="3"/>
      <c r="E1158" s="3"/>
      <c r="F1158" s="3"/>
      <c r="G1158" s="3"/>
      <c r="H1158" s="3"/>
      <c r="I1158" s="3"/>
      <c r="J1158" s="3"/>
      <c r="K1158" s="3"/>
      <c r="L1158" s="3"/>
      <c r="M1158" s="3"/>
      <c r="N1158" s="3"/>
      <c r="O1158" s="3"/>
      <c r="P1158" s="3"/>
      <c r="Q1158" s="3"/>
      <c r="R1158" s="3"/>
      <c r="S1158" s="3"/>
      <c r="T1158" s="3"/>
      <c r="U1158" s="3"/>
      <c r="V1158" s="3"/>
      <c r="W1158" s="3"/>
      <c r="X1158" s="3"/>
      <c r="Y1158" s="3"/>
      <c r="Z1158" s="3"/>
      <c r="AA1158" s="3"/>
    </row>
    <row r="1159">
      <c r="A1159" s="4"/>
      <c r="B1159" s="3"/>
      <c r="C1159" s="3"/>
      <c r="D1159" s="3"/>
      <c r="E1159" s="3"/>
      <c r="F1159" s="3"/>
      <c r="G1159" s="3"/>
      <c r="H1159" s="3"/>
      <c r="I1159" s="3"/>
      <c r="J1159" s="3"/>
      <c r="K1159" s="3"/>
      <c r="L1159" s="3"/>
      <c r="M1159" s="3"/>
      <c r="N1159" s="3"/>
      <c r="O1159" s="3"/>
      <c r="P1159" s="3"/>
      <c r="Q1159" s="3"/>
      <c r="R1159" s="3"/>
      <c r="S1159" s="3"/>
      <c r="T1159" s="3"/>
      <c r="U1159" s="3"/>
      <c r="V1159" s="3"/>
      <c r="W1159" s="3"/>
      <c r="X1159" s="3"/>
      <c r="Y1159" s="3"/>
      <c r="Z1159" s="3"/>
      <c r="AA1159" s="3"/>
    </row>
    <row r="1160">
      <c r="A1160" s="4"/>
      <c r="B1160" s="3"/>
      <c r="C1160" s="3"/>
      <c r="D1160" s="3"/>
      <c r="E1160" s="3"/>
      <c r="F1160" s="3"/>
      <c r="G1160" s="3"/>
      <c r="H1160" s="3"/>
      <c r="I1160" s="3"/>
      <c r="J1160" s="3"/>
      <c r="K1160" s="3"/>
      <c r="L1160" s="3"/>
      <c r="M1160" s="3"/>
      <c r="N1160" s="3"/>
      <c r="O1160" s="3"/>
      <c r="P1160" s="3"/>
      <c r="Q1160" s="3"/>
      <c r="R1160" s="3"/>
      <c r="S1160" s="3"/>
      <c r="T1160" s="3"/>
      <c r="U1160" s="3"/>
      <c r="V1160" s="3"/>
      <c r="W1160" s="3"/>
      <c r="X1160" s="3"/>
      <c r="Y1160" s="3"/>
      <c r="Z1160" s="3"/>
      <c r="AA1160" s="3"/>
    </row>
    <row r="1161">
      <c r="A1161" s="4"/>
      <c r="B1161" s="3"/>
      <c r="C1161" s="3"/>
      <c r="D1161" s="3"/>
      <c r="E1161" s="3"/>
      <c r="F1161" s="3"/>
      <c r="G1161" s="3"/>
      <c r="H1161" s="3"/>
      <c r="I1161" s="3"/>
      <c r="J1161" s="3"/>
      <c r="K1161" s="3"/>
      <c r="L1161" s="3"/>
      <c r="M1161" s="3"/>
      <c r="N1161" s="3"/>
      <c r="O1161" s="3"/>
      <c r="P1161" s="3"/>
      <c r="Q1161" s="3"/>
      <c r="R1161" s="3"/>
      <c r="S1161" s="3"/>
      <c r="T1161" s="3"/>
      <c r="U1161" s="3"/>
      <c r="V1161" s="3"/>
      <c r="W1161" s="3"/>
      <c r="X1161" s="3"/>
      <c r="Y1161" s="3"/>
      <c r="Z1161" s="3"/>
      <c r="AA1161" s="3"/>
    </row>
    <row r="1162">
      <c r="A1162" s="4"/>
      <c r="B1162" s="3"/>
      <c r="C1162" s="3"/>
      <c r="D1162" s="3"/>
      <c r="E1162" s="3"/>
      <c r="F1162" s="3"/>
      <c r="G1162" s="3"/>
      <c r="H1162" s="3"/>
      <c r="I1162" s="3"/>
      <c r="J1162" s="3"/>
      <c r="K1162" s="3"/>
      <c r="L1162" s="3"/>
      <c r="M1162" s="3"/>
      <c r="N1162" s="3"/>
      <c r="O1162" s="3"/>
      <c r="P1162" s="3"/>
      <c r="Q1162" s="3"/>
      <c r="R1162" s="3"/>
      <c r="S1162" s="3"/>
      <c r="T1162" s="3"/>
      <c r="U1162" s="3"/>
      <c r="V1162" s="3"/>
      <c r="W1162" s="3"/>
      <c r="X1162" s="3"/>
      <c r="Y1162" s="3"/>
      <c r="Z1162" s="3"/>
      <c r="AA1162" s="3"/>
    </row>
    <row r="1163">
      <c r="A1163" s="4"/>
      <c r="B1163" s="3"/>
      <c r="C1163" s="3"/>
      <c r="D1163" s="3"/>
      <c r="E1163" s="3"/>
      <c r="F1163" s="3"/>
      <c r="G1163" s="3"/>
      <c r="H1163" s="3"/>
      <c r="I1163" s="3"/>
      <c r="J1163" s="3"/>
      <c r="K1163" s="3"/>
      <c r="L1163" s="3"/>
      <c r="M1163" s="3"/>
      <c r="N1163" s="3"/>
      <c r="O1163" s="3"/>
      <c r="P1163" s="3"/>
      <c r="Q1163" s="3"/>
      <c r="R1163" s="3"/>
      <c r="S1163" s="3"/>
      <c r="T1163" s="3"/>
      <c r="U1163" s="3"/>
      <c r="V1163" s="3"/>
      <c r="W1163" s="3"/>
      <c r="X1163" s="3"/>
      <c r="Y1163" s="3"/>
      <c r="Z1163" s="3"/>
      <c r="AA1163" s="3"/>
    </row>
    <row r="1164">
      <c r="A1164" s="4"/>
      <c r="B1164" s="3"/>
      <c r="C1164" s="3"/>
      <c r="D1164" s="3"/>
      <c r="E1164" s="3"/>
      <c r="F1164" s="3"/>
      <c r="G1164" s="3"/>
      <c r="H1164" s="3"/>
      <c r="I1164" s="3"/>
      <c r="J1164" s="3"/>
      <c r="K1164" s="3"/>
      <c r="L1164" s="3"/>
      <c r="M1164" s="3"/>
      <c r="N1164" s="3"/>
      <c r="O1164" s="3"/>
      <c r="P1164" s="3"/>
      <c r="Q1164" s="3"/>
      <c r="R1164" s="3"/>
      <c r="S1164" s="3"/>
      <c r="T1164" s="3"/>
      <c r="U1164" s="3"/>
      <c r="V1164" s="3"/>
      <c r="W1164" s="3"/>
      <c r="X1164" s="3"/>
      <c r="Y1164" s="3"/>
      <c r="Z1164" s="3"/>
      <c r="AA1164" s="3"/>
    </row>
    <row r="1165">
      <c r="A1165" s="4"/>
      <c r="B1165" s="3"/>
      <c r="C1165" s="3"/>
      <c r="D1165" s="3"/>
      <c r="E1165" s="3"/>
      <c r="F1165" s="3"/>
      <c r="G1165" s="3"/>
      <c r="H1165" s="3"/>
      <c r="I1165" s="3"/>
      <c r="J1165" s="3"/>
      <c r="K1165" s="3"/>
      <c r="L1165" s="3"/>
      <c r="M1165" s="3"/>
      <c r="N1165" s="3"/>
      <c r="O1165" s="3"/>
      <c r="P1165" s="3"/>
      <c r="Q1165" s="3"/>
      <c r="R1165" s="3"/>
      <c r="S1165" s="3"/>
      <c r="T1165" s="3"/>
      <c r="U1165" s="3"/>
      <c r="V1165" s="3"/>
      <c r="W1165" s="3"/>
      <c r="X1165" s="3"/>
      <c r="Y1165" s="3"/>
      <c r="Z1165" s="3"/>
      <c r="AA1165" s="3"/>
    </row>
    <row r="1166">
      <c r="A1166" s="4"/>
      <c r="B1166" s="3"/>
      <c r="C1166" s="3"/>
      <c r="D1166" s="3"/>
      <c r="E1166" s="3"/>
      <c r="F1166" s="3"/>
      <c r="G1166" s="3"/>
      <c r="H1166" s="3"/>
      <c r="I1166" s="3"/>
      <c r="J1166" s="3"/>
      <c r="K1166" s="3"/>
      <c r="L1166" s="3"/>
      <c r="M1166" s="3"/>
      <c r="N1166" s="3"/>
      <c r="O1166" s="3"/>
      <c r="P1166" s="3"/>
      <c r="Q1166" s="3"/>
      <c r="R1166" s="3"/>
      <c r="S1166" s="3"/>
      <c r="T1166" s="3"/>
      <c r="U1166" s="3"/>
      <c r="V1166" s="3"/>
      <c r="W1166" s="3"/>
      <c r="X1166" s="3"/>
      <c r="Y1166" s="3"/>
      <c r="Z1166" s="3"/>
      <c r="AA1166" s="3"/>
    </row>
    <row r="1167">
      <c r="A1167" s="4"/>
      <c r="B1167" s="3"/>
      <c r="C1167" s="3"/>
      <c r="D1167" s="3"/>
      <c r="E1167" s="3"/>
      <c r="F1167" s="3"/>
      <c r="G1167" s="3"/>
      <c r="H1167" s="3"/>
      <c r="I1167" s="3"/>
      <c r="J1167" s="3"/>
      <c r="K1167" s="3"/>
      <c r="L1167" s="3"/>
      <c r="M1167" s="3"/>
      <c r="N1167" s="3"/>
      <c r="O1167" s="3"/>
      <c r="P1167" s="3"/>
      <c r="Q1167" s="3"/>
      <c r="R1167" s="3"/>
      <c r="S1167" s="3"/>
      <c r="T1167" s="3"/>
      <c r="U1167" s="3"/>
      <c r="V1167" s="3"/>
      <c r="W1167" s="3"/>
      <c r="X1167" s="3"/>
      <c r="Y1167" s="3"/>
      <c r="Z1167" s="3"/>
      <c r="AA1167" s="3"/>
    </row>
    <row r="1168">
      <c r="A1168" s="4"/>
      <c r="B1168" s="3"/>
      <c r="C1168" s="3"/>
      <c r="D1168" s="3"/>
      <c r="E1168" s="3"/>
      <c r="F1168" s="3"/>
      <c r="G1168" s="3"/>
      <c r="H1168" s="3"/>
      <c r="I1168" s="3"/>
      <c r="J1168" s="3"/>
      <c r="K1168" s="3"/>
      <c r="L1168" s="3"/>
      <c r="M1168" s="3"/>
      <c r="N1168" s="3"/>
      <c r="O1168" s="3"/>
      <c r="P1168" s="3"/>
      <c r="Q1168" s="3"/>
      <c r="R1168" s="3"/>
      <c r="S1168" s="3"/>
      <c r="T1168" s="3"/>
      <c r="U1168" s="3"/>
      <c r="V1168" s="3"/>
      <c r="W1168" s="3"/>
      <c r="X1168" s="3"/>
      <c r="Y1168" s="3"/>
      <c r="Z1168" s="3"/>
      <c r="AA1168" s="3"/>
    </row>
    <row r="1169">
      <c r="A1169" s="4"/>
      <c r="B1169" s="3"/>
      <c r="C1169" s="3"/>
      <c r="D1169" s="3"/>
      <c r="E1169" s="3"/>
      <c r="F1169" s="3"/>
      <c r="G1169" s="3"/>
      <c r="H1169" s="3"/>
      <c r="I1169" s="3"/>
      <c r="J1169" s="3"/>
      <c r="K1169" s="3"/>
      <c r="L1169" s="3"/>
      <c r="M1169" s="3"/>
      <c r="N1169" s="3"/>
      <c r="O1169" s="3"/>
      <c r="P1169" s="3"/>
      <c r="Q1169" s="3"/>
      <c r="R1169" s="3"/>
      <c r="S1169" s="3"/>
      <c r="T1169" s="3"/>
      <c r="U1169" s="3"/>
      <c r="V1169" s="3"/>
      <c r="W1169" s="3"/>
      <c r="X1169" s="3"/>
      <c r="Y1169" s="3"/>
      <c r="Z1169" s="3"/>
      <c r="AA1169" s="3"/>
    </row>
    <row r="1170">
      <c r="A1170" s="4"/>
      <c r="B1170" s="3"/>
      <c r="C1170" s="3"/>
      <c r="D1170" s="3"/>
      <c r="E1170" s="3"/>
      <c r="F1170" s="3"/>
      <c r="G1170" s="3"/>
      <c r="H1170" s="3"/>
      <c r="I1170" s="3"/>
      <c r="J1170" s="3"/>
      <c r="K1170" s="3"/>
      <c r="L1170" s="3"/>
      <c r="M1170" s="3"/>
      <c r="N1170" s="3"/>
      <c r="O1170" s="3"/>
      <c r="P1170" s="3"/>
      <c r="Q1170" s="3"/>
      <c r="R1170" s="3"/>
      <c r="S1170" s="3"/>
      <c r="T1170" s="3"/>
      <c r="U1170" s="3"/>
      <c r="V1170" s="3"/>
      <c r="W1170" s="3"/>
      <c r="X1170" s="3"/>
      <c r="Y1170" s="3"/>
      <c r="Z1170" s="3"/>
      <c r="AA1170" s="3"/>
    </row>
    <row r="1171">
      <c r="A1171" s="4"/>
      <c r="B1171" s="3"/>
      <c r="C1171" s="3"/>
      <c r="D1171" s="3"/>
      <c r="E1171" s="3"/>
      <c r="F1171" s="3"/>
      <c r="G1171" s="3"/>
      <c r="H1171" s="3"/>
      <c r="I1171" s="3"/>
      <c r="J1171" s="3"/>
      <c r="K1171" s="3"/>
      <c r="L1171" s="3"/>
      <c r="M1171" s="3"/>
      <c r="N1171" s="3"/>
      <c r="O1171" s="3"/>
      <c r="P1171" s="3"/>
      <c r="Q1171" s="3"/>
      <c r="R1171" s="3"/>
      <c r="S1171" s="3"/>
      <c r="T1171" s="3"/>
      <c r="U1171" s="3"/>
      <c r="V1171" s="3"/>
      <c r="W1171" s="3"/>
      <c r="X1171" s="3"/>
      <c r="Y1171" s="3"/>
      <c r="Z1171" s="3"/>
      <c r="AA1171" s="3"/>
    </row>
    <row r="1172">
      <c r="A1172" s="4"/>
      <c r="B1172" s="3"/>
      <c r="C1172" s="3"/>
      <c r="D1172" s="3"/>
      <c r="E1172" s="3"/>
      <c r="F1172" s="3"/>
      <c r="G1172" s="3"/>
      <c r="H1172" s="3"/>
      <c r="I1172" s="3"/>
      <c r="J1172" s="3"/>
      <c r="K1172" s="3"/>
      <c r="L1172" s="3"/>
      <c r="M1172" s="3"/>
      <c r="N1172" s="3"/>
      <c r="O1172" s="3"/>
      <c r="P1172" s="3"/>
      <c r="Q1172" s="3"/>
      <c r="R1172" s="3"/>
      <c r="S1172" s="3"/>
      <c r="T1172" s="3"/>
      <c r="U1172" s="3"/>
      <c r="V1172" s="3"/>
      <c r="W1172" s="3"/>
      <c r="X1172" s="3"/>
      <c r="Y1172" s="3"/>
      <c r="Z1172" s="3"/>
      <c r="AA1172" s="3"/>
    </row>
    <row r="1173">
      <c r="A1173" s="4"/>
      <c r="B1173" s="3"/>
      <c r="C1173" s="3"/>
      <c r="D1173" s="3"/>
      <c r="E1173" s="3"/>
      <c r="F1173" s="3"/>
      <c r="G1173" s="3"/>
      <c r="H1173" s="3"/>
      <c r="I1173" s="3"/>
      <c r="J1173" s="3"/>
      <c r="K1173" s="3"/>
      <c r="L1173" s="3"/>
      <c r="M1173" s="3"/>
      <c r="N1173" s="3"/>
      <c r="O1173" s="3"/>
      <c r="P1173" s="3"/>
      <c r="Q1173" s="3"/>
      <c r="R1173" s="3"/>
      <c r="S1173" s="3"/>
      <c r="T1173" s="3"/>
      <c r="U1173" s="3"/>
      <c r="V1173" s="3"/>
      <c r="W1173" s="3"/>
      <c r="X1173" s="3"/>
      <c r="Y1173" s="3"/>
      <c r="Z1173" s="3"/>
      <c r="AA1173" s="3"/>
    </row>
    <row r="1174">
      <c r="A1174" s="4"/>
      <c r="B1174" s="3"/>
      <c r="C1174" s="3"/>
      <c r="D1174" s="3"/>
      <c r="E1174" s="3"/>
      <c r="F1174" s="3"/>
      <c r="G1174" s="3"/>
      <c r="H1174" s="3"/>
      <c r="I1174" s="3"/>
      <c r="J1174" s="3"/>
      <c r="K1174" s="3"/>
      <c r="L1174" s="3"/>
      <c r="M1174" s="3"/>
      <c r="N1174" s="3"/>
      <c r="O1174" s="3"/>
      <c r="P1174" s="3"/>
      <c r="Q1174" s="3"/>
      <c r="R1174" s="3"/>
      <c r="S1174" s="3"/>
      <c r="T1174" s="3"/>
      <c r="U1174" s="3"/>
      <c r="V1174" s="3"/>
      <c r="W1174" s="3"/>
      <c r="X1174" s="3"/>
      <c r="Y1174" s="3"/>
      <c r="Z1174" s="3"/>
      <c r="AA1174" s="3"/>
    </row>
    <row r="1175">
      <c r="A1175" s="4"/>
      <c r="B1175" s="3"/>
      <c r="C1175" s="3"/>
      <c r="D1175" s="3"/>
      <c r="E1175" s="3"/>
      <c r="F1175" s="3"/>
      <c r="G1175" s="3"/>
      <c r="H1175" s="3"/>
      <c r="I1175" s="3"/>
      <c r="J1175" s="3"/>
      <c r="K1175" s="3"/>
      <c r="L1175" s="3"/>
      <c r="M1175" s="3"/>
      <c r="N1175" s="3"/>
      <c r="O1175" s="3"/>
      <c r="P1175" s="3"/>
      <c r="Q1175" s="3"/>
      <c r="R1175" s="3"/>
      <c r="S1175" s="3"/>
      <c r="T1175" s="3"/>
      <c r="U1175" s="3"/>
      <c r="V1175" s="3"/>
      <c r="W1175" s="3"/>
      <c r="X1175" s="3"/>
      <c r="Y1175" s="3"/>
      <c r="Z1175" s="3"/>
      <c r="AA1175" s="3"/>
    </row>
    <row r="1176">
      <c r="A1176" s="4"/>
      <c r="B1176" s="3"/>
      <c r="C1176" s="3"/>
      <c r="D1176" s="3"/>
      <c r="E1176" s="3"/>
      <c r="F1176" s="3"/>
      <c r="G1176" s="3"/>
      <c r="H1176" s="3"/>
      <c r="I1176" s="3"/>
      <c r="J1176" s="3"/>
      <c r="K1176" s="3"/>
      <c r="L1176" s="3"/>
      <c r="M1176" s="3"/>
      <c r="N1176" s="3"/>
      <c r="O1176" s="3"/>
      <c r="P1176" s="3"/>
      <c r="Q1176" s="3"/>
      <c r="R1176" s="3"/>
      <c r="S1176" s="3"/>
      <c r="T1176" s="3"/>
      <c r="U1176" s="3"/>
      <c r="V1176" s="3"/>
      <c r="W1176" s="3"/>
      <c r="X1176" s="3"/>
      <c r="Y1176" s="3"/>
      <c r="Z1176" s="3"/>
      <c r="AA1176" s="3"/>
    </row>
    <row r="1177">
      <c r="A1177" s="4"/>
      <c r="B1177" s="3"/>
      <c r="C1177" s="3"/>
      <c r="D1177" s="3"/>
      <c r="E1177" s="3"/>
      <c r="F1177" s="3"/>
      <c r="G1177" s="3"/>
      <c r="H1177" s="3"/>
      <c r="I1177" s="3"/>
      <c r="J1177" s="3"/>
      <c r="K1177" s="3"/>
      <c r="L1177" s="3"/>
      <c r="M1177" s="3"/>
      <c r="N1177" s="3"/>
      <c r="O1177" s="3"/>
      <c r="P1177" s="3"/>
      <c r="Q1177" s="3"/>
      <c r="R1177" s="3"/>
      <c r="S1177" s="3"/>
      <c r="T1177" s="3"/>
      <c r="U1177" s="3"/>
      <c r="V1177" s="3"/>
      <c r="W1177" s="3"/>
      <c r="X1177" s="3"/>
      <c r="Y1177" s="3"/>
      <c r="Z1177" s="3"/>
      <c r="AA1177" s="3"/>
    </row>
    <row r="1178">
      <c r="A1178" s="4"/>
      <c r="B1178" s="3"/>
      <c r="C1178" s="3"/>
      <c r="D1178" s="3"/>
      <c r="E1178" s="3"/>
      <c r="F1178" s="3"/>
      <c r="G1178" s="3"/>
      <c r="H1178" s="3"/>
      <c r="I1178" s="3"/>
      <c r="J1178" s="3"/>
      <c r="K1178" s="3"/>
      <c r="L1178" s="3"/>
      <c r="M1178" s="3"/>
      <c r="N1178" s="3"/>
      <c r="O1178" s="3"/>
      <c r="P1178" s="3"/>
      <c r="Q1178" s="3"/>
      <c r="R1178" s="3"/>
      <c r="S1178" s="3"/>
      <c r="T1178" s="3"/>
      <c r="U1178" s="3"/>
      <c r="V1178" s="3"/>
      <c r="W1178" s="3"/>
      <c r="X1178" s="3"/>
      <c r="Y1178" s="3"/>
      <c r="Z1178" s="3"/>
      <c r="AA1178" s="3"/>
    </row>
    <row r="1179">
      <c r="A1179" s="4"/>
      <c r="B1179" s="3"/>
      <c r="C1179" s="3"/>
      <c r="D1179" s="3"/>
      <c r="E1179" s="3"/>
      <c r="F1179" s="3"/>
      <c r="G1179" s="3"/>
      <c r="H1179" s="3"/>
      <c r="I1179" s="3"/>
      <c r="J1179" s="3"/>
      <c r="K1179" s="3"/>
      <c r="L1179" s="3"/>
      <c r="M1179" s="3"/>
      <c r="N1179" s="3"/>
      <c r="O1179" s="3"/>
      <c r="P1179" s="3"/>
      <c r="Q1179" s="3"/>
      <c r="R1179" s="3"/>
      <c r="S1179" s="3"/>
      <c r="T1179" s="3"/>
      <c r="U1179" s="3"/>
      <c r="V1179" s="3"/>
      <c r="W1179" s="3"/>
      <c r="X1179" s="3"/>
      <c r="Y1179" s="3"/>
      <c r="Z1179" s="3"/>
      <c r="AA1179" s="3"/>
    </row>
    <row r="1180">
      <c r="A1180" s="4"/>
      <c r="B1180" s="3"/>
      <c r="C1180" s="3"/>
      <c r="D1180" s="3"/>
      <c r="E1180" s="3"/>
      <c r="F1180" s="3"/>
      <c r="G1180" s="3"/>
      <c r="H1180" s="3"/>
      <c r="I1180" s="3"/>
      <c r="J1180" s="3"/>
      <c r="K1180" s="3"/>
      <c r="L1180" s="3"/>
      <c r="M1180" s="3"/>
      <c r="N1180" s="3"/>
      <c r="O1180" s="3"/>
      <c r="P1180" s="3"/>
      <c r="Q1180" s="3"/>
      <c r="R1180" s="3"/>
      <c r="S1180" s="3"/>
      <c r="T1180" s="3"/>
      <c r="U1180" s="3"/>
      <c r="V1180" s="3"/>
      <c r="W1180" s="3"/>
      <c r="X1180" s="3"/>
      <c r="Y1180" s="3"/>
      <c r="Z1180" s="3"/>
      <c r="AA1180" s="3"/>
    </row>
    <row r="1181">
      <c r="A1181" s="4"/>
      <c r="B1181" s="3"/>
      <c r="C1181" s="3"/>
      <c r="D1181" s="3"/>
      <c r="E1181" s="3"/>
      <c r="F1181" s="3"/>
      <c r="G1181" s="3"/>
      <c r="H1181" s="3"/>
      <c r="I1181" s="3"/>
      <c r="J1181" s="3"/>
      <c r="K1181" s="3"/>
      <c r="L1181" s="3"/>
      <c r="M1181" s="3"/>
      <c r="N1181" s="3"/>
      <c r="O1181" s="3"/>
      <c r="P1181" s="3"/>
      <c r="Q1181" s="3"/>
      <c r="R1181" s="3"/>
      <c r="S1181" s="3"/>
      <c r="T1181" s="3"/>
      <c r="U1181" s="3"/>
      <c r="V1181" s="3"/>
      <c r="W1181" s="3"/>
      <c r="X1181" s="3"/>
      <c r="Y1181" s="3"/>
      <c r="Z1181" s="3"/>
      <c r="AA1181" s="3"/>
    </row>
    <row r="1182">
      <c r="A1182" s="4"/>
      <c r="B1182" s="3"/>
      <c r="C1182" s="3"/>
      <c r="D1182" s="3"/>
      <c r="E1182" s="3"/>
      <c r="F1182" s="3"/>
      <c r="G1182" s="3"/>
      <c r="H1182" s="3"/>
      <c r="I1182" s="3"/>
      <c r="J1182" s="3"/>
      <c r="K1182" s="3"/>
      <c r="L1182" s="3"/>
      <c r="M1182" s="3"/>
      <c r="N1182" s="3"/>
      <c r="O1182" s="3"/>
      <c r="P1182" s="3"/>
      <c r="Q1182" s="3"/>
      <c r="R1182" s="3"/>
      <c r="S1182" s="3"/>
      <c r="T1182" s="3"/>
      <c r="U1182" s="3"/>
      <c r="V1182" s="3"/>
      <c r="W1182" s="3"/>
      <c r="X1182" s="3"/>
      <c r="Y1182" s="3"/>
      <c r="Z1182" s="3"/>
      <c r="AA1182" s="3"/>
    </row>
    <row r="1183">
      <c r="A1183" s="4"/>
      <c r="B1183" s="3"/>
      <c r="C1183" s="3"/>
      <c r="D1183" s="3"/>
      <c r="E1183" s="3"/>
      <c r="F1183" s="3"/>
      <c r="G1183" s="3"/>
      <c r="H1183" s="3"/>
      <c r="I1183" s="3"/>
      <c r="J1183" s="3"/>
      <c r="K1183" s="3"/>
      <c r="L1183" s="3"/>
      <c r="M1183" s="3"/>
      <c r="N1183" s="3"/>
      <c r="O1183" s="3"/>
      <c r="P1183" s="3"/>
      <c r="Q1183" s="3"/>
      <c r="R1183" s="3"/>
      <c r="S1183" s="3"/>
      <c r="T1183" s="3"/>
      <c r="U1183" s="3"/>
      <c r="V1183" s="3"/>
      <c r="W1183" s="3"/>
      <c r="X1183" s="3"/>
      <c r="Y1183" s="3"/>
      <c r="Z1183" s="3"/>
      <c r="AA1183" s="3"/>
    </row>
    <row r="1184">
      <c r="A1184" s="4"/>
      <c r="B1184" s="3"/>
      <c r="C1184" s="3"/>
      <c r="D1184" s="3"/>
      <c r="E1184" s="3"/>
      <c r="F1184" s="3"/>
      <c r="G1184" s="3"/>
      <c r="H1184" s="3"/>
      <c r="I1184" s="3"/>
      <c r="J1184" s="3"/>
      <c r="K1184" s="3"/>
      <c r="L1184" s="3"/>
      <c r="M1184" s="3"/>
      <c r="N1184" s="3"/>
      <c r="O1184" s="3"/>
      <c r="P1184" s="3"/>
      <c r="Q1184" s="3"/>
      <c r="R1184" s="3"/>
      <c r="S1184" s="3"/>
      <c r="T1184" s="3"/>
      <c r="U1184" s="3"/>
      <c r="V1184" s="3"/>
      <c r="W1184" s="3"/>
      <c r="X1184" s="3"/>
      <c r="Y1184" s="3"/>
      <c r="Z1184" s="3"/>
      <c r="AA1184" s="3"/>
    </row>
    <row r="1185">
      <c r="A1185" s="4"/>
      <c r="B1185" s="3"/>
      <c r="C1185" s="3"/>
      <c r="D1185" s="3"/>
      <c r="E1185" s="3"/>
      <c r="F1185" s="3"/>
      <c r="G1185" s="3"/>
      <c r="H1185" s="3"/>
      <c r="I1185" s="3"/>
      <c r="J1185" s="3"/>
      <c r="K1185" s="3"/>
      <c r="L1185" s="3"/>
      <c r="M1185" s="3"/>
      <c r="N1185" s="3"/>
      <c r="O1185" s="3"/>
      <c r="P1185" s="3"/>
      <c r="Q1185" s="3"/>
      <c r="R1185" s="3"/>
      <c r="S1185" s="3"/>
      <c r="T1185" s="3"/>
      <c r="U1185" s="3"/>
      <c r="V1185" s="3"/>
      <c r="W1185" s="3"/>
      <c r="X1185" s="3"/>
      <c r="Y1185" s="3"/>
      <c r="Z1185" s="3"/>
      <c r="AA1185" s="3"/>
    </row>
    <row r="1186">
      <c r="A1186" s="4"/>
      <c r="B1186" s="3"/>
      <c r="C1186" s="3"/>
      <c r="D1186" s="3"/>
      <c r="E1186" s="3"/>
      <c r="F1186" s="3"/>
      <c r="G1186" s="3"/>
      <c r="H1186" s="3"/>
      <c r="I1186" s="3"/>
      <c r="J1186" s="3"/>
      <c r="K1186" s="3"/>
      <c r="L1186" s="3"/>
      <c r="M1186" s="3"/>
      <c r="N1186" s="3"/>
      <c r="O1186" s="3"/>
      <c r="P1186" s="3"/>
      <c r="Q1186" s="3"/>
      <c r="R1186" s="3"/>
      <c r="S1186" s="3"/>
      <c r="T1186" s="3"/>
      <c r="U1186" s="3"/>
      <c r="V1186" s="3"/>
      <c r="W1186" s="3"/>
      <c r="X1186" s="3"/>
      <c r="Y1186" s="3"/>
      <c r="Z1186" s="3"/>
      <c r="AA1186" s="3"/>
    </row>
    <row r="1187">
      <c r="A1187" s="4"/>
      <c r="B1187" s="3"/>
      <c r="C1187" s="3"/>
      <c r="D1187" s="3"/>
      <c r="E1187" s="3"/>
      <c r="F1187" s="3"/>
      <c r="G1187" s="3"/>
      <c r="H1187" s="3"/>
      <c r="I1187" s="3"/>
      <c r="J1187" s="3"/>
      <c r="K1187" s="3"/>
      <c r="L1187" s="3"/>
      <c r="M1187" s="3"/>
      <c r="N1187" s="3"/>
      <c r="O1187" s="3"/>
      <c r="P1187" s="3"/>
      <c r="Q1187" s="3"/>
      <c r="R1187" s="3"/>
      <c r="S1187" s="3"/>
      <c r="T1187" s="3"/>
      <c r="U1187" s="3"/>
      <c r="V1187" s="3"/>
      <c r="W1187" s="3"/>
      <c r="X1187" s="3"/>
      <c r="Y1187" s="3"/>
      <c r="Z1187" s="3"/>
      <c r="AA1187" s="3"/>
    </row>
    <row r="1188">
      <c r="A1188" s="4"/>
      <c r="B1188" s="3"/>
      <c r="C1188" s="3"/>
      <c r="D1188" s="3"/>
      <c r="E1188" s="3"/>
      <c r="F1188" s="3"/>
      <c r="G1188" s="3"/>
      <c r="H1188" s="3"/>
      <c r="I1188" s="3"/>
      <c r="J1188" s="3"/>
      <c r="K1188" s="3"/>
      <c r="L1188" s="3"/>
      <c r="M1188" s="3"/>
      <c r="N1188" s="3"/>
      <c r="O1188" s="3"/>
      <c r="P1188" s="3"/>
      <c r="Q1188" s="3"/>
      <c r="R1188" s="3"/>
      <c r="S1188" s="3"/>
      <c r="T1188" s="3"/>
      <c r="U1188" s="3"/>
      <c r="V1188" s="3"/>
      <c r="W1188" s="3"/>
      <c r="X1188" s="3"/>
      <c r="Y1188" s="3"/>
      <c r="Z1188" s="3"/>
      <c r="AA1188" s="3"/>
    </row>
    <row r="1189">
      <c r="A1189" s="4"/>
      <c r="B1189" s="3"/>
      <c r="C1189" s="3"/>
      <c r="D1189" s="3"/>
      <c r="E1189" s="3"/>
      <c r="F1189" s="3"/>
      <c r="G1189" s="3"/>
      <c r="H1189" s="3"/>
      <c r="I1189" s="3"/>
      <c r="J1189" s="3"/>
      <c r="K1189" s="3"/>
      <c r="L1189" s="3"/>
      <c r="M1189" s="3"/>
      <c r="N1189" s="3"/>
      <c r="O1189" s="3"/>
      <c r="P1189" s="3"/>
      <c r="Q1189" s="3"/>
      <c r="R1189" s="3"/>
      <c r="S1189" s="3"/>
      <c r="T1189" s="3"/>
      <c r="U1189" s="3"/>
      <c r="V1189" s="3"/>
      <c r="W1189" s="3"/>
      <c r="X1189" s="3"/>
      <c r="Y1189" s="3"/>
      <c r="Z1189" s="3"/>
      <c r="AA1189" s="3"/>
    </row>
    <row r="1190">
      <c r="A1190" s="4"/>
      <c r="B1190" s="3"/>
      <c r="C1190" s="3"/>
      <c r="D1190" s="3"/>
      <c r="E1190" s="3"/>
      <c r="F1190" s="3"/>
      <c r="G1190" s="3"/>
      <c r="H1190" s="3"/>
      <c r="I1190" s="3"/>
      <c r="J1190" s="3"/>
      <c r="K1190" s="3"/>
      <c r="L1190" s="3"/>
      <c r="M1190" s="3"/>
      <c r="N1190" s="3"/>
      <c r="O1190" s="3"/>
      <c r="P1190" s="3"/>
      <c r="Q1190" s="3"/>
      <c r="R1190" s="3"/>
      <c r="S1190" s="3"/>
      <c r="T1190" s="3"/>
      <c r="U1190" s="3"/>
      <c r="V1190" s="3"/>
      <c r="W1190" s="3"/>
      <c r="X1190" s="3"/>
      <c r="Y1190" s="3"/>
      <c r="Z1190" s="3"/>
      <c r="AA1190" s="3"/>
    </row>
    <row r="1191">
      <c r="A1191" s="4"/>
      <c r="B1191" s="3"/>
      <c r="C1191" s="3"/>
      <c r="D1191" s="3"/>
      <c r="E1191" s="3"/>
      <c r="F1191" s="3"/>
      <c r="G1191" s="3"/>
      <c r="H1191" s="3"/>
      <c r="I1191" s="3"/>
      <c r="J1191" s="3"/>
      <c r="K1191" s="3"/>
      <c r="L1191" s="3"/>
      <c r="M1191" s="3"/>
      <c r="N1191" s="3"/>
      <c r="O1191" s="3"/>
      <c r="P1191" s="3"/>
      <c r="Q1191" s="3"/>
      <c r="R1191" s="3"/>
      <c r="S1191" s="3"/>
      <c r="T1191" s="3"/>
      <c r="U1191" s="3"/>
      <c r="V1191" s="3"/>
      <c r="W1191" s="3"/>
      <c r="X1191" s="3"/>
      <c r="Y1191" s="3"/>
      <c r="Z1191" s="3"/>
      <c r="AA1191" s="3"/>
    </row>
    <row r="1192">
      <c r="A1192" s="4"/>
      <c r="B1192" s="3"/>
      <c r="C1192" s="3"/>
      <c r="D1192" s="3"/>
      <c r="E1192" s="3"/>
      <c r="F1192" s="3"/>
      <c r="G1192" s="3"/>
      <c r="H1192" s="3"/>
      <c r="I1192" s="3"/>
      <c r="J1192" s="3"/>
      <c r="K1192" s="3"/>
      <c r="L1192" s="3"/>
      <c r="M1192" s="3"/>
      <c r="N1192" s="3"/>
      <c r="O1192" s="3"/>
      <c r="P1192" s="3"/>
      <c r="Q1192" s="3"/>
      <c r="R1192" s="3"/>
      <c r="S1192" s="3"/>
      <c r="T1192" s="3"/>
      <c r="U1192" s="3"/>
      <c r="V1192" s="3"/>
      <c r="W1192" s="3"/>
      <c r="X1192" s="3"/>
      <c r="Y1192" s="3"/>
      <c r="Z1192" s="3"/>
      <c r="AA1192" s="3"/>
    </row>
    <row r="1193">
      <c r="A1193" s="4"/>
      <c r="B1193" s="3"/>
      <c r="C1193" s="3"/>
      <c r="D1193" s="3"/>
      <c r="E1193" s="3"/>
      <c r="F1193" s="3"/>
      <c r="G1193" s="3"/>
      <c r="H1193" s="3"/>
      <c r="I1193" s="3"/>
      <c r="J1193" s="3"/>
      <c r="K1193" s="3"/>
      <c r="L1193" s="3"/>
      <c r="M1193" s="3"/>
      <c r="N1193" s="3"/>
      <c r="O1193" s="3"/>
      <c r="P1193" s="3"/>
      <c r="Q1193" s="3"/>
      <c r="R1193" s="3"/>
      <c r="S1193" s="3"/>
      <c r="T1193" s="3"/>
      <c r="U1193" s="3"/>
      <c r="V1193" s="3"/>
      <c r="W1193" s="3"/>
      <c r="X1193" s="3"/>
      <c r="Y1193" s="3"/>
      <c r="Z1193" s="3"/>
      <c r="AA1193" s="3"/>
    </row>
    <row r="1194">
      <c r="A1194" s="4"/>
      <c r="B1194" s="3"/>
      <c r="C1194" s="3"/>
      <c r="D1194" s="3"/>
      <c r="E1194" s="3"/>
      <c r="F1194" s="3"/>
      <c r="G1194" s="3"/>
      <c r="H1194" s="3"/>
      <c r="I1194" s="3"/>
      <c r="J1194" s="3"/>
      <c r="K1194" s="3"/>
      <c r="L1194" s="3"/>
      <c r="M1194" s="3"/>
      <c r="N1194" s="3"/>
      <c r="O1194" s="3"/>
      <c r="P1194" s="3"/>
      <c r="Q1194" s="3"/>
      <c r="R1194" s="3"/>
      <c r="S1194" s="3"/>
      <c r="T1194" s="3"/>
      <c r="U1194" s="3"/>
      <c r="V1194" s="3"/>
      <c r="W1194" s="3"/>
      <c r="X1194" s="3"/>
      <c r="Y1194" s="3"/>
      <c r="Z1194" s="3"/>
      <c r="AA1194" s="3"/>
    </row>
    <row r="1195">
      <c r="A1195" s="4"/>
      <c r="B1195" s="3"/>
      <c r="C1195" s="3"/>
      <c r="D1195" s="3"/>
      <c r="E1195" s="3"/>
      <c r="F1195" s="3"/>
      <c r="G1195" s="3"/>
      <c r="H1195" s="3"/>
      <c r="I1195" s="3"/>
      <c r="J1195" s="3"/>
      <c r="K1195" s="3"/>
      <c r="L1195" s="3"/>
      <c r="M1195" s="3"/>
      <c r="N1195" s="3"/>
      <c r="O1195" s="3"/>
      <c r="P1195" s="3"/>
      <c r="Q1195" s="3"/>
      <c r="R1195" s="3"/>
      <c r="S1195" s="3"/>
      <c r="T1195" s="3"/>
      <c r="U1195" s="3"/>
      <c r="V1195" s="3"/>
      <c r="W1195" s="3"/>
      <c r="X1195" s="3"/>
      <c r="Y1195" s="3"/>
      <c r="Z1195" s="3"/>
      <c r="AA1195" s="3"/>
    </row>
    <row r="1196">
      <c r="A1196" s="4"/>
      <c r="B1196" s="3"/>
      <c r="C1196" s="3"/>
      <c r="D1196" s="3"/>
      <c r="E1196" s="3"/>
      <c r="F1196" s="3"/>
      <c r="G1196" s="3"/>
      <c r="H1196" s="3"/>
      <c r="I1196" s="3"/>
      <c r="J1196" s="3"/>
      <c r="K1196" s="3"/>
      <c r="L1196" s="3"/>
      <c r="M1196" s="3"/>
      <c r="N1196" s="3"/>
      <c r="O1196" s="3"/>
      <c r="P1196" s="3"/>
      <c r="Q1196" s="3"/>
      <c r="R1196" s="3"/>
      <c r="S1196" s="3"/>
      <c r="T1196" s="3"/>
      <c r="U1196" s="3"/>
      <c r="V1196" s="3"/>
      <c r="W1196" s="3"/>
      <c r="X1196" s="3"/>
      <c r="Y1196" s="3"/>
      <c r="Z1196" s="3"/>
      <c r="AA1196" s="3"/>
    </row>
    <row r="1197">
      <c r="A1197" s="4"/>
      <c r="B1197" s="3"/>
      <c r="C1197" s="3"/>
      <c r="D1197" s="3"/>
      <c r="E1197" s="3"/>
      <c r="F1197" s="3"/>
      <c r="G1197" s="3"/>
      <c r="H1197" s="3"/>
      <c r="I1197" s="3"/>
      <c r="J1197" s="3"/>
      <c r="K1197" s="3"/>
      <c r="L1197" s="3"/>
      <c r="M1197" s="3"/>
      <c r="N1197" s="3"/>
      <c r="O1197" s="3"/>
      <c r="P1197" s="3"/>
      <c r="Q1197" s="3"/>
      <c r="R1197" s="3"/>
      <c r="S1197" s="3"/>
      <c r="T1197" s="3"/>
      <c r="U1197" s="3"/>
      <c r="V1197" s="3"/>
      <c r="W1197" s="3"/>
      <c r="X1197" s="3"/>
      <c r="Y1197" s="3"/>
      <c r="Z1197" s="3"/>
      <c r="AA1197" s="3"/>
    </row>
    <row r="1198">
      <c r="A1198" s="4"/>
      <c r="B1198" s="3"/>
      <c r="C1198" s="3"/>
      <c r="D1198" s="3"/>
      <c r="E1198" s="3"/>
      <c r="F1198" s="3"/>
      <c r="G1198" s="3"/>
      <c r="H1198" s="3"/>
      <c r="I1198" s="3"/>
      <c r="J1198" s="3"/>
      <c r="K1198" s="3"/>
      <c r="L1198" s="3"/>
      <c r="M1198" s="3"/>
      <c r="N1198" s="3"/>
      <c r="O1198" s="3"/>
      <c r="P1198" s="3"/>
      <c r="Q1198" s="3"/>
      <c r="R1198" s="3"/>
      <c r="S1198" s="3"/>
      <c r="T1198" s="3"/>
      <c r="U1198" s="3"/>
      <c r="V1198" s="3"/>
      <c r="W1198" s="3"/>
      <c r="X1198" s="3"/>
      <c r="Y1198" s="3"/>
      <c r="Z1198" s="3"/>
      <c r="AA1198" s="3"/>
    </row>
    <row r="1199">
      <c r="A1199" s="4"/>
      <c r="B1199" s="3"/>
      <c r="C1199" s="3"/>
      <c r="D1199" s="3"/>
      <c r="E1199" s="3"/>
      <c r="F1199" s="3"/>
      <c r="G1199" s="3"/>
      <c r="H1199" s="3"/>
      <c r="I1199" s="3"/>
      <c r="J1199" s="3"/>
      <c r="K1199" s="3"/>
      <c r="L1199" s="3"/>
      <c r="M1199" s="3"/>
      <c r="N1199" s="3"/>
      <c r="O1199" s="3"/>
      <c r="P1199" s="3"/>
      <c r="Q1199" s="3"/>
      <c r="R1199" s="3"/>
      <c r="S1199" s="3"/>
      <c r="T1199" s="3"/>
      <c r="U1199" s="3"/>
      <c r="V1199" s="3"/>
      <c r="W1199" s="3"/>
      <c r="X1199" s="3"/>
      <c r="Y1199" s="3"/>
      <c r="Z1199" s="3"/>
      <c r="AA1199" s="3"/>
    </row>
    <row r="1200">
      <c r="A1200" s="4"/>
      <c r="B1200" s="3"/>
      <c r="C1200" s="3"/>
      <c r="D1200" s="3"/>
      <c r="E1200" s="3"/>
      <c r="F1200" s="3"/>
      <c r="G1200" s="3"/>
      <c r="H1200" s="3"/>
      <c r="I1200" s="3"/>
      <c r="J1200" s="3"/>
      <c r="K1200" s="3"/>
      <c r="L1200" s="3"/>
      <c r="M1200" s="3"/>
      <c r="N1200" s="3"/>
      <c r="O1200" s="3"/>
      <c r="P1200" s="3"/>
      <c r="Q1200" s="3"/>
      <c r="R1200" s="3"/>
      <c r="S1200" s="3"/>
      <c r="T1200" s="3"/>
      <c r="U1200" s="3"/>
      <c r="V1200" s="3"/>
      <c r="W1200" s="3"/>
      <c r="X1200" s="3"/>
      <c r="Y1200" s="3"/>
      <c r="Z1200" s="3"/>
      <c r="AA1200" s="3"/>
    </row>
    <row r="1201">
      <c r="A1201" s="4"/>
      <c r="B1201" s="3"/>
      <c r="C1201" s="3"/>
      <c r="D1201" s="3"/>
      <c r="E1201" s="3"/>
      <c r="F1201" s="3"/>
      <c r="G1201" s="3"/>
      <c r="H1201" s="3"/>
      <c r="I1201" s="3"/>
      <c r="J1201" s="3"/>
      <c r="K1201" s="3"/>
      <c r="L1201" s="3"/>
      <c r="M1201" s="3"/>
      <c r="N1201" s="3"/>
      <c r="O1201" s="3"/>
      <c r="P1201" s="3"/>
      <c r="Q1201" s="3"/>
      <c r="R1201" s="3"/>
      <c r="S1201" s="3"/>
      <c r="T1201" s="3"/>
      <c r="U1201" s="3"/>
      <c r="V1201" s="3"/>
      <c r="W1201" s="3"/>
      <c r="X1201" s="3"/>
      <c r="Y1201" s="3"/>
      <c r="Z1201" s="3"/>
      <c r="AA1201" s="3"/>
    </row>
    <row r="1202">
      <c r="A1202" s="4"/>
      <c r="B1202" s="3"/>
      <c r="C1202" s="3"/>
      <c r="D1202" s="3"/>
      <c r="E1202" s="3"/>
      <c r="F1202" s="3"/>
      <c r="G1202" s="3"/>
      <c r="H1202" s="3"/>
      <c r="I1202" s="3"/>
      <c r="J1202" s="3"/>
      <c r="K1202" s="3"/>
      <c r="L1202" s="3"/>
      <c r="M1202" s="3"/>
      <c r="N1202" s="3"/>
      <c r="O1202" s="3"/>
      <c r="P1202" s="3"/>
      <c r="Q1202" s="3"/>
      <c r="R1202" s="3"/>
      <c r="S1202" s="3"/>
      <c r="T1202" s="3"/>
      <c r="U1202" s="3"/>
      <c r="V1202" s="3"/>
      <c r="W1202" s="3"/>
      <c r="X1202" s="3"/>
      <c r="Y1202" s="3"/>
      <c r="Z1202" s="3"/>
      <c r="AA1202" s="3"/>
    </row>
    <row r="1203">
      <c r="A1203" s="4"/>
      <c r="B1203" s="3"/>
      <c r="C1203" s="3"/>
      <c r="D1203" s="3"/>
      <c r="E1203" s="3"/>
      <c r="F1203" s="3"/>
      <c r="G1203" s="3"/>
      <c r="H1203" s="3"/>
      <c r="I1203" s="3"/>
      <c r="J1203" s="3"/>
      <c r="K1203" s="3"/>
      <c r="L1203" s="3"/>
      <c r="M1203" s="3"/>
      <c r="N1203" s="3"/>
      <c r="O1203" s="3"/>
      <c r="P1203" s="3"/>
      <c r="Q1203" s="3"/>
      <c r="R1203" s="3"/>
      <c r="S1203" s="3"/>
      <c r="T1203" s="3"/>
      <c r="U1203" s="3"/>
      <c r="V1203" s="3"/>
      <c r="W1203" s="3"/>
      <c r="X1203" s="3"/>
      <c r="Y1203" s="3"/>
      <c r="Z1203" s="3"/>
      <c r="AA1203" s="3"/>
    </row>
    <row r="1204">
      <c r="A1204" s="4"/>
      <c r="B1204" s="3"/>
      <c r="C1204" s="3"/>
      <c r="D1204" s="3"/>
      <c r="E1204" s="3"/>
      <c r="F1204" s="3"/>
      <c r="G1204" s="3"/>
      <c r="H1204" s="3"/>
      <c r="I1204" s="3"/>
      <c r="J1204" s="3"/>
      <c r="K1204" s="3"/>
      <c r="L1204" s="3"/>
      <c r="M1204" s="3"/>
      <c r="N1204" s="3"/>
      <c r="O1204" s="3"/>
      <c r="P1204" s="3"/>
      <c r="Q1204" s="3"/>
      <c r="R1204" s="3"/>
      <c r="S1204" s="3"/>
      <c r="T1204" s="3"/>
      <c r="U1204" s="3"/>
      <c r="V1204" s="3"/>
      <c r="W1204" s="3"/>
      <c r="X1204" s="3"/>
      <c r="Y1204" s="3"/>
      <c r="Z1204" s="3"/>
      <c r="AA1204" s="3"/>
    </row>
    <row r="1205">
      <c r="A1205" s="4"/>
      <c r="B1205" s="3"/>
      <c r="C1205" s="3"/>
      <c r="D1205" s="3"/>
      <c r="E1205" s="3"/>
      <c r="F1205" s="3"/>
      <c r="G1205" s="3"/>
      <c r="H1205" s="3"/>
      <c r="I1205" s="3"/>
      <c r="J1205" s="3"/>
      <c r="K1205" s="3"/>
      <c r="L1205" s="3"/>
      <c r="M1205" s="3"/>
      <c r="N1205" s="3"/>
      <c r="O1205" s="3"/>
      <c r="P1205" s="3"/>
      <c r="Q1205" s="3"/>
      <c r="R1205" s="3"/>
      <c r="S1205" s="3"/>
      <c r="T1205" s="3"/>
      <c r="U1205" s="3"/>
      <c r="V1205" s="3"/>
      <c r="W1205" s="3"/>
      <c r="X1205" s="3"/>
      <c r="Y1205" s="3"/>
      <c r="Z1205" s="3"/>
      <c r="AA1205" s="3"/>
    </row>
    <row r="1206">
      <c r="A1206" s="4"/>
      <c r="B1206" s="3"/>
      <c r="C1206" s="3"/>
      <c r="D1206" s="3"/>
      <c r="E1206" s="3"/>
      <c r="F1206" s="3"/>
      <c r="G1206" s="3"/>
      <c r="H1206" s="3"/>
      <c r="I1206" s="3"/>
      <c r="J1206" s="3"/>
      <c r="K1206" s="3"/>
      <c r="L1206" s="3"/>
      <c r="M1206" s="3"/>
      <c r="N1206" s="3"/>
      <c r="O1206" s="3"/>
      <c r="P1206" s="3"/>
      <c r="Q1206" s="3"/>
      <c r="R1206" s="3"/>
      <c r="S1206" s="3"/>
      <c r="T1206" s="3"/>
      <c r="U1206" s="3"/>
      <c r="V1206" s="3"/>
      <c r="W1206" s="3"/>
      <c r="X1206" s="3"/>
      <c r="Y1206" s="3"/>
      <c r="Z1206" s="3"/>
      <c r="AA1206" s="3"/>
    </row>
    <row r="1207">
      <c r="A1207" s="4"/>
      <c r="B1207" s="3"/>
      <c r="C1207" s="3"/>
      <c r="D1207" s="3"/>
      <c r="E1207" s="3"/>
      <c r="F1207" s="3"/>
      <c r="G1207" s="3"/>
      <c r="H1207" s="3"/>
      <c r="I1207" s="3"/>
      <c r="J1207" s="3"/>
      <c r="K1207" s="3"/>
      <c r="L1207" s="3"/>
      <c r="M1207" s="3"/>
      <c r="N1207" s="3"/>
      <c r="O1207" s="3"/>
      <c r="P1207" s="3"/>
      <c r="Q1207" s="3"/>
      <c r="R1207" s="3"/>
      <c r="S1207" s="3"/>
      <c r="T1207" s="3"/>
      <c r="U1207" s="3"/>
      <c r="V1207" s="3"/>
      <c r="W1207" s="3"/>
      <c r="X1207" s="3"/>
      <c r="Y1207" s="3"/>
      <c r="Z1207" s="3"/>
      <c r="AA1207" s="3"/>
    </row>
    <row r="1208">
      <c r="A1208" s="4"/>
      <c r="B1208" s="3"/>
      <c r="C1208" s="3"/>
      <c r="D1208" s="3"/>
      <c r="E1208" s="3"/>
      <c r="F1208" s="3"/>
      <c r="G1208" s="3"/>
      <c r="H1208" s="3"/>
      <c r="I1208" s="3"/>
      <c r="J1208" s="3"/>
      <c r="K1208" s="3"/>
      <c r="L1208" s="3"/>
      <c r="M1208" s="3"/>
      <c r="N1208" s="3"/>
      <c r="O1208" s="3"/>
      <c r="P1208" s="3"/>
      <c r="Q1208" s="3"/>
      <c r="R1208" s="3"/>
      <c r="S1208" s="3"/>
      <c r="T1208" s="3"/>
      <c r="U1208" s="3"/>
      <c r="V1208" s="3"/>
      <c r="W1208" s="3"/>
      <c r="X1208" s="3"/>
      <c r="Y1208" s="3"/>
      <c r="Z1208" s="3"/>
      <c r="AA1208" s="3"/>
    </row>
    <row r="1209">
      <c r="A1209" s="4"/>
      <c r="B1209" s="3"/>
      <c r="C1209" s="3"/>
      <c r="D1209" s="3"/>
      <c r="E1209" s="3"/>
      <c r="F1209" s="3"/>
      <c r="G1209" s="3"/>
      <c r="H1209" s="3"/>
      <c r="I1209" s="3"/>
      <c r="J1209" s="3"/>
      <c r="K1209" s="3"/>
      <c r="L1209" s="3"/>
      <c r="M1209" s="3"/>
      <c r="N1209" s="3"/>
      <c r="O1209" s="3"/>
      <c r="P1209" s="3"/>
      <c r="Q1209" s="3"/>
      <c r="R1209" s="3"/>
      <c r="S1209" s="3"/>
      <c r="T1209" s="3"/>
      <c r="U1209" s="3"/>
      <c r="V1209" s="3"/>
      <c r="W1209" s="3"/>
      <c r="X1209" s="3"/>
      <c r="Y1209" s="3"/>
      <c r="Z1209" s="3"/>
      <c r="AA1209" s="3"/>
    </row>
    <row r="1210">
      <c r="A1210" s="4"/>
      <c r="B1210" s="3"/>
      <c r="C1210" s="3"/>
      <c r="D1210" s="3"/>
      <c r="E1210" s="3"/>
      <c r="F1210" s="3"/>
      <c r="G1210" s="3"/>
      <c r="H1210" s="3"/>
      <c r="I1210" s="3"/>
      <c r="J1210" s="3"/>
      <c r="K1210" s="3"/>
      <c r="L1210" s="3"/>
      <c r="M1210" s="3"/>
      <c r="N1210" s="3"/>
      <c r="O1210" s="3"/>
      <c r="P1210" s="3"/>
      <c r="Q1210" s="3"/>
      <c r="R1210" s="3"/>
      <c r="S1210" s="3"/>
      <c r="T1210" s="3"/>
      <c r="U1210" s="3"/>
      <c r="V1210" s="3"/>
      <c r="W1210" s="3"/>
      <c r="X1210" s="3"/>
      <c r="Y1210" s="3"/>
      <c r="Z1210" s="3"/>
      <c r="AA1210" s="3"/>
    </row>
    <row r="1211">
      <c r="A1211" s="4"/>
      <c r="B1211" s="3"/>
      <c r="C1211" s="3"/>
      <c r="D1211" s="3"/>
      <c r="E1211" s="3"/>
      <c r="F1211" s="3"/>
      <c r="G1211" s="3"/>
      <c r="H1211" s="3"/>
      <c r="I1211" s="3"/>
      <c r="J1211" s="3"/>
      <c r="K1211" s="3"/>
      <c r="L1211" s="3"/>
      <c r="M1211" s="3"/>
      <c r="N1211" s="3"/>
      <c r="O1211" s="3"/>
      <c r="P1211" s="3"/>
      <c r="Q1211" s="3"/>
      <c r="R1211" s="3"/>
      <c r="S1211" s="3"/>
      <c r="T1211" s="3"/>
      <c r="U1211" s="3"/>
      <c r="V1211" s="3"/>
      <c r="W1211" s="3"/>
      <c r="X1211" s="3"/>
      <c r="Y1211" s="3"/>
      <c r="Z1211" s="3"/>
      <c r="AA1211" s="3"/>
    </row>
    <row r="1212">
      <c r="A1212" s="4"/>
      <c r="B1212" s="3"/>
      <c r="C1212" s="3"/>
      <c r="D1212" s="3"/>
      <c r="E1212" s="3"/>
      <c r="F1212" s="3"/>
      <c r="G1212" s="3"/>
      <c r="H1212" s="3"/>
      <c r="I1212" s="3"/>
      <c r="J1212" s="3"/>
      <c r="K1212" s="3"/>
      <c r="L1212" s="3"/>
      <c r="M1212" s="3"/>
      <c r="N1212" s="3"/>
      <c r="O1212" s="3"/>
      <c r="P1212" s="3"/>
      <c r="Q1212" s="3"/>
      <c r="R1212" s="3"/>
      <c r="S1212" s="3"/>
      <c r="T1212" s="3"/>
      <c r="U1212" s="3"/>
      <c r="V1212" s="3"/>
      <c r="W1212" s="3"/>
      <c r="X1212" s="3"/>
      <c r="Y1212" s="3"/>
      <c r="Z1212" s="3"/>
      <c r="AA1212" s="3"/>
    </row>
    <row r="1213">
      <c r="A1213" s="4"/>
      <c r="B1213" s="3"/>
      <c r="C1213" s="3"/>
      <c r="D1213" s="3"/>
      <c r="E1213" s="3"/>
      <c r="F1213" s="3"/>
      <c r="G1213" s="3"/>
      <c r="H1213" s="3"/>
      <c r="I1213" s="3"/>
      <c r="J1213" s="3"/>
      <c r="K1213" s="3"/>
      <c r="L1213" s="3"/>
      <c r="M1213" s="3"/>
      <c r="N1213" s="3"/>
      <c r="O1213" s="3"/>
      <c r="P1213" s="3"/>
      <c r="Q1213" s="3"/>
      <c r="R1213" s="3"/>
      <c r="S1213" s="3"/>
      <c r="T1213" s="3"/>
      <c r="U1213" s="3"/>
      <c r="V1213" s="3"/>
      <c r="W1213" s="3"/>
      <c r="X1213" s="3"/>
      <c r="Y1213" s="3"/>
      <c r="Z1213" s="3"/>
      <c r="AA1213" s="3"/>
    </row>
    <row r="1214">
      <c r="A1214" s="4"/>
      <c r="B1214" s="3"/>
      <c r="C1214" s="3"/>
      <c r="D1214" s="3"/>
      <c r="E1214" s="3"/>
      <c r="F1214" s="3"/>
      <c r="G1214" s="3"/>
      <c r="H1214" s="3"/>
      <c r="I1214" s="3"/>
      <c r="J1214" s="3"/>
      <c r="K1214" s="3"/>
      <c r="L1214" s="3"/>
      <c r="M1214" s="3"/>
      <c r="N1214" s="3"/>
      <c r="O1214" s="3"/>
      <c r="P1214" s="3"/>
      <c r="Q1214" s="3"/>
      <c r="R1214" s="3"/>
      <c r="S1214" s="3"/>
      <c r="T1214" s="3"/>
      <c r="U1214" s="3"/>
      <c r="V1214" s="3"/>
      <c r="W1214" s="3"/>
      <c r="X1214" s="3"/>
      <c r="Y1214" s="3"/>
      <c r="Z1214" s="3"/>
      <c r="AA1214" s="3"/>
    </row>
    <row r="1215">
      <c r="A1215" s="4"/>
      <c r="B1215" s="3"/>
      <c r="C1215" s="3"/>
      <c r="D1215" s="3"/>
      <c r="E1215" s="3"/>
      <c r="F1215" s="3"/>
      <c r="G1215" s="3"/>
      <c r="H1215" s="3"/>
      <c r="I1215" s="3"/>
      <c r="J1215" s="3"/>
      <c r="K1215" s="3"/>
      <c r="L1215" s="3"/>
      <c r="M1215" s="3"/>
      <c r="N1215" s="3"/>
      <c r="O1215" s="3"/>
      <c r="P1215" s="3"/>
      <c r="Q1215" s="3"/>
      <c r="R1215" s="3"/>
      <c r="S1215" s="3"/>
      <c r="T1215" s="3"/>
      <c r="U1215" s="3"/>
      <c r="V1215" s="3"/>
      <c r="W1215" s="3"/>
      <c r="X1215" s="3"/>
      <c r="Y1215" s="3"/>
      <c r="Z1215" s="3"/>
      <c r="AA1215" s="3"/>
    </row>
    <row r="1216">
      <c r="A1216" s="4"/>
      <c r="B1216" s="3"/>
      <c r="C1216" s="3"/>
      <c r="D1216" s="3"/>
      <c r="E1216" s="3"/>
      <c r="F1216" s="3"/>
      <c r="G1216" s="3"/>
      <c r="H1216" s="3"/>
      <c r="I1216" s="3"/>
      <c r="J1216" s="3"/>
      <c r="K1216" s="3"/>
      <c r="L1216" s="3"/>
      <c r="M1216" s="3"/>
      <c r="N1216" s="3"/>
      <c r="O1216" s="3"/>
      <c r="P1216" s="3"/>
      <c r="Q1216" s="3"/>
      <c r="R1216" s="3"/>
      <c r="S1216" s="3"/>
      <c r="T1216" s="3"/>
      <c r="U1216" s="3"/>
      <c r="V1216" s="3"/>
      <c r="W1216" s="3"/>
      <c r="X1216" s="3"/>
      <c r="Y1216" s="3"/>
      <c r="Z1216" s="3"/>
      <c r="AA1216" s="3"/>
    </row>
    <row r="1217">
      <c r="A1217" s="4"/>
      <c r="B1217" s="3"/>
      <c r="C1217" s="3"/>
      <c r="D1217" s="3"/>
      <c r="E1217" s="3"/>
      <c r="F1217" s="3"/>
      <c r="G1217" s="3"/>
      <c r="H1217" s="3"/>
      <c r="I1217" s="3"/>
      <c r="J1217" s="3"/>
      <c r="K1217" s="3"/>
      <c r="L1217" s="3"/>
      <c r="M1217" s="3"/>
      <c r="N1217" s="3"/>
      <c r="O1217" s="3"/>
      <c r="P1217" s="3"/>
      <c r="Q1217" s="3"/>
      <c r="R1217" s="3"/>
      <c r="S1217" s="3"/>
      <c r="T1217" s="3"/>
      <c r="U1217" s="3"/>
      <c r="V1217" s="3"/>
      <c r="W1217" s="3"/>
      <c r="X1217" s="3"/>
      <c r="Y1217" s="3"/>
      <c r="Z1217" s="3"/>
      <c r="AA1217" s="3"/>
    </row>
    <row r="1218">
      <c r="A1218" s="4"/>
      <c r="B1218" s="3"/>
      <c r="C1218" s="3"/>
      <c r="D1218" s="3"/>
      <c r="E1218" s="3"/>
      <c r="F1218" s="3"/>
      <c r="G1218" s="3"/>
      <c r="H1218" s="3"/>
      <c r="I1218" s="3"/>
      <c r="J1218" s="3"/>
      <c r="K1218" s="3"/>
      <c r="L1218" s="3"/>
      <c r="M1218" s="3"/>
      <c r="N1218" s="3"/>
      <c r="O1218" s="3"/>
      <c r="P1218" s="3"/>
      <c r="Q1218" s="3"/>
      <c r="R1218" s="3"/>
      <c r="S1218" s="3"/>
      <c r="T1218" s="3"/>
      <c r="U1218" s="3"/>
      <c r="V1218" s="3"/>
      <c r="W1218" s="3"/>
      <c r="X1218" s="3"/>
      <c r="Y1218" s="3"/>
      <c r="Z1218" s="3"/>
      <c r="AA1218" s="3"/>
    </row>
    <row r="1219">
      <c r="A1219" s="4"/>
      <c r="B1219" s="3"/>
      <c r="C1219" s="3"/>
      <c r="D1219" s="3"/>
      <c r="E1219" s="3"/>
      <c r="F1219" s="3"/>
      <c r="G1219" s="3"/>
      <c r="H1219" s="3"/>
      <c r="I1219" s="3"/>
      <c r="J1219" s="3"/>
      <c r="K1219" s="3"/>
      <c r="L1219" s="3"/>
      <c r="M1219" s="3"/>
      <c r="N1219" s="3"/>
      <c r="O1219" s="3"/>
      <c r="P1219" s="3"/>
      <c r="Q1219" s="3"/>
      <c r="R1219" s="3"/>
      <c r="S1219" s="3"/>
      <c r="T1219" s="3"/>
      <c r="U1219" s="3"/>
      <c r="V1219" s="3"/>
      <c r="W1219" s="3"/>
      <c r="X1219" s="3"/>
      <c r="Y1219" s="3"/>
      <c r="Z1219" s="3"/>
      <c r="AA1219" s="3"/>
    </row>
    <row r="1220">
      <c r="A1220" s="4"/>
      <c r="B1220" s="3"/>
      <c r="C1220" s="3"/>
      <c r="D1220" s="3"/>
      <c r="E1220" s="3"/>
      <c r="F1220" s="3"/>
      <c r="G1220" s="3"/>
      <c r="H1220" s="3"/>
      <c r="I1220" s="3"/>
      <c r="J1220" s="3"/>
      <c r="K1220" s="3"/>
      <c r="L1220" s="3"/>
      <c r="M1220" s="3"/>
      <c r="N1220" s="3"/>
      <c r="O1220" s="3"/>
      <c r="P1220" s="3"/>
      <c r="Q1220" s="3"/>
      <c r="R1220" s="3"/>
      <c r="S1220" s="3"/>
      <c r="T1220" s="3"/>
      <c r="U1220" s="3"/>
      <c r="V1220" s="3"/>
      <c r="W1220" s="3"/>
      <c r="X1220" s="3"/>
      <c r="Y1220" s="3"/>
      <c r="Z1220" s="3"/>
      <c r="AA1220" s="3"/>
    </row>
    <row r="1221">
      <c r="A1221" s="4"/>
      <c r="B1221" s="3"/>
      <c r="C1221" s="3"/>
      <c r="D1221" s="3"/>
      <c r="E1221" s="3"/>
      <c r="F1221" s="3"/>
      <c r="G1221" s="3"/>
      <c r="H1221" s="3"/>
      <c r="I1221" s="3"/>
      <c r="J1221" s="3"/>
      <c r="K1221" s="3"/>
      <c r="L1221" s="3"/>
      <c r="M1221" s="3"/>
      <c r="N1221" s="3"/>
      <c r="O1221" s="3"/>
      <c r="P1221" s="3"/>
      <c r="Q1221" s="3"/>
      <c r="R1221" s="3"/>
      <c r="S1221" s="3"/>
      <c r="T1221" s="3"/>
      <c r="U1221" s="3"/>
      <c r="V1221" s="3"/>
      <c r="W1221" s="3"/>
      <c r="X1221" s="3"/>
      <c r="Y1221" s="3"/>
      <c r="Z1221" s="3"/>
      <c r="AA1221" s="3"/>
    </row>
    <row r="1222">
      <c r="A1222" s="4"/>
      <c r="B1222" s="3"/>
      <c r="C1222" s="3"/>
      <c r="D1222" s="3"/>
      <c r="E1222" s="3"/>
      <c r="F1222" s="3"/>
      <c r="G1222" s="3"/>
      <c r="H1222" s="3"/>
      <c r="I1222" s="3"/>
      <c r="J1222" s="3"/>
      <c r="K1222" s="3"/>
      <c r="L1222" s="3"/>
      <c r="M1222" s="3"/>
      <c r="N1222" s="3"/>
      <c r="O1222" s="3"/>
      <c r="P1222" s="3"/>
      <c r="Q1222" s="3"/>
      <c r="R1222" s="3"/>
      <c r="S1222" s="3"/>
      <c r="T1222" s="3"/>
      <c r="U1222" s="3"/>
      <c r="V1222" s="3"/>
      <c r="W1222" s="3"/>
      <c r="X1222" s="3"/>
      <c r="Y1222" s="3"/>
      <c r="Z1222" s="3"/>
      <c r="AA1222" s="3"/>
    </row>
    <row r="1223">
      <c r="A1223" s="4"/>
      <c r="B1223" s="3"/>
      <c r="C1223" s="3"/>
      <c r="D1223" s="3"/>
      <c r="E1223" s="3"/>
      <c r="F1223" s="3"/>
      <c r="G1223" s="3"/>
      <c r="H1223" s="3"/>
      <c r="I1223" s="3"/>
      <c r="J1223" s="3"/>
      <c r="K1223" s="3"/>
      <c r="L1223" s="3"/>
      <c r="M1223" s="3"/>
      <c r="N1223" s="3"/>
      <c r="O1223" s="3"/>
      <c r="P1223" s="3"/>
      <c r="Q1223" s="3"/>
      <c r="R1223" s="3"/>
      <c r="S1223" s="3"/>
      <c r="T1223" s="3"/>
      <c r="U1223" s="3"/>
      <c r="V1223" s="3"/>
      <c r="W1223" s="3"/>
      <c r="X1223" s="3"/>
      <c r="Y1223" s="3"/>
      <c r="Z1223" s="3"/>
      <c r="AA1223" s="3"/>
    </row>
    <row r="1224">
      <c r="A1224" s="4"/>
      <c r="B1224" s="3"/>
      <c r="C1224" s="3"/>
      <c r="D1224" s="3"/>
      <c r="E1224" s="3"/>
      <c r="F1224" s="3"/>
      <c r="G1224" s="3"/>
      <c r="H1224" s="3"/>
      <c r="I1224" s="3"/>
      <c r="J1224" s="3"/>
      <c r="K1224" s="3"/>
      <c r="L1224" s="3"/>
      <c r="M1224" s="3"/>
      <c r="N1224" s="3"/>
      <c r="O1224" s="3"/>
      <c r="P1224" s="3"/>
      <c r="Q1224" s="3"/>
      <c r="R1224" s="3"/>
      <c r="S1224" s="3"/>
      <c r="T1224" s="3"/>
      <c r="U1224" s="3"/>
      <c r="V1224" s="3"/>
      <c r="W1224" s="3"/>
      <c r="X1224" s="3"/>
      <c r="Y1224" s="3"/>
      <c r="Z1224" s="3"/>
      <c r="AA1224" s="3"/>
    </row>
    <row r="1225">
      <c r="A1225" s="4"/>
      <c r="B1225" s="3"/>
      <c r="C1225" s="3"/>
      <c r="D1225" s="3"/>
      <c r="E1225" s="3"/>
      <c r="F1225" s="3"/>
      <c r="G1225" s="3"/>
      <c r="H1225" s="3"/>
      <c r="I1225" s="3"/>
      <c r="J1225" s="3"/>
      <c r="K1225" s="3"/>
      <c r="L1225" s="3"/>
      <c r="M1225" s="3"/>
      <c r="N1225" s="3"/>
      <c r="O1225" s="3"/>
      <c r="P1225" s="3"/>
      <c r="Q1225" s="3"/>
      <c r="R1225" s="3"/>
      <c r="S1225" s="3"/>
      <c r="T1225" s="3"/>
      <c r="U1225" s="3"/>
      <c r="V1225" s="3"/>
      <c r="W1225" s="3"/>
      <c r="X1225" s="3"/>
      <c r="Y1225" s="3"/>
      <c r="Z1225" s="3"/>
      <c r="AA1225" s="3"/>
    </row>
    <row r="1226">
      <c r="A1226" s="4"/>
      <c r="B1226" s="3"/>
      <c r="C1226" s="3"/>
      <c r="D1226" s="3"/>
      <c r="E1226" s="3"/>
      <c r="F1226" s="3"/>
      <c r="G1226" s="3"/>
      <c r="H1226" s="3"/>
      <c r="I1226" s="3"/>
      <c r="J1226" s="3"/>
      <c r="K1226" s="3"/>
      <c r="L1226" s="3"/>
      <c r="M1226" s="3"/>
      <c r="N1226" s="3"/>
      <c r="O1226" s="3"/>
      <c r="P1226" s="3"/>
      <c r="Q1226" s="3"/>
      <c r="R1226" s="3"/>
      <c r="S1226" s="3"/>
      <c r="T1226" s="3"/>
      <c r="U1226" s="3"/>
      <c r="V1226" s="3"/>
      <c r="W1226" s="3"/>
      <c r="X1226" s="3"/>
      <c r="Y1226" s="3"/>
      <c r="Z1226" s="3"/>
      <c r="AA1226" s="3"/>
    </row>
    <row r="1227">
      <c r="A1227" s="4"/>
      <c r="B1227" s="3"/>
      <c r="C1227" s="3"/>
      <c r="D1227" s="3"/>
      <c r="E1227" s="3"/>
      <c r="F1227" s="3"/>
      <c r="G1227" s="3"/>
      <c r="H1227" s="3"/>
      <c r="I1227" s="3"/>
      <c r="J1227" s="3"/>
      <c r="K1227" s="3"/>
      <c r="L1227" s="3"/>
      <c r="M1227" s="3"/>
      <c r="N1227" s="3"/>
      <c r="O1227" s="3"/>
      <c r="P1227" s="3"/>
      <c r="Q1227" s="3"/>
      <c r="R1227" s="3"/>
      <c r="S1227" s="3"/>
      <c r="T1227" s="3"/>
      <c r="U1227" s="3"/>
      <c r="V1227" s="3"/>
      <c r="W1227" s="3"/>
      <c r="X1227" s="3"/>
      <c r="Y1227" s="3"/>
      <c r="Z1227" s="3"/>
      <c r="AA1227" s="3"/>
    </row>
    <row r="1228">
      <c r="A1228" s="4"/>
      <c r="B1228" s="3"/>
      <c r="C1228" s="3"/>
      <c r="D1228" s="3"/>
      <c r="E1228" s="3"/>
      <c r="F1228" s="3"/>
      <c r="G1228" s="3"/>
      <c r="H1228" s="3"/>
      <c r="I1228" s="3"/>
      <c r="J1228" s="3"/>
      <c r="K1228" s="3"/>
      <c r="L1228" s="3"/>
      <c r="M1228" s="3"/>
      <c r="N1228" s="3"/>
      <c r="O1228" s="3"/>
      <c r="P1228" s="3"/>
      <c r="Q1228" s="3"/>
      <c r="R1228" s="3"/>
      <c r="S1228" s="3"/>
      <c r="T1228" s="3"/>
      <c r="U1228" s="3"/>
      <c r="V1228" s="3"/>
      <c r="W1228" s="3"/>
      <c r="X1228" s="3"/>
      <c r="Y1228" s="3"/>
      <c r="Z1228" s="3"/>
      <c r="AA1228" s="3"/>
    </row>
    <row r="1229">
      <c r="A1229" s="4"/>
      <c r="B1229" s="3"/>
      <c r="C1229" s="3"/>
      <c r="D1229" s="3"/>
      <c r="E1229" s="3"/>
      <c r="F1229" s="3"/>
      <c r="G1229" s="3"/>
      <c r="H1229" s="3"/>
      <c r="I1229" s="3"/>
      <c r="J1229" s="3"/>
      <c r="K1229" s="3"/>
      <c r="L1229" s="3"/>
      <c r="M1229" s="3"/>
      <c r="N1229" s="3"/>
      <c r="O1229" s="3"/>
      <c r="P1229" s="3"/>
      <c r="Q1229" s="3"/>
      <c r="R1229" s="3"/>
      <c r="S1229" s="3"/>
      <c r="T1229" s="3"/>
      <c r="U1229" s="3"/>
      <c r="V1229" s="3"/>
      <c r="W1229" s="3"/>
      <c r="X1229" s="3"/>
      <c r="Y1229" s="3"/>
      <c r="Z1229" s="3"/>
      <c r="AA1229" s="3"/>
    </row>
    <row r="1230">
      <c r="A1230" s="4"/>
      <c r="B1230" s="3"/>
      <c r="C1230" s="3"/>
      <c r="D1230" s="3"/>
      <c r="E1230" s="3"/>
      <c r="F1230" s="3"/>
      <c r="G1230" s="3"/>
      <c r="H1230" s="3"/>
      <c r="I1230" s="3"/>
      <c r="J1230" s="3"/>
      <c r="K1230" s="3"/>
      <c r="L1230" s="3"/>
      <c r="M1230" s="3"/>
      <c r="N1230" s="3"/>
      <c r="O1230" s="3"/>
      <c r="P1230" s="3"/>
      <c r="Q1230" s="3"/>
      <c r="R1230" s="3"/>
      <c r="S1230" s="3"/>
      <c r="T1230" s="3"/>
      <c r="U1230" s="3"/>
      <c r="V1230" s="3"/>
      <c r="W1230" s="3"/>
      <c r="X1230" s="3"/>
      <c r="Y1230" s="3"/>
      <c r="Z1230" s="3"/>
      <c r="AA1230" s="3"/>
    </row>
    <row r="1231">
      <c r="A1231" s="4"/>
      <c r="B1231" s="3"/>
      <c r="C1231" s="3"/>
      <c r="D1231" s="3"/>
      <c r="E1231" s="3"/>
      <c r="F1231" s="3"/>
      <c r="G1231" s="3"/>
      <c r="H1231" s="3"/>
      <c r="I1231" s="3"/>
      <c r="J1231" s="3"/>
      <c r="K1231" s="3"/>
      <c r="L1231" s="3"/>
      <c r="M1231" s="3"/>
      <c r="N1231" s="3"/>
      <c r="O1231" s="3"/>
      <c r="P1231" s="3"/>
      <c r="Q1231" s="3"/>
      <c r="R1231" s="3"/>
      <c r="S1231" s="3"/>
      <c r="T1231" s="3"/>
      <c r="U1231" s="3"/>
      <c r="V1231" s="3"/>
      <c r="W1231" s="3"/>
      <c r="X1231" s="3"/>
      <c r="Y1231" s="3"/>
      <c r="Z1231" s="3"/>
      <c r="AA1231" s="3"/>
    </row>
    <row r="1232">
      <c r="A1232" s="4"/>
      <c r="B1232" s="3"/>
      <c r="C1232" s="3"/>
      <c r="D1232" s="3"/>
      <c r="E1232" s="3"/>
      <c r="F1232" s="3"/>
      <c r="G1232" s="3"/>
      <c r="H1232" s="3"/>
      <c r="I1232" s="3"/>
      <c r="J1232" s="3"/>
      <c r="K1232" s="3"/>
      <c r="L1232" s="3"/>
      <c r="M1232" s="3"/>
      <c r="N1232" s="3"/>
      <c r="O1232" s="3"/>
      <c r="P1232" s="3"/>
      <c r="Q1232" s="3"/>
      <c r="R1232" s="3"/>
      <c r="S1232" s="3"/>
      <c r="T1232" s="3"/>
      <c r="U1232" s="3"/>
      <c r="V1232" s="3"/>
      <c r="W1232" s="3"/>
      <c r="X1232" s="3"/>
      <c r="Y1232" s="3"/>
      <c r="Z1232" s="3"/>
      <c r="AA1232" s="3"/>
    </row>
    <row r="1233">
      <c r="A1233" s="4"/>
      <c r="B1233" s="3"/>
      <c r="C1233" s="3"/>
      <c r="D1233" s="3"/>
      <c r="E1233" s="3"/>
      <c r="F1233" s="3"/>
      <c r="G1233" s="3"/>
      <c r="H1233" s="3"/>
      <c r="I1233" s="3"/>
      <c r="J1233" s="3"/>
      <c r="K1233" s="3"/>
      <c r="L1233" s="3"/>
      <c r="M1233" s="3"/>
      <c r="N1233" s="3"/>
      <c r="O1233" s="3"/>
      <c r="P1233" s="3"/>
      <c r="Q1233" s="3"/>
      <c r="R1233" s="3"/>
      <c r="S1233" s="3"/>
      <c r="T1233" s="3"/>
      <c r="U1233" s="3"/>
      <c r="V1233" s="3"/>
      <c r="W1233" s="3"/>
      <c r="X1233" s="3"/>
      <c r="Y1233" s="3"/>
      <c r="Z1233" s="3"/>
      <c r="AA1233" s="3"/>
    </row>
    <row r="1234">
      <c r="A1234" s="4"/>
      <c r="B1234" s="3"/>
      <c r="C1234" s="3"/>
      <c r="D1234" s="3"/>
      <c r="E1234" s="3"/>
      <c r="F1234" s="3"/>
      <c r="G1234" s="3"/>
      <c r="H1234" s="3"/>
      <c r="I1234" s="3"/>
      <c r="J1234" s="3"/>
      <c r="K1234" s="3"/>
      <c r="L1234" s="3"/>
      <c r="M1234" s="3"/>
      <c r="N1234" s="3"/>
      <c r="O1234" s="3"/>
      <c r="P1234" s="3"/>
      <c r="Q1234" s="3"/>
      <c r="R1234" s="3"/>
      <c r="S1234" s="3"/>
      <c r="T1234" s="3"/>
      <c r="U1234" s="3"/>
      <c r="V1234" s="3"/>
      <c r="W1234" s="3"/>
      <c r="X1234" s="3"/>
      <c r="Y1234" s="3"/>
      <c r="Z1234" s="3"/>
      <c r="AA1234" s="3"/>
    </row>
    <row r="1235">
      <c r="A1235" s="4"/>
      <c r="B1235" s="3"/>
      <c r="C1235" s="3"/>
      <c r="D1235" s="3"/>
      <c r="E1235" s="3"/>
      <c r="F1235" s="3"/>
      <c r="G1235" s="3"/>
      <c r="H1235" s="3"/>
      <c r="I1235" s="3"/>
      <c r="J1235" s="3"/>
      <c r="K1235" s="3"/>
      <c r="L1235" s="3"/>
      <c r="M1235" s="3"/>
      <c r="N1235" s="3"/>
      <c r="O1235" s="3"/>
      <c r="P1235" s="3"/>
      <c r="Q1235" s="3"/>
      <c r="R1235" s="3"/>
      <c r="S1235" s="3"/>
      <c r="T1235" s="3"/>
      <c r="U1235" s="3"/>
      <c r="V1235" s="3"/>
      <c r="W1235" s="3"/>
      <c r="X1235" s="3"/>
      <c r="Y1235" s="3"/>
      <c r="Z1235" s="3"/>
      <c r="AA1235" s="3"/>
    </row>
    <row r="1236">
      <c r="A1236" s="4"/>
      <c r="B1236" s="3"/>
      <c r="C1236" s="3"/>
      <c r="D1236" s="3"/>
      <c r="E1236" s="3"/>
      <c r="F1236" s="3"/>
      <c r="G1236" s="3"/>
      <c r="H1236" s="3"/>
      <c r="I1236" s="3"/>
      <c r="J1236" s="3"/>
      <c r="K1236" s="3"/>
      <c r="L1236" s="3"/>
      <c r="M1236" s="3"/>
      <c r="N1236" s="3"/>
      <c r="O1236" s="3"/>
      <c r="P1236" s="3"/>
      <c r="Q1236" s="3"/>
      <c r="R1236" s="3"/>
      <c r="S1236" s="3"/>
      <c r="T1236" s="3"/>
      <c r="U1236" s="3"/>
      <c r="V1236" s="3"/>
      <c r="W1236" s="3"/>
      <c r="X1236" s="3"/>
      <c r="Y1236" s="3"/>
      <c r="Z1236" s="3"/>
      <c r="AA1236" s="3"/>
    </row>
    <row r="1237">
      <c r="A1237" s="4"/>
      <c r="B1237" s="3"/>
      <c r="C1237" s="3"/>
      <c r="D1237" s="3"/>
      <c r="E1237" s="3"/>
      <c r="F1237" s="3"/>
      <c r="G1237" s="3"/>
      <c r="H1237" s="3"/>
      <c r="I1237" s="3"/>
      <c r="J1237" s="3"/>
      <c r="K1237" s="3"/>
      <c r="L1237" s="3"/>
      <c r="M1237" s="3"/>
      <c r="N1237" s="3"/>
      <c r="O1237" s="3"/>
      <c r="P1237" s="3"/>
      <c r="Q1237" s="3"/>
      <c r="R1237" s="3"/>
      <c r="S1237" s="3"/>
      <c r="T1237" s="3"/>
      <c r="U1237" s="3"/>
      <c r="V1237" s="3"/>
      <c r="W1237" s="3"/>
      <c r="X1237" s="3"/>
      <c r="Y1237" s="3"/>
      <c r="Z1237" s="3"/>
      <c r="AA1237" s="3"/>
    </row>
    <row r="1238">
      <c r="A1238" s="4"/>
      <c r="B1238" s="3"/>
      <c r="C1238" s="3"/>
      <c r="D1238" s="3"/>
      <c r="E1238" s="3"/>
      <c r="F1238" s="3"/>
      <c r="G1238" s="3"/>
      <c r="H1238" s="3"/>
      <c r="I1238" s="3"/>
      <c r="J1238" s="3"/>
      <c r="K1238" s="3"/>
      <c r="L1238" s="3"/>
      <c r="M1238" s="3"/>
      <c r="N1238" s="3"/>
      <c r="O1238" s="3"/>
      <c r="P1238" s="3"/>
      <c r="Q1238" s="3"/>
      <c r="R1238" s="3"/>
      <c r="S1238" s="3"/>
      <c r="T1238" s="3"/>
      <c r="U1238" s="3"/>
      <c r="V1238" s="3"/>
      <c r="W1238" s="3"/>
      <c r="X1238" s="3"/>
      <c r="Y1238" s="3"/>
      <c r="Z1238" s="3"/>
      <c r="AA1238" s="3"/>
    </row>
    <row r="1239">
      <c r="A1239" s="4"/>
      <c r="B1239" s="3"/>
      <c r="C1239" s="3"/>
      <c r="D1239" s="3"/>
      <c r="E1239" s="3"/>
      <c r="F1239" s="3"/>
      <c r="G1239" s="3"/>
      <c r="H1239" s="3"/>
      <c r="I1239" s="3"/>
      <c r="J1239" s="3"/>
      <c r="K1239" s="3"/>
      <c r="L1239" s="3"/>
      <c r="M1239" s="3"/>
      <c r="N1239" s="3"/>
      <c r="O1239" s="3"/>
      <c r="P1239" s="3"/>
      <c r="Q1239" s="3"/>
      <c r="R1239" s="3"/>
      <c r="S1239" s="3"/>
      <c r="T1239" s="3"/>
      <c r="U1239" s="3"/>
      <c r="V1239" s="3"/>
      <c r="W1239" s="3"/>
      <c r="X1239" s="3"/>
      <c r="Y1239" s="3"/>
      <c r="Z1239" s="3"/>
      <c r="AA1239" s="3"/>
    </row>
    <row r="1240">
      <c r="A1240" s="4"/>
      <c r="B1240" s="3"/>
      <c r="C1240" s="3"/>
      <c r="D1240" s="3"/>
      <c r="E1240" s="3"/>
      <c r="F1240" s="3"/>
      <c r="G1240" s="3"/>
      <c r="H1240" s="3"/>
      <c r="I1240" s="3"/>
      <c r="J1240" s="3"/>
      <c r="K1240" s="3"/>
      <c r="L1240" s="3"/>
      <c r="M1240" s="3"/>
      <c r="N1240" s="3"/>
      <c r="O1240" s="3"/>
      <c r="P1240" s="3"/>
      <c r="Q1240" s="3"/>
      <c r="R1240" s="3"/>
      <c r="S1240" s="3"/>
      <c r="T1240" s="3"/>
      <c r="U1240" s="3"/>
      <c r="V1240" s="3"/>
      <c r="W1240" s="3"/>
      <c r="X1240" s="3"/>
      <c r="Y1240" s="3"/>
      <c r="Z1240" s="3"/>
      <c r="AA1240" s="3"/>
    </row>
    <row r="1241">
      <c r="A1241" s="4"/>
      <c r="B1241" s="3"/>
      <c r="C1241" s="3"/>
      <c r="D1241" s="3"/>
      <c r="E1241" s="3"/>
      <c r="F1241" s="3"/>
      <c r="G1241" s="3"/>
      <c r="H1241" s="3"/>
      <c r="I1241" s="3"/>
      <c r="J1241" s="3"/>
      <c r="K1241" s="3"/>
      <c r="L1241" s="3"/>
      <c r="M1241" s="3"/>
      <c r="N1241" s="3"/>
      <c r="O1241" s="3"/>
      <c r="P1241" s="3"/>
      <c r="Q1241" s="3"/>
      <c r="R1241" s="3"/>
      <c r="S1241" s="3"/>
      <c r="T1241" s="3"/>
      <c r="U1241" s="3"/>
      <c r="V1241" s="3"/>
      <c r="W1241" s="3"/>
      <c r="X1241" s="3"/>
      <c r="Y1241" s="3"/>
      <c r="Z1241" s="3"/>
      <c r="AA1241" s="3"/>
    </row>
    <row r="1242">
      <c r="A1242" s="4"/>
      <c r="B1242" s="3"/>
      <c r="C1242" s="3"/>
      <c r="D1242" s="3"/>
      <c r="E1242" s="3"/>
      <c r="F1242" s="3"/>
      <c r="G1242" s="3"/>
      <c r="H1242" s="3"/>
      <c r="I1242" s="3"/>
      <c r="J1242" s="3"/>
      <c r="K1242" s="3"/>
      <c r="L1242" s="3"/>
      <c r="M1242" s="3"/>
      <c r="N1242" s="3"/>
      <c r="O1242" s="3"/>
      <c r="P1242" s="3"/>
      <c r="Q1242" s="3"/>
      <c r="R1242" s="3"/>
      <c r="S1242" s="3"/>
      <c r="T1242" s="3"/>
      <c r="U1242" s="3"/>
      <c r="V1242" s="3"/>
      <c r="W1242" s="3"/>
      <c r="X1242" s="3"/>
      <c r="Y1242" s="3"/>
      <c r="Z1242" s="3"/>
      <c r="AA1242" s="3"/>
    </row>
    <row r="1243">
      <c r="A1243" s="4"/>
      <c r="B1243" s="3"/>
      <c r="C1243" s="3"/>
      <c r="D1243" s="3"/>
      <c r="E1243" s="3"/>
      <c r="F1243" s="3"/>
      <c r="G1243" s="3"/>
      <c r="H1243" s="3"/>
      <c r="I1243" s="3"/>
      <c r="J1243" s="3"/>
      <c r="K1243" s="3"/>
      <c r="L1243" s="3"/>
      <c r="M1243" s="3"/>
      <c r="N1243" s="3"/>
      <c r="O1243" s="3"/>
      <c r="P1243" s="3"/>
      <c r="Q1243" s="3"/>
      <c r="R1243" s="3"/>
      <c r="S1243" s="3"/>
      <c r="T1243" s="3"/>
      <c r="U1243" s="3"/>
      <c r="V1243" s="3"/>
      <c r="W1243" s="3"/>
      <c r="X1243" s="3"/>
      <c r="Y1243" s="3"/>
      <c r="Z1243" s="3"/>
      <c r="AA1243" s="3"/>
    </row>
    <row r="1244">
      <c r="A1244" s="4"/>
      <c r="B1244" s="3"/>
      <c r="C1244" s="3"/>
      <c r="D1244" s="3"/>
      <c r="E1244" s="3"/>
      <c r="F1244" s="3"/>
      <c r="G1244" s="3"/>
      <c r="H1244" s="3"/>
      <c r="I1244" s="3"/>
      <c r="J1244" s="3"/>
      <c r="K1244" s="3"/>
      <c r="L1244" s="3"/>
      <c r="M1244" s="3"/>
      <c r="N1244" s="3"/>
      <c r="O1244" s="3"/>
      <c r="P1244" s="3"/>
      <c r="Q1244" s="3"/>
      <c r="R1244" s="3"/>
      <c r="S1244" s="3"/>
      <c r="T1244" s="3"/>
      <c r="U1244" s="3"/>
      <c r="V1244" s="3"/>
      <c r="W1244" s="3"/>
      <c r="X1244" s="3"/>
      <c r="Y1244" s="3"/>
      <c r="Z1244" s="3"/>
      <c r="AA1244" s="3"/>
    </row>
    <row r="1245">
      <c r="A1245" s="4"/>
      <c r="B1245" s="3"/>
      <c r="C1245" s="3"/>
      <c r="D1245" s="3"/>
      <c r="E1245" s="3"/>
      <c r="F1245" s="3"/>
      <c r="G1245" s="3"/>
      <c r="H1245" s="3"/>
      <c r="I1245" s="3"/>
      <c r="J1245" s="3"/>
      <c r="K1245" s="3"/>
      <c r="L1245" s="3"/>
      <c r="M1245" s="3"/>
      <c r="N1245" s="3"/>
      <c r="O1245" s="3"/>
      <c r="P1245" s="3"/>
      <c r="Q1245" s="3"/>
      <c r="R1245" s="3"/>
      <c r="S1245" s="3"/>
      <c r="T1245" s="3"/>
      <c r="U1245" s="3"/>
      <c r="V1245" s="3"/>
      <c r="W1245" s="3"/>
      <c r="X1245" s="3"/>
      <c r="Y1245" s="3"/>
      <c r="Z1245" s="3"/>
      <c r="AA1245" s="3"/>
    </row>
    <row r="1246">
      <c r="A1246" s="4"/>
      <c r="B1246" s="3"/>
      <c r="C1246" s="3"/>
      <c r="D1246" s="3"/>
      <c r="E1246" s="3"/>
      <c r="F1246" s="3"/>
      <c r="G1246" s="3"/>
      <c r="H1246" s="3"/>
      <c r="I1246" s="3"/>
      <c r="J1246" s="3"/>
      <c r="K1246" s="3"/>
      <c r="L1246" s="3"/>
      <c r="M1246" s="3"/>
      <c r="N1246" s="3"/>
      <c r="O1246" s="3"/>
      <c r="P1246" s="3"/>
      <c r="Q1246" s="3"/>
      <c r="R1246" s="3"/>
      <c r="S1246" s="3"/>
      <c r="T1246" s="3"/>
      <c r="U1246" s="3"/>
      <c r="V1246" s="3"/>
      <c r="W1246" s="3"/>
      <c r="X1246" s="3"/>
      <c r="Y1246" s="3"/>
      <c r="Z1246" s="3"/>
      <c r="AA1246" s="3"/>
    </row>
    <row r="1247">
      <c r="A1247" s="4"/>
      <c r="B1247" s="3"/>
      <c r="C1247" s="3"/>
      <c r="D1247" s="3"/>
      <c r="E1247" s="3"/>
      <c r="F1247" s="3"/>
      <c r="G1247" s="3"/>
      <c r="H1247" s="3"/>
      <c r="I1247" s="3"/>
      <c r="J1247" s="3"/>
      <c r="K1247" s="3"/>
      <c r="L1247" s="3"/>
      <c r="M1247" s="3"/>
      <c r="N1247" s="3"/>
      <c r="O1247" s="3"/>
      <c r="P1247" s="3"/>
      <c r="Q1247" s="3"/>
      <c r="R1247" s="3"/>
      <c r="S1247" s="3"/>
      <c r="T1247" s="3"/>
      <c r="U1247" s="3"/>
      <c r="V1247" s="3"/>
      <c r="W1247" s="3"/>
      <c r="X1247" s="3"/>
      <c r="Y1247" s="3"/>
      <c r="Z1247" s="3"/>
      <c r="AA1247" s="3"/>
    </row>
    <row r="1248">
      <c r="A1248" s="4"/>
      <c r="B1248" s="3"/>
      <c r="C1248" s="3"/>
      <c r="D1248" s="3"/>
      <c r="E1248" s="3"/>
      <c r="F1248" s="3"/>
      <c r="G1248" s="3"/>
      <c r="H1248" s="3"/>
      <c r="I1248" s="3"/>
      <c r="J1248" s="3"/>
      <c r="K1248" s="3"/>
      <c r="L1248" s="3"/>
      <c r="M1248" s="3"/>
      <c r="N1248" s="3"/>
      <c r="O1248" s="3"/>
      <c r="P1248" s="3"/>
      <c r="Q1248" s="3"/>
      <c r="R1248" s="3"/>
      <c r="S1248" s="3"/>
      <c r="T1248" s="3"/>
      <c r="U1248" s="3"/>
      <c r="V1248" s="3"/>
      <c r="W1248" s="3"/>
      <c r="X1248" s="3"/>
      <c r="Y1248" s="3"/>
      <c r="Z1248" s="3"/>
      <c r="AA1248" s="3"/>
    </row>
    <row r="1249">
      <c r="A1249" s="4"/>
      <c r="B1249" s="3"/>
      <c r="C1249" s="3"/>
      <c r="D1249" s="3"/>
      <c r="E1249" s="3"/>
      <c r="F1249" s="3"/>
      <c r="G1249" s="3"/>
      <c r="H1249" s="3"/>
      <c r="I1249" s="3"/>
      <c r="J1249" s="3"/>
      <c r="K1249" s="3"/>
      <c r="L1249" s="3"/>
      <c r="M1249" s="3"/>
      <c r="N1249" s="3"/>
      <c r="O1249" s="3"/>
      <c r="P1249" s="3"/>
      <c r="Q1249" s="3"/>
      <c r="R1249" s="3"/>
      <c r="S1249" s="3"/>
      <c r="T1249" s="3"/>
      <c r="U1249" s="3"/>
      <c r="V1249" s="3"/>
      <c r="W1249" s="3"/>
      <c r="X1249" s="3"/>
      <c r="Y1249" s="3"/>
      <c r="Z1249" s="3"/>
      <c r="AA1249" s="3"/>
    </row>
    <row r="1250">
      <c r="A1250" s="4"/>
      <c r="B1250" s="3"/>
      <c r="C1250" s="3"/>
      <c r="D1250" s="3"/>
      <c r="E1250" s="3"/>
      <c r="F1250" s="3"/>
      <c r="G1250" s="3"/>
      <c r="H1250" s="3"/>
      <c r="I1250" s="3"/>
      <c r="J1250" s="3"/>
      <c r="K1250" s="3"/>
      <c r="L1250" s="3"/>
      <c r="M1250" s="3"/>
      <c r="N1250" s="3"/>
      <c r="O1250" s="3"/>
      <c r="P1250" s="3"/>
      <c r="Q1250" s="3"/>
      <c r="R1250" s="3"/>
      <c r="S1250" s="3"/>
      <c r="T1250" s="3"/>
      <c r="U1250" s="3"/>
      <c r="V1250" s="3"/>
      <c r="W1250" s="3"/>
      <c r="X1250" s="3"/>
      <c r="Y1250" s="3"/>
      <c r="Z1250" s="3"/>
      <c r="AA1250" s="3"/>
    </row>
    <row r="1251">
      <c r="A1251" s="4"/>
      <c r="B1251" s="3"/>
      <c r="C1251" s="3"/>
      <c r="D1251" s="3"/>
      <c r="E1251" s="3"/>
      <c r="F1251" s="3"/>
      <c r="G1251" s="3"/>
      <c r="H1251" s="3"/>
      <c r="I1251" s="3"/>
      <c r="J1251" s="3"/>
      <c r="K1251" s="3"/>
      <c r="L1251" s="3"/>
      <c r="M1251" s="3"/>
      <c r="N1251" s="3"/>
      <c r="O1251" s="3"/>
      <c r="P1251" s="3"/>
      <c r="Q1251" s="3"/>
      <c r="R1251" s="3"/>
      <c r="S1251" s="3"/>
      <c r="T1251" s="3"/>
      <c r="U1251" s="3"/>
      <c r="V1251" s="3"/>
      <c r="W1251" s="3"/>
      <c r="X1251" s="3"/>
      <c r="Y1251" s="3"/>
      <c r="Z1251" s="3"/>
      <c r="AA1251" s="3"/>
    </row>
    <row r="1252">
      <c r="A1252" s="4"/>
      <c r="B1252" s="3"/>
      <c r="C1252" s="3"/>
      <c r="D1252" s="3"/>
      <c r="E1252" s="3"/>
      <c r="F1252" s="3"/>
      <c r="G1252" s="3"/>
      <c r="H1252" s="3"/>
      <c r="I1252" s="3"/>
      <c r="J1252" s="3"/>
      <c r="K1252" s="3"/>
      <c r="L1252" s="3"/>
      <c r="M1252" s="3"/>
      <c r="N1252" s="3"/>
      <c r="O1252" s="3"/>
      <c r="P1252" s="3"/>
      <c r="Q1252" s="3"/>
      <c r="R1252" s="3"/>
      <c r="S1252" s="3"/>
      <c r="T1252" s="3"/>
      <c r="U1252" s="3"/>
      <c r="V1252" s="3"/>
      <c r="W1252" s="3"/>
      <c r="X1252" s="3"/>
      <c r="Y1252" s="3"/>
      <c r="Z1252" s="3"/>
      <c r="AA1252" s="3"/>
    </row>
    <row r="1253">
      <c r="A1253" s="4"/>
      <c r="B1253" s="3"/>
      <c r="C1253" s="3"/>
      <c r="D1253" s="3"/>
      <c r="E1253" s="3"/>
      <c r="F1253" s="3"/>
      <c r="G1253" s="3"/>
      <c r="H1253" s="3"/>
      <c r="I1253" s="3"/>
      <c r="J1253" s="3"/>
      <c r="K1253" s="3"/>
      <c r="L1253" s="3"/>
      <c r="M1253" s="3"/>
      <c r="N1253" s="3"/>
      <c r="O1253" s="3"/>
      <c r="P1253" s="3"/>
      <c r="Q1253" s="3"/>
      <c r="R1253" s="3"/>
      <c r="S1253" s="3"/>
      <c r="T1253" s="3"/>
      <c r="U1253" s="3"/>
      <c r="V1253" s="3"/>
      <c r="W1253" s="3"/>
      <c r="X1253" s="3"/>
      <c r="Y1253" s="3"/>
      <c r="Z1253" s="3"/>
      <c r="AA1253" s="3"/>
    </row>
    <row r="1254">
      <c r="A1254" s="4"/>
      <c r="B1254" s="3"/>
      <c r="C1254" s="3"/>
      <c r="D1254" s="3"/>
      <c r="E1254" s="3"/>
      <c r="F1254" s="3"/>
      <c r="G1254" s="3"/>
      <c r="H1254" s="3"/>
      <c r="I1254" s="3"/>
      <c r="J1254" s="3"/>
      <c r="K1254" s="3"/>
      <c r="L1254" s="3"/>
      <c r="M1254" s="3"/>
      <c r="N1254" s="3"/>
      <c r="O1254" s="3"/>
      <c r="P1254" s="3"/>
      <c r="Q1254" s="3"/>
      <c r="R1254" s="3"/>
      <c r="S1254" s="3"/>
      <c r="T1254" s="3"/>
      <c r="U1254" s="3"/>
      <c r="V1254" s="3"/>
      <c r="W1254" s="3"/>
      <c r="X1254" s="3"/>
      <c r="Y1254" s="3"/>
      <c r="Z1254" s="3"/>
      <c r="AA1254" s="3"/>
    </row>
    <row r="1255">
      <c r="A1255" s="4"/>
      <c r="B1255" s="3"/>
      <c r="C1255" s="3"/>
      <c r="D1255" s="3"/>
      <c r="E1255" s="3"/>
      <c r="F1255" s="3"/>
      <c r="G1255" s="3"/>
      <c r="H1255" s="3"/>
      <c r="I1255" s="3"/>
      <c r="J1255" s="3"/>
      <c r="K1255" s="3"/>
      <c r="L1255" s="3"/>
      <c r="M1255" s="3"/>
      <c r="N1255" s="3"/>
      <c r="O1255" s="3"/>
      <c r="P1255" s="3"/>
      <c r="Q1255" s="3"/>
      <c r="R1255" s="3"/>
      <c r="S1255" s="3"/>
      <c r="T1255" s="3"/>
      <c r="U1255" s="3"/>
      <c r="V1255" s="3"/>
      <c r="W1255" s="3"/>
      <c r="X1255" s="3"/>
      <c r="Y1255" s="3"/>
      <c r="Z1255" s="3"/>
      <c r="AA1255" s="3"/>
    </row>
    <row r="1256">
      <c r="A1256" s="4"/>
      <c r="B1256" s="3"/>
      <c r="C1256" s="3"/>
      <c r="D1256" s="3"/>
      <c r="E1256" s="3"/>
      <c r="F1256" s="3"/>
      <c r="G1256" s="3"/>
      <c r="H1256" s="3"/>
      <c r="I1256" s="3"/>
      <c r="J1256" s="3"/>
      <c r="K1256" s="3"/>
      <c r="L1256" s="3"/>
      <c r="M1256" s="3"/>
      <c r="N1256" s="3"/>
      <c r="O1256" s="3"/>
      <c r="P1256" s="3"/>
      <c r="Q1256" s="3"/>
      <c r="R1256" s="3"/>
      <c r="S1256" s="3"/>
      <c r="T1256" s="3"/>
      <c r="U1256" s="3"/>
      <c r="V1256" s="3"/>
      <c r="W1256" s="3"/>
      <c r="X1256" s="3"/>
      <c r="Y1256" s="3"/>
      <c r="Z1256" s="3"/>
      <c r="AA1256" s="3"/>
    </row>
    <row r="1257">
      <c r="A1257" s="4"/>
      <c r="B1257" s="3"/>
      <c r="C1257" s="3"/>
      <c r="D1257" s="3"/>
      <c r="E1257" s="3"/>
      <c r="F1257" s="3"/>
      <c r="G1257" s="3"/>
      <c r="H1257" s="3"/>
      <c r="I1257" s="3"/>
      <c r="J1257" s="3"/>
      <c r="K1257" s="3"/>
      <c r="L1257" s="3"/>
      <c r="M1257" s="3"/>
      <c r="N1257" s="3"/>
      <c r="O1257" s="3"/>
      <c r="P1257" s="3"/>
      <c r="Q1257" s="3"/>
      <c r="R1257" s="3"/>
      <c r="S1257" s="3"/>
      <c r="T1257" s="3"/>
      <c r="U1257" s="3"/>
      <c r="V1257" s="3"/>
      <c r="W1257" s="3"/>
      <c r="X1257" s="3"/>
      <c r="Y1257" s="3"/>
      <c r="Z1257" s="3"/>
      <c r="AA1257" s="3"/>
    </row>
    <row r="1258">
      <c r="A1258" s="4"/>
      <c r="B1258" s="3"/>
      <c r="C1258" s="3"/>
      <c r="D1258" s="3"/>
      <c r="E1258" s="3"/>
      <c r="F1258" s="3"/>
      <c r="G1258" s="3"/>
      <c r="H1258" s="3"/>
      <c r="I1258" s="3"/>
      <c r="J1258" s="3"/>
      <c r="K1258" s="3"/>
      <c r="L1258" s="3"/>
      <c r="M1258" s="3"/>
      <c r="N1258" s="3"/>
      <c r="O1258" s="3"/>
      <c r="P1258" s="3"/>
      <c r="Q1258" s="3"/>
      <c r="R1258" s="3"/>
      <c r="S1258" s="3"/>
      <c r="T1258" s="3"/>
      <c r="U1258" s="3"/>
      <c r="V1258" s="3"/>
      <c r="W1258" s="3"/>
      <c r="X1258" s="3"/>
      <c r="Y1258" s="3"/>
      <c r="Z1258" s="3"/>
      <c r="AA1258" s="3"/>
    </row>
    <row r="1259">
      <c r="A1259" s="4"/>
      <c r="B1259" s="3"/>
      <c r="C1259" s="3"/>
      <c r="D1259" s="3"/>
      <c r="E1259" s="3"/>
      <c r="F1259" s="3"/>
      <c r="G1259" s="3"/>
      <c r="H1259" s="3"/>
      <c r="I1259" s="3"/>
      <c r="J1259" s="3"/>
      <c r="K1259" s="3"/>
      <c r="L1259" s="3"/>
      <c r="M1259" s="3"/>
      <c r="N1259" s="3"/>
      <c r="O1259" s="3"/>
      <c r="P1259" s="3"/>
      <c r="Q1259" s="3"/>
      <c r="R1259" s="3"/>
      <c r="S1259" s="3"/>
      <c r="T1259" s="3"/>
      <c r="U1259" s="3"/>
      <c r="V1259" s="3"/>
      <c r="W1259" s="3"/>
      <c r="X1259" s="3"/>
      <c r="Y1259" s="3"/>
      <c r="Z1259" s="3"/>
      <c r="AA1259" s="3"/>
    </row>
    <row r="1260">
      <c r="A1260" s="4"/>
      <c r="B1260" s="3"/>
      <c r="C1260" s="3"/>
      <c r="D1260" s="3"/>
      <c r="E1260" s="3"/>
      <c r="F1260" s="3"/>
      <c r="G1260" s="3"/>
      <c r="H1260" s="3"/>
      <c r="I1260" s="3"/>
      <c r="J1260" s="3"/>
      <c r="K1260" s="3"/>
      <c r="L1260" s="3"/>
      <c r="M1260" s="3"/>
      <c r="N1260" s="3"/>
      <c r="O1260" s="3"/>
      <c r="P1260" s="3"/>
      <c r="Q1260" s="3"/>
      <c r="R1260" s="3"/>
      <c r="S1260" s="3"/>
      <c r="T1260" s="3"/>
      <c r="U1260" s="3"/>
      <c r="V1260" s="3"/>
      <c r="W1260" s="3"/>
      <c r="X1260" s="3"/>
      <c r="Y1260" s="3"/>
      <c r="Z1260" s="3"/>
      <c r="AA1260" s="3"/>
    </row>
    <row r="1261">
      <c r="A1261" s="4"/>
      <c r="B1261" s="3"/>
      <c r="C1261" s="3"/>
      <c r="D1261" s="3"/>
      <c r="E1261" s="3"/>
      <c r="F1261" s="3"/>
      <c r="G1261" s="3"/>
      <c r="H1261" s="3"/>
      <c r="I1261" s="3"/>
      <c r="J1261" s="3"/>
      <c r="K1261" s="3"/>
      <c r="L1261" s="3"/>
      <c r="M1261" s="3"/>
      <c r="N1261" s="3"/>
      <c r="O1261" s="3"/>
      <c r="P1261" s="3"/>
      <c r="Q1261" s="3"/>
      <c r="R1261" s="3"/>
      <c r="S1261" s="3"/>
      <c r="T1261" s="3"/>
      <c r="U1261" s="3"/>
      <c r="V1261" s="3"/>
      <c r="W1261" s="3"/>
      <c r="X1261" s="3"/>
      <c r="Y1261" s="3"/>
      <c r="Z1261" s="3"/>
      <c r="AA1261" s="3"/>
    </row>
    <row r="1262">
      <c r="A1262" s="4"/>
      <c r="B1262" s="3"/>
      <c r="C1262" s="3"/>
      <c r="D1262" s="3"/>
      <c r="E1262" s="3"/>
      <c r="F1262" s="3"/>
      <c r="G1262" s="3"/>
      <c r="H1262" s="3"/>
      <c r="I1262" s="3"/>
      <c r="J1262" s="3"/>
      <c r="K1262" s="3"/>
      <c r="L1262" s="3"/>
      <c r="M1262" s="3"/>
      <c r="N1262" s="3"/>
      <c r="O1262" s="3"/>
      <c r="P1262" s="3"/>
      <c r="Q1262" s="3"/>
      <c r="R1262" s="3"/>
      <c r="S1262" s="3"/>
      <c r="T1262" s="3"/>
      <c r="U1262" s="3"/>
      <c r="V1262" s="3"/>
      <c r="W1262" s="3"/>
      <c r="X1262" s="3"/>
      <c r="Y1262" s="3"/>
      <c r="Z1262" s="3"/>
      <c r="AA1262" s="3"/>
    </row>
    <row r="1263">
      <c r="A1263" s="4"/>
      <c r="B1263" s="3"/>
      <c r="C1263" s="3"/>
      <c r="D1263" s="3"/>
      <c r="E1263" s="3"/>
      <c r="F1263" s="3"/>
      <c r="G1263" s="3"/>
      <c r="H1263" s="3"/>
      <c r="I1263" s="3"/>
      <c r="J1263" s="3"/>
      <c r="K1263" s="3"/>
      <c r="L1263" s="3"/>
      <c r="M1263" s="3"/>
      <c r="N1263" s="3"/>
      <c r="O1263" s="3"/>
      <c r="P1263" s="3"/>
      <c r="Q1263" s="3"/>
      <c r="R1263" s="3"/>
      <c r="S1263" s="3"/>
      <c r="T1263" s="3"/>
      <c r="U1263" s="3"/>
      <c r="V1263" s="3"/>
      <c r="W1263" s="3"/>
      <c r="X1263" s="3"/>
      <c r="Y1263" s="3"/>
      <c r="Z1263" s="3"/>
      <c r="AA1263" s="3"/>
    </row>
    <row r="1264">
      <c r="A1264" s="4"/>
      <c r="B1264" s="3"/>
      <c r="C1264" s="3"/>
      <c r="D1264" s="3"/>
      <c r="E1264" s="3"/>
      <c r="F1264" s="3"/>
      <c r="G1264" s="3"/>
      <c r="H1264" s="3"/>
      <c r="I1264" s="3"/>
      <c r="J1264" s="3"/>
      <c r="K1264" s="3"/>
      <c r="L1264" s="3"/>
      <c r="M1264" s="3"/>
      <c r="N1264" s="3"/>
      <c r="O1264" s="3"/>
      <c r="P1264" s="3"/>
      <c r="Q1264" s="3"/>
      <c r="R1264" s="3"/>
      <c r="S1264" s="3"/>
      <c r="T1264" s="3"/>
      <c r="U1264" s="3"/>
      <c r="V1264" s="3"/>
      <c r="W1264" s="3"/>
      <c r="X1264" s="3"/>
      <c r="Y1264" s="3"/>
      <c r="Z1264" s="3"/>
      <c r="AA1264" s="3"/>
    </row>
    <row r="1265">
      <c r="A1265" s="4"/>
      <c r="B1265" s="3"/>
      <c r="C1265" s="3"/>
      <c r="D1265" s="3"/>
      <c r="E1265" s="3"/>
      <c r="F1265" s="3"/>
      <c r="G1265" s="3"/>
      <c r="H1265" s="3"/>
      <c r="I1265" s="3"/>
      <c r="J1265" s="3"/>
      <c r="K1265" s="3"/>
      <c r="L1265" s="3"/>
      <c r="M1265" s="3"/>
      <c r="N1265" s="3"/>
      <c r="O1265" s="3"/>
      <c r="P1265" s="3"/>
      <c r="Q1265" s="3"/>
      <c r="R1265" s="3"/>
      <c r="S1265" s="3"/>
      <c r="T1265" s="3"/>
      <c r="U1265" s="3"/>
      <c r="V1265" s="3"/>
      <c r="W1265" s="3"/>
      <c r="X1265" s="3"/>
      <c r="Y1265" s="3"/>
      <c r="Z1265" s="3"/>
      <c r="AA1265" s="3"/>
    </row>
    <row r="1266">
      <c r="A1266" s="4"/>
      <c r="B1266" s="3"/>
      <c r="C1266" s="3"/>
      <c r="D1266" s="3"/>
      <c r="E1266" s="3"/>
      <c r="F1266" s="3"/>
      <c r="G1266" s="3"/>
      <c r="H1266" s="3"/>
      <c r="I1266" s="3"/>
      <c r="J1266" s="3"/>
      <c r="K1266" s="3"/>
      <c r="L1266" s="3"/>
      <c r="M1266" s="3"/>
      <c r="N1266" s="3"/>
      <c r="O1266" s="3"/>
      <c r="P1266" s="3"/>
      <c r="Q1266" s="3"/>
      <c r="R1266" s="3"/>
      <c r="S1266" s="3"/>
      <c r="T1266" s="3"/>
      <c r="U1266" s="3"/>
      <c r="V1266" s="3"/>
      <c r="W1266" s="3"/>
      <c r="X1266" s="3"/>
      <c r="Y1266" s="3"/>
      <c r="Z1266" s="3"/>
      <c r="AA1266" s="3"/>
    </row>
    <row r="1267">
      <c r="A1267" s="4"/>
      <c r="B1267" s="3"/>
      <c r="C1267" s="3"/>
      <c r="D1267" s="3"/>
      <c r="E1267" s="3"/>
      <c r="F1267" s="3"/>
      <c r="G1267" s="3"/>
      <c r="H1267" s="3"/>
      <c r="I1267" s="3"/>
      <c r="J1267" s="3"/>
      <c r="K1267" s="3"/>
      <c r="L1267" s="3"/>
      <c r="M1267" s="3"/>
      <c r="N1267" s="3"/>
      <c r="O1267" s="3"/>
      <c r="P1267" s="3"/>
      <c r="Q1267" s="3"/>
      <c r="R1267" s="3"/>
      <c r="S1267" s="3"/>
      <c r="T1267" s="3"/>
      <c r="U1267" s="3"/>
      <c r="V1267" s="3"/>
      <c r="W1267" s="3"/>
      <c r="X1267" s="3"/>
      <c r="Y1267" s="3"/>
      <c r="Z1267" s="3"/>
      <c r="AA1267" s="3"/>
    </row>
    <row r="1268">
      <c r="A1268" s="4"/>
      <c r="B1268" s="3"/>
      <c r="C1268" s="3"/>
      <c r="D1268" s="3"/>
      <c r="E1268" s="3"/>
      <c r="F1268" s="3"/>
      <c r="G1268" s="3"/>
      <c r="H1268" s="3"/>
      <c r="I1268" s="3"/>
      <c r="J1268" s="3"/>
      <c r="K1268" s="3"/>
      <c r="L1268" s="3"/>
      <c r="M1268" s="3"/>
      <c r="N1268" s="3"/>
      <c r="O1268" s="3"/>
      <c r="P1268" s="3"/>
      <c r="Q1268" s="3"/>
      <c r="R1268" s="3"/>
      <c r="S1268" s="3"/>
      <c r="T1268" s="3"/>
      <c r="U1268" s="3"/>
      <c r="V1268" s="3"/>
      <c r="W1268" s="3"/>
      <c r="X1268" s="3"/>
      <c r="Y1268" s="3"/>
      <c r="Z1268" s="3"/>
      <c r="AA1268" s="3"/>
    </row>
    <row r="1269">
      <c r="A1269" s="4"/>
      <c r="B1269" s="3"/>
      <c r="C1269" s="3"/>
      <c r="D1269" s="3"/>
      <c r="E1269" s="3"/>
      <c r="F1269" s="3"/>
      <c r="G1269" s="3"/>
      <c r="H1269" s="3"/>
      <c r="I1269" s="3"/>
      <c r="J1269" s="3"/>
      <c r="K1269" s="3"/>
      <c r="L1269" s="3"/>
      <c r="M1269" s="3"/>
      <c r="N1269" s="3"/>
      <c r="O1269" s="3"/>
      <c r="P1269" s="3"/>
      <c r="Q1269" s="3"/>
      <c r="R1269" s="3"/>
      <c r="S1269" s="3"/>
      <c r="T1269" s="3"/>
      <c r="U1269" s="3"/>
      <c r="V1269" s="3"/>
      <c r="W1269" s="3"/>
      <c r="X1269" s="3"/>
      <c r="Y1269" s="3"/>
      <c r="Z1269" s="3"/>
      <c r="AA1269" s="3"/>
    </row>
    <row r="1270">
      <c r="A1270" s="4"/>
      <c r="B1270" s="3"/>
      <c r="C1270" s="3"/>
      <c r="D1270" s="3"/>
      <c r="E1270" s="3"/>
      <c r="F1270" s="3"/>
      <c r="G1270" s="3"/>
      <c r="H1270" s="3"/>
      <c r="I1270" s="3"/>
      <c r="J1270" s="3"/>
      <c r="K1270" s="3"/>
      <c r="L1270" s="3"/>
      <c r="M1270" s="3"/>
      <c r="N1270" s="3"/>
      <c r="O1270" s="3"/>
      <c r="P1270" s="3"/>
      <c r="Q1270" s="3"/>
      <c r="R1270" s="3"/>
      <c r="S1270" s="3"/>
      <c r="T1270" s="3"/>
      <c r="U1270" s="3"/>
      <c r="V1270" s="3"/>
      <c r="W1270" s="3"/>
      <c r="X1270" s="3"/>
      <c r="Y1270" s="3"/>
      <c r="Z1270" s="3"/>
      <c r="AA1270" s="3"/>
    </row>
    <row r="1271">
      <c r="A1271" s="4"/>
      <c r="B1271" s="3"/>
      <c r="C1271" s="3"/>
      <c r="D1271" s="3"/>
      <c r="E1271" s="3"/>
      <c r="F1271" s="3"/>
      <c r="G1271" s="3"/>
      <c r="H1271" s="3"/>
      <c r="I1271" s="3"/>
      <c r="J1271" s="3"/>
      <c r="K1271" s="3"/>
      <c r="L1271" s="3"/>
      <c r="M1271" s="3"/>
      <c r="N1271" s="3"/>
      <c r="O1271" s="3"/>
      <c r="P1271" s="3"/>
      <c r="Q1271" s="3"/>
      <c r="R1271" s="3"/>
      <c r="S1271" s="3"/>
      <c r="T1271" s="3"/>
      <c r="U1271" s="3"/>
      <c r="V1271" s="3"/>
      <c r="W1271" s="3"/>
      <c r="X1271" s="3"/>
      <c r="Y1271" s="3"/>
      <c r="Z1271" s="3"/>
      <c r="AA1271" s="3"/>
    </row>
    <row r="1272">
      <c r="A1272" s="4"/>
      <c r="B1272" s="3"/>
      <c r="C1272" s="3"/>
      <c r="D1272" s="3"/>
      <c r="E1272" s="3"/>
      <c r="F1272" s="3"/>
      <c r="G1272" s="3"/>
      <c r="H1272" s="3"/>
      <c r="I1272" s="3"/>
      <c r="J1272" s="3"/>
      <c r="K1272" s="3"/>
      <c r="L1272" s="3"/>
      <c r="M1272" s="3"/>
      <c r="N1272" s="3"/>
      <c r="O1272" s="3"/>
      <c r="P1272" s="3"/>
      <c r="Q1272" s="3"/>
      <c r="R1272" s="3"/>
      <c r="S1272" s="3"/>
      <c r="T1272" s="3"/>
      <c r="U1272" s="3"/>
      <c r="V1272" s="3"/>
      <c r="W1272" s="3"/>
      <c r="X1272" s="3"/>
      <c r="Y1272" s="3"/>
      <c r="Z1272" s="3"/>
      <c r="AA1272" s="3"/>
    </row>
    <row r="1273">
      <c r="A1273" s="4"/>
      <c r="B1273" s="3"/>
      <c r="C1273" s="3"/>
      <c r="D1273" s="3"/>
      <c r="E1273" s="3"/>
      <c r="F1273" s="3"/>
      <c r="G1273" s="3"/>
      <c r="H1273" s="3"/>
      <c r="I1273" s="3"/>
      <c r="J1273" s="3"/>
      <c r="K1273" s="3"/>
      <c r="L1273" s="3"/>
      <c r="M1273" s="3"/>
      <c r="N1273" s="3"/>
      <c r="O1273" s="3"/>
      <c r="P1273" s="3"/>
      <c r="Q1273" s="3"/>
      <c r="R1273" s="3"/>
      <c r="S1273" s="3"/>
      <c r="T1273" s="3"/>
      <c r="U1273" s="3"/>
      <c r="V1273" s="3"/>
      <c r="W1273" s="3"/>
      <c r="X1273" s="3"/>
      <c r="Y1273" s="3"/>
      <c r="Z1273" s="3"/>
      <c r="AA1273" s="3"/>
    </row>
    <row r="1274">
      <c r="A1274" s="4"/>
      <c r="B1274" s="3"/>
      <c r="C1274" s="3"/>
      <c r="D1274" s="3"/>
      <c r="E1274" s="3"/>
      <c r="F1274" s="3"/>
      <c r="G1274" s="3"/>
      <c r="H1274" s="3"/>
      <c r="I1274" s="3"/>
      <c r="J1274" s="3"/>
      <c r="K1274" s="3"/>
      <c r="L1274" s="3"/>
      <c r="M1274" s="3"/>
      <c r="N1274" s="3"/>
      <c r="O1274" s="3"/>
      <c r="P1274" s="3"/>
      <c r="Q1274" s="3"/>
      <c r="R1274" s="3"/>
      <c r="S1274" s="3"/>
      <c r="T1274" s="3"/>
      <c r="U1274" s="3"/>
      <c r="V1274" s="3"/>
      <c r="W1274" s="3"/>
      <c r="X1274" s="3"/>
      <c r="Y1274" s="3"/>
      <c r="Z1274" s="3"/>
      <c r="AA1274" s="3"/>
    </row>
    <row r="1275">
      <c r="A1275" s="4"/>
      <c r="B1275" s="3"/>
      <c r="C1275" s="3"/>
      <c r="D1275" s="3"/>
      <c r="E1275" s="3"/>
      <c r="F1275" s="3"/>
      <c r="G1275" s="3"/>
      <c r="H1275" s="3"/>
      <c r="I1275" s="3"/>
      <c r="J1275" s="3"/>
      <c r="K1275" s="3"/>
      <c r="L1275" s="3"/>
      <c r="M1275" s="3"/>
      <c r="N1275" s="3"/>
      <c r="O1275" s="3"/>
      <c r="P1275" s="3"/>
      <c r="Q1275" s="3"/>
      <c r="R1275" s="3"/>
      <c r="S1275" s="3"/>
      <c r="T1275" s="3"/>
      <c r="U1275" s="3"/>
      <c r="V1275" s="3"/>
      <c r="W1275" s="3"/>
      <c r="X1275" s="3"/>
      <c r="Y1275" s="3"/>
      <c r="Z1275" s="3"/>
      <c r="AA1275" s="3"/>
    </row>
    <row r="1276">
      <c r="A1276" s="4"/>
      <c r="B1276" s="3"/>
      <c r="C1276" s="3"/>
      <c r="D1276" s="3"/>
      <c r="E1276" s="3"/>
      <c r="F1276" s="3"/>
      <c r="G1276" s="3"/>
      <c r="H1276" s="3"/>
      <c r="I1276" s="3"/>
      <c r="J1276" s="3"/>
      <c r="K1276" s="3"/>
      <c r="L1276" s="3"/>
      <c r="M1276" s="3"/>
      <c r="N1276" s="3"/>
      <c r="O1276" s="3"/>
      <c r="P1276" s="3"/>
      <c r="Q1276" s="3"/>
      <c r="R1276" s="3"/>
      <c r="S1276" s="3"/>
      <c r="T1276" s="3"/>
      <c r="U1276" s="3"/>
      <c r="V1276" s="3"/>
      <c r="W1276" s="3"/>
      <c r="X1276" s="3"/>
      <c r="Y1276" s="3"/>
      <c r="Z1276" s="3"/>
      <c r="AA1276" s="3"/>
    </row>
    <row r="1277">
      <c r="A1277" s="4"/>
      <c r="B1277" s="3"/>
      <c r="C1277" s="3"/>
      <c r="D1277" s="3"/>
      <c r="E1277" s="3"/>
      <c r="F1277" s="3"/>
      <c r="G1277" s="3"/>
      <c r="H1277" s="3"/>
      <c r="I1277" s="3"/>
      <c r="J1277" s="3"/>
      <c r="K1277" s="3"/>
      <c r="L1277" s="3"/>
      <c r="M1277" s="3"/>
      <c r="N1277" s="3"/>
      <c r="O1277" s="3"/>
      <c r="P1277" s="3"/>
      <c r="Q1277" s="3"/>
      <c r="R1277" s="3"/>
      <c r="S1277" s="3"/>
      <c r="T1277" s="3"/>
      <c r="U1277" s="3"/>
      <c r="V1277" s="3"/>
      <c r="W1277" s="3"/>
      <c r="X1277" s="3"/>
      <c r="Y1277" s="3"/>
      <c r="Z1277" s="3"/>
      <c r="AA1277" s="3"/>
    </row>
    <row r="1278">
      <c r="A1278" s="4"/>
      <c r="B1278" s="3"/>
      <c r="C1278" s="3"/>
      <c r="D1278" s="3"/>
      <c r="E1278" s="3"/>
      <c r="F1278" s="3"/>
      <c r="G1278" s="3"/>
      <c r="H1278" s="3"/>
      <c r="I1278" s="3"/>
      <c r="J1278" s="3"/>
      <c r="K1278" s="3"/>
      <c r="L1278" s="3"/>
      <c r="M1278" s="3"/>
      <c r="N1278" s="3"/>
      <c r="O1278" s="3"/>
      <c r="P1278" s="3"/>
      <c r="Q1278" s="3"/>
      <c r="R1278" s="3"/>
      <c r="S1278" s="3"/>
      <c r="T1278" s="3"/>
      <c r="U1278" s="3"/>
      <c r="V1278" s="3"/>
      <c r="W1278" s="3"/>
      <c r="X1278" s="3"/>
      <c r="Y1278" s="3"/>
      <c r="Z1278" s="3"/>
      <c r="AA1278" s="3"/>
    </row>
    <row r="1279">
      <c r="A1279" s="4"/>
      <c r="B1279" s="3"/>
      <c r="C1279" s="3"/>
      <c r="D1279" s="3"/>
      <c r="E1279" s="3"/>
      <c r="F1279" s="3"/>
      <c r="G1279" s="3"/>
      <c r="H1279" s="3"/>
      <c r="I1279" s="3"/>
      <c r="J1279" s="3"/>
      <c r="K1279" s="3"/>
      <c r="L1279" s="3"/>
      <c r="M1279" s="3"/>
      <c r="N1279" s="3"/>
      <c r="O1279" s="3"/>
      <c r="P1279" s="3"/>
      <c r="Q1279" s="3"/>
      <c r="R1279" s="3"/>
      <c r="S1279" s="3"/>
      <c r="T1279" s="3"/>
      <c r="U1279" s="3"/>
      <c r="V1279" s="3"/>
      <c r="W1279" s="3"/>
      <c r="X1279" s="3"/>
      <c r="Y1279" s="3"/>
      <c r="Z1279" s="3"/>
      <c r="AA1279" s="3"/>
    </row>
    <row r="1280">
      <c r="A1280" s="4"/>
      <c r="B1280" s="3"/>
      <c r="C1280" s="3"/>
      <c r="D1280" s="3"/>
      <c r="E1280" s="3"/>
      <c r="F1280" s="3"/>
      <c r="G1280" s="3"/>
      <c r="H1280" s="3"/>
      <c r="I1280" s="3"/>
      <c r="J1280" s="3"/>
      <c r="K1280" s="3"/>
      <c r="L1280" s="3"/>
      <c r="M1280" s="3"/>
      <c r="N1280" s="3"/>
      <c r="O1280" s="3"/>
      <c r="P1280" s="3"/>
      <c r="Q1280" s="3"/>
      <c r="R1280" s="3"/>
      <c r="S1280" s="3"/>
      <c r="T1280" s="3"/>
      <c r="U1280" s="3"/>
      <c r="V1280" s="3"/>
      <c r="W1280" s="3"/>
      <c r="X1280" s="3"/>
      <c r="Y1280" s="3"/>
      <c r="Z1280" s="3"/>
      <c r="AA1280" s="3"/>
    </row>
    <row r="1281">
      <c r="A1281" s="4"/>
      <c r="B1281" s="3"/>
      <c r="C1281" s="3"/>
      <c r="D1281" s="3"/>
      <c r="E1281" s="3"/>
      <c r="F1281" s="3"/>
      <c r="G1281" s="3"/>
      <c r="H1281" s="3"/>
      <c r="I1281" s="3"/>
      <c r="J1281" s="3"/>
      <c r="K1281" s="3"/>
      <c r="L1281" s="3"/>
      <c r="M1281" s="3"/>
      <c r="N1281" s="3"/>
      <c r="O1281" s="3"/>
      <c r="P1281" s="3"/>
      <c r="Q1281" s="3"/>
      <c r="R1281" s="3"/>
      <c r="S1281" s="3"/>
      <c r="T1281" s="3"/>
      <c r="U1281" s="3"/>
      <c r="V1281" s="3"/>
      <c r="W1281" s="3"/>
      <c r="X1281" s="3"/>
      <c r="Y1281" s="3"/>
      <c r="Z1281" s="3"/>
      <c r="AA1281" s="3"/>
    </row>
    <row r="1282">
      <c r="A1282" s="4"/>
      <c r="B1282" s="3"/>
      <c r="C1282" s="3"/>
      <c r="D1282" s="3"/>
      <c r="E1282" s="3"/>
      <c r="F1282" s="3"/>
      <c r="G1282" s="3"/>
      <c r="H1282" s="3"/>
      <c r="I1282" s="3"/>
      <c r="J1282" s="3"/>
      <c r="K1282" s="3"/>
      <c r="L1282" s="3"/>
      <c r="M1282" s="3"/>
      <c r="N1282" s="3"/>
      <c r="O1282" s="3"/>
      <c r="P1282" s="3"/>
      <c r="Q1282" s="3"/>
      <c r="R1282" s="3"/>
      <c r="S1282" s="3"/>
      <c r="T1282" s="3"/>
      <c r="U1282" s="3"/>
      <c r="V1282" s="3"/>
      <c r="W1282" s="3"/>
      <c r="X1282" s="3"/>
      <c r="Y1282" s="3"/>
      <c r="Z1282" s="3"/>
      <c r="AA1282" s="3"/>
    </row>
    <row r="1283">
      <c r="A1283" s="4"/>
      <c r="B1283" s="3"/>
      <c r="C1283" s="3"/>
      <c r="D1283" s="3"/>
      <c r="E1283" s="3"/>
      <c r="F1283" s="3"/>
      <c r="G1283" s="3"/>
      <c r="H1283" s="3"/>
      <c r="I1283" s="3"/>
      <c r="J1283" s="3"/>
      <c r="K1283" s="3"/>
      <c r="L1283" s="3"/>
      <c r="M1283" s="3"/>
      <c r="N1283" s="3"/>
      <c r="O1283" s="3"/>
      <c r="P1283" s="3"/>
      <c r="Q1283" s="3"/>
      <c r="R1283" s="3"/>
      <c r="S1283" s="3"/>
      <c r="T1283" s="3"/>
      <c r="U1283" s="3"/>
      <c r="V1283" s="3"/>
      <c r="W1283" s="3"/>
      <c r="X1283" s="3"/>
      <c r="Y1283" s="3"/>
      <c r="Z1283" s="3"/>
      <c r="AA1283" s="3"/>
    </row>
    <row r="1284">
      <c r="A1284" s="4"/>
      <c r="B1284" s="3"/>
      <c r="C1284" s="3"/>
      <c r="D1284" s="3"/>
      <c r="E1284" s="3"/>
      <c r="F1284" s="3"/>
      <c r="G1284" s="3"/>
      <c r="H1284" s="3"/>
      <c r="I1284" s="3"/>
      <c r="J1284" s="3"/>
      <c r="K1284" s="3"/>
      <c r="L1284" s="3"/>
      <c r="M1284" s="3"/>
      <c r="N1284" s="3"/>
      <c r="O1284" s="3"/>
      <c r="P1284" s="3"/>
      <c r="Q1284" s="3"/>
      <c r="R1284" s="3"/>
      <c r="S1284" s="3"/>
      <c r="T1284" s="3"/>
      <c r="U1284" s="3"/>
      <c r="V1284" s="3"/>
      <c r="W1284" s="3"/>
      <c r="X1284" s="3"/>
      <c r="Y1284" s="3"/>
      <c r="Z1284" s="3"/>
      <c r="AA1284" s="3"/>
    </row>
    <row r="1285">
      <c r="A1285" s="4"/>
      <c r="B1285" s="3"/>
      <c r="C1285" s="3"/>
      <c r="D1285" s="3"/>
      <c r="E1285" s="3"/>
      <c r="F1285" s="3"/>
      <c r="G1285" s="3"/>
      <c r="H1285" s="3"/>
      <c r="I1285" s="3"/>
      <c r="J1285" s="3"/>
      <c r="K1285" s="3"/>
      <c r="L1285" s="3"/>
      <c r="M1285" s="3"/>
      <c r="N1285" s="3"/>
      <c r="O1285" s="3"/>
      <c r="P1285" s="3"/>
      <c r="Q1285" s="3"/>
      <c r="R1285" s="3"/>
      <c r="S1285" s="3"/>
      <c r="T1285" s="3"/>
      <c r="U1285" s="3"/>
      <c r="V1285" s="3"/>
      <c r="W1285" s="3"/>
      <c r="X1285" s="3"/>
      <c r="Y1285" s="3"/>
      <c r="Z1285" s="3"/>
      <c r="AA1285" s="3"/>
    </row>
    <row r="1286">
      <c r="A1286" s="4"/>
      <c r="B1286" s="3"/>
      <c r="C1286" s="3"/>
      <c r="D1286" s="3"/>
      <c r="E1286" s="3"/>
      <c r="F1286" s="3"/>
      <c r="G1286" s="3"/>
      <c r="H1286" s="3"/>
      <c r="I1286" s="3"/>
      <c r="J1286" s="3"/>
      <c r="K1286" s="3"/>
      <c r="L1286" s="3"/>
      <c r="M1286" s="3"/>
      <c r="N1286" s="3"/>
      <c r="O1286" s="3"/>
      <c r="P1286" s="3"/>
      <c r="Q1286" s="3"/>
      <c r="R1286" s="3"/>
      <c r="S1286" s="3"/>
      <c r="T1286" s="3"/>
      <c r="U1286" s="3"/>
      <c r="V1286" s="3"/>
      <c r="W1286" s="3"/>
      <c r="X1286" s="3"/>
      <c r="Y1286" s="3"/>
      <c r="Z1286" s="3"/>
      <c r="AA1286" s="3"/>
    </row>
    <row r="1287">
      <c r="A1287" s="4"/>
      <c r="B1287" s="3"/>
      <c r="C1287" s="3"/>
      <c r="D1287" s="3"/>
      <c r="E1287" s="3"/>
      <c r="F1287" s="3"/>
      <c r="G1287" s="3"/>
      <c r="H1287" s="3"/>
      <c r="I1287" s="3"/>
      <c r="J1287" s="3"/>
      <c r="K1287" s="3"/>
      <c r="L1287" s="3"/>
      <c r="M1287" s="3"/>
      <c r="N1287" s="3"/>
      <c r="O1287" s="3"/>
      <c r="P1287" s="3"/>
      <c r="Q1287" s="3"/>
      <c r="R1287" s="3"/>
      <c r="S1287" s="3"/>
      <c r="T1287" s="3"/>
      <c r="U1287" s="3"/>
      <c r="V1287" s="3"/>
      <c r="W1287" s="3"/>
      <c r="X1287" s="3"/>
      <c r="Y1287" s="3"/>
      <c r="Z1287" s="3"/>
      <c r="AA1287" s="3"/>
    </row>
    <row r="1288">
      <c r="A1288" s="4"/>
      <c r="B1288" s="3"/>
      <c r="C1288" s="3"/>
      <c r="D1288" s="3"/>
      <c r="E1288" s="3"/>
      <c r="F1288" s="3"/>
      <c r="G1288" s="3"/>
      <c r="H1288" s="3"/>
      <c r="I1288" s="3"/>
      <c r="J1288" s="3"/>
      <c r="K1288" s="3"/>
      <c r="L1288" s="3"/>
      <c r="M1288" s="3"/>
      <c r="N1288" s="3"/>
      <c r="O1288" s="3"/>
      <c r="P1288" s="3"/>
      <c r="Q1288" s="3"/>
      <c r="R1288" s="3"/>
      <c r="S1288" s="3"/>
      <c r="T1288" s="3"/>
      <c r="U1288" s="3"/>
      <c r="V1288" s="3"/>
      <c r="W1288" s="3"/>
      <c r="X1288" s="3"/>
      <c r="Y1288" s="3"/>
      <c r="Z1288" s="3"/>
      <c r="AA1288" s="3"/>
    </row>
    <row r="1289">
      <c r="A1289" s="4"/>
      <c r="B1289" s="3"/>
      <c r="C1289" s="3"/>
      <c r="D1289" s="3"/>
      <c r="E1289" s="3"/>
      <c r="F1289" s="3"/>
      <c r="G1289" s="3"/>
      <c r="H1289" s="3"/>
      <c r="I1289" s="3"/>
      <c r="J1289" s="3"/>
      <c r="K1289" s="3"/>
      <c r="L1289" s="3"/>
      <c r="M1289" s="3"/>
      <c r="N1289" s="3"/>
      <c r="O1289" s="3"/>
      <c r="P1289" s="3"/>
      <c r="Q1289" s="3"/>
      <c r="R1289" s="3"/>
      <c r="S1289" s="3"/>
      <c r="T1289" s="3"/>
      <c r="U1289" s="3"/>
      <c r="V1289" s="3"/>
      <c r="W1289" s="3"/>
      <c r="X1289" s="3"/>
      <c r="Y1289" s="3"/>
      <c r="Z1289" s="3"/>
      <c r="AA1289" s="3"/>
    </row>
    <row r="1290">
      <c r="A1290" s="4"/>
      <c r="B1290" s="3"/>
      <c r="C1290" s="3"/>
      <c r="D1290" s="3"/>
      <c r="E1290" s="3"/>
      <c r="F1290" s="3"/>
      <c r="G1290" s="3"/>
      <c r="H1290" s="3"/>
      <c r="I1290" s="3"/>
      <c r="J1290" s="3"/>
      <c r="K1290" s="3"/>
      <c r="L1290" s="3"/>
      <c r="M1290" s="3"/>
      <c r="N1290" s="3"/>
      <c r="O1290" s="3"/>
      <c r="P1290" s="3"/>
      <c r="Q1290" s="3"/>
      <c r="R1290" s="3"/>
      <c r="S1290" s="3"/>
      <c r="T1290" s="3"/>
      <c r="U1290" s="3"/>
      <c r="V1290" s="3"/>
      <c r="W1290" s="3"/>
      <c r="X1290" s="3"/>
      <c r="Y1290" s="3"/>
      <c r="Z1290" s="3"/>
      <c r="AA1290" s="3"/>
    </row>
    <row r="1291">
      <c r="A1291" s="4"/>
      <c r="B1291" s="3"/>
      <c r="C1291" s="3"/>
      <c r="D1291" s="3"/>
      <c r="E1291" s="3"/>
      <c r="F1291" s="3"/>
      <c r="G1291" s="3"/>
      <c r="H1291" s="3"/>
      <c r="I1291" s="3"/>
      <c r="J1291" s="3"/>
      <c r="K1291" s="3"/>
      <c r="L1291" s="3"/>
      <c r="M1291" s="3"/>
      <c r="N1291" s="3"/>
      <c r="O1291" s="3"/>
      <c r="P1291" s="3"/>
      <c r="Q1291" s="3"/>
      <c r="R1291" s="3"/>
      <c r="S1291" s="3"/>
      <c r="T1291" s="3"/>
      <c r="U1291" s="3"/>
      <c r="V1291" s="3"/>
      <c r="W1291" s="3"/>
      <c r="X1291" s="3"/>
      <c r="Y1291" s="3"/>
      <c r="Z1291" s="3"/>
      <c r="AA1291" s="3"/>
    </row>
    <row r="1292">
      <c r="A1292" s="4"/>
      <c r="B1292" s="3"/>
      <c r="C1292" s="3"/>
      <c r="D1292" s="3"/>
      <c r="E1292" s="3"/>
      <c r="F1292" s="3"/>
      <c r="G1292" s="3"/>
      <c r="H1292" s="3"/>
      <c r="I1292" s="3"/>
      <c r="J1292" s="3"/>
      <c r="K1292" s="3"/>
      <c r="L1292" s="3"/>
      <c r="M1292" s="3"/>
      <c r="N1292" s="3"/>
      <c r="O1292" s="3"/>
      <c r="P1292" s="3"/>
      <c r="Q1292" s="3"/>
      <c r="R1292" s="3"/>
      <c r="S1292" s="3"/>
      <c r="T1292" s="3"/>
      <c r="U1292" s="3"/>
      <c r="V1292" s="3"/>
      <c r="W1292" s="3"/>
      <c r="X1292" s="3"/>
      <c r="Y1292" s="3"/>
      <c r="Z1292" s="3"/>
      <c r="AA1292" s="3"/>
    </row>
    <row r="1293">
      <c r="A1293" s="4"/>
      <c r="B1293" s="3"/>
      <c r="C1293" s="3"/>
      <c r="D1293" s="3"/>
      <c r="E1293" s="3"/>
      <c r="F1293" s="3"/>
      <c r="G1293" s="3"/>
      <c r="H1293" s="3"/>
      <c r="I1293" s="3"/>
      <c r="J1293" s="3"/>
      <c r="K1293" s="3"/>
      <c r="L1293" s="3"/>
      <c r="M1293" s="3"/>
      <c r="N1293" s="3"/>
      <c r="O1293" s="3"/>
      <c r="P1293" s="3"/>
      <c r="Q1293" s="3"/>
      <c r="R1293" s="3"/>
      <c r="S1293" s="3"/>
      <c r="T1293" s="3"/>
      <c r="U1293" s="3"/>
      <c r="V1293" s="3"/>
      <c r="W1293" s="3"/>
      <c r="X1293" s="3"/>
      <c r="Y1293" s="3"/>
      <c r="Z1293" s="3"/>
      <c r="AA1293" s="3"/>
    </row>
    <row r="1294">
      <c r="A1294" s="4"/>
      <c r="B1294" s="3"/>
      <c r="C1294" s="3"/>
      <c r="D1294" s="3"/>
      <c r="E1294" s="3"/>
      <c r="F1294" s="3"/>
      <c r="G1294" s="3"/>
      <c r="H1294" s="3"/>
      <c r="I1294" s="3"/>
      <c r="J1294" s="3"/>
      <c r="K1294" s="3"/>
      <c r="L1294" s="3"/>
      <c r="M1294" s="3"/>
      <c r="N1294" s="3"/>
      <c r="O1294" s="3"/>
      <c r="P1294" s="3"/>
      <c r="Q1294" s="3"/>
      <c r="R1294" s="3"/>
      <c r="S1294" s="3"/>
      <c r="T1294" s="3"/>
      <c r="U1294" s="3"/>
      <c r="V1294" s="3"/>
      <c r="W1294" s="3"/>
      <c r="X1294" s="3"/>
      <c r="Y1294" s="3"/>
      <c r="Z1294" s="3"/>
      <c r="AA1294" s="3"/>
    </row>
    <row r="1295">
      <c r="A1295" s="4"/>
      <c r="B1295" s="3"/>
      <c r="C1295" s="3"/>
      <c r="D1295" s="3"/>
      <c r="E1295" s="3"/>
      <c r="F1295" s="3"/>
      <c r="G1295" s="3"/>
      <c r="H1295" s="3"/>
      <c r="I1295" s="3"/>
      <c r="J1295" s="3"/>
      <c r="K1295" s="3"/>
      <c r="L1295" s="3"/>
      <c r="M1295" s="3"/>
      <c r="N1295" s="3"/>
      <c r="O1295" s="3"/>
      <c r="P1295" s="3"/>
      <c r="Q1295" s="3"/>
      <c r="R1295" s="3"/>
      <c r="S1295" s="3"/>
      <c r="T1295" s="3"/>
      <c r="U1295" s="3"/>
      <c r="V1295" s="3"/>
      <c r="W1295" s="3"/>
      <c r="X1295" s="3"/>
      <c r="Y1295" s="3"/>
      <c r="Z1295" s="3"/>
      <c r="AA1295" s="3"/>
    </row>
    <row r="1296">
      <c r="A1296" s="4"/>
      <c r="B1296" s="3"/>
      <c r="C1296" s="3"/>
      <c r="D1296" s="3"/>
      <c r="E1296" s="3"/>
      <c r="F1296" s="3"/>
      <c r="G1296" s="3"/>
      <c r="H1296" s="3"/>
      <c r="I1296" s="3"/>
      <c r="J1296" s="3"/>
      <c r="K1296" s="3"/>
      <c r="L1296" s="3"/>
      <c r="M1296" s="3"/>
      <c r="N1296" s="3"/>
      <c r="O1296" s="3"/>
      <c r="P1296" s="3"/>
      <c r="Q1296" s="3"/>
      <c r="R1296" s="3"/>
      <c r="S1296" s="3"/>
      <c r="T1296" s="3"/>
      <c r="U1296" s="3"/>
      <c r="V1296" s="3"/>
      <c r="W1296" s="3"/>
      <c r="X1296" s="3"/>
      <c r="Y1296" s="3"/>
      <c r="Z1296" s="3"/>
      <c r="AA1296" s="3"/>
    </row>
    <row r="1297">
      <c r="A1297" s="4"/>
      <c r="B1297" s="3"/>
      <c r="C1297" s="3"/>
      <c r="D1297" s="3"/>
      <c r="E1297" s="3"/>
      <c r="F1297" s="3"/>
      <c r="G1297" s="3"/>
      <c r="H1297" s="3"/>
      <c r="I1297" s="3"/>
      <c r="J1297" s="3"/>
      <c r="K1297" s="3"/>
      <c r="L1297" s="3"/>
      <c r="M1297" s="3"/>
      <c r="N1297" s="3"/>
      <c r="O1297" s="3"/>
      <c r="P1297" s="3"/>
      <c r="Q1297" s="3"/>
      <c r="R1297" s="3"/>
      <c r="S1297" s="3"/>
      <c r="T1297" s="3"/>
      <c r="U1297" s="3"/>
      <c r="V1297" s="3"/>
      <c r="W1297" s="3"/>
      <c r="X1297" s="3"/>
      <c r="Y1297" s="3"/>
      <c r="Z1297" s="3"/>
      <c r="AA1297" s="3"/>
    </row>
    <row r="1298">
      <c r="A1298" s="4"/>
      <c r="B1298" s="3"/>
      <c r="C1298" s="3"/>
      <c r="D1298" s="3"/>
      <c r="E1298" s="3"/>
      <c r="F1298" s="3"/>
      <c r="G1298" s="3"/>
      <c r="H1298" s="3"/>
      <c r="I1298" s="3"/>
      <c r="J1298" s="3"/>
      <c r="K1298" s="3"/>
      <c r="L1298" s="3"/>
      <c r="M1298" s="3"/>
      <c r="N1298" s="3"/>
      <c r="O1298" s="3"/>
      <c r="P1298" s="3"/>
      <c r="Q1298" s="3"/>
      <c r="R1298" s="3"/>
      <c r="S1298" s="3"/>
      <c r="T1298" s="3"/>
      <c r="U1298" s="3"/>
      <c r="V1298" s="3"/>
      <c r="W1298" s="3"/>
      <c r="X1298" s="3"/>
      <c r="Y1298" s="3"/>
      <c r="Z1298" s="3"/>
      <c r="AA1298" s="3"/>
    </row>
    <row r="1299">
      <c r="A1299" s="4"/>
      <c r="B1299" s="3"/>
      <c r="C1299" s="3"/>
      <c r="D1299" s="3"/>
      <c r="E1299" s="3"/>
      <c r="F1299" s="3"/>
      <c r="G1299" s="3"/>
      <c r="H1299" s="3"/>
      <c r="I1299" s="3"/>
      <c r="J1299" s="3"/>
      <c r="K1299" s="3"/>
      <c r="L1299" s="3"/>
      <c r="M1299" s="3"/>
      <c r="N1299" s="3"/>
      <c r="O1299" s="3"/>
      <c r="P1299" s="3"/>
      <c r="Q1299" s="3"/>
      <c r="R1299" s="3"/>
      <c r="S1299" s="3"/>
      <c r="T1299" s="3"/>
      <c r="U1299" s="3"/>
      <c r="V1299" s="3"/>
      <c r="W1299" s="3"/>
      <c r="X1299" s="3"/>
      <c r="Y1299" s="3"/>
      <c r="Z1299" s="3"/>
      <c r="AA1299" s="3"/>
    </row>
    <row r="1300">
      <c r="A1300" s="4"/>
      <c r="B1300" s="3"/>
      <c r="C1300" s="3"/>
      <c r="D1300" s="3"/>
      <c r="E1300" s="3"/>
      <c r="F1300" s="3"/>
      <c r="G1300" s="3"/>
      <c r="H1300" s="3"/>
      <c r="I1300" s="3"/>
      <c r="J1300" s="3"/>
      <c r="K1300" s="3"/>
      <c r="L1300" s="3"/>
      <c r="M1300" s="3"/>
      <c r="N1300" s="3"/>
      <c r="O1300" s="3"/>
      <c r="P1300" s="3"/>
      <c r="Q1300" s="3"/>
      <c r="R1300" s="3"/>
      <c r="S1300" s="3"/>
      <c r="T1300" s="3"/>
      <c r="U1300" s="3"/>
      <c r="V1300" s="3"/>
      <c r="W1300" s="3"/>
      <c r="X1300" s="3"/>
      <c r="Y1300" s="3"/>
      <c r="Z1300" s="3"/>
      <c r="AA1300" s="3"/>
    </row>
    <row r="1301">
      <c r="A1301" s="4"/>
      <c r="B1301" s="3"/>
      <c r="C1301" s="3"/>
      <c r="D1301" s="3"/>
      <c r="E1301" s="3"/>
      <c r="F1301" s="3"/>
      <c r="G1301" s="3"/>
      <c r="H1301" s="3"/>
      <c r="I1301" s="3"/>
      <c r="J1301" s="3"/>
      <c r="K1301" s="3"/>
      <c r="L1301" s="3"/>
      <c r="M1301" s="3"/>
      <c r="N1301" s="3"/>
      <c r="O1301" s="3"/>
      <c r="P1301" s="3"/>
      <c r="Q1301" s="3"/>
      <c r="R1301" s="3"/>
      <c r="S1301" s="3"/>
      <c r="T1301" s="3"/>
      <c r="U1301" s="3"/>
      <c r="V1301" s="3"/>
      <c r="W1301" s="3"/>
      <c r="X1301" s="3"/>
      <c r="Y1301" s="3"/>
      <c r="Z1301" s="3"/>
      <c r="AA1301" s="3"/>
    </row>
    <row r="1302">
      <c r="A1302" s="4"/>
      <c r="B1302" s="3"/>
      <c r="C1302" s="3"/>
      <c r="D1302" s="3"/>
      <c r="E1302" s="3"/>
      <c r="F1302" s="3"/>
      <c r="G1302" s="3"/>
      <c r="H1302" s="3"/>
      <c r="I1302" s="3"/>
      <c r="J1302" s="3"/>
      <c r="K1302" s="3"/>
      <c r="L1302" s="3"/>
      <c r="M1302" s="3"/>
      <c r="N1302" s="3"/>
      <c r="O1302" s="3"/>
      <c r="P1302" s="3"/>
      <c r="Q1302" s="3"/>
      <c r="R1302" s="3"/>
      <c r="S1302" s="3"/>
      <c r="T1302" s="3"/>
      <c r="U1302" s="3"/>
      <c r="V1302" s="3"/>
      <c r="W1302" s="3"/>
      <c r="X1302" s="3"/>
      <c r="Y1302" s="3"/>
      <c r="Z1302" s="3"/>
      <c r="AA1302" s="3"/>
    </row>
    <row r="1303">
      <c r="A1303" s="4"/>
      <c r="B1303" s="3"/>
      <c r="C1303" s="3"/>
      <c r="D1303" s="3"/>
      <c r="E1303" s="3"/>
      <c r="F1303" s="3"/>
      <c r="G1303" s="3"/>
      <c r="H1303" s="3"/>
      <c r="I1303" s="3"/>
      <c r="J1303" s="3"/>
      <c r="K1303" s="3"/>
      <c r="L1303" s="3"/>
      <c r="M1303" s="3"/>
      <c r="N1303" s="3"/>
      <c r="O1303" s="3"/>
      <c r="P1303" s="3"/>
      <c r="Q1303" s="3"/>
      <c r="R1303" s="3"/>
      <c r="S1303" s="3"/>
      <c r="T1303" s="3"/>
      <c r="U1303" s="3"/>
      <c r="V1303" s="3"/>
      <c r="W1303" s="3"/>
      <c r="X1303" s="3"/>
      <c r="Y1303" s="3"/>
      <c r="Z1303" s="3"/>
      <c r="AA1303" s="3"/>
    </row>
    <row r="1304">
      <c r="A1304" s="4"/>
      <c r="B1304" s="3"/>
      <c r="C1304" s="3"/>
      <c r="D1304" s="3"/>
      <c r="E1304" s="3"/>
      <c r="F1304" s="3"/>
      <c r="G1304" s="3"/>
      <c r="H1304" s="3"/>
      <c r="I1304" s="3"/>
      <c r="J1304" s="3"/>
      <c r="K1304" s="3"/>
      <c r="L1304" s="3"/>
      <c r="M1304" s="3"/>
      <c r="N1304" s="3"/>
      <c r="O1304" s="3"/>
      <c r="P1304" s="3"/>
      <c r="Q1304" s="3"/>
      <c r="R1304" s="3"/>
      <c r="S1304" s="3"/>
      <c r="T1304" s="3"/>
      <c r="U1304" s="3"/>
      <c r="V1304" s="3"/>
      <c r="W1304" s="3"/>
      <c r="X1304" s="3"/>
      <c r="Y1304" s="3"/>
      <c r="Z1304" s="3"/>
      <c r="AA1304" s="3"/>
    </row>
    <row r="1305">
      <c r="A1305" s="4"/>
      <c r="B1305" s="3"/>
      <c r="C1305" s="3"/>
      <c r="D1305" s="3"/>
      <c r="E1305" s="3"/>
      <c r="F1305" s="3"/>
      <c r="G1305" s="3"/>
      <c r="H1305" s="3"/>
      <c r="I1305" s="3"/>
      <c r="J1305" s="3"/>
      <c r="K1305" s="3"/>
      <c r="L1305" s="3"/>
      <c r="M1305" s="3"/>
      <c r="N1305" s="3"/>
      <c r="O1305" s="3"/>
      <c r="P1305" s="3"/>
      <c r="Q1305" s="3"/>
      <c r="R1305" s="3"/>
      <c r="S1305" s="3"/>
      <c r="T1305" s="3"/>
      <c r="U1305" s="3"/>
      <c r="V1305" s="3"/>
      <c r="W1305" s="3"/>
      <c r="X1305" s="3"/>
      <c r="Y1305" s="3"/>
      <c r="Z1305" s="3"/>
      <c r="AA1305" s="3"/>
    </row>
    <row r="1306">
      <c r="A1306" s="4"/>
      <c r="B1306" s="3"/>
      <c r="C1306" s="3"/>
      <c r="D1306" s="3"/>
      <c r="E1306" s="3"/>
      <c r="F1306" s="3"/>
      <c r="G1306" s="3"/>
      <c r="H1306" s="3"/>
      <c r="I1306" s="3"/>
      <c r="J1306" s="3"/>
      <c r="K1306" s="3"/>
      <c r="L1306" s="3"/>
      <c r="M1306" s="3"/>
      <c r="N1306" s="3"/>
      <c r="O1306" s="3"/>
      <c r="P1306" s="3"/>
      <c r="Q1306" s="3"/>
      <c r="R1306" s="3"/>
      <c r="S1306" s="3"/>
      <c r="T1306" s="3"/>
      <c r="U1306" s="3"/>
      <c r="V1306" s="3"/>
      <c r="W1306" s="3"/>
      <c r="X1306" s="3"/>
      <c r="Y1306" s="3"/>
      <c r="Z1306" s="3"/>
      <c r="AA1306" s="3"/>
    </row>
    <row r="1307">
      <c r="A1307" s="4"/>
      <c r="B1307" s="3"/>
      <c r="C1307" s="3"/>
      <c r="D1307" s="3"/>
      <c r="E1307" s="3"/>
      <c r="F1307" s="3"/>
      <c r="G1307" s="3"/>
      <c r="H1307" s="3"/>
      <c r="I1307" s="3"/>
      <c r="J1307" s="3"/>
      <c r="K1307" s="3"/>
      <c r="L1307" s="3"/>
      <c r="M1307" s="3"/>
      <c r="N1307" s="3"/>
      <c r="O1307" s="3"/>
      <c r="P1307" s="3"/>
      <c r="Q1307" s="3"/>
      <c r="R1307" s="3"/>
      <c r="S1307" s="3"/>
      <c r="T1307" s="3"/>
      <c r="U1307" s="3"/>
      <c r="V1307" s="3"/>
      <c r="W1307" s="3"/>
      <c r="X1307" s="3"/>
      <c r="Y1307" s="3"/>
      <c r="Z1307" s="3"/>
      <c r="AA1307" s="3"/>
    </row>
    <row r="1308">
      <c r="A1308" s="4"/>
      <c r="B1308" s="3"/>
      <c r="C1308" s="3"/>
      <c r="D1308" s="3"/>
      <c r="E1308" s="3"/>
      <c r="F1308" s="3"/>
      <c r="G1308" s="3"/>
      <c r="H1308" s="3"/>
      <c r="I1308" s="3"/>
      <c r="J1308" s="3"/>
      <c r="K1308" s="3"/>
      <c r="L1308" s="3"/>
      <c r="M1308" s="3"/>
      <c r="N1308" s="3"/>
      <c r="O1308" s="3"/>
      <c r="P1308" s="3"/>
      <c r="Q1308" s="3"/>
      <c r="R1308" s="3"/>
      <c r="S1308" s="3"/>
      <c r="T1308" s="3"/>
      <c r="U1308" s="3"/>
      <c r="V1308" s="3"/>
      <c r="W1308" s="3"/>
      <c r="X1308" s="3"/>
      <c r="Y1308" s="3"/>
      <c r="Z1308" s="3"/>
      <c r="AA1308" s="3"/>
    </row>
    <row r="1309">
      <c r="A1309" s="4"/>
      <c r="B1309" s="3"/>
      <c r="C1309" s="3"/>
      <c r="D1309" s="3"/>
      <c r="E1309" s="3"/>
      <c r="F1309" s="3"/>
      <c r="G1309" s="3"/>
      <c r="H1309" s="3"/>
      <c r="I1309" s="3"/>
      <c r="J1309" s="3"/>
      <c r="K1309" s="3"/>
      <c r="L1309" s="3"/>
      <c r="M1309" s="3"/>
      <c r="N1309" s="3"/>
      <c r="O1309" s="3"/>
      <c r="P1309" s="3"/>
      <c r="Q1309" s="3"/>
      <c r="R1309" s="3"/>
      <c r="S1309" s="3"/>
      <c r="T1309" s="3"/>
      <c r="U1309" s="3"/>
      <c r="V1309" s="3"/>
      <c r="W1309" s="3"/>
      <c r="X1309" s="3"/>
      <c r="Y1309" s="3"/>
      <c r="Z1309" s="3"/>
      <c r="AA1309" s="3"/>
    </row>
    <row r="1310">
      <c r="A1310" s="4"/>
      <c r="B1310" s="3"/>
      <c r="C1310" s="3"/>
      <c r="D1310" s="3"/>
      <c r="E1310" s="3"/>
      <c r="F1310" s="3"/>
      <c r="G1310" s="3"/>
      <c r="H1310" s="3"/>
      <c r="I1310" s="3"/>
      <c r="J1310" s="3"/>
      <c r="K1310" s="3"/>
      <c r="L1310" s="3"/>
      <c r="M1310" s="3"/>
      <c r="N1310" s="3"/>
      <c r="O1310" s="3"/>
      <c r="P1310" s="3"/>
      <c r="Q1310" s="3"/>
      <c r="R1310" s="3"/>
      <c r="S1310" s="3"/>
      <c r="T1310" s="3"/>
      <c r="U1310" s="3"/>
      <c r="V1310" s="3"/>
      <c r="W1310" s="3"/>
      <c r="X1310" s="3"/>
      <c r="Y1310" s="3"/>
      <c r="Z1310" s="3"/>
      <c r="AA1310" s="3"/>
    </row>
    <row r="1311">
      <c r="A1311" s="4"/>
      <c r="B1311" s="3"/>
      <c r="C1311" s="3"/>
      <c r="D1311" s="3"/>
      <c r="E1311" s="3"/>
      <c r="F1311" s="3"/>
      <c r="G1311" s="3"/>
      <c r="H1311" s="3"/>
      <c r="I1311" s="3"/>
      <c r="J1311" s="3"/>
      <c r="K1311" s="3"/>
      <c r="L1311" s="3"/>
      <c r="M1311" s="3"/>
      <c r="N1311" s="3"/>
      <c r="O1311" s="3"/>
      <c r="P1311" s="3"/>
      <c r="Q1311" s="3"/>
      <c r="R1311" s="3"/>
      <c r="S1311" s="3"/>
      <c r="T1311" s="3"/>
      <c r="U1311" s="3"/>
      <c r="V1311" s="3"/>
      <c r="W1311" s="3"/>
      <c r="X1311" s="3"/>
      <c r="Y1311" s="3"/>
      <c r="Z1311" s="3"/>
      <c r="AA1311" s="3"/>
    </row>
    <row r="1312">
      <c r="A1312" s="4"/>
      <c r="B1312" s="3"/>
      <c r="C1312" s="3"/>
      <c r="D1312" s="3"/>
      <c r="E1312" s="3"/>
      <c r="F1312" s="3"/>
      <c r="G1312" s="3"/>
      <c r="H1312" s="3"/>
      <c r="I1312" s="3"/>
      <c r="J1312" s="3"/>
      <c r="K1312" s="3"/>
      <c r="L1312" s="3"/>
      <c r="M1312" s="3"/>
      <c r="N1312" s="3"/>
      <c r="O1312" s="3"/>
      <c r="P1312" s="3"/>
      <c r="Q1312" s="3"/>
      <c r="R1312" s="3"/>
      <c r="S1312" s="3"/>
      <c r="T1312" s="3"/>
      <c r="U1312" s="3"/>
      <c r="V1312" s="3"/>
      <c r="W1312" s="3"/>
      <c r="X1312" s="3"/>
      <c r="Y1312" s="3"/>
      <c r="Z1312" s="3"/>
      <c r="AA1312" s="3"/>
    </row>
    <row r="1313">
      <c r="A1313" s="4"/>
      <c r="B1313" s="3"/>
      <c r="C1313" s="3"/>
      <c r="D1313" s="3"/>
      <c r="E1313" s="3"/>
      <c r="F1313" s="3"/>
      <c r="G1313" s="3"/>
      <c r="H1313" s="3"/>
      <c r="I1313" s="3"/>
      <c r="J1313" s="3"/>
      <c r="K1313" s="3"/>
      <c r="L1313" s="3"/>
      <c r="M1313" s="3"/>
      <c r="N1313" s="3"/>
      <c r="O1313" s="3"/>
      <c r="P1313" s="3"/>
      <c r="Q1313" s="3"/>
      <c r="R1313" s="3"/>
      <c r="S1313" s="3"/>
      <c r="T1313" s="3"/>
      <c r="U1313" s="3"/>
      <c r="V1313" s="3"/>
      <c r="W1313" s="3"/>
      <c r="X1313" s="3"/>
      <c r="Y1313" s="3"/>
      <c r="Z1313" s="3"/>
      <c r="AA1313" s="3"/>
    </row>
    <row r="1314">
      <c r="A1314" s="4"/>
      <c r="B1314" s="3"/>
      <c r="C1314" s="3"/>
      <c r="D1314" s="3"/>
      <c r="E1314" s="3"/>
      <c r="F1314" s="3"/>
      <c r="G1314" s="3"/>
      <c r="H1314" s="3"/>
      <c r="I1314" s="3"/>
      <c r="J1314" s="3"/>
      <c r="K1314" s="3"/>
      <c r="L1314" s="3"/>
      <c r="M1314" s="3"/>
      <c r="N1314" s="3"/>
      <c r="O1314" s="3"/>
      <c r="P1314" s="3"/>
      <c r="Q1314" s="3"/>
      <c r="R1314" s="3"/>
      <c r="S1314" s="3"/>
      <c r="T1314" s="3"/>
      <c r="U1314" s="3"/>
      <c r="V1314" s="3"/>
      <c r="W1314" s="3"/>
      <c r="X1314" s="3"/>
      <c r="Y1314" s="3"/>
      <c r="Z1314" s="3"/>
      <c r="AA1314" s="3"/>
    </row>
    <row r="1315">
      <c r="A1315" s="4"/>
      <c r="B1315" s="3"/>
      <c r="C1315" s="3"/>
      <c r="D1315" s="3"/>
      <c r="E1315" s="3"/>
      <c r="F1315" s="3"/>
      <c r="G1315" s="3"/>
      <c r="H1315" s="3"/>
      <c r="I1315" s="3"/>
      <c r="J1315" s="3"/>
      <c r="K1315" s="3"/>
      <c r="L1315" s="3"/>
      <c r="M1315" s="3"/>
      <c r="N1315" s="3"/>
      <c r="O1315" s="3"/>
      <c r="P1315" s="3"/>
      <c r="Q1315" s="3"/>
      <c r="R1315" s="3"/>
      <c r="S1315" s="3"/>
      <c r="T1315" s="3"/>
      <c r="U1315" s="3"/>
      <c r="V1315" s="3"/>
      <c r="W1315" s="3"/>
      <c r="X1315" s="3"/>
      <c r="Y1315" s="3"/>
      <c r="Z1315" s="3"/>
      <c r="AA1315" s="3"/>
    </row>
    <row r="1316">
      <c r="A1316" s="4"/>
      <c r="B1316" s="3"/>
      <c r="C1316" s="3"/>
      <c r="D1316" s="3"/>
      <c r="E1316" s="3"/>
      <c r="F1316" s="3"/>
      <c r="G1316" s="3"/>
      <c r="H1316" s="3"/>
      <c r="I1316" s="3"/>
      <c r="J1316" s="3"/>
      <c r="K1316" s="3"/>
      <c r="L1316" s="3"/>
      <c r="M1316" s="3"/>
      <c r="N1316" s="3"/>
      <c r="O1316" s="3"/>
      <c r="P1316" s="3"/>
      <c r="Q1316" s="3"/>
      <c r="R1316" s="3"/>
      <c r="S1316" s="3"/>
      <c r="T1316" s="3"/>
      <c r="U1316" s="3"/>
      <c r="V1316" s="3"/>
      <c r="W1316" s="3"/>
      <c r="X1316" s="3"/>
      <c r="Y1316" s="3"/>
      <c r="Z1316" s="3"/>
      <c r="AA1316" s="3"/>
    </row>
    <row r="1317">
      <c r="A1317" s="4"/>
      <c r="B1317" s="3"/>
      <c r="C1317" s="3"/>
      <c r="D1317" s="3"/>
      <c r="E1317" s="3"/>
      <c r="F1317" s="3"/>
      <c r="G1317" s="3"/>
      <c r="H1317" s="3"/>
      <c r="I1317" s="3"/>
      <c r="J1317" s="3"/>
      <c r="K1317" s="3"/>
      <c r="L1317" s="3"/>
      <c r="M1317" s="3"/>
      <c r="N1317" s="3"/>
      <c r="O1317" s="3"/>
      <c r="P1317" s="3"/>
      <c r="Q1317" s="3"/>
      <c r="R1317" s="3"/>
      <c r="S1317" s="3"/>
      <c r="T1317" s="3"/>
      <c r="U1317" s="3"/>
      <c r="V1317" s="3"/>
      <c r="W1317" s="3"/>
      <c r="X1317" s="3"/>
      <c r="Y1317" s="3"/>
      <c r="Z1317" s="3"/>
      <c r="AA1317" s="3"/>
    </row>
    <row r="1318">
      <c r="A1318" s="4"/>
      <c r="B1318" s="3"/>
      <c r="C1318" s="3"/>
      <c r="D1318" s="3"/>
      <c r="E1318" s="3"/>
      <c r="F1318" s="3"/>
      <c r="G1318" s="3"/>
      <c r="H1318" s="3"/>
      <c r="I1318" s="3"/>
      <c r="J1318" s="3"/>
      <c r="K1318" s="3"/>
      <c r="L1318" s="3"/>
      <c r="M1318" s="3"/>
      <c r="N1318" s="3"/>
      <c r="O1318" s="3"/>
      <c r="P1318" s="3"/>
      <c r="Q1318" s="3"/>
      <c r="R1318" s="3"/>
      <c r="S1318" s="3"/>
      <c r="T1318" s="3"/>
      <c r="U1318" s="3"/>
      <c r="V1318" s="3"/>
      <c r="W1318" s="3"/>
      <c r="X1318" s="3"/>
      <c r="Y1318" s="3"/>
      <c r="Z1318" s="3"/>
      <c r="AA1318" s="3"/>
    </row>
    <row r="1319">
      <c r="A1319" s="4"/>
      <c r="B1319" s="3"/>
      <c r="C1319" s="3"/>
      <c r="D1319" s="3"/>
      <c r="E1319" s="3"/>
      <c r="F1319" s="3"/>
      <c r="G1319" s="3"/>
      <c r="H1319" s="3"/>
      <c r="I1319" s="3"/>
      <c r="J1319" s="3"/>
      <c r="K1319" s="3"/>
      <c r="L1319" s="3"/>
      <c r="M1319" s="3"/>
      <c r="N1319" s="3"/>
      <c r="O1319" s="3"/>
      <c r="P1319" s="3"/>
      <c r="Q1319" s="3"/>
      <c r="R1319" s="3"/>
      <c r="S1319" s="3"/>
      <c r="T1319" s="3"/>
      <c r="U1319" s="3"/>
      <c r="V1319" s="3"/>
      <c r="W1319" s="3"/>
      <c r="X1319" s="3"/>
      <c r="Y1319" s="3"/>
      <c r="Z1319" s="3"/>
      <c r="AA1319" s="3"/>
    </row>
    <row r="1320">
      <c r="A1320" s="4"/>
      <c r="B1320" s="3"/>
      <c r="C1320" s="3"/>
      <c r="D1320" s="3"/>
      <c r="E1320" s="3"/>
      <c r="F1320" s="3"/>
      <c r="G1320" s="3"/>
      <c r="H1320" s="3"/>
      <c r="I1320" s="3"/>
      <c r="J1320" s="3"/>
      <c r="K1320" s="3"/>
      <c r="L1320" s="3"/>
      <c r="M1320" s="3"/>
      <c r="N1320" s="3"/>
      <c r="O1320" s="3"/>
      <c r="P1320" s="3"/>
      <c r="Q1320" s="3"/>
      <c r="R1320" s="3"/>
      <c r="S1320" s="3"/>
      <c r="T1320" s="3"/>
      <c r="U1320" s="3"/>
      <c r="V1320" s="3"/>
      <c r="W1320" s="3"/>
      <c r="X1320" s="3"/>
      <c r="Y1320" s="3"/>
      <c r="Z1320" s="3"/>
      <c r="AA1320" s="3"/>
    </row>
    <row r="1321">
      <c r="A1321" s="4"/>
      <c r="B1321" s="3"/>
      <c r="C1321" s="3"/>
      <c r="D1321" s="3"/>
      <c r="E1321" s="3"/>
      <c r="F1321" s="3"/>
      <c r="G1321" s="3"/>
      <c r="H1321" s="3"/>
      <c r="I1321" s="3"/>
      <c r="J1321" s="3"/>
      <c r="K1321" s="3"/>
      <c r="L1321" s="3"/>
      <c r="M1321" s="3"/>
      <c r="N1321" s="3"/>
      <c r="O1321" s="3"/>
      <c r="P1321" s="3"/>
      <c r="Q1321" s="3"/>
      <c r="R1321" s="3"/>
      <c r="S1321" s="3"/>
      <c r="T1321" s="3"/>
      <c r="U1321" s="3"/>
      <c r="V1321" s="3"/>
      <c r="W1321" s="3"/>
      <c r="X1321" s="3"/>
      <c r="Y1321" s="3"/>
      <c r="Z1321" s="3"/>
      <c r="AA1321" s="3"/>
    </row>
    <row r="1322">
      <c r="A1322" s="4"/>
      <c r="B1322" s="3"/>
      <c r="C1322" s="3"/>
      <c r="D1322" s="3"/>
      <c r="E1322" s="3"/>
      <c r="F1322" s="3"/>
      <c r="G1322" s="3"/>
      <c r="H1322" s="3"/>
      <c r="I1322" s="3"/>
      <c r="J1322" s="3"/>
      <c r="K1322" s="3"/>
      <c r="L1322" s="3"/>
      <c r="M1322" s="3"/>
      <c r="N1322" s="3"/>
      <c r="O1322" s="3"/>
      <c r="P1322" s="3"/>
      <c r="Q1322" s="3"/>
      <c r="R1322" s="3"/>
      <c r="S1322" s="3"/>
      <c r="T1322" s="3"/>
      <c r="U1322" s="3"/>
      <c r="V1322" s="3"/>
      <c r="W1322" s="3"/>
      <c r="X1322" s="3"/>
      <c r="Y1322" s="3"/>
      <c r="Z1322" s="3"/>
      <c r="AA1322" s="3"/>
    </row>
    <row r="1323">
      <c r="A1323" s="4"/>
      <c r="B1323" s="3"/>
      <c r="C1323" s="3"/>
      <c r="D1323" s="3"/>
      <c r="E1323" s="3"/>
      <c r="F1323" s="3"/>
      <c r="G1323" s="3"/>
      <c r="H1323" s="3"/>
      <c r="I1323" s="3"/>
      <c r="J1323" s="3"/>
      <c r="K1323" s="3"/>
      <c r="L1323" s="3"/>
      <c r="M1323" s="3"/>
      <c r="N1323" s="3"/>
      <c r="O1323" s="3"/>
      <c r="P1323" s="3"/>
      <c r="Q1323" s="3"/>
      <c r="R1323" s="3"/>
      <c r="S1323" s="3"/>
      <c r="T1323" s="3"/>
      <c r="U1323" s="3"/>
      <c r="V1323" s="3"/>
      <c r="W1323" s="3"/>
      <c r="X1323" s="3"/>
      <c r="Y1323" s="3"/>
      <c r="Z1323" s="3"/>
      <c r="AA1323" s="3"/>
    </row>
    <row r="1324">
      <c r="A1324" s="4"/>
      <c r="B1324" s="3"/>
      <c r="C1324" s="3"/>
      <c r="D1324" s="3"/>
      <c r="E1324" s="3"/>
      <c r="F1324" s="3"/>
      <c r="G1324" s="3"/>
      <c r="H1324" s="3"/>
      <c r="I1324" s="3"/>
      <c r="J1324" s="3"/>
      <c r="K1324" s="3"/>
      <c r="L1324" s="3"/>
      <c r="M1324" s="3"/>
      <c r="N1324" s="3"/>
      <c r="O1324" s="3"/>
      <c r="P1324" s="3"/>
      <c r="Q1324" s="3"/>
      <c r="R1324" s="3"/>
      <c r="S1324" s="3"/>
      <c r="T1324" s="3"/>
      <c r="U1324" s="3"/>
      <c r="V1324" s="3"/>
      <c r="W1324" s="3"/>
      <c r="X1324" s="3"/>
      <c r="Y1324" s="3"/>
      <c r="Z1324" s="3"/>
      <c r="AA1324" s="3"/>
    </row>
    <row r="1325">
      <c r="A1325" s="4"/>
      <c r="B1325" s="3"/>
      <c r="C1325" s="3"/>
      <c r="D1325" s="3"/>
      <c r="E1325" s="3"/>
      <c r="F1325" s="3"/>
      <c r="G1325" s="3"/>
      <c r="H1325" s="3"/>
      <c r="I1325" s="3"/>
      <c r="J1325" s="3"/>
      <c r="K1325" s="3"/>
      <c r="L1325" s="3"/>
      <c r="M1325" s="3"/>
      <c r="N1325" s="3"/>
      <c r="O1325" s="3"/>
      <c r="P1325" s="3"/>
      <c r="Q1325" s="3"/>
      <c r="R1325" s="3"/>
      <c r="S1325" s="3"/>
      <c r="T1325" s="3"/>
      <c r="U1325" s="3"/>
      <c r="V1325" s="3"/>
      <c r="W1325" s="3"/>
      <c r="X1325" s="3"/>
      <c r="Y1325" s="3"/>
      <c r="Z1325" s="3"/>
      <c r="AA1325" s="3"/>
    </row>
    <row r="1326">
      <c r="A1326" s="4"/>
      <c r="B1326" s="3"/>
      <c r="C1326" s="3"/>
      <c r="D1326" s="3"/>
      <c r="E1326" s="3"/>
      <c r="F1326" s="3"/>
      <c r="G1326" s="3"/>
      <c r="H1326" s="3"/>
      <c r="I1326" s="3"/>
      <c r="J1326" s="3"/>
      <c r="K1326" s="3"/>
      <c r="L1326" s="3"/>
      <c r="M1326" s="3"/>
      <c r="N1326" s="3"/>
      <c r="O1326" s="3"/>
      <c r="P1326" s="3"/>
      <c r="Q1326" s="3"/>
      <c r="R1326" s="3"/>
      <c r="S1326" s="3"/>
      <c r="T1326" s="3"/>
      <c r="U1326" s="3"/>
      <c r="V1326" s="3"/>
      <c r="W1326" s="3"/>
      <c r="X1326" s="3"/>
      <c r="Y1326" s="3"/>
      <c r="Z1326" s="3"/>
      <c r="AA1326" s="3"/>
    </row>
    <row r="1327">
      <c r="A1327" s="4"/>
      <c r="B1327" s="3"/>
      <c r="C1327" s="3"/>
      <c r="D1327" s="3"/>
      <c r="E1327" s="3"/>
      <c r="F1327" s="3"/>
      <c r="G1327" s="3"/>
      <c r="H1327" s="3"/>
      <c r="I1327" s="3"/>
      <c r="J1327" s="3"/>
      <c r="K1327" s="3"/>
      <c r="L1327" s="3"/>
      <c r="M1327" s="3"/>
      <c r="N1327" s="3"/>
      <c r="O1327" s="3"/>
      <c r="P1327" s="3"/>
      <c r="Q1327" s="3"/>
      <c r="R1327" s="3"/>
      <c r="S1327" s="3"/>
      <c r="T1327" s="3"/>
      <c r="U1327" s="3"/>
      <c r="V1327" s="3"/>
      <c r="W1327" s="3"/>
      <c r="X1327" s="3"/>
      <c r="Y1327" s="3"/>
      <c r="Z1327" s="3"/>
      <c r="AA1327" s="3"/>
    </row>
    <row r="1328">
      <c r="A1328" s="4"/>
      <c r="B1328" s="3"/>
      <c r="C1328" s="3"/>
      <c r="D1328" s="3"/>
      <c r="E1328" s="3"/>
      <c r="F1328" s="3"/>
      <c r="G1328" s="3"/>
      <c r="H1328" s="3"/>
      <c r="I1328" s="3"/>
      <c r="J1328" s="3"/>
      <c r="K1328" s="3"/>
      <c r="L1328" s="3"/>
      <c r="M1328" s="3"/>
      <c r="N1328" s="3"/>
      <c r="O1328" s="3"/>
      <c r="P1328" s="3"/>
      <c r="Q1328" s="3"/>
      <c r="R1328" s="3"/>
      <c r="S1328" s="3"/>
      <c r="T1328" s="3"/>
      <c r="U1328" s="3"/>
      <c r="V1328" s="3"/>
      <c r="W1328" s="3"/>
      <c r="X1328" s="3"/>
      <c r="Y1328" s="3"/>
      <c r="Z1328" s="3"/>
      <c r="AA1328" s="3"/>
    </row>
    <row r="1329">
      <c r="A1329" s="4"/>
      <c r="B1329" s="3"/>
      <c r="C1329" s="3"/>
      <c r="D1329" s="3"/>
      <c r="E1329" s="3"/>
      <c r="F1329" s="3"/>
      <c r="G1329" s="3"/>
      <c r="H1329" s="3"/>
      <c r="I1329" s="3"/>
      <c r="J1329" s="3"/>
      <c r="K1329" s="3"/>
      <c r="L1329" s="3"/>
      <c r="M1329" s="3"/>
      <c r="N1329" s="3"/>
      <c r="O1329" s="3"/>
      <c r="P1329" s="3"/>
      <c r="Q1329" s="3"/>
      <c r="R1329" s="3"/>
      <c r="S1329" s="3"/>
      <c r="T1329" s="3"/>
      <c r="U1329" s="3"/>
      <c r="V1329" s="3"/>
      <c r="W1329" s="3"/>
      <c r="X1329" s="3"/>
      <c r="Y1329" s="3"/>
      <c r="Z1329" s="3"/>
      <c r="AA1329" s="3"/>
    </row>
    <row r="1330">
      <c r="A1330" s="4"/>
      <c r="B1330" s="3"/>
      <c r="C1330" s="3"/>
      <c r="D1330" s="3"/>
      <c r="E1330" s="3"/>
      <c r="F1330" s="3"/>
      <c r="G1330" s="3"/>
      <c r="H1330" s="3"/>
      <c r="I1330" s="3"/>
      <c r="J1330" s="3"/>
      <c r="K1330" s="3"/>
      <c r="L1330" s="3"/>
      <c r="M1330" s="3"/>
      <c r="N1330" s="3"/>
      <c r="O1330" s="3"/>
      <c r="P1330" s="3"/>
      <c r="Q1330" s="3"/>
      <c r="R1330" s="3"/>
      <c r="S1330" s="3"/>
      <c r="T1330" s="3"/>
      <c r="U1330" s="3"/>
      <c r="V1330" s="3"/>
      <c r="W1330" s="3"/>
      <c r="X1330" s="3"/>
      <c r="Y1330" s="3"/>
      <c r="Z1330" s="3"/>
      <c r="AA1330" s="3"/>
    </row>
    <row r="1331">
      <c r="A1331" s="4"/>
      <c r="B1331" s="3"/>
      <c r="C1331" s="3"/>
      <c r="D1331" s="3"/>
      <c r="E1331" s="3"/>
      <c r="F1331" s="3"/>
      <c r="G1331" s="3"/>
      <c r="H1331" s="3"/>
      <c r="I1331" s="3"/>
      <c r="J1331" s="3"/>
      <c r="K1331" s="3"/>
      <c r="L1331" s="3"/>
      <c r="M1331" s="3"/>
      <c r="N1331" s="3"/>
      <c r="O1331" s="3"/>
      <c r="P1331" s="3"/>
      <c r="Q1331" s="3"/>
      <c r="R1331" s="3"/>
      <c r="S1331" s="3"/>
      <c r="T1331" s="3"/>
      <c r="U1331" s="3"/>
      <c r="V1331" s="3"/>
      <c r="W1331" s="3"/>
      <c r="X1331" s="3"/>
      <c r="Y1331" s="3"/>
      <c r="Z1331" s="3"/>
      <c r="AA1331" s="3"/>
    </row>
    <row r="1332">
      <c r="A1332" s="4"/>
      <c r="B1332" s="3"/>
      <c r="C1332" s="3"/>
      <c r="D1332" s="3"/>
      <c r="E1332" s="3"/>
      <c r="F1332" s="3"/>
      <c r="G1332" s="3"/>
      <c r="H1332" s="3"/>
      <c r="I1332" s="3"/>
      <c r="J1332" s="3"/>
      <c r="K1332" s="3"/>
      <c r="L1332" s="3"/>
      <c r="M1332" s="3"/>
      <c r="N1332" s="3"/>
      <c r="O1332" s="3"/>
      <c r="P1332" s="3"/>
      <c r="Q1332" s="3"/>
      <c r="R1332" s="3"/>
      <c r="S1332" s="3"/>
      <c r="T1332" s="3"/>
      <c r="U1332" s="3"/>
      <c r="V1332" s="3"/>
      <c r="W1332" s="3"/>
      <c r="X1332" s="3"/>
      <c r="Y1332" s="3"/>
      <c r="Z1332" s="3"/>
      <c r="AA1332" s="3"/>
    </row>
    <row r="1333">
      <c r="A1333" s="4"/>
      <c r="B1333" s="3"/>
      <c r="C1333" s="3"/>
      <c r="D1333" s="3"/>
      <c r="E1333" s="3"/>
      <c r="F1333" s="3"/>
      <c r="G1333" s="3"/>
      <c r="H1333" s="3"/>
      <c r="I1333" s="3"/>
      <c r="J1333" s="3"/>
      <c r="K1333" s="3"/>
      <c r="L1333" s="3"/>
      <c r="M1333" s="3"/>
      <c r="N1333" s="3"/>
      <c r="O1333" s="3"/>
      <c r="P1333" s="3"/>
      <c r="Q1333" s="3"/>
      <c r="R1333" s="3"/>
      <c r="S1333" s="3"/>
      <c r="T1333" s="3"/>
      <c r="U1333" s="3"/>
      <c r="V1333" s="3"/>
      <c r="W1333" s="3"/>
      <c r="X1333" s="3"/>
      <c r="Y1333" s="3"/>
      <c r="Z1333" s="3"/>
      <c r="AA1333" s="3"/>
    </row>
    <row r="1334">
      <c r="A1334" s="4"/>
      <c r="B1334" s="3"/>
      <c r="C1334" s="3"/>
      <c r="D1334" s="3"/>
      <c r="E1334" s="3"/>
      <c r="F1334" s="3"/>
      <c r="G1334" s="3"/>
      <c r="H1334" s="3"/>
      <c r="I1334" s="3"/>
      <c r="J1334" s="3"/>
      <c r="K1334" s="3"/>
      <c r="L1334" s="3"/>
      <c r="M1334" s="3"/>
      <c r="N1334" s="3"/>
      <c r="O1334" s="3"/>
      <c r="P1334" s="3"/>
      <c r="Q1334" s="3"/>
      <c r="R1334" s="3"/>
      <c r="S1334" s="3"/>
      <c r="T1334" s="3"/>
      <c r="U1334" s="3"/>
      <c r="V1334" s="3"/>
      <c r="W1334" s="3"/>
      <c r="X1334" s="3"/>
      <c r="Y1334" s="3"/>
      <c r="Z1334" s="3"/>
      <c r="AA1334" s="3"/>
    </row>
    <row r="1335">
      <c r="A1335" s="4"/>
      <c r="B1335" s="3"/>
      <c r="C1335" s="3"/>
      <c r="D1335" s="3"/>
      <c r="E1335" s="3"/>
      <c r="F1335" s="3"/>
      <c r="G1335" s="3"/>
      <c r="H1335" s="3"/>
      <c r="I1335" s="3"/>
      <c r="J1335" s="3"/>
      <c r="K1335" s="3"/>
      <c r="L1335" s="3"/>
      <c r="M1335" s="3"/>
      <c r="N1335" s="3"/>
      <c r="O1335" s="3"/>
      <c r="P1335" s="3"/>
      <c r="Q1335" s="3"/>
      <c r="R1335" s="3"/>
      <c r="S1335" s="3"/>
      <c r="T1335" s="3"/>
      <c r="U1335" s="3"/>
      <c r="V1335" s="3"/>
      <c r="W1335" s="3"/>
      <c r="X1335" s="3"/>
      <c r="Y1335" s="3"/>
      <c r="Z1335" s="3"/>
      <c r="AA1335" s="3"/>
    </row>
    <row r="1336">
      <c r="A1336" s="4"/>
      <c r="B1336" s="3"/>
      <c r="C1336" s="3"/>
      <c r="D1336" s="3"/>
      <c r="E1336" s="3"/>
      <c r="F1336" s="3"/>
      <c r="G1336" s="3"/>
      <c r="H1336" s="3"/>
      <c r="I1336" s="3"/>
      <c r="J1336" s="3"/>
      <c r="K1336" s="3"/>
      <c r="L1336" s="3"/>
      <c r="M1336" s="3"/>
      <c r="N1336" s="3"/>
      <c r="O1336" s="3"/>
      <c r="P1336" s="3"/>
      <c r="Q1336" s="3"/>
      <c r="R1336" s="3"/>
      <c r="S1336" s="3"/>
      <c r="T1336" s="3"/>
      <c r="U1336" s="3"/>
      <c r="V1336" s="3"/>
      <c r="W1336" s="3"/>
      <c r="X1336" s="3"/>
      <c r="Y1336" s="3"/>
      <c r="Z1336" s="3"/>
      <c r="AA1336" s="3"/>
    </row>
    <row r="1337">
      <c r="A1337" s="4"/>
      <c r="B1337" s="3"/>
      <c r="C1337" s="3"/>
      <c r="D1337" s="3"/>
      <c r="E1337" s="3"/>
      <c r="F1337" s="3"/>
      <c r="G1337" s="3"/>
      <c r="H1337" s="3"/>
      <c r="I1337" s="3"/>
      <c r="J1337" s="3"/>
      <c r="K1337" s="3"/>
      <c r="L1337" s="3"/>
      <c r="M1337" s="3"/>
      <c r="N1337" s="3"/>
      <c r="O1337" s="3"/>
      <c r="P1337" s="3"/>
      <c r="Q1337" s="3"/>
      <c r="R1337" s="3"/>
      <c r="S1337" s="3"/>
      <c r="T1337" s="3"/>
      <c r="U1337" s="3"/>
      <c r="V1337" s="3"/>
      <c r="W1337" s="3"/>
      <c r="X1337" s="3"/>
      <c r="Y1337" s="3"/>
      <c r="Z1337" s="3"/>
      <c r="AA1337" s="3"/>
    </row>
    <row r="1338">
      <c r="A1338" s="4"/>
      <c r="B1338" s="3"/>
      <c r="C1338" s="3"/>
      <c r="D1338" s="3"/>
      <c r="E1338" s="3"/>
      <c r="F1338" s="3"/>
      <c r="G1338" s="3"/>
      <c r="H1338" s="3"/>
      <c r="I1338" s="3"/>
      <c r="J1338" s="3"/>
      <c r="K1338" s="3"/>
      <c r="L1338" s="3"/>
      <c r="M1338" s="3"/>
      <c r="N1338" s="3"/>
      <c r="O1338" s="3"/>
      <c r="P1338" s="3"/>
      <c r="Q1338" s="3"/>
      <c r="R1338" s="3"/>
      <c r="S1338" s="3"/>
      <c r="T1338" s="3"/>
      <c r="U1338" s="3"/>
      <c r="V1338" s="3"/>
      <c r="W1338" s="3"/>
      <c r="X1338" s="3"/>
      <c r="Y1338" s="3"/>
      <c r="Z1338" s="3"/>
      <c r="AA1338" s="3"/>
    </row>
    <row r="1339">
      <c r="A1339" s="4"/>
      <c r="B1339" s="3"/>
      <c r="C1339" s="3"/>
      <c r="D1339" s="3"/>
      <c r="E1339" s="3"/>
      <c r="F1339" s="3"/>
      <c r="G1339" s="3"/>
      <c r="H1339" s="3"/>
      <c r="I1339" s="3"/>
      <c r="J1339" s="3"/>
      <c r="K1339" s="3"/>
      <c r="L1339" s="3"/>
      <c r="M1339" s="3"/>
      <c r="N1339" s="3"/>
      <c r="O1339" s="3"/>
      <c r="P1339" s="3"/>
      <c r="Q1339" s="3"/>
      <c r="R1339" s="3"/>
      <c r="S1339" s="3"/>
      <c r="T1339" s="3"/>
      <c r="U1339" s="3"/>
      <c r="V1339" s="3"/>
      <c r="W1339" s="3"/>
      <c r="X1339" s="3"/>
      <c r="Y1339" s="3"/>
      <c r="Z1339" s="3"/>
      <c r="AA1339" s="3"/>
    </row>
    <row r="1340">
      <c r="A1340" s="4"/>
      <c r="B1340" s="3"/>
      <c r="C1340" s="3"/>
      <c r="D1340" s="3"/>
      <c r="E1340" s="3"/>
      <c r="F1340" s="3"/>
      <c r="G1340" s="3"/>
      <c r="H1340" s="3"/>
      <c r="I1340" s="3"/>
      <c r="J1340" s="3"/>
      <c r="K1340" s="3"/>
      <c r="L1340" s="3"/>
      <c r="M1340" s="3"/>
      <c r="N1340" s="3"/>
      <c r="O1340" s="3"/>
      <c r="P1340" s="3"/>
      <c r="Q1340" s="3"/>
      <c r="R1340" s="3"/>
      <c r="S1340" s="3"/>
      <c r="T1340" s="3"/>
      <c r="U1340" s="3"/>
      <c r="V1340" s="3"/>
      <c r="W1340" s="3"/>
      <c r="X1340" s="3"/>
      <c r="Y1340" s="3"/>
      <c r="Z1340" s="3"/>
      <c r="AA1340" s="3"/>
    </row>
    <row r="1341">
      <c r="A1341" s="4"/>
      <c r="B1341" s="3"/>
      <c r="C1341" s="3"/>
      <c r="D1341" s="3"/>
      <c r="E1341" s="3"/>
      <c r="F1341" s="3"/>
      <c r="G1341" s="3"/>
      <c r="H1341" s="3"/>
      <c r="I1341" s="3"/>
      <c r="J1341" s="3"/>
      <c r="K1341" s="3"/>
      <c r="L1341" s="3"/>
      <c r="M1341" s="3"/>
      <c r="N1341" s="3"/>
      <c r="O1341" s="3"/>
      <c r="P1341" s="3"/>
      <c r="Q1341" s="3"/>
      <c r="R1341" s="3"/>
      <c r="S1341" s="3"/>
      <c r="T1341" s="3"/>
      <c r="U1341" s="3"/>
      <c r="V1341" s="3"/>
      <c r="W1341" s="3"/>
      <c r="X1341" s="3"/>
      <c r="Y1341" s="3"/>
      <c r="Z1341" s="3"/>
      <c r="AA1341" s="3"/>
    </row>
    <row r="1342">
      <c r="A1342" s="4"/>
      <c r="B1342" s="3"/>
      <c r="C1342" s="3"/>
      <c r="D1342" s="3"/>
      <c r="E1342" s="3"/>
      <c r="F1342" s="3"/>
      <c r="G1342" s="3"/>
      <c r="H1342" s="3"/>
      <c r="I1342" s="3"/>
      <c r="J1342" s="3"/>
      <c r="K1342" s="3"/>
      <c r="L1342" s="3"/>
      <c r="M1342" s="3"/>
      <c r="N1342" s="3"/>
      <c r="O1342" s="3"/>
      <c r="P1342" s="3"/>
      <c r="Q1342" s="3"/>
      <c r="R1342" s="3"/>
      <c r="S1342" s="3"/>
      <c r="T1342" s="3"/>
      <c r="U1342" s="3"/>
      <c r="V1342" s="3"/>
      <c r="W1342" s="3"/>
      <c r="X1342" s="3"/>
      <c r="Y1342" s="3"/>
      <c r="Z1342" s="3"/>
      <c r="AA1342" s="3"/>
    </row>
    <row r="1343">
      <c r="A1343" s="4"/>
      <c r="B1343" s="3"/>
      <c r="C1343" s="3"/>
      <c r="D1343" s="3"/>
      <c r="E1343" s="3"/>
      <c r="F1343" s="3"/>
      <c r="G1343" s="3"/>
      <c r="H1343" s="3"/>
      <c r="I1343" s="3"/>
      <c r="J1343" s="3"/>
      <c r="K1343" s="3"/>
      <c r="L1343" s="3"/>
      <c r="M1343" s="3"/>
      <c r="N1343" s="3"/>
      <c r="O1343" s="3"/>
      <c r="P1343" s="3"/>
      <c r="Q1343" s="3"/>
      <c r="R1343" s="3"/>
      <c r="S1343" s="3"/>
      <c r="T1343" s="3"/>
      <c r="U1343" s="3"/>
      <c r="V1343" s="3"/>
      <c r="W1343" s="3"/>
      <c r="X1343" s="3"/>
      <c r="Y1343" s="3"/>
      <c r="Z1343" s="3"/>
      <c r="AA1343" s="3"/>
    </row>
    <row r="1344">
      <c r="A1344" s="4"/>
      <c r="B1344" s="3"/>
      <c r="C1344" s="3"/>
      <c r="D1344" s="3"/>
      <c r="E1344" s="3"/>
      <c r="F1344" s="3"/>
      <c r="G1344" s="3"/>
      <c r="H1344" s="3"/>
      <c r="I1344" s="3"/>
      <c r="J1344" s="3"/>
      <c r="K1344" s="3"/>
      <c r="L1344" s="3"/>
      <c r="M1344" s="3"/>
      <c r="N1344" s="3"/>
      <c r="O1344" s="3"/>
      <c r="P1344" s="3"/>
      <c r="Q1344" s="3"/>
      <c r="R1344" s="3"/>
      <c r="S1344" s="3"/>
      <c r="T1344" s="3"/>
      <c r="U1344" s="3"/>
      <c r="V1344" s="3"/>
      <c r="W1344" s="3"/>
      <c r="X1344" s="3"/>
      <c r="Y1344" s="3"/>
      <c r="Z1344" s="3"/>
      <c r="AA1344" s="3"/>
    </row>
    <row r="1345">
      <c r="A1345" s="4"/>
      <c r="B1345" s="3"/>
      <c r="C1345" s="3"/>
      <c r="D1345" s="3"/>
      <c r="E1345" s="3"/>
      <c r="F1345" s="3"/>
      <c r="G1345" s="3"/>
      <c r="H1345" s="3"/>
      <c r="I1345" s="3"/>
      <c r="J1345" s="3"/>
      <c r="K1345" s="3"/>
      <c r="L1345" s="3"/>
      <c r="M1345" s="3"/>
      <c r="N1345" s="3"/>
      <c r="O1345" s="3"/>
      <c r="P1345" s="3"/>
      <c r="Q1345" s="3"/>
      <c r="R1345" s="3"/>
      <c r="S1345" s="3"/>
      <c r="T1345" s="3"/>
      <c r="U1345" s="3"/>
      <c r="V1345" s="3"/>
      <c r="W1345" s="3"/>
      <c r="X1345" s="3"/>
      <c r="Y1345" s="3"/>
      <c r="Z1345" s="3"/>
      <c r="AA1345" s="3"/>
    </row>
    <row r="1346">
      <c r="A1346" s="4"/>
      <c r="B1346" s="3"/>
      <c r="C1346" s="3"/>
      <c r="D1346" s="3"/>
      <c r="E1346" s="3"/>
      <c r="F1346" s="3"/>
      <c r="G1346" s="3"/>
      <c r="H1346" s="3"/>
      <c r="I1346" s="3"/>
      <c r="J1346" s="3"/>
      <c r="K1346" s="3"/>
      <c r="L1346" s="3"/>
      <c r="M1346" s="3"/>
      <c r="N1346" s="3"/>
      <c r="O1346" s="3"/>
      <c r="P1346" s="3"/>
      <c r="Q1346" s="3"/>
      <c r="R1346" s="3"/>
      <c r="S1346" s="3"/>
      <c r="T1346" s="3"/>
      <c r="U1346" s="3"/>
      <c r="V1346" s="3"/>
      <c r="W1346" s="3"/>
      <c r="X1346" s="3"/>
      <c r="Y1346" s="3"/>
      <c r="Z1346" s="3"/>
      <c r="AA1346" s="3"/>
    </row>
    <row r="1347">
      <c r="A1347" s="4"/>
      <c r="B1347" s="3"/>
      <c r="C1347" s="3"/>
      <c r="D1347" s="3"/>
      <c r="E1347" s="3"/>
      <c r="F1347" s="3"/>
      <c r="G1347" s="3"/>
      <c r="H1347" s="3"/>
      <c r="I1347" s="3"/>
      <c r="J1347" s="3"/>
      <c r="K1347" s="3"/>
      <c r="L1347" s="3"/>
      <c r="M1347" s="3"/>
      <c r="N1347" s="3"/>
      <c r="O1347" s="3"/>
      <c r="P1347" s="3"/>
      <c r="Q1347" s="3"/>
      <c r="R1347" s="3"/>
      <c r="S1347" s="3"/>
      <c r="T1347" s="3"/>
      <c r="U1347" s="3"/>
      <c r="V1347" s="3"/>
      <c r="W1347" s="3"/>
      <c r="X1347" s="3"/>
      <c r="Y1347" s="3"/>
      <c r="Z1347" s="3"/>
      <c r="AA1347" s="3"/>
    </row>
    <row r="1348">
      <c r="A1348" s="4"/>
      <c r="B1348" s="3"/>
      <c r="C1348" s="3"/>
      <c r="D1348" s="3"/>
      <c r="E1348" s="3"/>
      <c r="F1348" s="3"/>
      <c r="G1348" s="3"/>
      <c r="H1348" s="3"/>
      <c r="I1348" s="3"/>
      <c r="J1348" s="3"/>
      <c r="K1348" s="3"/>
      <c r="L1348" s="3"/>
      <c r="M1348" s="3"/>
      <c r="N1348" s="3"/>
      <c r="O1348" s="3"/>
      <c r="P1348" s="3"/>
      <c r="Q1348" s="3"/>
      <c r="R1348" s="3"/>
      <c r="S1348" s="3"/>
      <c r="T1348" s="3"/>
      <c r="U1348" s="3"/>
      <c r="V1348" s="3"/>
      <c r="W1348" s="3"/>
      <c r="X1348" s="3"/>
      <c r="Y1348" s="3"/>
      <c r="Z1348" s="3"/>
      <c r="AA1348" s="3"/>
    </row>
    <row r="1349">
      <c r="A1349" s="4"/>
      <c r="B1349" s="3"/>
      <c r="C1349" s="3"/>
      <c r="D1349" s="3"/>
      <c r="E1349" s="3"/>
      <c r="F1349" s="3"/>
      <c r="G1349" s="3"/>
      <c r="H1349" s="3"/>
      <c r="I1349" s="3"/>
      <c r="J1349" s="3"/>
      <c r="K1349" s="3"/>
      <c r="L1349" s="3"/>
      <c r="M1349" s="3"/>
      <c r="N1349" s="3"/>
      <c r="O1349" s="3"/>
      <c r="P1349" s="3"/>
      <c r="Q1349" s="3"/>
      <c r="R1349" s="3"/>
      <c r="S1349" s="3"/>
      <c r="T1349" s="3"/>
      <c r="U1349" s="3"/>
      <c r="V1349" s="3"/>
      <c r="W1349" s="3"/>
      <c r="X1349" s="3"/>
      <c r="Y1349" s="3"/>
      <c r="Z1349" s="3"/>
      <c r="AA1349" s="3"/>
    </row>
    <row r="1350">
      <c r="A1350" s="4"/>
      <c r="B1350" s="3"/>
      <c r="C1350" s="3"/>
      <c r="D1350" s="3"/>
      <c r="E1350" s="3"/>
      <c r="F1350" s="3"/>
      <c r="G1350" s="3"/>
      <c r="H1350" s="3"/>
      <c r="I1350" s="3"/>
      <c r="J1350" s="3"/>
      <c r="K1350" s="3"/>
      <c r="L1350" s="3"/>
      <c r="M1350" s="3"/>
      <c r="N1350" s="3"/>
      <c r="O1350" s="3"/>
      <c r="P1350" s="3"/>
      <c r="Q1350" s="3"/>
      <c r="R1350" s="3"/>
      <c r="S1350" s="3"/>
      <c r="T1350" s="3"/>
      <c r="U1350" s="3"/>
      <c r="V1350" s="3"/>
      <c r="W1350" s="3"/>
      <c r="X1350" s="3"/>
      <c r="Y1350" s="3"/>
      <c r="Z1350" s="3"/>
      <c r="AA1350" s="3"/>
    </row>
    <row r="1351">
      <c r="A1351" s="4"/>
      <c r="B1351" s="3"/>
      <c r="C1351" s="3"/>
      <c r="D1351" s="3"/>
      <c r="E1351" s="3"/>
      <c r="F1351" s="3"/>
      <c r="G1351" s="3"/>
      <c r="H1351" s="3"/>
      <c r="I1351" s="3"/>
      <c r="J1351" s="3"/>
      <c r="K1351" s="3"/>
      <c r="L1351" s="3"/>
      <c r="M1351" s="3"/>
      <c r="N1351" s="3"/>
      <c r="O1351" s="3"/>
      <c r="P1351" s="3"/>
      <c r="Q1351" s="3"/>
      <c r="R1351" s="3"/>
      <c r="S1351" s="3"/>
      <c r="T1351" s="3"/>
      <c r="U1351" s="3"/>
      <c r="V1351" s="3"/>
      <c r="W1351" s="3"/>
      <c r="X1351" s="3"/>
      <c r="Y1351" s="3"/>
      <c r="Z1351" s="3"/>
      <c r="AA1351" s="3"/>
    </row>
    <row r="1352">
      <c r="A1352" s="4"/>
      <c r="B1352" s="3"/>
      <c r="C1352" s="3"/>
      <c r="D1352" s="3"/>
      <c r="E1352" s="3"/>
      <c r="F1352" s="3"/>
      <c r="G1352" s="3"/>
      <c r="H1352" s="3"/>
      <c r="I1352" s="3"/>
      <c r="J1352" s="3"/>
      <c r="K1352" s="3"/>
      <c r="L1352" s="3"/>
      <c r="M1352" s="3"/>
      <c r="N1352" s="3"/>
      <c r="O1352" s="3"/>
      <c r="P1352" s="3"/>
      <c r="Q1352" s="3"/>
      <c r="R1352" s="3"/>
      <c r="S1352" s="3"/>
      <c r="T1352" s="3"/>
      <c r="U1352" s="3"/>
      <c r="V1352" s="3"/>
      <c r="W1352" s="3"/>
      <c r="X1352" s="3"/>
      <c r="Y1352" s="3"/>
      <c r="Z1352" s="3"/>
      <c r="AA1352" s="3"/>
    </row>
    <row r="1353">
      <c r="A1353" s="4"/>
      <c r="B1353" s="3"/>
      <c r="C1353" s="3"/>
      <c r="D1353" s="3"/>
      <c r="E1353" s="3"/>
      <c r="F1353" s="3"/>
      <c r="G1353" s="3"/>
      <c r="H1353" s="3"/>
      <c r="I1353" s="3"/>
      <c r="J1353" s="3"/>
      <c r="K1353" s="3"/>
      <c r="L1353" s="3"/>
      <c r="M1353" s="3"/>
      <c r="N1353" s="3"/>
      <c r="O1353" s="3"/>
      <c r="P1353" s="3"/>
      <c r="Q1353" s="3"/>
      <c r="R1353" s="3"/>
      <c r="S1353" s="3"/>
      <c r="T1353" s="3"/>
      <c r="U1353" s="3"/>
      <c r="V1353" s="3"/>
      <c r="W1353" s="3"/>
      <c r="X1353" s="3"/>
      <c r="Y1353" s="3"/>
      <c r="Z1353" s="3"/>
      <c r="AA1353" s="3"/>
    </row>
    <row r="1354">
      <c r="A1354" s="4"/>
      <c r="B1354" s="3"/>
      <c r="C1354" s="3"/>
      <c r="D1354" s="3"/>
      <c r="E1354" s="3"/>
      <c r="F1354" s="3"/>
      <c r="G1354" s="3"/>
      <c r="H1354" s="3"/>
      <c r="I1354" s="3"/>
      <c r="J1354" s="3"/>
      <c r="K1354" s="3"/>
      <c r="L1354" s="3"/>
      <c r="M1354" s="3"/>
      <c r="N1354" s="3"/>
      <c r="O1354" s="3"/>
      <c r="P1354" s="3"/>
      <c r="Q1354" s="3"/>
      <c r="R1354" s="3"/>
      <c r="S1354" s="3"/>
      <c r="T1354" s="3"/>
      <c r="U1354" s="3"/>
      <c r="V1354" s="3"/>
      <c r="W1354" s="3"/>
      <c r="X1354" s="3"/>
      <c r="Y1354" s="3"/>
      <c r="Z1354" s="3"/>
      <c r="AA1354" s="3"/>
    </row>
    <row r="1355">
      <c r="A1355" s="4"/>
      <c r="B1355" s="3"/>
      <c r="C1355" s="3"/>
      <c r="D1355" s="3"/>
      <c r="E1355" s="3"/>
      <c r="F1355" s="3"/>
      <c r="G1355" s="3"/>
      <c r="H1355" s="3"/>
      <c r="I1355" s="3"/>
      <c r="J1355" s="3"/>
      <c r="K1355" s="3"/>
      <c r="L1355" s="3"/>
      <c r="M1355" s="3"/>
      <c r="N1355" s="3"/>
      <c r="O1355" s="3"/>
      <c r="P1355" s="3"/>
      <c r="Q1355" s="3"/>
      <c r="R1355" s="3"/>
      <c r="S1355" s="3"/>
      <c r="T1355" s="3"/>
      <c r="U1355" s="3"/>
      <c r="V1355" s="3"/>
      <c r="W1355" s="3"/>
      <c r="X1355" s="3"/>
      <c r="Y1355" s="3"/>
      <c r="Z1355" s="3"/>
      <c r="AA1355" s="3"/>
    </row>
    <row r="1356">
      <c r="A1356" s="4"/>
      <c r="B1356" s="3"/>
      <c r="C1356" s="3"/>
      <c r="D1356" s="3"/>
      <c r="E1356" s="3"/>
      <c r="F1356" s="3"/>
      <c r="G1356" s="3"/>
      <c r="H1356" s="3"/>
      <c r="I1356" s="3"/>
      <c r="J1356" s="3"/>
      <c r="K1356" s="3"/>
      <c r="L1356" s="3"/>
      <c r="M1356" s="3"/>
      <c r="N1356" s="3"/>
      <c r="O1356" s="3"/>
      <c r="P1356" s="3"/>
      <c r="Q1356" s="3"/>
      <c r="R1356" s="3"/>
      <c r="S1356" s="3"/>
      <c r="T1356" s="3"/>
      <c r="U1356" s="3"/>
      <c r="V1356" s="3"/>
      <c r="W1356" s="3"/>
      <c r="X1356" s="3"/>
      <c r="Y1356" s="3"/>
      <c r="Z1356" s="3"/>
      <c r="AA1356" s="3"/>
    </row>
    <row r="1357">
      <c r="A1357" s="4"/>
      <c r="B1357" s="3"/>
      <c r="C1357" s="3"/>
      <c r="D1357" s="3"/>
      <c r="E1357" s="3"/>
      <c r="F1357" s="3"/>
      <c r="G1357" s="3"/>
      <c r="H1357" s="3"/>
      <c r="I1357" s="3"/>
      <c r="J1357" s="3"/>
      <c r="K1357" s="3"/>
      <c r="L1357" s="3"/>
      <c r="M1357" s="3"/>
      <c r="N1357" s="3"/>
      <c r="O1357" s="3"/>
      <c r="P1357" s="3"/>
      <c r="Q1357" s="3"/>
      <c r="R1357" s="3"/>
      <c r="S1357" s="3"/>
      <c r="T1357" s="3"/>
      <c r="U1357" s="3"/>
      <c r="V1357" s="3"/>
      <c r="W1357" s="3"/>
      <c r="X1357" s="3"/>
      <c r="Y1357" s="3"/>
      <c r="Z1357" s="3"/>
      <c r="AA1357" s="3"/>
    </row>
    <row r="1358">
      <c r="A1358" s="4"/>
      <c r="B1358" s="3"/>
      <c r="C1358" s="3"/>
      <c r="D1358" s="3"/>
      <c r="E1358" s="3"/>
      <c r="F1358" s="3"/>
      <c r="G1358" s="3"/>
      <c r="H1358" s="3"/>
      <c r="I1358" s="3"/>
      <c r="J1358" s="3"/>
      <c r="K1358" s="3"/>
      <c r="L1358" s="3"/>
      <c r="M1358" s="3"/>
      <c r="N1358" s="3"/>
      <c r="O1358" s="3"/>
      <c r="P1358" s="3"/>
      <c r="Q1358" s="3"/>
      <c r="R1358" s="3"/>
      <c r="S1358" s="3"/>
      <c r="T1358" s="3"/>
      <c r="U1358" s="3"/>
      <c r="V1358" s="3"/>
      <c r="W1358" s="3"/>
      <c r="X1358" s="3"/>
      <c r="Y1358" s="3"/>
      <c r="Z1358" s="3"/>
      <c r="AA1358" s="3"/>
    </row>
    <row r="1359">
      <c r="A1359" s="4"/>
      <c r="B1359" s="3"/>
      <c r="C1359" s="3"/>
      <c r="D1359" s="3"/>
      <c r="E1359" s="3"/>
      <c r="F1359" s="3"/>
      <c r="G1359" s="3"/>
      <c r="H1359" s="3"/>
      <c r="I1359" s="3"/>
      <c r="J1359" s="3"/>
      <c r="K1359" s="3"/>
      <c r="L1359" s="3"/>
      <c r="M1359" s="3"/>
      <c r="N1359" s="3"/>
      <c r="O1359" s="3"/>
      <c r="P1359" s="3"/>
      <c r="Q1359" s="3"/>
      <c r="R1359" s="3"/>
      <c r="S1359" s="3"/>
      <c r="T1359" s="3"/>
      <c r="U1359" s="3"/>
      <c r="V1359" s="3"/>
      <c r="W1359" s="3"/>
      <c r="X1359" s="3"/>
      <c r="Y1359" s="3"/>
      <c r="Z1359" s="3"/>
      <c r="AA1359" s="3"/>
    </row>
    <row r="1360">
      <c r="A1360" s="4"/>
      <c r="B1360" s="3"/>
      <c r="C1360" s="3"/>
      <c r="D1360" s="3"/>
      <c r="E1360" s="3"/>
      <c r="F1360" s="3"/>
      <c r="G1360" s="3"/>
      <c r="H1360" s="3"/>
      <c r="I1360" s="3"/>
      <c r="J1360" s="3"/>
      <c r="K1360" s="3"/>
      <c r="L1360" s="3"/>
      <c r="M1360" s="3"/>
      <c r="N1360" s="3"/>
      <c r="O1360" s="3"/>
      <c r="P1360" s="3"/>
      <c r="Q1360" s="3"/>
      <c r="R1360" s="3"/>
      <c r="S1360" s="3"/>
      <c r="T1360" s="3"/>
      <c r="U1360" s="3"/>
      <c r="V1360" s="3"/>
      <c r="W1360" s="3"/>
      <c r="X1360" s="3"/>
      <c r="Y1360" s="3"/>
      <c r="Z1360" s="3"/>
      <c r="AA1360" s="3"/>
    </row>
    <row r="1361">
      <c r="A1361" s="4"/>
      <c r="B1361" s="3"/>
      <c r="C1361" s="3"/>
      <c r="D1361" s="3"/>
      <c r="E1361" s="3"/>
      <c r="F1361" s="3"/>
      <c r="G1361" s="3"/>
      <c r="H1361" s="3"/>
      <c r="I1361" s="3"/>
      <c r="J1361" s="3"/>
      <c r="K1361" s="3"/>
      <c r="L1361" s="3"/>
      <c r="M1361" s="3"/>
      <c r="N1361" s="3"/>
      <c r="O1361" s="3"/>
      <c r="P1361" s="3"/>
      <c r="Q1361" s="3"/>
      <c r="R1361" s="3"/>
      <c r="S1361" s="3"/>
      <c r="T1361" s="3"/>
      <c r="U1361" s="3"/>
      <c r="V1361" s="3"/>
      <c r="W1361" s="3"/>
      <c r="X1361" s="3"/>
      <c r="Y1361" s="3"/>
      <c r="Z1361" s="3"/>
      <c r="AA1361" s="3"/>
    </row>
    <row r="1362">
      <c r="A1362" s="4"/>
      <c r="B1362" s="3"/>
      <c r="C1362" s="3"/>
      <c r="D1362" s="3"/>
      <c r="E1362" s="3"/>
      <c r="F1362" s="3"/>
      <c r="G1362" s="3"/>
      <c r="H1362" s="3"/>
      <c r="I1362" s="3"/>
      <c r="J1362" s="3"/>
      <c r="K1362" s="3"/>
      <c r="L1362" s="3"/>
      <c r="M1362" s="3"/>
      <c r="N1362" s="3"/>
      <c r="O1362" s="3"/>
      <c r="P1362" s="3"/>
      <c r="Q1362" s="3"/>
      <c r="R1362" s="3"/>
      <c r="S1362" s="3"/>
      <c r="T1362" s="3"/>
      <c r="U1362" s="3"/>
      <c r="V1362" s="3"/>
      <c r="W1362" s="3"/>
      <c r="X1362" s="3"/>
      <c r="Y1362" s="3"/>
      <c r="Z1362" s="3"/>
      <c r="AA1362" s="3"/>
    </row>
    <row r="1363">
      <c r="A1363" s="4"/>
      <c r="B1363" s="3"/>
      <c r="C1363" s="3"/>
      <c r="D1363" s="3"/>
      <c r="E1363" s="3"/>
      <c r="F1363" s="3"/>
      <c r="G1363" s="3"/>
      <c r="H1363" s="3"/>
      <c r="I1363" s="3"/>
      <c r="J1363" s="3"/>
      <c r="K1363" s="3"/>
      <c r="L1363" s="3"/>
      <c r="M1363" s="3"/>
      <c r="N1363" s="3"/>
      <c r="O1363" s="3"/>
      <c r="P1363" s="3"/>
      <c r="Q1363" s="3"/>
      <c r="R1363" s="3"/>
      <c r="S1363" s="3"/>
      <c r="T1363" s="3"/>
      <c r="U1363" s="3"/>
      <c r="V1363" s="3"/>
      <c r="W1363" s="3"/>
      <c r="X1363" s="3"/>
      <c r="Y1363" s="3"/>
      <c r="Z1363" s="3"/>
      <c r="AA1363" s="3"/>
    </row>
    <row r="1364">
      <c r="A1364" s="4"/>
      <c r="B1364" s="3"/>
      <c r="C1364" s="3"/>
      <c r="D1364" s="3"/>
      <c r="E1364" s="3"/>
      <c r="F1364" s="3"/>
      <c r="G1364" s="3"/>
      <c r="H1364" s="3"/>
      <c r="I1364" s="3"/>
      <c r="J1364" s="3"/>
      <c r="K1364" s="3"/>
      <c r="L1364" s="3"/>
      <c r="M1364" s="3"/>
      <c r="N1364" s="3"/>
      <c r="O1364" s="3"/>
      <c r="P1364" s="3"/>
      <c r="Q1364" s="3"/>
      <c r="R1364" s="3"/>
      <c r="S1364" s="3"/>
      <c r="T1364" s="3"/>
      <c r="U1364" s="3"/>
      <c r="V1364" s="3"/>
      <c r="W1364" s="3"/>
      <c r="X1364" s="3"/>
      <c r="Y1364" s="3"/>
      <c r="Z1364" s="3"/>
      <c r="AA1364" s="3"/>
    </row>
    <row r="1365">
      <c r="A1365" s="4"/>
      <c r="B1365" s="3"/>
      <c r="C1365" s="3"/>
      <c r="D1365" s="3"/>
      <c r="E1365" s="3"/>
      <c r="F1365" s="3"/>
      <c r="G1365" s="3"/>
      <c r="H1365" s="3"/>
      <c r="I1365" s="3"/>
      <c r="J1365" s="3"/>
      <c r="K1365" s="3"/>
      <c r="L1365" s="3"/>
      <c r="M1365" s="3"/>
      <c r="N1365" s="3"/>
      <c r="O1365" s="3"/>
      <c r="P1365" s="3"/>
      <c r="Q1365" s="3"/>
      <c r="R1365" s="3"/>
      <c r="S1365" s="3"/>
      <c r="T1365" s="3"/>
      <c r="U1365" s="3"/>
      <c r="V1365" s="3"/>
      <c r="W1365" s="3"/>
      <c r="X1365" s="3"/>
      <c r="Y1365" s="3"/>
      <c r="Z1365" s="3"/>
      <c r="AA1365" s="3"/>
    </row>
    <row r="1366">
      <c r="A1366" s="4"/>
      <c r="B1366" s="3"/>
      <c r="C1366" s="3"/>
      <c r="D1366" s="3"/>
      <c r="E1366" s="3"/>
      <c r="F1366" s="3"/>
      <c r="G1366" s="3"/>
      <c r="H1366" s="3"/>
      <c r="I1366" s="3"/>
      <c r="J1366" s="3"/>
      <c r="K1366" s="3"/>
      <c r="L1366" s="3"/>
      <c r="M1366" s="3"/>
      <c r="N1366" s="3"/>
      <c r="O1366" s="3"/>
      <c r="P1366" s="3"/>
      <c r="Q1366" s="3"/>
      <c r="R1366" s="3"/>
      <c r="S1366" s="3"/>
      <c r="T1366" s="3"/>
      <c r="U1366" s="3"/>
      <c r="V1366" s="3"/>
      <c r="W1366" s="3"/>
      <c r="X1366" s="3"/>
      <c r="Y1366" s="3"/>
      <c r="Z1366" s="3"/>
      <c r="AA1366" s="3"/>
    </row>
    <row r="1367">
      <c r="A1367" s="4"/>
      <c r="B1367" s="3"/>
      <c r="C1367" s="3"/>
      <c r="D1367" s="3"/>
      <c r="E1367" s="3"/>
      <c r="F1367" s="3"/>
      <c r="G1367" s="3"/>
      <c r="H1367" s="3"/>
      <c r="I1367" s="3"/>
      <c r="J1367" s="3"/>
      <c r="K1367" s="3"/>
      <c r="L1367" s="3"/>
      <c r="M1367" s="3"/>
      <c r="N1367" s="3"/>
      <c r="O1367" s="3"/>
      <c r="P1367" s="3"/>
      <c r="Q1367" s="3"/>
      <c r="R1367" s="3"/>
      <c r="S1367" s="3"/>
      <c r="T1367" s="3"/>
      <c r="U1367" s="3"/>
      <c r="V1367" s="3"/>
      <c r="W1367" s="3"/>
      <c r="X1367" s="3"/>
      <c r="Y1367" s="3"/>
      <c r="Z1367" s="3"/>
      <c r="AA1367" s="3"/>
    </row>
    <row r="1368">
      <c r="A1368" s="4"/>
      <c r="B1368" s="3"/>
      <c r="C1368" s="3"/>
      <c r="D1368" s="3"/>
      <c r="E1368" s="3"/>
      <c r="F1368" s="3"/>
      <c r="G1368" s="3"/>
      <c r="H1368" s="3"/>
      <c r="I1368" s="3"/>
      <c r="J1368" s="3"/>
      <c r="K1368" s="3"/>
      <c r="L1368" s="3"/>
      <c r="M1368" s="3"/>
      <c r="N1368" s="3"/>
      <c r="O1368" s="3"/>
      <c r="P1368" s="3"/>
      <c r="Q1368" s="3"/>
      <c r="R1368" s="3"/>
      <c r="S1368" s="3"/>
      <c r="T1368" s="3"/>
      <c r="U1368" s="3"/>
      <c r="V1368" s="3"/>
      <c r="W1368" s="3"/>
      <c r="X1368" s="3"/>
      <c r="Y1368" s="3"/>
      <c r="Z1368" s="3"/>
      <c r="AA1368" s="3"/>
    </row>
    <row r="1369">
      <c r="A1369" s="4"/>
      <c r="B1369" s="3"/>
      <c r="C1369" s="3"/>
      <c r="D1369" s="3"/>
      <c r="E1369" s="3"/>
      <c r="F1369" s="3"/>
      <c r="G1369" s="3"/>
      <c r="H1369" s="3"/>
      <c r="I1369" s="3"/>
      <c r="J1369" s="3"/>
      <c r="K1369" s="3"/>
      <c r="L1369" s="3"/>
      <c r="M1369" s="3"/>
      <c r="N1369" s="3"/>
      <c r="O1369" s="3"/>
      <c r="P1369" s="3"/>
      <c r="Q1369" s="3"/>
      <c r="R1369" s="3"/>
      <c r="S1369" s="3"/>
      <c r="T1369" s="3"/>
      <c r="U1369" s="3"/>
      <c r="V1369" s="3"/>
      <c r="W1369" s="3"/>
      <c r="X1369" s="3"/>
      <c r="Y1369" s="3"/>
      <c r="Z1369" s="3"/>
      <c r="AA1369" s="3"/>
    </row>
    <row r="1370">
      <c r="A1370" s="4"/>
      <c r="B1370" s="3"/>
      <c r="C1370" s="3"/>
      <c r="D1370" s="3"/>
      <c r="E1370" s="3"/>
      <c r="F1370" s="3"/>
      <c r="G1370" s="3"/>
      <c r="H1370" s="3"/>
      <c r="I1370" s="3"/>
      <c r="J1370" s="3"/>
      <c r="K1370" s="3"/>
      <c r="L1370" s="3"/>
      <c r="M1370" s="3"/>
      <c r="N1370" s="3"/>
      <c r="O1370" s="3"/>
      <c r="P1370" s="3"/>
      <c r="Q1370" s="3"/>
      <c r="R1370" s="3"/>
      <c r="S1370" s="3"/>
      <c r="T1370" s="3"/>
      <c r="U1370" s="3"/>
      <c r="V1370" s="3"/>
      <c r="W1370" s="3"/>
      <c r="X1370" s="3"/>
      <c r="Y1370" s="3"/>
      <c r="Z1370" s="3"/>
      <c r="AA1370" s="3"/>
    </row>
    <row r="1371">
      <c r="A1371" s="4"/>
      <c r="B1371" s="3"/>
      <c r="C1371" s="3"/>
      <c r="D1371" s="3"/>
      <c r="E1371" s="3"/>
      <c r="F1371" s="3"/>
      <c r="G1371" s="3"/>
      <c r="H1371" s="3"/>
      <c r="I1371" s="3"/>
      <c r="J1371" s="3"/>
      <c r="K1371" s="3"/>
      <c r="L1371" s="3"/>
      <c r="M1371" s="3"/>
      <c r="N1371" s="3"/>
      <c r="O1371" s="3"/>
      <c r="P1371" s="3"/>
      <c r="Q1371" s="3"/>
      <c r="R1371" s="3"/>
      <c r="S1371" s="3"/>
      <c r="T1371" s="3"/>
      <c r="U1371" s="3"/>
      <c r="V1371" s="3"/>
      <c r="W1371" s="3"/>
      <c r="X1371" s="3"/>
      <c r="Y1371" s="3"/>
      <c r="Z1371" s="3"/>
      <c r="AA1371" s="3"/>
    </row>
    <row r="1372">
      <c r="A1372" s="4"/>
      <c r="B1372" s="3"/>
      <c r="C1372" s="3"/>
      <c r="D1372" s="3"/>
      <c r="E1372" s="3"/>
      <c r="F1372" s="3"/>
      <c r="G1372" s="3"/>
      <c r="H1372" s="3"/>
      <c r="I1372" s="3"/>
      <c r="J1372" s="3"/>
      <c r="K1372" s="3"/>
      <c r="L1372" s="3"/>
      <c r="M1372" s="3"/>
      <c r="N1372" s="3"/>
      <c r="O1372" s="3"/>
      <c r="P1372" s="3"/>
      <c r="Q1372" s="3"/>
      <c r="R1372" s="3"/>
      <c r="S1372" s="3"/>
      <c r="T1372" s="3"/>
      <c r="U1372" s="3"/>
      <c r="V1372" s="3"/>
      <c r="W1372" s="3"/>
      <c r="X1372" s="3"/>
      <c r="Y1372" s="3"/>
      <c r="Z1372" s="3"/>
      <c r="AA1372" s="3"/>
    </row>
    <row r="1373">
      <c r="A1373" s="4"/>
      <c r="B1373" s="3"/>
      <c r="C1373" s="3"/>
      <c r="D1373" s="3"/>
      <c r="E1373" s="3"/>
      <c r="F1373" s="3"/>
      <c r="G1373" s="3"/>
      <c r="H1373" s="3"/>
      <c r="I1373" s="3"/>
      <c r="J1373" s="3"/>
      <c r="K1373" s="3"/>
      <c r="L1373" s="3"/>
      <c r="M1373" s="3"/>
      <c r="N1373" s="3"/>
      <c r="O1373" s="3"/>
      <c r="P1373" s="3"/>
      <c r="Q1373" s="3"/>
      <c r="R1373" s="3"/>
      <c r="S1373" s="3"/>
      <c r="T1373" s="3"/>
      <c r="U1373" s="3"/>
      <c r="V1373" s="3"/>
      <c r="W1373" s="3"/>
      <c r="X1373" s="3"/>
      <c r="Y1373" s="3"/>
      <c r="Z1373" s="3"/>
      <c r="AA1373" s="3"/>
    </row>
    <row r="1374">
      <c r="A1374" s="4"/>
      <c r="B1374" s="3"/>
      <c r="C1374" s="3"/>
      <c r="D1374" s="3"/>
      <c r="E1374" s="3"/>
      <c r="F1374" s="3"/>
      <c r="G1374" s="3"/>
      <c r="H1374" s="3"/>
      <c r="I1374" s="3"/>
      <c r="J1374" s="3"/>
      <c r="K1374" s="3"/>
      <c r="L1374" s="3"/>
      <c r="M1374" s="3"/>
      <c r="N1374" s="3"/>
      <c r="O1374" s="3"/>
      <c r="P1374" s="3"/>
      <c r="Q1374" s="3"/>
      <c r="R1374" s="3"/>
      <c r="S1374" s="3"/>
      <c r="T1374" s="3"/>
      <c r="U1374" s="3"/>
      <c r="V1374" s="3"/>
      <c r="W1374" s="3"/>
      <c r="X1374" s="3"/>
      <c r="Y1374" s="3"/>
      <c r="Z1374" s="3"/>
      <c r="AA1374" s="3"/>
    </row>
    <row r="1375">
      <c r="A1375" s="4"/>
      <c r="B1375" s="3"/>
      <c r="C1375" s="3"/>
      <c r="D1375" s="3"/>
      <c r="E1375" s="3"/>
      <c r="F1375" s="3"/>
      <c r="G1375" s="3"/>
      <c r="H1375" s="3"/>
      <c r="I1375" s="3"/>
      <c r="J1375" s="3"/>
      <c r="K1375" s="3"/>
      <c r="L1375" s="3"/>
      <c r="M1375" s="3"/>
      <c r="N1375" s="3"/>
      <c r="O1375" s="3"/>
      <c r="P1375" s="3"/>
      <c r="Q1375" s="3"/>
      <c r="R1375" s="3"/>
      <c r="S1375" s="3"/>
      <c r="T1375" s="3"/>
      <c r="U1375" s="3"/>
      <c r="V1375" s="3"/>
      <c r="W1375" s="3"/>
      <c r="X1375" s="3"/>
      <c r="Y1375" s="3"/>
      <c r="Z1375" s="3"/>
      <c r="AA1375" s="3"/>
    </row>
    <row r="1376">
      <c r="A1376" s="4"/>
      <c r="B1376" s="3"/>
      <c r="C1376" s="3"/>
      <c r="D1376" s="3"/>
      <c r="E1376" s="3"/>
      <c r="F1376" s="3"/>
      <c r="G1376" s="3"/>
      <c r="H1376" s="3"/>
      <c r="I1376" s="3"/>
      <c r="J1376" s="3"/>
      <c r="K1376" s="3"/>
      <c r="L1376" s="3"/>
      <c r="M1376" s="3"/>
      <c r="N1376" s="3"/>
      <c r="O1376" s="3"/>
      <c r="P1376" s="3"/>
      <c r="Q1376" s="3"/>
      <c r="R1376" s="3"/>
      <c r="S1376" s="3"/>
      <c r="T1376" s="3"/>
      <c r="U1376" s="3"/>
      <c r="V1376" s="3"/>
      <c r="W1376" s="3"/>
      <c r="X1376" s="3"/>
      <c r="Y1376" s="3"/>
      <c r="Z1376" s="3"/>
      <c r="AA1376" s="3"/>
    </row>
    <row r="1377">
      <c r="A1377" s="4"/>
      <c r="B1377" s="3"/>
      <c r="C1377" s="3"/>
      <c r="D1377" s="3"/>
      <c r="E1377" s="3"/>
      <c r="F1377" s="3"/>
      <c r="G1377" s="3"/>
      <c r="H1377" s="3"/>
      <c r="I1377" s="3"/>
      <c r="J1377" s="3"/>
      <c r="K1377" s="3"/>
      <c r="L1377" s="3"/>
      <c r="M1377" s="3"/>
      <c r="N1377" s="3"/>
      <c r="O1377" s="3"/>
      <c r="P1377" s="3"/>
      <c r="Q1377" s="3"/>
      <c r="R1377" s="3"/>
      <c r="S1377" s="3"/>
      <c r="T1377" s="3"/>
      <c r="U1377" s="3"/>
      <c r="V1377" s="3"/>
      <c r="W1377" s="3"/>
      <c r="X1377" s="3"/>
      <c r="Y1377" s="3"/>
      <c r="Z1377" s="3"/>
      <c r="AA1377" s="3"/>
    </row>
    <row r="1378">
      <c r="A1378" s="4"/>
      <c r="B1378" s="3"/>
      <c r="C1378" s="3"/>
      <c r="D1378" s="3"/>
      <c r="E1378" s="3"/>
      <c r="F1378" s="3"/>
      <c r="G1378" s="3"/>
      <c r="H1378" s="3"/>
      <c r="I1378" s="3"/>
      <c r="J1378" s="3"/>
      <c r="K1378" s="3"/>
      <c r="L1378" s="3"/>
      <c r="M1378" s="3"/>
      <c r="N1378" s="3"/>
      <c r="O1378" s="3"/>
      <c r="P1378" s="3"/>
      <c r="Q1378" s="3"/>
      <c r="R1378" s="3"/>
      <c r="S1378" s="3"/>
      <c r="T1378" s="3"/>
      <c r="U1378" s="3"/>
      <c r="V1378" s="3"/>
      <c r="W1378" s="3"/>
      <c r="X1378" s="3"/>
      <c r="Y1378" s="3"/>
      <c r="Z1378" s="3"/>
      <c r="AA1378" s="3"/>
    </row>
    <row r="1379">
      <c r="A1379" s="4"/>
      <c r="B1379" s="3"/>
      <c r="C1379" s="3"/>
      <c r="D1379" s="3"/>
      <c r="E1379" s="3"/>
      <c r="F1379" s="3"/>
      <c r="G1379" s="3"/>
      <c r="H1379" s="3"/>
      <c r="I1379" s="3"/>
      <c r="J1379" s="3"/>
      <c r="K1379" s="3"/>
      <c r="L1379" s="3"/>
      <c r="M1379" s="3"/>
      <c r="N1379" s="3"/>
      <c r="O1379" s="3"/>
      <c r="P1379" s="3"/>
      <c r="Q1379" s="3"/>
      <c r="R1379" s="3"/>
      <c r="S1379" s="3"/>
      <c r="T1379" s="3"/>
      <c r="U1379" s="3"/>
      <c r="V1379" s="3"/>
      <c r="W1379" s="3"/>
      <c r="X1379" s="3"/>
      <c r="Y1379" s="3"/>
      <c r="Z1379" s="3"/>
      <c r="AA1379" s="3"/>
    </row>
    <row r="1380">
      <c r="A1380" s="4"/>
      <c r="B1380" s="3"/>
      <c r="C1380" s="3"/>
      <c r="D1380" s="3"/>
      <c r="E1380" s="3"/>
      <c r="F1380" s="3"/>
      <c r="G1380" s="3"/>
      <c r="H1380" s="3"/>
      <c r="I1380" s="3"/>
      <c r="J1380" s="3"/>
      <c r="K1380" s="3"/>
      <c r="L1380" s="3"/>
      <c r="M1380" s="3"/>
      <c r="N1380" s="3"/>
      <c r="O1380" s="3"/>
      <c r="P1380" s="3"/>
      <c r="Q1380" s="3"/>
      <c r="R1380" s="3"/>
      <c r="S1380" s="3"/>
      <c r="T1380" s="3"/>
      <c r="U1380" s="3"/>
      <c r="V1380" s="3"/>
      <c r="W1380" s="3"/>
      <c r="X1380" s="3"/>
      <c r="Y1380" s="3"/>
      <c r="Z1380" s="3"/>
      <c r="AA1380" s="3"/>
    </row>
    <row r="1381">
      <c r="A1381" s="4"/>
      <c r="B1381" s="3"/>
      <c r="C1381" s="3"/>
      <c r="D1381" s="3"/>
      <c r="E1381" s="3"/>
      <c r="F1381" s="3"/>
      <c r="G1381" s="3"/>
      <c r="H1381" s="3"/>
      <c r="I1381" s="3"/>
      <c r="J1381" s="3"/>
      <c r="K1381" s="3"/>
      <c r="L1381" s="3"/>
      <c r="M1381" s="3"/>
      <c r="N1381" s="3"/>
      <c r="O1381" s="3"/>
      <c r="P1381" s="3"/>
      <c r="Q1381" s="3"/>
      <c r="R1381" s="3"/>
      <c r="S1381" s="3"/>
      <c r="T1381" s="3"/>
      <c r="U1381" s="3"/>
      <c r="V1381" s="3"/>
      <c r="W1381" s="3"/>
      <c r="X1381" s="3"/>
      <c r="Y1381" s="3"/>
      <c r="Z1381" s="3"/>
      <c r="AA1381" s="3"/>
    </row>
    <row r="1382">
      <c r="A1382" s="4"/>
      <c r="B1382" s="3"/>
      <c r="C1382" s="3"/>
      <c r="D1382" s="3"/>
      <c r="E1382" s="3"/>
      <c r="F1382" s="3"/>
      <c r="G1382" s="3"/>
      <c r="H1382" s="3"/>
      <c r="I1382" s="3"/>
      <c r="J1382" s="3"/>
      <c r="K1382" s="3"/>
      <c r="L1382" s="3"/>
      <c r="M1382" s="3"/>
      <c r="N1382" s="3"/>
      <c r="O1382" s="3"/>
      <c r="P1382" s="3"/>
      <c r="Q1382" s="3"/>
      <c r="R1382" s="3"/>
      <c r="S1382" s="3"/>
      <c r="T1382" s="3"/>
      <c r="U1382" s="3"/>
      <c r="V1382" s="3"/>
      <c r="W1382" s="3"/>
      <c r="X1382" s="3"/>
      <c r="Y1382" s="3"/>
      <c r="Z1382" s="3"/>
      <c r="AA1382" s="3"/>
    </row>
    <row r="1383">
      <c r="A1383" s="4"/>
      <c r="B1383" s="3"/>
      <c r="C1383" s="3"/>
      <c r="D1383" s="3"/>
      <c r="E1383" s="3"/>
      <c r="F1383" s="3"/>
      <c r="G1383" s="3"/>
      <c r="H1383" s="3"/>
      <c r="I1383" s="3"/>
      <c r="J1383" s="3"/>
      <c r="K1383" s="3"/>
      <c r="L1383" s="3"/>
      <c r="M1383" s="3"/>
      <c r="N1383" s="3"/>
      <c r="O1383" s="3"/>
      <c r="P1383" s="3"/>
      <c r="Q1383" s="3"/>
      <c r="R1383" s="3"/>
      <c r="S1383" s="3"/>
      <c r="T1383" s="3"/>
      <c r="U1383" s="3"/>
      <c r="V1383" s="3"/>
      <c r="W1383" s="3"/>
      <c r="X1383" s="3"/>
      <c r="Y1383" s="3"/>
      <c r="Z1383" s="3"/>
      <c r="AA1383" s="3"/>
    </row>
    <row r="1384">
      <c r="A1384" s="4"/>
      <c r="B1384" s="3"/>
      <c r="C1384" s="3"/>
      <c r="D1384" s="3"/>
      <c r="E1384" s="3"/>
      <c r="F1384" s="3"/>
      <c r="G1384" s="3"/>
      <c r="H1384" s="3"/>
      <c r="I1384" s="3"/>
      <c r="J1384" s="3"/>
      <c r="K1384" s="3"/>
      <c r="L1384" s="3"/>
      <c r="M1384" s="3"/>
      <c r="N1384" s="3"/>
      <c r="O1384" s="3"/>
      <c r="P1384" s="3"/>
      <c r="Q1384" s="3"/>
      <c r="R1384" s="3"/>
      <c r="S1384" s="3"/>
      <c r="T1384" s="3"/>
      <c r="U1384" s="3"/>
      <c r="V1384" s="3"/>
      <c r="W1384" s="3"/>
      <c r="X1384" s="3"/>
      <c r="Y1384" s="3"/>
      <c r="Z1384" s="3"/>
      <c r="AA1384" s="3"/>
    </row>
    <row r="1385">
      <c r="A1385" s="4"/>
      <c r="B1385" s="3"/>
      <c r="C1385" s="3"/>
      <c r="D1385" s="3"/>
      <c r="E1385" s="3"/>
      <c r="F1385" s="3"/>
      <c r="G1385" s="3"/>
      <c r="H1385" s="3"/>
      <c r="I1385" s="3"/>
      <c r="J1385" s="3"/>
      <c r="K1385" s="3"/>
      <c r="L1385" s="3"/>
      <c r="M1385" s="3"/>
      <c r="N1385" s="3"/>
      <c r="O1385" s="3"/>
      <c r="P1385" s="3"/>
      <c r="Q1385" s="3"/>
      <c r="R1385" s="3"/>
      <c r="S1385" s="3"/>
      <c r="T1385" s="3"/>
      <c r="U1385" s="3"/>
      <c r="V1385" s="3"/>
      <c r="W1385" s="3"/>
      <c r="X1385" s="3"/>
      <c r="Y1385" s="3"/>
      <c r="Z1385" s="3"/>
      <c r="AA1385" s="3"/>
    </row>
    <row r="1386">
      <c r="A1386" s="4"/>
      <c r="B1386" s="3"/>
      <c r="C1386" s="3"/>
      <c r="D1386" s="3"/>
      <c r="E1386" s="3"/>
      <c r="F1386" s="3"/>
      <c r="G1386" s="3"/>
      <c r="H1386" s="3"/>
      <c r="I1386" s="3"/>
      <c r="J1386" s="3"/>
      <c r="K1386" s="3"/>
      <c r="L1386" s="3"/>
      <c r="M1386" s="3"/>
      <c r="N1386" s="3"/>
      <c r="O1386" s="3"/>
      <c r="P1386" s="3"/>
      <c r="Q1386" s="3"/>
      <c r="R1386" s="3"/>
      <c r="S1386" s="3"/>
      <c r="T1386" s="3"/>
      <c r="U1386" s="3"/>
      <c r="V1386" s="3"/>
      <c r="W1386" s="3"/>
      <c r="X1386" s="3"/>
      <c r="Y1386" s="3"/>
      <c r="Z1386" s="3"/>
      <c r="AA1386" s="3"/>
    </row>
    <row r="1387">
      <c r="A1387" s="4"/>
      <c r="B1387" s="3"/>
      <c r="C1387" s="3"/>
      <c r="D1387" s="3"/>
      <c r="E1387" s="3"/>
      <c r="F1387" s="3"/>
      <c r="G1387" s="3"/>
      <c r="H1387" s="3"/>
      <c r="I1387" s="3"/>
      <c r="J1387" s="3"/>
      <c r="K1387" s="3"/>
      <c r="L1387" s="3"/>
      <c r="M1387" s="3"/>
      <c r="N1387" s="3"/>
      <c r="O1387" s="3"/>
      <c r="P1387" s="3"/>
      <c r="Q1387" s="3"/>
      <c r="R1387" s="3"/>
      <c r="S1387" s="3"/>
      <c r="T1387" s="3"/>
      <c r="U1387" s="3"/>
      <c r="V1387" s="3"/>
      <c r="W1387" s="3"/>
      <c r="X1387" s="3"/>
      <c r="Y1387" s="3"/>
      <c r="Z1387" s="3"/>
      <c r="AA1387" s="3"/>
    </row>
    <row r="1388">
      <c r="A1388" s="4"/>
      <c r="B1388" s="3"/>
      <c r="C1388" s="3"/>
      <c r="D1388" s="3"/>
      <c r="E1388" s="3"/>
      <c r="F1388" s="3"/>
      <c r="G1388" s="3"/>
      <c r="H1388" s="3"/>
      <c r="I1388" s="3"/>
      <c r="J1388" s="3"/>
      <c r="K1388" s="3"/>
      <c r="L1388" s="3"/>
      <c r="M1388" s="3"/>
      <c r="N1388" s="3"/>
      <c r="O1388" s="3"/>
      <c r="P1388" s="3"/>
      <c r="Q1388" s="3"/>
      <c r="R1388" s="3"/>
      <c r="S1388" s="3"/>
      <c r="T1388" s="3"/>
      <c r="U1388" s="3"/>
      <c r="V1388" s="3"/>
      <c r="W1388" s="3"/>
      <c r="X1388" s="3"/>
      <c r="Y1388" s="3"/>
      <c r="Z1388" s="3"/>
      <c r="AA1388" s="3"/>
    </row>
    <row r="1389">
      <c r="A1389" s="4"/>
      <c r="B1389" s="3"/>
      <c r="C1389" s="3"/>
      <c r="D1389" s="3"/>
      <c r="E1389" s="3"/>
      <c r="F1389" s="3"/>
      <c r="G1389" s="3"/>
      <c r="H1389" s="3"/>
      <c r="I1389" s="3"/>
      <c r="J1389" s="3"/>
      <c r="K1389" s="3"/>
      <c r="L1389" s="3"/>
      <c r="M1389" s="3"/>
      <c r="N1389" s="3"/>
      <c r="O1389" s="3"/>
      <c r="P1389" s="3"/>
      <c r="Q1389" s="3"/>
      <c r="R1389" s="3"/>
      <c r="S1389" s="3"/>
      <c r="T1389" s="3"/>
      <c r="U1389" s="3"/>
      <c r="V1389" s="3"/>
      <c r="W1389" s="3"/>
      <c r="X1389" s="3"/>
      <c r="Y1389" s="3"/>
      <c r="Z1389" s="3"/>
      <c r="AA1389" s="3"/>
    </row>
    <row r="1390">
      <c r="A1390" s="4"/>
      <c r="B1390" s="3"/>
      <c r="C1390" s="3"/>
      <c r="D1390" s="3"/>
      <c r="E1390" s="3"/>
      <c r="F1390" s="3"/>
      <c r="G1390" s="3"/>
      <c r="H1390" s="3"/>
      <c r="I1390" s="3"/>
      <c r="J1390" s="3"/>
      <c r="K1390" s="3"/>
      <c r="L1390" s="3"/>
      <c r="M1390" s="3"/>
      <c r="N1390" s="3"/>
      <c r="O1390" s="3"/>
      <c r="P1390" s="3"/>
      <c r="Q1390" s="3"/>
      <c r="R1390" s="3"/>
      <c r="S1390" s="3"/>
      <c r="T1390" s="3"/>
      <c r="U1390" s="3"/>
      <c r="V1390" s="3"/>
      <c r="W1390" s="3"/>
      <c r="X1390" s="3"/>
      <c r="Y1390" s="3"/>
      <c r="Z1390" s="3"/>
      <c r="AA1390" s="3"/>
    </row>
    <row r="1391">
      <c r="A1391" s="4"/>
      <c r="B1391" s="3"/>
      <c r="C1391" s="3"/>
      <c r="D1391" s="3"/>
      <c r="E1391" s="3"/>
      <c r="F1391" s="3"/>
      <c r="G1391" s="3"/>
      <c r="H1391" s="3"/>
      <c r="I1391" s="3"/>
      <c r="J1391" s="3"/>
      <c r="K1391" s="3"/>
      <c r="L1391" s="3"/>
      <c r="M1391" s="3"/>
      <c r="N1391" s="3"/>
      <c r="O1391" s="3"/>
      <c r="P1391" s="3"/>
      <c r="Q1391" s="3"/>
      <c r="R1391" s="3"/>
      <c r="S1391" s="3"/>
      <c r="T1391" s="3"/>
      <c r="U1391" s="3"/>
      <c r="V1391" s="3"/>
      <c r="W1391" s="3"/>
      <c r="X1391" s="3"/>
      <c r="Y1391" s="3"/>
      <c r="Z1391" s="3"/>
      <c r="AA1391" s="3"/>
    </row>
    <row r="1392">
      <c r="A1392" s="4"/>
      <c r="B1392" s="3"/>
      <c r="C1392" s="3"/>
      <c r="D1392" s="3"/>
      <c r="E1392" s="3"/>
      <c r="F1392" s="3"/>
      <c r="G1392" s="3"/>
      <c r="H1392" s="3"/>
      <c r="I1392" s="3"/>
      <c r="J1392" s="3"/>
      <c r="K1392" s="3"/>
      <c r="L1392" s="3"/>
      <c r="M1392" s="3"/>
      <c r="N1392" s="3"/>
      <c r="O1392" s="3"/>
      <c r="P1392" s="3"/>
      <c r="Q1392" s="3"/>
      <c r="R1392" s="3"/>
      <c r="S1392" s="3"/>
      <c r="T1392" s="3"/>
      <c r="U1392" s="3"/>
      <c r="V1392" s="3"/>
      <c r="W1392" s="3"/>
      <c r="X1392" s="3"/>
      <c r="Y1392" s="3"/>
      <c r="Z1392" s="3"/>
      <c r="AA1392" s="3"/>
    </row>
    <row r="1393">
      <c r="A1393" s="4"/>
      <c r="B1393" s="3"/>
      <c r="C1393" s="3"/>
      <c r="D1393" s="3"/>
      <c r="E1393" s="3"/>
      <c r="F1393" s="3"/>
      <c r="G1393" s="3"/>
      <c r="H1393" s="3"/>
      <c r="I1393" s="3"/>
      <c r="J1393" s="3"/>
      <c r="K1393" s="3"/>
      <c r="L1393" s="3"/>
      <c r="M1393" s="3"/>
      <c r="N1393" s="3"/>
      <c r="O1393" s="3"/>
      <c r="P1393" s="3"/>
      <c r="Q1393" s="3"/>
      <c r="R1393" s="3"/>
      <c r="S1393" s="3"/>
      <c r="T1393" s="3"/>
      <c r="U1393" s="3"/>
      <c r="V1393" s="3"/>
      <c r="W1393" s="3"/>
      <c r="X1393" s="3"/>
      <c r="Y1393" s="3"/>
      <c r="Z1393" s="3"/>
      <c r="AA1393" s="3"/>
    </row>
    <row r="1394">
      <c r="A1394" s="4"/>
      <c r="B1394" s="3"/>
      <c r="C1394" s="3"/>
      <c r="D1394" s="3"/>
      <c r="E1394" s="3"/>
      <c r="F1394" s="3"/>
      <c r="G1394" s="3"/>
      <c r="H1394" s="3"/>
      <c r="I1394" s="3"/>
      <c r="J1394" s="3"/>
      <c r="K1394" s="3"/>
      <c r="L1394" s="3"/>
      <c r="M1394" s="3"/>
      <c r="N1394" s="3"/>
      <c r="O1394" s="3"/>
      <c r="P1394" s="3"/>
      <c r="Q1394" s="3"/>
      <c r="R1394" s="3"/>
      <c r="S1394" s="3"/>
      <c r="T1394" s="3"/>
      <c r="U1394" s="3"/>
      <c r="V1394" s="3"/>
      <c r="W1394" s="3"/>
      <c r="X1394" s="3"/>
      <c r="Y1394" s="3"/>
      <c r="Z1394" s="3"/>
      <c r="AA1394" s="3"/>
    </row>
    <row r="1395">
      <c r="A1395" s="4"/>
      <c r="B1395" s="3"/>
      <c r="C1395" s="3"/>
      <c r="D1395" s="3"/>
      <c r="E1395" s="3"/>
      <c r="F1395" s="3"/>
      <c r="G1395" s="3"/>
      <c r="H1395" s="3"/>
      <c r="I1395" s="3"/>
      <c r="J1395" s="3"/>
      <c r="K1395" s="3"/>
      <c r="L1395" s="3"/>
      <c r="M1395" s="3"/>
      <c r="N1395" s="3"/>
      <c r="O1395" s="3"/>
      <c r="P1395" s="3"/>
      <c r="Q1395" s="3"/>
      <c r="R1395" s="3"/>
      <c r="S1395" s="3"/>
      <c r="T1395" s="3"/>
      <c r="U1395" s="3"/>
      <c r="V1395" s="3"/>
      <c r="W1395" s="3"/>
      <c r="X1395" s="3"/>
      <c r="Y1395" s="3"/>
      <c r="Z1395" s="3"/>
      <c r="AA1395" s="3"/>
    </row>
    <row r="1396">
      <c r="A1396" s="4"/>
      <c r="B1396" s="3"/>
      <c r="C1396" s="3"/>
      <c r="D1396" s="3"/>
      <c r="E1396" s="3"/>
      <c r="F1396" s="3"/>
      <c r="G1396" s="3"/>
      <c r="H1396" s="3"/>
      <c r="I1396" s="3"/>
      <c r="J1396" s="3"/>
      <c r="K1396" s="3"/>
      <c r="L1396" s="3"/>
      <c r="M1396" s="3"/>
      <c r="N1396" s="3"/>
      <c r="O1396" s="3"/>
      <c r="P1396" s="3"/>
      <c r="Q1396" s="3"/>
      <c r="R1396" s="3"/>
      <c r="S1396" s="3"/>
      <c r="T1396" s="3"/>
      <c r="U1396" s="3"/>
      <c r="V1396" s="3"/>
      <c r="W1396" s="3"/>
      <c r="X1396" s="3"/>
      <c r="Y1396" s="3"/>
      <c r="Z1396" s="3"/>
      <c r="AA1396" s="3"/>
    </row>
    <row r="1397">
      <c r="A1397" s="4"/>
      <c r="B1397" s="3"/>
      <c r="C1397" s="3"/>
      <c r="D1397" s="3"/>
      <c r="E1397" s="3"/>
      <c r="F1397" s="3"/>
      <c r="G1397" s="3"/>
      <c r="H1397" s="3"/>
      <c r="I1397" s="3"/>
      <c r="J1397" s="3"/>
      <c r="K1397" s="3"/>
      <c r="L1397" s="3"/>
      <c r="M1397" s="3"/>
      <c r="N1397" s="3"/>
      <c r="O1397" s="3"/>
      <c r="P1397" s="3"/>
      <c r="Q1397" s="3"/>
      <c r="R1397" s="3"/>
      <c r="S1397" s="3"/>
      <c r="T1397" s="3"/>
      <c r="U1397" s="3"/>
      <c r="V1397" s="3"/>
      <c r="W1397" s="3"/>
      <c r="X1397" s="3"/>
      <c r="Y1397" s="3"/>
      <c r="Z1397" s="3"/>
      <c r="AA1397" s="3"/>
    </row>
    <row r="1398">
      <c r="A1398" s="4"/>
      <c r="B1398" s="3"/>
      <c r="C1398" s="3"/>
      <c r="D1398" s="3"/>
      <c r="E1398" s="3"/>
      <c r="F1398" s="3"/>
      <c r="G1398" s="3"/>
      <c r="H1398" s="3"/>
      <c r="I1398" s="3"/>
      <c r="J1398" s="3"/>
      <c r="K1398" s="3"/>
      <c r="L1398" s="3"/>
      <c r="M1398" s="3"/>
      <c r="N1398" s="3"/>
      <c r="O1398" s="3"/>
      <c r="P1398" s="3"/>
      <c r="Q1398" s="3"/>
      <c r="R1398" s="3"/>
      <c r="S1398" s="3"/>
      <c r="T1398" s="3"/>
      <c r="U1398" s="3"/>
      <c r="V1398" s="3"/>
      <c r="W1398" s="3"/>
      <c r="X1398" s="3"/>
      <c r="Y1398" s="3"/>
      <c r="Z1398" s="3"/>
      <c r="AA1398" s="3"/>
    </row>
    <row r="1399">
      <c r="A1399" s="4"/>
      <c r="B1399" s="3"/>
      <c r="C1399" s="3"/>
      <c r="D1399" s="3"/>
      <c r="E1399" s="3"/>
      <c r="F1399" s="3"/>
      <c r="G1399" s="3"/>
      <c r="H1399" s="3"/>
      <c r="I1399" s="3"/>
      <c r="J1399" s="3"/>
      <c r="K1399" s="3"/>
      <c r="L1399" s="3"/>
      <c r="M1399" s="3"/>
      <c r="N1399" s="3"/>
      <c r="O1399" s="3"/>
      <c r="P1399" s="3"/>
      <c r="Q1399" s="3"/>
      <c r="R1399" s="3"/>
      <c r="S1399" s="3"/>
      <c r="T1399" s="3"/>
      <c r="U1399" s="3"/>
      <c r="V1399" s="3"/>
      <c r="W1399" s="3"/>
      <c r="X1399" s="3"/>
      <c r="Y1399" s="3"/>
      <c r="Z1399" s="3"/>
      <c r="AA1399" s="3"/>
    </row>
    <row r="1400">
      <c r="A1400" s="4"/>
      <c r="B1400" s="3"/>
      <c r="C1400" s="3"/>
      <c r="D1400" s="3"/>
      <c r="E1400" s="3"/>
      <c r="F1400" s="3"/>
      <c r="G1400" s="3"/>
      <c r="H1400" s="3"/>
      <c r="I1400" s="3"/>
      <c r="J1400" s="3"/>
      <c r="K1400" s="3"/>
      <c r="L1400" s="3"/>
      <c r="M1400" s="3"/>
      <c r="N1400" s="3"/>
      <c r="O1400" s="3"/>
      <c r="P1400" s="3"/>
      <c r="Q1400" s="3"/>
      <c r="R1400" s="3"/>
      <c r="S1400" s="3"/>
      <c r="T1400" s="3"/>
      <c r="U1400" s="3"/>
      <c r="V1400" s="3"/>
      <c r="W1400" s="3"/>
      <c r="X1400" s="3"/>
      <c r="Y1400" s="3"/>
      <c r="Z1400" s="3"/>
      <c r="AA1400" s="3"/>
    </row>
    <row r="1401">
      <c r="A1401" s="4"/>
      <c r="B1401" s="3"/>
      <c r="C1401" s="3"/>
      <c r="D1401" s="3"/>
      <c r="E1401" s="3"/>
      <c r="F1401" s="3"/>
      <c r="G1401" s="3"/>
      <c r="H1401" s="3"/>
      <c r="I1401" s="3"/>
      <c r="J1401" s="3"/>
      <c r="K1401" s="3"/>
      <c r="L1401" s="3"/>
      <c r="M1401" s="3"/>
      <c r="N1401" s="3"/>
      <c r="O1401" s="3"/>
      <c r="P1401" s="3"/>
      <c r="Q1401" s="3"/>
      <c r="R1401" s="3"/>
      <c r="S1401" s="3"/>
      <c r="T1401" s="3"/>
      <c r="U1401" s="3"/>
      <c r="V1401" s="3"/>
      <c r="W1401" s="3"/>
      <c r="X1401" s="3"/>
      <c r="Y1401" s="3"/>
      <c r="Z1401" s="3"/>
      <c r="AA1401" s="3"/>
    </row>
    <row r="1402">
      <c r="A1402" s="4"/>
      <c r="B1402" s="3"/>
      <c r="C1402" s="3"/>
      <c r="D1402" s="3"/>
      <c r="E1402" s="3"/>
      <c r="F1402" s="3"/>
      <c r="G1402" s="3"/>
      <c r="H1402" s="3"/>
      <c r="I1402" s="3"/>
      <c r="J1402" s="3"/>
      <c r="K1402" s="3"/>
      <c r="L1402" s="3"/>
      <c r="M1402" s="3"/>
      <c r="N1402" s="3"/>
      <c r="O1402" s="3"/>
      <c r="P1402" s="3"/>
      <c r="Q1402" s="3"/>
      <c r="R1402" s="3"/>
      <c r="S1402" s="3"/>
      <c r="T1402" s="3"/>
      <c r="U1402" s="3"/>
      <c r="V1402" s="3"/>
      <c r="W1402" s="3"/>
      <c r="X1402" s="3"/>
      <c r="Y1402" s="3"/>
      <c r="Z1402" s="3"/>
      <c r="AA1402" s="3"/>
    </row>
    <row r="1403">
      <c r="A1403" s="4"/>
      <c r="B1403" s="3"/>
      <c r="C1403" s="3"/>
      <c r="D1403" s="3"/>
      <c r="E1403" s="3"/>
      <c r="F1403" s="3"/>
      <c r="G1403" s="3"/>
      <c r="H1403" s="3"/>
      <c r="I1403" s="3"/>
      <c r="J1403" s="3"/>
      <c r="K1403" s="3"/>
      <c r="L1403" s="3"/>
      <c r="M1403" s="3"/>
      <c r="N1403" s="3"/>
      <c r="O1403" s="3"/>
      <c r="P1403" s="3"/>
      <c r="Q1403" s="3"/>
      <c r="R1403" s="3"/>
      <c r="S1403" s="3"/>
      <c r="T1403" s="3"/>
      <c r="U1403" s="3"/>
      <c r="V1403" s="3"/>
      <c r="W1403" s="3"/>
      <c r="X1403" s="3"/>
      <c r="Y1403" s="3"/>
      <c r="Z1403" s="3"/>
      <c r="AA1403" s="3"/>
    </row>
    <row r="1404">
      <c r="A1404" s="4"/>
      <c r="B1404" s="3"/>
      <c r="C1404" s="3"/>
      <c r="D1404" s="3"/>
      <c r="E1404" s="3"/>
      <c r="F1404" s="3"/>
      <c r="G1404" s="3"/>
      <c r="H1404" s="3"/>
      <c r="I1404" s="3"/>
      <c r="J1404" s="3"/>
      <c r="K1404" s="3"/>
      <c r="L1404" s="3"/>
      <c r="M1404" s="3"/>
      <c r="N1404" s="3"/>
      <c r="O1404" s="3"/>
      <c r="P1404" s="3"/>
      <c r="Q1404" s="3"/>
      <c r="R1404" s="3"/>
      <c r="S1404" s="3"/>
      <c r="T1404" s="3"/>
      <c r="U1404" s="3"/>
      <c r="V1404" s="3"/>
      <c r="W1404" s="3"/>
      <c r="X1404" s="3"/>
      <c r="Y1404" s="3"/>
      <c r="Z1404" s="3"/>
      <c r="AA1404" s="3"/>
    </row>
    <row r="1405">
      <c r="A1405" s="4"/>
      <c r="B1405" s="3"/>
      <c r="C1405" s="3"/>
      <c r="D1405" s="3"/>
      <c r="E1405" s="3"/>
      <c r="F1405" s="3"/>
      <c r="G1405" s="3"/>
      <c r="H1405" s="3"/>
      <c r="I1405" s="3"/>
      <c r="J1405" s="3"/>
      <c r="K1405" s="3"/>
      <c r="L1405" s="3"/>
      <c r="M1405" s="3"/>
      <c r="N1405" s="3"/>
      <c r="O1405" s="3"/>
      <c r="P1405" s="3"/>
      <c r="Q1405" s="3"/>
      <c r="R1405" s="3"/>
      <c r="S1405" s="3"/>
      <c r="T1405" s="3"/>
      <c r="U1405" s="3"/>
      <c r="V1405" s="3"/>
      <c r="W1405" s="3"/>
      <c r="X1405" s="3"/>
      <c r="Y1405" s="3"/>
      <c r="Z1405" s="3"/>
      <c r="AA1405" s="3"/>
    </row>
    <row r="1406">
      <c r="A1406" s="4"/>
      <c r="B1406" s="3"/>
      <c r="C1406" s="3"/>
      <c r="D1406" s="3"/>
      <c r="E1406" s="3"/>
      <c r="F1406" s="3"/>
      <c r="G1406" s="3"/>
      <c r="H1406" s="3"/>
      <c r="I1406" s="3"/>
      <c r="J1406" s="3"/>
      <c r="K1406" s="3"/>
      <c r="L1406" s="3"/>
      <c r="M1406" s="3"/>
      <c r="N1406" s="3"/>
      <c r="O1406" s="3"/>
      <c r="P1406" s="3"/>
      <c r="Q1406" s="3"/>
      <c r="R1406" s="3"/>
      <c r="S1406" s="3"/>
      <c r="T1406" s="3"/>
      <c r="U1406" s="3"/>
      <c r="V1406" s="3"/>
      <c r="W1406" s="3"/>
      <c r="X1406" s="3"/>
      <c r="Y1406" s="3"/>
      <c r="Z1406" s="3"/>
      <c r="AA1406" s="3"/>
    </row>
    <row r="1407">
      <c r="A1407" s="4"/>
      <c r="B1407" s="3"/>
      <c r="C1407" s="3"/>
      <c r="D1407" s="3"/>
      <c r="E1407" s="3"/>
      <c r="F1407" s="3"/>
      <c r="G1407" s="3"/>
      <c r="H1407" s="3"/>
      <c r="I1407" s="3"/>
      <c r="J1407" s="3"/>
      <c r="K1407" s="3"/>
      <c r="L1407" s="3"/>
      <c r="M1407" s="3"/>
      <c r="N1407" s="3"/>
      <c r="O1407" s="3"/>
      <c r="P1407" s="3"/>
      <c r="Q1407" s="3"/>
      <c r="R1407" s="3"/>
      <c r="S1407" s="3"/>
      <c r="T1407" s="3"/>
      <c r="U1407" s="3"/>
      <c r="V1407" s="3"/>
      <c r="W1407" s="3"/>
      <c r="X1407" s="3"/>
      <c r="Y1407" s="3"/>
      <c r="Z1407" s="3"/>
      <c r="AA1407" s="3"/>
    </row>
    <row r="1408">
      <c r="A1408" s="4"/>
      <c r="B1408" s="3"/>
      <c r="C1408" s="3"/>
      <c r="D1408" s="3"/>
      <c r="E1408" s="3"/>
      <c r="F1408" s="3"/>
      <c r="G1408" s="3"/>
      <c r="H1408" s="3"/>
      <c r="I1408" s="3"/>
      <c r="J1408" s="3"/>
      <c r="K1408" s="3"/>
      <c r="L1408" s="3"/>
      <c r="M1408" s="3"/>
      <c r="N1408" s="3"/>
      <c r="O1408" s="3"/>
      <c r="P1408" s="3"/>
      <c r="Q1408" s="3"/>
      <c r="R1408" s="3"/>
      <c r="S1408" s="3"/>
      <c r="T1408" s="3"/>
      <c r="U1408" s="3"/>
      <c r="V1408" s="3"/>
      <c r="W1408" s="3"/>
      <c r="X1408" s="3"/>
      <c r="Y1408" s="3"/>
      <c r="Z1408" s="3"/>
      <c r="AA1408" s="3"/>
    </row>
    <row r="1409">
      <c r="A1409" s="4"/>
      <c r="B1409" s="3"/>
      <c r="C1409" s="3"/>
      <c r="D1409" s="3"/>
      <c r="E1409" s="3"/>
      <c r="F1409" s="3"/>
      <c r="G1409" s="3"/>
      <c r="H1409" s="3"/>
      <c r="I1409" s="3"/>
      <c r="J1409" s="3"/>
      <c r="K1409" s="3"/>
      <c r="L1409" s="3"/>
      <c r="M1409" s="3"/>
      <c r="N1409" s="3"/>
      <c r="O1409" s="3"/>
      <c r="P1409" s="3"/>
      <c r="Q1409" s="3"/>
      <c r="R1409" s="3"/>
      <c r="S1409" s="3"/>
      <c r="T1409" s="3"/>
      <c r="U1409" s="3"/>
      <c r="V1409" s="3"/>
      <c r="W1409" s="3"/>
      <c r="X1409" s="3"/>
      <c r="Y1409" s="3"/>
      <c r="Z1409" s="3"/>
      <c r="AA1409" s="3"/>
    </row>
    <row r="1410">
      <c r="A1410" s="4"/>
      <c r="B1410" s="3"/>
      <c r="C1410" s="3"/>
      <c r="D1410" s="3"/>
      <c r="E1410" s="3"/>
      <c r="F1410" s="3"/>
      <c r="G1410" s="3"/>
      <c r="H1410" s="3"/>
      <c r="I1410" s="3"/>
      <c r="J1410" s="3"/>
      <c r="K1410" s="3"/>
      <c r="L1410" s="3"/>
      <c r="M1410" s="3"/>
      <c r="N1410" s="3"/>
      <c r="O1410" s="3"/>
      <c r="P1410" s="3"/>
      <c r="Q1410" s="3"/>
      <c r="R1410" s="3"/>
      <c r="S1410" s="3"/>
      <c r="T1410" s="3"/>
      <c r="U1410" s="3"/>
      <c r="V1410" s="3"/>
      <c r="W1410" s="3"/>
      <c r="X1410" s="3"/>
      <c r="Y1410" s="3"/>
      <c r="Z1410" s="3"/>
      <c r="AA1410" s="3"/>
    </row>
    <row r="1411">
      <c r="A1411" s="4"/>
      <c r="B1411" s="3"/>
      <c r="C1411" s="3"/>
      <c r="D1411" s="3"/>
      <c r="E1411" s="3"/>
      <c r="F1411" s="3"/>
      <c r="G1411" s="3"/>
      <c r="H1411" s="3"/>
      <c r="I1411" s="3"/>
      <c r="J1411" s="3"/>
      <c r="K1411" s="3"/>
      <c r="L1411" s="3"/>
      <c r="M1411" s="3"/>
      <c r="N1411" s="3"/>
      <c r="O1411" s="3"/>
      <c r="P1411" s="3"/>
      <c r="Q1411" s="3"/>
      <c r="R1411" s="3"/>
      <c r="S1411" s="3"/>
      <c r="T1411" s="3"/>
      <c r="U1411" s="3"/>
      <c r="V1411" s="3"/>
      <c r="W1411" s="3"/>
      <c r="X1411" s="3"/>
      <c r="Y1411" s="3"/>
      <c r="Z1411" s="3"/>
      <c r="AA1411" s="3"/>
    </row>
    <row r="1412">
      <c r="A1412" s="4"/>
      <c r="B1412" s="3"/>
      <c r="C1412" s="3"/>
      <c r="D1412" s="3"/>
      <c r="E1412" s="3"/>
      <c r="F1412" s="3"/>
      <c r="G1412" s="3"/>
      <c r="H1412" s="3"/>
      <c r="I1412" s="3"/>
      <c r="J1412" s="3"/>
      <c r="K1412" s="3"/>
      <c r="L1412" s="3"/>
      <c r="M1412" s="3"/>
      <c r="N1412" s="3"/>
      <c r="O1412" s="3"/>
      <c r="P1412" s="3"/>
      <c r="Q1412" s="3"/>
      <c r="R1412" s="3"/>
      <c r="S1412" s="3"/>
      <c r="T1412" s="3"/>
      <c r="U1412" s="3"/>
      <c r="V1412" s="3"/>
      <c r="W1412" s="3"/>
      <c r="X1412" s="3"/>
      <c r="Y1412" s="3"/>
      <c r="Z1412" s="3"/>
      <c r="AA1412" s="3"/>
    </row>
    <row r="1413">
      <c r="A1413" s="4"/>
      <c r="B1413" s="3"/>
      <c r="C1413" s="3"/>
      <c r="D1413" s="3"/>
      <c r="E1413" s="3"/>
      <c r="F1413" s="3"/>
      <c r="G1413" s="3"/>
      <c r="H1413" s="3"/>
      <c r="I1413" s="3"/>
      <c r="J1413" s="3"/>
      <c r="K1413" s="3"/>
      <c r="L1413" s="3"/>
      <c r="M1413" s="3"/>
      <c r="N1413" s="3"/>
      <c r="O1413" s="3"/>
      <c r="P1413" s="3"/>
      <c r="Q1413" s="3"/>
      <c r="R1413" s="3"/>
      <c r="S1413" s="3"/>
      <c r="T1413" s="3"/>
      <c r="U1413" s="3"/>
      <c r="V1413" s="3"/>
      <c r="W1413" s="3"/>
      <c r="X1413" s="3"/>
      <c r="Y1413" s="3"/>
      <c r="Z1413" s="3"/>
      <c r="AA1413" s="3"/>
    </row>
    <row r="1414">
      <c r="A1414" s="4"/>
      <c r="B1414" s="3"/>
      <c r="C1414" s="3"/>
      <c r="D1414" s="3"/>
      <c r="E1414" s="3"/>
      <c r="F1414" s="3"/>
      <c r="G1414" s="3"/>
      <c r="H1414" s="3"/>
      <c r="I1414" s="3"/>
      <c r="J1414" s="3"/>
      <c r="K1414" s="3"/>
      <c r="L1414" s="3"/>
      <c r="M1414" s="3"/>
      <c r="N1414" s="3"/>
      <c r="O1414" s="3"/>
      <c r="P1414" s="3"/>
      <c r="Q1414" s="3"/>
      <c r="R1414" s="3"/>
      <c r="S1414" s="3"/>
      <c r="T1414" s="3"/>
      <c r="U1414" s="3"/>
      <c r="V1414" s="3"/>
      <c r="W1414" s="3"/>
      <c r="X1414" s="3"/>
      <c r="Y1414" s="3"/>
      <c r="Z1414" s="3"/>
      <c r="AA1414" s="3"/>
    </row>
    <row r="1415">
      <c r="A1415" s="4"/>
      <c r="B1415" s="3"/>
      <c r="C1415" s="3"/>
      <c r="D1415" s="3"/>
      <c r="E1415" s="3"/>
      <c r="F1415" s="3"/>
      <c r="G1415" s="3"/>
      <c r="H1415" s="3"/>
      <c r="I1415" s="3"/>
      <c r="J1415" s="3"/>
      <c r="K1415" s="3"/>
      <c r="L1415" s="3"/>
      <c r="M1415" s="3"/>
      <c r="N1415" s="3"/>
      <c r="O1415" s="3"/>
      <c r="P1415" s="3"/>
      <c r="Q1415" s="3"/>
      <c r="R1415" s="3"/>
      <c r="S1415" s="3"/>
      <c r="T1415" s="3"/>
      <c r="U1415" s="3"/>
      <c r="V1415" s="3"/>
      <c r="W1415" s="3"/>
      <c r="X1415" s="3"/>
      <c r="Y1415" s="3"/>
      <c r="Z1415" s="3"/>
      <c r="AA1415" s="3"/>
    </row>
    <row r="1416">
      <c r="A1416" s="4"/>
      <c r="B1416" s="3"/>
      <c r="C1416" s="3"/>
      <c r="D1416" s="3"/>
      <c r="E1416" s="3"/>
      <c r="F1416" s="3"/>
      <c r="G1416" s="3"/>
      <c r="H1416" s="3"/>
      <c r="I1416" s="3"/>
      <c r="J1416" s="3"/>
      <c r="K1416" s="3"/>
      <c r="L1416" s="3"/>
      <c r="M1416" s="3"/>
      <c r="N1416" s="3"/>
      <c r="O1416" s="3"/>
      <c r="P1416" s="3"/>
      <c r="Q1416" s="3"/>
      <c r="R1416" s="3"/>
      <c r="S1416" s="3"/>
      <c r="T1416" s="3"/>
      <c r="U1416" s="3"/>
      <c r="V1416" s="3"/>
      <c r="W1416" s="3"/>
      <c r="X1416" s="3"/>
      <c r="Y1416" s="3"/>
      <c r="Z1416" s="3"/>
      <c r="AA1416" s="3"/>
    </row>
    <row r="1417">
      <c r="A1417" s="4"/>
      <c r="B1417" s="3"/>
      <c r="C1417" s="3"/>
      <c r="D1417" s="3"/>
      <c r="E1417" s="3"/>
      <c r="F1417" s="3"/>
      <c r="G1417" s="3"/>
      <c r="H1417" s="3"/>
      <c r="I1417" s="3"/>
      <c r="J1417" s="3"/>
      <c r="K1417" s="3"/>
      <c r="L1417" s="3"/>
      <c r="M1417" s="3"/>
      <c r="N1417" s="3"/>
      <c r="O1417" s="3"/>
      <c r="P1417" s="3"/>
      <c r="Q1417" s="3"/>
      <c r="R1417" s="3"/>
      <c r="S1417" s="3"/>
      <c r="T1417" s="3"/>
      <c r="U1417" s="3"/>
      <c r="V1417" s="3"/>
      <c r="W1417" s="3"/>
      <c r="X1417" s="3"/>
      <c r="Y1417" s="3"/>
      <c r="Z1417" s="3"/>
      <c r="AA1417" s="3"/>
    </row>
    <row r="1418">
      <c r="A1418" s="4"/>
      <c r="B1418" s="3"/>
      <c r="C1418" s="3"/>
      <c r="D1418" s="3"/>
      <c r="E1418" s="3"/>
      <c r="F1418" s="3"/>
      <c r="G1418" s="3"/>
      <c r="H1418" s="3"/>
      <c r="I1418" s="3"/>
      <c r="J1418" s="3"/>
      <c r="K1418" s="3"/>
      <c r="L1418" s="3"/>
      <c r="M1418" s="3"/>
      <c r="N1418" s="3"/>
      <c r="O1418" s="3"/>
      <c r="P1418" s="3"/>
      <c r="Q1418" s="3"/>
      <c r="R1418" s="3"/>
      <c r="S1418" s="3"/>
      <c r="T1418" s="3"/>
      <c r="U1418" s="3"/>
      <c r="V1418" s="3"/>
      <c r="W1418" s="3"/>
      <c r="X1418" s="3"/>
      <c r="Y1418" s="3"/>
      <c r="Z1418" s="3"/>
      <c r="AA1418" s="3"/>
    </row>
    <row r="1419">
      <c r="A1419" s="4"/>
      <c r="B1419" s="3"/>
      <c r="C1419" s="3"/>
      <c r="D1419" s="3"/>
      <c r="E1419" s="3"/>
      <c r="F1419" s="3"/>
      <c r="G1419" s="3"/>
      <c r="H1419" s="3"/>
      <c r="I1419" s="3"/>
      <c r="J1419" s="3"/>
      <c r="K1419" s="3"/>
      <c r="L1419" s="3"/>
      <c r="M1419" s="3"/>
      <c r="N1419" s="3"/>
      <c r="O1419" s="3"/>
      <c r="P1419" s="3"/>
      <c r="Q1419" s="3"/>
      <c r="R1419" s="3"/>
      <c r="S1419" s="3"/>
      <c r="T1419" s="3"/>
      <c r="U1419" s="3"/>
      <c r="V1419" s="3"/>
      <c r="W1419" s="3"/>
      <c r="X1419" s="3"/>
      <c r="Y1419" s="3"/>
      <c r="Z1419" s="3"/>
      <c r="AA1419" s="3"/>
    </row>
    <row r="1420">
      <c r="A1420" s="4"/>
      <c r="B1420" s="3"/>
      <c r="C1420" s="3"/>
      <c r="D1420" s="3"/>
      <c r="E1420" s="3"/>
      <c r="F1420" s="3"/>
      <c r="G1420" s="3"/>
      <c r="H1420" s="3"/>
      <c r="I1420" s="3"/>
      <c r="J1420" s="3"/>
      <c r="K1420" s="3"/>
      <c r="L1420" s="3"/>
      <c r="M1420" s="3"/>
      <c r="N1420" s="3"/>
      <c r="O1420" s="3"/>
      <c r="P1420" s="3"/>
      <c r="Q1420" s="3"/>
      <c r="R1420" s="3"/>
      <c r="S1420" s="3"/>
      <c r="T1420" s="3"/>
      <c r="U1420" s="3"/>
      <c r="V1420" s="3"/>
      <c r="W1420" s="3"/>
      <c r="X1420" s="3"/>
      <c r="Y1420" s="3"/>
      <c r="Z1420" s="3"/>
      <c r="AA1420" s="3"/>
    </row>
    <row r="1421">
      <c r="A1421" s="4"/>
      <c r="B1421" s="3"/>
      <c r="C1421" s="3"/>
      <c r="D1421" s="3"/>
      <c r="E1421" s="3"/>
      <c r="F1421" s="3"/>
      <c r="G1421" s="3"/>
      <c r="H1421" s="3"/>
      <c r="I1421" s="3"/>
      <c r="J1421" s="3"/>
      <c r="K1421" s="3"/>
      <c r="L1421" s="3"/>
      <c r="M1421" s="3"/>
      <c r="N1421" s="3"/>
      <c r="O1421" s="3"/>
      <c r="P1421" s="3"/>
      <c r="Q1421" s="3"/>
      <c r="R1421" s="3"/>
      <c r="S1421" s="3"/>
      <c r="T1421" s="3"/>
      <c r="U1421" s="3"/>
      <c r="V1421" s="3"/>
      <c r="W1421" s="3"/>
      <c r="X1421" s="3"/>
      <c r="Y1421" s="3"/>
      <c r="Z1421" s="3"/>
      <c r="AA1421" s="3"/>
    </row>
    <row r="1422">
      <c r="A1422" s="4"/>
      <c r="B1422" s="3"/>
      <c r="C1422" s="3"/>
      <c r="D1422" s="3"/>
      <c r="E1422" s="3"/>
      <c r="F1422" s="3"/>
      <c r="G1422" s="3"/>
      <c r="H1422" s="3"/>
      <c r="I1422" s="3"/>
      <c r="J1422" s="3"/>
      <c r="K1422" s="3"/>
      <c r="L1422" s="3"/>
      <c r="M1422" s="3"/>
      <c r="N1422" s="3"/>
      <c r="O1422" s="3"/>
      <c r="P1422" s="3"/>
      <c r="Q1422" s="3"/>
      <c r="R1422" s="3"/>
      <c r="S1422" s="3"/>
      <c r="T1422" s="3"/>
      <c r="U1422" s="3"/>
      <c r="V1422" s="3"/>
      <c r="W1422" s="3"/>
      <c r="X1422" s="3"/>
      <c r="Y1422" s="3"/>
      <c r="Z1422" s="3"/>
      <c r="AA1422" s="3"/>
    </row>
    <row r="1423">
      <c r="A1423" s="4"/>
      <c r="B1423" s="3"/>
      <c r="C1423" s="3"/>
      <c r="D1423" s="3"/>
      <c r="E1423" s="3"/>
      <c r="F1423" s="3"/>
      <c r="G1423" s="3"/>
      <c r="H1423" s="3"/>
      <c r="I1423" s="3"/>
      <c r="J1423" s="3"/>
      <c r="K1423" s="3"/>
      <c r="L1423" s="3"/>
      <c r="M1423" s="3"/>
      <c r="N1423" s="3"/>
      <c r="O1423" s="3"/>
      <c r="P1423" s="3"/>
      <c r="Q1423" s="3"/>
      <c r="R1423" s="3"/>
      <c r="S1423" s="3"/>
      <c r="T1423" s="3"/>
      <c r="U1423" s="3"/>
      <c r="V1423" s="3"/>
      <c r="W1423" s="3"/>
      <c r="X1423" s="3"/>
      <c r="Y1423" s="3"/>
      <c r="Z1423" s="3"/>
      <c r="AA1423" s="3"/>
    </row>
    <row r="1424">
      <c r="A1424" s="4"/>
      <c r="B1424" s="3"/>
      <c r="C1424" s="3"/>
      <c r="D1424" s="3"/>
      <c r="E1424" s="3"/>
      <c r="F1424" s="3"/>
      <c r="G1424" s="3"/>
      <c r="H1424" s="3"/>
      <c r="I1424" s="3"/>
      <c r="J1424" s="3"/>
      <c r="K1424" s="3"/>
      <c r="L1424" s="3"/>
      <c r="M1424" s="3"/>
      <c r="N1424" s="3"/>
      <c r="O1424" s="3"/>
      <c r="P1424" s="3"/>
      <c r="Q1424" s="3"/>
      <c r="R1424" s="3"/>
      <c r="S1424" s="3"/>
      <c r="T1424" s="3"/>
      <c r="U1424" s="3"/>
      <c r="V1424" s="3"/>
      <c r="W1424" s="3"/>
      <c r="X1424" s="3"/>
      <c r="Y1424" s="3"/>
      <c r="Z1424" s="3"/>
      <c r="AA1424" s="3"/>
    </row>
    <row r="1425">
      <c r="A1425" s="4"/>
      <c r="B1425" s="3"/>
      <c r="C1425" s="3"/>
      <c r="D1425" s="3"/>
      <c r="E1425" s="3"/>
      <c r="F1425" s="3"/>
      <c r="G1425" s="3"/>
      <c r="H1425" s="3"/>
      <c r="I1425" s="3"/>
      <c r="J1425" s="3"/>
      <c r="K1425" s="3"/>
      <c r="L1425" s="3"/>
      <c r="M1425" s="3"/>
      <c r="N1425" s="3"/>
      <c r="O1425" s="3"/>
      <c r="P1425" s="3"/>
      <c r="Q1425" s="3"/>
      <c r="R1425" s="3"/>
      <c r="S1425" s="3"/>
      <c r="T1425" s="3"/>
      <c r="U1425" s="3"/>
      <c r="V1425" s="3"/>
      <c r="W1425" s="3"/>
      <c r="X1425" s="3"/>
      <c r="Y1425" s="3"/>
      <c r="Z1425" s="3"/>
      <c r="AA1425" s="3"/>
    </row>
    <row r="1426">
      <c r="A1426" s="4"/>
      <c r="B1426" s="3"/>
      <c r="C1426" s="3"/>
      <c r="D1426" s="3"/>
      <c r="E1426" s="3"/>
      <c r="F1426" s="3"/>
      <c r="G1426" s="3"/>
      <c r="H1426" s="3"/>
      <c r="I1426" s="3"/>
      <c r="J1426" s="3"/>
      <c r="K1426" s="3"/>
      <c r="L1426" s="3"/>
      <c r="M1426" s="3"/>
      <c r="N1426" s="3"/>
      <c r="O1426" s="3"/>
      <c r="P1426" s="3"/>
      <c r="Q1426" s="3"/>
      <c r="R1426" s="3"/>
      <c r="S1426" s="3"/>
      <c r="T1426" s="3"/>
      <c r="U1426" s="3"/>
      <c r="V1426" s="3"/>
      <c r="W1426" s="3"/>
      <c r="X1426" s="3"/>
      <c r="Y1426" s="3"/>
      <c r="Z1426" s="3"/>
      <c r="AA1426" s="3"/>
    </row>
    <row r="1427">
      <c r="A1427" s="4"/>
      <c r="B1427" s="3"/>
      <c r="C1427" s="3"/>
      <c r="D1427" s="3"/>
      <c r="E1427" s="3"/>
      <c r="F1427" s="3"/>
      <c r="G1427" s="3"/>
      <c r="H1427" s="3"/>
      <c r="I1427" s="3"/>
      <c r="J1427" s="3"/>
      <c r="K1427" s="3"/>
      <c r="L1427" s="3"/>
      <c r="M1427" s="3"/>
      <c r="N1427" s="3"/>
      <c r="O1427" s="3"/>
      <c r="P1427" s="3"/>
      <c r="Q1427" s="3"/>
      <c r="R1427" s="3"/>
      <c r="S1427" s="3"/>
      <c r="T1427" s="3"/>
      <c r="U1427" s="3"/>
      <c r="V1427" s="3"/>
      <c r="W1427" s="3"/>
      <c r="X1427" s="3"/>
      <c r="Y1427" s="3"/>
      <c r="Z1427" s="3"/>
      <c r="AA1427" s="3"/>
    </row>
    <row r="1428">
      <c r="A1428" s="4"/>
      <c r="B1428" s="3"/>
      <c r="C1428" s="3"/>
      <c r="D1428" s="3"/>
      <c r="E1428" s="3"/>
      <c r="F1428" s="3"/>
      <c r="G1428" s="3"/>
      <c r="H1428" s="3"/>
      <c r="I1428" s="3"/>
      <c r="J1428" s="3"/>
      <c r="K1428" s="3"/>
      <c r="L1428" s="3"/>
      <c r="M1428" s="3"/>
      <c r="N1428" s="3"/>
      <c r="O1428" s="3"/>
      <c r="P1428" s="3"/>
      <c r="Q1428" s="3"/>
      <c r="R1428" s="3"/>
      <c r="S1428" s="3"/>
      <c r="T1428" s="3"/>
      <c r="U1428" s="3"/>
      <c r="V1428" s="3"/>
      <c r="W1428" s="3"/>
      <c r="X1428" s="3"/>
      <c r="Y1428" s="3"/>
      <c r="Z1428" s="3"/>
      <c r="AA1428" s="3"/>
    </row>
    <row r="1429">
      <c r="A1429" s="4"/>
      <c r="B1429" s="3"/>
      <c r="C1429" s="3"/>
      <c r="D1429" s="3"/>
      <c r="E1429" s="3"/>
      <c r="F1429" s="3"/>
      <c r="G1429" s="3"/>
      <c r="H1429" s="3"/>
      <c r="I1429" s="3"/>
      <c r="J1429" s="3"/>
      <c r="K1429" s="3"/>
      <c r="L1429" s="3"/>
      <c r="M1429" s="3"/>
      <c r="N1429" s="3"/>
      <c r="O1429" s="3"/>
      <c r="P1429" s="3"/>
      <c r="Q1429" s="3"/>
      <c r="R1429" s="3"/>
      <c r="S1429" s="3"/>
      <c r="T1429" s="3"/>
      <c r="U1429" s="3"/>
      <c r="V1429" s="3"/>
      <c r="W1429" s="3"/>
      <c r="X1429" s="3"/>
      <c r="Y1429" s="3"/>
      <c r="Z1429" s="3"/>
      <c r="AA1429" s="3"/>
    </row>
    <row r="1430">
      <c r="A1430" s="4"/>
      <c r="B1430" s="3"/>
      <c r="C1430" s="3"/>
      <c r="D1430" s="3"/>
      <c r="E1430" s="3"/>
      <c r="F1430" s="3"/>
      <c r="G1430" s="3"/>
      <c r="H1430" s="3"/>
      <c r="I1430" s="3"/>
      <c r="J1430" s="3"/>
      <c r="K1430" s="3"/>
      <c r="L1430" s="3"/>
      <c r="M1430" s="3"/>
      <c r="N1430" s="3"/>
      <c r="O1430" s="3"/>
      <c r="P1430" s="3"/>
      <c r="Q1430" s="3"/>
      <c r="R1430" s="3"/>
      <c r="S1430" s="3"/>
      <c r="T1430" s="3"/>
      <c r="U1430" s="3"/>
      <c r="V1430" s="3"/>
      <c r="W1430" s="3"/>
      <c r="X1430" s="3"/>
      <c r="Y1430" s="3"/>
      <c r="Z1430" s="3"/>
      <c r="AA1430" s="3"/>
    </row>
    <row r="1431">
      <c r="A1431" s="4"/>
      <c r="B1431" s="3"/>
      <c r="C1431" s="3"/>
      <c r="D1431" s="3"/>
      <c r="E1431" s="3"/>
      <c r="F1431" s="3"/>
      <c r="G1431" s="3"/>
      <c r="H1431" s="3"/>
      <c r="I1431" s="3"/>
      <c r="J1431" s="3"/>
      <c r="K1431" s="3"/>
      <c r="L1431" s="3"/>
      <c r="M1431" s="3"/>
      <c r="N1431" s="3"/>
      <c r="O1431" s="3"/>
      <c r="P1431" s="3"/>
      <c r="Q1431" s="3"/>
      <c r="R1431" s="3"/>
      <c r="S1431" s="3"/>
      <c r="T1431" s="3"/>
      <c r="U1431" s="3"/>
      <c r="V1431" s="3"/>
      <c r="W1431" s="3"/>
      <c r="X1431" s="3"/>
      <c r="Y1431" s="3"/>
      <c r="Z1431" s="3"/>
      <c r="AA1431" s="3"/>
    </row>
    <row r="1432">
      <c r="A1432" s="4"/>
      <c r="B1432" s="3"/>
      <c r="C1432" s="3"/>
      <c r="D1432" s="3"/>
      <c r="E1432" s="3"/>
      <c r="F1432" s="3"/>
      <c r="G1432" s="3"/>
      <c r="H1432" s="3"/>
      <c r="I1432" s="3"/>
      <c r="J1432" s="3"/>
      <c r="K1432" s="3"/>
      <c r="L1432" s="3"/>
      <c r="M1432" s="3"/>
      <c r="N1432" s="3"/>
      <c r="O1432" s="3"/>
      <c r="P1432" s="3"/>
      <c r="Q1432" s="3"/>
      <c r="R1432" s="3"/>
      <c r="S1432" s="3"/>
      <c r="T1432" s="3"/>
      <c r="U1432" s="3"/>
      <c r="V1432" s="3"/>
      <c r="W1432" s="3"/>
      <c r="X1432" s="3"/>
      <c r="Y1432" s="3"/>
      <c r="Z1432" s="3"/>
      <c r="AA1432" s="3"/>
    </row>
    <row r="1433">
      <c r="A1433" s="4"/>
      <c r="B1433" s="3"/>
      <c r="C1433" s="3"/>
      <c r="D1433" s="3"/>
      <c r="E1433" s="3"/>
      <c r="F1433" s="3"/>
      <c r="G1433" s="3"/>
      <c r="H1433" s="3"/>
      <c r="I1433" s="3"/>
      <c r="J1433" s="3"/>
      <c r="K1433" s="3"/>
      <c r="L1433" s="3"/>
      <c r="M1433" s="3"/>
      <c r="N1433" s="3"/>
      <c r="O1433" s="3"/>
      <c r="P1433" s="3"/>
      <c r="Q1433" s="3"/>
      <c r="R1433" s="3"/>
      <c r="S1433" s="3"/>
      <c r="T1433" s="3"/>
      <c r="U1433" s="3"/>
      <c r="V1433" s="3"/>
      <c r="W1433" s="3"/>
      <c r="X1433" s="3"/>
      <c r="Y1433" s="3"/>
      <c r="Z1433" s="3"/>
      <c r="AA1433" s="3"/>
    </row>
    <row r="1434">
      <c r="A1434" s="4"/>
      <c r="B1434" s="3"/>
      <c r="C1434" s="3"/>
      <c r="D1434" s="3"/>
      <c r="E1434" s="3"/>
      <c r="F1434" s="3"/>
      <c r="G1434" s="3"/>
      <c r="H1434" s="3"/>
      <c r="I1434" s="3"/>
      <c r="J1434" s="3"/>
      <c r="K1434" s="3"/>
      <c r="L1434" s="3"/>
      <c r="M1434" s="3"/>
      <c r="N1434" s="3"/>
      <c r="O1434" s="3"/>
      <c r="P1434" s="3"/>
      <c r="Q1434" s="3"/>
      <c r="R1434" s="3"/>
      <c r="S1434" s="3"/>
      <c r="T1434" s="3"/>
      <c r="U1434" s="3"/>
      <c r="V1434" s="3"/>
      <c r="W1434" s="3"/>
      <c r="X1434" s="3"/>
      <c r="Y1434" s="3"/>
      <c r="Z1434" s="3"/>
      <c r="AA1434" s="3"/>
    </row>
    <row r="1435">
      <c r="A1435" s="4"/>
      <c r="B1435" s="3"/>
      <c r="C1435" s="3"/>
      <c r="D1435" s="3"/>
      <c r="E1435" s="3"/>
      <c r="F1435" s="3"/>
      <c r="G1435" s="3"/>
      <c r="H1435" s="3"/>
      <c r="I1435" s="3"/>
      <c r="J1435" s="3"/>
      <c r="K1435" s="3"/>
      <c r="L1435" s="3"/>
      <c r="M1435" s="3"/>
      <c r="N1435" s="3"/>
      <c r="O1435" s="3"/>
      <c r="P1435" s="3"/>
      <c r="Q1435" s="3"/>
      <c r="R1435" s="3"/>
      <c r="S1435" s="3"/>
      <c r="T1435" s="3"/>
      <c r="U1435" s="3"/>
      <c r="V1435" s="3"/>
      <c r="W1435" s="3"/>
      <c r="X1435" s="3"/>
      <c r="Y1435" s="3"/>
      <c r="Z1435" s="3"/>
      <c r="AA1435" s="3"/>
    </row>
    <row r="1436">
      <c r="A1436" s="4"/>
      <c r="B1436" s="3"/>
      <c r="C1436" s="3"/>
      <c r="D1436" s="3"/>
      <c r="E1436" s="3"/>
      <c r="F1436" s="3"/>
      <c r="G1436" s="3"/>
      <c r="H1436" s="3"/>
      <c r="I1436" s="3"/>
      <c r="J1436" s="3"/>
      <c r="K1436" s="3"/>
      <c r="L1436" s="3"/>
      <c r="M1436" s="3"/>
      <c r="N1436" s="3"/>
      <c r="O1436" s="3"/>
      <c r="P1436" s="3"/>
      <c r="Q1436" s="3"/>
      <c r="R1436" s="3"/>
      <c r="S1436" s="3"/>
      <c r="T1436" s="3"/>
      <c r="U1436" s="3"/>
      <c r="V1436" s="3"/>
      <c r="W1436" s="3"/>
      <c r="X1436" s="3"/>
      <c r="Y1436" s="3"/>
      <c r="Z1436" s="3"/>
      <c r="AA1436" s="3"/>
    </row>
    <row r="1437">
      <c r="A1437" s="4"/>
      <c r="B1437" s="3"/>
      <c r="C1437" s="3"/>
      <c r="D1437" s="3"/>
      <c r="E1437" s="3"/>
      <c r="F1437" s="3"/>
      <c r="G1437" s="3"/>
      <c r="H1437" s="3"/>
      <c r="I1437" s="3"/>
      <c r="J1437" s="3"/>
      <c r="K1437" s="3"/>
      <c r="L1437" s="3"/>
      <c r="M1437" s="3"/>
      <c r="N1437" s="3"/>
      <c r="O1437" s="3"/>
      <c r="P1437" s="3"/>
      <c r="Q1437" s="3"/>
      <c r="R1437" s="3"/>
      <c r="S1437" s="3"/>
      <c r="T1437" s="3"/>
      <c r="U1437" s="3"/>
      <c r="V1437" s="3"/>
      <c r="W1437" s="3"/>
      <c r="X1437" s="3"/>
      <c r="Y1437" s="3"/>
      <c r="Z1437" s="3"/>
      <c r="AA1437" s="3"/>
    </row>
    <row r="1438">
      <c r="A1438" s="4"/>
      <c r="B1438" s="3"/>
      <c r="C1438" s="3"/>
      <c r="D1438" s="3"/>
      <c r="E1438" s="3"/>
      <c r="F1438" s="3"/>
      <c r="G1438" s="3"/>
      <c r="H1438" s="3"/>
      <c r="I1438" s="3"/>
      <c r="J1438" s="3"/>
      <c r="K1438" s="3"/>
      <c r="L1438" s="3"/>
      <c r="M1438" s="3"/>
      <c r="N1438" s="3"/>
      <c r="O1438" s="3"/>
      <c r="P1438" s="3"/>
      <c r="Q1438" s="3"/>
      <c r="R1438" s="3"/>
      <c r="S1438" s="3"/>
      <c r="T1438" s="3"/>
      <c r="U1438" s="3"/>
      <c r="V1438" s="3"/>
      <c r="W1438" s="3"/>
      <c r="X1438" s="3"/>
      <c r="Y1438" s="3"/>
      <c r="Z1438" s="3"/>
      <c r="AA1438" s="3"/>
    </row>
    <row r="1439">
      <c r="A1439" s="4"/>
      <c r="B1439" s="3"/>
      <c r="C1439" s="3"/>
      <c r="D1439" s="3"/>
      <c r="E1439" s="3"/>
      <c r="F1439" s="3"/>
      <c r="G1439" s="3"/>
      <c r="H1439" s="3"/>
      <c r="I1439" s="3"/>
      <c r="J1439" s="3"/>
      <c r="K1439" s="3"/>
      <c r="L1439" s="3"/>
      <c r="M1439" s="3"/>
      <c r="N1439" s="3"/>
      <c r="O1439" s="3"/>
      <c r="P1439" s="3"/>
      <c r="Q1439" s="3"/>
      <c r="R1439" s="3"/>
      <c r="S1439" s="3"/>
      <c r="T1439" s="3"/>
      <c r="U1439" s="3"/>
      <c r="V1439" s="3"/>
      <c r="W1439" s="3"/>
      <c r="X1439" s="3"/>
      <c r="Y1439" s="3"/>
      <c r="Z1439" s="3"/>
      <c r="AA1439" s="3"/>
    </row>
    <row r="1440">
      <c r="A1440" s="4"/>
      <c r="B1440" s="3"/>
      <c r="C1440" s="3"/>
      <c r="D1440" s="3"/>
      <c r="E1440" s="3"/>
      <c r="F1440" s="3"/>
      <c r="G1440" s="3"/>
      <c r="H1440" s="3"/>
      <c r="I1440" s="3"/>
      <c r="J1440" s="3"/>
      <c r="K1440" s="3"/>
      <c r="L1440" s="3"/>
      <c r="M1440" s="3"/>
      <c r="N1440" s="3"/>
      <c r="O1440" s="3"/>
      <c r="P1440" s="3"/>
      <c r="Q1440" s="3"/>
      <c r="R1440" s="3"/>
      <c r="S1440" s="3"/>
      <c r="T1440" s="3"/>
      <c r="U1440" s="3"/>
      <c r="V1440" s="3"/>
      <c r="W1440" s="3"/>
      <c r="X1440" s="3"/>
      <c r="Y1440" s="3"/>
      <c r="Z1440" s="3"/>
      <c r="AA1440" s="3"/>
    </row>
    <row r="1441">
      <c r="A1441" s="4"/>
      <c r="B1441" s="3"/>
      <c r="C1441" s="3"/>
      <c r="D1441" s="3"/>
      <c r="E1441" s="3"/>
      <c r="F1441" s="3"/>
      <c r="G1441" s="3"/>
      <c r="H1441" s="3"/>
      <c r="I1441" s="3"/>
      <c r="J1441" s="3"/>
      <c r="K1441" s="3"/>
      <c r="L1441" s="3"/>
      <c r="M1441" s="3"/>
      <c r="N1441" s="3"/>
      <c r="O1441" s="3"/>
      <c r="P1441" s="3"/>
      <c r="Q1441" s="3"/>
      <c r="R1441" s="3"/>
      <c r="S1441" s="3"/>
      <c r="T1441" s="3"/>
      <c r="U1441" s="3"/>
      <c r="V1441" s="3"/>
      <c r="W1441" s="3"/>
      <c r="X1441" s="3"/>
      <c r="Y1441" s="3"/>
      <c r="Z1441" s="3"/>
      <c r="AA1441" s="3"/>
    </row>
    <row r="1442">
      <c r="A1442" s="4"/>
      <c r="B1442" s="3"/>
      <c r="C1442" s="3"/>
      <c r="D1442" s="3"/>
      <c r="E1442" s="3"/>
      <c r="F1442" s="3"/>
      <c r="G1442" s="3"/>
      <c r="H1442" s="3"/>
      <c r="I1442" s="3"/>
      <c r="J1442" s="3"/>
      <c r="K1442" s="3"/>
      <c r="L1442" s="3"/>
      <c r="M1442" s="3"/>
      <c r="N1442" s="3"/>
      <c r="O1442" s="3"/>
      <c r="P1442" s="3"/>
      <c r="Q1442" s="3"/>
      <c r="R1442" s="3"/>
      <c r="S1442" s="3"/>
      <c r="T1442" s="3"/>
      <c r="U1442" s="3"/>
      <c r="V1442" s="3"/>
      <c r="W1442" s="3"/>
      <c r="X1442" s="3"/>
      <c r="Y1442" s="3"/>
      <c r="Z1442" s="3"/>
      <c r="AA1442" s="3"/>
    </row>
    <row r="1443">
      <c r="A1443" s="4"/>
      <c r="B1443" s="3"/>
      <c r="C1443" s="3"/>
      <c r="D1443" s="3"/>
      <c r="E1443" s="3"/>
      <c r="F1443" s="3"/>
      <c r="G1443" s="3"/>
      <c r="H1443" s="3"/>
      <c r="I1443" s="3"/>
      <c r="J1443" s="3"/>
      <c r="K1443" s="3"/>
      <c r="L1443" s="3"/>
      <c r="M1443" s="3"/>
      <c r="N1443" s="3"/>
      <c r="O1443" s="3"/>
      <c r="P1443" s="3"/>
      <c r="Q1443" s="3"/>
      <c r="R1443" s="3"/>
      <c r="S1443" s="3"/>
      <c r="T1443" s="3"/>
      <c r="U1443" s="3"/>
      <c r="V1443" s="3"/>
      <c r="W1443" s="3"/>
      <c r="X1443" s="3"/>
      <c r="Y1443" s="3"/>
      <c r="Z1443" s="3"/>
      <c r="AA1443" s="3"/>
    </row>
    <row r="1444">
      <c r="A1444" s="4"/>
      <c r="B1444" s="3"/>
      <c r="C1444" s="3"/>
      <c r="D1444" s="3"/>
      <c r="E1444" s="3"/>
      <c r="F1444" s="3"/>
      <c r="G1444" s="3"/>
      <c r="H1444" s="3"/>
      <c r="I1444" s="3"/>
      <c r="J1444" s="3"/>
      <c r="K1444" s="3"/>
      <c r="L1444" s="3"/>
      <c r="M1444" s="3"/>
      <c r="N1444" s="3"/>
      <c r="O1444" s="3"/>
      <c r="P1444" s="3"/>
      <c r="Q1444" s="3"/>
      <c r="R1444" s="3"/>
      <c r="S1444" s="3"/>
      <c r="T1444" s="3"/>
      <c r="U1444" s="3"/>
      <c r="V1444" s="3"/>
      <c r="W1444" s="3"/>
      <c r="X1444" s="3"/>
      <c r="Y1444" s="3"/>
      <c r="Z1444" s="3"/>
      <c r="AA1444" s="3"/>
    </row>
    <row r="1445">
      <c r="A1445" s="4"/>
      <c r="B1445" s="3"/>
      <c r="C1445" s="3"/>
      <c r="D1445" s="3"/>
      <c r="E1445" s="3"/>
      <c r="F1445" s="3"/>
      <c r="G1445" s="3"/>
      <c r="H1445" s="3"/>
      <c r="I1445" s="3"/>
      <c r="J1445" s="3"/>
      <c r="K1445" s="3"/>
      <c r="L1445" s="3"/>
      <c r="M1445" s="3"/>
      <c r="N1445" s="3"/>
      <c r="O1445" s="3"/>
      <c r="P1445" s="3"/>
      <c r="Q1445" s="3"/>
      <c r="R1445" s="3"/>
      <c r="S1445" s="3"/>
      <c r="T1445" s="3"/>
      <c r="U1445" s="3"/>
      <c r="V1445" s="3"/>
      <c r="W1445" s="3"/>
      <c r="X1445" s="3"/>
      <c r="Y1445" s="3"/>
      <c r="Z1445" s="3"/>
      <c r="AA1445" s="3"/>
    </row>
    <row r="1446">
      <c r="A1446" s="4"/>
      <c r="B1446" s="3"/>
      <c r="C1446" s="3"/>
      <c r="D1446" s="3"/>
      <c r="E1446" s="3"/>
      <c r="F1446" s="3"/>
      <c r="G1446" s="3"/>
      <c r="H1446" s="3"/>
      <c r="I1446" s="3"/>
      <c r="J1446" s="3"/>
      <c r="K1446" s="3"/>
      <c r="L1446" s="3"/>
      <c r="M1446" s="3"/>
      <c r="N1446" s="3"/>
      <c r="O1446" s="3"/>
      <c r="P1446" s="3"/>
      <c r="Q1446" s="3"/>
      <c r="R1446" s="3"/>
      <c r="S1446" s="3"/>
      <c r="T1446" s="3"/>
      <c r="U1446" s="3"/>
      <c r="V1446" s="3"/>
      <c r="W1446" s="3"/>
      <c r="X1446" s="3"/>
      <c r="Y1446" s="3"/>
      <c r="Z1446" s="3"/>
      <c r="AA1446" s="3"/>
    </row>
    <row r="1447">
      <c r="A1447" s="4"/>
      <c r="B1447" s="3"/>
      <c r="C1447" s="3"/>
      <c r="D1447" s="3"/>
      <c r="E1447" s="3"/>
      <c r="F1447" s="3"/>
      <c r="G1447" s="3"/>
      <c r="H1447" s="3"/>
      <c r="I1447" s="3"/>
      <c r="J1447" s="3"/>
      <c r="K1447" s="3"/>
      <c r="L1447" s="3"/>
      <c r="M1447" s="3"/>
      <c r="N1447" s="3"/>
      <c r="O1447" s="3"/>
      <c r="P1447" s="3"/>
      <c r="Q1447" s="3"/>
      <c r="R1447" s="3"/>
      <c r="S1447" s="3"/>
      <c r="T1447" s="3"/>
      <c r="U1447" s="3"/>
      <c r="V1447" s="3"/>
      <c r="W1447" s="3"/>
      <c r="X1447" s="3"/>
      <c r="Y1447" s="3"/>
      <c r="Z1447" s="3"/>
      <c r="AA1447" s="3"/>
    </row>
    <row r="1448">
      <c r="A1448" s="4"/>
      <c r="B1448" s="3"/>
      <c r="C1448" s="3"/>
      <c r="D1448" s="3"/>
      <c r="E1448" s="3"/>
      <c r="F1448" s="3"/>
      <c r="G1448" s="3"/>
      <c r="H1448" s="3"/>
      <c r="I1448" s="3"/>
      <c r="J1448" s="3"/>
      <c r="K1448" s="3"/>
      <c r="L1448" s="3"/>
      <c r="M1448" s="3"/>
      <c r="N1448" s="3"/>
      <c r="O1448" s="3"/>
      <c r="P1448" s="3"/>
      <c r="Q1448" s="3"/>
      <c r="R1448" s="3"/>
      <c r="S1448" s="3"/>
      <c r="T1448" s="3"/>
      <c r="U1448" s="3"/>
      <c r="V1448" s="3"/>
      <c r="W1448" s="3"/>
      <c r="X1448" s="3"/>
      <c r="Y1448" s="3"/>
      <c r="Z1448" s="3"/>
      <c r="AA1448" s="3"/>
    </row>
    <row r="1449">
      <c r="A1449" s="4"/>
      <c r="B1449" s="3"/>
      <c r="C1449" s="3"/>
      <c r="D1449" s="3"/>
      <c r="E1449" s="3"/>
      <c r="F1449" s="3"/>
      <c r="G1449" s="3"/>
      <c r="H1449" s="3"/>
      <c r="I1449" s="3"/>
      <c r="J1449" s="3"/>
      <c r="K1449" s="3"/>
      <c r="L1449" s="3"/>
      <c r="M1449" s="3"/>
      <c r="N1449" s="3"/>
      <c r="O1449" s="3"/>
      <c r="P1449" s="3"/>
      <c r="Q1449" s="3"/>
      <c r="R1449" s="3"/>
      <c r="S1449" s="3"/>
      <c r="T1449" s="3"/>
      <c r="U1449" s="3"/>
      <c r="V1449" s="3"/>
      <c r="W1449" s="3"/>
      <c r="X1449" s="3"/>
      <c r="Y1449" s="3"/>
      <c r="Z1449" s="3"/>
      <c r="AA1449" s="3"/>
    </row>
    <row r="1450">
      <c r="A1450" s="4"/>
      <c r="B1450" s="3"/>
      <c r="C1450" s="3"/>
      <c r="D1450" s="3"/>
      <c r="E1450" s="3"/>
      <c r="F1450" s="3"/>
      <c r="G1450" s="3"/>
      <c r="H1450" s="3"/>
      <c r="I1450" s="3"/>
      <c r="J1450" s="3"/>
      <c r="K1450" s="3"/>
      <c r="L1450" s="3"/>
      <c r="M1450" s="3"/>
      <c r="N1450" s="3"/>
      <c r="O1450" s="3"/>
      <c r="P1450" s="3"/>
      <c r="Q1450" s="3"/>
      <c r="R1450" s="3"/>
      <c r="S1450" s="3"/>
      <c r="T1450" s="3"/>
      <c r="U1450" s="3"/>
      <c r="V1450" s="3"/>
      <c r="W1450" s="3"/>
      <c r="X1450" s="3"/>
      <c r="Y1450" s="3"/>
      <c r="Z1450" s="3"/>
      <c r="AA1450" s="3"/>
    </row>
    <row r="1451">
      <c r="A1451" s="4"/>
      <c r="B1451" s="3"/>
      <c r="C1451" s="3"/>
      <c r="D1451" s="3"/>
      <c r="E1451" s="3"/>
      <c r="F1451" s="3"/>
      <c r="G1451" s="3"/>
      <c r="H1451" s="3"/>
      <c r="I1451" s="3"/>
      <c r="J1451" s="3"/>
      <c r="K1451" s="3"/>
      <c r="L1451" s="3"/>
      <c r="M1451" s="3"/>
      <c r="N1451" s="3"/>
      <c r="O1451" s="3"/>
      <c r="P1451" s="3"/>
      <c r="Q1451" s="3"/>
      <c r="R1451" s="3"/>
      <c r="S1451" s="3"/>
      <c r="T1451" s="3"/>
      <c r="U1451" s="3"/>
      <c r="V1451" s="3"/>
      <c r="W1451" s="3"/>
      <c r="X1451" s="3"/>
      <c r="Y1451" s="3"/>
      <c r="Z1451" s="3"/>
      <c r="AA1451" s="3"/>
    </row>
    <row r="1452">
      <c r="A1452" s="4"/>
      <c r="B1452" s="3"/>
      <c r="C1452" s="3"/>
      <c r="D1452" s="3"/>
      <c r="E1452" s="3"/>
      <c r="F1452" s="3"/>
      <c r="G1452" s="3"/>
      <c r="H1452" s="3"/>
      <c r="I1452" s="3"/>
      <c r="J1452" s="3"/>
      <c r="K1452" s="3"/>
      <c r="L1452" s="3"/>
      <c r="M1452" s="3"/>
      <c r="N1452" s="3"/>
      <c r="O1452" s="3"/>
      <c r="P1452" s="3"/>
      <c r="Q1452" s="3"/>
      <c r="R1452" s="3"/>
      <c r="S1452" s="3"/>
      <c r="T1452" s="3"/>
      <c r="U1452" s="3"/>
      <c r="V1452" s="3"/>
      <c r="W1452" s="3"/>
      <c r="X1452" s="3"/>
      <c r="Y1452" s="3"/>
      <c r="Z1452" s="3"/>
      <c r="AA1452" s="3"/>
    </row>
    <row r="1453">
      <c r="A1453" s="4"/>
      <c r="B1453" s="3"/>
      <c r="C1453" s="3"/>
      <c r="D1453" s="3"/>
      <c r="E1453" s="3"/>
      <c r="F1453" s="3"/>
      <c r="G1453" s="3"/>
      <c r="H1453" s="3"/>
      <c r="I1453" s="3"/>
      <c r="J1453" s="3"/>
      <c r="K1453" s="3"/>
      <c r="L1453" s="3"/>
      <c r="M1453" s="3"/>
      <c r="N1453" s="3"/>
      <c r="O1453" s="3"/>
      <c r="P1453" s="3"/>
      <c r="Q1453" s="3"/>
      <c r="R1453" s="3"/>
      <c r="S1453" s="3"/>
      <c r="T1453" s="3"/>
      <c r="U1453" s="3"/>
      <c r="V1453" s="3"/>
      <c r="W1453" s="3"/>
      <c r="X1453" s="3"/>
      <c r="Y1453" s="3"/>
      <c r="Z1453" s="3"/>
      <c r="AA1453" s="3"/>
    </row>
    <row r="1454">
      <c r="A1454" s="4"/>
      <c r="B1454" s="3"/>
      <c r="C1454" s="3"/>
      <c r="D1454" s="3"/>
      <c r="E1454" s="3"/>
      <c r="F1454" s="3"/>
      <c r="G1454" s="3"/>
      <c r="H1454" s="3"/>
      <c r="I1454" s="3"/>
      <c r="J1454" s="3"/>
      <c r="K1454" s="3"/>
      <c r="L1454" s="3"/>
      <c r="M1454" s="3"/>
      <c r="N1454" s="3"/>
      <c r="O1454" s="3"/>
      <c r="P1454" s="3"/>
      <c r="Q1454" s="3"/>
      <c r="R1454" s="3"/>
      <c r="S1454" s="3"/>
      <c r="T1454" s="3"/>
      <c r="U1454" s="3"/>
      <c r="V1454" s="3"/>
      <c r="W1454" s="3"/>
      <c r="X1454" s="3"/>
      <c r="Y1454" s="3"/>
      <c r="Z1454" s="3"/>
      <c r="AA1454" s="3"/>
    </row>
    <row r="1455">
      <c r="A1455" s="4"/>
      <c r="B1455" s="3"/>
      <c r="C1455" s="3"/>
      <c r="D1455" s="3"/>
      <c r="E1455" s="3"/>
      <c r="F1455" s="3"/>
      <c r="G1455" s="3"/>
      <c r="H1455" s="3"/>
      <c r="I1455" s="3"/>
      <c r="J1455" s="3"/>
      <c r="K1455" s="3"/>
      <c r="L1455" s="3"/>
      <c r="M1455" s="3"/>
      <c r="N1455" s="3"/>
      <c r="O1455" s="3"/>
      <c r="P1455" s="3"/>
      <c r="Q1455" s="3"/>
      <c r="R1455" s="3"/>
      <c r="S1455" s="3"/>
      <c r="T1455" s="3"/>
      <c r="U1455" s="3"/>
      <c r="V1455" s="3"/>
      <c r="W1455" s="3"/>
      <c r="X1455" s="3"/>
      <c r="Y1455" s="3"/>
      <c r="Z1455" s="3"/>
      <c r="AA1455" s="3"/>
    </row>
    <row r="1456">
      <c r="A1456" s="4"/>
      <c r="B1456" s="3"/>
      <c r="C1456" s="3"/>
      <c r="D1456" s="3"/>
      <c r="E1456" s="3"/>
      <c r="F1456" s="3"/>
      <c r="G1456" s="3"/>
      <c r="H1456" s="3"/>
      <c r="I1456" s="3"/>
      <c r="J1456" s="3"/>
      <c r="K1456" s="3"/>
      <c r="L1456" s="3"/>
      <c r="M1456" s="3"/>
      <c r="N1456" s="3"/>
      <c r="O1456" s="3"/>
      <c r="P1456" s="3"/>
      <c r="Q1456" s="3"/>
      <c r="R1456" s="3"/>
      <c r="S1456" s="3"/>
      <c r="T1456" s="3"/>
      <c r="U1456" s="3"/>
      <c r="V1456" s="3"/>
      <c r="W1456" s="3"/>
      <c r="X1456" s="3"/>
      <c r="Y1456" s="3"/>
      <c r="Z1456" s="3"/>
      <c r="AA1456" s="3"/>
    </row>
    <row r="1457">
      <c r="A1457" s="4"/>
      <c r="B1457" s="3"/>
      <c r="C1457" s="3"/>
      <c r="D1457" s="3"/>
      <c r="E1457" s="3"/>
      <c r="F1457" s="3"/>
      <c r="G1457" s="3"/>
      <c r="H1457" s="3"/>
      <c r="I1457" s="3"/>
      <c r="J1457" s="3"/>
      <c r="K1457" s="3"/>
      <c r="L1457" s="3"/>
      <c r="M1457" s="3"/>
      <c r="N1457" s="3"/>
      <c r="O1457" s="3"/>
      <c r="P1457" s="3"/>
      <c r="Q1457" s="3"/>
      <c r="R1457" s="3"/>
      <c r="S1457" s="3"/>
      <c r="T1457" s="3"/>
      <c r="U1457" s="3"/>
      <c r="V1457" s="3"/>
      <c r="W1457" s="3"/>
      <c r="X1457" s="3"/>
      <c r="Y1457" s="3"/>
      <c r="Z1457" s="3"/>
      <c r="AA1457" s="3"/>
    </row>
    <row r="1458">
      <c r="A1458" s="4"/>
      <c r="B1458" s="3"/>
      <c r="C1458" s="3"/>
      <c r="D1458" s="3"/>
      <c r="E1458" s="3"/>
      <c r="F1458" s="3"/>
      <c r="G1458" s="3"/>
      <c r="H1458" s="3"/>
      <c r="I1458" s="3"/>
      <c r="J1458" s="3"/>
      <c r="K1458" s="3"/>
      <c r="L1458" s="3"/>
      <c r="M1458" s="3"/>
      <c r="N1458" s="3"/>
      <c r="O1458" s="3"/>
      <c r="P1458" s="3"/>
      <c r="Q1458" s="3"/>
      <c r="R1458" s="3"/>
      <c r="S1458" s="3"/>
      <c r="T1458" s="3"/>
      <c r="U1458" s="3"/>
      <c r="V1458" s="3"/>
      <c r="W1458" s="3"/>
      <c r="X1458" s="3"/>
      <c r="Y1458" s="3"/>
      <c r="Z1458" s="3"/>
      <c r="AA1458" s="3"/>
    </row>
    <row r="1459">
      <c r="A1459" s="4"/>
      <c r="B1459" s="3"/>
      <c r="C1459" s="3"/>
      <c r="D1459" s="3"/>
      <c r="E1459" s="3"/>
      <c r="F1459" s="3"/>
      <c r="G1459" s="3"/>
      <c r="H1459" s="3"/>
      <c r="I1459" s="3"/>
      <c r="J1459" s="3"/>
      <c r="K1459" s="3"/>
      <c r="L1459" s="3"/>
      <c r="M1459" s="3"/>
      <c r="N1459" s="3"/>
      <c r="O1459" s="3"/>
      <c r="P1459" s="3"/>
      <c r="Q1459" s="3"/>
      <c r="R1459" s="3"/>
      <c r="S1459" s="3"/>
      <c r="T1459" s="3"/>
      <c r="U1459" s="3"/>
      <c r="V1459" s="3"/>
      <c r="W1459" s="3"/>
      <c r="X1459" s="3"/>
      <c r="Y1459" s="3"/>
      <c r="Z1459" s="3"/>
      <c r="AA1459" s="3"/>
    </row>
    <row r="1460">
      <c r="A1460" s="4"/>
      <c r="B1460" s="3"/>
      <c r="C1460" s="3"/>
      <c r="D1460" s="3"/>
      <c r="E1460" s="3"/>
      <c r="F1460" s="3"/>
      <c r="G1460" s="3"/>
      <c r="H1460" s="3"/>
      <c r="I1460" s="3"/>
      <c r="J1460" s="3"/>
      <c r="K1460" s="3"/>
      <c r="L1460" s="3"/>
      <c r="M1460" s="3"/>
      <c r="N1460" s="3"/>
      <c r="O1460" s="3"/>
      <c r="P1460" s="3"/>
      <c r="Q1460" s="3"/>
      <c r="R1460" s="3"/>
      <c r="S1460" s="3"/>
      <c r="T1460" s="3"/>
      <c r="U1460" s="3"/>
      <c r="V1460" s="3"/>
      <c r="W1460" s="3"/>
      <c r="X1460" s="3"/>
      <c r="Y1460" s="3"/>
      <c r="Z1460" s="3"/>
      <c r="AA1460" s="3"/>
    </row>
    <row r="1461">
      <c r="A1461" s="4"/>
      <c r="B1461" s="3"/>
      <c r="C1461" s="3"/>
      <c r="D1461" s="3"/>
      <c r="E1461" s="3"/>
      <c r="F1461" s="3"/>
      <c r="G1461" s="3"/>
      <c r="H1461" s="3"/>
      <c r="I1461" s="3"/>
      <c r="J1461" s="3"/>
      <c r="K1461" s="3"/>
      <c r="L1461" s="3"/>
      <c r="M1461" s="3"/>
      <c r="N1461" s="3"/>
      <c r="O1461" s="3"/>
      <c r="P1461" s="3"/>
      <c r="Q1461" s="3"/>
      <c r="R1461" s="3"/>
      <c r="S1461" s="3"/>
      <c r="T1461" s="3"/>
      <c r="U1461" s="3"/>
      <c r="V1461" s="3"/>
      <c r="W1461" s="3"/>
      <c r="X1461" s="3"/>
      <c r="Y1461" s="3"/>
      <c r="Z1461" s="3"/>
      <c r="AA1461" s="3"/>
    </row>
    <row r="1462">
      <c r="A1462" s="4"/>
      <c r="B1462" s="3"/>
      <c r="C1462" s="3"/>
      <c r="D1462" s="3"/>
      <c r="E1462" s="3"/>
      <c r="F1462" s="3"/>
      <c r="G1462" s="3"/>
      <c r="H1462" s="3"/>
      <c r="I1462" s="3"/>
      <c r="J1462" s="3"/>
      <c r="K1462" s="3"/>
      <c r="L1462" s="3"/>
      <c r="M1462" s="3"/>
      <c r="N1462" s="3"/>
      <c r="O1462" s="3"/>
      <c r="P1462" s="3"/>
      <c r="Q1462" s="3"/>
      <c r="R1462" s="3"/>
      <c r="S1462" s="3"/>
      <c r="T1462" s="3"/>
      <c r="U1462" s="3"/>
      <c r="V1462" s="3"/>
      <c r="W1462" s="3"/>
      <c r="X1462" s="3"/>
      <c r="Y1462" s="3"/>
      <c r="Z1462" s="3"/>
      <c r="AA1462" s="3"/>
    </row>
    <row r="1463">
      <c r="A1463" s="4"/>
      <c r="B1463" s="3"/>
      <c r="C1463" s="3"/>
      <c r="D1463" s="3"/>
      <c r="E1463" s="3"/>
      <c r="F1463" s="3"/>
      <c r="G1463" s="3"/>
      <c r="H1463" s="3"/>
      <c r="I1463" s="3"/>
      <c r="J1463" s="3"/>
      <c r="K1463" s="3"/>
      <c r="L1463" s="3"/>
      <c r="M1463" s="3"/>
      <c r="N1463" s="3"/>
      <c r="O1463" s="3"/>
      <c r="P1463" s="3"/>
      <c r="Q1463" s="3"/>
      <c r="R1463" s="3"/>
      <c r="S1463" s="3"/>
      <c r="T1463" s="3"/>
      <c r="U1463" s="3"/>
      <c r="V1463" s="3"/>
      <c r="W1463" s="3"/>
      <c r="X1463" s="3"/>
      <c r="Y1463" s="3"/>
      <c r="Z1463" s="3"/>
      <c r="AA1463" s="3"/>
    </row>
    <row r="1464">
      <c r="A1464" s="4"/>
      <c r="B1464" s="3"/>
      <c r="C1464" s="3"/>
      <c r="D1464" s="3"/>
      <c r="E1464" s="3"/>
      <c r="F1464" s="3"/>
      <c r="G1464" s="3"/>
      <c r="H1464" s="3"/>
      <c r="I1464" s="3"/>
      <c r="J1464" s="3"/>
      <c r="K1464" s="3"/>
      <c r="L1464" s="3"/>
      <c r="M1464" s="3"/>
      <c r="N1464" s="3"/>
      <c r="O1464" s="3"/>
      <c r="P1464" s="3"/>
      <c r="Q1464" s="3"/>
      <c r="R1464" s="3"/>
      <c r="S1464" s="3"/>
      <c r="T1464" s="3"/>
      <c r="U1464" s="3"/>
      <c r="V1464" s="3"/>
      <c r="W1464" s="3"/>
      <c r="X1464" s="3"/>
      <c r="Y1464" s="3"/>
      <c r="Z1464" s="3"/>
      <c r="AA1464" s="3"/>
    </row>
    <row r="1465">
      <c r="A1465" s="4"/>
      <c r="B1465" s="3"/>
      <c r="C1465" s="3"/>
      <c r="D1465" s="3"/>
      <c r="E1465" s="3"/>
      <c r="F1465" s="3"/>
      <c r="G1465" s="3"/>
      <c r="H1465" s="3"/>
      <c r="I1465" s="3"/>
      <c r="J1465" s="3"/>
      <c r="K1465" s="3"/>
      <c r="L1465" s="3"/>
      <c r="M1465" s="3"/>
      <c r="N1465" s="3"/>
      <c r="O1465" s="3"/>
      <c r="P1465" s="3"/>
      <c r="Q1465" s="3"/>
      <c r="R1465" s="3"/>
      <c r="S1465" s="3"/>
      <c r="T1465" s="3"/>
      <c r="U1465" s="3"/>
      <c r="V1465" s="3"/>
      <c r="W1465" s="3"/>
      <c r="X1465" s="3"/>
      <c r="Y1465" s="3"/>
      <c r="Z1465" s="3"/>
      <c r="AA1465" s="3"/>
    </row>
    <row r="1466">
      <c r="A1466" s="4"/>
      <c r="B1466" s="3"/>
      <c r="C1466" s="3"/>
      <c r="D1466" s="3"/>
      <c r="E1466" s="3"/>
      <c r="F1466" s="3"/>
      <c r="G1466" s="3"/>
      <c r="H1466" s="3"/>
      <c r="I1466" s="3"/>
      <c r="J1466" s="3"/>
      <c r="K1466" s="3"/>
      <c r="L1466" s="3"/>
      <c r="M1466" s="3"/>
      <c r="N1466" s="3"/>
      <c r="O1466" s="3"/>
      <c r="P1466" s="3"/>
      <c r="Q1466" s="3"/>
      <c r="R1466" s="3"/>
      <c r="S1466" s="3"/>
      <c r="T1466" s="3"/>
      <c r="U1466" s="3"/>
      <c r="V1466" s="3"/>
      <c r="W1466" s="3"/>
      <c r="X1466" s="3"/>
      <c r="Y1466" s="3"/>
      <c r="Z1466" s="3"/>
      <c r="AA1466" s="3"/>
    </row>
    <row r="1467">
      <c r="A1467" s="4"/>
      <c r="B1467" s="3"/>
      <c r="C1467" s="3"/>
      <c r="D1467" s="3"/>
      <c r="E1467" s="3"/>
      <c r="F1467" s="3"/>
      <c r="G1467" s="3"/>
      <c r="H1467" s="3"/>
      <c r="I1467" s="3"/>
      <c r="J1467" s="3"/>
      <c r="K1467" s="3"/>
      <c r="L1467" s="3"/>
      <c r="M1467" s="3"/>
      <c r="N1467" s="3"/>
      <c r="O1467" s="3"/>
      <c r="P1467" s="3"/>
      <c r="Q1467" s="3"/>
      <c r="R1467" s="3"/>
      <c r="S1467" s="3"/>
      <c r="T1467" s="3"/>
      <c r="U1467" s="3"/>
      <c r="V1467" s="3"/>
      <c r="W1467" s="3"/>
      <c r="X1467" s="3"/>
      <c r="Y1467" s="3"/>
      <c r="Z1467" s="3"/>
      <c r="AA1467" s="3"/>
    </row>
    <row r="1468">
      <c r="A1468" s="4"/>
      <c r="B1468" s="3"/>
      <c r="C1468" s="3"/>
      <c r="D1468" s="3"/>
      <c r="E1468" s="3"/>
      <c r="F1468" s="3"/>
      <c r="G1468" s="3"/>
      <c r="H1468" s="3"/>
      <c r="I1468" s="3"/>
      <c r="J1468" s="3"/>
      <c r="K1468" s="3"/>
      <c r="L1468" s="3"/>
      <c r="M1468" s="3"/>
      <c r="N1468" s="3"/>
      <c r="O1468" s="3"/>
      <c r="P1468" s="3"/>
      <c r="Q1468" s="3"/>
      <c r="R1468" s="3"/>
      <c r="S1468" s="3"/>
      <c r="T1468" s="3"/>
      <c r="U1468" s="3"/>
      <c r="V1468" s="3"/>
      <c r="W1468" s="3"/>
      <c r="X1468" s="3"/>
      <c r="Y1468" s="3"/>
      <c r="Z1468" s="3"/>
      <c r="AA1468" s="3"/>
    </row>
    <row r="1469">
      <c r="A1469" s="4"/>
      <c r="B1469" s="3"/>
      <c r="C1469" s="3"/>
      <c r="D1469" s="3"/>
      <c r="E1469" s="3"/>
      <c r="F1469" s="3"/>
      <c r="G1469" s="3"/>
      <c r="H1469" s="3"/>
      <c r="I1469" s="3"/>
      <c r="J1469" s="3"/>
      <c r="K1469" s="3"/>
      <c r="L1469" s="3"/>
      <c r="M1469" s="3"/>
      <c r="N1469" s="3"/>
      <c r="O1469" s="3"/>
      <c r="P1469" s="3"/>
      <c r="Q1469" s="3"/>
      <c r="R1469" s="3"/>
      <c r="S1469" s="3"/>
      <c r="T1469" s="3"/>
      <c r="U1469" s="3"/>
      <c r="V1469" s="3"/>
      <c r="W1469" s="3"/>
      <c r="X1469" s="3"/>
      <c r="Y1469" s="3"/>
      <c r="Z1469" s="3"/>
      <c r="AA1469" s="3"/>
    </row>
    <row r="1470">
      <c r="A1470" s="4"/>
      <c r="B1470" s="3"/>
      <c r="C1470" s="3"/>
      <c r="D1470" s="3"/>
      <c r="E1470" s="3"/>
      <c r="F1470" s="3"/>
      <c r="G1470" s="3"/>
      <c r="H1470" s="3"/>
      <c r="I1470" s="3"/>
      <c r="J1470" s="3"/>
      <c r="K1470" s="3"/>
      <c r="L1470" s="3"/>
      <c r="M1470" s="3"/>
      <c r="N1470" s="3"/>
      <c r="O1470" s="3"/>
      <c r="P1470" s="3"/>
      <c r="Q1470" s="3"/>
      <c r="R1470" s="3"/>
      <c r="S1470" s="3"/>
      <c r="T1470" s="3"/>
      <c r="U1470" s="3"/>
      <c r="V1470" s="3"/>
      <c r="W1470" s="3"/>
      <c r="X1470" s="3"/>
      <c r="Y1470" s="3"/>
      <c r="Z1470" s="3"/>
      <c r="AA1470" s="3"/>
    </row>
    <row r="1471">
      <c r="A1471" s="4"/>
      <c r="B1471" s="3"/>
      <c r="C1471" s="3"/>
      <c r="D1471" s="3"/>
      <c r="E1471" s="3"/>
      <c r="F1471" s="3"/>
      <c r="G1471" s="3"/>
      <c r="H1471" s="3"/>
      <c r="I1471" s="3"/>
      <c r="J1471" s="3"/>
      <c r="K1471" s="3"/>
      <c r="L1471" s="3"/>
      <c r="M1471" s="3"/>
      <c r="N1471" s="3"/>
      <c r="O1471" s="3"/>
      <c r="P1471" s="3"/>
      <c r="Q1471" s="3"/>
      <c r="R1471" s="3"/>
      <c r="S1471" s="3"/>
      <c r="T1471" s="3"/>
      <c r="U1471" s="3"/>
      <c r="V1471" s="3"/>
      <c r="W1471" s="3"/>
      <c r="X1471" s="3"/>
      <c r="Y1471" s="3"/>
      <c r="Z1471" s="3"/>
      <c r="AA1471" s="3"/>
    </row>
    <row r="1472">
      <c r="A1472" s="4"/>
      <c r="B1472" s="3"/>
      <c r="C1472" s="3"/>
      <c r="D1472" s="3"/>
      <c r="E1472" s="3"/>
      <c r="F1472" s="3"/>
      <c r="G1472" s="3"/>
      <c r="H1472" s="3"/>
      <c r="I1472" s="3"/>
      <c r="J1472" s="3"/>
      <c r="K1472" s="3"/>
      <c r="L1472" s="3"/>
      <c r="M1472" s="3"/>
      <c r="N1472" s="3"/>
      <c r="O1472" s="3"/>
      <c r="P1472" s="3"/>
      <c r="Q1472" s="3"/>
      <c r="R1472" s="3"/>
      <c r="S1472" s="3"/>
      <c r="T1472" s="3"/>
      <c r="U1472" s="3"/>
      <c r="V1472" s="3"/>
      <c r="W1472" s="3"/>
      <c r="X1472" s="3"/>
      <c r="Y1472" s="3"/>
      <c r="Z1472" s="3"/>
      <c r="AA1472" s="3"/>
    </row>
    <row r="1473">
      <c r="A1473" s="4"/>
      <c r="B1473" s="3"/>
      <c r="C1473" s="3"/>
      <c r="D1473" s="3"/>
      <c r="E1473" s="3"/>
      <c r="F1473" s="3"/>
      <c r="G1473" s="3"/>
      <c r="H1473" s="3"/>
      <c r="I1473" s="3"/>
      <c r="J1473" s="3"/>
      <c r="K1473" s="3"/>
      <c r="L1473" s="3"/>
      <c r="M1473" s="3"/>
      <c r="N1473" s="3"/>
      <c r="O1473" s="3"/>
      <c r="P1473" s="3"/>
      <c r="Q1473" s="3"/>
      <c r="R1473" s="3"/>
      <c r="S1473" s="3"/>
      <c r="T1473" s="3"/>
      <c r="U1473" s="3"/>
      <c r="V1473" s="3"/>
      <c r="W1473" s="3"/>
      <c r="X1473" s="3"/>
      <c r="Y1473" s="3"/>
      <c r="Z1473" s="3"/>
      <c r="AA1473" s="3"/>
    </row>
    <row r="1474">
      <c r="A1474" s="4"/>
      <c r="B1474" s="3"/>
      <c r="C1474" s="3"/>
      <c r="D1474" s="3"/>
      <c r="E1474" s="3"/>
      <c r="F1474" s="3"/>
      <c r="G1474" s="3"/>
      <c r="H1474" s="3"/>
      <c r="I1474" s="3"/>
      <c r="J1474" s="3"/>
      <c r="K1474" s="3"/>
      <c r="L1474" s="3"/>
      <c r="M1474" s="3"/>
      <c r="N1474" s="3"/>
      <c r="O1474" s="3"/>
      <c r="P1474" s="3"/>
      <c r="Q1474" s="3"/>
      <c r="R1474" s="3"/>
      <c r="S1474" s="3"/>
      <c r="T1474" s="3"/>
      <c r="U1474" s="3"/>
      <c r="V1474" s="3"/>
      <c r="W1474" s="3"/>
      <c r="X1474" s="3"/>
      <c r="Y1474" s="3"/>
      <c r="Z1474" s="3"/>
      <c r="AA1474" s="3"/>
    </row>
    <row r="1475">
      <c r="A1475" s="4"/>
      <c r="B1475" s="3"/>
      <c r="C1475" s="3"/>
      <c r="D1475" s="3"/>
      <c r="E1475" s="3"/>
      <c r="F1475" s="3"/>
      <c r="G1475" s="3"/>
      <c r="H1475" s="3"/>
      <c r="I1475" s="3"/>
      <c r="J1475" s="3"/>
      <c r="K1475" s="3"/>
      <c r="L1475" s="3"/>
      <c r="M1475" s="3"/>
      <c r="N1475" s="3"/>
      <c r="O1475" s="3"/>
      <c r="P1475" s="3"/>
      <c r="Q1475" s="3"/>
      <c r="R1475" s="3"/>
      <c r="S1475" s="3"/>
      <c r="T1475" s="3"/>
      <c r="U1475" s="3"/>
      <c r="V1475" s="3"/>
      <c r="W1475" s="3"/>
      <c r="X1475" s="3"/>
      <c r="Y1475" s="3"/>
      <c r="Z1475" s="3"/>
      <c r="AA1475" s="3"/>
    </row>
    <row r="1476">
      <c r="A1476" s="4"/>
      <c r="B1476" s="3"/>
      <c r="C1476" s="3"/>
      <c r="D1476" s="3"/>
      <c r="E1476" s="3"/>
      <c r="F1476" s="3"/>
      <c r="G1476" s="3"/>
      <c r="H1476" s="3"/>
      <c r="I1476" s="3"/>
      <c r="J1476" s="3"/>
      <c r="K1476" s="3"/>
      <c r="L1476" s="3"/>
      <c r="M1476" s="3"/>
      <c r="N1476" s="3"/>
      <c r="O1476" s="3"/>
      <c r="P1476" s="3"/>
      <c r="Q1476" s="3"/>
      <c r="R1476" s="3"/>
      <c r="S1476" s="3"/>
      <c r="T1476" s="3"/>
      <c r="U1476" s="3"/>
      <c r="V1476" s="3"/>
      <c r="W1476" s="3"/>
      <c r="X1476" s="3"/>
      <c r="Y1476" s="3"/>
      <c r="Z1476" s="3"/>
      <c r="AA1476" s="3"/>
    </row>
    <row r="1477">
      <c r="A1477" s="4"/>
      <c r="B1477" s="3"/>
      <c r="C1477" s="3"/>
      <c r="D1477" s="3"/>
      <c r="E1477" s="3"/>
      <c r="F1477" s="3"/>
      <c r="G1477" s="3"/>
      <c r="H1477" s="3"/>
      <c r="I1477" s="3"/>
      <c r="J1477" s="3"/>
      <c r="K1477" s="3"/>
      <c r="L1477" s="3"/>
      <c r="M1477" s="3"/>
      <c r="N1477" s="3"/>
      <c r="O1477" s="3"/>
      <c r="P1477" s="3"/>
      <c r="Q1477" s="3"/>
      <c r="R1477" s="3"/>
      <c r="S1477" s="3"/>
      <c r="T1477" s="3"/>
      <c r="U1477" s="3"/>
      <c r="V1477" s="3"/>
      <c r="W1477" s="3"/>
      <c r="X1477" s="3"/>
      <c r="Y1477" s="3"/>
      <c r="Z1477" s="3"/>
      <c r="AA1477" s="3"/>
    </row>
    <row r="1478">
      <c r="A1478" s="4"/>
      <c r="B1478" s="3"/>
      <c r="C1478" s="3"/>
      <c r="D1478" s="3"/>
      <c r="E1478" s="3"/>
      <c r="F1478" s="3"/>
      <c r="G1478" s="3"/>
      <c r="H1478" s="3"/>
      <c r="I1478" s="3"/>
      <c r="J1478" s="3"/>
      <c r="K1478" s="3"/>
      <c r="L1478" s="3"/>
      <c r="M1478" s="3"/>
      <c r="N1478" s="3"/>
      <c r="O1478" s="3"/>
      <c r="P1478" s="3"/>
      <c r="Q1478" s="3"/>
      <c r="R1478" s="3"/>
      <c r="S1478" s="3"/>
      <c r="T1478" s="3"/>
      <c r="U1478" s="3"/>
      <c r="V1478" s="3"/>
      <c r="W1478" s="3"/>
      <c r="X1478" s="3"/>
      <c r="Y1478" s="3"/>
      <c r="Z1478" s="3"/>
      <c r="AA1478" s="3"/>
    </row>
    <row r="1479">
      <c r="A1479" s="4"/>
      <c r="B1479" s="3"/>
      <c r="C1479" s="3"/>
      <c r="D1479" s="3"/>
      <c r="E1479" s="3"/>
      <c r="F1479" s="3"/>
      <c r="G1479" s="3"/>
      <c r="H1479" s="3"/>
      <c r="I1479" s="3"/>
      <c r="J1479" s="3"/>
      <c r="K1479" s="3"/>
      <c r="L1479" s="3"/>
      <c r="M1479" s="3"/>
      <c r="N1479" s="3"/>
      <c r="O1479" s="3"/>
      <c r="P1479" s="3"/>
      <c r="Q1479" s="3"/>
      <c r="R1479" s="3"/>
      <c r="S1479" s="3"/>
      <c r="T1479" s="3"/>
      <c r="U1479" s="3"/>
      <c r="V1479" s="3"/>
      <c r="W1479" s="3"/>
      <c r="X1479" s="3"/>
      <c r="Y1479" s="3"/>
      <c r="Z1479" s="3"/>
      <c r="AA1479" s="3"/>
    </row>
    <row r="1480">
      <c r="A1480" s="4"/>
      <c r="B1480" s="3"/>
      <c r="C1480" s="3"/>
      <c r="D1480" s="3"/>
      <c r="E1480" s="3"/>
      <c r="F1480" s="3"/>
      <c r="G1480" s="3"/>
      <c r="H1480" s="3"/>
      <c r="I1480" s="3"/>
      <c r="J1480" s="3"/>
      <c r="K1480" s="3"/>
      <c r="L1480" s="3"/>
      <c r="M1480" s="3"/>
      <c r="N1480" s="3"/>
      <c r="O1480" s="3"/>
      <c r="P1480" s="3"/>
      <c r="Q1480" s="3"/>
      <c r="R1480" s="3"/>
      <c r="S1480" s="3"/>
      <c r="T1480" s="3"/>
      <c r="U1480" s="3"/>
      <c r="V1480" s="3"/>
      <c r="W1480" s="3"/>
      <c r="X1480" s="3"/>
      <c r="Y1480" s="3"/>
      <c r="Z1480" s="3"/>
      <c r="AA1480" s="3"/>
    </row>
    <row r="1481">
      <c r="A1481" s="4"/>
      <c r="B1481" s="3"/>
      <c r="C1481" s="3"/>
      <c r="D1481" s="3"/>
      <c r="E1481" s="3"/>
      <c r="F1481" s="3"/>
      <c r="G1481" s="3"/>
      <c r="H1481" s="3"/>
      <c r="I1481" s="3"/>
      <c r="J1481" s="3"/>
      <c r="K1481" s="3"/>
      <c r="L1481" s="3"/>
      <c r="M1481" s="3"/>
      <c r="N1481" s="3"/>
      <c r="O1481" s="3"/>
      <c r="P1481" s="3"/>
      <c r="Q1481" s="3"/>
      <c r="R1481" s="3"/>
      <c r="S1481" s="3"/>
      <c r="T1481" s="3"/>
      <c r="U1481" s="3"/>
      <c r="V1481" s="3"/>
      <c r="W1481" s="3"/>
      <c r="X1481" s="3"/>
      <c r="Y1481" s="3"/>
      <c r="Z1481" s="3"/>
      <c r="AA1481" s="3"/>
    </row>
    <row r="1482">
      <c r="A1482" s="4"/>
      <c r="B1482" s="3"/>
      <c r="C1482" s="3"/>
      <c r="D1482" s="3"/>
      <c r="E1482" s="3"/>
      <c r="F1482" s="3"/>
      <c r="G1482" s="3"/>
      <c r="H1482" s="3"/>
      <c r="I1482" s="3"/>
      <c r="J1482" s="3"/>
      <c r="K1482" s="3"/>
      <c r="L1482" s="3"/>
      <c r="M1482" s="3"/>
      <c r="N1482" s="3"/>
      <c r="O1482" s="3"/>
      <c r="P1482" s="3"/>
      <c r="Q1482" s="3"/>
      <c r="R1482" s="3"/>
      <c r="S1482" s="3"/>
      <c r="T1482" s="3"/>
      <c r="U1482" s="3"/>
      <c r="V1482" s="3"/>
      <c r="W1482" s="3"/>
      <c r="X1482" s="3"/>
      <c r="Y1482" s="3"/>
      <c r="Z1482" s="3"/>
      <c r="AA1482" s="3"/>
    </row>
    <row r="1483">
      <c r="A1483" s="4"/>
      <c r="B1483" s="3"/>
      <c r="C1483" s="3"/>
      <c r="D1483" s="3"/>
      <c r="E1483" s="3"/>
      <c r="F1483" s="3"/>
      <c r="G1483" s="3"/>
      <c r="H1483" s="3"/>
      <c r="I1483" s="3"/>
      <c r="J1483" s="3"/>
      <c r="K1483" s="3"/>
      <c r="L1483" s="3"/>
      <c r="M1483" s="3"/>
      <c r="N1483" s="3"/>
      <c r="O1483" s="3"/>
      <c r="P1483" s="3"/>
      <c r="Q1483" s="3"/>
      <c r="R1483" s="3"/>
      <c r="S1483" s="3"/>
      <c r="T1483" s="3"/>
      <c r="U1483" s="3"/>
      <c r="V1483" s="3"/>
      <c r="W1483" s="3"/>
      <c r="X1483" s="3"/>
      <c r="Y1483" s="3"/>
      <c r="Z1483" s="3"/>
      <c r="AA1483" s="3"/>
    </row>
    <row r="1484">
      <c r="A1484" s="4"/>
      <c r="B1484" s="3"/>
      <c r="C1484" s="3"/>
      <c r="D1484" s="3"/>
      <c r="E1484" s="3"/>
      <c r="F1484" s="3"/>
      <c r="G1484" s="3"/>
      <c r="H1484" s="3"/>
      <c r="I1484" s="3"/>
      <c r="J1484" s="3"/>
      <c r="K1484" s="3"/>
      <c r="L1484" s="3"/>
      <c r="M1484" s="3"/>
      <c r="N1484" s="3"/>
      <c r="O1484" s="3"/>
      <c r="P1484" s="3"/>
      <c r="Q1484" s="3"/>
      <c r="R1484" s="3"/>
      <c r="S1484" s="3"/>
      <c r="T1484" s="3"/>
      <c r="U1484" s="3"/>
      <c r="V1484" s="3"/>
      <c r="W1484" s="3"/>
      <c r="X1484" s="3"/>
      <c r="Y1484" s="3"/>
      <c r="Z1484" s="3"/>
      <c r="AA1484" s="3"/>
    </row>
    <row r="1485">
      <c r="A1485" s="4"/>
      <c r="B1485" s="3"/>
      <c r="C1485" s="3"/>
      <c r="D1485" s="3"/>
      <c r="E1485" s="3"/>
      <c r="F1485" s="3"/>
      <c r="G1485" s="3"/>
      <c r="H1485" s="3"/>
      <c r="I1485" s="3"/>
      <c r="J1485" s="3"/>
      <c r="K1485" s="3"/>
      <c r="L1485" s="3"/>
      <c r="M1485" s="3"/>
      <c r="N1485" s="3"/>
      <c r="O1485" s="3"/>
      <c r="P1485" s="3"/>
      <c r="Q1485" s="3"/>
      <c r="R1485" s="3"/>
      <c r="S1485" s="3"/>
      <c r="T1485" s="3"/>
      <c r="U1485" s="3"/>
      <c r="V1485" s="3"/>
      <c r="W1485" s="3"/>
      <c r="X1485" s="3"/>
      <c r="Y1485" s="3"/>
      <c r="Z1485" s="3"/>
      <c r="AA1485" s="3"/>
    </row>
    <row r="1486">
      <c r="A1486" s="4"/>
      <c r="B1486" s="3"/>
      <c r="C1486" s="3"/>
      <c r="D1486" s="3"/>
      <c r="E1486" s="3"/>
      <c r="F1486" s="3"/>
      <c r="G1486" s="3"/>
      <c r="H1486" s="3"/>
      <c r="I1486" s="3"/>
      <c r="J1486" s="3"/>
      <c r="K1486" s="3"/>
      <c r="L1486" s="3"/>
      <c r="M1486" s="3"/>
      <c r="N1486" s="3"/>
      <c r="O1486" s="3"/>
      <c r="P1486" s="3"/>
      <c r="Q1486" s="3"/>
      <c r="R1486" s="3"/>
      <c r="S1486" s="3"/>
      <c r="T1486" s="3"/>
      <c r="U1486" s="3"/>
      <c r="V1486" s="3"/>
      <c r="W1486" s="3"/>
      <c r="X1486" s="3"/>
      <c r="Y1486" s="3"/>
      <c r="Z1486" s="3"/>
      <c r="AA1486" s="3"/>
    </row>
    <row r="1487">
      <c r="A1487" s="4"/>
      <c r="B1487" s="3"/>
      <c r="C1487" s="3"/>
      <c r="D1487" s="3"/>
      <c r="E1487" s="3"/>
      <c r="F1487" s="3"/>
      <c r="G1487" s="3"/>
      <c r="H1487" s="3"/>
      <c r="I1487" s="3"/>
      <c r="J1487" s="3"/>
      <c r="K1487" s="3"/>
      <c r="L1487" s="3"/>
      <c r="M1487" s="3"/>
      <c r="N1487" s="3"/>
      <c r="O1487" s="3"/>
      <c r="P1487" s="3"/>
      <c r="Q1487" s="3"/>
      <c r="R1487" s="3"/>
      <c r="S1487" s="3"/>
      <c r="T1487" s="3"/>
      <c r="U1487" s="3"/>
      <c r="V1487" s="3"/>
      <c r="W1487" s="3"/>
      <c r="X1487" s="3"/>
      <c r="Y1487" s="3"/>
      <c r="Z1487" s="3"/>
      <c r="AA1487" s="3"/>
    </row>
    <row r="1488">
      <c r="A1488" s="4"/>
      <c r="B1488" s="3"/>
      <c r="C1488" s="3"/>
      <c r="D1488" s="3"/>
      <c r="E1488" s="3"/>
      <c r="F1488" s="3"/>
      <c r="G1488" s="3"/>
      <c r="H1488" s="3"/>
      <c r="I1488" s="3"/>
      <c r="J1488" s="3"/>
      <c r="K1488" s="3"/>
      <c r="L1488" s="3"/>
      <c r="M1488" s="3"/>
      <c r="N1488" s="3"/>
      <c r="O1488" s="3"/>
      <c r="P1488" s="3"/>
      <c r="Q1488" s="3"/>
      <c r="R1488" s="3"/>
      <c r="S1488" s="3"/>
      <c r="T1488" s="3"/>
      <c r="U1488" s="3"/>
      <c r="V1488" s="3"/>
      <c r="W1488" s="3"/>
      <c r="X1488" s="3"/>
      <c r="Y1488" s="3"/>
      <c r="Z1488" s="3"/>
      <c r="AA1488" s="3"/>
    </row>
    <row r="1489">
      <c r="A1489" s="4"/>
      <c r="B1489" s="3"/>
      <c r="C1489" s="3"/>
      <c r="D1489" s="3"/>
      <c r="E1489" s="3"/>
      <c r="F1489" s="3"/>
      <c r="G1489" s="3"/>
      <c r="H1489" s="3"/>
      <c r="I1489" s="3"/>
      <c r="J1489" s="3"/>
      <c r="K1489" s="3"/>
      <c r="L1489" s="3"/>
      <c r="M1489" s="3"/>
      <c r="N1489" s="3"/>
      <c r="O1489" s="3"/>
      <c r="P1489" s="3"/>
      <c r="Q1489" s="3"/>
      <c r="R1489" s="3"/>
      <c r="S1489" s="3"/>
      <c r="T1489" s="3"/>
      <c r="U1489" s="3"/>
      <c r="V1489" s="3"/>
      <c r="W1489" s="3"/>
      <c r="X1489" s="3"/>
      <c r="Y1489" s="3"/>
      <c r="Z1489" s="3"/>
      <c r="AA1489" s="3"/>
    </row>
    <row r="1490">
      <c r="A1490" s="4"/>
      <c r="B1490" s="3"/>
      <c r="C1490" s="3"/>
      <c r="D1490" s="3"/>
      <c r="E1490" s="3"/>
      <c r="F1490" s="3"/>
      <c r="G1490" s="3"/>
      <c r="H1490" s="3"/>
      <c r="I1490" s="3"/>
      <c r="J1490" s="3"/>
      <c r="K1490" s="3"/>
      <c r="L1490" s="3"/>
      <c r="M1490" s="3"/>
      <c r="N1490" s="3"/>
      <c r="O1490" s="3"/>
      <c r="P1490" s="3"/>
      <c r="Q1490" s="3"/>
      <c r="R1490" s="3"/>
      <c r="S1490" s="3"/>
      <c r="T1490" s="3"/>
      <c r="U1490" s="3"/>
      <c r="V1490" s="3"/>
      <c r="W1490" s="3"/>
      <c r="X1490" s="3"/>
      <c r="Y1490" s="3"/>
      <c r="Z1490" s="3"/>
      <c r="AA1490" s="3"/>
    </row>
    <row r="1491">
      <c r="A1491" s="4"/>
      <c r="B1491" s="3"/>
      <c r="C1491" s="3"/>
      <c r="D1491" s="3"/>
      <c r="E1491" s="3"/>
      <c r="F1491" s="3"/>
      <c r="G1491" s="3"/>
      <c r="H1491" s="3"/>
      <c r="I1491" s="3"/>
      <c r="J1491" s="3"/>
      <c r="K1491" s="3"/>
      <c r="L1491" s="3"/>
      <c r="M1491" s="3"/>
      <c r="N1491" s="3"/>
      <c r="O1491" s="3"/>
      <c r="P1491" s="3"/>
      <c r="Q1491" s="3"/>
      <c r="R1491" s="3"/>
      <c r="S1491" s="3"/>
      <c r="T1491" s="3"/>
      <c r="U1491" s="3"/>
      <c r="V1491" s="3"/>
      <c r="W1491" s="3"/>
      <c r="X1491" s="3"/>
      <c r="Y1491" s="3"/>
      <c r="Z1491" s="3"/>
      <c r="AA1491" s="3"/>
    </row>
    <row r="1492">
      <c r="A1492" s="4"/>
      <c r="B1492" s="3"/>
      <c r="C1492" s="3"/>
      <c r="D1492" s="3"/>
      <c r="E1492" s="3"/>
      <c r="F1492" s="3"/>
      <c r="G1492" s="3"/>
      <c r="H1492" s="3"/>
      <c r="I1492" s="3"/>
      <c r="J1492" s="3"/>
      <c r="K1492" s="3"/>
      <c r="L1492" s="3"/>
      <c r="M1492" s="3"/>
      <c r="N1492" s="3"/>
      <c r="O1492" s="3"/>
      <c r="P1492" s="3"/>
      <c r="Q1492" s="3"/>
      <c r="R1492" s="3"/>
      <c r="S1492" s="3"/>
      <c r="T1492" s="3"/>
      <c r="U1492" s="3"/>
      <c r="V1492" s="3"/>
      <c r="W1492" s="3"/>
      <c r="X1492" s="3"/>
      <c r="Y1492" s="3"/>
      <c r="Z1492" s="3"/>
      <c r="AA1492" s="3"/>
    </row>
    <row r="1493">
      <c r="A1493" s="4"/>
      <c r="B1493" s="3"/>
      <c r="C1493" s="3"/>
      <c r="D1493" s="3"/>
      <c r="E1493" s="3"/>
      <c r="F1493" s="3"/>
      <c r="G1493" s="3"/>
      <c r="H1493" s="3"/>
      <c r="I1493" s="3"/>
      <c r="J1493" s="3"/>
      <c r="K1493" s="3"/>
      <c r="L1493" s="3"/>
      <c r="M1493" s="3"/>
      <c r="N1493" s="3"/>
      <c r="O1493" s="3"/>
      <c r="P1493" s="3"/>
      <c r="Q1493" s="3"/>
      <c r="R1493" s="3"/>
      <c r="S1493" s="3"/>
      <c r="T1493" s="3"/>
      <c r="U1493" s="3"/>
      <c r="V1493" s="3"/>
      <c r="W1493" s="3"/>
      <c r="X1493" s="3"/>
      <c r="Y1493" s="3"/>
      <c r="Z1493" s="3"/>
      <c r="AA1493" s="3"/>
    </row>
    <row r="1494">
      <c r="A1494" s="4"/>
      <c r="B1494" s="3"/>
      <c r="C1494" s="3"/>
      <c r="D1494" s="3"/>
      <c r="E1494" s="3"/>
      <c r="F1494" s="3"/>
      <c r="G1494" s="3"/>
      <c r="H1494" s="3"/>
      <c r="I1494" s="3"/>
      <c r="J1494" s="3"/>
      <c r="K1494" s="3"/>
      <c r="L1494" s="3"/>
      <c r="M1494" s="3"/>
      <c r="N1494" s="3"/>
      <c r="O1494" s="3"/>
      <c r="P1494" s="3"/>
      <c r="Q1494" s="3"/>
      <c r="R1494" s="3"/>
      <c r="S1494" s="3"/>
      <c r="T1494" s="3"/>
      <c r="U1494" s="3"/>
      <c r="V1494" s="3"/>
      <c r="W1494" s="3"/>
      <c r="X1494" s="3"/>
      <c r="Y1494" s="3"/>
      <c r="Z1494" s="3"/>
      <c r="AA1494" s="3"/>
    </row>
    <row r="1495">
      <c r="A1495" s="4"/>
      <c r="B1495" s="3"/>
      <c r="C1495" s="3"/>
      <c r="D1495" s="3"/>
      <c r="E1495" s="3"/>
      <c r="F1495" s="3"/>
      <c r="G1495" s="3"/>
      <c r="H1495" s="3"/>
      <c r="I1495" s="3"/>
      <c r="J1495" s="3"/>
      <c r="K1495" s="3"/>
      <c r="L1495" s="3"/>
      <c r="M1495" s="3"/>
      <c r="N1495" s="3"/>
      <c r="O1495" s="3"/>
      <c r="P1495" s="3"/>
      <c r="Q1495" s="3"/>
      <c r="R1495" s="3"/>
      <c r="S1495" s="3"/>
      <c r="T1495" s="3"/>
      <c r="U1495" s="3"/>
      <c r="V1495" s="3"/>
      <c r="W1495" s="3"/>
      <c r="X1495" s="3"/>
      <c r="Y1495" s="3"/>
      <c r="Z1495" s="3"/>
      <c r="AA1495" s="3"/>
    </row>
    <row r="1496">
      <c r="A1496" s="4"/>
      <c r="B1496" s="3"/>
      <c r="C1496" s="3"/>
      <c r="D1496" s="3"/>
      <c r="E1496" s="3"/>
      <c r="F1496" s="3"/>
      <c r="G1496" s="3"/>
      <c r="H1496" s="3"/>
      <c r="I1496" s="3"/>
      <c r="J1496" s="3"/>
      <c r="K1496" s="3"/>
      <c r="L1496" s="3"/>
      <c r="M1496" s="3"/>
      <c r="N1496" s="3"/>
      <c r="O1496" s="3"/>
      <c r="P1496" s="3"/>
      <c r="Q1496" s="3"/>
      <c r="R1496" s="3"/>
      <c r="S1496" s="3"/>
      <c r="T1496" s="3"/>
      <c r="U1496" s="3"/>
      <c r="V1496" s="3"/>
      <c r="W1496" s="3"/>
      <c r="X1496" s="3"/>
      <c r="Y1496" s="3"/>
      <c r="Z1496" s="3"/>
      <c r="AA1496" s="3"/>
    </row>
    <row r="1497">
      <c r="A1497" s="4"/>
      <c r="B1497" s="3"/>
      <c r="C1497" s="3"/>
      <c r="D1497" s="3"/>
      <c r="E1497" s="3"/>
      <c r="F1497" s="3"/>
      <c r="G1497" s="3"/>
      <c r="H1497" s="3"/>
      <c r="I1497" s="3"/>
      <c r="J1497" s="3"/>
      <c r="K1497" s="3"/>
      <c r="L1497" s="3"/>
      <c r="M1497" s="3"/>
      <c r="N1497" s="3"/>
      <c r="O1497" s="3"/>
      <c r="P1497" s="3"/>
      <c r="Q1497" s="3"/>
      <c r="R1497" s="3"/>
      <c r="S1497" s="3"/>
      <c r="T1497" s="3"/>
      <c r="U1497" s="3"/>
      <c r="V1497" s="3"/>
      <c r="W1497" s="3"/>
      <c r="X1497" s="3"/>
      <c r="Y1497" s="3"/>
      <c r="Z1497" s="3"/>
      <c r="AA1497" s="3"/>
    </row>
    <row r="1498">
      <c r="A1498" s="4"/>
      <c r="B1498" s="3"/>
      <c r="C1498" s="3"/>
      <c r="D1498" s="3"/>
      <c r="E1498" s="3"/>
      <c r="F1498" s="3"/>
      <c r="G1498" s="3"/>
      <c r="H1498" s="3"/>
      <c r="I1498" s="3"/>
      <c r="J1498" s="3"/>
      <c r="K1498" s="3"/>
      <c r="L1498" s="3"/>
      <c r="M1498" s="3"/>
      <c r="N1498" s="3"/>
      <c r="O1498" s="3"/>
      <c r="P1498" s="3"/>
      <c r="Q1498" s="3"/>
      <c r="R1498" s="3"/>
      <c r="S1498" s="3"/>
      <c r="T1498" s="3"/>
      <c r="U1498" s="3"/>
      <c r="V1498" s="3"/>
      <c r="W1498" s="3"/>
      <c r="X1498" s="3"/>
      <c r="Y1498" s="3"/>
      <c r="Z1498" s="3"/>
      <c r="AA1498" s="3"/>
    </row>
    <row r="1499">
      <c r="A1499" s="4"/>
      <c r="B1499" s="3"/>
      <c r="C1499" s="3"/>
      <c r="D1499" s="3"/>
      <c r="E1499" s="3"/>
      <c r="F1499" s="3"/>
      <c r="G1499" s="3"/>
      <c r="H1499" s="3"/>
      <c r="I1499" s="3"/>
      <c r="J1499" s="3"/>
      <c r="K1499" s="3"/>
      <c r="L1499" s="3"/>
      <c r="M1499" s="3"/>
      <c r="N1499" s="3"/>
      <c r="O1499" s="3"/>
      <c r="P1499" s="3"/>
      <c r="Q1499" s="3"/>
      <c r="R1499" s="3"/>
      <c r="S1499" s="3"/>
      <c r="T1499" s="3"/>
      <c r="U1499" s="3"/>
      <c r="V1499" s="3"/>
      <c r="W1499" s="3"/>
      <c r="X1499" s="3"/>
      <c r="Y1499" s="3"/>
      <c r="Z1499" s="3"/>
      <c r="AA1499" s="3"/>
    </row>
    <row r="1500">
      <c r="A1500" s="4"/>
      <c r="B1500" s="3"/>
      <c r="C1500" s="3"/>
      <c r="D1500" s="3"/>
      <c r="E1500" s="3"/>
      <c r="F1500" s="3"/>
      <c r="G1500" s="3"/>
      <c r="H1500" s="3"/>
      <c r="I1500" s="3"/>
      <c r="J1500" s="3"/>
      <c r="K1500" s="3"/>
      <c r="L1500" s="3"/>
      <c r="M1500" s="3"/>
      <c r="N1500" s="3"/>
      <c r="O1500" s="3"/>
      <c r="P1500" s="3"/>
      <c r="Q1500" s="3"/>
      <c r="R1500" s="3"/>
      <c r="S1500" s="3"/>
      <c r="T1500" s="3"/>
      <c r="U1500" s="3"/>
      <c r="V1500" s="3"/>
      <c r="W1500" s="3"/>
      <c r="X1500" s="3"/>
      <c r="Y1500" s="3"/>
      <c r="Z1500" s="3"/>
      <c r="AA1500" s="3"/>
    </row>
    <row r="1501">
      <c r="A1501" s="4"/>
      <c r="B1501" s="3"/>
      <c r="C1501" s="3"/>
      <c r="D1501" s="3"/>
      <c r="E1501" s="3"/>
      <c r="F1501" s="3"/>
      <c r="G1501" s="3"/>
      <c r="H1501" s="3"/>
      <c r="I1501" s="3"/>
      <c r="J1501" s="3"/>
      <c r="K1501" s="3"/>
      <c r="L1501" s="3"/>
      <c r="M1501" s="3"/>
      <c r="N1501" s="3"/>
      <c r="O1501" s="3"/>
      <c r="P1501" s="3"/>
      <c r="Q1501" s="3"/>
      <c r="R1501" s="3"/>
      <c r="S1501" s="3"/>
      <c r="T1501" s="3"/>
      <c r="U1501" s="3"/>
      <c r="V1501" s="3"/>
      <c r="W1501" s="3"/>
      <c r="X1501" s="3"/>
      <c r="Y1501" s="3"/>
      <c r="Z1501" s="3"/>
      <c r="AA1501" s="3"/>
    </row>
    <row r="1502">
      <c r="A1502" s="4"/>
      <c r="B1502" s="3"/>
      <c r="C1502" s="3"/>
      <c r="D1502" s="3"/>
      <c r="E1502" s="3"/>
      <c r="F1502" s="3"/>
      <c r="G1502" s="3"/>
      <c r="H1502" s="3"/>
      <c r="I1502" s="3"/>
      <c r="J1502" s="3"/>
      <c r="K1502" s="3"/>
      <c r="L1502" s="3"/>
      <c r="M1502" s="3"/>
      <c r="N1502" s="3"/>
      <c r="O1502" s="3"/>
      <c r="P1502" s="3"/>
      <c r="Q1502" s="3"/>
      <c r="R1502" s="3"/>
      <c r="S1502" s="3"/>
      <c r="T1502" s="3"/>
      <c r="U1502" s="3"/>
      <c r="V1502" s="3"/>
      <c r="W1502" s="3"/>
      <c r="X1502" s="3"/>
      <c r="Y1502" s="3"/>
      <c r="Z1502" s="3"/>
      <c r="AA1502" s="3"/>
    </row>
    <row r="1503">
      <c r="A1503" s="4"/>
      <c r="B1503" s="3"/>
      <c r="C1503" s="3"/>
      <c r="D1503" s="3"/>
      <c r="E1503" s="3"/>
      <c r="F1503" s="3"/>
      <c r="G1503" s="3"/>
      <c r="H1503" s="3"/>
      <c r="I1503" s="3"/>
      <c r="J1503" s="3"/>
      <c r="K1503" s="3"/>
      <c r="L1503" s="3"/>
      <c r="M1503" s="3"/>
      <c r="N1503" s="3"/>
      <c r="O1503" s="3"/>
      <c r="P1503" s="3"/>
      <c r="Q1503" s="3"/>
      <c r="R1503" s="3"/>
      <c r="S1503" s="3"/>
      <c r="T1503" s="3"/>
      <c r="U1503" s="3"/>
      <c r="V1503" s="3"/>
      <c r="W1503" s="3"/>
      <c r="X1503" s="3"/>
      <c r="Y1503" s="3"/>
      <c r="Z1503" s="3"/>
      <c r="AA1503" s="3"/>
    </row>
    <row r="1504">
      <c r="A1504" s="4"/>
      <c r="B1504" s="3"/>
      <c r="C1504" s="3"/>
      <c r="D1504" s="3"/>
      <c r="E1504" s="3"/>
      <c r="F1504" s="3"/>
      <c r="G1504" s="3"/>
      <c r="H1504" s="3"/>
      <c r="I1504" s="3"/>
      <c r="J1504" s="3"/>
      <c r="K1504" s="3"/>
      <c r="L1504" s="3"/>
      <c r="M1504" s="3"/>
      <c r="N1504" s="3"/>
      <c r="O1504" s="3"/>
      <c r="P1504" s="3"/>
      <c r="Q1504" s="3"/>
      <c r="R1504" s="3"/>
      <c r="S1504" s="3"/>
      <c r="T1504" s="3"/>
      <c r="U1504" s="3"/>
      <c r="V1504" s="3"/>
      <c r="W1504" s="3"/>
      <c r="X1504" s="3"/>
      <c r="Y1504" s="3"/>
      <c r="Z1504" s="3"/>
      <c r="AA1504" s="3"/>
    </row>
    <row r="1505">
      <c r="A1505" s="4"/>
      <c r="B1505" s="3"/>
      <c r="C1505" s="3"/>
      <c r="D1505" s="3"/>
      <c r="E1505" s="3"/>
      <c r="F1505" s="3"/>
      <c r="G1505" s="3"/>
      <c r="H1505" s="3"/>
      <c r="I1505" s="3"/>
      <c r="J1505" s="3"/>
      <c r="K1505" s="3"/>
      <c r="L1505" s="3"/>
      <c r="M1505" s="3"/>
      <c r="N1505" s="3"/>
      <c r="O1505" s="3"/>
      <c r="P1505" s="3"/>
      <c r="Q1505" s="3"/>
      <c r="R1505" s="3"/>
      <c r="S1505" s="3"/>
      <c r="T1505" s="3"/>
      <c r="U1505" s="3"/>
      <c r="V1505" s="3"/>
      <c r="W1505" s="3"/>
      <c r="X1505" s="3"/>
      <c r="Y1505" s="3"/>
      <c r="Z1505" s="3"/>
      <c r="AA1505" s="3"/>
    </row>
    <row r="1506">
      <c r="A1506" s="4"/>
      <c r="B1506" s="3"/>
      <c r="C1506" s="3"/>
      <c r="D1506" s="3"/>
      <c r="E1506" s="3"/>
      <c r="F1506" s="3"/>
      <c r="G1506" s="3"/>
      <c r="H1506" s="3"/>
      <c r="I1506" s="3"/>
      <c r="J1506" s="3"/>
      <c r="K1506" s="3"/>
      <c r="L1506" s="3"/>
      <c r="M1506" s="3"/>
      <c r="N1506" s="3"/>
      <c r="O1506" s="3"/>
      <c r="P1506" s="3"/>
      <c r="Q1506" s="3"/>
      <c r="R1506" s="3"/>
      <c r="S1506" s="3"/>
      <c r="T1506" s="3"/>
      <c r="U1506" s="3"/>
      <c r="V1506" s="3"/>
      <c r="W1506" s="3"/>
      <c r="X1506" s="3"/>
      <c r="Y1506" s="3"/>
      <c r="Z1506" s="3"/>
      <c r="AA1506" s="3"/>
    </row>
    <row r="1507">
      <c r="A1507" s="4"/>
      <c r="B1507" s="3"/>
      <c r="C1507" s="3"/>
      <c r="D1507" s="3"/>
      <c r="E1507" s="3"/>
      <c r="F1507" s="3"/>
      <c r="G1507" s="3"/>
      <c r="H1507" s="3"/>
      <c r="I1507" s="3"/>
      <c r="J1507" s="3"/>
      <c r="K1507" s="3"/>
      <c r="L1507" s="3"/>
      <c r="M1507" s="3"/>
      <c r="N1507" s="3"/>
      <c r="O1507" s="3"/>
      <c r="P1507" s="3"/>
      <c r="Q1507" s="3"/>
      <c r="R1507" s="3"/>
      <c r="S1507" s="3"/>
      <c r="T1507" s="3"/>
      <c r="U1507" s="3"/>
      <c r="V1507" s="3"/>
      <c r="W1507" s="3"/>
      <c r="X1507" s="3"/>
      <c r="Y1507" s="3"/>
      <c r="Z1507" s="3"/>
      <c r="AA1507" s="3"/>
    </row>
    <row r="1508">
      <c r="A1508" s="4"/>
      <c r="B1508" s="3"/>
      <c r="C1508" s="3"/>
      <c r="D1508" s="3"/>
      <c r="E1508" s="3"/>
      <c r="F1508" s="3"/>
      <c r="G1508" s="3"/>
      <c r="H1508" s="3"/>
      <c r="I1508" s="3"/>
      <c r="J1508" s="3"/>
      <c r="K1508" s="3"/>
      <c r="L1508" s="3"/>
      <c r="M1508" s="3"/>
      <c r="N1508" s="3"/>
      <c r="O1508" s="3"/>
      <c r="P1508" s="3"/>
      <c r="Q1508" s="3"/>
      <c r="R1508" s="3"/>
      <c r="S1508" s="3"/>
      <c r="T1508" s="3"/>
      <c r="U1508" s="3"/>
      <c r="V1508" s="3"/>
      <c r="W1508" s="3"/>
      <c r="X1508" s="3"/>
      <c r="Y1508" s="3"/>
      <c r="Z1508" s="3"/>
      <c r="AA1508" s="3"/>
    </row>
    <row r="1509">
      <c r="A1509" s="4"/>
      <c r="B1509" s="3"/>
      <c r="C1509" s="3"/>
      <c r="D1509" s="3"/>
      <c r="E1509" s="3"/>
      <c r="F1509" s="3"/>
      <c r="G1509" s="3"/>
      <c r="H1509" s="3"/>
      <c r="I1509" s="3"/>
      <c r="J1509" s="3"/>
      <c r="K1509" s="3"/>
      <c r="L1509" s="3"/>
      <c r="M1509" s="3"/>
      <c r="N1509" s="3"/>
      <c r="O1509" s="3"/>
      <c r="P1509" s="3"/>
      <c r="Q1509" s="3"/>
      <c r="R1509" s="3"/>
      <c r="S1509" s="3"/>
      <c r="T1509" s="3"/>
      <c r="U1509" s="3"/>
      <c r="V1509" s="3"/>
      <c r="W1509" s="3"/>
      <c r="X1509" s="3"/>
      <c r="Y1509" s="3"/>
      <c r="Z1509" s="3"/>
      <c r="AA1509" s="3"/>
    </row>
    <row r="1510">
      <c r="A1510" s="4"/>
      <c r="B1510" s="3"/>
      <c r="C1510" s="3"/>
      <c r="D1510" s="3"/>
      <c r="E1510" s="3"/>
      <c r="F1510" s="3"/>
      <c r="G1510" s="3"/>
      <c r="H1510" s="3"/>
      <c r="I1510" s="3"/>
      <c r="J1510" s="3"/>
      <c r="K1510" s="3"/>
      <c r="L1510" s="3"/>
      <c r="M1510" s="3"/>
      <c r="N1510" s="3"/>
      <c r="O1510" s="3"/>
      <c r="P1510" s="3"/>
      <c r="Q1510" s="3"/>
      <c r="R1510" s="3"/>
      <c r="S1510" s="3"/>
      <c r="T1510" s="3"/>
      <c r="U1510" s="3"/>
      <c r="V1510" s="3"/>
      <c r="W1510" s="3"/>
      <c r="X1510" s="3"/>
      <c r="Y1510" s="3"/>
      <c r="Z1510" s="3"/>
      <c r="AA1510" s="3"/>
    </row>
    <row r="1511">
      <c r="A1511" s="4"/>
      <c r="B1511" s="3"/>
      <c r="C1511" s="3"/>
      <c r="D1511" s="3"/>
      <c r="E1511" s="3"/>
      <c r="F1511" s="3"/>
      <c r="G1511" s="3"/>
      <c r="H1511" s="3"/>
      <c r="I1511" s="3"/>
      <c r="J1511" s="3"/>
      <c r="K1511" s="3"/>
      <c r="L1511" s="3"/>
      <c r="M1511" s="3"/>
      <c r="N1511" s="3"/>
      <c r="O1511" s="3"/>
      <c r="P1511" s="3"/>
      <c r="Q1511" s="3"/>
      <c r="R1511" s="3"/>
      <c r="S1511" s="3"/>
      <c r="T1511" s="3"/>
      <c r="U1511" s="3"/>
      <c r="V1511" s="3"/>
      <c r="W1511" s="3"/>
      <c r="X1511" s="3"/>
      <c r="Y1511" s="3"/>
      <c r="Z1511" s="3"/>
      <c r="AA1511" s="3"/>
    </row>
    <row r="1512">
      <c r="A1512" s="4"/>
      <c r="B1512" s="3"/>
      <c r="C1512" s="3"/>
      <c r="D1512" s="3"/>
      <c r="E1512" s="3"/>
      <c r="F1512" s="3"/>
      <c r="G1512" s="3"/>
      <c r="H1512" s="3"/>
      <c r="I1512" s="3"/>
      <c r="J1512" s="3"/>
      <c r="K1512" s="3"/>
      <c r="L1512" s="3"/>
      <c r="M1512" s="3"/>
      <c r="N1512" s="3"/>
      <c r="O1512" s="3"/>
      <c r="P1512" s="3"/>
      <c r="Q1512" s="3"/>
      <c r="R1512" s="3"/>
      <c r="S1512" s="3"/>
      <c r="T1512" s="3"/>
      <c r="U1512" s="3"/>
      <c r="V1512" s="3"/>
      <c r="W1512" s="3"/>
      <c r="X1512" s="3"/>
      <c r="Y1512" s="3"/>
      <c r="Z1512" s="3"/>
      <c r="AA1512" s="3"/>
    </row>
    <row r="1513">
      <c r="A1513" s="4"/>
      <c r="B1513" s="3"/>
      <c r="C1513" s="3"/>
      <c r="D1513" s="3"/>
      <c r="E1513" s="3"/>
      <c r="F1513" s="3"/>
      <c r="G1513" s="3"/>
      <c r="H1513" s="3"/>
      <c r="I1513" s="3"/>
      <c r="J1513" s="3"/>
      <c r="K1513" s="3"/>
      <c r="L1513" s="3"/>
      <c r="M1513" s="3"/>
      <c r="N1513" s="3"/>
      <c r="O1513" s="3"/>
      <c r="P1513" s="3"/>
      <c r="Q1513" s="3"/>
      <c r="R1513" s="3"/>
      <c r="S1513" s="3"/>
      <c r="T1513" s="3"/>
      <c r="U1513" s="3"/>
      <c r="V1513" s="3"/>
      <c r="W1513" s="3"/>
      <c r="X1513" s="3"/>
      <c r="Y1513" s="3"/>
      <c r="Z1513" s="3"/>
      <c r="AA1513" s="3"/>
    </row>
    <row r="1514">
      <c r="A1514" s="4"/>
      <c r="B1514" s="3"/>
      <c r="C1514" s="3"/>
      <c r="D1514" s="3"/>
      <c r="E1514" s="3"/>
      <c r="F1514" s="3"/>
      <c r="G1514" s="3"/>
      <c r="H1514" s="3"/>
      <c r="I1514" s="3"/>
      <c r="J1514" s="3"/>
      <c r="K1514" s="3"/>
      <c r="L1514" s="3"/>
      <c r="M1514" s="3"/>
      <c r="N1514" s="3"/>
      <c r="O1514" s="3"/>
      <c r="P1514" s="3"/>
      <c r="Q1514" s="3"/>
      <c r="R1514" s="3"/>
      <c r="S1514" s="3"/>
      <c r="T1514" s="3"/>
      <c r="U1514" s="3"/>
      <c r="V1514" s="3"/>
      <c r="W1514" s="3"/>
      <c r="X1514" s="3"/>
      <c r="Y1514" s="3"/>
      <c r="Z1514" s="3"/>
      <c r="AA1514" s="3"/>
    </row>
    <row r="1515">
      <c r="A1515" s="4"/>
      <c r="B1515" s="3"/>
      <c r="C1515" s="3"/>
      <c r="D1515" s="3"/>
      <c r="E1515" s="3"/>
      <c r="F1515" s="3"/>
      <c r="G1515" s="3"/>
      <c r="H1515" s="3"/>
      <c r="I1515" s="3"/>
      <c r="J1515" s="3"/>
      <c r="K1515" s="3"/>
      <c r="L1515" s="3"/>
      <c r="M1515" s="3"/>
      <c r="N1515" s="3"/>
      <c r="O1515" s="3"/>
      <c r="P1515" s="3"/>
      <c r="Q1515" s="3"/>
      <c r="R1515" s="3"/>
      <c r="S1515" s="3"/>
      <c r="T1515" s="3"/>
      <c r="U1515" s="3"/>
      <c r="V1515" s="3"/>
      <c r="W1515" s="3"/>
      <c r="X1515" s="3"/>
      <c r="Y1515" s="3"/>
      <c r="Z1515" s="3"/>
      <c r="AA1515" s="3"/>
    </row>
    <row r="1516">
      <c r="A1516" s="4"/>
      <c r="B1516" s="3"/>
      <c r="C1516" s="3"/>
      <c r="D1516" s="3"/>
      <c r="E1516" s="3"/>
      <c r="F1516" s="3"/>
      <c r="G1516" s="3"/>
      <c r="H1516" s="3"/>
      <c r="I1516" s="3"/>
      <c r="J1516" s="3"/>
      <c r="K1516" s="3"/>
      <c r="L1516" s="3"/>
      <c r="M1516" s="3"/>
      <c r="N1516" s="3"/>
      <c r="O1516" s="3"/>
      <c r="P1516" s="3"/>
      <c r="Q1516" s="3"/>
      <c r="R1516" s="3"/>
      <c r="S1516" s="3"/>
      <c r="T1516" s="3"/>
      <c r="U1516" s="3"/>
      <c r="V1516" s="3"/>
      <c r="W1516" s="3"/>
      <c r="X1516" s="3"/>
      <c r="Y1516" s="3"/>
      <c r="Z1516" s="3"/>
      <c r="AA1516" s="3"/>
    </row>
    <row r="1517">
      <c r="A1517" s="4"/>
      <c r="B1517" s="3"/>
      <c r="C1517" s="3"/>
      <c r="D1517" s="3"/>
      <c r="E1517" s="3"/>
      <c r="F1517" s="3"/>
      <c r="G1517" s="3"/>
      <c r="H1517" s="3"/>
      <c r="I1517" s="3"/>
      <c r="J1517" s="3"/>
      <c r="K1517" s="3"/>
      <c r="L1517" s="3"/>
      <c r="M1517" s="3"/>
      <c r="N1517" s="3"/>
      <c r="O1517" s="3"/>
      <c r="P1517" s="3"/>
      <c r="Q1517" s="3"/>
      <c r="R1517" s="3"/>
      <c r="S1517" s="3"/>
      <c r="T1517" s="3"/>
      <c r="U1517" s="3"/>
      <c r="V1517" s="3"/>
      <c r="W1517" s="3"/>
      <c r="X1517" s="3"/>
      <c r="Y1517" s="3"/>
      <c r="Z1517" s="3"/>
      <c r="AA1517" s="3"/>
    </row>
    <row r="1518">
      <c r="A1518" s="4"/>
      <c r="B1518" s="3"/>
      <c r="C1518" s="3"/>
      <c r="D1518" s="3"/>
      <c r="E1518" s="3"/>
      <c r="F1518" s="3"/>
      <c r="G1518" s="3"/>
      <c r="H1518" s="3"/>
      <c r="I1518" s="3"/>
      <c r="J1518" s="3"/>
      <c r="K1518" s="3"/>
      <c r="L1518" s="3"/>
      <c r="M1518" s="3"/>
      <c r="N1518" s="3"/>
      <c r="O1518" s="3"/>
      <c r="P1518" s="3"/>
      <c r="Q1518" s="3"/>
      <c r="R1518" s="3"/>
      <c r="S1518" s="3"/>
      <c r="T1518" s="3"/>
      <c r="U1518" s="3"/>
      <c r="V1518" s="3"/>
      <c r="W1518" s="3"/>
      <c r="X1518" s="3"/>
      <c r="Y1518" s="3"/>
      <c r="Z1518" s="3"/>
      <c r="AA1518" s="3"/>
    </row>
    <row r="1519">
      <c r="A1519" s="4"/>
      <c r="B1519" s="3"/>
      <c r="C1519" s="3"/>
      <c r="D1519" s="3"/>
      <c r="E1519" s="3"/>
      <c r="F1519" s="3"/>
      <c r="G1519" s="3"/>
      <c r="H1519" s="3"/>
      <c r="I1519" s="3"/>
      <c r="J1519" s="3"/>
      <c r="K1519" s="3"/>
      <c r="L1519" s="3"/>
      <c r="M1519" s="3"/>
      <c r="N1519" s="3"/>
      <c r="O1519" s="3"/>
      <c r="P1519" s="3"/>
      <c r="Q1519" s="3"/>
      <c r="R1519" s="3"/>
      <c r="S1519" s="3"/>
      <c r="T1519" s="3"/>
      <c r="U1519" s="3"/>
      <c r="V1519" s="3"/>
      <c r="W1519" s="3"/>
      <c r="X1519" s="3"/>
      <c r="Y1519" s="3"/>
      <c r="Z1519" s="3"/>
      <c r="AA1519" s="3"/>
    </row>
    <row r="1520">
      <c r="A1520" s="4"/>
      <c r="B1520" s="3"/>
      <c r="C1520" s="3"/>
      <c r="D1520" s="3"/>
      <c r="E1520" s="3"/>
      <c r="F1520" s="3"/>
      <c r="G1520" s="3"/>
      <c r="H1520" s="3"/>
      <c r="I1520" s="3"/>
      <c r="J1520" s="3"/>
      <c r="K1520" s="3"/>
      <c r="L1520" s="3"/>
      <c r="M1520" s="3"/>
      <c r="N1520" s="3"/>
      <c r="O1520" s="3"/>
      <c r="P1520" s="3"/>
      <c r="Q1520" s="3"/>
      <c r="R1520" s="3"/>
      <c r="S1520" s="3"/>
      <c r="T1520" s="3"/>
      <c r="U1520" s="3"/>
      <c r="V1520" s="3"/>
      <c r="W1520" s="3"/>
      <c r="X1520" s="3"/>
      <c r="Y1520" s="3"/>
      <c r="Z1520" s="3"/>
      <c r="AA1520" s="3"/>
    </row>
    <row r="1521">
      <c r="A1521" s="4"/>
      <c r="B1521" s="3"/>
      <c r="C1521" s="3"/>
      <c r="D1521" s="3"/>
      <c r="E1521" s="3"/>
      <c r="F1521" s="3"/>
      <c r="G1521" s="3"/>
      <c r="H1521" s="3"/>
      <c r="I1521" s="3"/>
      <c r="J1521" s="3"/>
      <c r="K1521" s="3"/>
      <c r="L1521" s="3"/>
      <c r="M1521" s="3"/>
      <c r="N1521" s="3"/>
      <c r="O1521" s="3"/>
      <c r="P1521" s="3"/>
      <c r="Q1521" s="3"/>
      <c r="R1521" s="3"/>
      <c r="S1521" s="3"/>
      <c r="T1521" s="3"/>
      <c r="U1521" s="3"/>
      <c r="V1521" s="3"/>
      <c r="W1521" s="3"/>
      <c r="X1521" s="3"/>
      <c r="Y1521" s="3"/>
      <c r="Z1521" s="3"/>
      <c r="AA1521" s="3"/>
    </row>
    <row r="1522">
      <c r="A1522" s="4"/>
      <c r="B1522" s="3"/>
      <c r="C1522" s="3"/>
      <c r="D1522" s="3"/>
      <c r="E1522" s="3"/>
      <c r="F1522" s="3"/>
      <c r="G1522" s="3"/>
      <c r="H1522" s="3"/>
      <c r="I1522" s="3"/>
      <c r="J1522" s="3"/>
      <c r="K1522" s="3"/>
      <c r="L1522" s="3"/>
      <c r="M1522" s="3"/>
      <c r="N1522" s="3"/>
      <c r="O1522" s="3"/>
      <c r="P1522" s="3"/>
      <c r="Q1522" s="3"/>
      <c r="R1522" s="3"/>
      <c r="S1522" s="3"/>
      <c r="T1522" s="3"/>
      <c r="U1522" s="3"/>
      <c r="V1522" s="3"/>
      <c r="W1522" s="3"/>
      <c r="X1522" s="3"/>
      <c r="Y1522" s="3"/>
      <c r="Z1522" s="3"/>
      <c r="AA1522" s="3"/>
    </row>
    <row r="1523">
      <c r="A1523" s="4"/>
      <c r="B1523" s="3"/>
      <c r="C1523" s="3"/>
      <c r="D1523" s="3"/>
      <c r="E1523" s="3"/>
      <c r="F1523" s="3"/>
      <c r="G1523" s="3"/>
      <c r="H1523" s="3"/>
      <c r="I1523" s="3"/>
      <c r="J1523" s="3"/>
      <c r="K1523" s="3"/>
      <c r="L1523" s="3"/>
      <c r="M1523" s="3"/>
      <c r="N1523" s="3"/>
      <c r="O1523" s="3"/>
      <c r="P1523" s="3"/>
      <c r="Q1523" s="3"/>
      <c r="R1523" s="3"/>
      <c r="S1523" s="3"/>
      <c r="T1523" s="3"/>
      <c r="U1523" s="3"/>
      <c r="V1523" s="3"/>
      <c r="W1523" s="3"/>
      <c r="X1523" s="3"/>
      <c r="Y1523" s="3"/>
      <c r="Z1523" s="3"/>
      <c r="AA1523" s="3"/>
    </row>
    <row r="1524">
      <c r="A1524" s="4"/>
      <c r="B1524" s="3"/>
      <c r="C1524" s="3"/>
      <c r="D1524" s="3"/>
      <c r="E1524" s="3"/>
      <c r="F1524" s="3"/>
      <c r="G1524" s="3"/>
      <c r="H1524" s="3"/>
      <c r="I1524" s="3"/>
      <c r="J1524" s="3"/>
      <c r="K1524" s="3"/>
      <c r="L1524" s="3"/>
      <c r="M1524" s="3"/>
      <c r="N1524" s="3"/>
      <c r="O1524" s="3"/>
      <c r="P1524" s="3"/>
      <c r="Q1524" s="3"/>
      <c r="R1524" s="3"/>
      <c r="S1524" s="3"/>
      <c r="T1524" s="3"/>
      <c r="U1524" s="3"/>
      <c r="V1524" s="3"/>
      <c r="W1524" s="3"/>
      <c r="X1524" s="3"/>
      <c r="Y1524" s="3"/>
      <c r="Z1524" s="3"/>
      <c r="AA1524" s="3"/>
    </row>
    <row r="1525">
      <c r="A1525" s="4"/>
      <c r="B1525" s="3"/>
      <c r="C1525" s="3"/>
      <c r="D1525" s="3"/>
      <c r="E1525" s="3"/>
      <c r="F1525" s="3"/>
      <c r="G1525" s="3"/>
      <c r="H1525" s="3"/>
      <c r="I1525" s="3"/>
      <c r="J1525" s="3"/>
      <c r="K1525" s="3"/>
      <c r="L1525" s="3"/>
      <c r="M1525" s="3"/>
      <c r="N1525" s="3"/>
      <c r="O1525" s="3"/>
      <c r="P1525" s="3"/>
      <c r="Q1525" s="3"/>
      <c r="R1525" s="3"/>
      <c r="S1525" s="3"/>
      <c r="T1525" s="3"/>
      <c r="U1525" s="3"/>
      <c r="V1525" s="3"/>
      <c r="W1525" s="3"/>
      <c r="X1525" s="3"/>
      <c r="Y1525" s="3"/>
      <c r="Z1525" s="3"/>
      <c r="AA1525" s="3"/>
    </row>
    <row r="1526">
      <c r="A1526" s="4"/>
      <c r="B1526" s="3"/>
      <c r="C1526" s="3"/>
      <c r="D1526" s="3"/>
      <c r="E1526" s="3"/>
      <c r="F1526" s="3"/>
      <c r="G1526" s="3"/>
      <c r="H1526" s="3"/>
      <c r="I1526" s="3"/>
      <c r="J1526" s="3"/>
      <c r="K1526" s="3"/>
      <c r="L1526" s="3"/>
      <c r="M1526" s="3"/>
      <c r="N1526" s="3"/>
      <c r="O1526" s="3"/>
      <c r="P1526" s="3"/>
      <c r="Q1526" s="3"/>
      <c r="R1526" s="3"/>
      <c r="S1526" s="3"/>
      <c r="T1526" s="3"/>
      <c r="U1526" s="3"/>
      <c r="V1526" s="3"/>
      <c r="W1526" s="3"/>
      <c r="X1526" s="3"/>
      <c r="Y1526" s="3"/>
      <c r="Z1526" s="3"/>
      <c r="AA1526" s="3"/>
    </row>
    <row r="1527">
      <c r="A1527" s="4"/>
      <c r="B1527" s="3"/>
      <c r="C1527" s="3"/>
      <c r="D1527" s="3"/>
      <c r="E1527" s="3"/>
      <c r="F1527" s="3"/>
      <c r="G1527" s="3"/>
      <c r="H1527" s="3"/>
      <c r="I1527" s="3"/>
      <c r="J1527" s="3"/>
      <c r="K1527" s="3"/>
      <c r="L1527" s="3"/>
      <c r="M1527" s="3"/>
      <c r="N1527" s="3"/>
      <c r="O1527" s="3"/>
      <c r="P1527" s="3"/>
      <c r="Q1527" s="3"/>
      <c r="R1527" s="3"/>
      <c r="S1527" s="3"/>
      <c r="T1527" s="3"/>
      <c r="U1527" s="3"/>
      <c r="V1527" s="3"/>
      <c r="W1527" s="3"/>
      <c r="X1527" s="3"/>
      <c r="Y1527" s="3"/>
      <c r="Z1527" s="3"/>
      <c r="AA1527" s="3"/>
    </row>
    <row r="1528">
      <c r="A1528" s="4"/>
      <c r="B1528" s="3"/>
      <c r="C1528" s="3"/>
      <c r="D1528" s="3"/>
      <c r="E1528" s="3"/>
      <c r="F1528" s="3"/>
      <c r="G1528" s="3"/>
      <c r="H1528" s="3"/>
      <c r="I1528" s="3"/>
      <c r="J1528" s="3"/>
      <c r="K1528" s="3"/>
      <c r="L1528" s="3"/>
      <c r="M1528" s="3"/>
      <c r="N1528" s="3"/>
      <c r="O1528" s="3"/>
      <c r="P1528" s="3"/>
      <c r="Q1528" s="3"/>
      <c r="R1528" s="3"/>
      <c r="S1528" s="3"/>
      <c r="T1528" s="3"/>
      <c r="U1528" s="3"/>
      <c r="V1528" s="3"/>
      <c r="W1528" s="3"/>
      <c r="X1528" s="3"/>
      <c r="Y1528" s="3"/>
      <c r="Z1528" s="3"/>
      <c r="AA1528" s="3"/>
    </row>
    <row r="1529">
      <c r="A1529" s="4"/>
      <c r="B1529" s="3"/>
      <c r="C1529" s="3"/>
      <c r="D1529" s="3"/>
      <c r="E1529" s="3"/>
      <c r="F1529" s="3"/>
      <c r="G1529" s="3"/>
      <c r="H1529" s="3"/>
      <c r="I1529" s="3"/>
      <c r="J1529" s="3"/>
      <c r="K1529" s="3"/>
      <c r="L1529" s="3"/>
      <c r="M1529" s="3"/>
      <c r="N1529" s="3"/>
      <c r="O1529" s="3"/>
      <c r="P1529" s="3"/>
      <c r="Q1529" s="3"/>
      <c r="R1529" s="3"/>
      <c r="S1529" s="3"/>
      <c r="T1529" s="3"/>
      <c r="U1529" s="3"/>
      <c r="V1529" s="3"/>
      <c r="W1529" s="3"/>
      <c r="X1529" s="3"/>
      <c r="Y1529" s="3"/>
      <c r="Z1529" s="3"/>
      <c r="AA1529" s="3"/>
    </row>
    <row r="1530">
      <c r="A1530" s="4"/>
      <c r="B1530" s="3"/>
      <c r="C1530" s="3"/>
      <c r="D1530" s="3"/>
      <c r="E1530" s="3"/>
      <c r="F1530" s="3"/>
      <c r="G1530" s="3"/>
      <c r="H1530" s="3"/>
      <c r="I1530" s="3"/>
      <c r="J1530" s="3"/>
      <c r="K1530" s="3"/>
      <c r="L1530" s="3"/>
      <c r="M1530" s="3"/>
      <c r="N1530" s="3"/>
      <c r="O1530" s="3"/>
      <c r="P1530" s="3"/>
      <c r="Q1530" s="3"/>
      <c r="R1530" s="3"/>
      <c r="S1530" s="3"/>
      <c r="T1530" s="3"/>
      <c r="U1530" s="3"/>
      <c r="V1530" s="3"/>
      <c r="W1530" s="3"/>
      <c r="X1530" s="3"/>
      <c r="Y1530" s="3"/>
      <c r="Z1530" s="3"/>
      <c r="AA1530" s="3"/>
    </row>
    <row r="1531">
      <c r="A1531" s="4"/>
      <c r="B1531" s="3"/>
      <c r="C1531" s="3"/>
      <c r="D1531" s="3"/>
      <c r="E1531" s="3"/>
      <c r="F1531" s="3"/>
      <c r="G1531" s="3"/>
      <c r="H1531" s="3"/>
      <c r="I1531" s="3"/>
      <c r="J1531" s="3"/>
      <c r="K1531" s="3"/>
      <c r="L1531" s="3"/>
      <c r="M1531" s="3"/>
      <c r="N1531" s="3"/>
      <c r="O1531" s="3"/>
      <c r="P1531" s="3"/>
      <c r="Q1531" s="3"/>
      <c r="R1531" s="3"/>
      <c r="S1531" s="3"/>
      <c r="T1531" s="3"/>
      <c r="U1531" s="3"/>
      <c r="V1531" s="3"/>
      <c r="W1531" s="3"/>
      <c r="X1531" s="3"/>
      <c r="Y1531" s="3"/>
      <c r="Z1531" s="3"/>
      <c r="AA1531" s="3"/>
    </row>
    <row r="1532">
      <c r="A1532" s="4"/>
      <c r="B1532" s="3"/>
      <c r="C1532" s="3"/>
      <c r="D1532" s="3"/>
      <c r="E1532" s="3"/>
      <c r="F1532" s="3"/>
      <c r="G1532" s="3"/>
      <c r="H1532" s="3"/>
      <c r="I1532" s="3"/>
      <c r="J1532" s="3"/>
      <c r="K1532" s="3"/>
      <c r="L1532" s="3"/>
      <c r="M1532" s="3"/>
      <c r="N1532" s="3"/>
      <c r="O1532" s="3"/>
      <c r="P1532" s="3"/>
      <c r="Q1532" s="3"/>
      <c r="R1532" s="3"/>
      <c r="S1532" s="3"/>
      <c r="T1532" s="3"/>
      <c r="U1532" s="3"/>
      <c r="V1532" s="3"/>
      <c r="W1532" s="3"/>
      <c r="X1532" s="3"/>
      <c r="Y1532" s="3"/>
      <c r="Z1532" s="3"/>
      <c r="AA1532" s="3"/>
    </row>
    <row r="1533">
      <c r="A1533" s="4"/>
      <c r="B1533" s="3"/>
      <c r="C1533" s="3"/>
      <c r="D1533" s="3"/>
      <c r="E1533" s="3"/>
      <c r="F1533" s="3"/>
      <c r="G1533" s="3"/>
      <c r="H1533" s="3"/>
      <c r="I1533" s="3"/>
      <c r="J1533" s="3"/>
      <c r="K1533" s="3"/>
      <c r="L1533" s="3"/>
      <c r="M1533" s="3"/>
      <c r="N1533" s="3"/>
      <c r="O1533" s="3"/>
      <c r="P1533" s="3"/>
      <c r="Q1533" s="3"/>
      <c r="R1533" s="3"/>
      <c r="S1533" s="3"/>
      <c r="T1533" s="3"/>
      <c r="U1533" s="3"/>
      <c r="V1533" s="3"/>
      <c r="W1533" s="3"/>
      <c r="X1533" s="3"/>
      <c r="Y1533" s="3"/>
      <c r="Z1533" s="3"/>
      <c r="AA1533" s="3"/>
    </row>
    <row r="1534">
      <c r="A1534" s="4"/>
      <c r="B1534" s="3"/>
      <c r="C1534" s="3"/>
      <c r="D1534" s="3"/>
      <c r="E1534" s="3"/>
      <c r="F1534" s="3"/>
      <c r="G1534" s="3"/>
      <c r="H1534" s="3"/>
      <c r="I1534" s="3"/>
      <c r="J1534" s="3"/>
      <c r="K1534" s="3"/>
      <c r="L1534" s="3"/>
      <c r="M1534" s="3"/>
      <c r="N1534" s="3"/>
      <c r="O1534" s="3"/>
      <c r="P1534" s="3"/>
      <c r="Q1534" s="3"/>
      <c r="R1534" s="3"/>
      <c r="S1534" s="3"/>
      <c r="T1534" s="3"/>
      <c r="U1534" s="3"/>
      <c r="V1534" s="3"/>
      <c r="W1534" s="3"/>
      <c r="X1534" s="3"/>
      <c r="Y1534" s="3"/>
      <c r="Z1534" s="3"/>
      <c r="AA1534" s="3"/>
    </row>
    <row r="1535">
      <c r="A1535" s="4"/>
      <c r="B1535" s="3"/>
      <c r="C1535" s="3"/>
      <c r="D1535" s="3"/>
      <c r="E1535" s="3"/>
      <c r="F1535" s="3"/>
      <c r="G1535" s="3"/>
      <c r="H1535" s="3"/>
      <c r="I1535" s="3"/>
      <c r="J1535" s="3"/>
      <c r="K1535" s="3"/>
      <c r="L1535" s="3"/>
      <c r="M1535" s="3"/>
      <c r="N1535" s="3"/>
      <c r="O1535" s="3"/>
      <c r="P1535" s="3"/>
      <c r="Q1535" s="3"/>
      <c r="R1535" s="3"/>
      <c r="S1535" s="3"/>
      <c r="T1535" s="3"/>
      <c r="U1535" s="3"/>
      <c r="V1535" s="3"/>
      <c r="W1535" s="3"/>
      <c r="X1535" s="3"/>
      <c r="Y1535" s="3"/>
      <c r="Z1535" s="3"/>
      <c r="AA1535" s="3"/>
    </row>
    <row r="1536">
      <c r="A1536" s="4"/>
      <c r="B1536" s="3"/>
      <c r="C1536" s="3"/>
      <c r="D1536" s="3"/>
      <c r="E1536" s="3"/>
      <c r="F1536" s="3"/>
      <c r="G1536" s="3"/>
      <c r="H1536" s="3"/>
      <c r="I1536" s="3"/>
      <c r="J1536" s="3"/>
      <c r="K1536" s="3"/>
      <c r="L1536" s="3"/>
      <c r="M1536" s="3"/>
      <c r="N1536" s="3"/>
      <c r="O1536" s="3"/>
      <c r="P1536" s="3"/>
      <c r="Q1536" s="3"/>
      <c r="R1536" s="3"/>
      <c r="S1536" s="3"/>
      <c r="T1536" s="3"/>
      <c r="U1536" s="3"/>
      <c r="V1536" s="3"/>
      <c r="W1536" s="3"/>
      <c r="X1536" s="3"/>
      <c r="Y1536" s="3"/>
      <c r="Z1536" s="3"/>
      <c r="AA1536" s="3"/>
    </row>
    <row r="1537">
      <c r="A1537" s="4"/>
      <c r="B1537" s="3"/>
      <c r="C1537" s="3"/>
      <c r="D1537" s="3"/>
      <c r="E1537" s="3"/>
      <c r="F1537" s="3"/>
      <c r="G1537" s="3"/>
      <c r="H1537" s="3"/>
      <c r="I1537" s="3"/>
      <c r="J1537" s="3"/>
      <c r="K1537" s="3"/>
      <c r="L1537" s="3"/>
      <c r="M1537" s="3"/>
      <c r="N1537" s="3"/>
      <c r="O1537" s="3"/>
      <c r="P1537" s="3"/>
      <c r="Q1537" s="3"/>
      <c r="R1537" s="3"/>
      <c r="S1537" s="3"/>
      <c r="T1537" s="3"/>
      <c r="U1537" s="3"/>
      <c r="V1537" s="3"/>
      <c r="W1537" s="3"/>
      <c r="X1537" s="3"/>
      <c r="Y1537" s="3"/>
      <c r="Z1537" s="3"/>
      <c r="AA1537" s="3"/>
    </row>
    <row r="1538">
      <c r="A1538" s="4"/>
      <c r="B1538" s="3"/>
      <c r="C1538" s="3"/>
      <c r="D1538" s="3"/>
      <c r="E1538" s="3"/>
      <c r="F1538" s="3"/>
      <c r="G1538" s="3"/>
      <c r="H1538" s="3"/>
      <c r="I1538" s="3"/>
      <c r="J1538" s="3"/>
      <c r="K1538" s="3"/>
      <c r="L1538" s="3"/>
      <c r="M1538" s="3"/>
      <c r="N1538" s="3"/>
      <c r="O1538" s="3"/>
      <c r="P1538" s="3"/>
      <c r="Q1538" s="3"/>
      <c r="R1538" s="3"/>
      <c r="S1538" s="3"/>
      <c r="T1538" s="3"/>
      <c r="U1538" s="3"/>
      <c r="V1538" s="3"/>
      <c r="W1538" s="3"/>
      <c r="X1538" s="3"/>
      <c r="Y1538" s="3"/>
      <c r="Z1538" s="3"/>
      <c r="AA1538" s="3"/>
    </row>
    <row r="1539">
      <c r="A1539" s="4"/>
      <c r="B1539" s="3"/>
      <c r="C1539" s="3"/>
      <c r="D1539" s="3"/>
      <c r="E1539" s="3"/>
      <c r="F1539" s="3"/>
      <c r="G1539" s="3"/>
      <c r="H1539" s="3"/>
      <c r="I1539" s="3"/>
      <c r="J1539" s="3"/>
      <c r="K1539" s="3"/>
      <c r="L1539" s="3"/>
      <c r="M1539" s="3"/>
      <c r="N1539" s="3"/>
      <c r="O1539" s="3"/>
      <c r="P1539" s="3"/>
      <c r="Q1539" s="3"/>
      <c r="R1539" s="3"/>
      <c r="S1539" s="3"/>
      <c r="T1539" s="3"/>
      <c r="U1539" s="3"/>
      <c r="V1539" s="3"/>
      <c r="W1539" s="3"/>
      <c r="X1539" s="3"/>
      <c r="Y1539" s="3"/>
      <c r="Z1539" s="3"/>
      <c r="AA1539" s="3"/>
    </row>
    <row r="1540">
      <c r="A1540" s="4"/>
      <c r="B1540" s="3"/>
      <c r="C1540" s="3"/>
      <c r="D1540" s="3"/>
      <c r="E1540" s="3"/>
      <c r="F1540" s="3"/>
      <c r="G1540" s="3"/>
      <c r="H1540" s="3"/>
      <c r="I1540" s="3"/>
      <c r="J1540" s="3"/>
      <c r="K1540" s="3"/>
      <c r="L1540" s="3"/>
      <c r="M1540" s="3"/>
      <c r="N1540" s="3"/>
      <c r="O1540" s="3"/>
      <c r="P1540" s="3"/>
      <c r="Q1540" s="3"/>
      <c r="R1540" s="3"/>
      <c r="S1540" s="3"/>
      <c r="T1540" s="3"/>
      <c r="U1540" s="3"/>
      <c r="V1540" s="3"/>
      <c r="W1540" s="3"/>
      <c r="X1540" s="3"/>
      <c r="Y1540" s="3"/>
      <c r="Z1540" s="3"/>
      <c r="AA1540" s="3"/>
    </row>
    <row r="1541">
      <c r="A1541" s="4"/>
      <c r="B1541" s="3"/>
      <c r="C1541" s="3"/>
      <c r="D1541" s="3"/>
      <c r="E1541" s="3"/>
      <c r="F1541" s="3"/>
      <c r="G1541" s="3"/>
      <c r="H1541" s="3"/>
      <c r="I1541" s="3"/>
      <c r="J1541" s="3"/>
      <c r="K1541" s="3"/>
      <c r="L1541" s="3"/>
      <c r="M1541" s="3"/>
      <c r="N1541" s="3"/>
      <c r="O1541" s="3"/>
      <c r="P1541" s="3"/>
      <c r="Q1541" s="3"/>
      <c r="R1541" s="3"/>
      <c r="S1541" s="3"/>
      <c r="T1541" s="3"/>
      <c r="U1541" s="3"/>
      <c r="V1541" s="3"/>
      <c r="W1541" s="3"/>
      <c r="X1541" s="3"/>
      <c r="Y1541" s="3"/>
      <c r="Z1541" s="3"/>
      <c r="AA1541" s="3"/>
    </row>
    <row r="1542">
      <c r="A1542" s="4"/>
      <c r="B1542" s="3"/>
      <c r="C1542" s="3"/>
      <c r="D1542" s="3"/>
      <c r="E1542" s="3"/>
      <c r="F1542" s="3"/>
      <c r="G1542" s="3"/>
      <c r="H1542" s="3"/>
      <c r="I1542" s="3"/>
      <c r="J1542" s="3"/>
      <c r="K1542" s="3"/>
      <c r="L1542" s="3"/>
      <c r="M1542" s="3"/>
      <c r="N1542" s="3"/>
      <c r="O1542" s="3"/>
      <c r="P1542" s="3"/>
      <c r="Q1542" s="3"/>
      <c r="R1542" s="3"/>
      <c r="S1542" s="3"/>
      <c r="T1542" s="3"/>
      <c r="U1542" s="3"/>
      <c r="V1542" s="3"/>
      <c r="W1542" s="3"/>
      <c r="X1542" s="3"/>
      <c r="Y1542" s="3"/>
      <c r="Z1542" s="3"/>
      <c r="AA1542" s="3"/>
    </row>
    <row r="1543">
      <c r="A1543" s="4"/>
      <c r="B1543" s="3"/>
      <c r="C1543" s="3"/>
      <c r="D1543" s="3"/>
      <c r="E1543" s="3"/>
      <c r="F1543" s="3"/>
      <c r="G1543" s="3"/>
      <c r="H1543" s="3"/>
      <c r="I1543" s="3"/>
      <c r="J1543" s="3"/>
      <c r="K1543" s="3"/>
      <c r="L1543" s="3"/>
      <c r="M1543" s="3"/>
      <c r="N1543" s="3"/>
      <c r="O1543" s="3"/>
      <c r="P1543" s="3"/>
      <c r="Q1543" s="3"/>
      <c r="R1543" s="3"/>
      <c r="S1543" s="3"/>
      <c r="T1543" s="3"/>
      <c r="U1543" s="3"/>
      <c r="V1543" s="3"/>
      <c r="W1543" s="3"/>
      <c r="X1543" s="3"/>
      <c r="Y1543" s="3"/>
      <c r="Z1543" s="3"/>
      <c r="AA1543" s="3"/>
    </row>
    <row r="1544">
      <c r="A1544" s="4"/>
      <c r="B1544" s="3"/>
      <c r="C1544" s="3"/>
      <c r="D1544" s="3"/>
      <c r="E1544" s="3"/>
      <c r="F1544" s="3"/>
      <c r="G1544" s="3"/>
      <c r="H1544" s="3"/>
      <c r="I1544" s="3"/>
      <c r="J1544" s="3"/>
      <c r="K1544" s="3"/>
      <c r="L1544" s="3"/>
      <c r="M1544" s="3"/>
      <c r="N1544" s="3"/>
      <c r="O1544" s="3"/>
      <c r="P1544" s="3"/>
      <c r="Q1544" s="3"/>
      <c r="R1544" s="3"/>
      <c r="S1544" s="3"/>
      <c r="T1544" s="3"/>
      <c r="U1544" s="3"/>
      <c r="V1544" s="3"/>
      <c r="W1544" s="3"/>
      <c r="X1544" s="3"/>
      <c r="Y1544" s="3"/>
      <c r="Z1544" s="3"/>
      <c r="AA1544" s="3"/>
    </row>
    <row r="1545">
      <c r="A1545" s="4"/>
      <c r="B1545" s="3"/>
      <c r="C1545" s="3"/>
      <c r="D1545" s="3"/>
      <c r="E1545" s="3"/>
      <c r="F1545" s="3"/>
      <c r="G1545" s="3"/>
      <c r="H1545" s="3"/>
      <c r="I1545" s="3"/>
      <c r="J1545" s="3"/>
      <c r="K1545" s="3"/>
      <c r="L1545" s="3"/>
      <c r="M1545" s="3"/>
      <c r="N1545" s="3"/>
      <c r="O1545" s="3"/>
      <c r="P1545" s="3"/>
      <c r="Q1545" s="3"/>
      <c r="R1545" s="3"/>
      <c r="S1545" s="3"/>
      <c r="T1545" s="3"/>
      <c r="U1545" s="3"/>
      <c r="V1545" s="3"/>
      <c r="W1545" s="3"/>
      <c r="X1545" s="3"/>
      <c r="Y1545" s="3"/>
      <c r="Z1545" s="3"/>
      <c r="AA1545" s="3"/>
    </row>
    <row r="1546">
      <c r="A1546" s="4"/>
      <c r="B1546" s="3"/>
      <c r="C1546" s="3"/>
      <c r="D1546" s="3"/>
      <c r="E1546" s="3"/>
      <c r="F1546" s="3"/>
      <c r="G1546" s="3"/>
      <c r="H1546" s="3"/>
      <c r="I1546" s="3"/>
      <c r="J1546" s="3"/>
      <c r="K1546" s="3"/>
      <c r="L1546" s="3"/>
      <c r="M1546" s="3"/>
      <c r="N1546" s="3"/>
      <c r="O1546" s="3"/>
      <c r="P1546" s="3"/>
      <c r="Q1546" s="3"/>
      <c r="R1546" s="3"/>
      <c r="S1546" s="3"/>
      <c r="T1546" s="3"/>
      <c r="U1546" s="3"/>
      <c r="V1546" s="3"/>
      <c r="W1546" s="3"/>
      <c r="X1546" s="3"/>
      <c r="Y1546" s="3"/>
      <c r="Z1546" s="3"/>
      <c r="AA1546" s="3"/>
    </row>
    <row r="1547">
      <c r="A1547" s="4"/>
      <c r="B1547" s="3"/>
      <c r="C1547" s="3"/>
      <c r="D1547" s="3"/>
      <c r="E1547" s="3"/>
      <c r="F1547" s="3"/>
      <c r="G1547" s="3"/>
      <c r="H1547" s="3"/>
      <c r="I1547" s="3"/>
      <c r="J1547" s="3"/>
      <c r="K1547" s="3"/>
      <c r="L1547" s="3"/>
      <c r="M1547" s="3"/>
      <c r="N1547" s="3"/>
      <c r="O1547" s="3"/>
      <c r="P1547" s="3"/>
      <c r="Q1547" s="3"/>
      <c r="R1547" s="3"/>
      <c r="S1547" s="3"/>
      <c r="T1547" s="3"/>
      <c r="U1547" s="3"/>
      <c r="V1547" s="3"/>
      <c r="W1547" s="3"/>
      <c r="X1547" s="3"/>
      <c r="Y1547" s="3"/>
      <c r="Z1547" s="3"/>
      <c r="AA1547" s="3"/>
    </row>
    <row r="1548">
      <c r="A1548" s="4"/>
      <c r="B1548" s="3"/>
      <c r="C1548" s="3"/>
      <c r="D1548" s="3"/>
      <c r="E1548" s="3"/>
      <c r="F1548" s="3"/>
      <c r="G1548" s="3"/>
      <c r="H1548" s="3"/>
      <c r="I1548" s="3"/>
      <c r="J1548" s="3"/>
      <c r="K1548" s="3"/>
      <c r="L1548" s="3"/>
      <c r="M1548" s="3"/>
      <c r="N1548" s="3"/>
      <c r="O1548" s="3"/>
      <c r="P1548" s="3"/>
      <c r="Q1548" s="3"/>
      <c r="R1548" s="3"/>
      <c r="S1548" s="3"/>
      <c r="T1548" s="3"/>
      <c r="U1548" s="3"/>
      <c r="V1548" s="3"/>
      <c r="W1548" s="3"/>
      <c r="X1548" s="3"/>
      <c r="Y1548" s="3"/>
      <c r="Z1548" s="3"/>
      <c r="AA1548" s="3"/>
    </row>
    <row r="1549">
      <c r="A1549" s="4"/>
      <c r="B1549" s="3"/>
      <c r="C1549" s="3"/>
      <c r="D1549" s="3"/>
      <c r="E1549" s="3"/>
      <c r="F1549" s="3"/>
      <c r="G1549" s="3"/>
      <c r="H1549" s="3"/>
      <c r="I1549" s="3"/>
      <c r="J1549" s="3"/>
      <c r="K1549" s="3"/>
      <c r="L1549" s="3"/>
      <c r="M1549" s="3"/>
      <c r="N1549" s="3"/>
      <c r="O1549" s="3"/>
      <c r="P1549" s="3"/>
      <c r="Q1549" s="3"/>
      <c r="R1549" s="3"/>
      <c r="S1549" s="3"/>
      <c r="T1549" s="3"/>
      <c r="U1549" s="3"/>
      <c r="V1549" s="3"/>
      <c r="W1549" s="3"/>
      <c r="X1549" s="3"/>
      <c r="Y1549" s="3"/>
      <c r="Z1549" s="3"/>
      <c r="AA1549" s="3"/>
    </row>
    <row r="1550">
      <c r="A1550" s="4"/>
      <c r="B1550" s="3"/>
      <c r="C1550" s="3"/>
      <c r="D1550" s="3"/>
      <c r="E1550" s="3"/>
      <c r="F1550" s="3"/>
      <c r="G1550" s="3"/>
      <c r="H1550" s="3"/>
      <c r="I1550" s="3"/>
      <c r="J1550" s="3"/>
      <c r="K1550" s="3"/>
      <c r="L1550" s="3"/>
      <c r="M1550" s="3"/>
      <c r="N1550" s="3"/>
      <c r="O1550" s="3"/>
      <c r="P1550" s="3"/>
      <c r="Q1550" s="3"/>
      <c r="R1550" s="3"/>
      <c r="S1550" s="3"/>
      <c r="T1550" s="3"/>
      <c r="U1550" s="3"/>
      <c r="V1550" s="3"/>
      <c r="W1550" s="3"/>
      <c r="X1550" s="3"/>
      <c r="Y1550" s="3"/>
      <c r="Z1550" s="3"/>
      <c r="AA1550" s="3"/>
    </row>
    <row r="1551">
      <c r="A1551" s="4"/>
      <c r="B1551" s="3"/>
      <c r="C1551" s="3"/>
      <c r="D1551" s="3"/>
      <c r="E1551" s="3"/>
      <c r="F1551" s="3"/>
      <c r="G1551" s="3"/>
      <c r="H1551" s="3"/>
      <c r="I1551" s="3"/>
      <c r="J1551" s="3"/>
      <c r="K1551" s="3"/>
      <c r="L1551" s="3"/>
      <c r="M1551" s="3"/>
      <c r="N1551" s="3"/>
      <c r="O1551" s="3"/>
      <c r="P1551" s="3"/>
      <c r="Q1551" s="3"/>
      <c r="R1551" s="3"/>
      <c r="S1551" s="3"/>
      <c r="T1551" s="3"/>
      <c r="U1551" s="3"/>
      <c r="V1551" s="3"/>
      <c r="W1551" s="3"/>
      <c r="X1551" s="3"/>
      <c r="Y1551" s="3"/>
      <c r="Z1551" s="3"/>
      <c r="AA1551" s="3"/>
    </row>
    <row r="1552">
      <c r="A1552" s="4"/>
      <c r="B1552" s="3"/>
      <c r="C1552" s="3"/>
      <c r="D1552" s="3"/>
      <c r="E1552" s="3"/>
      <c r="F1552" s="3"/>
      <c r="G1552" s="3"/>
      <c r="H1552" s="3"/>
      <c r="I1552" s="3"/>
      <c r="J1552" s="3"/>
      <c r="K1552" s="3"/>
      <c r="L1552" s="3"/>
      <c r="M1552" s="3"/>
      <c r="N1552" s="3"/>
      <c r="O1552" s="3"/>
      <c r="P1552" s="3"/>
      <c r="Q1552" s="3"/>
      <c r="R1552" s="3"/>
      <c r="S1552" s="3"/>
      <c r="T1552" s="3"/>
      <c r="U1552" s="3"/>
      <c r="V1552" s="3"/>
      <c r="W1552" s="3"/>
      <c r="X1552" s="3"/>
      <c r="Y1552" s="3"/>
      <c r="Z1552" s="3"/>
      <c r="AA1552" s="3"/>
    </row>
    <row r="1553">
      <c r="A1553" s="4"/>
      <c r="B1553" s="3"/>
      <c r="C1553" s="3"/>
      <c r="D1553" s="3"/>
      <c r="E1553" s="3"/>
      <c r="F1553" s="3"/>
      <c r="G1553" s="3"/>
      <c r="H1553" s="3"/>
      <c r="I1553" s="3"/>
      <c r="J1553" s="3"/>
      <c r="K1553" s="3"/>
      <c r="L1553" s="3"/>
      <c r="M1553" s="3"/>
      <c r="N1553" s="3"/>
      <c r="O1553" s="3"/>
      <c r="P1553" s="3"/>
      <c r="Q1553" s="3"/>
      <c r="R1553" s="3"/>
      <c r="S1553" s="3"/>
      <c r="T1553" s="3"/>
      <c r="U1553" s="3"/>
      <c r="V1553" s="3"/>
      <c r="W1553" s="3"/>
      <c r="X1553" s="3"/>
      <c r="Y1553" s="3"/>
      <c r="Z1553" s="3"/>
      <c r="AA1553" s="3"/>
    </row>
    <row r="1554">
      <c r="A1554" s="4"/>
      <c r="B1554" s="3"/>
      <c r="C1554" s="3"/>
      <c r="D1554" s="3"/>
      <c r="E1554" s="3"/>
      <c r="F1554" s="3"/>
      <c r="G1554" s="3"/>
      <c r="H1554" s="3"/>
      <c r="I1554" s="3"/>
      <c r="J1554" s="3"/>
      <c r="K1554" s="3"/>
      <c r="L1554" s="3"/>
      <c r="M1554" s="3"/>
      <c r="N1554" s="3"/>
      <c r="O1554" s="3"/>
      <c r="P1554" s="3"/>
      <c r="Q1554" s="3"/>
      <c r="R1554" s="3"/>
      <c r="S1554" s="3"/>
      <c r="T1554" s="3"/>
      <c r="U1554" s="3"/>
      <c r="V1554" s="3"/>
      <c r="W1554" s="3"/>
      <c r="X1554" s="3"/>
      <c r="Y1554" s="3"/>
      <c r="Z1554" s="3"/>
      <c r="AA1554" s="3"/>
    </row>
    <row r="1555">
      <c r="A1555" s="4"/>
      <c r="B1555" s="3"/>
      <c r="C1555" s="3"/>
      <c r="D1555" s="3"/>
      <c r="E1555" s="3"/>
      <c r="F1555" s="3"/>
      <c r="G1555" s="3"/>
      <c r="H1555" s="3"/>
      <c r="I1555" s="3"/>
      <c r="J1555" s="3"/>
      <c r="K1555" s="3"/>
      <c r="L1555" s="3"/>
      <c r="M1555" s="3"/>
      <c r="N1555" s="3"/>
      <c r="O1555" s="3"/>
      <c r="P1555" s="3"/>
      <c r="Q1555" s="3"/>
      <c r="R1555" s="3"/>
      <c r="S1555" s="3"/>
      <c r="T1555" s="3"/>
      <c r="U1555" s="3"/>
      <c r="V1555" s="3"/>
      <c r="W1555" s="3"/>
      <c r="X1555" s="3"/>
      <c r="Y1555" s="3"/>
      <c r="Z1555" s="3"/>
      <c r="AA1555" s="3"/>
    </row>
    <row r="1556">
      <c r="A1556" s="4"/>
      <c r="B1556" s="3"/>
      <c r="C1556" s="3"/>
      <c r="D1556" s="3"/>
      <c r="E1556" s="3"/>
      <c r="F1556" s="3"/>
      <c r="G1556" s="3"/>
      <c r="H1556" s="3"/>
      <c r="I1556" s="3"/>
      <c r="J1556" s="3"/>
      <c r="K1556" s="3"/>
      <c r="L1556" s="3"/>
      <c r="M1556" s="3"/>
      <c r="N1556" s="3"/>
      <c r="O1556" s="3"/>
      <c r="P1556" s="3"/>
      <c r="Q1556" s="3"/>
      <c r="R1556" s="3"/>
      <c r="S1556" s="3"/>
      <c r="T1556" s="3"/>
      <c r="U1556" s="3"/>
      <c r="V1556" s="3"/>
      <c r="W1556" s="3"/>
      <c r="X1556" s="3"/>
      <c r="Y1556" s="3"/>
      <c r="Z1556" s="3"/>
      <c r="AA1556" s="3"/>
    </row>
    <row r="1557">
      <c r="A1557" s="4"/>
      <c r="B1557" s="3"/>
      <c r="C1557" s="3"/>
      <c r="D1557" s="3"/>
      <c r="E1557" s="3"/>
      <c r="F1557" s="3"/>
      <c r="G1557" s="3"/>
      <c r="H1557" s="3"/>
      <c r="I1557" s="3"/>
      <c r="J1557" s="3"/>
      <c r="K1557" s="3"/>
      <c r="L1557" s="3"/>
      <c r="M1557" s="3"/>
      <c r="N1557" s="3"/>
      <c r="O1557" s="3"/>
      <c r="P1557" s="3"/>
      <c r="Q1557" s="3"/>
      <c r="R1557" s="3"/>
      <c r="S1557" s="3"/>
      <c r="T1557" s="3"/>
      <c r="U1557" s="3"/>
      <c r="V1557" s="3"/>
      <c r="W1557" s="3"/>
      <c r="X1557" s="3"/>
      <c r="Y1557" s="3"/>
      <c r="Z1557" s="3"/>
      <c r="AA1557" s="3"/>
    </row>
    <row r="1558">
      <c r="A1558" s="4"/>
      <c r="B1558" s="3"/>
      <c r="C1558" s="3"/>
      <c r="D1558" s="3"/>
      <c r="E1558" s="3"/>
      <c r="F1558" s="3"/>
      <c r="G1558" s="3"/>
      <c r="H1558" s="3"/>
      <c r="I1558" s="3"/>
      <c r="J1558" s="3"/>
      <c r="K1558" s="3"/>
      <c r="L1558" s="3"/>
      <c r="M1558" s="3"/>
      <c r="N1558" s="3"/>
      <c r="O1558" s="3"/>
      <c r="P1558" s="3"/>
      <c r="Q1558" s="3"/>
      <c r="R1558" s="3"/>
      <c r="S1558" s="3"/>
      <c r="T1558" s="3"/>
      <c r="U1558" s="3"/>
      <c r="V1558" s="3"/>
      <c r="W1558" s="3"/>
      <c r="X1558" s="3"/>
      <c r="Y1558" s="3"/>
      <c r="Z1558" s="3"/>
      <c r="AA1558" s="3"/>
    </row>
    <row r="1559">
      <c r="A1559" s="4"/>
      <c r="B1559" s="3"/>
      <c r="C1559" s="3"/>
      <c r="D1559" s="3"/>
      <c r="E1559" s="3"/>
      <c r="F1559" s="3"/>
      <c r="G1559" s="3"/>
      <c r="H1559" s="3"/>
      <c r="I1559" s="3"/>
      <c r="J1559" s="3"/>
      <c r="K1559" s="3"/>
      <c r="L1559" s="3"/>
      <c r="M1559" s="3"/>
      <c r="N1559" s="3"/>
      <c r="O1559" s="3"/>
      <c r="P1559" s="3"/>
      <c r="Q1559" s="3"/>
      <c r="R1559" s="3"/>
      <c r="S1559" s="3"/>
      <c r="T1559" s="3"/>
      <c r="U1559" s="3"/>
      <c r="V1559" s="3"/>
      <c r="W1559" s="3"/>
      <c r="X1559" s="3"/>
      <c r="Y1559" s="3"/>
      <c r="Z1559" s="3"/>
      <c r="AA1559" s="3"/>
    </row>
    <row r="1560">
      <c r="A1560" s="4"/>
      <c r="B1560" s="3"/>
      <c r="C1560" s="3"/>
      <c r="D1560" s="3"/>
      <c r="E1560" s="3"/>
      <c r="F1560" s="3"/>
      <c r="G1560" s="3"/>
      <c r="H1560" s="3"/>
      <c r="I1560" s="3"/>
      <c r="J1560" s="3"/>
      <c r="K1560" s="3"/>
      <c r="L1560" s="3"/>
      <c r="M1560" s="3"/>
      <c r="N1560" s="3"/>
      <c r="O1560" s="3"/>
      <c r="P1560" s="3"/>
      <c r="Q1560" s="3"/>
      <c r="R1560" s="3"/>
      <c r="S1560" s="3"/>
      <c r="T1560" s="3"/>
      <c r="U1560" s="3"/>
      <c r="V1560" s="3"/>
      <c r="W1560" s="3"/>
      <c r="X1560" s="3"/>
      <c r="Y1560" s="3"/>
      <c r="Z1560" s="3"/>
      <c r="AA1560" s="3"/>
    </row>
    <row r="1561">
      <c r="A1561" s="4"/>
      <c r="B1561" s="3"/>
      <c r="C1561" s="3"/>
      <c r="D1561" s="3"/>
      <c r="E1561" s="3"/>
      <c r="F1561" s="3"/>
      <c r="G1561" s="3"/>
      <c r="H1561" s="3"/>
      <c r="I1561" s="3"/>
      <c r="J1561" s="3"/>
      <c r="K1561" s="3"/>
      <c r="L1561" s="3"/>
      <c r="M1561" s="3"/>
      <c r="N1561" s="3"/>
      <c r="O1561" s="3"/>
      <c r="P1561" s="3"/>
      <c r="Q1561" s="3"/>
      <c r="R1561" s="3"/>
      <c r="S1561" s="3"/>
      <c r="T1561" s="3"/>
      <c r="U1561" s="3"/>
      <c r="V1561" s="3"/>
      <c r="W1561" s="3"/>
      <c r="X1561" s="3"/>
      <c r="Y1561" s="3"/>
      <c r="Z1561" s="3"/>
      <c r="AA1561" s="3"/>
    </row>
    <row r="1562">
      <c r="A1562" s="4"/>
      <c r="B1562" s="3"/>
      <c r="C1562" s="3"/>
      <c r="D1562" s="3"/>
      <c r="E1562" s="3"/>
      <c r="F1562" s="3"/>
      <c r="G1562" s="3"/>
      <c r="H1562" s="3"/>
      <c r="I1562" s="3"/>
      <c r="J1562" s="3"/>
      <c r="K1562" s="3"/>
      <c r="L1562" s="3"/>
      <c r="M1562" s="3"/>
      <c r="N1562" s="3"/>
      <c r="O1562" s="3"/>
      <c r="P1562" s="3"/>
      <c r="Q1562" s="3"/>
      <c r="R1562" s="3"/>
      <c r="S1562" s="3"/>
      <c r="T1562" s="3"/>
      <c r="U1562" s="3"/>
      <c r="V1562" s="3"/>
      <c r="W1562" s="3"/>
      <c r="X1562" s="3"/>
      <c r="Y1562" s="3"/>
      <c r="Z1562" s="3"/>
      <c r="AA1562" s="3"/>
    </row>
    <row r="1563">
      <c r="A1563" s="4"/>
      <c r="B1563" s="3"/>
      <c r="C1563" s="3"/>
      <c r="D1563" s="3"/>
      <c r="E1563" s="3"/>
      <c r="F1563" s="3"/>
      <c r="G1563" s="3"/>
      <c r="H1563" s="3"/>
      <c r="I1563" s="3"/>
      <c r="J1563" s="3"/>
      <c r="K1563" s="3"/>
      <c r="L1563" s="3"/>
      <c r="M1563" s="3"/>
      <c r="N1563" s="3"/>
      <c r="O1563" s="3"/>
      <c r="P1563" s="3"/>
      <c r="Q1563" s="3"/>
      <c r="R1563" s="3"/>
      <c r="S1563" s="3"/>
      <c r="T1563" s="3"/>
      <c r="U1563" s="3"/>
      <c r="V1563" s="3"/>
      <c r="W1563" s="3"/>
      <c r="X1563" s="3"/>
      <c r="Y1563" s="3"/>
      <c r="Z1563" s="3"/>
      <c r="AA1563" s="3"/>
    </row>
    <row r="1564">
      <c r="A1564" s="4"/>
      <c r="B1564" s="3"/>
      <c r="C1564" s="3"/>
      <c r="D1564" s="3"/>
      <c r="E1564" s="3"/>
      <c r="F1564" s="3"/>
      <c r="G1564" s="3"/>
      <c r="H1564" s="3"/>
      <c r="I1564" s="3"/>
      <c r="J1564" s="3"/>
      <c r="K1564" s="3"/>
      <c r="L1564" s="3"/>
      <c r="M1564" s="3"/>
      <c r="N1564" s="3"/>
      <c r="O1564" s="3"/>
      <c r="P1564" s="3"/>
      <c r="Q1564" s="3"/>
      <c r="R1564" s="3"/>
      <c r="S1564" s="3"/>
      <c r="T1564" s="3"/>
      <c r="U1564" s="3"/>
      <c r="V1564" s="3"/>
      <c r="W1564" s="3"/>
      <c r="X1564" s="3"/>
      <c r="Y1564" s="3"/>
      <c r="Z1564" s="3"/>
      <c r="AA1564" s="3"/>
    </row>
    <row r="1565">
      <c r="A1565" s="4"/>
      <c r="B1565" s="3"/>
      <c r="C1565" s="3"/>
      <c r="D1565" s="3"/>
      <c r="E1565" s="3"/>
      <c r="F1565" s="3"/>
      <c r="G1565" s="3"/>
      <c r="H1565" s="3"/>
      <c r="I1565" s="3"/>
      <c r="J1565" s="3"/>
      <c r="K1565" s="3"/>
      <c r="L1565" s="3"/>
      <c r="M1565" s="3"/>
      <c r="N1565" s="3"/>
      <c r="O1565" s="3"/>
      <c r="P1565" s="3"/>
      <c r="Q1565" s="3"/>
      <c r="R1565" s="3"/>
      <c r="S1565" s="3"/>
      <c r="T1565" s="3"/>
      <c r="U1565" s="3"/>
      <c r="V1565" s="3"/>
      <c r="W1565" s="3"/>
      <c r="X1565" s="3"/>
      <c r="Y1565" s="3"/>
      <c r="Z1565" s="3"/>
      <c r="AA1565" s="3"/>
    </row>
    <row r="1566">
      <c r="A1566" s="4"/>
      <c r="B1566" s="3"/>
      <c r="C1566" s="3"/>
      <c r="D1566" s="3"/>
      <c r="E1566" s="3"/>
      <c r="F1566" s="3"/>
      <c r="G1566" s="3"/>
      <c r="H1566" s="3"/>
      <c r="I1566" s="3"/>
      <c r="J1566" s="3"/>
      <c r="K1566" s="3"/>
      <c r="L1566" s="3"/>
      <c r="M1566" s="3"/>
      <c r="N1566" s="3"/>
      <c r="O1566" s="3"/>
      <c r="P1566" s="3"/>
      <c r="Q1566" s="3"/>
      <c r="R1566" s="3"/>
      <c r="S1566" s="3"/>
      <c r="T1566" s="3"/>
      <c r="U1566" s="3"/>
      <c r="V1566" s="3"/>
      <c r="W1566" s="3"/>
      <c r="X1566" s="3"/>
      <c r="Y1566" s="3"/>
      <c r="Z1566" s="3"/>
      <c r="AA1566" s="3"/>
    </row>
    <row r="1567">
      <c r="A1567" s="4"/>
      <c r="B1567" s="3"/>
      <c r="C1567" s="3"/>
      <c r="D1567" s="3"/>
      <c r="E1567" s="3"/>
      <c r="F1567" s="3"/>
      <c r="G1567" s="3"/>
      <c r="H1567" s="3"/>
      <c r="I1567" s="3"/>
      <c r="J1567" s="3"/>
      <c r="K1567" s="3"/>
      <c r="L1567" s="3"/>
      <c r="M1567" s="3"/>
      <c r="N1567" s="3"/>
      <c r="O1567" s="3"/>
      <c r="P1567" s="3"/>
      <c r="Q1567" s="3"/>
      <c r="R1567" s="3"/>
      <c r="S1567" s="3"/>
      <c r="T1567" s="3"/>
      <c r="U1567" s="3"/>
      <c r="V1567" s="3"/>
      <c r="W1567" s="3"/>
      <c r="X1567" s="3"/>
      <c r="Y1567" s="3"/>
      <c r="Z1567" s="3"/>
      <c r="AA1567" s="3"/>
    </row>
    <row r="1568">
      <c r="A1568" s="4"/>
      <c r="B1568" s="3"/>
      <c r="C1568" s="3"/>
      <c r="D1568" s="3"/>
      <c r="E1568" s="3"/>
      <c r="F1568" s="3"/>
      <c r="G1568" s="3"/>
      <c r="H1568" s="3"/>
      <c r="I1568" s="3"/>
      <c r="J1568" s="3"/>
      <c r="K1568" s="3"/>
      <c r="L1568" s="3"/>
      <c r="M1568" s="3"/>
      <c r="N1568" s="3"/>
      <c r="O1568" s="3"/>
      <c r="P1568" s="3"/>
      <c r="Q1568" s="3"/>
      <c r="R1568" s="3"/>
      <c r="S1568" s="3"/>
      <c r="T1568" s="3"/>
      <c r="U1568" s="3"/>
      <c r="V1568" s="3"/>
      <c r="W1568" s="3"/>
      <c r="X1568" s="3"/>
      <c r="Y1568" s="3"/>
      <c r="Z1568" s="3"/>
      <c r="AA1568" s="3"/>
    </row>
    <row r="1569">
      <c r="A1569" s="4"/>
      <c r="B1569" s="3"/>
      <c r="C1569" s="3"/>
      <c r="D1569" s="3"/>
      <c r="E1569" s="3"/>
      <c r="F1569" s="3"/>
      <c r="G1569" s="3"/>
      <c r="H1569" s="3"/>
      <c r="I1569" s="3"/>
      <c r="J1569" s="3"/>
      <c r="K1569" s="3"/>
      <c r="L1569" s="3"/>
      <c r="M1569" s="3"/>
      <c r="N1569" s="3"/>
      <c r="O1569" s="3"/>
      <c r="P1569" s="3"/>
      <c r="Q1569" s="3"/>
      <c r="R1569" s="3"/>
      <c r="S1569" s="3"/>
      <c r="T1569" s="3"/>
      <c r="U1569" s="3"/>
      <c r="V1569" s="3"/>
      <c r="W1569" s="3"/>
      <c r="X1569" s="3"/>
      <c r="Y1569" s="3"/>
      <c r="Z1569" s="3"/>
      <c r="AA1569" s="3"/>
    </row>
    <row r="1570">
      <c r="A1570" s="4"/>
      <c r="B1570" s="3"/>
      <c r="C1570" s="3"/>
      <c r="D1570" s="3"/>
      <c r="E1570" s="3"/>
      <c r="F1570" s="3"/>
      <c r="G1570" s="3"/>
      <c r="H1570" s="3"/>
      <c r="I1570" s="3"/>
      <c r="J1570" s="3"/>
      <c r="K1570" s="3"/>
      <c r="L1570" s="3"/>
      <c r="M1570" s="3"/>
      <c r="N1570" s="3"/>
      <c r="O1570" s="3"/>
      <c r="P1570" s="3"/>
      <c r="Q1570" s="3"/>
      <c r="R1570" s="3"/>
      <c r="S1570" s="3"/>
      <c r="T1570" s="3"/>
      <c r="U1570" s="3"/>
      <c r="V1570" s="3"/>
      <c r="W1570" s="3"/>
      <c r="X1570" s="3"/>
      <c r="Y1570" s="3"/>
      <c r="Z1570" s="3"/>
      <c r="AA1570" s="3"/>
    </row>
    <row r="1571">
      <c r="A1571" s="4"/>
      <c r="B1571" s="3"/>
      <c r="C1571" s="3"/>
      <c r="D1571" s="3"/>
      <c r="E1571" s="3"/>
      <c r="F1571" s="3"/>
      <c r="G1571" s="3"/>
      <c r="H1571" s="3"/>
      <c r="I1571" s="3"/>
      <c r="J1571" s="3"/>
      <c r="K1571" s="3"/>
      <c r="L1571" s="3"/>
      <c r="M1571" s="3"/>
      <c r="N1571" s="3"/>
      <c r="O1571" s="3"/>
      <c r="P1571" s="3"/>
      <c r="Q1571" s="3"/>
      <c r="R1571" s="3"/>
      <c r="S1571" s="3"/>
      <c r="T1571" s="3"/>
      <c r="U1571" s="3"/>
      <c r="V1571" s="3"/>
      <c r="W1571" s="3"/>
      <c r="X1571" s="3"/>
      <c r="Y1571" s="3"/>
      <c r="Z1571" s="3"/>
      <c r="AA1571" s="3"/>
    </row>
    <row r="1572">
      <c r="A1572" s="4"/>
      <c r="B1572" s="3"/>
      <c r="C1572" s="3"/>
      <c r="D1572" s="3"/>
      <c r="E1572" s="3"/>
      <c r="F1572" s="3"/>
      <c r="G1572" s="3"/>
      <c r="H1572" s="3"/>
      <c r="I1572" s="3"/>
      <c r="J1572" s="3"/>
      <c r="K1572" s="3"/>
      <c r="L1572" s="3"/>
      <c r="M1572" s="3"/>
      <c r="N1572" s="3"/>
      <c r="O1572" s="3"/>
      <c r="P1572" s="3"/>
      <c r="Q1572" s="3"/>
      <c r="R1572" s="3"/>
      <c r="S1572" s="3"/>
      <c r="T1572" s="3"/>
      <c r="U1572" s="3"/>
      <c r="V1572" s="3"/>
      <c r="W1572" s="3"/>
      <c r="X1572" s="3"/>
      <c r="Y1572" s="3"/>
      <c r="Z1572" s="3"/>
      <c r="AA1572" s="3"/>
    </row>
    <row r="1573">
      <c r="A1573" s="4"/>
      <c r="B1573" s="3"/>
      <c r="C1573" s="3"/>
      <c r="D1573" s="3"/>
      <c r="E1573" s="3"/>
      <c r="F1573" s="3"/>
      <c r="G1573" s="3"/>
      <c r="H1573" s="3"/>
      <c r="I1573" s="3"/>
      <c r="J1573" s="3"/>
      <c r="K1573" s="3"/>
      <c r="L1573" s="3"/>
      <c r="M1573" s="3"/>
      <c r="N1573" s="3"/>
      <c r="O1573" s="3"/>
      <c r="P1573" s="3"/>
      <c r="Q1573" s="3"/>
      <c r="R1573" s="3"/>
      <c r="S1573" s="3"/>
      <c r="T1573" s="3"/>
      <c r="U1573" s="3"/>
      <c r="V1573" s="3"/>
      <c r="W1573" s="3"/>
      <c r="X1573" s="3"/>
      <c r="Y1573" s="3"/>
      <c r="Z1573" s="3"/>
      <c r="AA1573" s="3"/>
    </row>
    <row r="1574">
      <c r="A1574" s="4"/>
      <c r="B1574" s="3"/>
      <c r="C1574" s="3"/>
      <c r="D1574" s="3"/>
      <c r="E1574" s="3"/>
      <c r="F1574" s="3"/>
      <c r="G1574" s="3"/>
      <c r="H1574" s="3"/>
      <c r="I1574" s="3"/>
      <c r="J1574" s="3"/>
      <c r="K1574" s="3"/>
      <c r="L1574" s="3"/>
      <c r="M1574" s="3"/>
      <c r="N1574" s="3"/>
      <c r="O1574" s="3"/>
      <c r="P1574" s="3"/>
      <c r="Q1574" s="3"/>
      <c r="R1574" s="3"/>
      <c r="S1574" s="3"/>
      <c r="T1574" s="3"/>
      <c r="U1574" s="3"/>
      <c r="V1574" s="3"/>
      <c r="W1574" s="3"/>
      <c r="X1574" s="3"/>
      <c r="Y1574" s="3"/>
      <c r="Z1574" s="3"/>
      <c r="AA1574" s="3"/>
    </row>
    <row r="1575">
      <c r="A1575" s="4"/>
      <c r="B1575" s="3"/>
      <c r="C1575" s="3"/>
      <c r="D1575" s="3"/>
      <c r="E1575" s="3"/>
      <c r="F1575" s="3"/>
      <c r="G1575" s="3"/>
      <c r="H1575" s="3"/>
      <c r="I1575" s="3"/>
      <c r="J1575" s="3"/>
      <c r="K1575" s="3"/>
      <c r="L1575" s="3"/>
      <c r="M1575" s="3"/>
      <c r="N1575" s="3"/>
      <c r="O1575" s="3"/>
      <c r="P1575" s="3"/>
      <c r="Q1575" s="3"/>
      <c r="R1575" s="3"/>
      <c r="S1575" s="3"/>
      <c r="T1575" s="3"/>
      <c r="U1575" s="3"/>
      <c r="V1575" s="3"/>
      <c r="W1575" s="3"/>
      <c r="X1575" s="3"/>
      <c r="Y1575" s="3"/>
      <c r="Z1575" s="3"/>
      <c r="AA1575" s="3"/>
    </row>
    <row r="1576">
      <c r="A1576" s="4"/>
      <c r="B1576" s="3"/>
      <c r="C1576" s="3"/>
      <c r="D1576" s="3"/>
      <c r="E1576" s="3"/>
      <c r="F1576" s="3"/>
      <c r="G1576" s="3"/>
      <c r="H1576" s="3"/>
      <c r="I1576" s="3"/>
      <c r="J1576" s="3"/>
      <c r="K1576" s="3"/>
      <c r="L1576" s="3"/>
      <c r="M1576" s="3"/>
      <c r="N1576" s="3"/>
      <c r="O1576" s="3"/>
      <c r="P1576" s="3"/>
      <c r="Q1576" s="3"/>
      <c r="R1576" s="3"/>
      <c r="S1576" s="3"/>
      <c r="T1576" s="3"/>
      <c r="U1576" s="3"/>
      <c r="V1576" s="3"/>
      <c r="W1576" s="3"/>
      <c r="X1576" s="3"/>
      <c r="Y1576" s="3"/>
      <c r="Z1576" s="3"/>
      <c r="AA1576" s="3"/>
    </row>
    <row r="1577">
      <c r="A1577" s="4"/>
      <c r="B1577" s="3"/>
      <c r="C1577" s="3"/>
      <c r="D1577" s="3"/>
      <c r="E1577" s="3"/>
      <c r="F1577" s="3"/>
      <c r="G1577" s="3"/>
      <c r="H1577" s="3"/>
      <c r="I1577" s="3"/>
      <c r="J1577" s="3"/>
      <c r="K1577" s="3"/>
      <c r="L1577" s="3"/>
      <c r="M1577" s="3"/>
      <c r="N1577" s="3"/>
      <c r="O1577" s="3"/>
      <c r="P1577" s="3"/>
      <c r="Q1577" s="3"/>
      <c r="R1577" s="3"/>
      <c r="S1577" s="3"/>
      <c r="T1577" s="3"/>
      <c r="U1577" s="3"/>
      <c r="V1577" s="3"/>
      <c r="W1577" s="3"/>
      <c r="X1577" s="3"/>
      <c r="Y1577" s="3"/>
      <c r="Z1577" s="3"/>
      <c r="AA1577" s="3"/>
    </row>
    <row r="1578">
      <c r="A1578" s="4"/>
      <c r="B1578" s="3"/>
      <c r="C1578" s="3"/>
      <c r="D1578" s="3"/>
      <c r="E1578" s="3"/>
      <c r="F1578" s="3"/>
      <c r="G1578" s="3"/>
      <c r="H1578" s="3"/>
      <c r="I1578" s="3"/>
      <c r="J1578" s="3"/>
      <c r="K1578" s="3"/>
      <c r="L1578" s="3"/>
      <c r="M1578" s="3"/>
      <c r="N1578" s="3"/>
      <c r="O1578" s="3"/>
      <c r="P1578" s="3"/>
      <c r="Q1578" s="3"/>
      <c r="R1578" s="3"/>
      <c r="S1578" s="3"/>
      <c r="T1578" s="3"/>
      <c r="U1578" s="3"/>
      <c r="V1578" s="3"/>
      <c r="W1578" s="3"/>
      <c r="X1578" s="3"/>
      <c r="Y1578" s="3"/>
      <c r="Z1578" s="3"/>
      <c r="AA1578" s="3"/>
    </row>
    <row r="1579">
      <c r="A1579" s="4"/>
      <c r="B1579" s="3"/>
      <c r="C1579" s="3"/>
      <c r="D1579" s="3"/>
      <c r="E1579" s="3"/>
      <c r="F1579" s="3"/>
      <c r="G1579" s="3"/>
      <c r="H1579" s="3"/>
      <c r="I1579" s="3"/>
      <c r="J1579" s="3"/>
      <c r="K1579" s="3"/>
      <c r="L1579" s="3"/>
      <c r="M1579" s="3"/>
      <c r="N1579" s="3"/>
      <c r="O1579" s="3"/>
      <c r="P1579" s="3"/>
      <c r="Q1579" s="3"/>
      <c r="R1579" s="3"/>
      <c r="S1579" s="3"/>
      <c r="T1579" s="3"/>
      <c r="U1579" s="3"/>
      <c r="V1579" s="3"/>
      <c r="W1579" s="3"/>
      <c r="X1579" s="3"/>
      <c r="Y1579" s="3"/>
      <c r="Z1579" s="3"/>
      <c r="AA1579" s="3"/>
    </row>
    <row r="1580">
      <c r="A1580" s="4"/>
      <c r="B1580" s="3"/>
      <c r="C1580" s="3"/>
      <c r="D1580" s="3"/>
      <c r="E1580" s="3"/>
      <c r="F1580" s="3"/>
      <c r="G1580" s="3"/>
      <c r="H1580" s="3"/>
      <c r="I1580" s="3"/>
      <c r="J1580" s="3"/>
      <c r="K1580" s="3"/>
      <c r="L1580" s="3"/>
      <c r="M1580" s="3"/>
      <c r="N1580" s="3"/>
      <c r="O1580" s="3"/>
      <c r="P1580" s="3"/>
      <c r="Q1580" s="3"/>
      <c r="R1580" s="3"/>
      <c r="S1580" s="3"/>
      <c r="T1580" s="3"/>
      <c r="U1580" s="3"/>
      <c r="V1580" s="3"/>
      <c r="W1580" s="3"/>
      <c r="X1580" s="3"/>
      <c r="Y1580" s="3"/>
      <c r="Z1580" s="3"/>
      <c r="AA1580" s="3"/>
    </row>
    <row r="1581">
      <c r="A1581" s="4"/>
      <c r="B1581" s="3"/>
      <c r="C1581" s="3"/>
      <c r="D1581" s="3"/>
      <c r="E1581" s="3"/>
      <c r="F1581" s="3"/>
      <c r="G1581" s="3"/>
      <c r="H1581" s="3"/>
      <c r="I1581" s="3"/>
      <c r="J1581" s="3"/>
      <c r="K1581" s="3"/>
      <c r="L1581" s="3"/>
      <c r="M1581" s="3"/>
      <c r="N1581" s="3"/>
      <c r="O1581" s="3"/>
      <c r="P1581" s="3"/>
      <c r="Q1581" s="3"/>
      <c r="R1581" s="3"/>
      <c r="S1581" s="3"/>
      <c r="T1581" s="3"/>
      <c r="U1581" s="3"/>
      <c r="V1581" s="3"/>
      <c r="W1581" s="3"/>
      <c r="X1581" s="3"/>
      <c r="Y1581" s="3"/>
      <c r="Z1581" s="3"/>
      <c r="AA1581" s="3"/>
    </row>
    <row r="1582">
      <c r="A1582" s="4"/>
      <c r="B1582" s="3"/>
      <c r="C1582" s="3"/>
      <c r="D1582" s="3"/>
      <c r="E1582" s="3"/>
      <c r="F1582" s="3"/>
      <c r="G1582" s="3"/>
      <c r="H1582" s="3"/>
      <c r="I1582" s="3"/>
      <c r="J1582" s="3"/>
      <c r="K1582" s="3"/>
      <c r="L1582" s="3"/>
      <c r="M1582" s="3"/>
      <c r="N1582" s="3"/>
      <c r="O1582" s="3"/>
      <c r="P1582" s="3"/>
      <c r="Q1582" s="3"/>
      <c r="R1582" s="3"/>
      <c r="S1582" s="3"/>
      <c r="T1582" s="3"/>
      <c r="U1582" s="3"/>
      <c r="V1582" s="3"/>
      <c r="W1582" s="3"/>
      <c r="X1582" s="3"/>
      <c r="Y1582" s="3"/>
      <c r="Z1582" s="3"/>
      <c r="AA1582" s="3"/>
    </row>
    <row r="1583">
      <c r="A1583" s="4"/>
      <c r="B1583" s="3"/>
      <c r="C1583" s="3"/>
      <c r="D1583" s="3"/>
      <c r="E1583" s="3"/>
      <c r="F1583" s="3"/>
      <c r="G1583" s="3"/>
      <c r="H1583" s="3"/>
      <c r="I1583" s="3"/>
      <c r="J1583" s="3"/>
      <c r="K1583" s="3"/>
      <c r="L1583" s="3"/>
      <c r="M1583" s="3"/>
      <c r="N1583" s="3"/>
      <c r="O1583" s="3"/>
      <c r="P1583" s="3"/>
      <c r="Q1583" s="3"/>
      <c r="R1583" s="3"/>
      <c r="S1583" s="3"/>
      <c r="T1583" s="3"/>
      <c r="U1583" s="3"/>
      <c r="V1583" s="3"/>
      <c r="W1583" s="3"/>
      <c r="X1583" s="3"/>
      <c r="Y1583" s="3"/>
      <c r="Z1583" s="3"/>
      <c r="AA1583" s="3"/>
    </row>
    <row r="1584">
      <c r="A1584" s="4"/>
      <c r="B1584" s="3"/>
      <c r="C1584" s="3"/>
      <c r="D1584" s="3"/>
      <c r="E1584" s="3"/>
      <c r="F1584" s="3"/>
      <c r="G1584" s="3"/>
      <c r="H1584" s="3"/>
      <c r="I1584" s="3"/>
      <c r="J1584" s="3"/>
      <c r="K1584" s="3"/>
      <c r="L1584" s="3"/>
      <c r="M1584" s="3"/>
      <c r="N1584" s="3"/>
      <c r="O1584" s="3"/>
      <c r="P1584" s="3"/>
      <c r="Q1584" s="3"/>
      <c r="R1584" s="3"/>
      <c r="S1584" s="3"/>
      <c r="T1584" s="3"/>
      <c r="U1584" s="3"/>
      <c r="V1584" s="3"/>
      <c r="W1584" s="3"/>
      <c r="X1584" s="3"/>
      <c r="Y1584" s="3"/>
      <c r="Z1584" s="3"/>
      <c r="AA1584" s="3"/>
    </row>
    <row r="1585">
      <c r="A1585" s="4"/>
      <c r="B1585" s="3"/>
      <c r="C1585" s="3"/>
      <c r="D1585" s="3"/>
      <c r="E1585" s="3"/>
      <c r="F1585" s="3"/>
      <c r="G1585" s="3"/>
      <c r="H1585" s="3"/>
      <c r="I1585" s="3"/>
      <c r="J1585" s="3"/>
      <c r="K1585" s="3"/>
      <c r="L1585" s="3"/>
      <c r="M1585" s="3"/>
      <c r="N1585" s="3"/>
      <c r="O1585" s="3"/>
      <c r="P1585" s="3"/>
      <c r="Q1585" s="3"/>
      <c r="R1585" s="3"/>
      <c r="S1585" s="3"/>
      <c r="T1585" s="3"/>
      <c r="U1585" s="3"/>
      <c r="V1585" s="3"/>
      <c r="W1585" s="3"/>
      <c r="X1585" s="3"/>
      <c r="Y1585" s="3"/>
      <c r="Z1585" s="3"/>
      <c r="AA1585" s="3"/>
    </row>
    <row r="1586">
      <c r="A1586" s="4"/>
      <c r="B1586" s="3"/>
      <c r="C1586" s="3"/>
      <c r="D1586" s="3"/>
      <c r="E1586" s="3"/>
      <c r="F1586" s="3"/>
      <c r="G1586" s="3"/>
      <c r="H1586" s="3"/>
      <c r="I1586" s="3"/>
      <c r="J1586" s="3"/>
      <c r="K1586" s="3"/>
      <c r="L1586" s="3"/>
      <c r="M1586" s="3"/>
      <c r="N1586" s="3"/>
      <c r="O1586" s="3"/>
      <c r="P1586" s="3"/>
      <c r="Q1586" s="3"/>
      <c r="R1586" s="3"/>
      <c r="S1586" s="3"/>
      <c r="T1586" s="3"/>
      <c r="U1586" s="3"/>
      <c r="V1586" s="3"/>
      <c r="W1586" s="3"/>
      <c r="X1586" s="3"/>
      <c r="Y1586" s="3"/>
      <c r="Z1586" s="3"/>
      <c r="AA1586" s="3"/>
    </row>
    <row r="1587">
      <c r="A1587" s="4"/>
      <c r="B1587" s="3"/>
      <c r="C1587" s="3"/>
      <c r="D1587" s="3"/>
      <c r="E1587" s="3"/>
      <c r="F1587" s="3"/>
      <c r="G1587" s="3"/>
      <c r="H1587" s="3"/>
      <c r="I1587" s="3"/>
      <c r="J1587" s="3"/>
      <c r="K1587" s="3"/>
      <c r="L1587" s="3"/>
      <c r="M1587" s="3"/>
      <c r="N1587" s="3"/>
      <c r="O1587" s="3"/>
      <c r="P1587" s="3"/>
      <c r="Q1587" s="3"/>
      <c r="R1587" s="3"/>
      <c r="S1587" s="3"/>
      <c r="T1587" s="3"/>
      <c r="U1587" s="3"/>
      <c r="V1587" s="3"/>
      <c r="W1587" s="3"/>
      <c r="X1587" s="3"/>
      <c r="Y1587" s="3"/>
      <c r="Z1587" s="3"/>
      <c r="AA1587" s="3"/>
    </row>
    <row r="1588">
      <c r="A1588" s="4"/>
      <c r="B1588" s="3"/>
      <c r="C1588" s="3"/>
      <c r="D1588" s="3"/>
      <c r="E1588" s="3"/>
      <c r="F1588" s="3"/>
      <c r="G1588" s="3"/>
      <c r="H1588" s="3"/>
      <c r="I1588" s="3"/>
      <c r="J1588" s="3"/>
      <c r="K1588" s="3"/>
      <c r="L1588" s="3"/>
      <c r="M1588" s="3"/>
      <c r="N1588" s="3"/>
      <c r="O1588" s="3"/>
      <c r="P1588" s="3"/>
      <c r="Q1588" s="3"/>
      <c r="R1588" s="3"/>
      <c r="S1588" s="3"/>
      <c r="T1588" s="3"/>
      <c r="U1588" s="3"/>
      <c r="V1588" s="3"/>
      <c r="W1588" s="3"/>
      <c r="X1588" s="3"/>
      <c r="Y1588" s="3"/>
      <c r="Z1588" s="3"/>
      <c r="AA1588" s="3"/>
    </row>
    <row r="1589">
      <c r="A1589" s="4"/>
      <c r="B1589" s="3"/>
      <c r="C1589" s="3"/>
      <c r="D1589" s="3"/>
      <c r="E1589" s="3"/>
      <c r="F1589" s="3"/>
      <c r="G1589" s="3"/>
      <c r="H1589" s="3"/>
      <c r="I1589" s="3"/>
      <c r="J1589" s="3"/>
      <c r="K1589" s="3"/>
      <c r="L1589" s="3"/>
      <c r="M1589" s="3"/>
      <c r="N1589" s="3"/>
      <c r="O1589" s="3"/>
      <c r="P1589" s="3"/>
      <c r="Q1589" s="3"/>
      <c r="R1589" s="3"/>
      <c r="S1589" s="3"/>
      <c r="T1589" s="3"/>
      <c r="U1589" s="3"/>
      <c r="V1589" s="3"/>
      <c r="W1589" s="3"/>
      <c r="X1589" s="3"/>
      <c r="Y1589" s="3"/>
      <c r="Z1589" s="3"/>
      <c r="AA1589" s="3"/>
    </row>
    <row r="1590">
      <c r="A1590" s="4"/>
      <c r="B1590" s="3"/>
      <c r="C1590" s="3"/>
      <c r="D1590" s="3"/>
      <c r="E1590" s="3"/>
      <c r="F1590" s="3"/>
      <c r="G1590" s="3"/>
      <c r="H1590" s="3"/>
      <c r="I1590" s="3"/>
      <c r="J1590" s="3"/>
      <c r="K1590" s="3"/>
      <c r="L1590" s="3"/>
      <c r="M1590" s="3"/>
      <c r="N1590" s="3"/>
      <c r="O1590" s="3"/>
      <c r="P1590" s="3"/>
      <c r="Q1590" s="3"/>
      <c r="R1590" s="3"/>
      <c r="S1590" s="3"/>
      <c r="T1590" s="3"/>
      <c r="U1590" s="3"/>
      <c r="V1590" s="3"/>
      <c r="W1590" s="3"/>
      <c r="X1590" s="3"/>
      <c r="Y1590" s="3"/>
      <c r="Z1590" s="3"/>
      <c r="AA1590" s="3"/>
    </row>
    <row r="1591">
      <c r="A1591" s="4"/>
      <c r="B1591" s="3"/>
      <c r="C1591" s="3"/>
      <c r="D1591" s="3"/>
      <c r="E1591" s="3"/>
      <c r="F1591" s="3"/>
      <c r="G1591" s="3"/>
      <c r="H1591" s="3"/>
      <c r="I1591" s="3"/>
      <c r="J1591" s="3"/>
      <c r="K1591" s="3"/>
      <c r="L1591" s="3"/>
      <c r="M1591" s="3"/>
      <c r="N1591" s="3"/>
      <c r="O1591" s="3"/>
      <c r="P1591" s="3"/>
      <c r="Q1591" s="3"/>
      <c r="R1591" s="3"/>
      <c r="S1591" s="3"/>
      <c r="T1591" s="3"/>
      <c r="U1591" s="3"/>
      <c r="V1591" s="3"/>
      <c r="W1591" s="3"/>
      <c r="X1591" s="3"/>
      <c r="Y1591" s="3"/>
      <c r="Z1591" s="3"/>
      <c r="AA1591" s="3"/>
    </row>
    <row r="1592">
      <c r="A1592" s="4"/>
      <c r="B1592" s="3"/>
      <c r="C1592" s="3"/>
      <c r="D1592" s="3"/>
      <c r="E1592" s="3"/>
      <c r="F1592" s="3"/>
      <c r="G1592" s="3"/>
      <c r="H1592" s="3"/>
      <c r="I1592" s="3"/>
      <c r="J1592" s="3"/>
      <c r="K1592" s="3"/>
      <c r="L1592" s="3"/>
      <c r="M1592" s="3"/>
      <c r="N1592" s="3"/>
      <c r="O1592" s="3"/>
      <c r="P1592" s="3"/>
      <c r="Q1592" s="3"/>
      <c r="R1592" s="3"/>
      <c r="S1592" s="3"/>
      <c r="T1592" s="3"/>
      <c r="U1592" s="3"/>
      <c r="V1592" s="3"/>
      <c r="W1592" s="3"/>
      <c r="X1592" s="3"/>
      <c r="Y1592" s="3"/>
      <c r="Z1592" s="3"/>
      <c r="AA1592" s="3"/>
    </row>
    <row r="1593">
      <c r="A1593" s="4"/>
      <c r="B1593" s="3"/>
      <c r="C1593" s="3"/>
      <c r="D1593" s="3"/>
      <c r="E1593" s="3"/>
      <c r="F1593" s="3"/>
      <c r="G1593" s="3"/>
      <c r="H1593" s="3"/>
      <c r="I1593" s="3"/>
      <c r="J1593" s="3"/>
      <c r="K1593" s="3"/>
      <c r="L1593" s="3"/>
      <c r="M1593" s="3"/>
      <c r="N1593" s="3"/>
      <c r="O1593" s="3"/>
      <c r="P1593" s="3"/>
      <c r="Q1593" s="3"/>
      <c r="R1593" s="3"/>
      <c r="S1593" s="3"/>
      <c r="T1593" s="3"/>
      <c r="U1593" s="3"/>
      <c r="V1593" s="3"/>
      <c r="W1593" s="3"/>
      <c r="X1593" s="3"/>
      <c r="Y1593" s="3"/>
      <c r="Z1593" s="3"/>
      <c r="AA1593" s="3"/>
    </row>
    <row r="1594">
      <c r="A1594" s="4"/>
      <c r="B1594" s="3"/>
      <c r="C1594" s="3"/>
      <c r="D1594" s="3"/>
      <c r="E1594" s="3"/>
      <c r="F1594" s="3"/>
      <c r="G1594" s="3"/>
      <c r="H1594" s="3"/>
      <c r="I1594" s="3"/>
      <c r="J1594" s="3"/>
      <c r="K1594" s="3"/>
      <c r="L1594" s="3"/>
      <c r="M1594" s="3"/>
      <c r="N1594" s="3"/>
      <c r="O1594" s="3"/>
      <c r="P1594" s="3"/>
      <c r="Q1594" s="3"/>
      <c r="R1594" s="3"/>
      <c r="S1594" s="3"/>
      <c r="T1594" s="3"/>
      <c r="U1594" s="3"/>
      <c r="V1594" s="3"/>
      <c r="W1594" s="3"/>
      <c r="X1594" s="3"/>
      <c r="Y1594" s="3"/>
      <c r="Z1594" s="3"/>
      <c r="AA1594" s="3"/>
    </row>
    <row r="1595">
      <c r="A1595" s="4"/>
      <c r="B1595" s="3"/>
      <c r="C1595" s="3"/>
      <c r="D1595" s="3"/>
      <c r="E1595" s="3"/>
      <c r="F1595" s="3"/>
      <c r="G1595" s="3"/>
      <c r="H1595" s="3"/>
      <c r="I1595" s="3"/>
      <c r="J1595" s="3"/>
      <c r="K1595" s="3"/>
      <c r="L1595" s="3"/>
      <c r="M1595" s="3"/>
      <c r="N1595" s="3"/>
      <c r="O1595" s="3"/>
      <c r="P1595" s="3"/>
      <c r="Q1595" s="3"/>
      <c r="R1595" s="3"/>
      <c r="S1595" s="3"/>
      <c r="T1595" s="3"/>
      <c r="U1595" s="3"/>
      <c r="V1595" s="3"/>
      <c r="W1595" s="3"/>
      <c r="X1595" s="3"/>
      <c r="Y1595" s="3"/>
      <c r="Z1595" s="3"/>
      <c r="AA1595" s="3"/>
    </row>
    <row r="1596">
      <c r="A1596" s="4"/>
      <c r="B1596" s="3"/>
      <c r="C1596" s="3"/>
      <c r="D1596" s="3"/>
      <c r="E1596" s="3"/>
      <c r="F1596" s="3"/>
      <c r="G1596" s="3"/>
      <c r="H1596" s="3"/>
      <c r="I1596" s="3"/>
      <c r="J1596" s="3"/>
      <c r="K1596" s="3"/>
      <c r="L1596" s="3"/>
      <c r="M1596" s="3"/>
      <c r="N1596" s="3"/>
      <c r="O1596" s="3"/>
      <c r="P1596" s="3"/>
      <c r="Q1596" s="3"/>
      <c r="R1596" s="3"/>
      <c r="S1596" s="3"/>
      <c r="T1596" s="3"/>
      <c r="U1596" s="3"/>
      <c r="V1596" s="3"/>
      <c r="W1596" s="3"/>
      <c r="X1596" s="3"/>
      <c r="Y1596" s="3"/>
      <c r="Z1596" s="3"/>
      <c r="AA1596" s="3"/>
    </row>
    <row r="1597">
      <c r="A1597" s="4"/>
      <c r="B1597" s="3"/>
      <c r="C1597" s="3"/>
      <c r="D1597" s="3"/>
      <c r="E1597" s="3"/>
      <c r="F1597" s="3"/>
      <c r="G1597" s="3"/>
      <c r="H1597" s="3"/>
      <c r="I1597" s="3"/>
      <c r="J1597" s="3"/>
      <c r="K1597" s="3"/>
      <c r="L1597" s="3"/>
      <c r="M1597" s="3"/>
      <c r="N1597" s="3"/>
      <c r="O1597" s="3"/>
      <c r="P1597" s="3"/>
      <c r="Q1597" s="3"/>
      <c r="R1597" s="3"/>
      <c r="S1597" s="3"/>
      <c r="T1597" s="3"/>
      <c r="U1597" s="3"/>
      <c r="V1597" s="3"/>
      <c r="W1597" s="3"/>
      <c r="X1597" s="3"/>
      <c r="Y1597" s="3"/>
      <c r="Z1597" s="3"/>
      <c r="AA1597" s="3"/>
    </row>
    <row r="1598">
      <c r="A1598" s="4"/>
      <c r="B1598" s="3"/>
      <c r="C1598" s="3"/>
      <c r="D1598" s="3"/>
      <c r="E1598" s="3"/>
      <c r="F1598" s="3"/>
      <c r="G1598" s="3"/>
      <c r="H1598" s="3"/>
      <c r="I1598" s="3"/>
      <c r="J1598" s="3"/>
      <c r="K1598" s="3"/>
      <c r="L1598" s="3"/>
      <c r="M1598" s="3"/>
      <c r="N1598" s="3"/>
      <c r="O1598" s="3"/>
      <c r="P1598" s="3"/>
      <c r="Q1598" s="3"/>
      <c r="R1598" s="3"/>
      <c r="S1598" s="3"/>
      <c r="T1598" s="3"/>
      <c r="U1598" s="3"/>
      <c r="V1598" s="3"/>
      <c r="W1598" s="3"/>
      <c r="X1598" s="3"/>
      <c r="Y1598" s="3"/>
      <c r="Z1598" s="3"/>
      <c r="AA1598" s="3"/>
    </row>
    <row r="1599">
      <c r="A1599" s="4"/>
      <c r="B1599" s="3"/>
      <c r="C1599" s="3"/>
      <c r="D1599" s="3"/>
      <c r="E1599" s="3"/>
      <c r="F1599" s="3"/>
      <c r="G1599" s="3"/>
      <c r="H1599" s="3"/>
      <c r="I1599" s="3"/>
      <c r="J1599" s="3"/>
      <c r="K1599" s="3"/>
      <c r="L1599" s="3"/>
      <c r="M1599" s="3"/>
      <c r="N1599" s="3"/>
      <c r="O1599" s="3"/>
      <c r="P1599" s="3"/>
      <c r="Q1599" s="3"/>
      <c r="R1599" s="3"/>
      <c r="S1599" s="3"/>
      <c r="T1599" s="3"/>
      <c r="U1599" s="3"/>
      <c r="V1599" s="3"/>
      <c r="W1599" s="3"/>
      <c r="X1599" s="3"/>
      <c r="Y1599" s="3"/>
      <c r="Z1599" s="3"/>
      <c r="AA1599" s="3"/>
    </row>
    <row r="1600">
      <c r="A1600" s="4"/>
      <c r="B1600" s="3"/>
      <c r="C1600" s="3"/>
      <c r="D1600" s="3"/>
      <c r="E1600" s="3"/>
      <c r="F1600" s="3"/>
      <c r="G1600" s="3"/>
      <c r="H1600" s="3"/>
      <c r="I1600" s="3"/>
      <c r="J1600" s="3"/>
      <c r="K1600" s="3"/>
      <c r="L1600" s="3"/>
      <c r="M1600" s="3"/>
      <c r="N1600" s="3"/>
      <c r="O1600" s="3"/>
      <c r="P1600" s="3"/>
      <c r="Q1600" s="3"/>
      <c r="R1600" s="3"/>
      <c r="S1600" s="3"/>
      <c r="T1600" s="3"/>
      <c r="U1600" s="3"/>
      <c r="V1600" s="3"/>
      <c r="W1600" s="3"/>
      <c r="X1600" s="3"/>
      <c r="Y1600" s="3"/>
      <c r="Z1600" s="3"/>
      <c r="AA1600" s="3"/>
    </row>
    <row r="1601">
      <c r="A1601" s="4"/>
      <c r="B1601" s="3"/>
      <c r="C1601" s="3"/>
      <c r="D1601" s="3"/>
      <c r="E1601" s="3"/>
      <c r="F1601" s="3"/>
      <c r="G1601" s="3"/>
      <c r="H1601" s="3"/>
      <c r="I1601" s="3"/>
      <c r="J1601" s="3"/>
      <c r="K1601" s="3"/>
      <c r="L1601" s="3"/>
      <c r="M1601" s="3"/>
      <c r="N1601" s="3"/>
      <c r="O1601" s="3"/>
      <c r="P1601" s="3"/>
      <c r="Q1601" s="3"/>
      <c r="R1601" s="3"/>
      <c r="S1601" s="3"/>
      <c r="T1601" s="3"/>
      <c r="U1601" s="3"/>
      <c r="V1601" s="3"/>
      <c r="W1601" s="3"/>
      <c r="X1601" s="3"/>
      <c r="Y1601" s="3"/>
      <c r="Z1601" s="3"/>
      <c r="AA1601" s="3"/>
    </row>
    <row r="1602">
      <c r="A1602" s="4"/>
      <c r="B1602" s="3"/>
      <c r="C1602" s="3"/>
      <c r="D1602" s="3"/>
      <c r="E1602" s="3"/>
      <c r="F1602" s="3"/>
      <c r="G1602" s="3"/>
      <c r="H1602" s="3"/>
      <c r="I1602" s="3"/>
      <c r="J1602" s="3"/>
      <c r="K1602" s="3"/>
      <c r="L1602" s="3"/>
      <c r="M1602" s="3"/>
      <c r="N1602" s="3"/>
      <c r="O1602" s="3"/>
      <c r="P1602" s="3"/>
      <c r="Q1602" s="3"/>
      <c r="R1602" s="3"/>
      <c r="S1602" s="3"/>
      <c r="T1602" s="3"/>
      <c r="U1602" s="3"/>
      <c r="V1602" s="3"/>
      <c r="W1602" s="3"/>
      <c r="X1602" s="3"/>
      <c r="Y1602" s="3"/>
      <c r="Z1602" s="3"/>
      <c r="AA1602" s="3"/>
    </row>
    <row r="1603">
      <c r="A1603" s="4"/>
      <c r="B1603" s="3"/>
      <c r="C1603" s="3"/>
      <c r="D1603" s="3"/>
      <c r="E1603" s="3"/>
      <c r="F1603" s="3"/>
      <c r="G1603" s="3"/>
      <c r="H1603" s="3"/>
      <c r="I1603" s="3"/>
      <c r="J1603" s="3"/>
      <c r="K1603" s="3"/>
      <c r="L1603" s="3"/>
      <c r="M1603" s="3"/>
      <c r="N1603" s="3"/>
      <c r="O1603" s="3"/>
      <c r="P1603" s="3"/>
      <c r="Q1603" s="3"/>
      <c r="R1603" s="3"/>
      <c r="S1603" s="3"/>
      <c r="T1603" s="3"/>
      <c r="U1603" s="3"/>
      <c r="V1603" s="3"/>
      <c r="W1603" s="3"/>
      <c r="X1603" s="3"/>
      <c r="Y1603" s="3"/>
      <c r="Z1603" s="3"/>
      <c r="AA1603" s="3"/>
    </row>
    <row r="1604">
      <c r="A1604" s="4"/>
      <c r="B1604" s="3"/>
      <c r="C1604" s="3"/>
      <c r="D1604" s="3"/>
      <c r="E1604" s="3"/>
      <c r="F1604" s="3"/>
      <c r="G1604" s="3"/>
      <c r="H1604" s="3"/>
      <c r="I1604" s="3"/>
      <c r="J1604" s="3"/>
      <c r="K1604" s="3"/>
      <c r="L1604" s="3"/>
      <c r="M1604" s="3"/>
      <c r="N1604" s="3"/>
      <c r="O1604" s="3"/>
      <c r="P1604" s="3"/>
      <c r="Q1604" s="3"/>
      <c r="R1604" s="3"/>
      <c r="S1604" s="3"/>
      <c r="T1604" s="3"/>
      <c r="U1604" s="3"/>
      <c r="V1604" s="3"/>
      <c r="W1604" s="3"/>
      <c r="X1604" s="3"/>
      <c r="Y1604" s="3"/>
      <c r="Z1604" s="3"/>
      <c r="AA1604" s="3"/>
    </row>
    <row r="1605">
      <c r="A1605" s="4"/>
      <c r="B1605" s="3"/>
      <c r="C1605" s="3"/>
      <c r="D1605" s="3"/>
      <c r="E1605" s="3"/>
      <c r="F1605" s="3"/>
      <c r="G1605" s="3"/>
      <c r="H1605" s="3"/>
      <c r="I1605" s="3"/>
      <c r="J1605" s="3"/>
      <c r="K1605" s="3"/>
      <c r="L1605" s="3"/>
      <c r="M1605" s="3"/>
      <c r="N1605" s="3"/>
      <c r="O1605" s="3"/>
      <c r="P1605" s="3"/>
      <c r="Q1605" s="3"/>
      <c r="R1605" s="3"/>
      <c r="S1605" s="3"/>
      <c r="T1605" s="3"/>
      <c r="U1605" s="3"/>
      <c r="V1605" s="3"/>
      <c r="W1605" s="3"/>
      <c r="X1605" s="3"/>
      <c r="Y1605" s="3"/>
      <c r="Z1605" s="3"/>
      <c r="AA1605" s="3"/>
    </row>
    <row r="1606">
      <c r="A1606" s="4"/>
      <c r="B1606" s="3"/>
      <c r="C1606" s="3"/>
      <c r="D1606" s="3"/>
      <c r="E1606" s="3"/>
      <c r="F1606" s="3"/>
      <c r="G1606" s="3"/>
      <c r="H1606" s="3"/>
      <c r="I1606" s="3"/>
      <c r="J1606" s="3"/>
      <c r="K1606" s="3"/>
      <c r="L1606" s="3"/>
      <c r="M1606" s="3"/>
      <c r="N1606" s="3"/>
      <c r="O1606" s="3"/>
      <c r="P1606" s="3"/>
      <c r="Q1606" s="3"/>
      <c r="R1606" s="3"/>
      <c r="S1606" s="3"/>
      <c r="T1606" s="3"/>
      <c r="U1606" s="3"/>
      <c r="V1606" s="3"/>
      <c r="W1606" s="3"/>
      <c r="X1606" s="3"/>
      <c r="Y1606" s="3"/>
      <c r="Z1606" s="3"/>
      <c r="AA1606" s="3"/>
    </row>
    <row r="1607">
      <c r="A1607" s="4"/>
      <c r="B1607" s="3"/>
      <c r="C1607" s="3"/>
      <c r="D1607" s="3"/>
      <c r="E1607" s="3"/>
      <c r="F1607" s="3"/>
      <c r="G1607" s="3"/>
      <c r="H1607" s="3"/>
      <c r="I1607" s="3"/>
      <c r="J1607" s="3"/>
      <c r="K1607" s="3"/>
      <c r="L1607" s="3"/>
      <c r="M1607" s="3"/>
      <c r="N1607" s="3"/>
      <c r="O1607" s="3"/>
      <c r="P1607" s="3"/>
      <c r="Q1607" s="3"/>
      <c r="R1607" s="3"/>
      <c r="S1607" s="3"/>
      <c r="T1607" s="3"/>
      <c r="U1607" s="3"/>
      <c r="V1607" s="3"/>
      <c r="W1607" s="3"/>
      <c r="X1607" s="3"/>
      <c r="Y1607" s="3"/>
      <c r="Z1607" s="3"/>
      <c r="AA1607" s="3"/>
    </row>
    <row r="1608">
      <c r="A1608" s="4"/>
      <c r="B1608" s="3"/>
      <c r="C1608" s="3"/>
      <c r="D1608" s="3"/>
      <c r="E1608" s="3"/>
      <c r="F1608" s="3"/>
      <c r="G1608" s="3"/>
      <c r="H1608" s="3"/>
      <c r="I1608" s="3"/>
      <c r="J1608" s="3"/>
      <c r="K1608" s="3"/>
      <c r="L1608" s="3"/>
      <c r="M1608" s="3"/>
      <c r="N1608" s="3"/>
      <c r="O1608" s="3"/>
      <c r="P1608" s="3"/>
      <c r="Q1608" s="3"/>
      <c r="R1608" s="3"/>
      <c r="S1608" s="3"/>
      <c r="T1608" s="3"/>
      <c r="U1608" s="3"/>
      <c r="V1608" s="3"/>
      <c r="W1608" s="3"/>
      <c r="X1608" s="3"/>
      <c r="Y1608" s="3"/>
      <c r="Z1608" s="3"/>
      <c r="AA1608" s="3"/>
    </row>
    <row r="1609">
      <c r="A1609" s="4"/>
      <c r="B1609" s="3"/>
      <c r="C1609" s="3"/>
      <c r="D1609" s="3"/>
      <c r="E1609" s="3"/>
      <c r="F1609" s="3"/>
      <c r="G1609" s="3"/>
      <c r="H1609" s="3"/>
      <c r="I1609" s="3"/>
      <c r="J1609" s="3"/>
      <c r="K1609" s="3"/>
      <c r="L1609" s="3"/>
      <c r="M1609" s="3"/>
      <c r="N1609" s="3"/>
      <c r="O1609" s="3"/>
      <c r="P1609" s="3"/>
      <c r="Q1609" s="3"/>
      <c r="R1609" s="3"/>
      <c r="S1609" s="3"/>
      <c r="T1609" s="3"/>
      <c r="U1609" s="3"/>
      <c r="V1609" s="3"/>
      <c r="W1609" s="3"/>
      <c r="X1609" s="3"/>
      <c r="Y1609" s="3"/>
      <c r="Z1609" s="3"/>
      <c r="AA1609" s="3"/>
    </row>
    <row r="1610">
      <c r="A1610" s="4"/>
      <c r="B1610" s="3"/>
      <c r="C1610" s="3"/>
      <c r="D1610" s="3"/>
      <c r="E1610" s="3"/>
      <c r="F1610" s="3"/>
      <c r="G1610" s="3"/>
      <c r="H1610" s="3"/>
      <c r="I1610" s="3"/>
      <c r="J1610" s="3"/>
      <c r="K1610" s="3"/>
      <c r="L1610" s="3"/>
      <c r="M1610" s="3"/>
      <c r="N1610" s="3"/>
      <c r="O1610" s="3"/>
      <c r="P1610" s="3"/>
      <c r="Q1610" s="3"/>
      <c r="R1610" s="3"/>
      <c r="S1610" s="3"/>
      <c r="T1610" s="3"/>
      <c r="U1610" s="3"/>
      <c r="V1610" s="3"/>
      <c r="W1610" s="3"/>
      <c r="X1610" s="3"/>
      <c r="Y1610" s="3"/>
      <c r="Z1610" s="3"/>
      <c r="AA1610" s="3"/>
    </row>
    <row r="1611">
      <c r="A1611" s="4"/>
      <c r="B1611" s="3"/>
      <c r="C1611" s="3"/>
      <c r="D1611" s="3"/>
      <c r="E1611" s="3"/>
      <c r="F1611" s="3"/>
      <c r="G1611" s="3"/>
      <c r="H1611" s="3"/>
      <c r="I1611" s="3"/>
      <c r="J1611" s="3"/>
      <c r="K1611" s="3"/>
      <c r="L1611" s="3"/>
      <c r="M1611" s="3"/>
      <c r="N1611" s="3"/>
      <c r="O1611" s="3"/>
      <c r="P1611" s="3"/>
      <c r="Q1611" s="3"/>
      <c r="R1611" s="3"/>
      <c r="S1611" s="3"/>
      <c r="T1611" s="3"/>
      <c r="U1611" s="3"/>
      <c r="V1611" s="3"/>
      <c r="W1611" s="3"/>
      <c r="X1611" s="3"/>
      <c r="Y1611" s="3"/>
      <c r="Z1611" s="3"/>
      <c r="AA1611" s="3"/>
    </row>
    <row r="1612">
      <c r="A1612" s="4"/>
      <c r="B1612" s="3"/>
      <c r="C1612" s="3"/>
      <c r="D1612" s="3"/>
      <c r="E1612" s="3"/>
      <c r="F1612" s="3"/>
      <c r="G1612" s="3"/>
      <c r="H1612" s="3"/>
      <c r="I1612" s="3"/>
      <c r="J1612" s="3"/>
      <c r="K1612" s="3"/>
      <c r="L1612" s="3"/>
      <c r="M1612" s="3"/>
      <c r="N1612" s="3"/>
      <c r="O1612" s="3"/>
      <c r="P1612" s="3"/>
      <c r="Q1612" s="3"/>
      <c r="R1612" s="3"/>
      <c r="S1612" s="3"/>
      <c r="T1612" s="3"/>
      <c r="U1612" s="3"/>
      <c r="V1612" s="3"/>
      <c r="W1612" s="3"/>
      <c r="X1612" s="3"/>
      <c r="Y1612" s="3"/>
      <c r="Z1612" s="3"/>
      <c r="AA1612" s="3"/>
    </row>
    <row r="1613">
      <c r="A1613" s="4"/>
      <c r="B1613" s="3"/>
      <c r="C1613" s="3"/>
      <c r="D1613" s="3"/>
      <c r="E1613" s="3"/>
      <c r="F1613" s="3"/>
      <c r="G1613" s="3"/>
      <c r="H1613" s="3"/>
      <c r="I1613" s="3"/>
      <c r="J1613" s="3"/>
      <c r="K1613" s="3"/>
      <c r="L1613" s="3"/>
      <c r="M1613" s="3"/>
      <c r="N1613" s="3"/>
      <c r="O1613" s="3"/>
      <c r="P1613" s="3"/>
      <c r="Q1613" s="3"/>
      <c r="R1613" s="3"/>
      <c r="S1613" s="3"/>
      <c r="T1613" s="3"/>
      <c r="U1613" s="3"/>
      <c r="V1613" s="3"/>
      <c r="W1613" s="3"/>
      <c r="X1613" s="3"/>
      <c r="Y1613" s="3"/>
      <c r="Z1613" s="3"/>
      <c r="AA1613" s="3"/>
    </row>
    <row r="1614">
      <c r="A1614" s="4"/>
      <c r="B1614" s="3"/>
      <c r="C1614" s="3"/>
      <c r="D1614" s="3"/>
      <c r="E1614" s="3"/>
      <c r="F1614" s="3"/>
      <c r="G1614" s="3"/>
      <c r="H1614" s="3"/>
      <c r="I1614" s="3"/>
      <c r="J1614" s="3"/>
      <c r="K1614" s="3"/>
      <c r="L1614" s="3"/>
      <c r="M1614" s="3"/>
      <c r="N1614" s="3"/>
      <c r="O1614" s="3"/>
      <c r="P1614" s="3"/>
      <c r="Q1614" s="3"/>
      <c r="R1614" s="3"/>
      <c r="S1614" s="3"/>
      <c r="T1614" s="3"/>
      <c r="U1614" s="3"/>
      <c r="V1614" s="3"/>
      <c r="W1614" s="3"/>
      <c r="X1614" s="3"/>
      <c r="Y1614" s="3"/>
      <c r="Z1614" s="3"/>
      <c r="AA1614" s="3"/>
    </row>
    <row r="1615">
      <c r="A1615" s="4"/>
      <c r="B1615" s="3"/>
      <c r="C1615" s="3"/>
      <c r="D1615" s="3"/>
      <c r="E1615" s="3"/>
      <c r="F1615" s="3"/>
      <c r="G1615" s="3"/>
      <c r="H1615" s="3"/>
      <c r="I1615" s="3"/>
      <c r="J1615" s="3"/>
      <c r="K1615" s="3"/>
      <c r="L1615" s="3"/>
      <c r="M1615" s="3"/>
      <c r="N1615" s="3"/>
      <c r="O1615" s="3"/>
      <c r="P1615" s="3"/>
      <c r="Q1615" s="3"/>
      <c r="R1615" s="3"/>
      <c r="S1615" s="3"/>
      <c r="T1615" s="3"/>
      <c r="U1615" s="3"/>
      <c r="V1615" s="3"/>
      <c r="W1615" s="3"/>
      <c r="X1615" s="3"/>
      <c r="Y1615" s="3"/>
      <c r="Z1615" s="3"/>
      <c r="AA1615" s="3"/>
    </row>
    <row r="1616">
      <c r="A1616" s="4"/>
      <c r="B1616" s="3"/>
      <c r="C1616" s="3"/>
      <c r="D1616" s="3"/>
      <c r="E1616" s="3"/>
      <c r="F1616" s="3"/>
      <c r="G1616" s="3"/>
      <c r="H1616" s="3"/>
      <c r="I1616" s="3"/>
      <c r="J1616" s="3"/>
      <c r="K1616" s="3"/>
      <c r="L1616" s="3"/>
      <c r="M1616" s="3"/>
      <c r="N1616" s="3"/>
      <c r="O1616" s="3"/>
      <c r="P1616" s="3"/>
      <c r="Q1616" s="3"/>
      <c r="R1616" s="3"/>
      <c r="S1616" s="3"/>
      <c r="T1616" s="3"/>
      <c r="U1616" s="3"/>
      <c r="V1616" s="3"/>
      <c r="W1616" s="3"/>
      <c r="X1616" s="3"/>
      <c r="Y1616" s="3"/>
      <c r="Z1616" s="3"/>
      <c r="AA1616" s="3"/>
    </row>
    <row r="1617">
      <c r="A1617" s="4"/>
      <c r="B1617" s="3"/>
      <c r="C1617" s="3"/>
      <c r="D1617" s="3"/>
      <c r="E1617" s="3"/>
      <c r="F1617" s="3"/>
      <c r="G1617" s="3"/>
      <c r="H1617" s="3"/>
      <c r="I1617" s="3"/>
      <c r="J1617" s="3"/>
      <c r="K1617" s="3"/>
      <c r="L1617" s="3"/>
      <c r="M1617" s="3"/>
      <c r="N1617" s="3"/>
      <c r="O1617" s="3"/>
      <c r="P1617" s="3"/>
      <c r="Q1617" s="3"/>
      <c r="R1617" s="3"/>
      <c r="S1617" s="3"/>
      <c r="T1617" s="3"/>
      <c r="U1617" s="3"/>
      <c r="V1617" s="3"/>
      <c r="W1617" s="3"/>
      <c r="X1617" s="3"/>
      <c r="Y1617" s="3"/>
      <c r="Z1617" s="3"/>
      <c r="AA1617" s="3"/>
    </row>
    <row r="1618">
      <c r="A1618" s="4"/>
      <c r="B1618" s="3"/>
      <c r="C1618" s="3"/>
      <c r="D1618" s="3"/>
      <c r="E1618" s="3"/>
      <c r="F1618" s="3"/>
      <c r="G1618" s="3"/>
      <c r="H1618" s="3"/>
      <c r="I1618" s="3"/>
      <c r="J1618" s="3"/>
      <c r="K1618" s="3"/>
      <c r="L1618" s="3"/>
      <c r="M1618" s="3"/>
      <c r="N1618" s="3"/>
      <c r="O1618" s="3"/>
      <c r="P1618" s="3"/>
      <c r="Q1618" s="3"/>
      <c r="R1618" s="3"/>
      <c r="S1618" s="3"/>
      <c r="T1618" s="3"/>
      <c r="U1618" s="3"/>
      <c r="V1618" s="3"/>
      <c r="W1618" s="3"/>
      <c r="X1618" s="3"/>
      <c r="Y1618" s="3"/>
      <c r="Z1618" s="3"/>
      <c r="AA1618" s="3"/>
    </row>
    <row r="1619">
      <c r="A1619" s="4"/>
      <c r="B1619" s="3"/>
      <c r="C1619" s="3"/>
      <c r="D1619" s="3"/>
      <c r="E1619" s="3"/>
      <c r="F1619" s="3"/>
      <c r="G1619" s="3"/>
      <c r="H1619" s="3"/>
      <c r="I1619" s="3"/>
      <c r="J1619" s="3"/>
      <c r="K1619" s="3"/>
      <c r="L1619" s="3"/>
      <c r="M1619" s="3"/>
      <c r="N1619" s="3"/>
      <c r="O1619" s="3"/>
      <c r="P1619" s="3"/>
      <c r="Q1619" s="3"/>
      <c r="R1619" s="3"/>
      <c r="S1619" s="3"/>
      <c r="T1619" s="3"/>
      <c r="U1619" s="3"/>
      <c r="V1619" s="3"/>
      <c r="W1619" s="3"/>
      <c r="X1619" s="3"/>
      <c r="Y1619" s="3"/>
      <c r="Z1619" s="3"/>
      <c r="AA1619" s="3"/>
    </row>
    <row r="1620">
      <c r="A1620" s="4"/>
      <c r="B1620" s="3"/>
      <c r="C1620" s="3"/>
      <c r="D1620" s="3"/>
      <c r="E1620" s="3"/>
      <c r="F1620" s="3"/>
      <c r="G1620" s="3"/>
      <c r="H1620" s="3"/>
      <c r="I1620" s="3"/>
      <c r="J1620" s="3"/>
      <c r="K1620" s="3"/>
      <c r="L1620" s="3"/>
      <c r="M1620" s="3"/>
      <c r="N1620" s="3"/>
      <c r="O1620" s="3"/>
      <c r="P1620" s="3"/>
      <c r="Q1620" s="3"/>
      <c r="R1620" s="3"/>
      <c r="S1620" s="3"/>
      <c r="T1620" s="3"/>
      <c r="U1620" s="3"/>
      <c r="V1620" s="3"/>
      <c r="W1620" s="3"/>
      <c r="X1620" s="3"/>
      <c r="Y1620" s="3"/>
      <c r="Z1620" s="3"/>
      <c r="AA1620" s="3"/>
    </row>
    <row r="1621">
      <c r="A1621" s="4"/>
      <c r="B1621" s="3"/>
      <c r="C1621" s="3"/>
      <c r="D1621" s="3"/>
      <c r="E1621" s="3"/>
      <c r="F1621" s="3"/>
      <c r="G1621" s="3"/>
      <c r="H1621" s="3"/>
      <c r="I1621" s="3"/>
      <c r="J1621" s="3"/>
      <c r="K1621" s="3"/>
      <c r="L1621" s="3"/>
      <c r="M1621" s="3"/>
      <c r="N1621" s="3"/>
      <c r="O1621" s="3"/>
      <c r="P1621" s="3"/>
      <c r="Q1621" s="3"/>
      <c r="R1621" s="3"/>
      <c r="S1621" s="3"/>
      <c r="T1621" s="3"/>
      <c r="U1621" s="3"/>
      <c r="V1621" s="3"/>
      <c r="W1621" s="3"/>
      <c r="X1621" s="3"/>
      <c r="Y1621" s="3"/>
      <c r="Z1621" s="3"/>
      <c r="AA1621" s="3"/>
    </row>
    <row r="1622">
      <c r="A1622" s="4"/>
      <c r="B1622" s="3"/>
      <c r="C1622" s="3"/>
      <c r="D1622" s="3"/>
      <c r="E1622" s="3"/>
      <c r="F1622" s="3"/>
      <c r="G1622" s="3"/>
      <c r="H1622" s="3"/>
      <c r="I1622" s="3"/>
      <c r="J1622" s="3"/>
      <c r="K1622" s="3"/>
      <c r="L1622" s="3"/>
      <c r="M1622" s="3"/>
      <c r="N1622" s="3"/>
      <c r="O1622" s="3"/>
      <c r="P1622" s="3"/>
      <c r="Q1622" s="3"/>
      <c r="R1622" s="3"/>
      <c r="S1622" s="3"/>
      <c r="T1622" s="3"/>
      <c r="U1622" s="3"/>
      <c r="V1622" s="3"/>
      <c r="W1622" s="3"/>
      <c r="X1622" s="3"/>
      <c r="Y1622" s="3"/>
      <c r="Z1622" s="3"/>
      <c r="AA1622" s="3"/>
    </row>
    <row r="1623">
      <c r="A1623" s="4"/>
      <c r="B1623" s="3"/>
      <c r="C1623" s="3"/>
      <c r="D1623" s="3"/>
      <c r="E1623" s="3"/>
      <c r="F1623" s="3"/>
      <c r="G1623" s="3"/>
      <c r="H1623" s="3"/>
      <c r="I1623" s="3"/>
      <c r="J1623" s="3"/>
      <c r="K1623" s="3"/>
      <c r="L1623" s="3"/>
      <c r="M1623" s="3"/>
      <c r="N1623" s="3"/>
      <c r="O1623" s="3"/>
      <c r="P1623" s="3"/>
      <c r="Q1623" s="3"/>
      <c r="R1623" s="3"/>
      <c r="S1623" s="3"/>
      <c r="T1623" s="3"/>
      <c r="U1623" s="3"/>
      <c r="V1623" s="3"/>
      <c r="W1623" s="3"/>
      <c r="X1623" s="3"/>
      <c r="Y1623" s="3"/>
      <c r="Z1623" s="3"/>
      <c r="AA1623" s="3"/>
    </row>
    <row r="1624">
      <c r="A1624" s="4"/>
      <c r="B1624" s="3"/>
      <c r="C1624" s="3"/>
      <c r="D1624" s="3"/>
      <c r="E1624" s="3"/>
      <c r="F1624" s="3"/>
      <c r="G1624" s="3"/>
      <c r="H1624" s="3"/>
      <c r="I1624" s="3"/>
      <c r="J1624" s="3"/>
      <c r="K1624" s="3"/>
      <c r="L1624" s="3"/>
      <c r="M1624" s="3"/>
      <c r="N1624" s="3"/>
      <c r="O1624" s="3"/>
      <c r="P1624" s="3"/>
      <c r="Q1624" s="3"/>
      <c r="R1624" s="3"/>
      <c r="S1624" s="3"/>
      <c r="T1624" s="3"/>
      <c r="U1624" s="3"/>
      <c r="V1624" s="3"/>
      <c r="W1624" s="3"/>
      <c r="X1624" s="3"/>
      <c r="Y1624" s="3"/>
      <c r="Z1624" s="3"/>
      <c r="AA1624" s="3"/>
    </row>
    <row r="1625">
      <c r="A1625" s="4"/>
      <c r="B1625" s="3"/>
      <c r="C1625" s="3"/>
      <c r="D1625" s="3"/>
      <c r="E1625" s="3"/>
      <c r="F1625" s="3"/>
      <c r="G1625" s="3"/>
      <c r="H1625" s="3"/>
      <c r="I1625" s="3"/>
      <c r="J1625" s="3"/>
      <c r="K1625" s="3"/>
      <c r="L1625" s="3"/>
      <c r="M1625" s="3"/>
      <c r="N1625" s="3"/>
      <c r="O1625" s="3"/>
      <c r="P1625" s="3"/>
      <c r="Q1625" s="3"/>
      <c r="R1625" s="3"/>
      <c r="S1625" s="3"/>
      <c r="T1625" s="3"/>
      <c r="U1625" s="3"/>
      <c r="V1625" s="3"/>
      <c r="W1625" s="3"/>
      <c r="X1625" s="3"/>
      <c r="Y1625" s="3"/>
      <c r="Z1625" s="3"/>
      <c r="AA1625" s="3"/>
    </row>
    <row r="1626">
      <c r="A1626" s="4"/>
      <c r="B1626" s="3"/>
      <c r="C1626" s="3"/>
      <c r="D1626" s="3"/>
      <c r="E1626" s="3"/>
      <c r="F1626" s="3"/>
      <c r="G1626" s="3"/>
      <c r="H1626" s="3"/>
      <c r="I1626" s="3"/>
      <c r="J1626" s="3"/>
      <c r="K1626" s="3"/>
      <c r="L1626" s="3"/>
      <c r="M1626" s="3"/>
      <c r="N1626" s="3"/>
      <c r="O1626" s="3"/>
      <c r="P1626" s="3"/>
      <c r="Q1626" s="3"/>
      <c r="R1626" s="3"/>
      <c r="S1626" s="3"/>
      <c r="T1626" s="3"/>
      <c r="U1626" s="3"/>
      <c r="V1626" s="3"/>
      <c r="W1626" s="3"/>
      <c r="X1626" s="3"/>
      <c r="Y1626" s="3"/>
      <c r="Z1626" s="3"/>
      <c r="AA1626" s="3"/>
    </row>
    <row r="1627">
      <c r="A1627" s="4"/>
      <c r="B1627" s="3"/>
      <c r="C1627" s="3"/>
      <c r="D1627" s="3"/>
      <c r="E1627" s="3"/>
      <c r="F1627" s="3"/>
      <c r="G1627" s="3"/>
      <c r="H1627" s="3"/>
      <c r="I1627" s="3"/>
      <c r="J1627" s="3"/>
      <c r="K1627" s="3"/>
      <c r="L1627" s="3"/>
      <c r="M1627" s="3"/>
      <c r="N1627" s="3"/>
      <c r="O1627" s="3"/>
      <c r="P1627" s="3"/>
      <c r="Q1627" s="3"/>
      <c r="R1627" s="3"/>
      <c r="S1627" s="3"/>
      <c r="T1627" s="3"/>
      <c r="U1627" s="3"/>
      <c r="V1627" s="3"/>
      <c r="W1627" s="3"/>
      <c r="X1627" s="3"/>
      <c r="Y1627" s="3"/>
      <c r="Z1627" s="3"/>
      <c r="AA1627" s="3"/>
    </row>
    <row r="1628">
      <c r="A1628" s="4"/>
      <c r="B1628" s="3"/>
      <c r="C1628" s="3"/>
      <c r="D1628" s="3"/>
      <c r="E1628" s="3"/>
      <c r="F1628" s="3"/>
      <c r="G1628" s="3"/>
      <c r="H1628" s="3"/>
      <c r="I1628" s="3"/>
      <c r="J1628" s="3"/>
      <c r="K1628" s="3"/>
      <c r="L1628" s="3"/>
      <c r="M1628" s="3"/>
      <c r="N1628" s="3"/>
      <c r="O1628" s="3"/>
      <c r="P1628" s="3"/>
      <c r="Q1628" s="3"/>
      <c r="R1628" s="3"/>
      <c r="S1628" s="3"/>
      <c r="T1628" s="3"/>
      <c r="U1628" s="3"/>
      <c r="V1628" s="3"/>
      <c r="W1628" s="3"/>
      <c r="X1628" s="3"/>
      <c r="Y1628" s="3"/>
      <c r="Z1628" s="3"/>
      <c r="AA1628" s="3"/>
    </row>
    <row r="1629">
      <c r="A1629" s="4"/>
      <c r="B1629" s="3"/>
      <c r="C1629" s="3"/>
      <c r="D1629" s="3"/>
      <c r="E1629" s="3"/>
      <c r="F1629" s="3"/>
      <c r="G1629" s="3"/>
      <c r="H1629" s="3"/>
      <c r="I1629" s="3"/>
      <c r="J1629" s="3"/>
      <c r="K1629" s="3"/>
      <c r="L1629" s="3"/>
      <c r="M1629" s="3"/>
      <c r="N1629" s="3"/>
      <c r="O1629" s="3"/>
      <c r="P1629" s="3"/>
      <c r="Q1629" s="3"/>
      <c r="R1629" s="3"/>
      <c r="S1629" s="3"/>
      <c r="T1629" s="3"/>
      <c r="U1629" s="3"/>
      <c r="V1629" s="3"/>
      <c r="W1629" s="3"/>
      <c r="X1629" s="3"/>
      <c r="Y1629" s="3"/>
      <c r="Z1629" s="3"/>
      <c r="AA1629" s="3"/>
    </row>
    <row r="1630">
      <c r="A1630" s="4"/>
      <c r="B1630" s="3"/>
      <c r="C1630" s="3"/>
      <c r="D1630" s="3"/>
      <c r="E1630" s="3"/>
      <c r="F1630" s="3"/>
      <c r="G1630" s="3"/>
      <c r="H1630" s="3"/>
      <c r="I1630" s="3"/>
      <c r="J1630" s="3"/>
      <c r="K1630" s="3"/>
      <c r="L1630" s="3"/>
      <c r="M1630" s="3"/>
      <c r="N1630" s="3"/>
      <c r="O1630" s="3"/>
      <c r="P1630" s="3"/>
      <c r="Q1630" s="3"/>
      <c r="R1630" s="3"/>
      <c r="S1630" s="3"/>
      <c r="T1630" s="3"/>
      <c r="U1630" s="3"/>
      <c r="V1630" s="3"/>
      <c r="W1630" s="3"/>
      <c r="X1630" s="3"/>
      <c r="Y1630" s="3"/>
      <c r="Z1630" s="3"/>
      <c r="AA1630" s="3"/>
    </row>
    <row r="1631">
      <c r="A1631" s="4"/>
      <c r="B1631" s="3"/>
      <c r="C1631" s="3"/>
      <c r="D1631" s="3"/>
      <c r="E1631" s="3"/>
      <c r="F1631" s="3"/>
      <c r="G1631" s="3"/>
      <c r="H1631" s="3"/>
      <c r="I1631" s="3"/>
      <c r="J1631" s="3"/>
      <c r="K1631" s="3"/>
      <c r="L1631" s="3"/>
      <c r="M1631" s="3"/>
      <c r="N1631" s="3"/>
      <c r="O1631" s="3"/>
      <c r="P1631" s="3"/>
      <c r="Q1631" s="3"/>
      <c r="R1631" s="3"/>
      <c r="S1631" s="3"/>
      <c r="T1631" s="3"/>
      <c r="U1631" s="3"/>
      <c r="V1631" s="3"/>
      <c r="W1631" s="3"/>
      <c r="X1631" s="3"/>
      <c r="Y1631" s="3"/>
      <c r="Z1631" s="3"/>
      <c r="AA1631" s="3"/>
    </row>
    <row r="1632">
      <c r="A1632" s="4"/>
      <c r="B1632" s="3"/>
      <c r="C1632" s="3"/>
      <c r="D1632" s="3"/>
      <c r="E1632" s="3"/>
      <c r="F1632" s="3"/>
      <c r="G1632" s="3"/>
      <c r="H1632" s="3"/>
      <c r="I1632" s="3"/>
      <c r="J1632" s="3"/>
      <c r="K1632" s="3"/>
      <c r="L1632" s="3"/>
      <c r="M1632" s="3"/>
      <c r="N1632" s="3"/>
      <c r="O1632" s="3"/>
      <c r="P1632" s="3"/>
      <c r="Q1632" s="3"/>
      <c r="R1632" s="3"/>
      <c r="S1632" s="3"/>
      <c r="T1632" s="3"/>
      <c r="U1632" s="3"/>
      <c r="V1632" s="3"/>
      <c r="W1632" s="3"/>
      <c r="X1632" s="3"/>
      <c r="Y1632" s="3"/>
      <c r="Z1632" s="3"/>
      <c r="AA1632" s="3"/>
    </row>
    <row r="1633">
      <c r="A1633" s="4"/>
      <c r="B1633" s="3"/>
      <c r="C1633" s="3"/>
      <c r="D1633" s="3"/>
      <c r="E1633" s="3"/>
      <c r="F1633" s="3"/>
      <c r="G1633" s="3"/>
      <c r="H1633" s="3"/>
      <c r="I1633" s="3"/>
      <c r="J1633" s="3"/>
      <c r="K1633" s="3"/>
      <c r="L1633" s="3"/>
      <c r="M1633" s="3"/>
      <c r="N1633" s="3"/>
      <c r="O1633" s="3"/>
      <c r="P1633" s="3"/>
      <c r="Q1633" s="3"/>
      <c r="R1633" s="3"/>
      <c r="S1633" s="3"/>
      <c r="T1633" s="3"/>
      <c r="U1633" s="3"/>
      <c r="V1633" s="3"/>
      <c r="W1633" s="3"/>
      <c r="X1633" s="3"/>
      <c r="Y1633" s="3"/>
      <c r="Z1633" s="3"/>
      <c r="AA1633" s="3"/>
    </row>
    <row r="1634">
      <c r="A1634" s="4"/>
      <c r="B1634" s="3"/>
      <c r="C1634" s="3"/>
      <c r="D1634" s="3"/>
      <c r="E1634" s="3"/>
      <c r="F1634" s="3"/>
      <c r="G1634" s="3"/>
      <c r="H1634" s="3"/>
      <c r="I1634" s="3"/>
      <c r="J1634" s="3"/>
      <c r="K1634" s="3"/>
      <c r="L1634" s="3"/>
      <c r="M1634" s="3"/>
      <c r="N1634" s="3"/>
      <c r="O1634" s="3"/>
      <c r="P1634" s="3"/>
      <c r="Q1634" s="3"/>
      <c r="R1634" s="3"/>
      <c r="S1634" s="3"/>
      <c r="T1634" s="3"/>
      <c r="U1634" s="3"/>
      <c r="V1634" s="3"/>
      <c r="W1634" s="3"/>
      <c r="X1634" s="3"/>
      <c r="Y1634" s="3"/>
      <c r="Z1634" s="3"/>
      <c r="AA1634" s="3"/>
    </row>
    <row r="1635">
      <c r="A1635" s="4"/>
      <c r="B1635" s="3"/>
      <c r="C1635" s="3"/>
      <c r="D1635" s="3"/>
      <c r="E1635" s="3"/>
      <c r="F1635" s="3"/>
      <c r="G1635" s="3"/>
      <c r="H1635" s="3"/>
      <c r="I1635" s="3"/>
      <c r="J1635" s="3"/>
      <c r="K1635" s="3"/>
      <c r="L1635" s="3"/>
      <c r="M1635" s="3"/>
      <c r="N1635" s="3"/>
      <c r="O1635" s="3"/>
      <c r="P1635" s="3"/>
      <c r="Q1635" s="3"/>
      <c r="R1635" s="3"/>
      <c r="S1635" s="3"/>
      <c r="T1635" s="3"/>
      <c r="U1635" s="3"/>
      <c r="V1635" s="3"/>
      <c r="W1635" s="3"/>
      <c r="X1635" s="3"/>
      <c r="Y1635" s="3"/>
      <c r="Z1635" s="3"/>
      <c r="AA1635" s="3"/>
    </row>
    <row r="1636">
      <c r="A1636" s="4"/>
      <c r="B1636" s="3"/>
      <c r="C1636" s="3"/>
      <c r="D1636" s="3"/>
      <c r="E1636" s="3"/>
      <c r="F1636" s="3"/>
      <c r="G1636" s="3"/>
      <c r="H1636" s="3"/>
      <c r="I1636" s="3"/>
      <c r="J1636" s="3"/>
      <c r="K1636" s="3"/>
      <c r="L1636" s="3"/>
      <c r="M1636" s="3"/>
      <c r="N1636" s="3"/>
      <c r="O1636" s="3"/>
      <c r="P1636" s="3"/>
      <c r="Q1636" s="3"/>
      <c r="R1636" s="3"/>
      <c r="S1636" s="3"/>
      <c r="T1636" s="3"/>
      <c r="U1636" s="3"/>
      <c r="V1636" s="3"/>
      <c r="W1636" s="3"/>
      <c r="X1636" s="3"/>
      <c r="Y1636" s="3"/>
      <c r="Z1636" s="3"/>
      <c r="AA1636" s="3"/>
    </row>
    <row r="1637">
      <c r="A1637" s="4"/>
      <c r="B1637" s="3"/>
      <c r="C1637" s="3"/>
      <c r="D1637" s="3"/>
      <c r="E1637" s="3"/>
      <c r="F1637" s="3"/>
      <c r="G1637" s="3"/>
      <c r="H1637" s="3"/>
      <c r="I1637" s="3"/>
      <c r="J1637" s="3"/>
      <c r="K1637" s="3"/>
      <c r="L1637" s="3"/>
      <c r="M1637" s="3"/>
      <c r="N1637" s="3"/>
      <c r="O1637" s="3"/>
      <c r="P1637" s="3"/>
      <c r="Q1637" s="3"/>
      <c r="R1637" s="3"/>
      <c r="S1637" s="3"/>
      <c r="T1637" s="3"/>
      <c r="U1637" s="3"/>
      <c r="V1637" s="3"/>
      <c r="W1637" s="3"/>
      <c r="X1637" s="3"/>
      <c r="Y1637" s="3"/>
      <c r="Z1637" s="3"/>
      <c r="AA1637" s="3"/>
    </row>
    <row r="1638">
      <c r="A1638" s="4"/>
      <c r="B1638" s="3"/>
      <c r="C1638" s="3"/>
      <c r="D1638" s="3"/>
      <c r="E1638" s="3"/>
      <c r="F1638" s="3"/>
      <c r="G1638" s="3"/>
      <c r="H1638" s="3"/>
      <c r="I1638" s="3"/>
      <c r="J1638" s="3"/>
      <c r="K1638" s="3"/>
      <c r="L1638" s="3"/>
      <c r="M1638" s="3"/>
      <c r="N1638" s="3"/>
      <c r="O1638" s="3"/>
      <c r="P1638" s="3"/>
      <c r="Q1638" s="3"/>
      <c r="R1638" s="3"/>
      <c r="S1638" s="3"/>
      <c r="T1638" s="3"/>
      <c r="U1638" s="3"/>
      <c r="V1638" s="3"/>
      <c r="W1638" s="3"/>
      <c r="X1638" s="3"/>
      <c r="Y1638" s="3"/>
      <c r="Z1638" s="3"/>
      <c r="AA1638" s="3"/>
    </row>
    <row r="1639">
      <c r="A1639" s="4"/>
      <c r="B1639" s="3"/>
      <c r="C1639" s="3"/>
      <c r="D1639" s="3"/>
      <c r="E1639" s="3"/>
      <c r="F1639" s="3"/>
      <c r="G1639" s="3"/>
      <c r="H1639" s="3"/>
      <c r="I1639" s="3"/>
      <c r="J1639" s="3"/>
      <c r="K1639" s="3"/>
      <c r="L1639" s="3"/>
      <c r="M1639" s="3"/>
      <c r="N1639" s="3"/>
      <c r="O1639" s="3"/>
      <c r="P1639" s="3"/>
      <c r="Q1639" s="3"/>
      <c r="R1639" s="3"/>
      <c r="S1639" s="3"/>
      <c r="T1639" s="3"/>
      <c r="U1639" s="3"/>
      <c r="V1639" s="3"/>
      <c r="W1639" s="3"/>
      <c r="X1639" s="3"/>
      <c r="Y1639" s="3"/>
      <c r="Z1639" s="3"/>
      <c r="AA1639" s="3"/>
    </row>
    <row r="1640">
      <c r="A1640" s="4"/>
      <c r="B1640" s="3"/>
      <c r="C1640" s="3"/>
      <c r="D1640" s="3"/>
      <c r="E1640" s="3"/>
      <c r="F1640" s="3"/>
      <c r="G1640" s="3"/>
      <c r="H1640" s="3"/>
      <c r="I1640" s="3"/>
      <c r="J1640" s="3"/>
      <c r="K1640" s="3"/>
      <c r="L1640" s="3"/>
      <c r="M1640" s="3"/>
      <c r="N1640" s="3"/>
      <c r="O1640" s="3"/>
      <c r="P1640" s="3"/>
      <c r="Q1640" s="3"/>
      <c r="R1640" s="3"/>
      <c r="S1640" s="3"/>
      <c r="T1640" s="3"/>
      <c r="U1640" s="3"/>
      <c r="V1640" s="3"/>
      <c r="W1640" s="3"/>
      <c r="X1640" s="3"/>
      <c r="Y1640" s="3"/>
      <c r="Z1640" s="3"/>
      <c r="AA1640" s="3"/>
    </row>
    <row r="1641">
      <c r="A1641" s="4"/>
      <c r="B1641" s="3"/>
      <c r="C1641" s="3"/>
      <c r="D1641" s="3"/>
      <c r="E1641" s="3"/>
      <c r="F1641" s="3"/>
      <c r="G1641" s="3"/>
      <c r="H1641" s="3"/>
      <c r="I1641" s="3"/>
      <c r="J1641" s="3"/>
      <c r="K1641" s="3"/>
      <c r="L1641" s="3"/>
      <c r="M1641" s="3"/>
      <c r="N1641" s="3"/>
      <c r="O1641" s="3"/>
      <c r="P1641" s="3"/>
      <c r="Q1641" s="3"/>
      <c r="R1641" s="3"/>
      <c r="S1641" s="3"/>
      <c r="T1641" s="3"/>
      <c r="U1641" s="3"/>
      <c r="V1641" s="3"/>
      <c r="W1641" s="3"/>
      <c r="X1641" s="3"/>
      <c r="Y1641" s="3"/>
      <c r="Z1641" s="3"/>
      <c r="AA1641" s="3"/>
    </row>
    <row r="1642">
      <c r="A1642" s="4"/>
      <c r="B1642" s="3"/>
      <c r="C1642" s="3"/>
      <c r="D1642" s="3"/>
      <c r="E1642" s="3"/>
      <c r="F1642" s="3"/>
      <c r="G1642" s="3"/>
      <c r="H1642" s="3"/>
      <c r="I1642" s="3"/>
      <c r="J1642" s="3"/>
      <c r="K1642" s="3"/>
      <c r="L1642" s="3"/>
      <c r="M1642" s="3"/>
      <c r="N1642" s="3"/>
      <c r="O1642" s="3"/>
      <c r="P1642" s="3"/>
      <c r="Q1642" s="3"/>
      <c r="R1642" s="3"/>
      <c r="S1642" s="3"/>
      <c r="T1642" s="3"/>
      <c r="U1642" s="3"/>
      <c r="V1642" s="3"/>
      <c r="W1642" s="3"/>
      <c r="X1642" s="3"/>
      <c r="Y1642" s="3"/>
      <c r="Z1642" s="3"/>
      <c r="AA1642" s="3"/>
    </row>
    <row r="1643">
      <c r="A1643" s="4"/>
      <c r="B1643" s="3"/>
      <c r="C1643" s="3"/>
      <c r="D1643" s="3"/>
      <c r="E1643" s="3"/>
      <c r="F1643" s="3"/>
      <c r="G1643" s="3"/>
      <c r="H1643" s="3"/>
      <c r="I1643" s="3"/>
      <c r="J1643" s="3"/>
      <c r="K1643" s="3"/>
      <c r="L1643" s="3"/>
      <c r="M1643" s="3"/>
      <c r="N1643" s="3"/>
      <c r="O1643" s="3"/>
      <c r="P1643" s="3"/>
      <c r="Q1643" s="3"/>
      <c r="R1643" s="3"/>
      <c r="S1643" s="3"/>
      <c r="T1643" s="3"/>
      <c r="U1643" s="3"/>
      <c r="V1643" s="3"/>
      <c r="W1643" s="3"/>
      <c r="X1643" s="3"/>
      <c r="Y1643" s="3"/>
      <c r="Z1643" s="3"/>
      <c r="AA1643" s="3"/>
    </row>
    <row r="1644">
      <c r="A1644" s="4"/>
      <c r="B1644" s="3"/>
      <c r="C1644" s="3"/>
      <c r="D1644" s="3"/>
      <c r="E1644" s="3"/>
      <c r="F1644" s="3"/>
      <c r="G1644" s="3"/>
      <c r="H1644" s="3"/>
      <c r="I1644" s="3"/>
      <c r="J1644" s="3"/>
      <c r="K1644" s="3"/>
      <c r="L1644" s="3"/>
      <c r="M1644" s="3"/>
      <c r="N1644" s="3"/>
      <c r="O1644" s="3"/>
      <c r="P1644" s="3"/>
      <c r="Q1644" s="3"/>
      <c r="R1644" s="3"/>
      <c r="S1644" s="3"/>
      <c r="T1644" s="3"/>
      <c r="U1644" s="3"/>
      <c r="V1644" s="3"/>
      <c r="W1644" s="3"/>
      <c r="X1644" s="3"/>
      <c r="Y1644" s="3"/>
      <c r="Z1644" s="3"/>
      <c r="AA1644" s="3"/>
    </row>
    <row r="1645">
      <c r="A1645" s="4"/>
      <c r="B1645" s="3"/>
      <c r="C1645" s="3"/>
      <c r="D1645" s="3"/>
      <c r="E1645" s="3"/>
      <c r="F1645" s="3"/>
      <c r="G1645" s="3"/>
      <c r="H1645" s="3"/>
      <c r="I1645" s="3"/>
      <c r="J1645" s="3"/>
      <c r="K1645" s="3"/>
      <c r="L1645" s="3"/>
      <c r="M1645" s="3"/>
      <c r="N1645" s="3"/>
      <c r="O1645" s="3"/>
      <c r="P1645" s="3"/>
      <c r="Q1645" s="3"/>
      <c r="R1645" s="3"/>
      <c r="S1645" s="3"/>
      <c r="T1645" s="3"/>
      <c r="U1645" s="3"/>
      <c r="V1645" s="3"/>
      <c r="W1645" s="3"/>
      <c r="X1645" s="3"/>
      <c r="Y1645" s="3"/>
      <c r="Z1645" s="3"/>
      <c r="AA1645" s="3"/>
    </row>
    <row r="1646">
      <c r="A1646" s="4"/>
      <c r="B1646" s="3"/>
      <c r="C1646" s="3"/>
      <c r="D1646" s="3"/>
      <c r="E1646" s="3"/>
      <c r="F1646" s="3"/>
      <c r="G1646" s="3"/>
      <c r="H1646" s="3"/>
      <c r="I1646" s="3"/>
      <c r="J1646" s="3"/>
      <c r="K1646" s="3"/>
      <c r="L1646" s="3"/>
      <c r="M1646" s="3"/>
      <c r="N1646" s="3"/>
      <c r="O1646" s="3"/>
      <c r="P1646" s="3"/>
      <c r="Q1646" s="3"/>
      <c r="R1646" s="3"/>
      <c r="S1646" s="3"/>
      <c r="T1646" s="3"/>
      <c r="U1646" s="3"/>
      <c r="V1646" s="3"/>
      <c r="W1646" s="3"/>
      <c r="X1646" s="3"/>
      <c r="Y1646" s="3"/>
      <c r="Z1646" s="3"/>
      <c r="AA1646" s="3"/>
    </row>
    <row r="1647">
      <c r="A1647" s="4"/>
      <c r="B1647" s="3"/>
      <c r="C1647" s="3"/>
      <c r="D1647" s="3"/>
      <c r="E1647" s="3"/>
      <c r="F1647" s="3"/>
      <c r="G1647" s="3"/>
      <c r="H1647" s="3"/>
      <c r="I1647" s="3"/>
      <c r="J1647" s="3"/>
      <c r="K1647" s="3"/>
      <c r="L1647" s="3"/>
      <c r="M1647" s="3"/>
      <c r="N1647" s="3"/>
      <c r="O1647" s="3"/>
      <c r="P1647" s="3"/>
      <c r="Q1647" s="3"/>
      <c r="R1647" s="3"/>
      <c r="S1647" s="3"/>
      <c r="T1647" s="3"/>
      <c r="U1647" s="3"/>
      <c r="V1647" s="3"/>
      <c r="W1647" s="3"/>
      <c r="X1647" s="3"/>
      <c r="Y1647" s="3"/>
      <c r="Z1647" s="3"/>
      <c r="AA1647" s="3"/>
    </row>
    <row r="1648">
      <c r="A1648" s="4"/>
      <c r="B1648" s="3"/>
      <c r="C1648" s="3"/>
      <c r="D1648" s="3"/>
      <c r="E1648" s="3"/>
      <c r="F1648" s="3"/>
      <c r="G1648" s="3"/>
      <c r="H1648" s="3"/>
      <c r="I1648" s="3"/>
      <c r="J1648" s="3"/>
      <c r="K1648" s="3"/>
      <c r="L1648" s="3"/>
      <c r="M1648" s="3"/>
      <c r="N1648" s="3"/>
      <c r="O1648" s="3"/>
      <c r="P1648" s="3"/>
      <c r="Q1648" s="3"/>
      <c r="R1648" s="3"/>
      <c r="S1648" s="3"/>
      <c r="T1648" s="3"/>
      <c r="U1648" s="3"/>
      <c r="V1648" s="3"/>
      <c r="W1648" s="3"/>
      <c r="X1648" s="3"/>
      <c r="Y1648" s="3"/>
      <c r="Z1648" s="3"/>
      <c r="AA1648" s="3"/>
    </row>
    <row r="1649">
      <c r="A1649" s="4"/>
      <c r="B1649" s="3"/>
      <c r="C1649" s="3"/>
      <c r="D1649" s="3"/>
      <c r="E1649" s="3"/>
      <c r="F1649" s="3"/>
      <c r="G1649" s="3"/>
      <c r="H1649" s="3"/>
      <c r="I1649" s="3"/>
      <c r="J1649" s="3"/>
      <c r="K1649" s="3"/>
      <c r="L1649" s="3"/>
      <c r="M1649" s="3"/>
      <c r="N1649" s="3"/>
      <c r="O1649" s="3"/>
      <c r="P1649" s="3"/>
      <c r="Q1649" s="3"/>
      <c r="R1649" s="3"/>
      <c r="S1649" s="3"/>
      <c r="T1649" s="3"/>
      <c r="U1649" s="3"/>
      <c r="V1649" s="3"/>
      <c r="W1649" s="3"/>
      <c r="X1649" s="3"/>
      <c r="Y1649" s="3"/>
      <c r="Z1649" s="3"/>
      <c r="AA1649" s="3"/>
    </row>
    <row r="1650">
      <c r="A1650" s="4"/>
      <c r="B1650" s="3"/>
      <c r="C1650" s="3"/>
      <c r="D1650" s="3"/>
      <c r="E1650" s="3"/>
      <c r="F1650" s="3"/>
      <c r="G1650" s="3"/>
      <c r="H1650" s="3"/>
      <c r="I1650" s="3"/>
      <c r="J1650" s="3"/>
      <c r="K1650" s="3"/>
      <c r="L1650" s="3"/>
      <c r="M1650" s="3"/>
      <c r="N1650" s="3"/>
      <c r="O1650" s="3"/>
      <c r="P1650" s="3"/>
      <c r="Q1650" s="3"/>
      <c r="R1650" s="3"/>
      <c r="S1650" s="3"/>
      <c r="T1650" s="3"/>
      <c r="U1650" s="3"/>
      <c r="V1650" s="3"/>
      <c r="W1650" s="3"/>
      <c r="X1650" s="3"/>
      <c r="Y1650" s="3"/>
      <c r="Z1650" s="3"/>
      <c r="AA1650" s="3"/>
    </row>
    <row r="1651">
      <c r="A1651" s="4"/>
      <c r="B1651" s="3"/>
      <c r="C1651" s="3"/>
      <c r="D1651" s="3"/>
      <c r="E1651" s="3"/>
      <c r="F1651" s="3"/>
      <c r="G1651" s="3"/>
      <c r="H1651" s="3"/>
      <c r="I1651" s="3"/>
      <c r="J1651" s="3"/>
      <c r="K1651" s="3"/>
      <c r="L1651" s="3"/>
      <c r="M1651" s="3"/>
      <c r="N1651" s="3"/>
      <c r="O1651" s="3"/>
      <c r="P1651" s="3"/>
      <c r="Q1651" s="3"/>
      <c r="R1651" s="3"/>
      <c r="S1651" s="3"/>
      <c r="T1651" s="3"/>
      <c r="U1651" s="3"/>
      <c r="V1651" s="3"/>
      <c r="W1651" s="3"/>
      <c r="X1651" s="3"/>
      <c r="Y1651" s="3"/>
      <c r="Z1651" s="3"/>
      <c r="AA1651" s="3"/>
    </row>
    <row r="1652">
      <c r="A1652" s="4"/>
      <c r="B1652" s="3"/>
      <c r="C1652" s="3"/>
      <c r="D1652" s="3"/>
      <c r="E1652" s="3"/>
      <c r="F1652" s="3"/>
      <c r="G1652" s="3"/>
      <c r="H1652" s="3"/>
      <c r="I1652" s="3"/>
      <c r="J1652" s="3"/>
      <c r="K1652" s="3"/>
      <c r="L1652" s="3"/>
      <c r="M1652" s="3"/>
      <c r="N1652" s="3"/>
      <c r="O1652" s="3"/>
      <c r="P1652" s="3"/>
      <c r="Q1652" s="3"/>
      <c r="R1652" s="3"/>
      <c r="S1652" s="3"/>
      <c r="T1652" s="3"/>
      <c r="U1652" s="3"/>
      <c r="V1652" s="3"/>
      <c r="W1652" s="3"/>
      <c r="X1652" s="3"/>
      <c r="Y1652" s="3"/>
      <c r="Z1652" s="3"/>
      <c r="AA1652" s="3"/>
    </row>
    <row r="1653">
      <c r="A1653" s="4"/>
      <c r="B1653" s="3"/>
      <c r="C1653" s="3"/>
      <c r="D1653" s="3"/>
      <c r="E1653" s="3"/>
      <c r="F1653" s="3"/>
      <c r="G1653" s="3"/>
      <c r="H1653" s="3"/>
      <c r="I1653" s="3"/>
      <c r="J1653" s="3"/>
      <c r="K1653" s="3"/>
      <c r="L1653" s="3"/>
      <c r="M1653" s="3"/>
      <c r="N1653" s="3"/>
      <c r="O1653" s="3"/>
      <c r="P1653" s="3"/>
      <c r="Q1653" s="3"/>
      <c r="R1653" s="3"/>
      <c r="S1653" s="3"/>
      <c r="T1653" s="3"/>
      <c r="U1653" s="3"/>
      <c r="V1653" s="3"/>
      <c r="W1653" s="3"/>
      <c r="X1653" s="3"/>
      <c r="Y1653" s="3"/>
      <c r="Z1653" s="3"/>
      <c r="AA1653" s="3"/>
    </row>
    <row r="1654">
      <c r="A1654" s="4"/>
      <c r="B1654" s="3"/>
      <c r="C1654" s="3"/>
      <c r="D1654" s="3"/>
      <c r="E1654" s="3"/>
      <c r="F1654" s="3"/>
      <c r="G1654" s="3"/>
      <c r="H1654" s="3"/>
      <c r="I1654" s="3"/>
      <c r="J1654" s="3"/>
      <c r="K1654" s="3"/>
      <c r="L1654" s="3"/>
      <c r="M1654" s="3"/>
      <c r="N1654" s="3"/>
      <c r="O1654" s="3"/>
      <c r="P1654" s="3"/>
      <c r="Q1654" s="3"/>
      <c r="R1654" s="3"/>
      <c r="S1654" s="3"/>
      <c r="T1654" s="3"/>
      <c r="U1654" s="3"/>
      <c r="V1654" s="3"/>
      <c r="W1654" s="3"/>
      <c r="X1654" s="3"/>
      <c r="Y1654" s="3"/>
      <c r="Z1654" s="3"/>
      <c r="AA1654" s="3"/>
    </row>
    <row r="1655">
      <c r="A1655" s="4"/>
      <c r="B1655" s="3"/>
      <c r="C1655" s="3"/>
      <c r="D1655" s="3"/>
      <c r="E1655" s="3"/>
      <c r="F1655" s="3"/>
      <c r="G1655" s="3"/>
      <c r="H1655" s="3"/>
      <c r="I1655" s="3"/>
      <c r="J1655" s="3"/>
      <c r="K1655" s="3"/>
      <c r="L1655" s="3"/>
      <c r="M1655" s="3"/>
      <c r="N1655" s="3"/>
      <c r="O1655" s="3"/>
      <c r="P1655" s="3"/>
      <c r="Q1655" s="3"/>
      <c r="R1655" s="3"/>
      <c r="S1655" s="3"/>
      <c r="T1655" s="3"/>
      <c r="U1655" s="3"/>
      <c r="V1655" s="3"/>
      <c r="W1655" s="3"/>
      <c r="X1655" s="3"/>
      <c r="Y1655" s="3"/>
      <c r="Z1655" s="3"/>
      <c r="AA1655" s="3"/>
    </row>
    <row r="1656">
      <c r="A1656" s="4"/>
      <c r="B1656" s="3"/>
      <c r="C1656" s="3"/>
      <c r="D1656" s="3"/>
      <c r="E1656" s="3"/>
      <c r="F1656" s="3"/>
      <c r="G1656" s="3"/>
      <c r="H1656" s="3"/>
      <c r="I1656" s="3"/>
      <c r="J1656" s="3"/>
      <c r="K1656" s="3"/>
      <c r="L1656" s="3"/>
      <c r="M1656" s="3"/>
      <c r="N1656" s="3"/>
      <c r="O1656" s="3"/>
      <c r="P1656" s="3"/>
      <c r="Q1656" s="3"/>
      <c r="R1656" s="3"/>
      <c r="S1656" s="3"/>
      <c r="T1656" s="3"/>
      <c r="U1656" s="3"/>
      <c r="V1656" s="3"/>
      <c r="W1656" s="3"/>
      <c r="X1656" s="3"/>
      <c r="Y1656" s="3"/>
      <c r="Z1656" s="3"/>
      <c r="AA1656" s="3"/>
    </row>
    <row r="1657">
      <c r="A1657" s="4"/>
      <c r="B1657" s="3"/>
      <c r="C1657" s="3"/>
      <c r="D1657" s="3"/>
      <c r="E1657" s="3"/>
      <c r="F1657" s="3"/>
      <c r="G1657" s="3"/>
      <c r="H1657" s="3"/>
      <c r="I1657" s="3"/>
      <c r="J1657" s="3"/>
      <c r="K1657" s="3"/>
      <c r="L1657" s="3"/>
      <c r="M1657" s="3"/>
      <c r="N1657" s="3"/>
      <c r="O1657" s="3"/>
      <c r="P1657" s="3"/>
      <c r="Q1657" s="3"/>
      <c r="R1657" s="3"/>
      <c r="S1657" s="3"/>
      <c r="T1657" s="3"/>
      <c r="U1657" s="3"/>
      <c r="V1657" s="3"/>
      <c r="W1657" s="3"/>
      <c r="X1657" s="3"/>
      <c r="Y1657" s="3"/>
      <c r="Z1657" s="3"/>
      <c r="AA1657" s="3"/>
    </row>
    <row r="1658">
      <c r="A1658" s="4"/>
      <c r="B1658" s="3"/>
      <c r="C1658" s="3"/>
      <c r="D1658" s="3"/>
      <c r="E1658" s="3"/>
      <c r="F1658" s="3"/>
      <c r="G1658" s="3"/>
      <c r="H1658" s="3"/>
      <c r="I1658" s="3"/>
      <c r="J1658" s="3"/>
      <c r="K1658" s="3"/>
      <c r="L1658" s="3"/>
      <c r="M1658" s="3"/>
      <c r="N1658" s="3"/>
      <c r="O1658" s="3"/>
      <c r="P1658" s="3"/>
      <c r="Q1658" s="3"/>
      <c r="R1658" s="3"/>
      <c r="S1658" s="3"/>
      <c r="T1658" s="3"/>
      <c r="U1658" s="3"/>
      <c r="V1658" s="3"/>
      <c r="W1658" s="3"/>
      <c r="X1658" s="3"/>
      <c r="Y1658" s="3"/>
      <c r="Z1658" s="3"/>
      <c r="AA1658" s="3"/>
    </row>
    <row r="1659">
      <c r="A1659" s="4"/>
      <c r="B1659" s="3"/>
      <c r="C1659" s="3"/>
      <c r="D1659" s="3"/>
      <c r="E1659" s="3"/>
      <c r="F1659" s="3"/>
      <c r="G1659" s="3"/>
      <c r="H1659" s="3"/>
      <c r="I1659" s="3"/>
      <c r="J1659" s="3"/>
      <c r="K1659" s="3"/>
      <c r="L1659" s="3"/>
      <c r="M1659" s="3"/>
      <c r="N1659" s="3"/>
      <c r="O1659" s="3"/>
      <c r="P1659" s="3"/>
      <c r="Q1659" s="3"/>
      <c r="R1659" s="3"/>
      <c r="S1659" s="3"/>
      <c r="T1659" s="3"/>
      <c r="U1659" s="3"/>
      <c r="V1659" s="3"/>
      <c r="W1659" s="3"/>
      <c r="X1659" s="3"/>
      <c r="Y1659" s="3"/>
      <c r="Z1659" s="3"/>
      <c r="AA1659" s="3"/>
    </row>
    <row r="1660">
      <c r="A1660" s="4"/>
      <c r="B1660" s="3"/>
      <c r="C1660" s="3"/>
      <c r="D1660" s="3"/>
      <c r="E1660" s="3"/>
      <c r="F1660" s="3"/>
      <c r="G1660" s="3"/>
      <c r="H1660" s="3"/>
      <c r="I1660" s="3"/>
      <c r="J1660" s="3"/>
      <c r="K1660" s="3"/>
      <c r="L1660" s="3"/>
      <c r="M1660" s="3"/>
      <c r="N1660" s="3"/>
      <c r="O1660" s="3"/>
      <c r="P1660" s="3"/>
      <c r="Q1660" s="3"/>
      <c r="R1660" s="3"/>
      <c r="S1660" s="3"/>
      <c r="T1660" s="3"/>
      <c r="U1660" s="3"/>
      <c r="V1660" s="3"/>
      <c r="W1660" s="3"/>
      <c r="X1660" s="3"/>
      <c r="Y1660" s="3"/>
      <c r="Z1660" s="3"/>
      <c r="AA1660" s="3"/>
    </row>
    <row r="1661">
      <c r="A1661" s="4"/>
      <c r="B1661" s="3"/>
      <c r="C1661" s="3"/>
      <c r="D1661" s="3"/>
      <c r="E1661" s="3"/>
      <c r="F1661" s="3"/>
      <c r="G1661" s="3"/>
      <c r="H1661" s="3"/>
      <c r="I1661" s="3"/>
      <c r="J1661" s="3"/>
      <c r="K1661" s="3"/>
      <c r="L1661" s="3"/>
      <c r="M1661" s="3"/>
      <c r="N1661" s="3"/>
      <c r="O1661" s="3"/>
      <c r="P1661" s="3"/>
      <c r="Q1661" s="3"/>
      <c r="R1661" s="3"/>
      <c r="S1661" s="3"/>
      <c r="T1661" s="3"/>
      <c r="U1661" s="3"/>
      <c r="V1661" s="3"/>
      <c r="W1661" s="3"/>
      <c r="X1661" s="3"/>
      <c r="Y1661" s="3"/>
      <c r="Z1661" s="3"/>
      <c r="AA1661" s="3"/>
    </row>
    <row r="1662">
      <c r="A1662" s="4"/>
      <c r="B1662" s="3"/>
      <c r="C1662" s="3"/>
      <c r="D1662" s="3"/>
      <c r="E1662" s="3"/>
      <c r="F1662" s="3"/>
      <c r="G1662" s="3"/>
      <c r="H1662" s="3"/>
      <c r="I1662" s="3"/>
      <c r="J1662" s="3"/>
      <c r="K1662" s="3"/>
      <c r="L1662" s="3"/>
      <c r="M1662" s="3"/>
      <c r="N1662" s="3"/>
      <c r="O1662" s="3"/>
      <c r="P1662" s="3"/>
      <c r="Q1662" s="3"/>
      <c r="R1662" s="3"/>
      <c r="S1662" s="3"/>
      <c r="T1662" s="3"/>
      <c r="U1662" s="3"/>
      <c r="V1662" s="3"/>
      <c r="W1662" s="3"/>
      <c r="X1662" s="3"/>
      <c r="Y1662" s="3"/>
      <c r="Z1662" s="3"/>
      <c r="AA1662" s="3"/>
    </row>
    <row r="1663">
      <c r="A1663" s="4"/>
      <c r="B1663" s="3"/>
      <c r="C1663" s="3"/>
      <c r="D1663" s="3"/>
      <c r="E1663" s="3"/>
      <c r="F1663" s="3"/>
      <c r="G1663" s="3"/>
      <c r="H1663" s="3"/>
      <c r="I1663" s="3"/>
      <c r="J1663" s="3"/>
      <c r="K1663" s="3"/>
      <c r="L1663" s="3"/>
      <c r="M1663" s="3"/>
      <c r="N1663" s="3"/>
      <c r="O1663" s="3"/>
      <c r="P1663" s="3"/>
      <c r="Q1663" s="3"/>
      <c r="R1663" s="3"/>
      <c r="S1663" s="3"/>
      <c r="T1663" s="3"/>
      <c r="U1663" s="3"/>
      <c r="V1663" s="3"/>
      <c r="W1663" s="3"/>
      <c r="X1663" s="3"/>
      <c r="Y1663" s="3"/>
      <c r="Z1663" s="3"/>
      <c r="AA1663" s="3"/>
    </row>
    <row r="1664">
      <c r="A1664" s="4"/>
      <c r="B1664" s="3"/>
      <c r="C1664" s="3"/>
      <c r="D1664" s="3"/>
      <c r="E1664" s="3"/>
      <c r="F1664" s="3"/>
      <c r="G1664" s="3"/>
      <c r="H1664" s="3"/>
      <c r="I1664" s="3"/>
      <c r="J1664" s="3"/>
      <c r="K1664" s="3"/>
      <c r="L1664" s="3"/>
      <c r="M1664" s="3"/>
      <c r="N1664" s="3"/>
      <c r="O1664" s="3"/>
      <c r="P1664" s="3"/>
      <c r="Q1664" s="3"/>
      <c r="R1664" s="3"/>
      <c r="S1664" s="3"/>
      <c r="T1664" s="3"/>
      <c r="U1664" s="3"/>
      <c r="V1664" s="3"/>
      <c r="W1664" s="3"/>
      <c r="X1664" s="3"/>
      <c r="Y1664" s="3"/>
      <c r="Z1664" s="3"/>
      <c r="AA1664" s="3"/>
    </row>
    <row r="1665">
      <c r="A1665" s="4"/>
      <c r="B1665" s="3"/>
      <c r="C1665" s="3"/>
      <c r="D1665" s="3"/>
      <c r="E1665" s="3"/>
      <c r="F1665" s="3"/>
      <c r="G1665" s="3"/>
      <c r="H1665" s="3"/>
      <c r="I1665" s="3"/>
      <c r="J1665" s="3"/>
      <c r="K1665" s="3"/>
      <c r="L1665" s="3"/>
      <c r="M1665" s="3"/>
      <c r="N1665" s="3"/>
      <c r="O1665" s="3"/>
      <c r="P1665" s="3"/>
      <c r="Q1665" s="3"/>
      <c r="R1665" s="3"/>
      <c r="S1665" s="3"/>
      <c r="T1665" s="3"/>
      <c r="U1665" s="3"/>
      <c r="V1665" s="3"/>
      <c r="W1665" s="3"/>
      <c r="X1665" s="3"/>
      <c r="Y1665" s="3"/>
      <c r="Z1665" s="3"/>
      <c r="AA1665" s="3"/>
    </row>
    <row r="1666">
      <c r="A1666" s="4"/>
      <c r="B1666" s="3"/>
      <c r="C1666" s="3"/>
      <c r="D1666" s="3"/>
      <c r="E1666" s="3"/>
      <c r="F1666" s="3"/>
      <c r="G1666" s="3"/>
      <c r="H1666" s="3"/>
      <c r="I1666" s="3"/>
      <c r="J1666" s="3"/>
      <c r="K1666" s="3"/>
      <c r="L1666" s="3"/>
      <c r="M1666" s="3"/>
      <c r="N1666" s="3"/>
      <c r="O1666" s="3"/>
      <c r="P1666" s="3"/>
      <c r="Q1666" s="3"/>
      <c r="R1666" s="3"/>
      <c r="S1666" s="3"/>
      <c r="T1666" s="3"/>
      <c r="U1666" s="3"/>
      <c r="V1666" s="3"/>
      <c r="W1666" s="3"/>
      <c r="X1666" s="3"/>
      <c r="Y1666" s="3"/>
      <c r="Z1666" s="3"/>
      <c r="AA1666" s="3"/>
    </row>
    <row r="1667">
      <c r="A1667" s="4"/>
      <c r="B1667" s="3"/>
      <c r="C1667" s="3"/>
      <c r="D1667" s="3"/>
      <c r="E1667" s="3"/>
      <c r="F1667" s="3"/>
      <c r="G1667" s="3"/>
      <c r="H1667" s="3"/>
      <c r="I1667" s="3"/>
      <c r="J1667" s="3"/>
      <c r="K1667" s="3"/>
      <c r="L1667" s="3"/>
      <c r="M1667" s="3"/>
      <c r="N1667" s="3"/>
      <c r="O1667" s="3"/>
      <c r="P1667" s="3"/>
      <c r="Q1667" s="3"/>
      <c r="R1667" s="3"/>
      <c r="S1667" s="3"/>
      <c r="T1667" s="3"/>
      <c r="U1667" s="3"/>
      <c r="V1667" s="3"/>
      <c r="W1667" s="3"/>
      <c r="X1667" s="3"/>
      <c r="Y1667" s="3"/>
      <c r="Z1667" s="3"/>
      <c r="AA1667" s="3"/>
    </row>
    <row r="1668">
      <c r="A1668" s="4"/>
      <c r="B1668" s="3"/>
      <c r="C1668" s="3"/>
      <c r="D1668" s="3"/>
      <c r="E1668" s="3"/>
      <c r="F1668" s="3"/>
      <c r="G1668" s="3"/>
      <c r="H1668" s="3"/>
      <c r="I1668" s="3"/>
      <c r="J1668" s="3"/>
      <c r="K1668" s="3"/>
      <c r="L1668" s="3"/>
      <c r="M1668" s="3"/>
      <c r="N1668" s="3"/>
      <c r="O1668" s="3"/>
      <c r="P1668" s="3"/>
      <c r="Q1668" s="3"/>
      <c r="R1668" s="3"/>
      <c r="S1668" s="3"/>
      <c r="T1668" s="3"/>
      <c r="U1668" s="3"/>
      <c r="V1668" s="3"/>
      <c r="W1668" s="3"/>
      <c r="X1668" s="3"/>
      <c r="Y1668" s="3"/>
      <c r="Z1668" s="3"/>
      <c r="AA1668" s="3"/>
    </row>
    <row r="1669">
      <c r="A1669" s="4"/>
      <c r="B1669" s="3"/>
      <c r="C1669" s="3"/>
      <c r="D1669" s="3"/>
      <c r="E1669" s="3"/>
      <c r="F1669" s="3"/>
      <c r="G1669" s="3"/>
      <c r="H1669" s="3"/>
      <c r="I1669" s="3"/>
      <c r="J1669" s="3"/>
      <c r="K1669" s="3"/>
      <c r="L1669" s="3"/>
      <c r="M1669" s="3"/>
      <c r="N1669" s="3"/>
      <c r="O1669" s="3"/>
      <c r="P1669" s="3"/>
      <c r="Q1669" s="3"/>
      <c r="R1669" s="3"/>
      <c r="S1669" s="3"/>
      <c r="T1669" s="3"/>
      <c r="U1669" s="3"/>
      <c r="V1669" s="3"/>
      <c r="W1669" s="3"/>
      <c r="X1669" s="3"/>
      <c r="Y1669" s="3"/>
      <c r="Z1669" s="3"/>
      <c r="AA1669" s="3"/>
    </row>
    <row r="1670">
      <c r="A1670" s="4"/>
      <c r="B1670" s="3"/>
      <c r="C1670" s="3"/>
      <c r="D1670" s="3"/>
      <c r="E1670" s="3"/>
      <c r="F1670" s="3"/>
      <c r="G1670" s="3"/>
      <c r="H1670" s="3"/>
      <c r="I1670" s="3"/>
      <c r="J1670" s="3"/>
      <c r="K1670" s="3"/>
      <c r="L1670" s="3"/>
      <c r="M1670" s="3"/>
      <c r="N1670" s="3"/>
      <c r="O1670" s="3"/>
      <c r="P1670" s="3"/>
      <c r="Q1670" s="3"/>
      <c r="R1670" s="3"/>
      <c r="S1670" s="3"/>
      <c r="T1670" s="3"/>
      <c r="U1670" s="3"/>
      <c r="V1670" s="3"/>
      <c r="W1670" s="3"/>
      <c r="X1670" s="3"/>
      <c r="Y1670" s="3"/>
      <c r="Z1670" s="3"/>
      <c r="AA1670" s="3"/>
    </row>
    <row r="1671">
      <c r="A1671" s="4"/>
      <c r="B1671" s="3"/>
      <c r="C1671" s="3"/>
      <c r="D1671" s="3"/>
      <c r="E1671" s="3"/>
      <c r="F1671" s="3"/>
      <c r="G1671" s="3"/>
      <c r="H1671" s="3"/>
      <c r="I1671" s="3"/>
      <c r="J1671" s="3"/>
      <c r="K1671" s="3"/>
      <c r="L1671" s="3"/>
      <c r="M1671" s="3"/>
      <c r="N1671" s="3"/>
      <c r="O1671" s="3"/>
      <c r="P1671" s="3"/>
      <c r="Q1671" s="3"/>
      <c r="R1671" s="3"/>
      <c r="S1671" s="3"/>
      <c r="T1671" s="3"/>
      <c r="U1671" s="3"/>
      <c r="V1671" s="3"/>
      <c r="W1671" s="3"/>
      <c r="X1671" s="3"/>
      <c r="Y1671" s="3"/>
      <c r="Z1671" s="3"/>
      <c r="AA1671" s="3"/>
    </row>
    <row r="1672">
      <c r="A1672" s="4"/>
      <c r="B1672" s="3"/>
      <c r="C1672" s="3"/>
      <c r="D1672" s="3"/>
      <c r="E1672" s="3"/>
      <c r="F1672" s="3"/>
      <c r="G1672" s="3"/>
      <c r="H1672" s="3"/>
      <c r="I1672" s="3"/>
      <c r="J1672" s="3"/>
      <c r="K1672" s="3"/>
      <c r="L1672" s="3"/>
      <c r="M1672" s="3"/>
      <c r="N1672" s="3"/>
      <c r="O1672" s="3"/>
      <c r="P1672" s="3"/>
      <c r="Q1672" s="3"/>
      <c r="R1672" s="3"/>
      <c r="S1672" s="3"/>
      <c r="T1672" s="3"/>
      <c r="U1672" s="3"/>
      <c r="V1672" s="3"/>
      <c r="W1672" s="3"/>
      <c r="X1672" s="3"/>
      <c r="Y1672" s="3"/>
      <c r="Z1672" s="3"/>
      <c r="AA1672" s="3"/>
    </row>
    <row r="1673">
      <c r="A1673" s="4"/>
      <c r="B1673" s="3"/>
      <c r="C1673" s="3"/>
      <c r="D1673" s="3"/>
      <c r="E1673" s="3"/>
      <c r="F1673" s="3"/>
      <c r="G1673" s="3"/>
      <c r="H1673" s="3"/>
      <c r="I1673" s="3"/>
      <c r="J1673" s="3"/>
      <c r="K1673" s="3"/>
      <c r="L1673" s="3"/>
      <c r="M1673" s="3"/>
      <c r="N1673" s="3"/>
      <c r="O1673" s="3"/>
      <c r="P1673" s="3"/>
      <c r="Q1673" s="3"/>
      <c r="R1673" s="3"/>
      <c r="S1673" s="3"/>
      <c r="T1673" s="3"/>
      <c r="U1673" s="3"/>
      <c r="V1673" s="3"/>
      <c r="W1673" s="3"/>
      <c r="X1673" s="3"/>
      <c r="Y1673" s="3"/>
      <c r="Z1673" s="3"/>
      <c r="AA1673" s="3"/>
    </row>
    <row r="1674">
      <c r="A1674" s="4"/>
      <c r="B1674" s="3"/>
      <c r="C1674" s="3"/>
      <c r="D1674" s="3"/>
      <c r="E1674" s="3"/>
      <c r="F1674" s="3"/>
      <c r="G1674" s="3"/>
      <c r="H1674" s="3"/>
      <c r="I1674" s="3"/>
      <c r="J1674" s="3"/>
      <c r="K1674" s="3"/>
      <c r="L1674" s="3"/>
      <c r="M1674" s="3"/>
      <c r="N1674" s="3"/>
      <c r="O1674" s="3"/>
      <c r="P1674" s="3"/>
      <c r="Q1674" s="3"/>
      <c r="R1674" s="3"/>
      <c r="S1674" s="3"/>
      <c r="T1674" s="3"/>
      <c r="U1674" s="3"/>
      <c r="V1674" s="3"/>
      <c r="W1674" s="3"/>
      <c r="X1674" s="3"/>
      <c r="Y1674" s="3"/>
      <c r="Z1674" s="3"/>
      <c r="AA1674" s="3"/>
    </row>
    <row r="1675">
      <c r="A1675" s="4"/>
      <c r="B1675" s="3"/>
      <c r="C1675" s="3"/>
      <c r="D1675" s="3"/>
      <c r="E1675" s="3"/>
      <c r="F1675" s="3"/>
      <c r="G1675" s="3"/>
      <c r="H1675" s="3"/>
      <c r="I1675" s="3"/>
      <c r="J1675" s="3"/>
      <c r="K1675" s="3"/>
      <c r="L1675" s="3"/>
      <c r="M1675" s="3"/>
      <c r="N1675" s="3"/>
      <c r="O1675" s="3"/>
      <c r="P1675" s="3"/>
      <c r="Q1675" s="3"/>
      <c r="R1675" s="3"/>
      <c r="S1675" s="3"/>
      <c r="T1675" s="3"/>
      <c r="U1675" s="3"/>
      <c r="V1675" s="3"/>
      <c r="W1675" s="3"/>
      <c r="X1675" s="3"/>
      <c r="Y1675" s="3"/>
      <c r="Z1675" s="3"/>
      <c r="AA1675" s="3"/>
    </row>
    <row r="1676">
      <c r="A1676" s="4"/>
      <c r="B1676" s="3"/>
      <c r="C1676" s="3"/>
      <c r="D1676" s="3"/>
      <c r="E1676" s="3"/>
      <c r="F1676" s="3"/>
      <c r="G1676" s="3"/>
      <c r="H1676" s="3"/>
      <c r="I1676" s="3"/>
      <c r="J1676" s="3"/>
      <c r="K1676" s="3"/>
      <c r="L1676" s="3"/>
      <c r="M1676" s="3"/>
      <c r="N1676" s="3"/>
      <c r="O1676" s="3"/>
      <c r="P1676" s="3"/>
      <c r="Q1676" s="3"/>
      <c r="R1676" s="3"/>
      <c r="S1676" s="3"/>
      <c r="T1676" s="3"/>
      <c r="U1676" s="3"/>
      <c r="V1676" s="3"/>
      <c r="W1676" s="3"/>
      <c r="X1676" s="3"/>
      <c r="Y1676" s="3"/>
      <c r="Z1676" s="3"/>
      <c r="AA1676" s="3"/>
    </row>
    <row r="1677">
      <c r="A1677" s="4"/>
      <c r="B1677" s="3"/>
      <c r="C1677" s="3"/>
      <c r="D1677" s="3"/>
      <c r="E1677" s="3"/>
      <c r="F1677" s="3"/>
      <c r="G1677" s="3"/>
      <c r="H1677" s="3"/>
      <c r="I1677" s="3"/>
      <c r="J1677" s="3"/>
      <c r="K1677" s="3"/>
      <c r="L1677" s="3"/>
      <c r="M1677" s="3"/>
      <c r="N1677" s="3"/>
      <c r="O1677" s="3"/>
      <c r="P1677" s="3"/>
      <c r="Q1677" s="3"/>
      <c r="R1677" s="3"/>
      <c r="S1677" s="3"/>
      <c r="T1677" s="3"/>
      <c r="U1677" s="3"/>
      <c r="V1677" s="3"/>
      <c r="W1677" s="3"/>
      <c r="X1677" s="3"/>
      <c r="Y1677" s="3"/>
      <c r="Z1677" s="3"/>
      <c r="AA1677" s="3"/>
    </row>
    <row r="1678">
      <c r="A1678" s="4"/>
      <c r="B1678" s="3"/>
      <c r="C1678" s="3"/>
      <c r="D1678" s="3"/>
      <c r="E1678" s="3"/>
      <c r="F1678" s="3"/>
      <c r="G1678" s="3"/>
      <c r="H1678" s="3"/>
      <c r="I1678" s="3"/>
      <c r="J1678" s="3"/>
      <c r="K1678" s="3"/>
      <c r="L1678" s="3"/>
      <c r="M1678" s="3"/>
      <c r="N1678" s="3"/>
      <c r="O1678" s="3"/>
      <c r="P1678" s="3"/>
      <c r="Q1678" s="3"/>
      <c r="R1678" s="3"/>
      <c r="S1678" s="3"/>
      <c r="T1678" s="3"/>
      <c r="U1678" s="3"/>
      <c r="V1678" s="3"/>
      <c r="W1678" s="3"/>
      <c r="X1678" s="3"/>
      <c r="Y1678" s="3"/>
      <c r="Z1678" s="3"/>
      <c r="AA1678" s="3"/>
    </row>
    <row r="1679">
      <c r="A1679" s="4"/>
      <c r="B1679" s="3"/>
      <c r="C1679" s="3"/>
      <c r="D1679" s="3"/>
      <c r="E1679" s="3"/>
      <c r="F1679" s="3"/>
      <c r="G1679" s="3"/>
      <c r="H1679" s="3"/>
      <c r="I1679" s="3"/>
      <c r="J1679" s="3"/>
      <c r="K1679" s="3"/>
      <c r="L1679" s="3"/>
      <c r="M1679" s="3"/>
      <c r="N1679" s="3"/>
      <c r="O1679" s="3"/>
      <c r="P1679" s="3"/>
      <c r="Q1679" s="3"/>
      <c r="R1679" s="3"/>
      <c r="S1679" s="3"/>
      <c r="T1679" s="3"/>
      <c r="U1679" s="3"/>
      <c r="V1679" s="3"/>
      <c r="W1679" s="3"/>
      <c r="X1679" s="3"/>
      <c r="Y1679" s="3"/>
      <c r="Z1679" s="3"/>
      <c r="AA1679" s="3"/>
    </row>
    <row r="1680">
      <c r="A1680" s="4"/>
      <c r="B1680" s="3"/>
      <c r="C1680" s="3"/>
      <c r="D1680" s="3"/>
      <c r="E1680" s="3"/>
      <c r="F1680" s="3"/>
      <c r="G1680" s="3"/>
      <c r="H1680" s="3"/>
      <c r="I1680" s="3"/>
      <c r="J1680" s="3"/>
      <c r="K1680" s="3"/>
      <c r="L1680" s="3"/>
      <c r="M1680" s="3"/>
      <c r="N1680" s="3"/>
      <c r="O1680" s="3"/>
      <c r="P1680" s="3"/>
      <c r="Q1680" s="3"/>
      <c r="R1680" s="3"/>
      <c r="S1680" s="3"/>
      <c r="T1680" s="3"/>
      <c r="U1680" s="3"/>
      <c r="V1680" s="3"/>
      <c r="W1680" s="3"/>
      <c r="X1680" s="3"/>
      <c r="Y1680" s="3"/>
      <c r="Z1680" s="3"/>
      <c r="AA1680" s="3"/>
    </row>
    <row r="1681">
      <c r="A1681" s="4"/>
      <c r="B1681" s="3"/>
      <c r="C1681" s="3"/>
      <c r="D1681" s="3"/>
      <c r="E1681" s="3"/>
      <c r="F1681" s="3"/>
      <c r="G1681" s="3"/>
      <c r="H1681" s="3"/>
      <c r="I1681" s="3"/>
      <c r="J1681" s="3"/>
      <c r="K1681" s="3"/>
      <c r="L1681" s="3"/>
      <c r="M1681" s="3"/>
      <c r="N1681" s="3"/>
      <c r="O1681" s="3"/>
      <c r="P1681" s="3"/>
      <c r="Q1681" s="3"/>
      <c r="R1681" s="3"/>
      <c r="S1681" s="3"/>
      <c r="T1681" s="3"/>
      <c r="U1681" s="3"/>
      <c r="V1681" s="3"/>
      <c r="W1681" s="3"/>
      <c r="X1681" s="3"/>
      <c r="Y1681" s="3"/>
      <c r="Z1681" s="3"/>
      <c r="AA1681" s="3"/>
    </row>
    <row r="1682">
      <c r="A1682" s="4"/>
      <c r="B1682" s="3"/>
      <c r="C1682" s="3"/>
      <c r="D1682" s="3"/>
      <c r="E1682" s="3"/>
      <c r="F1682" s="3"/>
      <c r="G1682" s="3"/>
      <c r="H1682" s="3"/>
      <c r="I1682" s="3"/>
      <c r="J1682" s="3"/>
      <c r="K1682" s="3"/>
      <c r="L1682" s="3"/>
      <c r="M1682" s="3"/>
      <c r="N1682" s="3"/>
      <c r="O1682" s="3"/>
      <c r="P1682" s="3"/>
      <c r="Q1682" s="3"/>
      <c r="R1682" s="3"/>
      <c r="S1682" s="3"/>
      <c r="T1682" s="3"/>
      <c r="U1682" s="3"/>
      <c r="V1682" s="3"/>
      <c r="W1682" s="3"/>
      <c r="X1682" s="3"/>
      <c r="Y1682" s="3"/>
      <c r="Z1682" s="3"/>
      <c r="AA1682" s="3"/>
    </row>
    <row r="1683">
      <c r="A1683" s="4"/>
      <c r="B1683" s="3"/>
      <c r="C1683" s="3"/>
      <c r="D1683" s="3"/>
      <c r="E1683" s="3"/>
      <c r="F1683" s="3"/>
      <c r="G1683" s="3"/>
      <c r="H1683" s="3"/>
      <c r="I1683" s="3"/>
      <c r="J1683" s="3"/>
      <c r="K1683" s="3"/>
      <c r="L1683" s="3"/>
      <c r="M1683" s="3"/>
      <c r="N1683" s="3"/>
      <c r="O1683" s="3"/>
      <c r="P1683" s="3"/>
      <c r="Q1683" s="3"/>
      <c r="R1683" s="3"/>
      <c r="S1683" s="3"/>
      <c r="T1683" s="3"/>
      <c r="U1683" s="3"/>
      <c r="V1683" s="3"/>
      <c r="W1683" s="3"/>
      <c r="X1683" s="3"/>
      <c r="Y1683" s="3"/>
      <c r="Z1683" s="3"/>
      <c r="AA1683" s="3"/>
    </row>
    <row r="1684">
      <c r="A1684" s="4"/>
      <c r="B1684" s="3"/>
      <c r="C1684" s="3"/>
      <c r="D1684" s="3"/>
      <c r="E1684" s="3"/>
      <c r="F1684" s="3"/>
      <c r="G1684" s="3"/>
      <c r="H1684" s="3"/>
      <c r="I1684" s="3"/>
      <c r="J1684" s="3"/>
      <c r="K1684" s="3"/>
      <c r="L1684" s="3"/>
      <c r="M1684" s="3"/>
      <c r="N1684" s="3"/>
      <c r="O1684" s="3"/>
      <c r="P1684" s="3"/>
      <c r="Q1684" s="3"/>
      <c r="R1684" s="3"/>
      <c r="S1684" s="3"/>
      <c r="T1684" s="3"/>
      <c r="U1684" s="3"/>
      <c r="V1684" s="3"/>
      <c r="W1684" s="3"/>
      <c r="X1684" s="3"/>
      <c r="Y1684" s="3"/>
      <c r="Z1684" s="3"/>
      <c r="AA1684" s="3"/>
    </row>
    <row r="1685">
      <c r="A1685" s="4"/>
      <c r="B1685" s="3"/>
      <c r="C1685" s="3"/>
      <c r="D1685" s="3"/>
      <c r="E1685" s="3"/>
      <c r="F1685" s="3"/>
      <c r="G1685" s="3"/>
      <c r="H1685" s="3"/>
      <c r="I1685" s="3"/>
      <c r="J1685" s="3"/>
      <c r="K1685" s="3"/>
      <c r="L1685" s="3"/>
      <c r="M1685" s="3"/>
      <c r="N1685" s="3"/>
      <c r="O1685" s="3"/>
      <c r="P1685" s="3"/>
      <c r="Q1685" s="3"/>
      <c r="R1685" s="3"/>
      <c r="S1685" s="3"/>
      <c r="T1685" s="3"/>
      <c r="U1685" s="3"/>
      <c r="V1685" s="3"/>
      <c r="W1685" s="3"/>
      <c r="X1685" s="3"/>
      <c r="Y1685" s="3"/>
      <c r="Z1685" s="3"/>
      <c r="AA1685" s="3"/>
    </row>
    <row r="1686">
      <c r="A1686" s="4"/>
      <c r="B1686" s="3"/>
      <c r="C1686" s="3"/>
      <c r="D1686" s="3"/>
      <c r="E1686" s="3"/>
      <c r="F1686" s="3"/>
      <c r="G1686" s="3"/>
      <c r="H1686" s="3"/>
      <c r="I1686" s="3"/>
      <c r="J1686" s="3"/>
      <c r="K1686" s="3"/>
      <c r="L1686" s="3"/>
      <c r="M1686" s="3"/>
      <c r="N1686" s="3"/>
      <c r="O1686" s="3"/>
      <c r="P1686" s="3"/>
      <c r="Q1686" s="3"/>
      <c r="R1686" s="3"/>
      <c r="S1686" s="3"/>
      <c r="T1686" s="3"/>
      <c r="U1686" s="3"/>
      <c r="V1686" s="3"/>
      <c r="W1686" s="3"/>
      <c r="X1686" s="3"/>
      <c r="Y1686" s="3"/>
      <c r="Z1686" s="3"/>
      <c r="AA1686" s="3"/>
    </row>
    <row r="1687">
      <c r="A1687" s="4"/>
      <c r="B1687" s="3"/>
      <c r="C1687" s="3"/>
      <c r="D1687" s="3"/>
      <c r="E1687" s="3"/>
      <c r="F1687" s="3"/>
      <c r="G1687" s="3"/>
      <c r="H1687" s="3"/>
      <c r="I1687" s="3"/>
      <c r="J1687" s="3"/>
      <c r="K1687" s="3"/>
      <c r="L1687" s="3"/>
      <c r="M1687" s="3"/>
      <c r="N1687" s="3"/>
      <c r="O1687" s="3"/>
      <c r="P1687" s="3"/>
      <c r="Q1687" s="3"/>
      <c r="R1687" s="3"/>
      <c r="S1687" s="3"/>
      <c r="T1687" s="3"/>
      <c r="U1687" s="3"/>
      <c r="V1687" s="3"/>
      <c r="W1687" s="3"/>
      <c r="X1687" s="3"/>
      <c r="Y1687" s="3"/>
      <c r="Z1687" s="3"/>
      <c r="AA1687" s="3"/>
    </row>
    <row r="1688">
      <c r="A1688" s="4"/>
      <c r="B1688" s="3"/>
      <c r="C1688" s="3"/>
      <c r="D1688" s="3"/>
      <c r="E1688" s="3"/>
      <c r="F1688" s="3"/>
      <c r="G1688" s="3"/>
      <c r="H1688" s="3"/>
      <c r="I1688" s="3"/>
      <c r="J1688" s="3"/>
      <c r="K1688" s="3"/>
      <c r="L1688" s="3"/>
      <c r="M1688" s="3"/>
      <c r="N1688" s="3"/>
      <c r="O1688" s="3"/>
      <c r="P1688" s="3"/>
      <c r="Q1688" s="3"/>
      <c r="R1688" s="3"/>
      <c r="S1688" s="3"/>
      <c r="T1688" s="3"/>
      <c r="U1688" s="3"/>
      <c r="V1688" s="3"/>
      <c r="W1688" s="3"/>
      <c r="X1688" s="3"/>
      <c r="Y1688" s="3"/>
      <c r="Z1688" s="3"/>
      <c r="AA1688" s="3"/>
    </row>
    <row r="1689">
      <c r="A1689" s="4"/>
      <c r="B1689" s="3"/>
      <c r="C1689" s="3"/>
      <c r="D1689" s="3"/>
      <c r="E1689" s="3"/>
      <c r="F1689" s="3"/>
      <c r="G1689" s="3"/>
      <c r="H1689" s="3"/>
      <c r="I1689" s="3"/>
      <c r="J1689" s="3"/>
      <c r="K1689" s="3"/>
      <c r="L1689" s="3"/>
      <c r="M1689" s="3"/>
      <c r="N1689" s="3"/>
      <c r="O1689" s="3"/>
      <c r="P1689" s="3"/>
      <c r="Q1689" s="3"/>
      <c r="R1689" s="3"/>
      <c r="S1689" s="3"/>
      <c r="T1689" s="3"/>
      <c r="U1689" s="3"/>
      <c r="V1689" s="3"/>
      <c r="W1689" s="3"/>
      <c r="X1689" s="3"/>
      <c r="Y1689" s="3"/>
      <c r="Z1689" s="3"/>
      <c r="AA1689" s="3"/>
    </row>
    <row r="1690">
      <c r="A1690" s="4"/>
      <c r="B1690" s="3"/>
      <c r="C1690" s="3"/>
      <c r="D1690" s="3"/>
      <c r="E1690" s="3"/>
      <c r="F1690" s="3"/>
      <c r="G1690" s="3"/>
      <c r="H1690" s="3"/>
      <c r="I1690" s="3"/>
      <c r="J1690" s="3"/>
      <c r="K1690" s="3"/>
      <c r="L1690" s="3"/>
      <c r="M1690" s="3"/>
      <c r="N1690" s="3"/>
      <c r="O1690" s="3"/>
      <c r="P1690" s="3"/>
      <c r="Q1690" s="3"/>
      <c r="R1690" s="3"/>
      <c r="S1690" s="3"/>
      <c r="T1690" s="3"/>
      <c r="U1690" s="3"/>
      <c r="V1690" s="3"/>
      <c r="W1690" s="3"/>
      <c r="X1690" s="3"/>
      <c r="Y1690" s="3"/>
      <c r="Z1690" s="3"/>
      <c r="AA1690" s="3"/>
    </row>
    <row r="1691">
      <c r="A1691" s="4"/>
      <c r="B1691" s="3"/>
      <c r="C1691" s="3"/>
      <c r="D1691" s="3"/>
      <c r="E1691" s="3"/>
      <c r="F1691" s="3"/>
      <c r="G1691" s="3"/>
      <c r="H1691" s="3"/>
      <c r="I1691" s="3"/>
      <c r="J1691" s="3"/>
      <c r="K1691" s="3"/>
      <c r="L1691" s="3"/>
      <c r="M1691" s="3"/>
      <c r="N1691" s="3"/>
      <c r="O1691" s="3"/>
      <c r="P1691" s="3"/>
      <c r="Q1691" s="3"/>
      <c r="R1691" s="3"/>
      <c r="S1691" s="3"/>
      <c r="T1691" s="3"/>
      <c r="U1691" s="3"/>
      <c r="V1691" s="3"/>
      <c r="W1691" s="3"/>
      <c r="X1691" s="3"/>
      <c r="Y1691" s="3"/>
      <c r="Z1691" s="3"/>
      <c r="AA1691" s="3"/>
    </row>
    <row r="1692">
      <c r="A1692" s="4"/>
      <c r="B1692" s="3"/>
      <c r="C1692" s="3"/>
      <c r="D1692" s="3"/>
      <c r="E1692" s="3"/>
      <c r="F1692" s="3"/>
      <c r="G1692" s="3"/>
      <c r="H1692" s="3"/>
      <c r="I1692" s="3"/>
      <c r="J1692" s="3"/>
      <c r="K1692" s="3"/>
      <c r="L1692" s="3"/>
      <c r="M1692" s="3"/>
      <c r="N1692" s="3"/>
      <c r="O1692" s="3"/>
      <c r="P1692" s="3"/>
      <c r="Q1692" s="3"/>
      <c r="R1692" s="3"/>
      <c r="S1692" s="3"/>
      <c r="T1692" s="3"/>
      <c r="U1692" s="3"/>
      <c r="V1692" s="3"/>
      <c r="W1692" s="3"/>
      <c r="X1692" s="3"/>
      <c r="Y1692" s="3"/>
      <c r="Z1692" s="3"/>
      <c r="AA1692" s="3"/>
    </row>
    <row r="1693">
      <c r="A1693" s="4"/>
      <c r="B1693" s="3"/>
      <c r="C1693" s="3"/>
      <c r="D1693" s="3"/>
      <c r="E1693" s="3"/>
      <c r="F1693" s="3"/>
      <c r="G1693" s="3"/>
      <c r="H1693" s="3"/>
      <c r="I1693" s="3"/>
      <c r="J1693" s="3"/>
      <c r="K1693" s="3"/>
      <c r="L1693" s="3"/>
      <c r="M1693" s="3"/>
      <c r="N1693" s="3"/>
      <c r="O1693" s="3"/>
      <c r="P1693" s="3"/>
      <c r="Q1693" s="3"/>
      <c r="R1693" s="3"/>
      <c r="S1693" s="3"/>
      <c r="T1693" s="3"/>
      <c r="U1693" s="3"/>
      <c r="V1693" s="3"/>
      <c r="W1693" s="3"/>
      <c r="X1693" s="3"/>
      <c r="Y1693" s="3"/>
      <c r="Z1693" s="3"/>
      <c r="AA1693" s="3"/>
    </row>
    <row r="1694">
      <c r="A1694" s="4"/>
      <c r="B1694" s="3"/>
      <c r="C1694" s="3"/>
      <c r="D1694" s="3"/>
      <c r="E1694" s="3"/>
      <c r="F1694" s="3"/>
      <c r="G1694" s="3"/>
      <c r="H1694" s="3"/>
      <c r="I1694" s="3"/>
      <c r="J1694" s="3"/>
      <c r="K1694" s="3"/>
      <c r="L1694" s="3"/>
      <c r="M1694" s="3"/>
      <c r="N1694" s="3"/>
      <c r="O1694" s="3"/>
      <c r="P1694" s="3"/>
      <c r="Q1694" s="3"/>
      <c r="R1694" s="3"/>
      <c r="S1694" s="3"/>
      <c r="T1694" s="3"/>
      <c r="U1694" s="3"/>
      <c r="V1694" s="3"/>
      <c r="W1694" s="3"/>
      <c r="X1694" s="3"/>
      <c r="Y1694" s="3"/>
      <c r="Z1694" s="3"/>
      <c r="AA1694" s="3"/>
    </row>
    <row r="1695">
      <c r="A1695" s="4"/>
      <c r="B1695" s="3"/>
      <c r="C1695" s="3"/>
      <c r="D1695" s="3"/>
      <c r="E1695" s="3"/>
      <c r="F1695" s="3"/>
      <c r="G1695" s="3"/>
      <c r="H1695" s="3"/>
      <c r="I1695" s="3"/>
      <c r="J1695" s="3"/>
      <c r="K1695" s="3"/>
      <c r="L1695" s="3"/>
      <c r="M1695" s="3"/>
      <c r="N1695" s="3"/>
      <c r="O1695" s="3"/>
      <c r="P1695" s="3"/>
      <c r="Q1695" s="3"/>
      <c r="R1695" s="3"/>
      <c r="S1695" s="3"/>
      <c r="T1695" s="3"/>
      <c r="U1695" s="3"/>
      <c r="V1695" s="3"/>
      <c r="W1695" s="3"/>
      <c r="X1695" s="3"/>
      <c r="Y1695" s="3"/>
      <c r="Z1695" s="3"/>
      <c r="AA1695" s="3"/>
    </row>
    <row r="1696">
      <c r="A1696" s="4"/>
      <c r="B1696" s="3"/>
      <c r="C1696" s="3"/>
      <c r="D1696" s="3"/>
      <c r="E1696" s="3"/>
      <c r="F1696" s="3"/>
      <c r="G1696" s="3"/>
      <c r="H1696" s="3"/>
      <c r="I1696" s="3"/>
      <c r="J1696" s="3"/>
      <c r="K1696" s="3"/>
      <c r="L1696" s="3"/>
      <c r="M1696" s="3"/>
      <c r="N1696" s="3"/>
      <c r="O1696" s="3"/>
      <c r="P1696" s="3"/>
      <c r="Q1696" s="3"/>
      <c r="R1696" s="3"/>
      <c r="S1696" s="3"/>
      <c r="T1696" s="3"/>
      <c r="U1696" s="3"/>
      <c r="V1696" s="3"/>
      <c r="W1696" s="3"/>
      <c r="X1696" s="3"/>
      <c r="Y1696" s="3"/>
      <c r="Z1696" s="3"/>
      <c r="AA1696" s="3"/>
    </row>
    <row r="1697">
      <c r="A1697" s="4"/>
      <c r="B1697" s="3"/>
      <c r="C1697" s="3"/>
      <c r="D1697" s="3"/>
      <c r="E1697" s="3"/>
      <c r="F1697" s="3"/>
      <c r="G1697" s="3"/>
      <c r="H1697" s="3"/>
      <c r="I1697" s="3"/>
      <c r="J1697" s="3"/>
      <c r="K1697" s="3"/>
      <c r="L1697" s="3"/>
      <c r="M1697" s="3"/>
      <c r="N1697" s="3"/>
      <c r="O1697" s="3"/>
      <c r="P1697" s="3"/>
      <c r="Q1697" s="3"/>
      <c r="R1697" s="3"/>
      <c r="S1697" s="3"/>
      <c r="T1697" s="3"/>
      <c r="U1697" s="3"/>
      <c r="V1697" s="3"/>
      <c r="W1697" s="3"/>
      <c r="X1697" s="3"/>
      <c r="Y1697" s="3"/>
      <c r="Z1697" s="3"/>
      <c r="AA1697" s="3"/>
    </row>
    <row r="1698">
      <c r="A1698" s="4"/>
      <c r="B1698" s="3"/>
      <c r="C1698" s="3"/>
      <c r="D1698" s="3"/>
      <c r="E1698" s="3"/>
      <c r="F1698" s="3"/>
      <c r="G1698" s="3"/>
      <c r="H1698" s="3"/>
      <c r="I1698" s="3"/>
      <c r="J1698" s="3"/>
      <c r="K1698" s="3"/>
      <c r="L1698" s="3"/>
      <c r="M1698" s="3"/>
      <c r="N1698" s="3"/>
      <c r="O1698" s="3"/>
      <c r="P1698" s="3"/>
      <c r="Q1698" s="3"/>
      <c r="R1698" s="3"/>
      <c r="S1698" s="3"/>
      <c r="T1698" s="3"/>
      <c r="U1698" s="3"/>
      <c r="V1698" s="3"/>
      <c r="W1698" s="3"/>
      <c r="X1698" s="3"/>
      <c r="Y1698" s="3"/>
      <c r="Z1698" s="3"/>
      <c r="AA1698" s="3"/>
    </row>
    <row r="1699">
      <c r="A1699" s="4"/>
      <c r="B1699" s="3"/>
      <c r="C1699" s="3"/>
      <c r="D1699" s="3"/>
      <c r="E1699" s="3"/>
      <c r="F1699" s="3"/>
      <c r="G1699" s="3"/>
      <c r="H1699" s="3"/>
      <c r="I1699" s="3"/>
      <c r="J1699" s="3"/>
      <c r="K1699" s="3"/>
      <c r="L1699" s="3"/>
      <c r="M1699" s="3"/>
      <c r="N1699" s="3"/>
      <c r="O1699" s="3"/>
      <c r="P1699" s="3"/>
      <c r="Q1699" s="3"/>
      <c r="R1699" s="3"/>
      <c r="S1699" s="3"/>
      <c r="T1699" s="3"/>
      <c r="U1699" s="3"/>
      <c r="V1699" s="3"/>
      <c r="W1699" s="3"/>
      <c r="X1699" s="3"/>
      <c r="Y1699" s="3"/>
      <c r="Z1699" s="3"/>
      <c r="AA1699" s="3"/>
    </row>
    <row r="1700">
      <c r="A1700" s="4"/>
      <c r="B1700" s="3"/>
      <c r="C1700" s="3"/>
      <c r="D1700" s="3"/>
      <c r="E1700" s="3"/>
      <c r="F1700" s="3"/>
      <c r="G1700" s="3"/>
      <c r="H1700" s="3"/>
      <c r="I1700" s="3"/>
      <c r="J1700" s="3"/>
      <c r="K1700" s="3"/>
      <c r="L1700" s="3"/>
      <c r="M1700" s="3"/>
      <c r="N1700" s="3"/>
      <c r="O1700" s="3"/>
      <c r="P1700" s="3"/>
      <c r="Q1700" s="3"/>
      <c r="R1700" s="3"/>
      <c r="S1700" s="3"/>
      <c r="T1700" s="3"/>
      <c r="U1700" s="3"/>
      <c r="V1700" s="3"/>
      <c r="W1700" s="3"/>
      <c r="X1700" s="3"/>
      <c r="Y1700" s="3"/>
      <c r="Z1700" s="3"/>
      <c r="AA1700" s="3"/>
    </row>
    <row r="1701">
      <c r="A1701" s="4"/>
      <c r="B1701" s="3"/>
      <c r="C1701" s="3"/>
      <c r="D1701" s="3"/>
      <c r="E1701" s="3"/>
      <c r="F1701" s="3"/>
      <c r="G1701" s="3"/>
      <c r="H1701" s="3"/>
      <c r="I1701" s="3"/>
      <c r="J1701" s="3"/>
      <c r="K1701" s="3"/>
      <c r="L1701" s="3"/>
      <c r="M1701" s="3"/>
      <c r="N1701" s="3"/>
      <c r="O1701" s="3"/>
      <c r="P1701" s="3"/>
      <c r="Q1701" s="3"/>
      <c r="R1701" s="3"/>
      <c r="S1701" s="3"/>
      <c r="T1701" s="3"/>
      <c r="U1701" s="3"/>
      <c r="V1701" s="3"/>
      <c r="W1701" s="3"/>
      <c r="X1701" s="3"/>
      <c r="Y1701" s="3"/>
      <c r="Z1701" s="3"/>
      <c r="AA1701" s="3"/>
    </row>
    <row r="1702">
      <c r="A1702" s="4"/>
      <c r="B1702" s="3"/>
      <c r="C1702" s="3"/>
      <c r="D1702" s="3"/>
      <c r="E1702" s="3"/>
      <c r="F1702" s="3"/>
      <c r="G1702" s="3"/>
      <c r="H1702" s="3"/>
      <c r="I1702" s="3"/>
      <c r="J1702" s="3"/>
      <c r="K1702" s="3"/>
      <c r="L1702" s="3"/>
      <c r="M1702" s="3"/>
      <c r="N1702" s="3"/>
      <c r="O1702" s="3"/>
      <c r="P1702" s="3"/>
      <c r="Q1702" s="3"/>
      <c r="R1702" s="3"/>
      <c r="S1702" s="3"/>
      <c r="T1702" s="3"/>
      <c r="U1702" s="3"/>
      <c r="V1702" s="3"/>
      <c r="W1702" s="3"/>
      <c r="X1702" s="3"/>
      <c r="Y1702" s="3"/>
      <c r="Z1702" s="3"/>
      <c r="AA1702" s="3"/>
    </row>
    <row r="1703">
      <c r="A1703" s="4"/>
      <c r="B1703" s="3"/>
      <c r="C1703" s="3"/>
      <c r="D1703" s="3"/>
      <c r="E1703" s="3"/>
      <c r="F1703" s="3"/>
      <c r="G1703" s="3"/>
      <c r="H1703" s="3"/>
      <c r="I1703" s="3"/>
      <c r="J1703" s="3"/>
      <c r="K1703" s="3"/>
      <c r="L1703" s="3"/>
      <c r="M1703" s="3"/>
      <c r="N1703" s="3"/>
      <c r="O1703" s="3"/>
      <c r="P1703" s="3"/>
      <c r="Q1703" s="3"/>
      <c r="R1703" s="3"/>
      <c r="S1703" s="3"/>
      <c r="T1703" s="3"/>
      <c r="U1703" s="3"/>
      <c r="V1703" s="3"/>
      <c r="W1703" s="3"/>
      <c r="X1703" s="3"/>
      <c r="Y1703" s="3"/>
      <c r="Z1703" s="3"/>
      <c r="AA1703" s="3"/>
    </row>
    <row r="1704">
      <c r="A1704" s="4"/>
      <c r="B1704" s="3"/>
      <c r="C1704" s="3"/>
      <c r="D1704" s="3"/>
      <c r="E1704" s="3"/>
      <c r="F1704" s="3"/>
      <c r="G1704" s="3"/>
      <c r="H1704" s="3"/>
      <c r="I1704" s="3"/>
      <c r="J1704" s="3"/>
      <c r="K1704" s="3"/>
      <c r="L1704" s="3"/>
      <c r="M1704" s="3"/>
      <c r="N1704" s="3"/>
      <c r="O1704" s="3"/>
      <c r="P1704" s="3"/>
      <c r="Q1704" s="3"/>
      <c r="R1704" s="3"/>
      <c r="S1704" s="3"/>
      <c r="T1704" s="3"/>
      <c r="U1704" s="3"/>
      <c r="V1704" s="3"/>
      <c r="W1704" s="3"/>
      <c r="X1704" s="3"/>
      <c r="Y1704" s="3"/>
      <c r="Z1704" s="3"/>
      <c r="AA1704" s="3"/>
    </row>
    <row r="1705">
      <c r="A1705" s="4"/>
      <c r="B1705" s="3"/>
      <c r="C1705" s="3"/>
      <c r="D1705" s="3"/>
      <c r="E1705" s="3"/>
      <c r="F1705" s="3"/>
      <c r="G1705" s="3"/>
      <c r="H1705" s="3"/>
      <c r="I1705" s="3"/>
      <c r="J1705" s="3"/>
      <c r="K1705" s="3"/>
      <c r="L1705" s="3"/>
      <c r="M1705" s="3"/>
      <c r="N1705" s="3"/>
      <c r="O1705" s="3"/>
      <c r="P1705" s="3"/>
      <c r="Q1705" s="3"/>
      <c r="R1705" s="3"/>
      <c r="S1705" s="3"/>
      <c r="T1705" s="3"/>
      <c r="U1705" s="3"/>
      <c r="V1705" s="3"/>
      <c r="W1705" s="3"/>
      <c r="X1705" s="3"/>
      <c r="Y1705" s="3"/>
      <c r="Z1705" s="3"/>
      <c r="AA1705" s="3"/>
    </row>
    <row r="1706">
      <c r="A1706" s="4"/>
      <c r="B1706" s="3"/>
      <c r="C1706" s="3"/>
      <c r="D1706" s="3"/>
      <c r="E1706" s="3"/>
      <c r="F1706" s="3"/>
      <c r="G1706" s="3"/>
      <c r="H1706" s="3"/>
      <c r="I1706" s="3"/>
      <c r="J1706" s="3"/>
      <c r="K1706" s="3"/>
      <c r="L1706" s="3"/>
      <c r="M1706" s="3"/>
      <c r="N1706" s="3"/>
      <c r="O1706" s="3"/>
      <c r="P1706" s="3"/>
      <c r="Q1706" s="3"/>
      <c r="R1706" s="3"/>
      <c r="S1706" s="3"/>
      <c r="T1706" s="3"/>
      <c r="U1706" s="3"/>
      <c r="V1706" s="3"/>
      <c r="W1706" s="3"/>
      <c r="X1706" s="3"/>
      <c r="Y1706" s="3"/>
      <c r="Z1706" s="3"/>
      <c r="AA1706" s="3"/>
    </row>
    <row r="1707">
      <c r="A1707" s="4"/>
      <c r="B1707" s="3"/>
      <c r="C1707" s="3"/>
      <c r="D1707" s="3"/>
      <c r="E1707" s="3"/>
      <c r="F1707" s="3"/>
      <c r="G1707" s="3"/>
      <c r="H1707" s="3"/>
      <c r="I1707" s="3"/>
      <c r="J1707" s="3"/>
      <c r="K1707" s="3"/>
      <c r="L1707" s="3"/>
      <c r="M1707" s="3"/>
      <c r="N1707" s="3"/>
      <c r="O1707" s="3"/>
      <c r="P1707" s="3"/>
      <c r="Q1707" s="3"/>
      <c r="R1707" s="3"/>
      <c r="S1707" s="3"/>
      <c r="T1707" s="3"/>
      <c r="U1707" s="3"/>
      <c r="V1707" s="3"/>
      <c r="W1707" s="3"/>
      <c r="X1707" s="3"/>
      <c r="Y1707" s="3"/>
      <c r="Z1707" s="3"/>
      <c r="AA1707" s="3"/>
    </row>
    <row r="1708">
      <c r="A1708" s="4"/>
      <c r="B1708" s="3"/>
      <c r="C1708" s="3"/>
      <c r="D1708" s="3"/>
      <c r="E1708" s="3"/>
      <c r="F1708" s="3"/>
      <c r="G1708" s="3"/>
      <c r="H1708" s="3"/>
      <c r="I1708" s="3"/>
      <c r="J1708" s="3"/>
      <c r="K1708" s="3"/>
      <c r="L1708" s="3"/>
      <c r="M1708" s="3"/>
      <c r="N1708" s="3"/>
      <c r="O1708" s="3"/>
      <c r="P1708" s="3"/>
      <c r="Q1708" s="3"/>
      <c r="R1708" s="3"/>
      <c r="S1708" s="3"/>
      <c r="T1708" s="3"/>
      <c r="U1708" s="3"/>
      <c r="V1708" s="3"/>
      <c r="W1708" s="3"/>
      <c r="X1708" s="3"/>
      <c r="Y1708" s="3"/>
      <c r="Z1708" s="3"/>
      <c r="AA1708" s="3"/>
    </row>
    <row r="1709">
      <c r="A1709" s="4"/>
      <c r="B1709" s="3"/>
      <c r="C1709" s="3"/>
      <c r="D1709" s="3"/>
      <c r="E1709" s="3"/>
      <c r="F1709" s="3"/>
      <c r="G1709" s="3"/>
      <c r="H1709" s="3"/>
      <c r="I1709" s="3"/>
      <c r="J1709" s="3"/>
      <c r="K1709" s="3"/>
      <c r="L1709" s="3"/>
      <c r="M1709" s="3"/>
      <c r="N1709" s="3"/>
      <c r="O1709" s="3"/>
      <c r="P1709" s="3"/>
      <c r="Q1709" s="3"/>
      <c r="R1709" s="3"/>
      <c r="S1709" s="3"/>
      <c r="T1709" s="3"/>
      <c r="U1709" s="3"/>
      <c r="V1709" s="3"/>
      <c r="W1709" s="3"/>
      <c r="X1709" s="3"/>
      <c r="Y1709" s="3"/>
      <c r="Z1709" s="3"/>
      <c r="AA1709" s="3"/>
    </row>
    <row r="1710">
      <c r="A1710" s="4"/>
      <c r="B1710" s="3"/>
      <c r="C1710" s="3"/>
      <c r="D1710" s="3"/>
      <c r="E1710" s="3"/>
      <c r="F1710" s="3"/>
      <c r="G1710" s="3"/>
      <c r="H1710" s="3"/>
      <c r="I1710" s="3"/>
      <c r="J1710" s="3"/>
      <c r="K1710" s="3"/>
      <c r="L1710" s="3"/>
      <c r="M1710" s="3"/>
      <c r="N1710" s="3"/>
      <c r="O1710" s="3"/>
      <c r="P1710" s="3"/>
      <c r="Q1710" s="3"/>
      <c r="R1710" s="3"/>
      <c r="S1710" s="3"/>
      <c r="T1710" s="3"/>
      <c r="U1710" s="3"/>
      <c r="V1710" s="3"/>
      <c r="W1710" s="3"/>
      <c r="X1710" s="3"/>
      <c r="Y1710" s="3"/>
      <c r="Z1710" s="3"/>
      <c r="AA1710" s="3"/>
    </row>
    <row r="1711">
      <c r="A1711" s="4"/>
      <c r="B1711" s="3"/>
      <c r="C1711" s="3"/>
      <c r="D1711" s="3"/>
      <c r="E1711" s="3"/>
      <c r="F1711" s="3"/>
      <c r="G1711" s="3"/>
      <c r="H1711" s="3"/>
      <c r="I1711" s="3"/>
      <c r="J1711" s="3"/>
      <c r="K1711" s="3"/>
      <c r="L1711" s="3"/>
      <c r="M1711" s="3"/>
      <c r="N1711" s="3"/>
      <c r="O1711" s="3"/>
      <c r="P1711" s="3"/>
      <c r="Q1711" s="3"/>
      <c r="R1711" s="3"/>
      <c r="S1711" s="3"/>
      <c r="T1711" s="3"/>
      <c r="U1711" s="3"/>
      <c r="V1711" s="3"/>
      <c r="W1711" s="3"/>
      <c r="X1711" s="3"/>
      <c r="Y1711" s="3"/>
      <c r="Z1711" s="3"/>
      <c r="AA1711" s="3"/>
    </row>
    <row r="1712">
      <c r="A1712" s="4"/>
      <c r="B1712" s="3"/>
      <c r="C1712" s="3"/>
      <c r="D1712" s="3"/>
      <c r="E1712" s="3"/>
      <c r="F1712" s="3"/>
      <c r="G1712" s="3"/>
      <c r="H1712" s="3"/>
      <c r="I1712" s="3"/>
      <c r="J1712" s="3"/>
      <c r="K1712" s="3"/>
      <c r="L1712" s="3"/>
      <c r="M1712" s="3"/>
      <c r="N1712" s="3"/>
      <c r="O1712" s="3"/>
      <c r="P1712" s="3"/>
      <c r="Q1712" s="3"/>
      <c r="R1712" s="3"/>
      <c r="S1712" s="3"/>
      <c r="T1712" s="3"/>
      <c r="U1712" s="3"/>
      <c r="V1712" s="3"/>
      <c r="W1712" s="3"/>
      <c r="X1712" s="3"/>
      <c r="Y1712" s="3"/>
      <c r="Z1712" s="3"/>
      <c r="AA1712" s="3"/>
    </row>
    <row r="1713">
      <c r="A1713" s="4"/>
      <c r="B1713" s="3"/>
      <c r="C1713" s="3"/>
      <c r="D1713" s="3"/>
      <c r="E1713" s="3"/>
      <c r="F1713" s="3"/>
      <c r="G1713" s="3"/>
      <c r="H1713" s="3"/>
      <c r="I1713" s="3"/>
      <c r="J1713" s="3"/>
      <c r="K1713" s="3"/>
      <c r="L1713" s="3"/>
      <c r="M1713" s="3"/>
      <c r="N1713" s="3"/>
      <c r="O1713" s="3"/>
      <c r="P1713" s="3"/>
      <c r="Q1713" s="3"/>
      <c r="R1713" s="3"/>
      <c r="S1713" s="3"/>
      <c r="T1713" s="3"/>
      <c r="U1713" s="3"/>
      <c r="V1713" s="3"/>
      <c r="W1713" s="3"/>
      <c r="X1713" s="3"/>
      <c r="Y1713" s="3"/>
      <c r="Z1713" s="3"/>
      <c r="AA1713" s="3"/>
    </row>
    <row r="1714">
      <c r="A1714" s="4"/>
      <c r="B1714" s="3"/>
      <c r="C1714" s="3"/>
      <c r="D1714" s="3"/>
      <c r="E1714" s="3"/>
      <c r="F1714" s="3"/>
      <c r="G1714" s="3"/>
      <c r="H1714" s="3"/>
      <c r="I1714" s="3"/>
      <c r="J1714" s="3"/>
      <c r="K1714" s="3"/>
      <c r="L1714" s="3"/>
      <c r="M1714" s="3"/>
      <c r="N1714" s="3"/>
      <c r="O1714" s="3"/>
      <c r="P1714" s="3"/>
      <c r="Q1714" s="3"/>
      <c r="R1714" s="3"/>
      <c r="S1714" s="3"/>
      <c r="T1714" s="3"/>
      <c r="U1714" s="3"/>
      <c r="V1714" s="3"/>
      <c r="W1714" s="3"/>
      <c r="X1714" s="3"/>
      <c r="Y1714" s="3"/>
      <c r="Z1714" s="3"/>
      <c r="AA1714" s="3"/>
    </row>
    <row r="1715">
      <c r="A1715" s="4"/>
      <c r="B1715" s="3"/>
      <c r="C1715" s="3"/>
      <c r="D1715" s="3"/>
      <c r="E1715" s="3"/>
      <c r="F1715" s="3"/>
      <c r="G1715" s="3"/>
      <c r="H1715" s="3"/>
      <c r="I1715" s="3"/>
      <c r="J1715" s="3"/>
      <c r="K1715" s="3"/>
      <c r="L1715" s="3"/>
      <c r="M1715" s="3"/>
      <c r="N1715" s="3"/>
      <c r="O1715" s="3"/>
      <c r="P1715" s="3"/>
      <c r="Q1715" s="3"/>
      <c r="R1715" s="3"/>
      <c r="S1715" s="3"/>
      <c r="T1715" s="3"/>
      <c r="U1715" s="3"/>
      <c r="V1715" s="3"/>
      <c r="W1715" s="3"/>
      <c r="X1715" s="3"/>
      <c r="Y1715" s="3"/>
      <c r="Z1715" s="3"/>
      <c r="AA1715" s="3"/>
    </row>
    <row r="1716">
      <c r="A1716" s="4"/>
      <c r="B1716" s="3"/>
      <c r="C1716" s="3"/>
      <c r="D1716" s="3"/>
      <c r="E1716" s="3"/>
      <c r="F1716" s="3"/>
      <c r="G1716" s="3"/>
      <c r="H1716" s="3"/>
      <c r="I1716" s="3"/>
      <c r="J1716" s="3"/>
      <c r="K1716" s="3"/>
      <c r="L1716" s="3"/>
      <c r="M1716" s="3"/>
      <c r="N1716" s="3"/>
      <c r="O1716" s="3"/>
      <c r="P1716" s="3"/>
      <c r="Q1716" s="3"/>
      <c r="R1716" s="3"/>
      <c r="S1716" s="3"/>
      <c r="T1716" s="3"/>
      <c r="U1716" s="3"/>
      <c r="V1716" s="3"/>
      <c r="W1716" s="3"/>
      <c r="X1716" s="3"/>
      <c r="Y1716" s="3"/>
      <c r="Z1716" s="3"/>
      <c r="AA1716" s="3"/>
    </row>
    <row r="1717">
      <c r="A1717" s="4"/>
      <c r="B1717" s="3"/>
      <c r="C1717" s="3"/>
      <c r="D1717" s="3"/>
      <c r="E1717" s="3"/>
      <c r="F1717" s="3"/>
      <c r="G1717" s="3"/>
      <c r="H1717" s="3"/>
      <c r="I1717" s="3"/>
      <c r="J1717" s="3"/>
      <c r="K1717" s="3"/>
      <c r="L1717" s="3"/>
      <c r="M1717" s="3"/>
      <c r="N1717" s="3"/>
      <c r="O1717" s="3"/>
      <c r="P1717" s="3"/>
      <c r="Q1717" s="3"/>
      <c r="R1717" s="3"/>
      <c r="S1717" s="3"/>
      <c r="T1717" s="3"/>
      <c r="U1717" s="3"/>
      <c r="V1717" s="3"/>
      <c r="W1717" s="3"/>
      <c r="X1717" s="3"/>
      <c r="Y1717" s="3"/>
      <c r="Z1717" s="3"/>
      <c r="AA1717" s="3"/>
    </row>
    <row r="1718">
      <c r="A1718" s="4"/>
      <c r="B1718" s="3"/>
      <c r="C1718" s="3"/>
      <c r="D1718" s="3"/>
      <c r="E1718" s="3"/>
      <c r="F1718" s="3"/>
      <c r="G1718" s="3"/>
      <c r="H1718" s="3"/>
      <c r="I1718" s="3"/>
      <c r="J1718" s="3"/>
      <c r="K1718" s="3"/>
      <c r="L1718" s="3"/>
      <c r="M1718" s="3"/>
      <c r="N1718" s="3"/>
      <c r="O1718" s="3"/>
      <c r="P1718" s="3"/>
      <c r="Q1718" s="3"/>
      <c r="R1718" s="3"/>
      <c r="S1718" s="3"/>
      <c r="T1718" s="3"/>
      <c r="U1718" s="3"/>
      <c r="V1718" s="3"/>
      <c r="W1718" s="3"/>
      <c r="X1718" s="3"/>
      <c r="Y1718" s="3"/>
      <c r="Z1718" s="3"/>
      <c r="AA1718" s="3"/>
    </row>
    <row r="1719">
      <c r="A1719" s="4"/>
      <c r="B1719" s="3"/>
      <c r="C1719" s="3"/>
      <c r="D1719" s="3"/>
      <c r="E1719" s="3"/>
      <c r="F1719" s="3"/>
      <c r="G1719" s="3"/>
      <c r="H1719" s="3"/>
      <c r="I1719" s="3"/>
      <c r="J1719" s="3"/>
      <c r="K1719" s="3"/>
      <c r="L1719" s="3"/>
      <c r="M1719" s="3"/>
      <c r="N1719" s="3"/>
      <c r="O1719" s="3"/>
      <c r="P1719" s="3"/>
      <c r="Q1719" s="3"/>
      <c r="R1719" s="3"/>
      <c r="S1719" s="3"/>
      <c r="T1719" s="3"/>
      <c r="U1719" s="3"/>
      <c r="V1719" s="3"/>
      <c r="W1719" s="3"/>
      <c r="X1719" s="3"/>
      <c r="Y1719" s="3"/>
      <c r="Z1719" s="3"/>
      <c r="AA1719" s="3"/>
    </row>
    <row r="1720">
      <c r="A1720" s="4"/>
      <c r="B1720" s="3"/>
      <c r="C1720" s="3"/>
      <c r="D1720" s="3"/>
      <c r="E1720" s="3"/>
      <c r="F1720" s="3"/>
      <c r="G1720" s="3"/>
      <c r="H1720" s="3"/>
      <c r="I1720" s="3"/>
      <c r="J1720" s="3"/>
      <c r="K1720" s="3"/>
      <c r="L1720" s="3"/>
      <c r="M1720" s="3"/>
      <c r="N1720" s="3"/>
      <c r="O1720" s="3"/>
      <c r="P1720" s="3"/>
      <c r="Q1720" s="3"/>
      <c r="R1720" s="3"/>
      <c r="S1720" s="3"/>
      <c r="T1720" s="3"/>
      <c r="U1720" s="3"/>
      <c r="V1720" s="3"/>
      <c r="W1720" s="3"/>
      <c r="X1720" s="3"/>
      <c r="Y1720" s="3"/>
      <c r="Z1720" s="3"/>
      <c r="AA1720" s="3"/>
    </row>
    <row r="1721">
      <c r="A1721" s="4"/>
      <c r="B1721" s="3"/>
      <c r="C1721" s="3"/>
      <c r="D1721" s="3"/>
      <c r="E1721" s="3"/>
      <c r="F1721" s="3"/>
      <c r="G1721" s="3"/>
      <c r="H1721" s="3"/>
      <c r="I1721" s="3"/>
      <c r="J1721" s="3"/>
      <c r="K1721" s="3"/>
      <c r="L1721" s="3"/>
      <c r="M1721" s="3"/>
      <c r="N1721" s="3"/>
      <c r="O1721" s="3"/>
      <c r="P1721" s="3"/>
      <c r="Q1721" s="3"/>
      <c r="R1721" s="3"/>
      <c r="S1721" s="3"/>
      <c r="T1721" s="3"/>
      <c r="U1721" s="3"/>
      <c r="V1721" s="3"/>
      <c r="W1721" s="3"/>
      <c r="X1721" s="3"/>
      <c r="Y1721" s="3"/>
      <c r="Z1721" s="3"/>
      <c r="AA1721" s="3"/>
    </row>
    <row r="1722">
      <c r="A1722" s="4"/>
      <c r="B1722" s="3"/>
      <c r="C1722" s="3"/>
      <c r="D1722" s="3"/>
      <c r="E1722" s="3"/>
      <c r="F1722" s="3"/>
      <c r="G1722" s="3"/>
      <c r="H1722" s="3"/>
      <c r="I1722" s="3"/>
      <c r="J1722" s="3"/>
      <c r="K1722" s="3"/>
      <c r="L1722" s="3"/>
      <c r="M1722" s="3"/>
      <c r="N1722" s="3"/>
      <c r="O1722" s="3"/>
      <c r="P1722" s="3"/>
      <c r="Q1722" s="3"/>
      <c r="R1722" s="3"/>
      <c r="S1722" s="3"/>
      <c r="T1722" s="3"/>
      <c r="U1722" s="3"/>
      <c r="V1722" s="3"/>
      <c r="W1722" s="3"/>
      <c r="X1722" s="3"/>
      <c r="Y1722" s="3"/>
      <c r="Z1722" s="3"/>
      <c r="AA1722" s="3"/>
    </row>
    <row r="1723">
      <c r="A1723" s="4"/>
      <c r="B1723" s="3"/>
      <c r="C1723" s="3"/>
      <c r="D1723" s="3"/>
      <c r="E1723" s="3"/>
      <c r="F1723" s="3"/>
      <c r="G1723" s="3"/>
      <c r="H1723" s="3"/>
      <c r="I1723" s="3"/>
      <c r="J1723" s="3"/>
      <c r="K1723" s="3"/>
      <c r="L1723" s="3"/>
      <c r="M1723" s="3"/>
      <c r="N1723" s="3"/>
      <c r="O1723" s="3"/>
      <c r="P1723" s="3"/>
      <c r="Q1723" s="3"/>
      <c r="R1723" s="3"/>
      <c r="S1723" s="3"/>
      <c r="T1723" s="3"/>
      <c r="U1723" s="3"/>
      <c r="V1723" s="3"/>
      <c r="W1723" s="3"/>
      <c r="X1723" s="3"/>
      <c r="Y1723" s="3"/>
      <c r="Z1723" s="3"/>
      <c r="AA1723" s="3"/>
    </row>
    <row r="1724">
      <c r="A1724" s="4"/>
      <c r="B1724" s="3"/>
      <c r="C1724" s="3"/>
      <c r="D1724" s="3"/>
      <c r="E1724" s="3"/>
      <c r="F1724" s="3"/>
      <c r="G1724" s="3"/>
      <c r="H1724" s="3"/>
      <c r="I1724" s="3"/>
      <c r="J1724" s="3"/>
      <c r="K1724" s="3"/>
      <c r="L1724" s="3"/>
      <c r="M1724" s="3"/>
      <c r="N1724" s="3"/>
      <c r="O1724" s="3"/>
      <c r="P1724" s="3"/>
      <c r="Q1724" s="3"/>
      <c r="R1724" s="3"/>
      <c r="S1724" s="3"/>
      <c r="T1724" s="3"/>
      <c r="U1724" s="3"/>
      <c r="V1724" s="3"/>
      <c r="W1724" s="3"/>
      <c r="X1724" s="3"/>
      <c r="Y1724" s="3"/>
      <c r="Z1724" s="3"/>
      <c r="AA1724" s="3"/>
    </row>
    <row r="1725">
      <c r="A1725" s="4"/>
      <c r="B1725" s="3"/>
      <c r="C1725" s="3"/>
      <c r="D1725" s="3"/>
      <c r="E1725" s="3"/>
      <c r="F1725" s="3"/>
      <c r="G1725" s="3"/>
      <c r="H1725" s="3"/>
      <c r="I1725" s="3"/>
      <c r="J1725" s="3"/>
      <c r="K1725" s="3"/>
      <c r="L1725" s="3"/>
      <c r="M1725" s="3"/>
      <c r="N1725" s="3"/>
      <c r="O1725" s="3"/>
      <c r="P1725" s="3"/>
      <c r="Q1725" s="3"/>
      <c r="R1725" s="3"/>
      <c r="S1725" s="3"/>
      <c r="T1725" s="3"/>
      <c r="U1725" s="3"/>
      <c r="V1725" s="3"/>
      <c r="W1725" s="3"/>
      <c r="X1725" s="3"/>
      <c r="Y1725" s="3"/>
      <c r="Z1725" s="3"/>
      <c r="AA1725" s="3"/>
    </row>
    <row r="1726">
      <c r="A1726" s="4"/>
      <c r="B1726" s="3"/>
      <c r="C1726" s="3"/>
      <c r="D1726" s="3"/>
      <c r="E1726" s="3"/>
      <c r="F1726" s="3"/>
      <c r="G1726" s="3"/>
      <c r="H1726" s="3"/>
      <c r="I1726" s="3"/>
      <c r="J1726" s="3"/>
      <c r="K1726" s="3"/>
      <c r="L1726" s="3"/>
      <c r="M1726" s="3"/>
      <c r="N1726" s="3"/>
      <c r="O1726" s="3"/>
      <c r="P1726" s="3"/>
      <c r="Q1726" s="3"/>
      <c r="R1726" s="3"/>
      <c r="S1726" s="3"/>
      <c r="T1726" s="3"/>
      <c r="U1726" s="3"/>
      <c r="V1726" s="3"/>
      <c r="W1726" s="3"/>
      <c r="X1726" s="3"/>
      <c r="Y1726" s="3"/>
      <c r="Z1726" s="3"/>
      <c r="AA1726" s="3"/>
    </row>
    <row r="1727">
      <c r="A1727" s="4"/>
      <c r="B1727" s="3"/>
      <c r="C1727" s="3"/>
      <c r="D1727" s="3"/>
      <c r="E1727" s="3"/>
      <c r="F1727" s="3"/>
      <c r="G1727" s="3"/>
      <c r="H1727" s="3"/>
      <c r="I1727" s="3"/>
      <c r="J1727" s="3"/>
      <c r="K1727" s="3"/>
      <c r="L1727" s="3"/>
      <c r="M1727" s="3"/>
      <c r="N1727" s="3"/>
      <c r="O1727" s="3"/>
      <c r="P1727" s="3"/>
      <c r="Q1727" s="3"/>
      <c r="R1727" s="3"/>
      <c r="S1727" s="3"/>
      <c r="T1727" s="3"/>
      <c r="U1727" s="3"/>
      <c r="V1727" s="3"/>
      <c r="W1727" s="3"/>
      <c r="X1727" s="3"/>
      <c r="Y1727" s="3"/>
      <c r="Z1727" s="3"/>
      <c r="AA1727" s="3"/>
    </row>
    <row r="1728">
      <c r="A1728" s="4"/>
      <c r="B1728" s="3"/>
      <c r="C1728" s="3"/>
      <c r="D1728" s="3"/>
      <c r="E1728" s="3"/>
      <c r="F1728" s="3"/>
      <c r="G1728" s="3"/>
      <c r="H1728" s="3"/>
      <c r="I1728" s="3"/>
      <c r="J1728" s="3"/>
      <c r="K1728" s="3"/>
      <c r="L1728" s="3"/>
      <c r="M1728" s="3"/>
      <c r="N1728" s="3"/>
      <c r="O1728" s="3"/>
      <c r="P1728" s="3"/>
      <c r="Q1728" s="3"/>
      <c r="R1728" s="3"/>
      <c r="S1728" s="3"/>
      <c r="T1728" s="3"/>
      <c r="U1728" s="3"/>
      <c r="V1728" s="3"/>
      <c r="W1728" s="3"/>
      <c r="X1728" s="3"/>
      <c r="Y1728" s="3"/>
      <c r="Z1728" s="3"/>
      <c r="AA1728" s="3"/>
    </row>
    <row r="1729">
      <c r="A1729" s="4"/>
      <c r="B1729" s="3"/>
      <c r="C1729" s="3"/>
      <c r="D1729" s="3"/>
      <c r="E1729" s="3"/>
      <c r="F1729" s="3"/>
      <c r="G1729" s="3"/>
      <c r="H1729" s="3"/>
      <c r="I1729" s="3"/>
      <c r="J1729" s="3"/>
      <c r="K1729" s="3"/>
      <c r="L1729" s="3"/>
      <c r="M1729" s="3"/>
      <c r="N1729" s="3"/>
      <c r="O1729" s="3"/>
      <c r="P1729" s="3"/>
      <c r="Q1729" s="3"/>
      <c r="R1729" s="3"/>
      <c r="S1729" s="3"/>
      <c r="T1729" s="3"/>
      <c r="U1729" s="3"/>
      <c r="V1729" s="3"/>
      <c r="W1729" s="3"/>
      <c r="X1729" s="3"/>
      <c r="Y1729" s="3"/>
      <c r="Z1729" s="3"/>
      <c r="AA1729" s="3"/>
    </row>
    <row r="1730">
      <c r="A1730" s="4"/>
      <c r="B1730" s="3"/>
      <c r="C1730" s="3"/>
      <c r="D1730" s="3"/>
      <c r="E1730" s="3"/>
      <c r="F1730" s="3"/>
      <c r="G1730" s="3"/>
      <c r="H1730" s="3"/>
      <c r="I1730" s="3"/>
      <c r="J1730" s="3"/>
      <c r="K1730" s="3"/>
      <c r="L1730" s="3"/>
      <c r="M1730" s="3"/>
      <c r="N1730" s="3"/>
      <c r="O1730" s="3"/>
      <c r="P1730" s="3"/>
      <c r="Q1730" s="3"/>
      <c r="R1730" s="3"/>
      <c r="S1730" s="3"/>
      <c r="T1730" s="3"/>
      <c r="U1730" s="3"/>
      <c r="V1730" s="3"/>
      <c r="W1730" s="3"/>
      <c r="X1730" s="3"/>
      <c r="Y1730" s="3"/>
      <c r="Z1730" s="3"/>
      <c r="AA1730" s="3"/>
    </row>
    <row r="1731">
      <c r="A1731" s="4"/>
      <c r="B1731" s="3"/>
      <c r="C1731" s="3"/>
      <c r="D1731" s="3"/>
      <c r="E1731" s="3"/>
      <c r="F1731" s="3"/>
      <c r="G1731" s="3"/>
      <c r="H1731" s="3"/>
      <c r="I1731" s="3"/>
      <c r="J1731" s="3"/>
      <c r="K1731" s="3"/>
      <c r="L1731" s="3"/>
      <c r="M1731" s="3"/>
      <c r="N1731" s="3"/>
      <c r="O1731" s="3"/>
      <c r="P1731" s="3"/>
      <c r="Q1731" s="3"/>
      <c r="R1731" s="3"/>
      <c r="S1731" s="3"/>
      <c r="T1731" s="3"/>
      <c r="U1731" s="3"/>
      <c r="V1731" s="3"/>
      <c r="W1731" s="3"/>
      <c r="X1731" s="3"/>
      <c r="Y1731" s="3"/>
      <c r="Z1731" s="3"/>
      <c r="AA1731" s="3"/>
    </row>
    <row r="1732">
      <c r="A1732" s="4"/>
      <c r="B1732" s="3"/>
      <c r="C1732" s="3"/>
      <c r="D1732" s="3"/>
      <c r="E1732" s="3"/>
      <c r="F1732" s="3"/>
      <c r="G1732" s="3"/>
      <c r="H1732" s="3"/>
      <c r="I1732" s="3"/>
      <c r="J1732" s="3"/>
      <c r="K1732" s="3"/>
      <c r="L1732" s="3"/>
      <c r="M1732" s="3"/>
      <c r="N1732" s="3"/>
      <c r="O1732" s="3"/>
      <c r="P1732" s="3"/>
      <c r="Q1732" s="3"/>
      <c r="R1732" s="3"/>
      <c r="S1732" s="3"/>
      <c r="T1732" s="3"/>
      <c r="U1732" s="3"/>
      <c r="V1732" s="3"/>
      <c r="W1732" s="3"/>
      <c r="X1732" s="3"/>
      <c r="Y1732" s="3"/>
      <c r="Z1732" s="3"/>
      <c r="AA1732" s="3"/>
    </row>
    <row r="1733">
      <c r="A1733" s="4"/>
      <c r="B1733" s="3"/>
      <c r="C1733" s="3"/>
      <c r="D1733" s="3"/>
      <c r="E1733" s="3"/>
      <c r="F1733" s="3"/>
      <c r="G1733" s="3"/>
      <c r="H1733" s="3"/>
      <c r="I1733" s="3"/>
      <c r="J1733" s="3"/>
      <c r="K1733" s="3"/>
      <c r="L1733" s="3"/>
      <c r="M1733" s="3"/>
      <c r="N1733" s="3"/>
      <c r="O1733" s="3"/>
      <c r="P1733" s="3"/>
      <c r="Q1733" s="3"/>
      <c r="R1733" s="3"/>
      <c r="S1733" s="3"/>
      <c r="T1733" s="3"/>
      <c r="U1733" s="3"/>
      <c r="V1733" s="3"/>
      <c r="W1733" s="3"/>
      <c r="X1733" s="3"/>
      <c r="Y1733" s="3"/>
      <c r="Z1733" s="3"/>
      <c r="AA1733" s="3"/>
    </row>
    <row r="1734">
      <c r="A1734" s="4"/>
      <c r="B1734" s="3"/>
      <c r="C1734" s="3"/>
      <c r="D1734" s="3"/>
      <c r="E1734" s="3"/>
      <c r="F1734" s="3"/>
      <c r="G1734" s="3"/>
      <c r="H1734" s="3"/>
      <c r="I1734" s="3"/>
      <c r="J1734" s="3"/>
      <c r="K1734" s="3"/>
      <c r="L1734" s="3"/>
      <c r="M1734" s="3"/>
      <c r="N1734" s="3"/>
      <c r="O1734" s="3"/>
      <c r="P1734" s="3"/>
      <c r="Q1734" s="3"/>
      <c r="R1734" s="3"/>
      <c r="S1734" s="3"/>
      <c r="T1734" s="3"/>
      <c r="U1734" s="3"/>
      <c r="V1734" s="3"/>
      <c r="W1734" s="3"/>
      <c r="X1734" s="3"/>
      <c r="Y1734" s="3"/>
      <c r="Z1734" s="3"/>
      <c r="AA1734" s="3"/>
    </row>
    <row r="1735">
      <c r="A1735" s="4"/>
      <c r="B1735" s="3"/>
      <c r="C1735" s="3"/>
      <c r="D1735" s="3"/>
      <c r="E1735" s="3"/>
      <c r="F1735" s="3"/>
      <c r="G1735" s="3"/>
      <c r="H1735" s="3"/>
      <c r="I1735" s="3"/>
      <c r="J1735" s="3"/>
      <c r="K1735" s="3"/>
      <c r="L1735" s="3"/>
      <c r="M1735" s="3"/>
      <c r="N1735" s="3"/>
      <c r="O1735" s="3"/>
      <c r="P1735" s="3"/>
      <c r="Q1735" s="3"/>
      <c r="R1735" s="3"/>
      <c r="S1735" s="3"/>
      <c r="T1735" s="3"/>
      <c r="U1735" s="3"/>
      <c r="V1735" s="3"/>
      <c r="W1735" s="3"/>
      <c r="X1735" s="3"/>
      <c r="Y1735" s="3"/>
      <c r="Z1735" s="3"/>
      <c r="AA1735" s="3"/>
    </row>
    <row r="1736">
      <c r="A1736" s="4"/>
      <c r="B1736" s="3"/>
      <c r="C1736" s="3"/>
      <c r="D1736" s="3"/>
      <c r="E1736" s="3"/>
      <c r="F1736" s="3"/>
      <c r="G1736" s="3"/>
      <c r="H1736" s="3"/>
      <c r="I1736" s="3"/>
      <c r="J1736" s="3"/>
      <c r="K1736" s="3"/>
      <c r="L1736" s="3"/>
      <c r="M1736" s="3"/>
      <c r="N1736" s="3"/>
      <c r="O1736" s="3"/>
      <c r="P1736" s="3"/>
      <c r="Q1736" s="3"/>
      <c r="R1736" s="3"/>
      <c r="S1736" s="3"/>
      <c r="T1736" s="3"/>
      <c r="U1736" s="3"/>
      <c r="V1736" s="3"/>
      <c r="W1736" s="3"/>
      <c r="X1736" s="3"/>
      <c r="Y1736" s="3"/>
      <c r="Z1736" s="3"/>
      <c r="AA1736" s="3"/>
    </row>
    <row r="1737">
      <c r="A1737" s="4"/>
      <c r="B1737" s="3"/>
      <c r="C1737" s="3"/>
      <c r="D1737" s="3"/>
      <c r="E1737" s="3"/>
      <c r="F1737" s="3"/>
      <c r="G1737" s="3"/>
      <c r="H1737" s="3"/>
      <c r="I1737" s="3"/>
      <c r="J1737" s="3"/>
      <c r="K1737" s="3"/>
      <c r="L1737" s="3"/>
      <c r="M1737" s="3"/>
      <c r="N1737" s="3"/>
      <c r="O1737" s="3"/>
      <c r="P1737" s="3"/>
      <c r="Q1737" s="3"/>
      <c r="R1737" s="3"/>
      <c r="S1737" s="3"/>
      <c r="T1737" s="3"/>
      <c r="U1737" s="3"/>
      <c r="V1737" s="3"/>
      <c r="W1737" s="3"/>
      <c r="X1737" s="3"/>
      <c r="Y1737" s="3"/>
      <c r="Z1737" s="3"/>
      <c r="AA1737" s="3"/>
    </row>
    <row r="1738">
      <c r="A1738" s="4"/>
      <c r="B1738" s="3"/>
      <c r="C1738" s="3"/>
      <c r="D1738" s="3"/>
      <c r="E1738" s="3"/>
      <c r="F1738" s="3"/>
      <c r="G1738" s="3"/>
      <c r="H1738" s="3"/>
      <c r="I1738" s="3"/>
      <c r="J1738" s="3"/>
      <c r="K1738" s="3"/>
      <c r="L1738" s="3"/>
      <c r="M1738" s="3"/>
      <c r="N1738" s="3"/>
      <c r="O1738" s="3"/>
      <c r="P1738" s="3"/>
      <c r="Q1738" s="3"/>
      <c r="R1738" s="3"/>
      <c r="S1738" s="3"/>
      <c r="T1738" s="3"/>
      <c r="U1738" s="3"/>
      <c r="V1738" s="3"/>
      <c r="W1738" s="3"/>
      <c r="X1738" s="3"/>
      <c r="Y1738" s="3"/>
      <c r="Z1738" s="3"/>
      <c r="AA1738" s="3"/>
    </row>
    <row r="1739">
      <c r="A1739" s="4"/>
      <c r="B1739" s="3"/>
      <c r="C1739" s="3"/>
      <c r="D1739" s="3"/>
      <c r="E1739" s="3"/>
      <c r="F1739" s="3"/>
      <c r="G1739" s="3"/>
      <c r="H1739" s="3"/>
      <c r="I1739" s="3"/>
      <c r="J1739" s="3"/>
      <c r="K1739" s="3"/>
      <c r="L1739" s="3"/>
      <c r="M1739" s="3"/>
      <c r="N1739" s="3"/>
      <c r="O1739" s="3"/>
      <c r="P1739" s="3"/>
      <c r="Q1739" s="3"/>
      <c r="R1739" s="3"/>
      <c r="S1739" s="3"/>
      <c r="T1739" s="3"/>
      <c r="U1739" s="3"/>
      <c r="V1739" s="3"/>
      <c r="W1739" s="3"/>
      <c r="X1739" s="3"/>
      <c r="Y1739" s="3"/>
      <c r="Z1739" s="3"/>
      <c r="AA1739" s="3"/>
    </row>
    <row r="1740">
      <c r="A1740" s="4"/>
      <c r="B1740" s="3"/>
      <c r="C1740" s="3"/>
      <c r="D1740" s="3"/>
      <c r="E1740" s="3"/>
      <c r="F1740" s="3"/>
      <c r="G1740" s="3"/>
      <c r="H1740" s="3"/>
      <c r="I1740" s="3"/>
      <c r="J1740" s="3"/>
      <c r="K1740" s="3"/>
      <c r="L1740" s="3"/>
      <c r="M1740" s="3"/>
      <c r="N1740" s="3"/>
      <c r="O1740" s="3"/>
      <c r="P1740" s="3"/>
      <c r="Q1740" s="3"/>
      <c r="R1740" s="3"/>
      <c r="S1740" s="3"/>
      <c r="T1740" s="3"/>
      <c r="U1740" s="3"/>
      <c r="V1740" s="3"/>
      <c r="W1740" s="3"/>
      <c r="X1740" s="3"/>
      <c r="Y1740" s="3"/>
      <c r="Z1740" s="3"/>
      <c r="AA1740" s="3"/>
    </row>
    <row r="1741">
      <c r="A1741" s="4"/>
      <c r="B1741" s="3"/>
      <c r="C1741" s="3"/>
      <c r="D1741" s="3"/>
      <c r="E1741" s="3"/>
      <c r="F1741" s="3"/>
      <c r="G1741" s="3"/>
      <c r="H1741" s="3"/>
      <c r="I1741" s="3"/>
      <c r="J1741" s="3"/>
      <c r="K1741" s="3"/>
      <c r="L1741" s="3"/>
      <c r="M1741" s="3"/>
      <c r="N1741" s="3"/>
      <c r="O1741" s="3"/>
      <c r="P1741" s="3"/>
      <c r="Q1741" s="3"/>
      <c r="R1741" s="3"/>
      <c r="S1741" s="3"/>
      <c r="T1741" s="3"/>
      <c r="U1741" s="3"/>
      <c r="V1741" s="3"/>
      <c r="W1741" s="3"/>
      <c r="X1741" s="3"/>
      <c r="Y1741" s="3"/>
      <c r="Z1741" s="3"/>
      <c r="AA1741" s="3"/>
    </row>
    <row r="1742">
      <c r="A1742" s="4"/>
      <c r="B1742" s="3"/>
      <c r="C1742" s="3"/>
      <c r="D1742" s="3"/>
      <c r="E1742" s="3"/>
      <c r="F1742" s="3"/>
      <c r="G1742" s="3"/>
      <c r="H1742" s="3"/>
      <c r="I1742" s="3"/>
      <c r="J1742" s="3"/>
      <c r="K1742" s="3"/>
      <c r="L1742" s="3"/>
      <c r="M1742" s="3"/>
      <c r="N1742" s="3"/>
      <c r="O1742" s="3"/>
      <c r="P1742" s="3"/>
      <c r="Q1742" s="3"/>
      <c r="R1742" s="3"/>
      <c r="S1742" s="3"/>
      <c r="T1742" s="3"/>
      <c r="U1742" s="3"/>
      <c r="V1742" s="3"/>
      <c r="W1742" s="3"/>
      <c r="X1742" s="3"/>
      <c r="Y1742" s="3"/>
      <c r="Z1742" s="3"/>
      <c r="AA1742" s="3"/>
    </row>
    <row r="1743">
      <c r="A1743" s="4"/>
      <c r="B1743" s="3"/>
      <c r="C1743" s="3"/>
      <c r="D1743" s="3"/>
      <c r="E1743" s="3"/>
      <c r="F1743" s="3"/>
      <c r="G1743" s="3"/>
      <c r="H1743" s="3"/>
      <c r="I1743" s="3"/>
      <c r="J1743" s="3"/>
      <c r="K1743" s="3"/>
      <c r="L1743" s="3"/>
      <c r="M1743" s="3"/>
      <c r="N1743" s="3"/>
      <c r="O1743" s="3"/>
      <c r="P1743" s="3"/>
      <c r="Q1743" s="3"/>
      <c r="R1743" s="3"/>
      <c r="S1743" s="3"/>
      <c r="T1743" s="3"/>
      <c r="U1743" s="3"/>
      <c r="V1743" s="3"/>
      <c r="W1743" s="3"/>
      <c r="X1743" s="3"/>
      <c r="Y1743" s="3"/>
      <c r="Z1743" s="3"/>
      <c r="AA1743" s="3"/>
    </row>
    <row r="1744">
      <c r="A1744" s="4"/>
      <c r="B1744" s="3"/>
      <c r="C1744" s="3"/>
      <c r="D1744" s="3"/>
      <c r="E1744" s="3"/>
      <c r="F1744" s="3"/>
      <c r="G1744" s="3"/>
      <c r="H1744" s="3"/>
      <c r="I1744" s="3"/>
      <c r="J1744" s="3"/>
      <c r="K1744" s="3"/>
      <c r="L1744" s="3"/>
      <c r="M1744" s="3"/>
      <c r="N1744" s="3"/>
      <c r="O1744" s="3"/>
      <c r="P1744" s="3"/>
      <c r="Q1744" s="3"/>
      <c r="R1744" s="3"/>
      <c r="S1744" s="3"/>
      <c r="T1744" s="3"/>
      <c r="U1744" s="3"/>
      <c r="V1744" s="3"/>
      <c r="W1744" s="3"/>
      <c r="X1744" s="3"/>
      <c r="Y1744" s="3"/>
      <c r="Z1744" s="3"/>
      <c r="AA1744" s="3"/>
    </row>
    <row r="1745">
      <c r="A1745" s="4"/>
      <c r="B1745" s="3"/>
      <c r="C1745" s="3"/>
      <c r="D1745" s="3"/>
      <c r="E1745" s="3"/>
      <c r="F1745" s="3"/>
      <c r="G1745" s="3"/>
      <c r="H1745" s="3"/>
      <c r="I1745" s="3"/>
      <c r="J1745" s="3"/>
      <c r="K1745" s="3"/>
      <c r="L1745" s="3"/>
      <c r="M1745" s="3"/>
      <c r="N1745" s="3"/>
      <c r="O1745" s="3"/>
      <c r="P1745" s="3"/>
      <c r="Q1745" s="3"/>
      <c r="R1745" s="3"/>
      <c r="S1745" s="3"/>
      <c r="T1745" s="3"/>
      <c r="U1745" s="3"/>
      <c r="V1745" s="3"/>
      <c r="W1745" s="3"/>
      <c r="X1745" s="3"/>
      <c r="Y1745" s="3"/>
      <c r="Z1745" s="3"/>
      <c r="AA1745" s="3"/>
    </row>
    <row r="1746">
      <c r="A1746" s="4"/>
      <c r="B1746" s="3"/>
      <c r="C1746" s="3"/>
      <c r="D1746" s="3"/>
      <c r="E1746" s="3"/>
      <c r="F1746" s="3"/>
      <c r="G1746" s="3"/>
      <c r="H1746" s="3"/>
      <c r="I1746" s="3"/>
      <c r="J1746" s="3"/>
      <c r="K1746" s="3"/>
      <c r="L1746" s="3"/>
      <c r="M1746" s="3"/>
      <c r="N1746" s="3"/>
      <c r="O1746" s="3"/>
      <c r="P1746" s="3"/>
      <c r="Q1746" s="3"/>
      <c r="R1746" s="3"/>
      <c r="S1746" s="3"/>
      <c r="T1746" s="3"/>
      <c r="U1746" s="3"/>
      <c r="V1746" s="3"/>
      <c r="W1746" s="3"/>
      <c r="X1746" s="3"/>
      <c r="Y1746" s="3"/>
      <c r="Z1746" s="3"/>
      <c r="AA1746" s="3"/>
    </row>
    <row r="1747">
      <c r="A1747" s="4"/>
      <c r="B1747" s="3"/>
      <c r="C1747" s="3"/>
      <c r="D1747" s="3"/>
      <c r="E1747" s="3"/>
      <c r="F1747" s="3"/>
      <c r="G1747" s="3"/>
      <c r="H1747" s="3"/>
      <c r="I1747" s="3"/>
      <c r="J1747" s="3"/>
      <c r="K1747" s="3"/>
      <c r="L1747" s="3"/>
      <c r="M1747" s="3"/>
      <c r="N1747" s="3"/>
      <c r="O1747" s="3"/>
      <c r="P1747" s="3"/>
      <c r="Q1747" s="3"/>
      <c r="R1747" s="3"/>
      <c r="S1747" s="3"/>
      <c r="T1747" s="3"/>
      <c r="U1747" s="3"/>
      <c r="V1747" s="3"/>
      <c r="W1747" s="3"/>
      <c r="X1747" s="3"/>
      <c r="Y1747" s="3"/>
      <c r="Z1747" s="3"/>
      <c r="AA1747" s="3"/>
    </row>
    <row r="1748">
      <c r="A1748" s="4"/>
      <c r="B1748" s="3"/>
      <c r="C1748" s="3"/>
      <c r="D1748" s="3"/>
      <c r="E1748" s="3"/>
      <c r="F1748" s="3"/>
      <c r="G1748" s="3"/>
      <c r="H1748" s="3"/>
      <c r="I1748" s="3"/>
      <c r="J1748" s="3"/>
      <c r="K1748" s="3"/>
      <c r="L1748" s="3"/>
      <c r="M1748" s="3"/>
      <c r="N1748" s="3"/>
      <c r="O1748" s="3"/>
      <c r="P1748" s="3"/>
      <c r="Q1748" s="3"/>
      <c r="R1748" s="3"/>
      <c r="S1748" s="3"/>
      <c r="T1748" s="3"/>
      <c r="U1748" s="3"/>
      <c r="V1748" s="3"/>
      <c r="W1748" s="3"/>
      <c r="X1748" s="3"/>
      <c r="Y1748" s="3"/>
      <c r="Z1748" s="3"/>
      <c r="AA1748" s="3"/>
    </row>
    <row r="1749">
      <c r="A1749" s="4"/>
      <c r="B1749" s="3"/>
      <c r="C1749" s="3"/>
      <c r="D1749" s="3"/>
      <c r="E1749" s="3"/>
      <c r="F1749" s="3"/>
      <c r="G1749" s="3"/>
      <c r="H1749" s="3"/>
      <c r="I1749" s="3"/>
      <c r="J1749" s="3"/>
      <c r="K1749" s="3"/>
      <c r="L1749" s="3"/>
      <c r="M1749" s="3"/>
      <c r="N1749" s="3"/>
      <c r="O1749" s="3"/>
      <c r="P1749" s="3"/>
      <c r="Q1749" s="3"/>
      <c r="R1749" s="3"/>
      <c r="S1749" s="3"/>
      <c r="T1749" s="3"/>
      <c r="U1749" s="3"/>
      <c r="V1749" s="3"/>
      <c r="W1749" s="3"/>
      <c r="X1749" s="3"/>
      <c r="Y1749" s="3"/>
      <c r="Z1749" s="3"/>
      <c r="AA1749" s="3"/>
    </row>
    <row r="1750">
      <c r="A1750" s="4"/>
      <c r="B1750" s="3"/>
      <c r="C1750" s="3"/>
      <c r="D1750" s="3"/>
      <c r="E1750" s="3"/>
      <c r="F1750" s="3"/>
      <c r="G1750" s="3"/>
      <c r="H1750" s="3"/>
      <c r="I1750" s="3"/>
      <c r="J1750" s="3"/>
      <c r="K1750" s="3"/>
      <c r="L1750" s="3"/>
      <c r="M1750" s="3"/>
      <c r="N1750" s="3"/>
      <c r="O1750" s="3"/>
      <c r="P1750" s="3"/>
      <c r="Q1750" s="3"/>
      <c r="R1750" s="3"/>
      <c r="S1750" s="3"/>
      <c r="T1750" s="3"/>
      <c r="U1750" s="3"/>
      <c r="V1750" s="3"/>
      <c r="W1750" s="3"/>
      <c r="X1750" s="3"/>
      <c r="Y1750" s="3"/>
      <c r="Z1750" s="3"/>
      <c r="AA1750" s="3"/>
    </row>
    <row r="1751">
      <c r="A1751" s="4"/>
      <c r="B1751" s="3"/>
      <c r="C1751" s="3"/>
      <c r="D1751" s="3"/>
      <c r="E1751" s="3"/>
      <c r="F1751" s="3"/>
      <c r="G1751" s="3"/>
      <c r="H1751" s="3"/>
      <c r="I1751" s="3"/>
      <c r="J1751" s="3"/>
      <c r="K1751" s="3"/>
      <c r="L1751" s="3"/>
      <c r="M1751" s="3"/>
      <c r="N1751" s="3"/>
      <c r="O1751" s="3"/>
      <c r="P1751" s="3"/>
      <c r="Q1751" s="3"/>
      <c r="R1751" s="3"/>
      <c r="S1751" s="3"/>
      <c r="T1751" s="3"/>
      <c r="U1751" s="3"/>
      <c r="V1751" s="3"/>
      <c r="W1751" s="3"/>
      <c r="X1751" s="3"/>
      <c r="Y1751" s="3"/>
      <c r="Z1751" s="3"/>
      <c r="AA1751" s="3"/>
    </row>
    <row r="1752">
      <c r="A1752" s="4"/>
      <c r="B1752" s="3"/>
      <c r="C1752" s="3"/>
      <c r="D1752" s="3"/>
      <c r="E1752" s="3"/>
      <c r="F1752" s="3"/>
      <c r="G1752" s="3"/>
      <c r="H1752" s="3"/>
      <c r="I1752" s="3"/>
      <c r="J1752" s="3"/>
      <c r="K1752" s="3"/>
      <c r="L1752" s="3"/>
      <c r="M1752" s="3"/>
      <c r="N1752" s="3"/>
      <c r="O1752" s="3"/>
      <c r="P1752" s="3"/>
      <c r="Q1752" s="3"/>
      <c r="R1752" s="3"/>
      <c r="S1752" s="3"/>
      <c r="T1752" s="3"/>
      <c r="U1752" s="3"/>
      <c r="V1752" s="3"/>
      <c r="W1752" s="3"/>
      <c r="X1752" s="3"/>
      <c r="Y1752" s="3"/>
      <c r="Z1752" s="3"/>
      <c r="AA1752" s="3"/>
    </row>
    <row r="1753">
      <c r="A1753" s="4"/>
      <c r="B1753" s="3"/>
      <c r="C1753" s="3"/>
      <c r="D1753" s="3"/>
      <c r="E1753" s="3"/>
      <c r="F1753" s="3"/>
      <c r="G1753" s="3"/>
      <c r="H1753" s="3"/>
      <c r="I1753" s="3"/>
      <c r="J1753" s="3"/>
      <c r="K1753" s="3"/>
      <c r="L1753" s="3"/>
      <c r="M1753" s="3"/>
      <c r="N1753" s="3"/>
      <c r="O1753" s="3"/>
      <c r="P1753" s="3"/>
      <c r="Q1753" s="3"/>
      <c r="R1753" s="3"/>
      <c r="S1753" s="3"/>
      <c r="T1753" s="3"/>
      <c r="U1753" s="3"/>
      <c r="V1753" s="3"/>
      <c r="W1753" s="3"/>
      <c r="X1753" s="3"/>
      <c r="Y1753" s="3"/>
      <c r="Z1753" s="3"/>
      <c r="AA1753" s="3"/>
    </row>
    <row r="1754">
      <c r="A1754" s="4"/>
      <c r="B1754" s="3"/>
      <c r="C1754" s="3"/>
      <c r="D1754" s="3"/>
      <c r="E1754" s="3"/>
      <c r="F1754" s="3"/>
      <c r="G1754" s="3"/>
      <c r="H1754" s="3"/>
      <c r="I1754" s="3"/>
      <c r="J1754" s="3"/>
      <c r="K1754" s="3"/>
      <c r="L1754" s="3"/>
      <c r="M1754" s="3"/>
      <c r="N1754" s="3"/>
      <c r="O1754" s="3"/>
      <c r="P1754" s="3"/>
      <c r="Q1754" s="3"/>
      <c r="R1754" s="3"/>
      <c r="S1754" s="3"/>
      <c r="T1754" s="3"/>
      <c r="U1754" s="3"/>
      <c r="V1754" s="3"/>
      <c r="W1754" s="3"/>
      <c r="X1754" s="3"/>
      <c r="Y1754" s="3"/>
      <c r="Z1754" s="3"/>
      <c r="AA1754" s="3"/>
    </row>
    <row r="1755">
      <c r="A1755" s="4"/>
      <c r="B1755" s="3"/>
      <c r="C1755" s="3"/>
      <c r="D1755" s="3"/>
      <c r="E1755" s="3"/>
      <c r="F1755" s="3"/>
      <c r="G1755" s="3"/>
      <c r="H1755" s="3"/>
      <c r="I1755" s="3"/>
      <c r="J1755" s="3"/>
      <c r="K1755" s="3"/>
      <c r="L1755" s="3"/>
      <c r="M1755" s="3"/>
      <c r="N1755" s="3"/>
      <c r="O1755" s="3"/>
      <c r="P1755" s="3"/>
      <c r="Q1755" s="3"/>
      <c r="R1755" s="3"/>
      <c r="S1755" s="3"/>
      <c r="T1755" s="3"/>
      <c r="U1755" s="3"/>
      <c r="V1755" s="3"/>
      <c r="W1755" s="3"/>
      <c r="X1755" s="3"/>
      <c r="Y1755" s="3"/>
      <c r="Z1755" s="3"/>
      <c r="AA1755" s="3"/>
    </row>
    <row r="1756">
      <c r="A1756" s="4"/>
      <c r="B1756" s="3"/>
      <c r="C1756" s="3"/>
      <c r="D1756" s="3"/>
      <c r="E1756" s="3"/>
      <c r="F1756" s="3"/>
      <c r="G1756" s="3"/>
      <c r="H1756" s="3"/>
      <c r="I1756" s="3"/>
      <c r="J1756" s="3"/>
      <c r="K1756" s="3"/>
      <c r="L1756" s="3"/>
      <c r="M1756" s="3"/>
      <c r="N1756" s="3"/>
      <c r="O1756" s="3"/>
      <c r="P1756" s="3"/>
      <c r="Q1756" s="3"/>
      <c r="R1756" s="3"/>
      <c r="S1756" s="3"/>
      <c r="T1756" s="3"/>
      <c r="U1756" s="3"/>
      <c r="V1756" s="3"/>
      <c r="W1756" s="3"/>
      <c r="X1756" s="3"/>
      <c r="Y1756" s="3"/>
      <c r="Z1756" s="3"/>
      <c r="AA1756" s="3"/>
    </row>
    <row r="1757">
      <c r="A1757" s="4"/>
      <c r="B1757" s="3"/>
      <c r="C1757" s="3"/>
      <c r="D1757" s="3"/>
      <c r="E1757" s="3"/>
      <c r="F1757" s="3"/>
      <c r="G1757" s="3"/>
      <c r="H1757" s="3"/>
      <c r="I1757" s="3"/>
      <c r="J1757" s="3"/>
      <c r="K1757" s="3"/>
      <c r="L1757" s="3"/>
      <c r="M1757" s="3"/>
      <c r="N1757" s="3"/>
      <c r="O1757" s="3"/>
      <c r="P1757" s="3"/>
      <c r="Q1757" s="3"/>
      <c r="R1757" s="3"/>
      <c r="S1757" s="3"/>
      <c r="T1757" s="3"/>
      <c r="U1757" s="3"/>
      <c r="V1757" s="3"/>
      <c r="W1757" s="3"/>
      <c r="X1757" s="3"/>
      <c r="Y1757" s="3"/>
      <c r="Z1757" s="3"/>
      <c r="AA1757" s="3"/>
    </row>
    <row r="1758">
      <c r="A1758" s="4"/>
      <c r="B1758" s="3"/>
      <c r="C1758" s="3"/>
      <c r="D1758" s="3"/>
      <c r="E1758" s="3"/>
      <c r="F1758" s="3"/>
      <c r="G1758" s="3"/>
      <c r="H1758" s="3"/>
      <c r="I1758" s="3"/>
      <c r="J1758" s="3"/>
      <c r="K1758" s="3"/>
      <c r="L1758" s="3"/>
      <c r="M1758" s="3"/>
      <c r="N1758" s="3"/>
      <c r="O1758" s="3"/>
      <c r="P1758" s="3"/>
      <c r="Q1758" s="3"/>
      <c r="R1758" s="3"/>
      <c r="S1758" s="3"/>
      <c r="T1758" s="3"/>
      <c r="U1758" s="3"/>
      <c r="V1758" s="3"/>
      <c r="W1758" s="3"/>
      <c r="X1758" s="3"/>
      <c r="Y1758" s="3"/>
      <c r="Z1758" s="3"/>
      <c r="AA1758" s="3"/>
    </row>
    <row r="1759">
      <c r="A1759" s="4"/>
      <c r="B1759" s="3"/>
      <c r="C1759" s="3"/>
      <c r="D1759" s="3"/>
      <c r="E1759" s="3"/>
      <c r="F1759" s="3"/>
      <c r="G1759" s="3"/>
      <c r="H1759" s="3"/>
      <c r="I1759" s="3"/>
      <c r="J1759" s="3"/>
      <c r="K1759" s="3"/>
      <c r="L1759" s="3"/>
      <c r="M1759" s="3"/>
      <c r="N1759" s="3"/>
      <c r="O1759" s="3"/>
      <c r="P1759" s="3"/>
      <c r="Q1759" s="3"/>
      <c r="R1759" s="3"/>
      <c r="S1759" s="3"/>
      <c r="T1759" s="3"/>
      <c r="U1759" s="3"/>
      <c r="V1759" s="3"/>
      <c r="W1759" s="3"/>
      <c r="X1759" s="3"/>
      <c r="Y1759" s="3"/>
      <c r="Z1759" s="3"/>
      <c r="AA1759" s="3"/>
    </row>
    <row r="1760">
      <c r="A1760" s="4"/>
      <c r="B1760" s="3"/>
      <c r="C1760" s="3"/>
      <c r="D1760" s="3"/>
      <c r="E1760" s="3"/>
      <c r="F1760" s="3"/>
      <c r="G1760" s="3"/>
      <c r="H1760" s="3"/>
      <c r="I1760" s="3"/>
      <c r="J1760" s="3"/>
      <c r="K1760" s="3"/>
      <c r="L1760" s="3"/>
      <c r="M1760" s="3"/>
      <c r="N1760" s="3"/>
      <c r="O1760" s="3"/>
      <c r="P1760" s="3"/>
      <c r="Q1760" s="3"/>
      <c r="R1760" s="3"/>
      <c r="S1760" s="3"/>
      <c r="T1760" s="3"/>
      <c r="U1760" s="3"/>
      <c r="V1760" s="3"/>
      <c r="W1760" s="3"/>
      <c r="X1760" s="3"/>
      <c r="Y1760" s="3"/>
      <c r="Z1760" s="3"/>
      <c r="AA1760" s="3"/>
    </row>
    <row r="1761">
      <c r="A1761" s="4"/>
      <c r="B1761" s="3"/>
      <c r="C1761" s="3"/>
      <c r="D1761" s="3"/>
      <c r="E1761" s="3"/>
      <c r="F1761" s="3"/>
      <c r="G1761" s="3"/>
      <c r="H1761" s="3"/>
      <c r="I1761" s="3"/>
      <c r="J1761" s="3"/>
      <c r="K1761" s="3"/>
      <c r="L1761" s="3"/>
      <c r="M1761" s="3"/>
      <c r="N1761" s="3"/>
      <c r="O1761" s="3"/>
      <c r="P1761" s="3"/>
      <c r="Q1761" s="3"/>
      <c r="R1761" s="3"/>
      <c r="S1761" s="3"/>
      <c r="T1761" s="3"/>
      <c r="U1761" s="3"/>
      <c r="V1761" s="3"/>
      <c r="W1761" s="3"/>
      <c r="X1761" s="3"/>
      <c r="Y1761" s="3"/>
      <c r="Z1761" s="3"/>
      <c r="AA1761" s="3"/>
    </row>
    <row r="1762">
      <c r="A1762" s="4"/>
      <c r="B1762" s="3"/>
      <c r="C1762" s="3"/>
      <c r="D1762" s="3"/>
      <c r="E1762" s="3"/>
      <c r="F1762" s="3"/>
      <c r="G1762" s="3"/>
      <c r="H1762" s="3"/>
      <c r="I1762" s="3"/>
      <c r="J1762" s="3"/>
      <c r="K1762" s="3"/>
      <c r="L1762" s="3"/>
      <c r="M1762" s="3"/>
      <c r="N1762" s="3"/>
      <c r="O1762" s="3"/>
      <c r="P1762" s="3"/>
      <c r="Q1762" s="3"/>
      <c r="R1762" s="3"/>
      <c r="S1762" s="3"/>
      <c r="T1762" s="3"/>
      <c r="U1762" s="3"/>
      <c r="V1762" s="3"/>
      <c r="W1762" s="3"/>
      <c r="X1762" s="3"/>
      <c r="Y1762" s="3"/>
      <c r="Z1762" s="3"/>
      <c r="AA1762" s="3"/>
    </row>
    <row r="1763">
      <c r="A1763" s="4"/>
      <c r="B1763" s="3"/>
      <c r="C1763" s="3"/>
      <c r="D1763" s="3"/>
      <c r="E1763" s="3"/>
      <c r="F1763" s="3"/>
      <c r="G1763" s="3"/>
      <c r="H1763" s="3"/>
      <c r="I1763" s="3"/>
      <c r="J1763" s="3"/>
      <c r="K1763" s="3"/>
      <c r="L1763" s="3"/>
      <c r="M1763" s="3"/>
      <c r="N1763" s="3"/>
      <c r="O1763" s="3"/>
      <c r="P1763" s="3"/>
      <c r="Q1763" s="3"/>
      <c r="R1763" s="3"/>
      <c r="S1763" s="3"/>
      <c r="T1763" s="3"/>
      <c r="U1763" s="3"/>
      <c r="V1763" s="3"/>
      <c r="W1763" s="3"/>
      <c r="X1763" s="3"/>
      <c r="Y1763" s="3"/>
      <c r="Z1763" s="3"/>
      <c r="AA1763" s="3"/>
    </row>
    <row r="1764">
      <c r="A1764" s="4"/>
      <c r="B1764" s="3"/>
      <c r="C1764" s="3"/>
      <c r="D1764" s="3"/>
      <c r="E1764" s="3"/>
      <c r="F1764" s="3"/>
      <c r="G1764" s="3"/>
      <c r="H1764" s="3"/>
      <c r="I1764" s="3"/>
      <c r="J1764" s="3"/>
      <c r="K1764" s="3"/>
      <c r="L1764" s="3"/>
      <c r="M1764" s="3"/>
      <c r="N1764" s="3"/>
      <c r="O1764" s="3"/>
      <c r="P1764" s="3"/>
      <c r="Q1764" s="3"/>
      <c r="R1764" s="3"/>
      <c r="S1764" s="3"/>
      <c r="T1764" s="3"/>
      <c r="U1764" s="3"/>
      <c r="V1764" s="3"/>
      <c r="W1764" s="3"/>
      <c r="X1764" s="3"/>
      <c r="Y1764" s="3"/>
      <c r="Z1764" s="3"/>
      <c r="AA1764" s="3"/>
    </row>
    <row r="1765">
      <c r="A1765" s="4"/>
      <c r="B1765" s="3"/>
      <c r="C1765" s="3"/>
      <c r="D1765" s="3"/>
      <c r="E1765" s="3"/>
      <c r="F1765" s="3"/>
      <c r="G1765" s="3"/>
      <c r="H1765" s="3"/>
      <c r="I1765" s="3"/>
      <c r="J1765" s="3"/>
      <c r="K1765" s="3"/>
      <c r="L1765" s="3"/>
      <c r="M1765" s="3"/>
      <c r="N1765" s="3"/>
      <c r="O1765" s="3"/>
      <c r="P1765" s="3"/>
      <c r="Q1765" s="3"/>
      <c r="R1765" s="3"/>
      <c r="S1765" s="3"/>
      <c r="T1765" s="3"/>
      <c r="U1765" s="3"/>
      <c r="V1765" s="3"/>
      <c r="W1765" s="3"/>
      <c r="X1765" s="3"/>
      <c r="Y1765" s="3"/>
      <c r="Z1765" s="3"/>
      <c r="AA1765" s="3"/>
    </row>
    <row r="1766">
      <c r="A1766" s="4"/>
      <c r="B1766" s="3"/>
      <c r="C1766" s="3"/>
      <c r="D1766" s="3"/>
      <c r="E1766" s="3"/>
      <c r="F1766" s="3"/>
      <c r="G1766" s="3"/>
      <c r="H1766" s="3"/>
      <c r="I1766" s="3"/>
      <c r="J1766" s="3"/>
      <c r="K1766" s="3"/>
      <c r="L1766" s="3"/>
      <c r="M1766" s="3"/>
      <c r="N1766" s="3"/>
      <c r="O1766" s="3"/>
      <c r="P1766" s="3"/>
      <c r="Q1766" s="3"/>
      <c r="R1766" s="3"/>
      <c r="S1766" s="3"/>
      <c r="T1766" s="3"/>
      <c r="U1766" s="3"/>
      <c r="V1766" s="3"/>
      <c r="W1766" s="3"/>
      <c r="X1766" s="3"/>
      <c r="Y1766" s="3"/>
      <c r="Z1766" s="3"/>
      <c r="AA1766" s="3"/>
    </row>
    <row r="1767">
      <c r="A1767" s="4"/>
      <c r="B1767" s="3"/>
      <c r="C1767" s="3"/>
      <c r="D1767" s="3"/>
      <c r="E1767" s="3"/>
      <c r="F1767" s="3"/>
      <c r="G1767" s="3"/>
      <c r="H1767" s="3"/>
      <c r="I1767" s="3"/>
      <c r="J1767" s="3"/>
      <c r="K1767" s="3"/>
      <c r="L1767" s="3"/>
      <c r="M1767" s="3"/>
      <c r="N1767" s="3"/>
      <c r="O1767" s="3"/>
      <c r="P1767" s="3"/>
      <c r="Q1767" s="3"/>
      <c r="R1767" s="3"/>
      <c r="S1767" s="3"/>
      <c r="T1767" s="3"/>
      <c r="U1767" s="3"/>
      <c r="V1767" s="3"/>
      <c r="W1767" s="3"/>
      <c r="X1767" s="3"/>
      <c r="Y1767" s="3"/>
      <c r="Z1767" s="3"/>
      <c r="AA1767" s="3"/>
    </row>
    <row r="1768">
      <c r="A1768" s="4"/>
      <c r="B1768" s="3"/>
      <c r="C1768" s="3"/>
      <c r="D1768" s="3"/>
      <c r="E1768" s="3"/>
      <c r="F1768" s="3"/>
      <c r="G1768" s="3"/>
      <c r="H1768" s="3"/>
      <c r="I1768" s="3"/>
      <c r="J1768" s="3"/>
      <c r="K1768" s="3"/>
      <c r="L1768" s="3"/>
      <c r="M1768" s="3"/>
      <c r="N1768" s="3"/>
      <c r="O1768" s="3"/>
      <c r="P1768" s="3"/>
      <c r="Q1768" s="3"/>
      <c r="R1768" s="3"/>
      <c r="S1768" s="3"/>
      <c r="T1768" s="3"/>
      <c r="U1768" s="3"/>
      <c r="V1768" s="3"/>
      <c r="W1768" s="3"/>
      <c r="X1768" s="3"/>
      <c r="Y1768" s="3"/>
      <c r="Z1768" s="3"/>
      <c r="AA1768" s="3"/>
    </row>
    <row r="1769">
      <c r="A1769" s="4"/>
      <c r="B1769" s="3"/>
      <c r="C1769" s="3"/>
      <c r="D1769" s="3"/>
      <c r="E1769" s="3"/>
      <c r="F1769" s="3"/>
      <c r="G1769" s="3"/>
      <c r="H1769" s="3"/>
      <c r="I1769" s="3"/>
      <c r="J1769" s="3"/>
      <c r="K1769" s="3"/>
      <c r="L1769" s="3"/>
      <c r="M1769" s="3"/>
      <c r="N1769" s="3"/>
      <c r="O1769" s="3"/>
      <c r="P1769" s="3"/>
      <c r="Q1769" s="3"/>
      <c r="R1769" s="3"/>
      <c r="S1769" s="3"/>
      <c r="T1769" s="3"/>
      <c r="U1769" s="3"/>
      <c r="V1769" s="3"/>
      <c r="W1769" s="3"/>
      <c r="X1769" s="3"/>
      <c r="Y1769" s="3"/>
      <c r="Z1769" s="3"/>
      <c r="AA1769" s="3"/>
    </row>
    <row r="1770">
      <c r="A1770" s="4"/>
      <c r="B1770" s="3"/>
      <c r="C1770" s="3"/>
      <c r="D1770" s="3"/>
      <c r="E1770" s="3"/>
      <c r="F1770" s="3"/>
      <c r="G1770" s="3"/>
      <c r="H1770" s="3"/>
      <c r="I1770" s="3"/>
      <c r="J1770" s="3"/>
      <c r="K1770" s="3"/>
      <c r="L1770" s="3"/>
      <c r="M1770" s="3"/>
      <c r="N1770" s="3"/>
      <c r="O1770" s="3"/>
      <c r="P1770" s="3"/>
      <c r="Q1770" s="3"/>
      <c r="R1770" s="3"/>
      <c r="S1770" s="3"/>
      <c r="T1770" s="3"/>
      <c r="U1770" s="3"/>
      <c r="V1770" s="3"/>
      <c r="W1770" s="3"/>
      <c r="X1770" s="3"/>
      <c r="Y1770" s="3"/>
      <c r="Z1770" s="3"/>
      <c r="AA1770" s="3"/>
    </row>
    <row r="1771">
      <c r="A1771" s="4"/>
      <c r="B1771" s="3"/>
      <c r="C1771" s="3"/>
      <c r="D1771" s="3"/>
      <c r="E1771" s="3"/>
      <c r="F1771" s="3"/>
      <c r="G1771" s="3"/>
      <c r="H1771" s="3"/>
      <c r="I1771" s="3"/>
      <c r="J1771" s="3"/>
      <c r="K1771" s="3"/>
      <c r="L1771" s="3"/>
      <c r="M1771" s="3"/>
      <c r="N1771" s="3"/>
      <c r="O1771" s="3"/>
      <c r="P1771" s="3"/>
      <c r="Q1771" s="3"/>
      <c r="R1771" s="3"/>
      <c r="S1771" s="3"/>
      <c r="T1771" s="3"/>
      <c r="U1771" s="3"/>
      <c r="V1771" s="3"/>
      <c r="W1771" s="3"/>
      <c r="X1771" s="3"/>
      <c r="Y1771" s="3"/>
      <c r="Z1771" s="3"/>
      <c r="AA1771" s="3"/>
    </row>
    <row r="1772">
      <c r="A1772" s="4"/>
      <c r="B1772" s="3"/>
      <c r="C1772" s="3"/>
      <c r="D1772" s="3"/>
      <c r="E1772" s="3"/>
      <c r="F1772" s="3"/>
      <c r="G1772" s="3"/>
      <c r="H1772" s="3"/>
      <c r="I1772" s="3"/>
      <c r="J1772" s="3"/>
      <c r="K1772" s="3"/>
      <c r="L1772" s="3"/>
      <c r="M1772" s="3"/>
      <c r="N1772" s="3"/>
      <c r="O1772" s="3"/>
      <c r="P1772" s="3"/>
      <c r="Q1772" s="3"/>
      <c r="R1772" s="3"/>
      <c r="S1772" s="3"/>
      <c r="T1772" s="3"/>
      <c r="U1772" s="3"/>
      <c r="V1772" s="3"/>
      <c r="W1772" s="3"/>
      <c r="X1772" s="3"/>
      <c r="Y1772" s="3"/>
      <c r="Z1772" s="3"/>
      <c r="AA1772" s="3"/>
    </row>
    <row r="1773">
      <c r="A1773" s="4"/>
      <c r="B1773" s="3"/>
      <c r="C1773" s="3"/>
      <c r="D1773" s="3"/>
      <c r="E1773" s="3"/>
      <c r="F1773" s="3"/>
      <c r="G1773" s="3"/>
      <c r="H1773" s="3"/>
      <c r="I1773" s="3"/>
      <c r="J1773" s="3"/>
      <c r="K1773" s="3"/>
      <c r="L1773" s="3"/>
      <c r="M1773" s="3"/>
      <c r="N1773" s="3"/>
      <c r="O1773" s="3"/>
      <c r="P1773" s="3"/>
      <c r="Q1773" s="3"/>
      <c r="R1773" s="3"/>
      <c r="S1773" s="3"/>
      <c r="T1773" s="3"/>
      <c r="U1773" s="3"/>
      <c r="V1773" s="3"/>
      <c r="W1773" s="3"/>
      <c r="X1773" s="3"/>
      <c r="Y1773" s="3"/>
      <c r="Z1773" s="3"/>
      <c r="AA1773" s="3"/>
    </row>
    <row r="1774">
      <c r="A1774" s="4"/>
      <c r="B1774" s="3"/>
      <c r="C1774" s="3"/>
      <c r="D1774" s="3"/>
      <c r="E1774" s="3"/>
      <c r="F1774" s="3"/>
      <c r="G1774" s="3"/>
      <c r="H1774" s="3"/>
      <c r="I1774" s="3"/>
      <c r="J1774" s="3"/>
      <c r="K1774" s="3"/>
      <c r="L1774" s="3"/>
      <c r="M1774" s="3"/>
      <c r="N1774" s="3"/>
      <c r="O1774" s="3"/>
      <c r="P1774" s="3"/>
      <c r="Q1774" s="3"/>
      <c r="R1774" s="3"/>
      <c r="S1774" s="3"/>
      <c r="T1774" s="3"/>
      <c r="U1774" s="3"/>
      <c r="V1774" s="3"/>
      <c r="W1774" s="3"/>
      <c r="X1774" s="3"/>
      <c r="Y1774" s="3"/>
      <c r="Z1774" s="3"/>
      <c r="AA1774" s="3"/>
    </row>
    <row r="1775">
      <c r="A1775" s="4"/>
      <c r="B1775" s="3"/>
      <c r="C1775" s="3"/>
      <c r="D1775" s="3"/>
      <c r="E1775" s="3"/>
      <c r="F1775" s="3"/>
      <c r="G1775" s="3"/>
      <c r="H1775" s="3"/>
      <c r="I1775" s="3"/>
      <c r="J1775" s="3"/>
      <c r="K1775" s="3"/>
      <c r="L1775" s="3"/>
      <c r="M1775" s="3"/>
      <c r="N1775" s="3"/>
      <c r="O1775" s="3"/>
      <c r="P1775" s="3"/>
      <c r="Q1775" s="3"/>
      <c r="R1775" s="3"/>
      <c r="S1775" s="3"/>
      <c r="T1775" s="3"/>
      <c r="U1775" s="3"/>
      <c r="V1775" s="3"/>
      <c r="W1775" s="3"/>
      <c r="X1775" s="3"/>
      <c r="Y1775" s="3"/>
      <c r="Z1775" s="3"/>
      <c r="AA1775" s="3"/>
    </row>
    <row r="1776">
      <c r="A1776" s="4"/>
      <c r="B1776" s="3"/>
      <c r="C1776" s="3"/>
      <c r="D1776" s="3"/>
      <c r="E1776" s="3"/>
      <c r="F1776" s="3"/>
      <c r="G1776" s="3"/>
      <c r="H1776" s="3"/>
      <c r="I1776" s="3"/>
      <c r="J1776" s="3"/>
      <c r="K1776" s="3"/>
      <c r="L1776" s="3"/>
      <c r="M1776" s="3"/>
      <c r="N1776" s="3"/>
      <c r="O1776" s="3"/>
      <c r="P1776" s="3"/>
      <c r="Q1776" s="3"/>
      <c r="R1776" s="3"/>
      <c r="S1776" s="3"/>
      <c r="T1776" s="3"/>
      <c r="U1776" s="3"/>
      <c r="V1776" s="3"/>
      <c r="W1776" s="3"/>
      <c r="X1776" s="3"/>
      <c r="Y1776" s="3"/>
      <c r="Z1776" s="3"/>
      <c r="AA1776" s="3"/>
    </row>
    <row r="1777">
      <c r="A1777" s="4"/>
      <c r="B1777" s="3"/>
      <c r="C1777" s="3"/>
      <c r="D1777" s="3"/>
      <c r="E1777" s="3"/>
      <c r="F1777" s="3"/>
      <c r="G1777" s="3"/>
      <c r="H1777" s="3"/>
      <c r="I1777" s="3"/>
      <c r="J1777" s="3"/>
      <c r="K1777" s="3"/>
      <c r="L1777" s="3"/>
      <c r="M1777" s="3"/>
      <c r="N1777" s="3"/>
      <c r="O1777" s="3"/>
      <c r="P1777" s="3"/>
      <c r="Q1777" s="3"/>
      <c r="R1777" s="3"/>
      <c r="S1777" s="3"/>
      <c r="T1777" s="3"/>
      <c r="U1777" s="3"/>
      <c r="V1777" s="3"/>
      <c r="W1777" s="3"/>
      <c r="X1777" s="3"/>
      <c r="Y1777" s="3"/>
      <c r="Z1777" s="3"/>
      <c r="AA1777" s="3"/>
    </row>
    <row r="1778">
      <c r="A1778" s="4"/>
      <c r="B1778" s="3"/>
      <c r="C1778" s="3"/>
      <c r="D1778" s="3"/>
      <c r="E1778" s="3"/>
      <c r="F1778" s="3"/>
      <c r="G1778" s="3"/>
      <c r="H1778" s="3"/>
      <c r="I1778" s="3"/>
      <c r="J1778" s="3"/>
      <c r="K1778" s="3"/>
      <c r="L1778" s="3"/>
      <c r="M1778" s="3"/>
      <c r="N1778" s="3"/>
      <c r="O1778" s="3"/>
      <c r="P1778" s="3"/>
      <c r="Q1778" s="3"/>
      <c r="R1778" s="3"/>
      <c r="S1778" s="3"/>
      <c r="T1778" s="3"/>
      <c r="U1778" s="3"/>
      <c r="V1778" s="3"/>
      <c r="W1778" s="3"/>
      <c r="X1778" s="3"/>
      <c r="Y1778" s="3"/>
      <c r="Z1778" s="3"/>
      <c r="AA1778" s="3"/>
    </row>
    <row r="1779">
      <c r="A1779" s="4"/>
      <c r="B1779" s="3"/>
      <c r="C1779" s="3"/>
      <c r="D1779" s="3"/>
      <c r="E1779" s="3"/>
      <c r="F1779" s="3"/>
      <c r="G1779" s="3"/>
      <c r="H1779" s="3"/>
      <c r="I1779" s="3"/>
      <c r="J1779" s="3"/>
      <c r="K1779" s="3"/>
      <c r="L1779" s="3"/>
      <c r="M1779" s="3"/>
      <c r="N1779" s="3"/>
      <c r="O1779" s="3"/>
      <c r="P1779" s="3"/>
      <c r="Q1779" s="3"/>
      <c r="R1779" s="3"/>
      <c r="S1779" s="3"/>
      <c r="T1779" s="3"/>
      <c r="U1779" s="3"/>
      <c r="V1779" s="3"/>
      <c r="W1779" s="3"/>
      <c r="X1779" s="3"/>
      <c r="Y1779" s="3"/>
      <c r="Z1779" s="3"/>
      <c r="AA1779" s="3"/>
    </row>
    <row r="1780">
      <c r="A1780" s="4"/>
      <c r="B1780" s="3"/>
      <c r="C1780" s="3"/>
      <c r="D1780" s="3"/>
      <c r="E1780" s="3"/>
      <c r="F1780" s="3"/>
      <c r="G1780" s="3"/>
      <c r="H1780" s="3"/>
      <c r="I1780" s="3"/>
      <c r="J1780" s="3"/>
      <c r="K1780" s="3"/>
      <c r="L1780" s="3"/>
      <c r="M1780" s="3"/>
      <c r="N1780" s="3"/>
      <c r="O1780" s="3"/>
      <c r="P1780" s="3"/>
      <c r="Q1780" s="3"/>
      <c r="R1780" s="3"/>
      <c r="S1780" s="3"/>
      <c r="T1780" s="3"/>
      <c r="U1780" s="3"/>
      <c r="V1780" s="3"/>
      <c r="W1780" s="3"/>
      <c r="X1780" s="3"/>
      <c r="Y1780" s="3"/>
      <c r="Z1780" s="3"/>
      <c r="AA1780" s="3"/>
    </row>
    <row r="1781">
      <c r="A1781" s="4"/>
      <c r="B1781" s="3"/>
      <c r="C1781" s="3"/>
      <c r="D1781" s="3"/>
      <c r="E1781" s="3"/>
      <c r="F1781" s="3"/>
      <c r="G1781" s="3"/>
      <c r="H1781" s="3"/>
      <c r="I1781" s="3"/>
      <c r="J1781" s="3"/>
      <c r="K1781" s="3"/>
      <c r="L1781" s="3"/>
      <c r="M1781" s="3"/>
      <c r="N1781" s="3"/>
      <c r="O1781" s="3"/>
      <c r="P1781" s="3"/>
      <c r="Q1781" s="3"/>
      <c r="R1781" s="3"/>
      <c r="S1781" s="3"/>
      <c r="T1781" s="3"/>
      <c r="U1781" s="3"/>
      <c r="V1781" s="3"/>
      <c r="W1781" s="3"/>
      <c r="X1781" s="3"/>
      <c r="Y1781" s="3"/>
      <c r="Z1781" s="3"/>
      <c r="AA1781" s="3"/>
    </row>
    <row r="1782">
      <c r="A1782" s="4"/>
      <c r="B1782" s="3"/>
      <c r="C1782" s="3"/>
      <c r="D1782" s="3"/>
      <c r="E1782" s="3"/>
      <c r="F1782" s="3"/>
      <c r="G1782" s="3"/>
      <c r="H1782" s="3"/>
      <c r="I1782" s="3"/>
      <c r="J1782" s="3"/>
      <c r="K1782" s="3"/>
      <c r="L1782" s="3"/>
      <c r="M1782" s="3"/>
      <c r="N1782" s="3"/>
      <c r="O1782" s="3"/>
      <c r="P1782" s="3"/>
      <c r="Q1782" s="3"/>
      <c r="R1782" s="3"/>
      <c r="S1782" s="3"/>
      <c r="T1782" s="3"/>
      <c r="U1782" s="3"/>
      <c r="V1782" s="3"/>
      <c r="W1782" s="3"/>
      <c r="X1782" s="3"/>
      <c r="Y1782" s="3"/>
      <c r="Z1782" s="3"/>
      <c r="AA1782" s="3"/>
    </row>
    <row r="1783">
      <c r="A1783" s="4"/>
      <c r="B1783" s="3"/>
      <c r="C1783" s="3"/>
      <c r="D1783" s="3"/>
      <c r="E1783" s="3"/>
      <c r="F1783" s="3"/>
      <c r="G1783" s="3"/>
      <c r="H1783" s="3"/>
      <c r="I1783" s="3"/>
      <c r="J1783" s="3"/>
      <c r="K1783" s="3"/>
      <c r="L1783" s="3"/>
      <c r="M1783" s="3"/>
      <c r="N1783" s="3"/>
      <c r="O1783" s="3"/>
      <c r="P1783" s="3"/>
      <c r="Q1783" s="3"/>
      <c r="R1783" s="3"/>
      <c r="S1783" s="3"/>
      <c r="T1783" s="3"/>
      <c r="U1783" s="3"/>
      <c r="V1783" s="3"/>
      <c r="W1783" s="3"/>
      <c r="X1783" s="3"/>
      <c r="Y1783" s="3"/>
      <c r="Z1783" s="3"/>
      <c r="AA1783" s="3"/>
    </row>
    <row r="1784">
      <c r="A1784" s="4"/>
      <c r="B1784" s="3"/>
      <c r="C1784" s="3"/>
      <c r="D1784" s="3"/>
      <c r="E1784" s="3"/>
      <c r="F1784" s="3"/>
      <c r="G1784" s="3"/>
      <c r="H1784" s="3"/>
      <c r="I1784" s="3"/>
      <c r="J1784" s="3"/>
      <c r="K1784" s="3"/>
      <c r="L1784" s="3"/>
      <c r="M1784" s="3"/>
      <c r="N1784" s="3"/>
      <c r="O1784" s="3"/>
      <c r="P1784" s="3"/>
      <c r="Q1784" s="3"/>
      <c r="R1784" s="3"/>
      <c r="S1784" s="3"/>
      <c r="T1784" s="3"/>
      <c r="U1784" s="3"/>
      <c r="V1784" s="3"/>
      <c r="W1784" s="3"/>
      <c r="X1784" s="3"/>
      <c r="Y1784" s="3"/>
      <c r="Z1784" s="3"/>
      <c r="AA1784" s="3"/>
    </row>
    <row r="1785">
      <c r="A1785" s="4"/>
      <c r="B1785" s="3"/>
      <c r="C1785" s="3"/>
      <c r="D1785" s="3"/>
      <c r="E1785" s="3"/>
      <c r="F1785" s="3"/>
      <c r="G1785" s="3"/>
      <c r="H1785" s="3"/>
      <c r="I1785" s="3"/>
      <c r="J1785" s="3"/>
      <c r="K1785" s="3"/>
      <c r="L1785" s="3"/>
      <c r="M1785" s="3"/>
      <c r="N1785" s="3"/>
      <c r="O1785" s="3"/>
      <c r="P1785" s="3"/>
      <c r="Q1785" s="3"/>
      <c r="R1785" s="3"/>
      <c r="S1785" s="3"/>
      <c r="T1785" s="3"/>
      <c r="U1785" s="3"/>
      <c r="V1785" s="3"/>
      <c r="W1785" s="3"/>
      <c r="X1785" s="3"/>
      <c r="Y1785" s="3"/>
      <c r="Z1785" s="3"/>
      <c r="AA1785" s="3"/>
    </row>
    <row r="1786">
      <c r="A1786" s="4"/>
      <c r="B1786" s="3"/>
      <c r="C1786" s="3"/>
      <c r="D1786" s="3"/>
      <c r="E1786" s="3"/>
      <c r="F1786" s="3"/>
      <c r="G1786" s="3"/>
      <c r="H1786" s="3"/>
      <c r="I1786" s="3"/>
      <c r="J1786" s="3"/>
      <c r="K1786" s="3"/>
      <c r="L1786" s="3"/>
      <c r="M1786" s="3"/>
      <c r="N1786" s="3"/>
      <c r="O1786" s="3"/>
      <c r="P1786" s="3"/>
      <c r="Q1786" s="3"/>
      <c r="R1786" s="3"/>
      <c r="S1786" s="3"/>
      <c r="T1786" s="3"/>
      <c r="U1786" s="3"/>
      <c r="V1786" s="3"/>
      <c r="W1786" s="3"/>
      <c r="X1786" s="3"/>
      <c r="Y1786" s="3"/>
      <c r="Z1786" s="3"/>
      <c r="AA1786" s="3"/>
    </row>
    <row r="1787">
      <c r="A1787" s="4"/>
      <c r="B1787" s="3"/>
      <c r="C1787" s="3"/>
      <c r="D1787" s="3"/>
      <c r="E1787" s="3"/>
      <c r="F1787" s="3"/>
      <c r="G1787" s="3"/>
      <c r="H1787" s="3"/>
      <c r="I1787" s="3"/>
      <c r="J1787" s="3"/>
      <c r="K1787" s="3"/>
      <c r="L1787" s="3"/>
      <c r="M1787" s="3"/>
      <c r="N1787" s="3"/>
      <c r="O1787" s="3"/>
      <c r="P1787" s="3"/>
      <c r="Q1787" s="3"/>
      <c r="R1787" s="3"/>
      <c r="S1787" s="3"/>
      <c r="T1787" s="3"/>
      <c r="U1787" s="3"/>
      <c r="V1787" s="3"/>
      <c r="W1787" s="3"/>
      <c r="X1787" s="3"/>
      <c r="Y1787" s="3"/>
      <c r="Z1787" s="3"/>
      <c r="AA1787" s="3"/>
    </row>
    <row r="1788">
      <c r="A1788" s="4"/>
      <c r="B1788" s="3"/>
      <c r="C1788" s="3"/>
      <c r="D1788" s="3"/>
      <c r="E1788" s="3"/>
      <c r="F1788" s="3"/>
      <c r="G1788" s="3"/>
      <c r="H1788" s="3"/>
      <c r="I1788" s="3"/>
      <c r="J1788" s="3"/>
      <c r="K1788" s="3"/>
      <c r="L1788" s="3"/>
      <c r="M1788" s="3"/>
      <c r="N1788" s="3"/>
      <c r="O1788" s="3"/>
      <c r="P1788" s="3"/>
      <c r="Q1788" s="3"/>
      <c r="R1788" s="3"/>
      <c r="S1788" s="3"/>
      <c r="T1788" s="3"/>
      <c r="U1788" s="3"/>
      <c r="V1788" s="3"/>
      <c r="W1788" s="3"/>
      <c r="X1788" s="3"/>
      <c r="Y1788" s="3"/>
      <c r="Z1788" s="3"/>
      <c r="AA1788" s="3"/>
    </row>
    <row r="1789">
      <c r="A1789" s="4"/>
      <c r="B1789" s="3"/>
      <c r="C1789" s="3"/>
      <c r="D1789" s="3"/>
      <c r="E1789" s="3"/>
      <c r="F1789" s="3"/>
      <c r="G1789" s="3"/>
      <c r="H1789" s="3"/>
      <c r="I1789" s="3"/>
      <c r="J1789" s="3"/>
      <c r="K1789" s="3"/>
      <c r="L1789" s="3"/>
      <c r="M1789" s="3"/>
      <c r="N1789" s="3"/>
      <c r="O1789" s="3"/>
      <c r="P1789" s="3"/>
      <c r="Q1789" s="3"/>
      <c r="R1789" s="3"/>
      <c r="S1789" s="3"/>
      <c r="T1789" s="3"/>
      <c r="U1789" s="3"/>
      <c r="V1789" s="3"/>
      <c r="W1789" s="3"/>
      <c r="X1789" s="3"/>
      <c r="Y1789" s="3"/>
      <c r="Z1789" s="3"/>
      <c r="AA1789" s="3"/>
    </row>
    <row r="1790">
      <c r="A1790" s="4"/>
      <c r="B1790" s="3"/>
      <c r="C1790" s="3"/>
      <c r="D1790" s="3"/>
      <c r="E1790" s="3"/>
      <c r="F1790" s="3"/>
      <c r="G1790" s="3"/>
      <c r="H1790" s="3"/>
      <c r="I1790" s="3"/>
      <c r="J1790" s="3"/>
      <c r="K1790" s="3"/>
      <c r="L1790" s="3"/>
      <c r="M1790" s="3"/>
      <c r="N1790" s="3"/>
      <c r="O1790" s="3"/>
      <c r="P1790" s="3"/>
      <c r="Q1790" s="3"/>
      <c r="R1790" s="3"/>
      <c r="S1790" s="3"/>
      <c r="T1790" s="3"/>
      <c r="U1790" s="3"/>
      <c r="V1790" s="3"/>
      <c r="W1790" s="3"/>
      <c r="X1790" s="3"/>
      <c r="Y1790" s="3"/>
      <c r="Z1790" s="3"/>
      <c r="AA1790" s="3"/>
    </row>
    <row r="1791">
      <c r="A1791" s="4"/>
      <c r="B1791" s="3"/>
      <c r="C1791" s="3"/>
      <c r="D1791" s="3"/>
      <c r="E1791" s="3"/>
      <c r="F1791" s="3"/>
      <c r="G1791" s="3"/>
      <c r="H1791" s="3"/>
      <c r="I1791" s="3"/>
      <c r="J1791" s="3"/>
      <c r="K1791" s="3"/>
      <c r="L1791" s="3"/>
      <c r="M1791" s="3"/>
      <c r="N1791" s="3"/>
      <c r="O1791" s="3"/>
      <c r="P1791" s="3"/>
      <c r="Q1791" s="3"/>
      <c r="R1791" s="3"/>
      <c r="S1791" s="3"/>
      <c r="T1791" s="3"/>
      <c r="U1791" s="3"/>
      <c r="V1791" s="3"/>
      <c r="W1791" s="3"/>
      <c r="X1791" s="3"/>
      <c r="Y1791" s="3"/>
      <c r="Z1791" s="3"/>
      <c r="AA1791" s="3"/>
    </row>
    <row r="1792">
      <c r="A1792" s="4"/>
      <c r="B1792" s="3"/>
      <c r="C1792" s="3"/>
      <c r="D1792" s="3"/>
      <c r="E1792" s="3"/>
      <c r="F1792" s="3"/>
      <c r="G1792" s="3"/>
      <c r="H1792" s="3"/>
      <c r="I1792" s="3"/>
      <c r="J1792" s="3"/>
      <c r="K1792" s="3"/>
      <c r="L1792" s="3"/>
      <c r="M1792" s="3"/>
      <c r="N1792" s="3"/>
      <c r="O1792" s="3"/>
      <c r="P1792" s="3"/>
      <c r="Q1792" s="3"/>
      <c r="R1792" s="3"/>
      <c r="S1792" s="3"/>
      <c r="T1792" s="3"/>
      <c r="U1792" s="3"/>
      <c r="V1792" s="3"/>
      <c r="W1792" s="3"/>
      <c r="X1792" s="3"/>
      <c r="Y1792" s="3"/>
      <c r="Z1792" s="3"/>
      <c r="AA1792" s="3"/>
    </row>
    <row r="1793">
      <c r="A1793" s="4"/>
      <c r="B1793" s="3"/>
      <c r="C1793" s="3"/>
      <c r="D1793" s="3"/>
      <c r="E1793" s="3"/>
      <c r="F1793" s="3"/>
      <c r="G1793" s="3"/>
      <c r="H1793" s="3"/>
      <c r="I1793" s="3"/>
      <c r="J1793" s="3"/>
      <c r="K1793" s="3"/>
      <c r="L1793" s="3"/>
      <c r="M1793" s="3"/>
      <c r="N1793" s="3"/>
      <c r="O1793" s="3"/>
      <c r="P1793" s="3"/>
      <c r="Q1793" s="3"/>
      <c r="R1793" s="3"/>
      <c r="S1793" s="3"/>
      <c r="T1793" s="3"/>
      <c r="U1793" s="3"/>
      <c r="V1793" s="3"/>
      <c r="W1793" s="3"/>
      <c r="X1793" s="3"/>
      <c r="Y1793" s="3"/>
      <c r="Z1793" s="3"/>
      <c r="AA1793" s="3"/>
    </row>
    <row r="1794">
      <c r="A1794" s="4"/>
      <c r="B1794" s="3"/>
      <c r="C1794" s="3"/>
      <c r="D1794" s="3"/>
      <c r="E1794" s="3"/>
      <c r="F1794" s="3"/>
      <c r="G1794" s="3"/>
      <c r="H1794" s="3"/>
      <c r="I1794" s="3"/>
      <c r="J1794" s="3"/>
      <c r="K1794" s="3"/>
      <c r="L1794" s="3"/>
      <c r="M1794" s="3"/>
      <c r="N1794" s="3"/>
      <c r="O1794" s="3"/>
      <c r="P1794" s="3"/>
      <c r="Q1794" s="3"/>
      <c r="R1794" s="3"/>
      <c r="S1794" s="3"/>
      <c r="T1794" s="3"/>
      <c r="U1794" s="3"/>
      <c r="V1794" s="3"/>
      <c r="W1794" s="3"/>
      <c r="X1794" s="3"/>
      <c r="Y1794" s="3"/>
      <c r="Z1794" s="3"/>
      <c r="AA1794" s="3"/>
    </row>
    <row r="1795">
      <c r="A1795" s="4"/>
      <c r="B1795" s="3"/>
      <c r="C1795" s="3"/>
      <c r="D1795" s="3"/>
      <c r="E1795" s="3"/>
      <c r="F1795" s="3"/>
      <c r="G1795" s="3"/>
      <c r="H1795" s="3"/>
      <c r="I1795" s="3"/>
      <c r="J1795" s="3"/>
      <c r="K1795" s="3"/>
      <c r="L1795" s="3"/>
      <c r="M1795" s="3"/>
      <c r="N1795" s="3"/>
      <c r="O1795" s="3"/>
      <c r="P1795" s="3"/>
      <c r="Q1795" s="3"/>
      <c r="R1795" s="3"/>
      <c r="S1795" s="3"/>
      <c r="T1795" s="3"/>
      <c r="U1795" s="3"/>
      <c r="V1795" s="3"/>
      <c r="W1795" s="3"/>
      <c r="X1795" s="3"/>
      <c r="Y1795" s="3"/>
      <c r="Z1795" s="3"/>
      <c r="AA1795" s="3"/>
    </row>
    <row r="1796">
      <c r="A1796" s="4"/>
      <c r="B1796" s="3"/>
      <c r="C1796" s="3"/>
      <c r="D1796" s="3"/>
      <c r="E1796" s="3"/>
      <c r="F1796" s="3"/>
      <c r="G1796" s="3"/>
      <c r="H1796" s="3"/>
      <c r="I1796" s="3"/>
      <c r="J1796" s="3"/>
      <c r="K1796" s="3"/>
      <c r="L1796" s="3"/>
      <c r="M1796" s="3"/>
      <c r="N1796" s="3"/>
      <c r="O1796" s="3"/>
      <c r="P1796" s="3"/>
      <c r="Q1796" s="3"/>
      <c r="R1796" s="3"/>
      <c r="S1796" s="3"/>
      <c r="T1796" s="3"/>
      <c r="U1796" s="3"/>
      <c r="V1796" s="3"/>
      <c r="W1796" s="3"/>
      <c r="X1796" s="3"/>
      <c r="Y1796" s="3"/>
      <c r="Z1796" s="3"/>
      <c r="AA1796" s="3"/>
    </row>
    <row r="1797">
      <c r="A1797" s="4"/>
      <c r="B1797" s="3"/>
      <c r="C1797" s="3"/>
      <c r="D1797" s="3"/>
      <c r="E1797" s="3"/>
      <c r="F1797" s="3"/>
      <c r="G1797" s="3"/>
      <c r="H1797" s="3"/>
      <c r="I1797" s="3"/>
      <c r="J1797" s="3"/>
      <c r="K1797" s="3"/>
      <c r="L1797" s="3"/>
      <c r="M1797" s="3"/>
      <c r="N1797" s="3"/>
      <c r="O1797" s="3"/>
      <c r="P1797" s="3"/>
      <c r="Q1797" s="3"/>
      <c r="R1797" s="3"/>
      <c r="S1797" s="3"/>
      <c r="T1797" s="3"/>
      <c r="U1797" s="3"/>
      <c r="V1797" s="3"/>
      <c r="W1797" s="3"/>
      <c r="X1797" s="3"/>
      <c r="Y1797" s="3"/>
      <c r="Z1797" s="3"/>
      <c r="AA1797" s="3"/>
    </row>
    <row r="1798">
      <c r="A1798" s="4"/>
      <c r="B1798" s="3"/>
      <c r="C1798" s="3"/>
      <c r="D1798" s="3"/>
      <c r="E1798" s="3"/>
      <c r="F1798" s="3"/>
      <c r="G1798" s="3"/>
      <c r="H1798" s="3"/>
      <c r="I1798" s="3"/>
      <c r="J1798" s="3"/>
      <c r="K1798" s="3"/>
      <c r="L1798" s="3"/>
      <c r="M1798" s="3"/>
      <c r="N1798" s="3"/>
      <c r="O1798" s="3"/>
      <c r="P1798" s="3"/>
      <c r="Q1798" s="3"/>
      <c r="R1798" s="3"/>
      <c r="S1798" s="3"/>
      <c r="T1798" s="3"/>
      <c r="U1798" s="3"/>
      <c r="V1798" s="3"/>
      <c r="W1798" s="3"/>
      <c r="X1798" s="3"/>
      <c r="Y1798" s="3"/>
      <c r="Z1798" s="3"/>
      <c r="AA1798" s="3"/>
    </row>
    <row r="1799">
      <c r="A1799" s="4"/>
      <c r="B1799" s="3"/>
      <c r="C1799" s="3"/>
      <c r="D1799" s="3"/>
      <c r="E1799" s="3"/>
      <c r="F1799" s="3"/>
      <c r="G1799" s="3"/>
      <c r="H1799" s="3"/>
      <c r="I1799" s="3"/>
      <c r="J1799" s="3"/>
      <c r="K1799" s="3"/>
      <c r="L1799" s="3"/>
      <c r="M1799" s="3"/>
      <c r="N1799" s="3"/>
      <c r="O1799" s="3"/>
      <c r="P1799" s="3"/>
      <c r="Q1799" s="3"/>
      <c r="R1799" s="3"/>
      <c r="S1799" s="3"/>
      <c r="T1799" s="3"/>
      <c r="U1799" s="3"/>
      <c r="V1799" s="3"/>
      <c r="W1799" s="3"/>
      <c r="X1799" s="3"/>
      <c r="Y1799" s="3"/>
      <c r="Z1799" s="3"/>
      <c r="AA1799" s="3"/>
    </row>
    <row r="1800">
      <c r="A1800" s="4"/>
      <c r="B1800" s="3"/>
      <c r="C1800" s="3"/>
      <c r="D1800" s="3"/>
      <c r="E1800" s="3"/>
      <c r="F1800" s="3"/>
      <c r="G1800" s="3"/>
      <c r="H1800" s="3"/>
      <c r="I1800" s="3"/>
      <c r="J1800" s="3"/>
      <c r="K1800" s="3"/>
      <c r="L1800" s="3"/>
      <c r="M1800" s="3"/>
      <c r="N1800" s="3"/>
      <c r="O1800" s="3"/>
      <c r="P1800" s="3"/>
      <c r="Q1800" s="3"/>
      <c r="R1800" s="3"/>
      <c r="S1800" s="3"/>
      <c r="T1800" s="3"/>
      <c r="U1800" s="3"/>
      <c r="V1800" s="3"/>
      <c r="W1800" s="3"/>
      <c r="X1800" s="3"/>
      <c r="Y1800" s="3"/>
      <c r="Z1800" s="3"/>
      <c r="AA1800" s="3"/>
    </row>
    <row r="1801">
      <c r="A1801" s="4"/>
      <c r="B1801" s="3"/>
      <c r="C1801" s="3"/>
      <c r="D1801" s="3"/>
      <c r="E1801" s="3"/>
      <c r="F1801" s="3"/>
      <c r="G1801" s="3"/>
      <c r="H1801" s="3"/>
      <c r="I1801" s="3"/>
      <c r="J1801" s="3"/>
      <c r="K1801" s="3"/>
      <c r="L1801" s="3"/>
      <c r="M1801" s="3"/>
      <c r="N1801" s="3"/>
      <c r="O1801" s="3"/>
      <c r="P1801" s="3"/>
      <c r="Q1801" s="3"/>
      <c r="R1801" s="3"/>
      <c r="S1801" s="3"/>
      <c r="T1801" s="3"/>
      <c r="U1801" s="3"/>
      <c r="V1801" s="3"/>
      <c r="W1801" s="3"/>
      <c r="X1801" s="3"/>
      <c r="Y1801" s="3"/>
      <c r="Z1801" s="3"/>
      <c r="AA1801" s="3"/>
    </row>
    <row r="1802">
      <c r="A1802" s="4"/>
      <c r="B1802" s="3"/>
      <c r="C1802" s="3"/>
      <c r="D1802" s="3"/>
      <c r="E1802" s="3"/>
      <c r="F1802" s="3"/>
      <c r="G1802" s="3"/>
      <c r="H1802" s="3"/>
      <c r="I1802" s="3"/>
      <c r="J1802" s="3"/>
      <c r="K1802" s="3"/>
      <c r="L1802" s="3"/>
      <c r="M1802" s="3"/>
      <c r="N1802" s="3"/>
      <c r="O1802" s="3"/>
      <c r="P1802" s="3"/>
      <c r="Q1802" s="3"/>
      <c r="R1802" s="3"/>
      <c r="S1802" s="3"/>
      <c r="T1802" s="3"/>
      <c r="U1802" s="3"/>
      <c r="V1802" s="3"/>
      <c r="W1802" s="3"/>
      <c r="X1802" s="3"/>
      <c r="Y1802" s="3"/>
      <c r="Z1802" s="3"/>
      <c r="AA1802" s="3"/>
    </row>
    <row r="1803">
      <c r="A1803" s="4"/>
      <c r="B1803" s="3"/>
      <c r="C1803" s="3"/>
      <c r="D1803" s="3"/>
      <c r="E1803" s="3"/>
      <c r="F1803" s="3"/>
      <c r="G1803" s="3"/>
      <c r="H1803" s="3"/>
      <c r="I1803" s="3"/>
      <c r="J1803" s="3"/>
      <c r="K1803" s="3"/>
      <c r="L1803" s="3"/>
      <c r="M1803" s="3"/>
      <c r="N1803" s="3"/>
      <c r="O1803" s="3"/>
      <c r="P1803" s="3"/>
      <c r="Q1803" s="3"/>
      <c r="R1803" s="3"/>
      <c r="S1803" s="3"/>
      <c r="T1803" s="3"/>
      <c r="U1803" s="3"/>
      <c r="V1803" s="3"/>
      <c r="W1803" s="3"/>
      <c r="X1803" s="3"/>
      <c r="Y1803" s="3"/>
      <c r="Z1803" s="3"/>
      <c r="AA1803" s="3"/>
    </row>
    <row r="1804">
      <c r="A1804" s="4"/>
      <c r="B1804" s="3"/>
      <c r="C1804" s="3"/>
      <c r="D1804" s="3"/>
      <c r="E1804" s="3"/>
      <c r="F1804" s="3"/>
      <c r="G1804" s="3"/>
      <c r="H1804" s="3"/>
      <c r="I1804" s="3"/>
      <c r="J1804" s="3"/>
      <c r="K1804" s="3"/>
      <c r="L1804" s="3"/>
      <c r="M1804" s="3"/>
      <c r="N1804" s="3"/>
      <c r="O1804" s="3"/>
      <c r="P1804" s="3"/>
      <c r="Q1804" s="3"/>
      <c r="R1804" s="3"/>
      <c r="S1804" s="3"/>
      <c r="T1804" s="3"/>
      <c r="U1804" s="3"/>
      <c r="V1804" s="3"/>
      <c r="W1804" s="3"/>
      <c r="X1804" s="3"/>
      <c r="Y1804" s="3"/>
      <c r="Z1804" s="3"/>
      <c r="AA1804" s="3"/>
    </row>
    <row r="1805">
      <c r="A1805" s="4"/>
      <c r="B1805" s="3"/>
      <c r="C1805" s="3"/>
      <c r="D1805" s="3"/>
      <c r="E1805" s="3"/>
      <c r="F1805" s="3"/>
      <c r="G1805" s="3"/>
      <c r="H1805" s="3"/>
      <c r="I1805" s="3"/>
      <c r="J1805" s="3"/>
      <c r="K1805" s="3"/>
      <c r="L1805" s="3"/>
      <c r="M1805" s="3"/>
      <c r="N1805" s="3"/>
      <c r="O1805" s="3"/>
      <c r="P1805" s="3"/>
      <c r="Q1805" s="3"/>
      <c r="R1805" s="3"/>
      <c r="S1805" s="3"/>
      <c r="T1805" s="3"/>
      <c r="U1805" s="3"/>
      <c r="V1805" s="3"/>
      <c r="W1805" s="3"/>
      <c r="X1805" s="3"/>
      <c r="Y1805" s="3"/>
      <c r="Z1805" s="3"/>
      <c r="AA1805" s="3"/>
    </row>
    <row r="1806">
      <c r="A1806" s="4"/>
      <c r="B1806" s="3"/>
      <c r="C1806" s="3"/>
      <c r="D1806" s="3"/>
      <c r="E1806" s="3"/>
      <c r="F1806" s="3"/>
      <c r="G1806" s="3"/>
      <c r="H1806" s="3"/>
      <c r="I1806" s="3"/>
      <c r="J1806" s="3"/>
      <c r="K1806" s="3"/>
      <c r="L1806" s="3"/>
      <c r="M1806" s="3"/>
      <c r="N1806" s="3"/>
      <c r="O1806" s="3"/>
      <c r="P1806" s="3"/>
      <c r="Q1806" s="3"/>
      <c r="R1806" s="3"/>
      <c r="S1806" s="3"/>
      <c r="T1806" s="3"/>
      <c r="U1806" s="3"/>
      <c r="V1806" s="3"/>
      <c r="W1806" s="3"/>
      <c r="X1806" s="3"/>
      <c r="Y1806" s="3"/>
      <c r="Z1806" s="3"/>
      <c r="AA1806" s="3"/>
    </row>
    <row r="1807">
      <c r="A1807" s="4"/>
      <c r="B1807" s="3"/>
      <c r="C1807" s="3"/>
      <c r="D1807" s="3"/>
      <c r="E1807" s="3"/>
      <c r="F1807" s="3"/>
      <c r="G1807" s="3"/>
      <c r="H1807" s="3"/>
      <c r="I1807" s="3"/>
      <c r="J1807" s="3"/>
      <c r="K1807" s="3"/>
      <c r="L1807" s="3"/>
      <c r="M1807" s="3"/>
      <c r="N1807" s="3"/>
      <c r="O1807" s="3"/>
      <c r="P1807" s="3"/>
      <c r="Q1807" s="3"/>
      <c r="R1807" s="3"/>
      <c r="S1807" s="3"/>
      <c r="T1807" s="3"/>
      <c r="U1807" s="3"/>
      <c r="V1807" s="3"/>
      <c r="W1807" s="3"/>
      <c r="X1807" s="3"/>
      <c r="Y1807" s="3"/>
      <c r="Z1807" s="3"/>
      <c r="AA1807" s="3"/>
    </row>
    <row r="1808">
      <c r="A1808" s="4"/>
      <c r="B1808" s="3"/>
      <c r="C1808" s="3"/>
      <c r="D1808" s="3"/>
      <c r="E1808" s="3"/>
      <c r="F1808" s="3"/>
      <c r="G1808" s="3"/>
      <c r="H1808" s="3"/>
      <c r="I1808" s="3"/>
      <c r="J1808" s="3"/>
      <c r="K1808" s="3"/>
      <c r="L1808" s="3"/>
      <c r="M1808" s="3"/>
      <c r="N1808" s="3"/>
      <c r="O1808" s="3"/>
      <c r="P1808" s="3"/>
      <c r="Q1808" s="3"/>
      <c r="R1808" s="3"/>
      <c r="S1808" s="3"/>
      <c r="T1808" s="3"/>
      <c r="U1808" s="3"/>
      <c r="V1808" s="3"/>
      <c r="W1808" s="3"/>
      <c r="X1808" s="3"/>
      <c r="Y1808" s="3"/>
      <c r="Z1808" s="3"/>
      <c r="AA1808" s="3"/>
    </row>
    <row r="1809">
      <c r="A1809" s="4"/>
      <c r="B1809" s="3"/>
      <c r="C1809" s="3"/>
      <c r="D1809" s="3"/>
      <c r="E1809" s="3"/>
      <c r="F1809" s="3"/>
      <c r="G1809" s="3"/>
      <c r="H1809" s="3"/>
      <c r="I1809" s="3"/>
      <c r="J1809" s="3"/>
      <c r="K1809" s="3"/>
      <c r="L1809" s="3"/>
      <c r="M1809" s="3"/>
      <c r="N1809" s="3"/>
      <c r="O1809" s="3"/>
      <c r="P1809" s="3"/>
      <c r="Q1809" s="3"/>
      <c r="R1809" s="3"/>
      <c r="S1809" s="3"/>
      <c r="T1809" s="3"/>
      <c r="U1809" s="3"/>
      <c r="V1809" s="3"/>
      <c r="W1809" s="3"/>
      <c r="X1809" s="3"/>
      <c r="Y1809" s="3"/>
      <c r="Z1809" s="3"/>
      <c r="AA1809" s="3"/>
    </row>
    <row r="1810">
      <c r="A1810" s="4"/>
      <c r="B1810" s="3"/>
      <c r="C1810" s="3"/>
      <c r="D1810" s="3"/>
      <c r="E1810" s="3"/>
      <c r="F1810" s="3"/>
      <c r="G1810" s="3"/>
      <c r="H1810" s="3"/>
      <c r="I1810" s="3"/>
      <c r="J1810" s="3"/>
      <c r="K1810" s="3"/>
      <c r="L1810" s="3"/>
      <c r="M1810" s="3"/>
      <c r="N1810" s="3"/>
      <c r="O1810" s="3"/>
      <c r="P1810" s="3"/>
      <c r="Q1810" s="3"/>
      <c r="R1810" s="3"/>
      <c r="S1810" s="3"/>
      <c r="T1810" s="3"/>
      <c r="U1810" s="3"/>
      <c r="V1810" s="3"/>
      <c r="W1810" s="3"/>
      <c r="X1810" s="3"/>
      <c r="Y1810" s="3"/>
      <c r="Z1810" s="3"/>
      <c r="AA1810" s="3"/>
    </row>
    <row r="1811">
      <c r="A1811" s="4"/>
      <c r="B1811" s="3"/>
      <c r="C1811" s="3"/>
      <c r="D1811" s="3"/>
      <c r="E1811" s="3"/>
      <c r="F1811" s="3"/>
      <c r="G1811" s="3"/>
      <c r="H1811" s="3"/>
      <c r="I1811" s="3"/>
      <c r="J1811" s="3"/>
      <c r="K1811" s="3"/>
      <c r="L1811" s="3"/>
      <c r="M1811" s="3"/>
      <c r="N1811" s="3"/>
      <c r="O1811" s="3"/>
      <c r="P1811" s="3"/>
      <c r="Q1811" s="3"/>
      <c r="R1811" s="3"/>
      <c r="S1811" s="3"/>
      <c r="T1811" s="3"/>
      <c r="U1811" s="3"/>
      <c r="V1811" s="3"/>
      <c r="W1811" s="3"/>
      <c r="X1811" s="3"/>
      <c r="Y1811" s="3"/>
      <c r="Z1811" s="3"/>
      <c r="AA1811" s="3"/>
    </row>
    <row r="1812">
      <c r="A1812" s="4"/>
      <c r="B1812" s="3"/>
      <c r="C1812" s="3"/>
      <c r="D1812" s="3"/>
      <c r="E1812" s="3"/>
      <c r="F1812" s="3"/>
      <c r="G1812" s="3"/>
      <c r="H1812" s="3"/>
      <c r="I1812" s="3"/>
      <c r="J1812" s="3"/>
      <c r="K1812" s="3"/>
      <c r="L1812" s="3"/>
      <c r="M1812" s="3"/>
      <c r="N1812" s="3"/>
      <c r="O1812" s="3"/>
      <c r="P1812" s="3"/>
      <c r="Q1812" s="3"/>
      <c r="R1812" s="3"/>
      <c r="S1812" s="3"/>
      <c r="T1812" s="3"/>
      <c r="U1812" s="3"/>
      <c r="V1812" s="3"/>
      <c r="W1812" s="3"/>
      <c r="X1812" s="3"/>
      <c r="Y1812" s="3"/>
      <c r="Z1812" s="3"/>
      <c r="AA1812" s="3"/>
    </row>
    <row r="1813">
      <c r="A1813" s="4"/>
      <c r="B1813" s="3"/>
      <c r="C1813" s="3"/>
      <c r="D1813" s="3"/>
      <c r="E1813" s="3"/>
      <c r="F1813" s="3"/>
      <c r="G1813" s="3"/>
      <c r="H1813" s="3"/>
      <c r="I1813" s="3"/>
      <c r="J1813" s="3"/>
      <c r="K1813" s="3"/>
      <c r="L1813" s="3"/>
      <c r="M1813" s="3"/>
      <c r="N1813" s="3"/>
      <c r="O1813" s="3"/>
      <c r="P1813" s="3"/>
      <c r="Q1813" s="3"/>
      <c r="R1813" s="3"/>
      <c r="S1813" s="3"/>
      <c r="T1813" s="3"/>
      <c r="U1813" s="3"/>
      <c r="V1813" s="3"/>
      <c r="W1813" s="3"/>
      <c r="X1813" s="3"/>
      <c r="Y1813" s="3"/>
      <c r="Z1813" s="3"/>
      <c r="AA1813" s="3"/>
    </row>
    <row r="1814">
      <c r="A1814" s="4"/>
      <c r="B1814" s="3"/>
      <c r="C1814" s="3"/>
      <c r="D1814" s="3"/>
      <c r="E1814" s="3"/>
      <c r="F1814" s="3"/>
      <c r="G1814" s="3"/>
      <c r="H1814" s="3"/>
      <c r="I1814" s="3"/>
      <c r="J1814" s="3"/>
      <c r="K1814" s="3"/>
      <c r="L1814" s="3"/>
      <c r="M1814" s="3"/>
      <c r="N1814" s="3"/>
      <c r="O1814" s="3"/>
      <c r="P1814" s="3"/>
      <c r="Q1814" s="3"/>
      <c r="R1814" s="3"/>
      <c r="S1814" s="3"/>
      <c r="T1814" s="3"/>
      <c r="U1814" s="3"/>
      <c r="V1814" s="3"/>
      <c r="W1814" s="3"/>
      <c r="X1814" s="3"/>
      <c r="Y1814" s="3"/>
      <c r="Z1814" s="3"/>
      <c r="AA1814" s="3"/>
    </row>
    <row r="1815">
      <c r="A1815" s="4"/>
      <c r="B1815" s="3"/>
      <c r="C1815" s="3"/>
      <c r="D1815" s="3"/>
      <c r="E1815" s="3"/>
      <c r="F1815" s="3"/>
      <c r="G1815" s="3"/>
      <c r="H1815" s="3"/>
      <c r="I1815" s="3"/>
      <c r="J1815" s="3"/>
      <c r="K1815" s="3"/>
      <c r="L1815" s="3"/>
      <c r="M1815" s="3"/>
      <c r="N1815" s="3"/>
      <c r="O1815" s="3"/>
      <c r="P1815" s="3"/>
      <c r="Q1815" s="3"/>
      <c r="R1815" s="3"/>
      <c r="S1815" s="3"/>
      <c r="T1815" s="3"/>
      <c r="U1815" s="3"/>
      <c r="V1815" s="3"/>
      <c r="W1815" s="3"/>
      <c r="X1815" s="3"/>
      <c r="Y1815" s="3"/>
      <c r="Z1815" s="3"/>
      <c r="AA1815" s="3"/>
    </row>
    <row r="1816">
      <c r="A1816" s="4"/>
      <c r="B1816" s="3"/>
      <c r="C1816" s="3"/>
      <c r="D1816" s="3"/>
      <c r="E1816" s="3"/>
      <c r="F1816" s="3"/>
      <c r="G1816" s="3"/>
      <c r="H1816" s="3"/>
      <c r="I1816" s="3"/>
      <c r="J1816" s="3"/>
      <c r="K1816" s="3"/>
      <c r="L1816" s="3"/>
      <c r="M1816" s="3"/>
      <c r="N1816" s="3"/>
      <c r="O1816" s="3"/>
      <c r="P1816" s="3"/>
      <c r="Q1816" s="3"/>
      <c r="R1816" s="3"/>
      <c r="S1816" s="3"/>
      <c r="T1816" s="3"/>
      <c r="U1816" s="3"/>
      <c r="V1816" s="3"/>
      <c r="W1816" s="3"/>
      <c r="X1816" s="3"/>
      <c r="Y1816" s="3"/>
      <c r="Z1816" s="3"/>
      <c r="AA1816" s="3"/>
    </row>
    <row r="1817">
      <c r="A1817" s="4"/>
      <c r="B1817" s="3"/>
      <c r="C1817" s="3"/>
      <c r="D1817" s="3"/>
      <c r="E1817" s="3"/>
      <c r="F1817" s="3"/>
      <c r="G1817" s="3"/>
      <c r="H1817" s="3"/>
      <c r="I1817" s="3"/>
      <c r="J1817" s="3"/>
      <c r="K1817" s="3"/>
      <c r="L1817" s="3"/>
      <c r="M1817" s="3"/>
      <c r="N1817" s="3"/>
      <c r="O1817" s="3"/>
      <c r="P1817" s="3"/>
      <c r="Q1817" s="3"/>
      <c r="R1817" s="3"/>
      <c r="S1817" s="3"/>
      <c r="T1817" s="3"/>
      <c r="U1817" s="3"/>
      <c r="V1817" s="3"/>
      <c r="W1817" s="3"/>
      <c r="X1817" s="3"/>
      <c r="Y1817" s="3"/>
      <c r="Z1817" s="3"/>
      <c r="AA1817" s="3"/>
    </row>
    <row r="1818">
      <c r="A1818" s="4"/>
      <c r="B1818" s="3"/>
      <c r="C1818" s="3"/>
      <c r="D1818" s="3"/>
      <c r="E1818" s="3"/>
      <c r="F1818" s="3"/>
      <c r="G1818" s="3"/>
      <c r="H1818" s="3"/>
      <c r="I1818" s="3"/>
      <c r="J1818" s="3"/>
      <c r="K1818" s="3"/>
      <c r="L1818" s="3"/>
      <c r="M1818" s="3"/>
      <c r="N1818" s="3"/>
      <c r="O1818" s="3"/>
      <c r="P1818" s="3"/>
      <c r="Q1818" s="3"/>
      <c r="R1818" s="3"/>
      <c r="S1818" s="3"/>
      <c r="T1818" s="3"/>
      <c r="U1818" s="3"/>
      <c r="V1818" s="3"/>
      <c r="W1818" s="3"/>
      <c r="X1818" s="3"/>
      <c r="Y1818" s="3"/>
      <c r="Z1818" s="3"/>
      <c r="AA1818" s="3"/>
    </row>
    <row r="1819">
      <c r="A1819" s="4"/>
      <c r="B1819" s="3"/>
      <c r="C1819" s="3"/>
      <c r="D1819" s="3"/>
      <c r="E1819" s="3"/>
      <c r="F1819" s="3"/>
      <c r="G1819" s="3"/>
      <c r="H1819" s="3"/>
      <c r="I1819" s="3"/>
      <c r="J1819" s="3"/>
      <c r="K1819" s="3"/>
      <c r="L1819" s="3"/>
      <c r="M1819" s="3"/>
      <c r="N1819" s="3"/>
      <c r="O1819" s="3"/>
      <c r="P1819" s="3"/>
      <c r="Q1819" s="3"/>
      <c r="R1819" s="3"/>
      <c r="S1819" s="3"/>
      <c r="T1819" s="3"/>
      <c r="U1819" s="3"/>
      <c r="V1819" s="3"/>
      <c r="W1819" s="3"/>
      <c r="X1819" s="3"/>
      <c r="Y1819" s="3"/>
      <c r="Z1819" s="3"/>
      <c r="AA1819" s="3"/>
    </row>
    <row r="1820">
      <c r="A1820" s="4"/>
      <c r="B1820" s="3"/>
      <c r="C1820" s="3"/>
      <c r="D1820" s="3"/>
      <c r="E1820" s="3"/>
      <c r="F1820" s="3"/>
      <c r="G1820" s="3"/>
      <c r="H1820" s="3"/>
      <c r="I1820" s="3"/>
      <c r="J1820" s="3"/>
      <c r="K1820" s="3"/>
      <c r="L1820" s="3"/>
      <c r="M1820" s="3"/>
      <c r="N1820" s="3"/>
      <c r="O1820" s="3"/>
      <c r="P1820" s="3"/>
      <c r="Q1820" s="3"/>
      <c r="R1820" s="3"/>
      <c r="S1820" s="3"/>
      <c r="T1820" s="3"/>
      <c r="U1820" s="3"/>
      <c r="V1820" s="3"/>
      <c r="W1820" s="3"/>
      <c r="X1820" s="3"/>
      <c r="Y1820" s="3"/>
      <c r="Z1820" s="3"/>
      <c r="AA1820" s="3"/>
    </row>
    <row r="1821">
      <c r="A1821" s="4"/>
      <c r="B1821" s="3"/>
      <c r="C1821" s="3"/>
      <c r="D1821" s="3"/>
      <c r="E1821" s="3"/>
      <c r="F1821" s="3"/>
      <c r="G1821" s="3"/>
      <c r="H1821" s="3"/>
      <c r="I1821" s="3"/>
      <c r="J1821" s="3"/>
      <c r="K1821" s="3"/>
      <c r="L1821" s="3"/>
      <c r="M1821" s="3"/>
      <c r="N1821" s="3"/>
      <c r="O1821" s="3"/>
      <c r="P1821" s="3"/>
      <c r="Q1821" s="3"/>
      <c r="R1821" s="3"/>
      <c r="S1821" s="3"/>
      <c r="T1821" s="3"/>
      <c r="U1821" s="3"/>
      <c r="V1821" s="3"/>
      <c r="W1821" s="3"/>
      <c r="X1821" s="3"/>
      <c r="Y1821" s="3"/>
      <c r="Z1821" s="3"/>
      <c r="AA1821" s="3"/>
    </row>
    <row r="1822">
      <c r="A1822" s="4"/>
      <c r="B1822" s="3"/>
      <c r="C1822" s="3"/>
      <c r="D1822" s="3"/>
      <c r="E1822" s="3"/>
      <c r="F1822" s="3"/>
      <c r="G1822" s="3"/>
      <c r="H1822" s="3"/>
      <c r="I1822" s="3"/>
      <c r="J1822" s="3"/>
      <c r="K1822" s="3"/>
      <c r="L1822" s="3"/>
      <c r="M1822" s="3"/>
      <c r="N1822" s="3"/>
      <c r="O1822" s="3"/>
      <c r="P1822" s="3"/>
      <c r="Q1822" s="3"/>
      <c r="R1822" s="3"/>
      <c r="S1822" s="3"/>
      <c r="T1822" s="3"/>
      <c r="U1822" s="3"/>
      <c r="V1822" s="3"/>
      <c r="W1822" s="3"/>
      <c r="X1822" s="3"/>
      <c r="Y1822" s="3"/>
      <c r="Z1822" s="3"/>
      <c r="AA1822" s="3"/>
    </row>
    <row r="1823">
      <c r="A1823" s="4"/>
      <c r="B1823" s="3"/>
      <c r="C1823" s="3"/>
      <c r="D1823" s="3"/>
      <c r="E1823" s="3"/>
      <c r="F1823" s="3"/>
      <c r="G1823" s="3"/>
      <c r="H1823" s="3"/>
      <c r="I1823" s="3"/>
      <c r="J1823" s="3"/>
      <c r="K1823" s="3"/>
      <c r="L1823" s="3"/>
      <c r="M1823" s="3"/>
      <c r="N1823" s="3"/>
      <c r="O1823" s="3"/>
      <c r="P1823" s="3"/>
      <c r="Q1823" s="3"/>
      <c r="R1823" s="3"/>
      <c r="S1823" s="3"/>
      <c r="T1823" s="3"/>
      <c r="U1823" s="3"/>
      <c r="V1823" s="3"/>
      <c r="W1823" s="3"/>
      <c r="X1823" s="3"/>
      <c r="Y1823" s="3"/>
      <c r="Z1823" s="3"/>
      <c r="AA1823" s="3"/>
    </row>
    <row r="1824">
      <c r="A1824" s="4"/>
      <c r="B1824" s="3"/>
      <c r="C1824" s="3"/>
      <c r="D1824" s="3"/>
      <c r="E1824" s="3"/>
      <c r="F1824" s="3"/>
      <c r="G1824" s="3"/>
      <c r="H1824" s="3"/>
      <c r="I1824" s="3"/>
      <c r="J1824" s="3"/>
      <c r="K1824" s="3"/>
      <c r="L1824" s="3"/>
      <c r="M1824" s="3"/>
      <c r="N1824" s="3"/>
      <c r="O1824" s="3"/>
      <c r="P1824" s="3"/>
      <c r="Q1824" s="3"/>
      <c r="R1824" s="3"/>
      <c r="S1824" s="3"/>
      <c r="T1824" s="3"/>
      <c r="U1824" s="3"/>
      <c r="V1824" s="3"/>
      <c r="W1824" s="3"/>
      <c r="X1824" s="3"/>
      <c r="Y1824" s="3"/>
      <c r="Z1824" s="3"/>
      <c r="AA1824" s="3"/>
    </row>
    <row r="1825">
      <c r="A1825" s="4"/>
      <c r="B1825" s="3"/>
      <c r="C1825" s="3"/>
      <c r="D1825" s="3"/>
      <c r="E1825" s="3"/>
      <c r="F1825" s="3"/>
      <c r="G1825" s="3"/>
      <c r="H1825" s="3"/>
      <c r="I1825" s="3"/>
      <c r="J1825" s="3"/>
      <c r="K1825" s="3"/>
      <c r="L1825" s="3"/>
      <c r="M1825" s="3"/>
      <c r="N1825" s="3"/>
      <c r="O1825" s="3"/>
      <c r="P1825" s="3"/>
      <c r="Q1825" s="3"/>
      <c r="R1825" s="3"/>
      <c r="S1825" s="3"/>
      <c r="T1825" s="3"/>
      <c r="U1825" s="3"/>
      <c r="V1825" s="3"/>
      <c r="W1825" s="3"/>
      <c r="X1825" s="3"/>
      <c r="Y1825" s="3"/>
      <c r="Z1825" s="3"/>
      <c r="AA1825" s="3"/>
    </row>
    <row r="1826">
      <c r="A1826" s="4"/>
      <c r="B1826" s="3"/>
      <c r="C1826" s="3"/>
      <c r="D1826" s="3"/>
      <c r="E1826" s="3"/>
      <c r="F1826" s="3"/>
      <c r="G1826" s="3"/>
      <c r="H1826" s="3"/>
      <c r="I1826" s="3"/>
      <c r="J1826" s="3"/>
      <c r="K1826" s="3"/>
      <c r="L1826" s="3"/>
      <c r="M1826" s="3"/>
      <c r="N1826" s="3"/>
      <c r="O1826" s="3"/>
      <c r="P1826" s="3"/>
      <c r="Q1826" s="3"/>
      <c r="R1826" s="3"/>
      <c r="S1826" s="3"/>
      <c r="T1826" s="3"/>
      <c r="U1826" s="3"/>
      <c r="V1826" s="3"/>
      <c r="W1826" s="3"/>
      <c r="X1826" s="3"/>
      <c r="Y1826" s="3"/>
      <c r="Z1826" s="3"/>
      <c r="AA1826" s="3"/>
    </row>
    <row r="1827">
      <c r="A1827" s="4"/>
      <c r="B1827" s="3"/>
      <c r="C1827" s="3"/>
      <c r="D1827" s="3"/>
      <c r="E1827" s="3"/>
      <c r="F1827" s="3"/>
      <c r="G1827" s="3"/>
      <c r="H1827" s="3"/>
      <c r="I1827" s="3"/>
      <c r="J1827" s="3"/>
      <c r="K1827" s="3"/>
      <c r="L1827" s="3"/>
      <c r="M1827" s="3"/>
      <c r="N1827" s="3"/>
      <c r="O1827" s="3"/>
      <c r="P1827" s="3"/>
      <c r="Q1827" s="3"/>
      <c r="R1827" s="3"/>
      <c r="S1827" s="3"/>
      <c r="T1827" s="3"/>
      <c r="U1827" s="3"/>
      <c r="V1827" s="3"/>
      <c r="W1827" s="3"/>
      <c r="X1827" s="3"/>
      <c r="Y1827" s="3"/>
      <c r="Z1827" s="3"/>
      <c r="AA1827" s="3"/>
    </row>
    <row r="1828">
      <c r="A1828" s="4"/>
      <c r="B1828" s="3"/>
      <c r="C1828" s="3"/>
      <c r="D1828" s="3"/>
      <c r="E1828" s="3"/>
      <c r="F1828" s="3"/>
      <c r="G1828" s="3"/>
      <c r="H1828" s="3"/>
      <c r="I1828" s="3"/>
      <c r="J1828" s="3"/>
      <c r="K1828" s="3"/>
      <c r="L1828" s="3"/>
      <c r="M1828" s="3"/>
      <c r="N1828" s="3"/>
      <c r="O1828" s="3"/>
      <c r="P1828" s="3"/>
      <c r="Q1828" s="3"/>
      <c r="R1828" s="3"/>
      <c r="S1828" s="3"/>
      <c r="T1828" s="3"/>
      <c r="U1828" s="3"/>
      <c r="V1828" s="3"/>
      <c r="W1828" s="3"/>
      <c r="X1828" s="3"/>
      <c r="Y1828" s="3"/>
      <c r="Z1828" s="3"/>
      <c r="AA1828" s="3"/>
    </row>
    <row r="1829">
      <c r="A1829" s="4"/>
      <c r="B1829" s="3"/>
      <c r="C1829" s="3"/>
      <c r="D1829" s="3"/>
      <c r="E1829" s="3"/>
      <c r="F1829" s="3"/>
      <c r="G1829" s="3"/>
      <c r="H1829" s="3"/>
      <c r="I1829" s="3"/>
      <c r="J1829" s="3"/>
      <c r="K1829" s="3"/>
      <c r="L1829" s="3"/>
      <c r="M1829" s="3"/>
      <c r="N1829" s="3"/>
      <c r="O1829" s="3"/>
      <c r="P1829" s="3"/>
      <c r="Q1829" s="3"/>
      <c r="R1829" s="3"/>
      <c r="S1829" s="3"/>
      <c r="T1829" s="3"/>
      <c r="U1829" s="3"/>
      <c r="V1829" s="3"/>
      <c r="W1829" s="3"/>
      <c r="X1829" s="3"/>
      <c r="Y1829" s="3"/>
      <c r="Z1829" s="3"/>
      <c r="AA1829" s="3"/>
    </row>
    <row r="1830">
      <c r="A1830" s="4"/>
      <c r="B1830" s="3"/>
      <c r="C1830" s="3"/>
      <c r="D1830" s="3"/>
      <c r="E1830" s="3"/>
      <c r="F1830" s="3"/>
      <c r="G1830" s="3"/>
      <c r="H1830" s="3"/>
      <c r="I1830" s="3"/>
      <c r="J1830" s="3"/>
      <c r="K1830" s="3"/>
      <c r="L1830" s="3"/>
      <c r="M1830" s="3"/>
      <c r="N1830" s="3"/>
      <c r="O1830" s="3"/>
      <c r="P1830" s="3"/>
      <c r="Q1830" s="3"/>
      <c r="R1830" s="3"/>
      <c r="S1830" s="3"/>
      <c r="T1830" s="3"/>
      <c r="U1830" s="3"/>
      <c r="V1830" s="3"/>
      <c r="W1830" s="3"/>
      <c r="X1830" s="3"/>
      <c r="Y1830" s="3"/>
      <c r="Z1830" s="3"/>
      <c r="AA1830" s="3"/>
    </row>
    <row r="1831">
      <c r="A1831" s="4"/>
      <c r="B1831" s="3"/>
      <c r="C1831" s="3"/>
      <c r="D1831" s="3"/>
      <c r="E1831" s="3"/>
      <c r="F1831" s="3"/>
      <c r="G1831" s="3"/>
      <c r="H1831" s="3"/>
      <c r="I1831" s="3"/>
      <c r="J1831" s="3"/>
      <c r="K1831" s="3"/>
      <c r="L1831" s="3"/>
      <c r="M1831" s="3"/>
      <c r="N1831" s="3"/>
      <c r="O1831" s="3"/>
      <c r="P1831" s="3"/>
      <c r="Q1831" s="3"/>
      <c r="R1831" s="3"/>
      <c r="S1831" s="3"/>
      <c r="T1831" s="3"/>
      <c r="U1831" s="3"/>
      <c r="V1831" s="3"/>
      <c r="W1831" s="3"/>
      <c r="X1831" s="3"/>
      <c r="Y1831" s="3"/>
      <c r="Z1831" s="3"/>
      <c r="AA1831" s="3"/>
    </row>
    <row r="1832">
      <c r="A1832" s="4"/>
      <c r="B1832" s="3"/>
      <c r="C1832" s="3"/>
      <c r="D1832" s="3"/>
      <c r="E1832" s="3"/>
      <c r="F1832" s="3"/>
      <c r="G1832" s="3"/>
      <c r="H1832" s="3"/>
      <c r="I1832" s="3"/>
      <c r="J1832" s="3"/>
      <c r="K1832" s="3"/>
      <c r="L1832" s="3"/>
      <c r="M1832" s="3"/>
      <c r="N1832" s="3"/>
      <c r="O1832" s="3"/>
      <c r="P1832" s="3"/>
      <c r="Q1832" s="3"/>
      <c r="R1832" s="3"/>
      <c r="S1832" s="3"/>
      <c r="T1832" s="3"/>
      <c r="U1832" s="3"/>
      <c r="V1832" s="3"/>
      <c r="W1832" s="3"/>
      <c r="X1832" s="3"/>
      <c r="Y1832" s="3"/>
      <c r="Z1832" s="3"/>
      <c r="AA1832" s="3"/>
    </row>
    <row r="1833">
      <c r="A1833" s="4"/>
      <c r="B1833" s="3"/>
      <c r="C1833" s="3"/>
      <c r="D1833" s="3"/>
      <c r="E1833" s="3"/>
      <c r="F1833" s="3"/>
      <c r="G1833" s="3"/>
      <c r="H1833" s="3"/>
      <c r="I1833" s="3"/>
      <c r="J1833" s="3"/>
      <c r="K1833" s="3"/>
      <c r="L1833" s="3"/>
      <c r="M1833" s="3"/>
      <c r="N1833" s="3"/>
      <c r="O1833" s="3"/>
      <c r="P1833" s="3"/>
      <c r="Q1833" s="3"/>
      <c r="R1833" s="3"/>
      <c r="S1833" s="3"/>
      <c r="T1833" s="3"/>
      <c r="U1833" s="3"/>
      <c r="V1833" s="3"/>
      <c r="W1833" s="3"/>
      <c r="X1833" s="3"/>
      <c r="Y1833" s="3"/>
      <c r="Z1833" s="3"/>
      <c r="AA1833" s="3"/>
    </row>
    <row r="1834">
      <c r="A1834" s="4"/>
      <c r="B1834" s="3"/>
      <c r="C1834" s="3"/>
      <c r="D1834" s="3"/>
      <c r="E1834" s="3"/>
      <c r="F1834" s="3"/>
      <c r="G1834" s="3"/>
      <c r="H1834" s="3"/>
      <c r="I1834" s="3"/>
      <c r="J1834" s="3"/>
      <c r="K1834" s="3"/>
      <c r="L1834" s="3"/>
      <c r="M1834" s="3"/>
      <c r="N1834" s="3"/>
      <c r="O1834" s="3"/>
      <c r="P1834" s="3"/>
      <c r="Q1834" s="3"/>
      <c r="R1834" s="3"/>
      <c r="S1834" s="3"/>
      <c r="T1834" s="3"/>
      <c r="U1834" s="3"/>
      <c r="V1834" s="3"/>
      <c r="W1834" s="3"/>
      <c r="X1834" s="3"/>
      <c r="Y1834" s="3"/>
      <c r="Z1834" s="3"/>
      <c r="AA1834" s="3"/>
    </row>
    <row r="1835">
      <c r="A1835" s="4"/>
      <c r="B1835" s="3"/>
      <c r="C1835" s="3"/>
      <c r="D1835" s="3"/>
      <c r="E1835" s="3"/>
      <c r="F1835" s="3"/>
      <c r="G1835" s="3"/>
      <c r="H1835" s="3"/>
      <c r="I1835" s="3"/>
      <c r="J1835" s="3"/>
      <c r="K1835" s="3"/>
      <c r="L1835" s="3"/>
      <c r="M1835" s="3"/>
      <c r="N1835" s="3"/>
      <c r="O1835" s="3"/>
      <c r="P1835" s="3"/>
      <c r="Q1835" s="3"/>
      <c r="R1835" s="3"/>
      <c r="S1835" s="3"/>
      <c r="T1835" s="3"/>
      <c r="U1835" s="3"/>
      <c r="V1835" s="3"/>
      <c r="W1835" s="3"/>
      <c r="X1835" s="3"/>
      <c r="Y1835" s="3"/>
      <c r="Z1835" s="3"/>
      <c r="AA1835" s="3"/>
    </row>
    <row r="1836">
      <c r="A1836" s="4"/>
      <c r="B1836" s="3"/>
      <c r="C1836" s="3"/>
      <c r="D1836" s="3"/>
      <c r="E1836" s="3"/>
      <c r="F1836" s="3"/>
      <c r="G1836" s="3"/>
      <c r="H1836" s="3"/>
      <c r="I1836" s="3"/>
      <c r="J1836" s="3"/>
      <c r="K1836" s="3"/>
      <c r="L1836" s="3"/>
      <c r="M1836" s="3"/>
      <c r="N1836" s="3"/>
      <c r="O1836" s="3"/>
      <c r="P1836" s="3"/>
      <c r="Q1836" s="3"/>
      <c r="R1836" s="3"/>
      <c r="S1836" s="3"/>
      <c r="T1836" s="3"/>
      <c r="U1836" s="3"/>
      <c r="V1836" s="3"/>
      <c r="W1836" s="3"/>
      <c r="X1836" s="3"/>
      <c r="Y1836" s="3"/>
      <c r="Z1836" s="3"/>
      <c r="AA1836" s="3"/>
    </row>
    <row r="1837">
      <c r="A1837" s="4"/>
      <c r="B1837" s="3"/>
      <c r="C1837" s="3"/>
      <c r="D1837" s="3"/>
      <c r="E1837" s="3"/>
      <c r="F1837" s="3"/>
      <c r="G1837" s="3"/>
      <c r="H1837" s="3"/>
      <c r="I1837" s="3"/>
      <c r="J1837" s="3"/>
      <c r="K1837" s="3"/>
      <c r="L1837" s="3"/>
      <c r="M1837" s="3"/>
      <c r="N1837" s="3"/>
      <c r="O1837" s="3"/>
      <c r="P1837" s="3"/>
      <c r="Q1837" s="3"/>
      <c r="R1837" s="3"/>
      <c r="S1837" s="3"/>
      <c r="T1837" s="3"/>
      <c r="U1837" s="3"/>
      <c r="V1837" s="3"/>
      <c r="W1837" s="3"/>
      <c r="X1837" s="3"/>
      <c r="Y1837" s="3"/>
      <c r="Z1837" s="3"/>
      <c r="AA1837" s="3"/>
    </row>
    <row r="1838">
      <c r="A1838" s="4"/>
      <c r="B1838" s="3"/>
      <c r="C1838" s="3"/>
      <c r="D1838" s="3"/>
      <c r="E1838" s="3"/>
      <c r="F1838" s="3"/>
      <c r="G1838" s="3"/>
      <c r="H1838" s="3"/>
      <c r="I1838" s="3"/>
      <c r="J1838" s="3"/>
      <c r="K1838" s="3"/>
      <c r="L1838" s="3"/>
      <c r="M1838" s="3"/>
      <c r="N1838" s="3"/>
      <c r="O1838" s="3"/>
      <c r="P1838" s="3"/>
      <c r="Q1838" s="3"/>
      <c r="R1838" s="3"/>
      <c r="S1838" s="3"/>
      <c r="T1838" s="3"/>
      <c r="U1838" s="3"/>
      <c r="V1838" s="3"/>
      <c r="W1838" s="3"/>
      <c r="X1838" s="3"/>
      <c r="Y1838" s="3"/>
      <c r="Z1838" s="3"/>
      <c r="AA1838" s="3"/>
    </row>
    <row r="1839">
      <c r="A1839" s="4"/>
      <c r="B1839" s="3"/>
      <c r="C1839" s="3"/>
      <c r="D1839" s="3"/>
      <c r="E1839" s="3"/>
      <c r="F1839" s="3"/>
      <c r="G1839" s="3"/>
      <c r="H1839" s="3"/>
      <c r="I1839" s="3"/>
      <c r="J1839" s="3"/>
      <c r="K1839" s="3"/>
      <c r="L1839" s="3"/>
      <c r="M1839" s="3"/>
      <c r="N1839" s="3"/>
      <c r="O1839" s="3"/>
      <c r="P1839" s="3"/>
      <c r="Q1839" s="3"/>
      <c r="R1839" s="3"/>
      <c r="S1839" s="3"/>
      <c r="T1839" s="3"/>
      <c r="U1839" s="3"/>
      <c r="V1839" s="3"/>
      <c r="W1839" s="3"/>
      <c r="X1839" s="3"/>
      <c r="Y1839" s="3"/>
      <c r="Z1839" s="3"/>
      <c r="AA1839" s="3"/>
    </row>
    <row r="1840">
      <c r="A1840" s="4"/>
      <c r="B1840" s="3"/>
      <c r="C1840" s="3"/>
      <c r="D1840" s="3"/>
      <c r="E1840" s="3"/>
      <c r="F1840" s="3"/>
      <c r="G1840" s="3"/>
      <c r="H1840" s="3"/>
      <c r="I1840" s="3"/>
      <c r="J1840" s="3"/>
      <c r="K1840" s="3"/>
      <c r="L1840" s="3"/>
      <c r="M1840" s="3"/>
      <c r="N1840" s="3"/>
      <c r="O1840" s="3"/>
      <c r="P1840" s="3"/>
      <c r="Q1840" s="3"/>
      <c r="R1840" s="3"/>
      <c r="S1840" s="3"/>
      <c r="T1840" s="3"/>
      <c r="U1840" s="3"/>
      <c r="V1840" s="3"/>
      <c r="W1840" s="3"/>
      <c r="X1840" s="3"/>
      <c r="Y1840" s="3"/>
      <c r="Z1840" s="3"/>
      <c r="AA1840" s="3"/>
    </row>
    <row r="1841">
      <c r="A1841" s="4"/>
      <c r="B1841" s="3"/>
      <c r="C1841" s="3"/>
      <c r="D1841" s="3"/>
      <c r="E1841" s="3"/>
      <c r="F1841" s="3"/>
      <c r="G1841" s="3"/>
      <c r="H1841" s="3"/>
      <c r="I1841" s="3"/>
      <c r="J1841" s="3"/>
      <c r="K1841" s="3"/>
      <c r="L1841" s="3"/>
      <c r="M1841" s="3"/>
      <c r="N1841" s="3"/>
      <c r="O1841" s="3"/>
      <c r="P1841" s="3"/>
      <c r="Q1841" s="3"/>
      <c r="R1841" s="3"/>
      <c r="S1841" s="3"/>
      <c r="T1841" s="3"/>
      <c r="U1841" s="3"/>
      <c r="V1841" s="3"/>
      <c r="W1841" s="3"/>
      <c r="X1841" s="3"/>
      <c r="Y1841" s="3"/>
      <c r="Z1841" s="3"/>
      <c r="AA1841" s="3"/>
    </row>
    <row r="1842">
      <c r="A1842" s="4"/>
      <c r="B1842" s="3"/>
      <c r="C1842" s="3"/>
      <c r="D1842" s="3"/>
      <c r="E1842" s="3"/>
      <c r="F1842" s="3"/>
      <c r="G1842" s="3"/>
      <c r="H1842" s="3"/>
      <c r="I1842" s="3"/>
      <c r="J1842" s="3"/>
      <c r="K1842" s="3"/>
      <c r="L1842" s="3"/>
      <c r="M1842" s="3"/>
      <c r="N1842" s="3"/>
      <c r="O1842" s="3"/>
      <c r="P1842" s="3"/>
      <c r="Q1842" s="3"/>
      <c r="R1842" s="3"/>
      <c r="S1842" s="3"/>
      <c r="T1842" s="3"/>
      <c r="U1842" s="3"/>
      <c r="V1842" s="3"/>
      <c r="W1842" s="3"/>
      <c r="X1842" s="3"/>
      <c r="Y1842" s="3"/>
      <c r="Z1842" s="3"/>
      <c r="AA1842" s="3"/>
    </row>
    <row r="1843">
      <c r="A1843" s="4"/>
      <c r="B1843" s="3"/>
      <c r="C1843" s="3"/>
      <c r="D1843" s="3"/>
      <c r="E1843" s="3"/>
      <c r="F1843" s="3"/>
      <c r="G1843" s="3"/>
      <c r="H1843" s="3"/>
      <c r="I1843" s="3"/>
      <c r="J1843" s="3"/>
      <c r="K1843" s="3"/>
      <c r="L1843" s="3"/>
      <c r="M1843" s="3"/>
      <c r="N1843" s="3"/>
      <c r="O1843" s="3"/>
      <c r="P1843" s="3"/>
      <c r="Q1843" s="3"/>
      <c r="R1843" s="3"/>
      <c r="S1843" s="3"/>
      <c r="T1843" s="3"/>
      <c r="U1843" s="3"/>
      <c r="V1843" s="3"/>
      <c r="W1843" s="3"/>
      <c r="X1843" s="3"/>
      <c r="Y1843" s="3"/>
      <c r="Z1843" s="3"/>
      <c r="AA1843" s="3"/>
    </row>
    <row r="1844">
      <c r="A1844" s="4"/>
      <c r="B1844" s="3"/>
      <c r="C1844" s="3"/>
      <c r="D1844" s="3"/>
      <c r="E1844" s="3"/>
      <c r="F1844" s="3"/>
      <c r="G1844" s="3"/>
      <c r="H1844" s="3"/>
      <c r="I1844" s="3"/>
      <c r="J1844" s="3"/>
      <c r="K1844" s="3"/>
      <c r="L1844" s="3"/>
      <c r="M1844" s="3"/>
      <c r="N1844" s="3"/>
      <c r="O1844" s="3"/>
      <c r="P1844" s="3"/>
      <c r="Q1844" s="3"/>
      <c r="R1844" s="3"/>
      <c r="S1844" s="3"/>
      <c r="T1844" s="3"/>
      <c r="U1844" s="3"/>
      <c r="V1844" s="3"/>
      <c r="W1844" s="3"/>
      <c r="X1844" s="3"/>
      <c r="Y1844" s="3"/>
      <c r="Z1844" s="3"/>
      <c r="AA1844" s="3"/>
    </row>
    <row r="1845">
      <c r="A1845" s="4"/>
      <c r="B1845" s="3"/>
      <c r="C1845" s="3"/>
      <c r="D1845" s="3"/>
      <c r="E1845" s="3"/>
      <c r="F1845" s="3"/>
      <c r="G1845" s="3"/>
      <c r="H1845" s="3"/>
      <c r="I1845" s="3"/>
      <c r="J1845" s="3"/>
      <c r="K1845" s="3"/>
      <c r="L1845" s="3"/>
      <c r="M1845" s="3"/>
      <c r="N1845" s="3"/>
      <c r="O1845" s="3"/>
      <c r="P1845" s="3"/>
      <c r="Q1845" s="3"/>
      <c r="R1845" s="3"/>
      <c r="S1845" s="3"/>
      <c r="T1845" s="3"/>
      <c r="U1845" s="3"/>
      <c r="V1845" s="3"/>
      <c r="W1845" s="3"/>
      <c r="X1845" s="3"/>
      <c r="Y1845" s="3"/>
      <c r="Z1845" s="3"/>
      <c r="AA1845" s="3"/>
    </row>
    <row r="1846">
      <c r="A1846" s="4"/>
      <c r="B1846" s="3"/>
      <c r="C1846" s="3"/>
      <c r="D1846" s="3"/>
      <c r="E1846" s="3"/>
      <c r="F1846" s="3"/>
      <c r="G1846" s="3"/>
      <c r="H1846" s="3"/>
      <c r="I1846" s="3"/>
      <c r="J1846" s="3"/>
      <c r="K1846" s="3"/>
      <c r="L1846" s="3"/>
      <c r="M1846" s="3"/>
      <c r="N1846" s="3"/>
      <c r="O1846" s="3"/>
      <c r="P1846" s="3"/>
      <c r="Q1846" s="3"/>
      <c r="R1846" s="3"/>
      <c r="S1846" s="3"/>
      <c r="T1846" s="3"/>
      <c r="U1846" s="3"/>
      <c r="V1846" s="3"/>
      <c r="W1846" s="3"/>
      <c r="X1846" s="3"/>
      <c r="Y1846" s="3"/>
      <c r="Z1846" s="3"/>
      <c r="AA1846" s="3"/>
    </row>
    <row r="1847">
      <c r="A1847" s="4"/>
      <c r="B1847" s="3"/>
      <c r="C1847" s="3"/>
      <c r="D1847" s="3"/>
      <c r="E1847" s="3"/>
      <c r="F1847" s="3"/>
      <c r="G1847" s="3"/>
      <c r="H1847" s="3"/>
      <c r="I1847" s="3"/>
      <c r="J1847" s="3"/>
      <c r="K1847" s="3"/>
      <c r="L1847" s="3"/>
      <c r="M1847" s="3"/>
      <c r="N1847" s="3"/>
      <c r="O1847" s="3"/>
      <c r="P1847" s="3"/>
      <c r="Q1847" s="3"/>
      <c r="R1847" s="3"/>
      <c r="S1847" s="3"/>
      <c r="T1847" s="3"/>
      <c r="U1847" s="3"/>
      <c r="V1847" s="3"/>
      <c r="W1847" s="3"/>
      <c r="X1847" s="3"/>
      <c r="Y1847" s="3"/>
      <c r="Z1847" s="3"/>
      <c r="AA1847" s="3"/>
    </row>
    <row r="1848">
      <c r="A1848" s="4"/>
      <c r="B1848" s="3"/>
      <c r="C1848" s="3"/>
      <c r="D1848" s="3"/>
      <c r="E1848" s="3"/>
      <c r="F1848" s="3"/>
      <c r="G1848" s="3"/>
      <c r="H1848" s="3"/>
      <c r="I1848" s="3"/>
      <c r="J1848" s="3"/>
      <c r="K1848" s="3"/>
      <c r="L1848" s="3"/>
      <c r="M1848" s="3"/>
      <c r="N1848" s="3"/>
      <c r="O1848" s="3"/>
      <c r="P1848" s="3"/>
      <c r="Q1848" s="3"/>
      <c r="R1848" s="3"/>
      <c r="S1848" s="3"/>
      <c r="T1848" s="3"/>
      <c r="U1848" s="3"/>
      <c r="V1848" s="3"/>
      <c r="W1848" s="3"/>
      <c r="X1848" s="3"/>
      <c r="Y1848" s="3"/>
      <c r="Z1848" s="3"/>
      <c r="AA1848" s="3"/>
    </row>
    <row r="1849">
      <c r="A1849" s="4"/>
      <c r="B1849" s="3"/>
      <c r="C1849" s="3"/>
      <c r="D1849" s="3"/>
      <c r="E1849" s="3"/>
      <c r="F1849" s="3"/>
      <c r="G1849" s="3"/>
      <c r="H1849" s="3"/>
      <c r="I1849" s="3"/>
      <c r="J1849" s="3"/>
      <c r="K1849" s="3"/>
      <c r="L1849" s="3"/>
      <c r="M1849" s="3"/>
      <c r="N1849" s="3"/>
      <c r="O1849" s="3"/>
      <c r="P1849" s="3"/>
      <c r="Q1849" s="3"/>
      <c r="R1849" s="3"/>
      <c r="S1849" s="3"/>
      <c r="T1849" s="3"/>
      <c r="U1849" s="3"/>
      <c r="V1849" s="3"/>
      <c r="W1849" s="3"/>
      <c r="X1849" s="3"/>
      <c r="Y1849" s="3"/>
      <c r="Z1849" s="3"/>
      <c r="AA1849" s="3"/>
    </row>
    <row r="1850">
      <c r="A1850" s="4"/>
      <c r="B1850" s="3"/>
      <c r="C1850" s="3"/>
      <c r="D1850" s="3"/>
      <c r="E1850" s="3"/>
      <c r="F1850" s="3"/>
      <c r="G1850" s="3"/>
      <c r="H1850" s="3"/>
      <c r="I1850" s="3"/>
      <c r="J1850" s="3"/>
      <c r="K1850" s="3"/>
      <c r="L1850" s="3"/>
      <c r="M1850" s="3"/>
      <c r="N1850" s="3"/>
      <c r="O1850" s="3"/>
      <c r="P1850" s="3"/>
      <c r="Q1850" s="3"/>
      <c r="R1850" s="3"/>
      <c r="S1850" s="3"/>
      <c r="T1850" s="3"/>
      <c r="U1850" s="3"/>
      <c r="V1850" s="3"/>
      <c r="W1850" s="3"/>
      <c r="X1850" s="3"/>
      <c r="Y1850" s="3"/>
      <c r="Z1850" s="3"/>
      <c r="AA1850" s="3"/>
    </row>
    <row r="1851">
      <c r="A1851" s="4"/>
      <c r="B1851" s="3"/>
      <c r="C1851" s="3"/>
      <c r="D1851" s="3"/>
      <c r="E1851" s="3"/>
      <c r="F1851" s="3"/>
      <c r="G1851" s="3"/>
      <c r="H1851" s="3"/>
      <c r="I1851" s="3"/>
      <c r="J1851" s="3"/>
      <c r="K1851" s="3"/>
      <c r="L1851" s="3"/>
      <c r="M1851" s="3"/>
      <c r="N1851" s="3"/>
      <c r="O1851" s="3"/>
      <c r="P1851" s="3"/>
      <c r="Q1851" s="3"/>
      <c r="R1851" s="3"/>
      <c r="S1851" s="3"/>
      <c r="T1851" s="3"/>
      <c r="U1851" s="3"/>
      <c r="V1851" s="3"/>
      <c r="W1851" s="3"/>
      <c r="X1851" s="3"/>
      <c r="Y1851" s="3"/>
      <c r="Z1851" s="3"/>
      <c r="AA1851" s="3"/>
    </row>
    <row r="1852">
      <c r="A1852" s="4"/>
      <c r="B1852" s="3"/>
      <c r="C1852" s="3"/>
      <c r="D1852" s="3"/>
      <c r="E1852" s="3"/>
      <c r="F1852" s="3"/>
      <c r="G1852" s="3"/>
      <c r="H1852" s="3"/>
      <c r="I1852" s="3"/>
      <c r="J1852" s="3"/>
      <c r="K1852" s="3"/>
      <c r="L1852" s="3"/>
      <c r="M1852" s="3"/>
      <c r="N1852" s="3"/>
      <c r="O1852" s="3"/>
      <c r="P1852" s="3"/>
      <c r="Q1852" s="3"/>
      <c r="R1852" s="3"/>
      <c r="S1852" s="3"/>
      <c r="T1852" s="3"/>
      <c r="U1852" s="3"/>
      <c r="V1852" s="3"/>
      <c r="W1852" s="3"/>
      <c r="X1852" s="3"/>
      <c r="Y1852" s="3"/>
      <c r="Z1852" s="3"/>
      <c r="AA1852" s="3"/>
    </row>
    <row r="1853">
      <c r="A1853" s="4"/>
      <c r="B1853" s="3"/>
      <c r="C1853" s="3"/>
      <c r="D1853" s="3"/>
      <c r="E1853" s="3"/>
      <c r="F1853" s="3"/>
      <c r="G1853" s="3"/>
      <c r="H1853" s="3"/>
      <c r="I1853" s="3"/>
      <c r="J1853" s="3"/>
      <c r="K1853" s="3"/>
      <c r="L1853" s="3"/>
      <c r="M1853" s="3"/>
      <c r="N1853" s="3"/>
      <c r="O1853" s="3"/>
      <c r="P1853" s="3"/>
      <c r="Q1853" s="3"/>
      <c r="R1853" s="3"/>
      <c r="S1853" s="3"/>
      <c r="T1853" s="3"/>
      <c r="U1853" s="3"/>
      <c r="V1853" s="3"/>
      <c r="W1853" s="3"/>
      <c r="X1853" s="3"/>
      <c r="Y1853" s="3"/>
      <c r="Z1853" s="3"/>
      <c r="AA1853" s="3"/>
    </row>
    <row r="1854">
      <c r="A1854" s="4"/>
      <c r="B1854" s="3"/>
      <c r="C1854" s="3"/>
      <c r="D1854" s="3"/>
      <c r="E1854" s="3"/>
      <c r="F1854" s="3"/>
      <c r="G1854" s="3"/>
      <c r="H1854" s="3"/>
      <c r="I1854" s="3"/>
      <c r="J1854" s="3"/>
      <c r="K1854" s="3"/>
      <c r="L1854" s="3"/>
      <c r="M1854" s="3"/>
      <c r="N1854" s="3"/>
      <c r="O1854" s="3"/>
      <c r="P1854" s="3"/>
      <c r="Q1854" s="3"/>
      <c r="R1854" s="3"/>
      <c r="S1854" s="3"/>
      <c r="T1854" s="3"/>
      <c r="U1854" s="3"/>
      <c r="V1854" s="3"/>
      <c r="W1854" s="3"/>
      <c r="X1854" s="3"/>
      <c r="Y1854" s="3"/>
      <c r="Z1854" s="3"/>
      <c r="AA1854" s="3"/>
    </row>
    <row r="1855">
      <c r="A1855" s="4"/>
      <c r="B1855" s="3"/>
      <c r="C1855" s="3"/>
      <c r="D1855" s="3"/>
      <c r="E1855" s="3"/>
      <c r="F1855" s="3"/>
      <c r="G1855" s="3"/>
      <c r="H1855" s="3"/>
      <c r="I1855" s="3"/>
      <c r="J1855" s="3"/>
      <c r="K1855" s="3"/>
      <c r="L1855" s="3"/>
      <c r="M1855" s="3"/>
      <c r="N1855" s="3"/>
      <c r="O1855" s="3"/>
      <c r="P1855" s="3"/>
      <c r="Q1855" s="3"/>
      <c r="R1855" s="3"/>
      <c r="S1855" s="3"/>
      <c r="T1855" s="3"/>
      <c r="U1855" s="3"/>
      <c r="V1855" s="3"/>
      <c r="W1855" s="3"/>
      <c r="X1855" s="3"/>
      <c r="Y1855" s="3"/>
      <c r="Z1855" s="3"/>
      <c r="AA1855" s="3"/>
    </row>
    <row r="1856">
      <c r="A1856" s="4"/>
      <c r="B1856" s="3"/>
      <c r="C1856" s="3"/>
      <c r="D1856" s="3"/>
      <c r="E1856" s="3"/>
      <c r="F1856" s="3"/>
      <c r="G1856" s="3"/>
      <c r="H1856" s="3"/>
      <c r="I1856" s="3"/>
      <c r="J1856" s="3"/>
      <c r="K1856" s="3"/>
      <c r="L1856" s="3"/>
      <c r="M1856" s="3"/>
      <c r="N1856" s="3"/>
      <c r="O1856" s="3"/>
      <c r="P1856" s="3"/>
      <c r="Q1856" s="3"/>
      <c r="R1856" s="3"/>
      <c r="S1856" s="3"/>
      <c r="T1856" s="3"/>
      <c r="U1856" s="3"/>
      <c r="V1856" s="3"/>
      <c r="W1856" s="3"/>
      <c r="X1856" s="3"/>
      <c r="Y1856" s="3"/>
      <c r="Z1856" s="3"/>
      <c r="AA1856" s="3"/>
    </row>
    <row r="1857">
      <c r="A1857" s="4"/>
      <c r="B1857" s="3"/>
      <c r="C1857" s="3"/>
      <c r="D1857" s="3"/>
      <c r="E1857" s="3"/>
      <c r="F1857" s="3"/>
      <c r="G1857" s="3"/>
      <c r="H1857" s="3"/>
      <c r="I1857" s="3"/>
      <c r="J1857" s="3"/>
      <c r="K1857" s="3"/>
      <c r="L1857" s="3"/>
      <c r="M1857" s="3"/>
      <c r="N1857" s="3"/>
      <c r="O1857" s="3"/>
      <c r="P1857" s="3"/>
      <c r="Q1857" s="3"/>
      <c r="R1857" s="3"/>
      <c r="S1857" s="3"/>
      <c r="T1857" s="3"/>
      <c r="U1857" s="3"/>
      <c r="V1857" s="3"/>
      <c r="W1857" s="3"/>
      <c r="X1857" s="3"/>
      <c r="Y1857" s="3"/>
      <c r="Z1857" s="3"/>
      <c r="AA1857" s="3"/>
    </row>
    <row r="1858">
      <c r="A1858" s="4"/>
      <c r="B1858" s="3"/>
      <c r="C1858" s="3"/>
      <c r="D1858" s="3"/>
      <c r="E1858" s="3"/>
      <c r="F1858" s="3"/>
      <c r="G1858" s="3"/>
      <c r="H1858" s="3"/>
      <c r="I1858" s="3"/>
      <c r="J1858" s="3"/>
      <c r="K1858" s="3"/>
      <c r="L1858" s="3"/>
      <c r="M1858" s="3"/>
      <c r="N1858" s="3"/>
      <c r="O1858" s="3"/>
      <c r="P1858" s="3"/>
      <c r="Q1858" s="3"/>
      <c r="R1858" s="3"/>
      <c r="S1858" s="3"/>
      <c r="T1858" s="3"/>
      <c r="U1858" s="3"/>
      <c r="V1858" s="3"/>
      <c r="W1858" s="3"/>
      <c r="X1858" s="3"/>
      <c r="Y1858" s="3"/>
      <c r="Z1858" s="3"/>
      <c r="AA1858" s="3"/>
    </row>
    <row r="1859">
      <c r="A1859" s="4"/>
      <c r="B1859" s="3"/>
      <c r="C1859" s="3"/>
      <c r="D1859" s="3"/>
      <c r="E1859" s="3"/>
      <c r="F1859" s="3"/>
      <c r="G1859" s="3"/>
      <c r="H1859" s="3"/>
      <c r="I1859" s="3"/>
      <c r="J1859" s="3"/>
      <c r="K1859" s="3"/>
      <c r="L1859" s="3"/>
      <c r="M1859" s="3"/>
      <c r="N1859" s="3"/>
      <c r="O1859" s="3"/>
      <c r="P1859" s="3"/>
      <c r="Q1859" s="3"/>
      <c r="R1859" s="3"/>
      <c r="S1859" s="3"/>
      <c r="T1859" s="3"/>
      <c r="U1859" s="3"/>
      <c r="V1859" s="3"/>
      <c r="W1859" s="3"/>
      <c r="X1859" s="3"/>
      <c r="Y1859" s="3"/>
      <c r="Z1859" s="3"/>
      <c r="AA1859" s="3"/>
    </row>
    <row r="1860">
      <c r="A1860" s="4"/>
      <c r="B1860" s="3"/>
      <c r="C1860" s="3"/>
      <c r="D1860" s="3"/>
      <c r="E1860" s="3"/>
      <c r="F1860" s="3"/>
      <c r="G1860" s="3"/>
      <c r="H1860" s="3"/>
      <c r="I1860" s="3"/>
      <c r="J1860" s="3"/>
      <c r="K1860" s="3"/>
      <c r="L1860" s="3"/>
      <c r="M1860" s="3"/>
      <c r="N1860" s="3"/>
      <c r="O1860" s="3"/>
      <c r="P1860" s="3"/>
      <c r="Q1860" s="3"/>
      <c r="R1860" s="3"/>
      <c r="S1860" s="3"/>
      <c r="T1860" s="3"/>
      <c r="U1860" s="3"/>
      <c r="V1860" s="3"/>
      <c r="W1860" s="3"/>
      <c r="X1860" s="3"/>
      <c r="Y1860" s="3"/>
      <c r="Z1860" s="3"/>
      <c r="AA1860" s="3"/>
    </row>
    <row r="1861">
      <c r="A1861" s="4"/>
      <c r="B1861" s="3"/>
      <c r="C1861" s="3"/>
      <c r="D1861" s="3"/>
      <c r="E1861" s="3"/>
      <c r="F1861" s="3"/>
      <c r="G1861" s="3"/>
      <c r="H1861" s="3"/>
      <c r="I1861" s="3"/>
      <c r="J1861" s="3"/>
      <c r="K1861" s="3"/>
      <c r="L1861" s="3"/>
      <c r="M1861" s="3"/>
      <c r="N1861" s="3"/>
      <c r="O1861" s="3"/>
      <c r="P1861" s="3"/>
      <c r="Q1861" s="3"/>
      <c r="R1861" s="3"/>
      <c r="S1861" s="3"/>
      <c r="T1861" s="3"/>
      <c r="U1861" s="3"/>
      <c r="V1861" s="3"/>
      <c r="W1861" s="3"/>
      <c r="X1861" s="3"/>
      <c r="Y1861" s="3"/>
      <c r="Z1861" s="3"/>
      <c r="AA1861" s="3"/>
    </row>
    <row r="1862">
      <c r="A1862" s="4"/>
      <c r="B1862" s="3"/>
      <c r="C1862" s="3"/>
      <c r="D1862" s="3"/>
      <c r="E1862" s="3"/>
      <c r="F1862" s="3"/>
      <c r="G1862" s="3"/>
      <c r="H1862" s="3"/>
      <c r="I1862" s="3"/>
      <c r="J1862" s="3"/>
      <c r="K1862" s="3"/>
      <c r="L1862" s="3"/>
      <c r="M1862" s="3"/>
      <c r="N1862" s="3"/>
      <c r="O1862" s="3"/>
      <c r="P1862" s="3"/>
      <c r="Q1862" s="3"/>
      <c r="R1862" s="3"/>
      <c r="S1862" s="3"/>
      <c r="T1862" s="3"/>
      <c r="U1862" s="3"/>
      <c r="V1862" s="3"/>
      <c r="W1862" s="3"/>
      <c r="X1862" s="3"/>
      <c r="Y1862" s="3"/>
      <c r="Z1862" s="3"/>
      <c r="AA1862" s="3"/>
    </row>
    <row r="1863">
      <c r="A1863" s="4"/>
      <c r="B1863" s="3"/>
      <c r="C1863" s="3"/>
      <c r="D1863" s="3"/>
      <c r="E1863" s="3"/>
      <c r="F1863" s="3"/>
      <c r="G1863" s="3"/>
      <c r="H1863" s="3"/>
      <c r="I1863" s="3"/>
      <c r="J1863" s="3"/>
      <c r="K1863" s="3"/>
      <c r="L1863" s="3"/>
      <c r="M1863" s="3"/>
      <c r="N1863" s="3"/>
      <c r="O1863" s="3"/>
      <c r="P1863" s="3"/>
      <c r="Q1863" s="3"/>
      <c r="R1863" s="3"/>
      <c r="S1863" s="3"/>
      <c r="T1863" s="3"/>
      <c r="U1863" s="3"/>
      <c r="V1863" s="3"/>
      <c r="W1863" s="3"/>
      <c r="X1863" s="3"/>
      <c r="Y1863" s="3"/>
      <c r="Z1863" s="3"/>
      <c r="AA1863" s="3"/>
    </row>
    <row r="1864">
      <c r="A1864" s="4"/>
      <c r="B1864" s="3"/>
      <c r="C1864" s="3"/>
      <c r="D1864" s="3"/>
      <c r="E1864" s="3"/>
      <c r="F1864" s="3"/>
      <c r="G1864" s="3"/>
      <c r="H1864" s="3"/>
      <c r="I1864" s="3"/>
      <c r="J1864" s="3"/>
      <c r="K1864" s="3"/>
      <c r="L1864" s="3"/>
      <c r="M1864" s="3"/>
      <c r="N1864" s="3"/>
      <c r="O1864" s="3"/>
      <c r="P1864" s="3"/>
      <c r="Q1864" s="3"/>
      <c r="R1864" s="3"/>
      <c r="S1864" s="3"/>
      <c r="T1864" s="3"/>
      <c r="U1864" s="3"/>
      <c r="V1864" s="3"/>
      <c r="W1864" s="3"/>
      <c r="X1864" s="3"/>
      <c r="Y1864" s="3"/>
      <c r="Z1864" s="3"/>
      <c r="AA1864" s="3"/>
    </row>
    <row r="1865">
      <c r="A1865" s="4"/>
      <c r="B1865" s="3"/>
      <c r="C1865" s="3"/>
      <c r="D1865" s="3"/>
      <c r="E1865" s="3"/>
      <c r="F1865" s="3"/>
      <c r="G1865" s="3"/>
      <c r="H1865" s="3"/>
      <c r="I1865" s="3"/>
      <c r="J1865" s="3"/>
      <c r="K1865" s="3"/>
      <c r="L1865" s="3"/>
      <c r="M1865" s="3"/>
      <c r="N1865" s="3"/>
      <c r="O1865" s="3"/>
      <c r="P1865" s="3"/>
      <c r="Q1865" s="3"/>
      <c r="R1865" s="3"/>
      <c r="S1865" s="3"/>
      <c r="T1865" s="3"/>
      <c r="U1865" s="3"/>
      <c r="V1865" s="3"/>
      <c r="W1865" s="3"/>
      <c r="X1865" s="3"/>
      <c r="Y1865" s="3"/>
      <c r="Z1865" s="3"/>
      <c r="AA1865" s="3"/>
    </row>
    <row r="1866">
      <c r="A1866" s="4"/>
      <c r="B1866" s="3"/>
      <c r="C1866" s="3"/>
      <c r="D1866" s="3"/>
      <c r="E1866" s="3"/>
      <c r="F1866" s="3"/>
      <c r="G1866" s="3"/>
      <c r="H1866" s="3"/>
      <c r="I1866" s="3"/>
      <c r="J1866" s="3"/>
      <c r="K1866" s="3"/>
      <c r="L1866" s="3"/>
      <c r="M1866" s="3"/>
      <c r="N1866" s="3"/>
      <c r="O1866" s="3"/>
      <c r="P1866" s="3"/>
      <c r="Q1866" s="3"/>
      <c r="R1866" s="3"/>
      <c r="S1866" s="3"/>
      <c r="T1866" s="3"/>
      <c r="U1866" s="3"/>
      <c r="V1866" s="3"/>
      <c r="W1866" s="3"/>
      <c r="X1866" s="3"/>
      <c r="Y1866" s="3"/>
      <c r="Z1866" s="3"/>
      <c r="AA1866" s="3"/>
    </row>
    <row r="1867">
      <c r="A1867" s="4"/>
      <c r="B1867" s="3"/>
      <c r="C1867" s="3"/>
      <c r="D1867" s="3"/>
      <c r="E1867" s="3"/>
      <c r="F1867" s="3"/>
      <c r="G1867" s="3"/>
      <c r="H1867" s="3"/>
      <c r="I1867" s="3"/>
      <c r="J1867" s="3"/>
      <c r="K1867" s="3"/>
      <c r="L1867" s="3"/>
      <c r="M1867" s="3"/>
      <c r="N1867" s="3"/>
      <c r="O1867" s="3"/>
      <c r="P1867" s="3"/>
      <c r="Q1867" s="3"/>
      <c r="R1867" s="3"/>
      <c r="S1867" s="3"/>
      <c r="T1867" s="3"/>
      <c r="U1867" s="3"/>
      <c r="V1867" s="3"/>
      <c r="W1867" s="3"/>
      <c r="X1867" s="3"/>
      <c r="Y1867" s="3"/>
      <c r="Z1867" s="3"/>
      <c r="AA1867" s="3"/>
    </row>
    <row r="1868">
      <c r="A1868" s="4"/>
      <c r="B1868" s="3"/>
      <c r="C1868" s="3"/>
      <c r="D1868" s="3"/>
      <c r="E1868" s="3"/>
      <c r="F1868" s="3"/>
      <c r="G1868" s="3"/>
      <c r="H1868" s="3"/>
      <c r="I1868" s="3"/>
      <c r="J1868" s="3"/>
      <c r="K1868" s="3"/>
      <c r="L1868" s="3"/>
      <c r="M1868" s="3"/>
      <c r="N1868" s="3"/>
      <c r="O1868" s="3"/>
      <c r="P1868" s="3"/>
      <c r="Q1868" s="3"/>
      <c r="R1868" s="3"/>
      <c r="S1868" s="3"/>
      <c r="T1868" s="3"/>
      <c r="U1868" s="3"/>
      <c r="V1868" s="3"/>
      <c r="W1868" s="3"/>
      <c r="X1868" s="3"/>
      <c r="Y1868" s="3"/>
      <c r="Z1868" s="3"/>
      <c r="AA1868" s="3"/>
    </row>
    <row r="1869">
      <c r="A1869" s="4"/>
      <c r="B1869" s="3"/>
      <c r="C1869" s="3"/>
      <c r="D1869" s="3"/>
      <c r="E1869" s="3"/>
      <c r="F1869" s="3"/>
      <c r="G1869" s="3"/>
      <c r="H1869" s="3"/>
      <c r="I1869" s="3"/>
      <c r="J1869" s="3"/>
      <c r="K1869" s="3"/>
      <c r="L1869" s="3"/>
      <c r="M1869" s="3"/>
      <c r="N1869" s="3"/>
      <c r="O1869" s="3"/>
      <c r="P1869" s="3"/>
      <c r="Q1869" s="3"/>
      <c r="R1869" s="3"/>
      <c r="S1869" s="3"/>
      <c r="T1869" s="3"/>
      <c r="U1869" s="3"/>
      <c r="V1869" s="3"/>
      <c r="W1869" s="3"/>
      <c r="X1869" s="3"/>
      <c r="Y1869" s="3"/>
      <c r="Z1869" s="3"/>
      <c r="AA1869" s="3"/>
    </row>
    <row r="1870">
      <c r="A1870" s="4"/>
      <c r="B1870" s="3"/>
      <c r="C1870" s="3"/>
      <c r="D1870" s="3"/>
      <c r="E1870" s="3"/>
      <c r="F1870" s="3"/>
      <c r="G1870" s="3"/>
      <c r="H1870" s="3"/>
      <c r="I1870" s="3"/>
      <c r="J1870" s="3"/>
      <c r="K1870" s="3"/>
      <c r="L1870" s="3"/>
      <c r="M1870" s="3"/>
      <c r="N1870" s="3"/>
      <c r="O1870" s="3"/>
      <c r="P1870" s="3"/>
      <c r="Q1870" s="3"/>
      <c r="R1870" s="3"/>
      <c r="S1870" s="3"/>
      <c r="T1870" s="3"/>
      <c r="U1870" s="3"/>
      <c r="V1870" s="3"/>
      <c r="W1870" s="3"/>
      <c r="X1870" s="3"/>
      <c r="Y1870" s="3"/>
      <c r="Z1870" s="3"/>
      <c r="AA1870" s="3"/>
    </row>
    <row r="1871">
      <c r="A1871" s="4"/>
      <c r="B1871" s="3"/>
      <c r="C1871" s="3"/>
      <c r="D1871" s="3"/>
      <c r="E1871" s="3"/>
      <c r="F1871" s="3"/>
      <c r="G1871" s="3"/>
      <c r="H1871" s="3"/>
      <c r="I1871" s="3"/>
      <c r="J1871" s="3"/>
      <c r="K1871" s="3"/>
      <c r="L1871" s="3"/>
      <c r="M1871" s="3"/>
      <c r="N1871" s="3"/>
      <c r="O1871" s="3"/>
      <c r="P1871" s="3"/>
      <c r="Q1871" s="3"/>
      <c r="R1871" s="3"/>
      <c r="S1871" s="3"/>
      <c r="T1871" s="3"/>
      <c r="U1871" s="3"/>
      <c r="V1871" s="3"/>
      <c r="W1871" s="3"/>
      <c r="X1871" s="3"/>
      <c r="Y1871" s="3"/>
      <c r="Z1871" s="3"/>
      <c r="AA1871" s="3"/>
    </row>
    <row r="1872">
      <c r="A1872" s="4"/>
      <c r="B1872" s="3"/>
      <c r="C1872" s="3"/>
      <c r="D1872" s="3"/>
      <c r="E1872" s="3"/>
      <c r="F1872" s="3"/>
      <c r="G1872" s="3"/>
      <c r="H1872" s="3"/>
      <c r="I1872" s="3"/>
      <c r="J1872" s="3"/>
      <c r="K1872" s="3"/>
      <c r="L1872" s="3"/>
      <c r="M1872" s="3"/>
      <c r="N1872" s="3"/>
      <c r="O1872" s="3"/>
      <c r="P1872" s="3"/>
      <c r="Q1872" s="3"/>
      <c r="R1872" s="3"/>
      <c r="S1872" s="3"/>
      <c r="T1872" s="3"/>
      <c r="U1872" s="3"/>
      <c r="V1872" s="3"/>
      <c r="W1872" s="3"/>
      <c r="X1872" s="3"/>
      <c r="Y1872" s="3"/>
      <c r="Z1872" s="3"/>
      <c r="AA1872" s="3"/>
    </row>
    <row r="1873">
      <c r="A1873" s="4"/>
      <c r="B1873" s="3"/>
      <c r="C1873" s="3"/>
      <c r="D1873" s="3"/>
      <c r="E1873" s="3"/>
      <c r="F1873" s="3"/>
      <c r="G1873" s="3"/>
      <c r="H1873" s="3"/>
      <c r="I1873" s="3"/>
      <c r="J1873" s="3"/>
      <c r="K1873" s="3"/>
      <c r="L1873" s="3"/>
      <c r="M1873" s="3"/>
      <c r="N1873" s="3"/>
      <c r="O1873" s="3"/>
      <c r="P1873" s="3"/>
      <c r="Q1873" s="3"/>
      <c r="R1873" s="3"/>
      <c r="S1873" s="3"/>
      <c r="T1873" s="3"/>
      <c r="U1873" s="3"/>
      <c r="V1873" s="3"/>
      <c r="W1873" s="3"/>
      <c r="X1873" s="3"/>
      <c r="Y1873" s="3"/>
      <c r="Z1873" s="3"/>
      <c r="AA1873" s="3"/>
    </row>
    <row r="1874">
      <c r="A1874" s="4"/>
      <c r="B1874" s="3"/>
      <c r="C1874" s="3"/>
      <c r="D1874" s="3"/>
      <c r="E1874" s="3"/>
      <c r="F1874" s="3"/>
      <c r="G1874" s="3"/>
      <c r="H1874" s="3"/>
      <c r="I1874" s="3"/>
      <c r="J1874" s="3"/>
      <c r="K1874" s="3"/>
      <c r="L1874" s="3"/>
      <c r="M1874" s="3"/>
      <c r="N1874" s="3"/>
      <c r="O1874" s="3"/>
      <c r="P1874" s="3"/>
      <c r="Q1874" s="3"/>
      <c r="R1874" s="3"/>
      <c r="S1874" s="3"/>
      <c r="T1874" s="3"/>
      <c r="U1874" s="3"/>
      <c r="V1874" s="3"/>
      <c r="W1874" s="3"/>
      <c r="X1874" s="3"/>
      <c r="Y1874" s="3"/>
      <c r="Z1874" s="3"/>
      <c r="AA1874" s="3"/>
    </row>
    <row r="1875">
      <c r="A1875" s="4"/>
      <c r="B1875" s="3"/>
      <c r="C1875" s="3"/>
      <c r="D1875" s="3"/>
      <c r="E1875" s="3"/>
      <c r="F1875" s="3"/>
      <c r="G1875" s="3"/>
      <c r="H1875" s="3"/>
      <c r="I1875" s="3"/>
      <c r="J1875" s="3"/>
      <c r="K1875" s="3"/>
      <c r="L1875" s="3"/>
      <c r="M1875" s="3"/>
      <c r="N1875" s="3"/>
      <c r="O1875" s="3"/>
      <c r="P1875" s="3"/>
      <c r="Q1875" s="3"/>
      <c r="R1875" s="3"/>
      <c r="S1875" s="3"/>
      <c r="T1875" s="3"/>
      <c r="U1875" s="3"/>
      <c r="V1875" s="3"/>
      <c r="W1875" s="3"/>
      <c r="X1875" s="3"/>
      <c r="Y1875" s="3"/>
      <c r="Z1875" s="3"/>
      <c r="AA1875" s="3"/>
    </row>
    <row r="1876">
      <c r="A1876" s="4"/>
      <c r="B1876" s="3"/>
      <c r="C1876" s="3"/>
      <c r="D1876" s="3"/>
      <c r="E1876" s="3"/>
      <c r="F1876" s="3"/>
      <c r="G1876" s="3"/>
      <c r="H1876" s="3"/>
      <c r="I1876" s="3"/>
      <c r="J1876" s="3"/>
      <c r="K1876" s="3"/>
      <c r="L1876" s="3"/>
      <c r="M1876" s="3"/>
      <c r="N1876" s="3"/>
      <c r="O1876" s="3"/>
      <c r="P1876" s="3"/>
      <c r="Q1876" s="3"/>
      <c r="R1876" s="3"/>
      <c r="S1876" s="3"/>
      <c r="T1876" s="3"/>
      <c r="U1876" s="3"/>
      <c r="V1876" s="3"/>
      <c r="W1876" s="3"/>
      <c r="X1876" s="3"/>
      <c r="Y1876" s="3"/>
      <c r="Z1876" s="3"/>
      <c r="AA1876" s="3"/>
    </row>
    <row r="1877">
      <c r="A1877" s="4"/>
      <c r="B1877" s="3"/>
      <c r="C1877" s="3"/>
      <c r="D1877" s="3"/>
      <c r="E1877" s="3"/>
      <c r="F1877" s="3"/>
      <c r="G1877" s="3"/>
      <c r="H1877" s="3"/>
      <c r="I1877" s="3"/>
      <c r="J1877" s="3"/>
      <c r="K1877" s="3"/>
      <c r="L1877" s="3"/>
      <c r="M1877" s="3"/>
      <c r="N1877" s="3"/>
      <c r="O1877" s="3"/>
      <c r="P1877" s="3"/>
      <c r="Q1877" s="3"/>
      <c r="R1877" s="3"/>
      <c r="S1877" s="3"/>
      <c r="T1877" s="3"/>
      <c r="U1877" s="3"/>
      <c r="V1877" s="3"/>
      <c r="W1877" s="3"/>
      <c r="X1877" s="3"/>
      <c r="Y1877" s="3"/>
      <c r="Z1877" s="3"/>
      <c r="AA1877" s="3"/>
    </row>
    <row r="1878">
      <c r="A1878" s="4"/>
      <c r="B1878" s="3"/>
      <c r="C1878" s="3"/>
      <c r="D1878" s="3"/>
      <c r="E1878" s="3"/>
      <c r="F1878" s="3"/>
      <c r="G1878" s="3"/>
      <c r="H1878" s="3"/>
      <c r="I1878" s="3"/>
      <c r="J1878" s="3"/>
      <c r="K1878" s="3"/>
      <c r="L1878" s="3"/>
      <c r="M1878" s="3"/>
      <c r="N1878" s="3"/>
      <c r="O1878" s="3"/>
      <c r="P1878" s="3"/>
      <c r="Q1878" s="3"/>
      <c r="R1878" s="3"/>
      <c r="S1878" s="3"/>
      <c r="T1878" s="3"/>
      <c r="U1878" s="3"/>
      <c r="V1878" s="3"/>
      <c r="W1878" s="3"/>
      <c r="X1878" s="3"/>
      <c r="Y1878" s="3"/>
      <c r="Z1878" s="3"/>
      <c r="AA1878" s="3"/>
    </row>
    <row r="1879">
      <c r="A1879" s="4"/>
      <c r="B1879" s="3"/>
      <c r="C1879" s="3"/>
      <c r="D1879" s="3"/>
      <c r="E1879" s="3"/>
      <c r="F1879" s="3"/>
      <c r="G1879" s="3"/>
      <c r="H1879" s="3"/>
      <c r="I1879" s="3"/>
      <c r="J1879" s="3"/>
      <c r="K1879" s="3"/>
      <c r="L1879" s="3"/>
      <c r="M1879" s="3"/>
      <c r="N1879" s="3"/>
      <c r="O1879" s="3"/>
      <c r="P1879" s="3"/>
      <c r="Q1879" s="3"/>
      <c r="R1879" s="3"/>
      <c r="S1879" s="3"/>
      <c r="T1879" s="3"/>
      <c r="U1879" s="3"/>
      <c r="V1879" s="3"/>
      <c r="W1879" s="3"/>
      <c r="X1879" s="3"/>
      <c r="Y1879" s="3"/>
      <c r="Z1879" s="3"/>
      <c r="AA1879" s="3"/>
    </row>
    <row r="1880">
      <c r="A1880" s="4"/>
      <c r="B1880" s="3"/>
      <c r="C1880" s="3"/>
      <c r="D1880" s="3"/>
      <c r="E1880" s="3"/>
      <c r="F1880" s="3"/>
      <c r="G1880" s="3"/>
      <c r="H1880" s="3"/>
      <c r="I1880" s="3"/>
      <c r="J1880" s="3"/>
      <c r="K1880" s="3"/>
      <c r="L1880" s="3"/>
      <c r="M1880" s="3"/>
      <c r="N1880" s="3"/>
      <c r="O1880" s="3"/>
      <c r="P1880" s="3"/>
      <c r="Q1880" s="3"/>
      <c r="R1880" s="3"/>
      <c r="S1880" s="3"/>
      <c r="T1880" s="3"/>
      <c r="U1880" s="3"/>
      <c r="V1880" s="3"/>
      <c r="W1880" s="3"/>
      <c r="X1880" s="3"/>
      <c r="Y1880" s="3"/>
      <c r="Z1880" s="3"/>
      <c r="AA1880" s="3"/>
    </row>
    <row r="1881">
      <c r="A1881" s="4"/>
      <c r="B1881" s="3"/>
      <c r="C1881" s="3"/>
      <c r="D1881" s="3"/>
      <c r="E1881" s="3"/>
      <c r="F1881" s="3"/>
      <c r="G1881" s="3"/>
      <c r="H1881" s="3"/>
      <c r="I1881" s="3"/>
      <c r="J1881" s="3"/>
      <c r="K1881" s="3"/>
      <c r="L1881" s="3"/>
      <c r="M1881" s="3"/>
      <c r="N1881" s="3"/>
      <c r="O1881" s="3"/>
      <c r="P1881" s="3"/>
      <c r="Q1881" s="3"/>
      <c r="R1881" s="3"/>
      <c r="S1881" s="3"/>
      <c r="T1881" s="3"/>
      <c r="U1881" s="3"/>
      <c r="V1881" s="3"/>
      <c r="W1881" s="3"/>
      <c r="X1881" s="3"/>
      <c r="Y1881" s="3"/>
      <c r="Z1881" s="3"/>
      <c r="AA1881" s="3"/>
    </row>
    <row r="1882">
      <c r="A1882" s="4"/>
      <c r="B1882" s="3"/>
      <c r="C1882" s="3"/>
      <c r="D1882" s="3"/>
      <c r="E1882" s="3"/>
      <c r="F1882" s="3"/>
      <c r="G1882" s="3"/>
      <c r="H1882" s="3"/>
      <c r="I1882" s="3"/>
      <c r="J1882" s="3"/>
      <c r="K1882" s="3"/>
      <c r="L1882" s="3"/>
      <c r="M1882" s="3"/>
      <c r="N1882" s="3"/>
      <c r="O1882" s="3"/>
      <c r="P1882" s="3"/>
      <c r="Q1882" s="3"/>
      <c r="R1882" s="3"/>
      <c r="S1882" s="3"/>
      <c r="T1882" s="3"/>
      <c r="U1882" s="3"/>
      <c r="V1882" s="3"/>
      <c r="W1882" s="3"/>
      <c r="X1882" s="3"/>
      <c r="Y1882" s="3"/>
      <c r="Z1882" s="3"/>
      <c r="AA1882" s="3"/>
    </row>
    <row r="1883">
      <c r="A1883" s="4"/>
      <c r="B1883" s="3"/>
      <c r="C1883" s="3"/>
      <c r="D1883" s="3"/>
      <c r="E1883" s="3"/>
      <c r="F1883" s="3"/>
      <c r="G1883" s="3"/>
      <c r="H1883" s="3"/>
      <c r="I1883" s="3"/>
      <c r="J1883" s="3"/>
      <c r="K1883" s="3"/>
      <c r="L1883" s="3"/>
      <c r="M1883" s="3"/>
      <c r="N1883" s="3"/>
      <c r="O1883" s="3"/>
      <c r="P1883" s="3"/>
      <c r="Q1883" s="3"/>
      <c r="R1883" s="3"/>
      <c r="S1883" s="3"/>
      <c r="T1883" s="3"/>
      <c r="U1883" s="3"/>
      <c r="V1883" s="3"/>
      <c r="W1883" s="3"/>
      <c r="X1883" s="3"/>
      <c r="Y1883" s="3"/>
      <c r="Z1883" s="3"/>
      <c r="AA1883" s="3"/>
    </row>
    <row r="1884">
      <c r="A1884" s="4"/>
      <c r="B1884" s="3"/>
      <c r="C1884" s="3"/>
      <c r="D1884" s="3"/>
      <c r="E1884" s="3"/>
      <c r="F1884" s="3"/>
      <c r="G1884" s="3"/>
      <c r="H1884" s="3"/>
      <c r="I1884" s="3"/>
      <c r="J1884" s="3"/>
      <c r="K1884" s="3"/>
      <c r="L1884" s="3"/>
      <c r="M1884" s="3"/>
      <c r="N1884" s="3"/>
      <c r="O1884" s="3"/>
      <c r="P1884" s="3"/>
      <c r="Q1884" s="3"/>
      <c r="R1884" s="3"/>
      <c r="S1884" s="3"/>
      <c r="T1884" s="3"/>
      <c r="U1884" s="3"/>
      <c r="V1884" s="3"/>
      <c r="W1884" s="3"/>
      <c r="X1884" s="3"/>
      <c r="Y1884" s="3"/>
      <c r="Z1884" s="3"/>
      <c r="AA1884" s="3"/>
    </row>
    <row r="1885">
      <c r="A1885" s="4"/>
      <c r="B1885" s="3"/>
      <c r="C1885" s="3"/>
      <c r="D1885" s="3"/>
      <c r="E1885" s="3"/>
      <c r="F1885" s="3"/>
      <c r="G1885" s="3"/>
      <c r="H1885" s="3"/>
      <c r="I1885" s="3"/>
      <c r="J1885" s="3"/>
      <c r="K1885" s="3"/>
      <c r="L1885" s="3"/>
      <c r="M1885" s="3"/>
      <c r="N1885" s="3"/>
      <c r="O1885" s="3"/>
      <c r="P1885" s="3"/>
      <c r="Q1885" s="3"/>
      <c r="R1885" s="3"/>
      <c r="S1885" s="3"/>
      <c r="T1885" s="3"/>
      <c r="U1885" s="3"/>
      <c r="V1885" s="3"/>
      <c r="W1885" s="3"/>
      <c r="X1885" s="3"/>
      <c r="Y1885" s="3"/>
      <c r="Z1885" s="3"/>
      <c r="AA1885" s="3"/>
    </row>
    <row r="1886">
      <c r="A1886" s="4"/>
      <c r="B1886" s="3"/>
      <c r="C1886" s="3"/>
      <c r="D1886" s="3"/>
      <c r="E1886" s="3"/>
      <c r="F1886" s="3"/>
      <c r="G1886" s="3"/>
      <c r="H1886" s="3"/>
      <c r="I1886" s="3"/>
      <c r="J1886" s="3"/>
      <c r="K1886" s="3"/>
      <c r="L1886" s="3"/>
      <c r="M1886" s="3"/>
      <c r="N1886" s="3"/>
      <c r="O1886" s="3"/>
      <c r="P1886" s="3"/>
      <c r="Q1886" s="3"/>
      <c r="R1886" s="3"/>
      <c r="S1886" s="3"/>
      <c r="T1886" s="3"/>
      <c r="U1886" s="3"/>
      <c r="V1886" s="3"/>
      <c r="W1886" s="3"/>
      <c r="X1886" s="3"/>
      <c r="Y1886" s="3"/>
      <c r="Z1886" s="3"/>
      <c r="AA1886" s="3"/>
    </row>
    <row r="1887">
      <c r="A1887" s="4"/>
      <c r="B1887" s="3"/>
      <c r="C1887" s="3"/>
      <c r="D1887" s="3"/>
      <c r="E1887" s="3"/>
      <c r="F1887" s="3"/>
      <c r="G1887" s="3"/>
      <c r="H1887" s="3"/>
      <c r="I1887" s="3"/>
      <c r="J1887" s="3"/>
      <c r="K1887" s="3"/>
      <c r="L1887" s="3"/>
      <c r="M1887" s="3"/>
      <c r="N1887" s="3"/>
      <c r="O1887" s="3"/>
      <c r="P1887" s="3"/>
      <c r="Q1887" s="3"/>
      <c r="R1887" s="3"/>
      <c r="S1887" s="3"/>
      <c r="T1887" s="3"/>
      <c r="U1887" s="3"/>
      <c r="V1887" s="3"/>
      <c r="W1887" s="3"/>
      <c r="X1887" s="3"/>
      <c r="Y1887" s="3"/>
      <c r="Z1887" s="3"/>
      <c r="AA1887" s="3"/>
    </row>
    <row r="1888">
      <c r="A1888" s="4"/>
      <c r="B1888" s="3"/>
      <c r="C1888" s="3"/>
      <c r="D1888" s="3"/>
      <c r="E1888" s="3"/>
      <c r="F1888" s="3"/>
      <c r="G1888" s="3"/>
      <c r="H1888" s="3"/>
      <c r="I1888" s="3"/>
      <c r="J1888" s="3"/>
      <c r="K1888" s="3"/>
      <c r="L1888" s="3"/>
      <c r="M1888" s="3"/>
      <c r="N1888" s="3"/>
      <c r="O1888" s="3"/>
      <c r="P1888" s="3"/>
      <c r="Q1888" s="3"/>
      <c r="R1888" s="3"/>
      <c r="S1888" s="3"/>
      <c r="T1888" s="3"/>
      <c r="U1888" s="3"/>
      <c r="V1888" s="3"/>
      <c r="W1888" s="3"/>
      <c r="X1888" s="3"/>
      <c r="Y1888" s="3"/>
      <c r="Z1888" s="3"/>
      <c r="AA1888" s="3"/>
    </row>
    <row r="1889">
      <c r="A1889" s="4"/>
      <c r="B1889" s="3"/>
      <c r="C1889" s="3"/>
      <c r="D1889" s="3"/>
      <c r="E1889" s="3"/>
      <c r="F1889" s="3"/>
      <c r="G1889" s="3"/>
      <c r="H1889" s="3"/>
      <c r="I1889" s="3"/>
      <c r="J1889" s="3"/>
      <c r="K1889" s="3"/>
      <c r="L1889" s="3"/>
      <c r="M1889" s="3"/>
      <c r="N1889" s="3"/>
      <c r="O1889" s="3"/>
      <c r="P1889" s="3"/>
      <c r="Q1889" s="3"/>
      <c r="R1889" s="3"/>
      <c r="S1889" s="3"/>
      <c r="T1889" s="3"/>
      <c r="U1889" s="3"/>
      <c r="V1889" s="3"/>
      <c r="W1889" s="3"/>
      <c r="X1889" s="3"/>
      <c r="Y1889" s="3"/>
      <c r="Z1889" s="3"/>
      <c r="AA1889" s="3"/>
    </row>
    <row r="1890">
      <c r="A1890" s="4"/>
      <c r="B1890" s="3"/>
      <c r="C1890" s="3"/>
      <c r="D1890" s="3"/>
      <c r="E1890" s="3"/>
      <c r="F1890" s="3"/>
      <c r="G1890" s="3"/>
      <c r="H1890" s="3"/>
      <c r="I1890" s="3"/>
      <c r="J1890" s="3"/>
      <c r="K1890" s="3"/>
      <c r="L1890" s="3"/>
      <c r="M1890" s="3"/>
      <c r="N1890" s="3"/>
      <c r="O1890" s="3"/>
      <c r="P1890" s="3"/>
      <c r="Q1890" s="3"/>
      <c r="R1890" s="3"/>
      <c r="S1890" s="3"/>
      <c r="T1890" s="3"/>
      <c r="U1890" s="3"/>
      <c r="V1890" s="3"/>
      <c r="W1890" s="3"/>
      <c r="X1890" s="3"/>
      <c r="Y1890" s="3"/>
      <c r="Z1890" s="3"/>
      <c r="AA1890" s="3"/>
    </row>
    <row r="1891">
      <c r="A1891" s="4"/>
      <c r="B1891" s="3"/>
      <c r="C1891" s="3"/>
      <c r="D1891" s="3"/>
      <c r="E1891" s="3"/>
      <c r="F1891" s="3"/>
      <c r="G1891" s="3"/>
      <c r="H1891" s="3"/>
      <c r="I1891" s="3"/>
      <c r="J1891" s="3"/>
      <c r="K1891" s="3"/>
      <c r="L1891" s="3"/>
      <c r="M1891" s="3"/>
      <c r="N1891" s="3"/>
      <c r="O1891" s="3"/>
      <c r="P1891" s="3"/>
      <c r="Q1891" s="3"/>
      <c r="R1891" s="3"/>
      <c r="S1891" s="3"/>
      <c r="T1891" s="3"/>
      <c r="U1891" s="3"/>
      <c r="V1891" s="3"/>
      <c r="W1891" s="3"/>
      <c r="X1891" s="3"/>
      <c r="Y1891" s="3"/>
      <c r="Z1891" s="3"/>
      <c r="AA1891" s="3"/>
    </row>
    <row r="1892">
      <c r="A1892" s="4"/>
      <c r="B1892" s="3"/>
      <c r="C1892" s="3"/>
      <c r="D1892" s="3"/>
      <c r="E1892" s="3"/>
      <c r="F1892" s="3"/>
      <c r="G1892" s="3"/>
      <c r="H1892" s="3"/>
      <c r="I1892" s="3"/>
      <c r="J1892" s="3"/>
      <c r="K1892" s="3"/>
      <c r="L1892" s="3"/>
      <c r="M1892" s="3"/>
      <c r="N1892" s="3"/>
      <c r="O1892" s="3"/>
      <c r="P1892" s="3"/>
      <c r="Q1892" s="3"/>
      <c r="R1892" s="3"/>
      <c r="S1892" s="3"/>
      <c r="T1892" s="3"/>
      <c r="U1892" s="3"/>
      <c r="V1892" s="3"/>
      <c r="W1892" s="3"/>
      <c r="X1892" s="3"/>
      <c r="Y1892" s="3"/>
      <c r="Z1892" s="3"/>
      <c r="AA1892" s="3"/>
    </row>
    <row r="1893">
      <c r="A1893" s="4"/>
      <c r="B1893" s="3"/>
      <c r="C1893" s="3"/>
      <c r="D1893" s="3"/>
      <c r="E1893" s="3"/>
      <c r="F1893" s="3"/>
      <c r="G1893" s="3"/>
      <c r="H1893" s="3"/>
      <c r="I1893" s="3"/>
      <c r="J1893" s="3"/>
      <c r="K1893" s="3"/>
      <c r="L1893" s="3"/>
      <c r="M1893" s="3"/>
      <c r="N1893" s="3"/>
      <c r="O1893" s="3"/>
      <c r="P1893" s="3"/>
      <c r="Q1893" s="3"/>
      <c r="R1893" s="3"/>
      <c r="S1893" s="3"/>
      <c r="T1893" s="3"/>
      <c r="U1893" s="3"/>
      <c r="V1893" s="3"/>
      <c r="W1893" s="3"/>
      <c r="X1893" s="3"/>
      <c r="Y1893" s="3"/>
      <c r="Z1893" s="3"/>
      <c r="AA1893" s="3"/>
    </row>
    <row r="1894">
      <c r="A1894" s="4"/>
      <c r="B1894" s="3"/>
      <c r="C1894" s="3"/>
      <c r="D1894" s="3"/>
      <c r="E1894" s="3"/>
      <c r="F1894" s="3"/>
      <c r="G1894" s="3"/>
      <c r="H1894" s="3"/>
      <c r="I1894" s="3"/>
      <c r="J1894" s="3"/>
      <c r="K1894" s="3"/>
      <c r="L1894" s="3"/>
      <c r="M1894" s="3"/>
      <c r="N1894" s="3"/>
      <c r="O1894" s="3"/>
      <c r="P1894" s="3"/>
      <c r="Q1894" s="3"/>
      <c r="R1894" s="3"/>
      <c r="S1894" s="3"/>
      <c r="T1894" s="3"/>
      <c r="U1894" s="3"/>
      <c r="V1894" s="3"/>
      <c r="W1894" s="3"/>
      <c r="X1894" s="3"/>
      <c r="Y1894" s="3"/>
      <c r="Z1894" s="3"/>
      <c r="AA1894" s="3"/>
    </row>
    <row r="1895">
      <c r="A1895" s="4"/>
      <c r="B1895" s="3"/>
      <c r="C1895" s="3"/>
      <c r="D1895" s="3"/>
      <c r="E1895" s="3"/>
      <c r="F1895" s="3"/>
      <c r="G1895" s="3"/>
      <c r="H1895" s="3"/>
      <c r="I1895" s="3"/>
      <c r="J1895" s="3"/>
      <c r="K1895" s="3"/>
      <c r="L1895" s="3"/>
      <c r="M1895" s="3"/>
      <c r="N1895" s="3"/>
      <c r="O1895" s="3"/>
      <c r="P1895" s="3"/>
      <c r="Q1895" s="3"/>
      <c r="R1895" s="3"/>
      <c r="S1895" s="3"/>
      <c r="T1895" s="3"/>
      <c r="U1895" s="3"/>
      <c r="V1895" s="3"/>
      <c r="W1895" s="3"/>
      <c r="X1895" s="3"/>
      <c r="Y1895" s="3"/>
      <c r="Z1895" s="3"/>
      <c r="AA1895" s="3"/>
    </row>
    <row r="1896">
      <c r="A1896" s="4"/>
      <c r="B1896" s="3"/>
      <c r="C1896" s="3"/>
      <c r="D1896" s="3"/>
      <c r="E1896" s="3"/>
      <c r="F1896" s="3"/>
      <c r="G1896" s="3"/>
      <c r="H1896" s="3"/>
      <c r="I1896" s="3"/>
      <c r="J1896" s="3"/>
      <c r="K1896" s="3"/>
      <c r="L1896" s="3"/>
      <c r="M1896" s="3"/>
      <c r="N1896" s="3"/>
      <c r="O1896" s="3"/>
      <c r="P1896" s="3"/>
      <c r="Q1896" s="3"/>
      <c r="R1896" s="3"/>
      <c r="S1896" s="3"/>
      <c r="T1896" s="3"/>
      <c r="U1896" s="3"/>
      <c r="V1896" s="3"/>
      <c r="W1896" s="3"/>
      <c r="X1896" s="3"/>
      <c r="Y1896" s="3"/>
      <c r="Z1896" s="3"/>
      <c r="AA1896" s="3"/>
    </row>
    <row r="1897">
      <c r="A1897" s="4"/>
      <c r="B1897" s="3"/>
      <c r="C1897" s="3"/>
      <c r="D1897" s="3"/>
      <c r="E1897" s="3"/>
      <c r="F1897" s="3"/>
      <c r="G1897" s="3"/>
      <c r="H1897" s="3"/>
      <c r="I1897" s="3"/>
      <c r="J1897" s="3"/>
      <c r="K1897" s="3"/>
      <c r="L1897" s="3"/>
      <c r="M1897" s="3"/>
      <c r="N1897" s="3"/>
      <c r="O1897" s="3"/>
      <c r="P1897" s="3"/>
      <c r="Q1897" s="3"/>
      <c r="R1897" s="3"/>
      <c r="S1897" s="3"/>
      <c r="T1897" s="3"/>
      <c r="U1897" s="3"/>
      <c r="V1897" s="3"/>
      <c r="W1897" s="3"/>
      <c r="X1897" s="3"/>
      <c r="Y1897" s="3"/>
      <c r="Z1897" s="3"/>
      <c r="AA1897" s="3"/>
    </row>
    <row r="1898">
      <c r="A1898" s="4"/>
      <c r="B1898" s="3"/>
      <c r="C1898" s="3"/>
      <c r="D1898" s="3"/>
      <c r="E1898" s="3"/>
      <c r="F1898" s="3"/>
      <c r="G1898" s="3"/>
      <c r="H1898" s="3"/>
      <c r="I1898" s="3"/>
      <c r="J1898" s="3"/>
      <c r="K1898" s="3"/>
      <c r="L1898" s="3"/>
      <c r="M1898" s="3"/>
      <c r="N1898" s="3"/>
      <c r="O1898" s="3"/>
      <c r="P1898" s="3"/>
      <c r="Q1898" s="3"/>
      <c r="R1898" s="3"/>
      <c r="S1898" s="3"/>
      <c r="T1898" s="3"/>
      <c r="U1898" s="3"/>
      <c r="V1898" s="3"/>
      <c r="W1898" s="3"/>
      <c r="X1898" s="3"/>
      <c r="Y1898" s="3"/>
      <c r="Z1898" s="3"/>
      <c r="AA1898" s="3"/>
    </row>
    <row r="1899">
      <c r="A1899" s="4"/>
      <c r="B1899" s="3"/>
      <c r="C1899" s="3"/>
      <c r="D1899" s="3"/>
      <c r="E1899" s="3"/>
      <c r="F1899" s="3"/>
      <c r="G1899" s="3"/>
      <c r="H1899" s="3"/>
      <c r="I1899" s="3"/>
      <c r="J1899" s="3"/>
      <c r="K1899" s="3"/>
      <c r="L1899" s="3"/>
      <c r="M1899" s="3"/>
      <c r="N1899" s="3"/>
      <c r="O1899" s="3"/>
      <c r="P1899" s="3"/>
      <c r="Q1899" s="3"/>
      <c r="R1899" s="3"/>
      <c r="S1899" s="3"/>
      <c r="T1899" s="3"/>
      <c r="U1899" s="3"/>
      <c r="V1899" s="3"/>
      <c r="W1899" s="3"/>
      <c r="X1899" s="3"/>
      <c r="Y1899" s="3"/>
      <c r="Z1899" s="3"/>
      <c r="AA1899" s="3"/>
    </row>
    <row r="1900">
      <c r="A1900" s="4"/>
      <c r="B1900" s="3"/>
      <c r="C1900" s="3"/>
      <c r="D1900" s="3"/>
      <c r="E1900" s="3"/>
      <c r="F1900" s="3"/>
      <c r="G1900" s="3"/>
      <c r="H1900" s="3"/>
      <c r="I1900" s="3"/>
      <c r="J1900" s="3"/>
      <c r="K1900" s="3"/>
      <c r="L1900" s="3"/>
      <c r="M1900" s="3"/>
      <c r="N1900" s="3"/>
      <c r="O1900" s="3"/>
      <c r="P1900" s="3"/>
      <c r="Q1900" s="3"/>
      <c r="R1900" s="3"/>
      <c r="S1900" s="3"/>
      <c r="T1900" s="3"/>
      <c r="U1900" s="3"/>
      <c r="V1900" s="3"/>
      <c r="W1900" s="3"/>
      <c r="X1900" s="3"/>
      <c r="Y1900" s="3"/>
      <c r="Z1900" s="3"/>
      <c r="AA1900" s="3"/>
    </row>
    <row r="1901">
      <c r="A1901" s="4"/>
      <c r="B1901" s="3"/>
      <c r="C1901" s="3"/>
      <c r="D1901" s="3"/>
      <c r="E1901" s="3"/>
      <c r="F1901" s="3"/>
      <c r="G1901" s="3"/>
      <c r="H1901" s="3"/>
      <c r="I1901" s="3"/>
      <c r="J1901" s="3"/>
      <c r="K1901" s="3"/>
      <c r="L1901" s="3"/>
      <c r="M1901" s="3"/>
      <c r="N1901" s="3"/>
      <c r="O1901" s="3"/>
      <c r="P1901" s="3"/>
      <c r="Q1901" s="3"/>
      <c r="R1901" s="3"/>
      <c r="S1901" s="3"/>
      <c r="T1901" s="3"/>
      <c r="U1901" s="3"/>
      <c r="V1901" s="3"/>
      <c r="W1901" s="3"/>
      <c r="X1901" s="3"/>
      <c r="Y1901" s="3"/>
      <c r="Z1901" s="3"/>
      <c r="AA1901" s="3"/>
    </row>
    <row r="1902">
      <c r="A1902" s="4"/>
      <c r="B1902" s="3"/>
      <c r="C1902" s="3"/>
      <c r="D1902" s="3"/>
      <c r="E1902" s="3"/>
      <c r="F1902" s="3"/>
      <c r="G1902" s="3"/>
      <c r="H1902" s="3"/>
      <c r="I1902" s="3"/>
      <c r="J1902" s="3"/>
      <c r="K1902" s="3"/>
      <c r="L1902" s="3"/>
      <c r="M1902" s="3"/>
      <c r="N1902" s="3"/>
      <c r="O1902" s="3"/>
      <c r="P1902" s="3"/>
      <c r="Q1902" s="3"/>
      <c r="R1902" s="3"/>
      <c r="S1902" s="3"/>
      <c r="T1902" s="3"/>
      <c r="U1902" s="3"/>
      <c r="V1902" s="3"/>
      <c r="W1902" s="3"/>
      <c r="X1902" s="3"/>
      <c r="Y1902" s="3"/>
      <c r="Z1902" s="3"/>
      <c r="AA1902" s="3"/>
    </row>
    <row r="1903">
      <c r="A1903" s="4"/>
      <c r="B1903" s="3"/>
      <c r="C1903" s="3"/>
      <c r="D1903" s="3"/>
      <c r="E1903" s="3"/>
      <c r="F1903" s="3"/>
      <c r="G1903" s="3"/>
      <c r="H1903" s="3"/>
      <c r="I1903" s="3"/>
      <c r="J1903" s="3"/>
      <c r="K1903" s="3"/>
      <c r="L1903" s="3"/>
      <c r="M1903" s="3"/>
      <c r="N1903" s="3"/>
      <c r="O1903" s="3"/>
      <c r="P1903" s="3"/>
      <c r="Q1903" s="3"/>
      <c r="R1903" s="3"/>
      <c r="S1903" s="3"/>
      <c r="T1903" s="3"/>
      <c r="U1903" s="3"/>
      <c r="V1903" s="3"/>
      <c r="W1903" s="3"/>
      <c r="X1903" s="3"/>
      <c r="Y1903" s="3"/>
      <c r="Z1903" s="3"/>
      <c r="AA1903" s="3"/>
    </row>
    <row r="1904">
      <c r="A1904" s="4"/>
      <c r="B1904" s="3"/>
      <c r="C1904" s="3"/>
      <c r="D1904" s="3"/>
      <c r="E1904" s="3"/>
      <c r="F1904" s="3"/>
      <c r="G1904" s="3"/>
      <c r="H1904" s="3"/>
      <c r="I1904" s="3"/>
      <c r="J1904" s="3"/>
      <c r="K1904" s="3"/>
      <c r="L1904" s="3"/>
      <c r="M1904" s="3"/>
      <c r="N1904" s="3"/>
      <c r="O1904" s="3"/>
      <c r="P1904" s="3"/>
      <c r="Q1904" s="3"/>
      <c r="R1904" s="3"/>
      <c r="S1904" s="3"/>
      <c r="T1904" s="3"/>
      <c r="U1904" s="3"/>
      <c r="V1904" s="3"/>
      <c r="W1904" s="3"/>
      <c r="X1904" s="3"/>
      <c r="Y1904" s="3"/>
      <c r="Z1904" s="3"/>
      <c r="AA1904" s="3"/>
    </row>
    <row r="1905">
      <c r="A1905" s="4"/>
      <c r="B1905" s="3"/>
      <c r="C1905" s="3"/>
      <c r="D1905" s="3"/>
      <c r="E1905" s="3"/>
      <c r="F1905" s="3"/>
      <c r="G1905" s="3"/>
      <c r="H1905" s="3"/>
      <c r="I1905" s="3"/>
      <c r="J1905" s="3"/>
      <c r="K1905" s="3"/>
      <c r="L1905" s="3"/>
      <c r="M1905" s="3"/>
      <c r="N1905" s="3"/>
      <c r="O1905" s="3"/>
      <c r="P1905" s="3"/>
      <c r="Q1905" s="3"/>
      <c r="R1905" s="3"/>
      <c r="S1905" s="3"/>
      <c r="T1905" s="3"/>
      <c r="U1905" s="3"/>
      <c r="V1905" s="3"/>
      <c r="W1905" s="3"/>
      <c r="X1905" s="3"/>
      <c r="Y1905" s="3"/>
      <c r="Z1905" s="3"/>
      <c r="AA1905" s="3"/>
    </row>
    <row r="1906">
      <c r="A1906" s="4"/>
      <c r="B1906" s="3"/>
      <c r="C1906" s="3"/>
      <c r="D1906" s="3"/>
      <c r="E1906" s="3"/>
      <c r="F1906" s="3"/>
      <c r="G1906" s="3"/>
      <c r="H1906" s="3"/>
      <c r="I1906" s="3"/>
      <c r="J1906" s="3"/>
      <c r="K1906" s="3"/>
      <c r="L1906" s="3"/>
      <c r="M1906" s="3"/>
      <c r="N1906" s="3"/>
      <c r="O1906" s="3"/>
      <c r="P1906" s="3"/>
      <c r="Q1906" s="3"/>
      <c r="R1906" s="3"/>
      <c r="S1906" s="3"/>
      <c r="T1906" s="3"/>
      <c r="U1906" s="3"/>
      <c r="V1906" s="3"/>
      <c r="W1906" s="3"/>
      <c r="X1906" s="3"/>
      <c r="Y1906" s="3"/>
      <c r="Z1906" s="3"/>
      <c r="AA1906" s="3"/>
    </row>
    <row r="1907">
      <c r="A1907" s="4"/>
      <c r="B1907" s="3"/>
      <c r="C1907" s="3"/>
      <c r="D1907" s="3"/>
      <c r="E1907" s="3"/>
      <c r="F1907" s="3"/>
      <c r="G1907" s="3"/>
      <c r="H1907" s="3"/>
      <c r="I1907" s="3"/>
      <c r="J1907" s="3"/>
      <c r="K1907" s="3"/>
      <c r="L1907" s="3"/>
      <c r="M1907" s="3"/>
      <c r="N1907" s="3"/>
      <c r="O1907" s="3"/>
      <c r="P1907" s="3"/>
      <c r="Q1907" s="3"/>
      <c r="R1907" s="3"/>
      <c r="S1907" s="3"/>
      <c r="T1907" s="3"/>
      <c r="U1907" s="3"/>
      <c r="V1907" s="3"/>
      <c r="W1907" s="3"/>
      <c r="X1907" s="3"/>
      <c r="Y1907" s="3"/>
      <c r="Z1907" s="3"/>
      <c r="AA1907" s="3"/>
    </row>
    <row r="1908">
      <c r="A1908" s="4"/>
      <c r="B1908" s="3"/>
      <c r="C1908" s="3"/>
      <c r="D1908" s="3"/>
      <c r="E1908" s="3"/>
      <c r="F1908" s="3"/>
      <c r="G1908" s="3"/>
      <c r="H1908" s="3"/>
      <c r="I1908" s="3"/>
      <c r="J1908" s="3"/>
      <c r="K1908" s="3"/>
      <c r="L1908" s="3"/>
      <c r="M1908" s="3"/>
      <c r="N1908" s="3"/>
      <c r="O1908" s="3"/>
      <c r="P1908" s="3"/>
      <c r="Q1908" s="3"/>
      <c r="R1908" s="3"/>
      <c r="S1908" s="3"/>
      <c r="T1908" s="3"/>
      <c r="U1908" s="3"/>
      <c r="V1908" s="3"/>
      <c r="W1908" s="3"/>
      <c r="X1908" s="3"/>
      <c r="Y1908" s="3"/>
      <c r="Z1908" s="3"/>
      <c r="AA1908" s="3"/>
    </row>
    <row r="1909">
      <c r="A1909" s="4"/>
      <c r="B1909" s="3"/>
      <c r="C1909" s="3"/>
      <c r="D1909" s="3"/>
      <c r="E1909" s="3"/>
      <c r="F1909" s="3"/>
      <c r="G1909" s="3"/>
      <c r="H1909" s="3"/>
      <c r="I1909" s="3"/>
      <c r="J1909" s="3"/>
      <c r="K1909" s="3"/>
      <c r="L1909" s="3"/>
      <c r="M1909" s="3"/>
      <c r="N1909" s="3"/>
      <c r="O1909" s="3"/>
      <c r="P1909" s="3"/>
      <c r="Q1909" s="3"/>
      <c r="R1909" s="3"/>
      <c r="S1909" s="3"/>
      <c r="T1909" s="3"/>
      <c r="U1909" s="3"/>
      <c r="V1909" s="3"/>
      <c r="W1909" s="3"/>
      <c r="X1909" s="3"/>
      <c r="Y1909" s="3"/>
      <c r="Z1909" s="3"/>
      <c r="AA1909" s="3"/>
    </row>
    <row r="1910">
      <c r="A1910" s="4"/>
      <c r="B1910" s="3"/>
      <c r="C1910" s="3"/>
      <c r="D1910" s="3"/>
      <c r="E1910" s="3"/>
      <c r="F1910" s="3"/>
      <c r="G1910" s="3"/>
      <c r="H1910" s="3"/>
      <c r="I1910" s="3"/>
      <c r="J1910" s="3"/>
      <c r="K1910" s="3"/>
      <c r="L1910" s="3"/>
      <c r="M1910" s="3"/>
      <c r="N1910" s="3"/>
      <c r="O1910" s="3"/>
      <c r="P1910" s="3"/>
      <c r="Q1910" s="3"/>
      <c r="R1910" s="3"/>
      <c r="S1910" s="3"/>
      <c r="T1910" s="3"/>
      <c r="U1910" s="3"/>
      <c r="V1910" s="3"/>
      <c r="W1910" s="3"/>
      <c r="X1910" s="3"/>
      <c r="Y1910" s="3"/>
      <c r="Z1910" s="3"/>
      <c r="AA1910" s="3"/>
    </row>
    <row r="1911">
      <c r="A1911" s="4"/>
      <c r="B1911" s="3"/>
      <c r="C1911" s="3"/>
      <c r="D1911" s="3"/>
      <c r="E1911" s="3"/>
      <c r="F1911" s="3"/>
      <c r="G1911" s="3"/>
      <c r="H1911" s="3"/>
      <c r="I1911" s="3"/>
      <c r="J1911" s="3"/>
      <c r="K1911" s="3"/>
      <c r="L1911" s="3"/>
      <c r="M1911" s="3"/>
      <c r="N1911" s="3"/>
      <c r="O1911" s="3"/>
      <c r="P1911" s="3"/>
      <c r="Q1911" s="3"/>
      <c r="R1911" s="3"/>
      <c r="S1911" s="3"/>
      <c r="T1911" s="3"/>
      <c r="U1911" s="3"/>
      <c r="V1911" s="3"/>
      <c r="W1911" s="3"/>
      <c r="X1911" s="3"/>
      <c r="Y1911" s="3"/>
      <c r="Z1911" s="3"/>
      <c r="AA1911" s="3"/>
    </row>
    <row r="1912">
      <c r="A1912" s="4"/>
      <c r="B1912" s="3"/>
      <c r="C1912" s="3"/>
      <c r="D1912" s="3"/>
      <c r="E1912" s="3"/>
      <c r="F1912" s="3"/>
      <c r="G1912" s="3"/>
      <c r="H1912" s="3"/>
      <c r="I1912" s="3"/>
      <c r="J1912" s="3"/>
      <c r="K1912" s="3"/>
      <c r="L1912" s="3"/>
      <c r="M1912" s="3"/>
      <c r="N1912" s="3"/>
      <c r="O1912" s="3"/>
      <c r="P1912" s="3"/>
      <c r="Q1912" s="3"/>
      <c r="R1912" s="3"/>
      <c r="S1912" s="3"/>
      <c r="T1912" s="3"/>
      <c r="U1912" s="3"/>
      <c r="V1912" s="3"/>
      <c r="W1912" s="3"/>
      <c r="X1912" s="3"/>
      <c r="Y1912" s="3"/>
      <c r="Z1912" s="3"/>
      <c r="AA1912" s="3"/>
    </row>
    <row r="1913">
      <c r="A1913" s="4"/>
      <c r="B1913" s="3"/>
      <c r="C1913" s="3"/>
      <c r="D1913" s="3"/>
      <c r="E1913" s="3"/>
      <c r="F1913" s="3"/>
      <c r="G1913" s="3"/>
      <c r="H1913" s="3"/>
      <c r="I1913" s="3"/>
      <c r="J1913" s="3"/>
      <c r="K1913" s="3"/>
      <c r="L1913" s="3"/>
      <c r="M1913" s="3"/>
      <c r="N1913" s="3"/>
      <c r="O1913" s="3"/>
      <c r="P1913" s="3"/>
      <c r="Q1913" s="3"/>
      <c r="R1913" s="3"/>
      <c r="S1913" s="3"/>
      <c r="T1913" s="3"/>
      <c r="U1913" s="3"/>
      <c r="V1913" s="3"/>
      <c r="W1913" s="3"/>
      <c r="X1913" s="3"/>
      <c r="Y1913" s="3"/>
      <c r="Z1913" s="3"/>
      <c r="AA1913" s="3"/>
    </row>
    <row r="1914">
      <c r="A1914" s="4"/>
      <c r="B1914" s="3"/>
      <c r="C1914" s="3"/>
      <c r="D1914" s="3"/>
      <c r="E1914" s="3"/>
      <c r="F1914" s="3"/>
      <c r="G1914" s="3"/>
      <c r="H1914" s="3"/>
      <c r="I1914" s="3"/>
      <c r="J1914" s="3"/>
      <c r="K1914" s="3"/>
      <c r="L1914" s="3"/>
      <c r="M1914" s="3"/>
      <c r="N1914" s="3"/>
      <c r="O1914" s="3"/>
      <c r="P1914" s="3"/>
      <c r="Q1914" s="3"/>
      <c r="R1914" s="3"/>
      <c r="S1914" s="3"/>
      <c r="T1914" s="3"/>
      <c r="U1914" s="3"/>
      <c r="V1914" s="3"/>
      <c r="W1914" s="3"/>
      <c r="X1914" s="3"/>
      <c r="Y1914" s="3"/>
      <c r="Z1914" s="3"/>
      <c r="AA1914" s="3"/>
    </row>
    <row r="1915">
      <c r="A1915" s="4"/>
      <c r="B1915" s="3"/>
      <c r="C1915" s="3"/>
      <c r="D1915" s="3"/>
      <c r="E1915" s="3"/>
      <c r="F1915" s="3"/>
      <c r="G1915" s="3"/>
      <c r="H1915" s="3"/>
      <c r="I1915" s="3"/>
      <c r="J1915" s="3"/>
      <c r="K1915" s="3"/>
      <c r="L1915" s="3"/>
      <c r="M1915" s="3"/>
      <c r="N1915" s="3"/>
      <c r="O1915" s="3"/>
      <c r="P1915" s="3"/>
      <c r="Q1915" s="3"/>
      <c r="R1915" s="3"/>
      <c r="S1915" s="3"/>
      <c r="T1915" s="3"/>
      <c r="U1915" s="3"/>
      <c r="V1915" s="3"/>
      <c r="W1915" s="3"/>
      <c r="X1915" s="3"/>
      <c r="Y1915" s="3"/>
      <c r="Z1915" s="3"/>
      <c r="AA1915" s="3"/>
    </row>
    <row r="1916">
      <c r="A1916" s="4"/>
      <c r="B1916" s="3"/>
      <c r="C1916" s="3"/>
      <c r="D1916" s="3"/>
      <c r="E1916" s="3"/>
      <c r="F1916" s="3"/>
      <c r="G1916" s="3"/>
      <c r="H1916" s="3"/>
      <c r="I1916" s="3"/>
      <c r="J1916" s="3"/>
      <c r="K1916" s="3"/>
      <c r="L1916" s="3"/>
      <c r="M1916" s="3"/>
      <c r="N1916" s="3"/>
      <c r="O1916" s="3"/>
      <c r="P1916" s="3"/>
      <c r="Q1916" s="3"/>
      <c r="R1916" s="3"/>
      <c r="S1916" s="3"/>
      <c r="T1916" s="3"/>
      <c r="U1916" s="3"/>
      <c r="V1916" s="3"/>
      <c r="W1916" s="3"/>
      <c r="X1916" s="3"/>
      <c r="Y1916" s="3"/>
      <c r="Z1916" s="3"/>
      <c r="AA1916" s="3"/>
    </row>
    <row r="1917">
      <c r="A1917" s="4"/>
      <c r="B1917" s="3"/>
      <c r="C1917" s="3"/>
      <c r="D1917" s="3"/>
      <c r="E1917" s="3"/>
      <c r="F1917" s="3"/>
      <c r="G1917" s="3"/>
      <c r="H1917" s="3"/>
      <c r="I1917" s="3"/>
      <c r="J1917" s="3"/>
      <c r="K1917" s="3"/>
      <c r="L1917" s="3"/>
      <c r="M1917" s="3"/>
      <c r="N1917" s="3"/>
      <c r="O1917" s="3"/>
      <c r="P1917" s="3"/>
      <c r="Q1917" s="3"/>
      <c r="R1917" s="3"/>
      <c r="S1917" s="3"/>
      <c r="T1917" s="3"/>
      <c r="U1917" s="3"/>
      <c r="V1917" s="3"/>
      <c r="W1917" s="3"/>
      <c r="X1917" s="3"/>
      <c r="Y1917" s="3"/>
      <c r="Z1917" s="3"/>
      <c r="AA1917" s="3"/>
    </row>
    <row r="1918">
      <c r="A1918" s="4"/>
      <c r="B1918" s="3"/>
      <c r="C1918" s="3"/>
      <c r="D1918" s="3"/>
      <c r="E1918" s="3"/>
      <c r="F1918" s="3"/>
      <c r="G1918" s="3"/>
      <c r="H1918" s="3"/>
      <c r="I1918" s="3"/>
      <c r="J1918" s="3"/>
      <c r="K1918" s="3"/>
      <c r="L1918" s="3"/>
      <c r="M1918" s="3"/>
      <c r="N1918" s="3"/>
      <c r="O1918" s="3"/>
      <c r="P1918" s="3"/>
      <c r="Q1918" s="3"/>
      <c r="R1918" s="3"/>
      <c r="S1918" s="3"/>
      <c r="T1918" s="3"/>
      <c r="U1918" s="3"/>
      <c r="V1918" s="3"/>
      <c r="W1918" s="3"/>
      <c r="X1918" s="3"/>
      <c r="Y1918" s="3"/>
      <c r="Z1918" s="3"/>
      <c r="AA1918" s="3"/>
    </row>
    <row r="1919">
      <c r="A1919" s="4"/>
      <c r="B1919" s="3"/>
      <c r="C1919" s="3"/>
      <c r="D1919" s="3"/>
      <c r="E1919" s="3"/>
      <c r="F1919" s="3"/>
      <c r="G1919" s="3"/>
      <c r="H1919" s="3"/>
      <c r="I1919" s="3"/>
      <c r="J1919" s="3"/>
      <c r="K1919" s="3"/>
      <c r="L1919" s="3"/>
      <c r="M1919" s="3"/>
      <c r="N1919" s="3"/>
      <c r="O1919" s="3"/>
      <c r="P1919" s="3"/>
      <c r="Q1919" s="3"/>
      <c r="R1919" s="3"/>
      <c r="S1919" s="3"/>
      <c r="T1919" s="3"/>
      <c r="U1919" s="3"/>
      <c r="V1919" s="3"/>
      <c r="W1919" s="3"/>
      <c r="X1919" s="3"/>
      <c r="Y1919" s="3"/>
      <c r="Z1919" s="3"/>
      <c r="AA1919" s="3"/>
    </row>
    <row r="1920">
      <c r="A1920" s="4"/>
      <c r="B1920" s="3"/>
      <c r="C1920" s="3"/>
      <c r="D1920" s="3"/>
      <c r="E1920" s="3"/>
      <c r="F1920" s="3"/>
      <c r="G1920" s="3"/>
      <c r="H1920" s="3"/>
      <c r="I1920" s="3"/>
      <c r="J1920" s="3"/>
      <c r="K1920" s="3"/>
      <c r="L1920" s="3"/>
      <c r="M1920" s="3"/>
      <c r="N1920" s="3"/>
      <c r="O1920" s="3"/>
      <c r="P1920" s="3"/>
      <c r="Q1920" s="3"/>
      <c r="R1920" s="3"/>
      <c r="S1920" s="3"/>
      <c r="T1920" s="3"/>
      <c r="U1920" s="3"/>
      <c r="V1920" s="3"/>
      <c r="W1920" s="3"/>
      <c r="X1920" s="3"/>
      <c r="Y1920" s="3"/>
      <c r="Z1920" s="3"/>
      <c r="AA1920" s="3"/>
    </row>
    <row r="1921">
      <c r="A1921" s="4"/>
      <c r="B1921" s="3"/>
      <c r="C1921" s="3"/>
      <c r="D1921" s="3"/>
      <c r="E1921" s="3"/>
      <c r="F1921" s="3"/>
      <c r="G1921" s="3"/>
      <c r="H1921" s="3"/>
      <c r="I1921" s="3"/>
      <c r="J1921" s="3"/>
      <c r="K1921" s="3"/>
      <c r="L1921" s="3"/>
      <c r="M1921" s="3"/>
      <c r="N1921" s="3"/>
      <c r="O1921" s="3"/>
      <c r="P1921" s="3"/>
      <c r="Q1921" s="3"/>
      <c r="R1921" s="3"/>
      <c r="S1921" s="3"/>
      <c r="T1921" s="3"/>
      <c r="U1921" s="3"/>
      <c r="V1921" s="3"/>
      <c r="W1921" s="3"/>
      <c r="X1921" s="3"/>
      <c r="Y1921" s="3"/>
      <c r="Z1921" s="3"/>
      <c r="AA1921" s="3"/>
    </row>
    <row r="1922">
      <c r="A1922" s="4"/>
      <c r="B1922" s="3"/>
      <c r="C1922" s="3"/>
      <c r="D1922" s="3"/>
      <c r="E1922" s="3"/>
      <c r="F1922" s="3"/>
      <c r="G1922" s="3"/>
      <c r="H1922" s="3"/>
      <c r="I1922" s="3"/>
      <c r="J1922" s="3"/>
      <c r="K1922" s="3"/>
      <c r="L1922" s="3"/>
      <c r="M1922" s="3"/>
      <c r="N1922" s="3"/>
      <c r="O1922" s="3"/>
      <c r="P1922" s="3"/>
      <c r="Q1922" s="3"/>
      <c r="R1922" s="3"/>
      <c r="S1922" s="3"/>
      <c r="T1922" s="3"/>
      <c r="U1922" s="3"/>
      <c r="V1922" s="3"/>
      <c r="W1922" s="3"/>
      <c r="X1922" s="3"/>
      <c r="Y1922" s="3"/>
      <c r="Z1922" s="3"/>
      <c r="AA1922" s="3"/>
    </row>
    <row r="1923">
      <c r="A1923" s="4"/>
      <c r="B1923" s="3"/>
      <c r="C1923" s="3"/>
      <c r="D1923" s="3"/>
      <c r="E1923" s="3"/>
      <c r="F1923" s="3"/>
      <c r="G1923" s="3"/>
      <c r="H1923" s="3"/>
      <c r="I1923" s="3"/>
      <c r="J1923" s="3"/>
      <c r="K1923" s="3"/>
      <c r="L1923" s="3"/>
      <c r="M1923" s="3"/>
      <c r="N1923" s="3"/>
      <c r="O1923" s="3"/>
      <c r="P1923" s="3"/>
      <c r="Q1923" s="3"/>
      <c r="R1923" s="3"/>
      <c r="S1923" s="3"/>
      <c r="T1923" s="3"/>
      <c r="U1923" s="3"/>
      <c r="V1923" s="3"/>
      <c r="W1923" s="3"/>
      <c r="X1923" s="3"/>
      <c r="Y1923" s="3"/>
      <c r="Z1923" s="3"/>
      <c r="AA1923" s="3"/>
    </row>
    <row r="1924">
      <c r="A1924" s="4"/>
      <c r="B1924" s="3"/>
      <c r="C1924" s="3"/>
      <c r="D1924" s="3"/>
      <c r="E1924" s="3"/>
      <c r="F1924" s="3"/>
      <c r="G1924" s="3"/>
      <c r="H1924" s="3"/>
      <c r="I1924" s="3"/>
      <c r="J1924" s="3"/>
      <c r="K1924" s="3"/>
      <c r="L1924" s="3"/>
      <c r="M1924" s="3"/>
      <c r="N1924" s="3"/>
      <c r="O1924" s="3"/>
      <c r="P1924" s="3"/>
      <c r="Q1924" s="3"/>
      <c r="R1924" s="3"/>
      <c r="S1924" s="3"/>
      <c r="T1924" s="3"/>
      <c r="U1924" s="3"/>
      <c r="V1924" s="3"/>
      <c r="W1924" s="3"/>
      <c r="X1924" s="3"/>
      <c r="Y1924" s="3"/>
      <c r="Z1924" s="3"/>
      <c r="AA1924" s="3"/>
    </row>
    <row r="1925">
      <c r="A1925" s="4"/>
      <c r="B1925" s="3"/>
      <c r="C1925" s="3"/>
      <c r="D1925" s="3"/>
      <c r="E1925" s="3"/>
      <c r="F1925" s="3"/>
      <c r="G1925" s="3"/>
      <c r="H1925" s="3"/>
      <c r="I1925" s="3"/>
      <c r="J1925" s="3"/>
      <c r="K1925" s="3"/>
      <c r="L1925" s="3"/>
      <c r="M1925" s="3"/>
      <c r="N1925" s="3"/>
      <c r="O1925" s="3"/>
      <c r="P1925" s="3"/>
      <c r="Q1925" s="3"/>
      <c r="R1925" s="3"/>
      <c r="S1925" s="3"/>
      <c r="T1925" s="3"/>
      <c r="U1925" s="3"/>
      <c r="V1925" s="3"/>
      <c r="W1925" s="3"/>
      <c r="X1925" s="3"/>
      <c r="Y1925" s="3"/>
      <c r="Z1925" s="3"/>
      <c r="AA1925" s="3"/>
    </row>
    <row r="1926">
      <c r="A1926" s="4"/>
      <c r="B1926" s="3"/>
      <c r="C1926" s="3"/>
      <c r="D1926" s="3"/>
      <c r="E1926" s="3"/>
      <c r="F1926" s="3"/>
      <c r="G1926" s="3"/>
      <c r="H1926" s="3"/>
      <c r="I1926" s="3"/>
      <c r="J1926" s="3"/>
      <c r="K1926" s="3"/>
      <c r="L1926" s="3"/>
      <c r="M1926" s="3"/>
      <c r="N1926" s="3"/>
      <c r="O1926" s="3"/>
      <c r="P1926" s="3"/>
      <c r="Q1926" s="3"/>
      <c r="R1926" s="3"/>
      <c r="S1926" s="3"/>
      <c r="T1926" s="3"/>
      <c r="U1926" s="3"/>
      <c r="V1926" s="3"/>
      <c r="W1926" s="3"/>
      <c r="X1926" s="3"/>
      <c r="Y1926" s="3"/>
      <c r="Z1926" s="3"/>
      <c r="AA1926" s="3"/>
    </row>
    <row r="1927">
      <c r="A1927" s="4"/>
      <c r="B1927" s="3"/>
      <c r="C1927" s="3"/>
      <c r="D1927" s="3"/>
      <c r="E1927" s="3"/>
      <c r="F1927" s="3"/>
      <c r="G1927" s="3"/>
      <c r="H1927" s="3"/>
      <c r="I1927" s="3"/>
      <c r="J1927" s="3"/>
      <c r="K1927" s="3"/>
      <c r="L1927" s="3"/>
      <c r="M1927" s="3"/>
      <c r="N1927" s="3"/>
      <c r="O1927" s="3"/>
      <c r="P1927" s="3"/>
      <c r="Q1927" s="3"/>
      <c r="R1927" s="3"/>
      <c r="S1927" s="3"/>
      <c r="T1927" s="3"/>
      <c r="U1927" s="3"/>
      <c r="V1927" s="3"/>
      <c r="W1927" s="3"/>
      <c r="X1927" s="3"/>
      <c r="Y1927" s="3"/>
      <c r="Z1927" s="3"/>
      <c r="AA1927" s="3"/>
    </row>
    <row r="1928">
      <c r="A1928" s="4"/>
      <c r="B1928" s="3"/>
      <c r="C1928" s="3"/>
      <c r="D1928" s="3"/>
      <c r="E1928" s="3"/>
      <c r="F1928" s="3"/>
      <c r="G1928" s="3"/>
      <c r="H1928" s="3"/>
      <c r="I1928" s="3"/>
      <c r="J1928" s="3"/>
      <c r="K1928" s="3"/>
      <c r="L1928" s="3"/>
      <c r="M1928" s="3"/>
      <c r="N1928" s="3"/>
      <c r="O1928" s="3"/>
      <c r="P1928" s="3"/>
      <c r="Q1928" s="3"/>
      <c r="R1928" s="3"/>
      <c r="S1928" s="3"/>
      <c r="T1928" s="3"/>
      <c r="U1928" s="3"/>
      <c r="V1928" s="3"/>
      <c r="W1928" s="3"/>
      <c r="X1928" s="3"/>
      <c r="Y1928" s="3"/>
      <c r="Z1928" s="3"/>
      <c r="AA1928" s="3"/>
    </row>
    <row r="1929">
      <c r="A1929" s="4"/>
      <c r="B1929" s="3"/>
      <c r="C1929" s="3"/>
      <c r="D1929" s="3"/>
      <c r="E1929" s="3"/>
      <c r="F1929" s="3"/>
      <c r="G1929" s="3"/>
      <c r="H1929" s="3"/>
      <c r="I1929" s="3"/>
      <c r="J1929" s="3"/>
      <c r="K1929" s="3"/>
      <c r="L1929" s="3"/>
      <c r="M1929" s="3"/>
      <c r="N1929" s="3"/>
      <c r="O1929" s="3"/>
      <c r="P1929" s="3"/>
      <c r="Q1929" s="3"/>
      <c r="R1929" s="3"/>
      <c r="S1929" s="3"/>
      <c r="T1929" s="3"/>
      <c r="U1929" s="3"/>
      <c r="V1929" s="3"/>
      <c r="W1929" s="3"/>
      <c r="X1929" s="3"/>
      <c r="Y1929" s="3"/>
      <c r="Z1929" s="3"/>
      <c r="AA1929" s="3"/>
    </row>
    <row r="1930">
      <c r="A1930" s="4"/>
      <c r="B1930" s="3"/>
      <c r="C1930" s="3"/>
      <c r="D1930" s="3"/>
      <c r="E1930" s="3"/>
      <c r="F1930" s="3"/>
      <c r="G1930" s="3"/>
      <c r="H1930" s="3"/>
      <c r="I1930" s="3"/>
      <c r="J1930" s="3"/>
      <c r="K1930" s="3"/>
      <c r="L1930" s="3"/>
      <c r="M1930" s="3"/>
      <c r="N1930" s="3"/>
      <c r="O1930" s="3"/>
      <c r="P1930" s="3"/>
      <c r="Q1930" s="3"/>
      <c r="R1930" s="3"/>
      <c r="S1930" s="3"/>
      <c r="T1930" s="3"/>
      <c r="U1930" s="3"/>
      <c r="V1930" s="3"/>
      <c r="W1930" s="3"/>
      <c r="X1930" s="3"/>
      <c r="Y1930" s="3"/>
      <c r="Z1930" s="3"/>
      <c r="AA1930" s="3"/>
    </row>
    <row r="1931">
      <c r="A1931" s="4"/>
      <c r="B1931" s="3"/>
      <c r="C1931" s="3"/>
      <c r="D1931" s="3"/>
      <c r="E1931" s="3"/>
      <c r="F1931" s="3"/>
      <c r="G1931" s="3"/>
      <c r="H1931" s="3"/>
      <c r="I1931" s="3"/>
      <c r="J1931" s="3"/>
      <c r="K1931" s="3"/>
      <c r="L1931" s="3"/>
      <c r="M1931" s="3"/>
      <c r="N1931" s="3"/>
      <c r="O1931" s="3"/>
      <c r="P1931" s="3"/>
      <c r="Q1931" s="3"/>
      <c r="R1931" s="3"/>
      <c r="S1931" s="3"/>
      <c r="T1931" s="3"/>
      <c r="U1931" s="3"/>
      <c r="V1931" s="3"/>
      <c r="W1931" s="3"/>
      <c r="X1931" s="3"/>
      <c r="Y1931" s="3"/>
      <c r="Z1931" s="3"/>
      <c r="AA1931" s="3"/>
    </row>
    <row r="1932">
      <c r="A1932" s="4"/>
      <c r="B1932" s="3"/>
      <c r="C1932" s="3"/>
      <c r="D1932" s="3"/>
      <c r="E1932" s="3"/>
      <c r="F1932" s="3"/>
      <c r="G1932" s="3"/>
      <c r="H1932" s="3"/>
      <c r="I1932" s="3"/>
      <c r="J1932" s="3"/>
      <c r="K1932" s="3"/>
      <c r="L1932" s="3"/>
      <c r="M1932" s="3"/>
      <c r="N1932" s="3"/>
      <c r="O1932" s="3"/>
      <c r="P1932" s="3"/>
      <c r="Q1932" s="3"/>
      <c r="R1932" s="3"/>
      <c r="S1932" s="3"/>
      <c r="T1932" s="3"/>
      <c r="U1932" s="3"/>
      <c r="V1932" s="3"/>
      <c r="W1932" s="3"/>
      <c r="X1932" s="3"/>
      <c r="Y1932" s="3"/>
      <c r="Z1932" s="3"/>
      <c r="AA1932" s="3"/>
    </row>
    <row r="1933">
      <c r="A1933" s="4"/>
      <c r="B1933" s="3"/>
      <c r="C1933" s="3"/>
      <c r="D1933" s="3"/>
      <c r="E1933" s="3"/>
      <c r="F1933" s="3"/>
      <c r="G1933" s="3"/>
      <c r="H1933" s="3"/>
      <c r="I1933" s="3"/>
      <c r="J1933" s="3"/>
      <c r="K1933" s="3"/>
      <c r="L1933" s="3"/>
      <c r="M1933" s="3"/>
      <c r="N1933" s="3"/>
      <c r="O1933" s="3"/>
      <c r="P1933" s="3"/>
      <c r="Q1933" s="3"/>
      <c r="R1933" s="3"/>
      <c r="S1933" s="3"/>
      <c r="T1933" s="3"/>
      <c r="U1933" s="3"/>
      <c r="V1933" s="3"/>
      <c r="W1933" s="3"/>
      <c r="X1933" s="3"/>
      <c r="Y1933" s="3"/>
      <c r="Z1933" s="3"/>
      <c r="AA1933" s="3"/>
    </row>
    <row r="1934">
      <c r="A1934" s="4"/>
      <c r="B1934" s="3"/>
      <c r="C1934" s="3"/>
      <c r="D1934" s="3"/>
      <c r="E1934" s="3"/>
      <c r="F1934" s="3"/>
      <c r="G1934" s="3"/>
      <c r="H1934" s="3"/>
      <c r="I1934" s="3"/>
      <c r="J1934" s="3"/>
      <c r="K1934" s="3"/>
      <c r="L1934" s="3"/>
      <c r="M1934" s="3"/>
      <c r="N1934" s="3"/>
      <c r="O1934" s="3"/>
      <c r="P1934" s="3"/>
      <c r="Q1934" s="3"/>
      <c r="R1934" s="3"/>
      <c r="S1934" s="3"/>
      <c r="T1934" s="3"/>
      <c r="U1934" s="3"/>
      <c r="V1934" s="3"/>
      <c r="W1934" s="3"/>
      <c r="X1934" s="3"/>
      <c r="Y1934" s="3"/>
      <c r="Z1934" s="3"/>
      <c r="AA1934" s="3"/>
    </row>
    <row r="1935">
      <c r="A1935" s="4"/>
      <c r="B1935" s="3"/>
      <c r="C1935" s="3"/>
      <c r="D1935" s="3"/>
      <c r="E1935" s="3"/>
      <c r="F1935" s="3"/>
      <c r="G1935" s="3"/>
      <c r="H1935" s="3"/>
      <c r="I1935" s="3"/>
      <c r="J1935" s="3"/>
      <c r="K1935" s="3"/>
      <c r="L1935" s="3"/>
      <c r="M1935" s="3"/>
      <c r="N1935" s="3"/>
      <c r="O1935" s="3"/>
      <c r="P1935" s="3"/>
      <c r="Q1935" s="3"/>
      <c r="R1935" s="3"/>
      <c r="S1935" s="3"/>
      <c r="T1935" s="3"/>
      <c r="U1935" s="3"/>
      <c r="V1935" s="3"/>
      <c r="W1935" s="3"/>
      <c r="X1935" s="3"/>
      <c r="Y1935" s="3"/>
      <c r="Z1935" s="3"/>
      <c r="AA1935" s="3"/>
    </row>
    <row r="1936">
      <c r="A1936" s="4"/>
      <c r="B1936" s="3"/>
      <c r="C1936" s="3"/>
      <c r="D1936" s="3"/>
      <c r="E1936" s="3"/>
      <c r="F1936" s="3"/>
      <c r="G1936" s="3"/>
      <c r="H1936" s="3"/>
      <c r="I1936" s="3"/>
      <c r="J1936" s="3"/>
      <c r="K1936" s="3"/>
      <c r="L1936" s="3"/>
      <c r="M1936" s="3"/>
      <c r="N1936" s="3"/>
      <c r="O1936" s="3"/>
      <c r="P1936" s="3"/>
      <c r="Q1936" s="3"/>
      <c r="R1936" s="3"/>
      <c r="S1936" s="3"/>
      <c r="T1936" s="3"/>
      <c r="U1936" s="3"/>
      <c r="V1936" s="3"/>
      <c r="W1936" s="3"/>
      <c r="X1936" s="3"/>
      <c r="Y1936" s="3"/>
      <c r="Z1936" s="3"/>
      <c r="AA1936" s="3"/>
    </row>
    <row r="1937">
      <c r="A1937" s="4"/>
      <c r="B1937" s="3"/>
      <c r="C1937" s="3"/>
      <c r="D1937" s="3"/>
      <c r="E1937" s="3"/>
      <c r="F1937" s="3"/>
      <c r="G1937" s="3"/>
      <c r="H1937" s="3"/>
      <c r="I1937" s="3"/>
      <c r="J1937" s="3"/>
      <c r="K1937" s="3"/>
      <c r="L1937" s="3"/>
      <c r="M1937" s="3"/>
      <c r="N1937" s="3"/>
      <c r="O1937" s="3"/>
      <c r="P1937" s="3"/>
      <c r="Q1937" s="3"/>
      <c r="R1937" s="3"/>
      <c r="S1937" s="3"/>
      <c r="T1937" s="3"/>
      <c r="U1937" s="3"/>
      <c r="V1937" s="3"/>
      <c r="W1937" s="3"/>
      <c r="X1937" s="3"/>
      <c r="Y1937" s="3"/>
      <c r="Z1937" s="3"/>
      <c r="AA1937" s="3"/>
    </row>
    <row r="1938">
      <c r="A1938" s="4"/>
      <c r="B1938" s="3"/>
      <c r="C1938" s="3"/>
      <c r="D1938" s="3"/>
      <c r="E1938" s="3"/>
      <c r="F1938" s="3"/>
      <c r="G1938" s="3"/>
      <c r="H1938" s="3"/>
      <c r="I1938" s="3"/>
      <c r="J1938" s="3"/>
      <c r="K1938" s="3"/>
      <c r="L1938" s="3"/>
      <c r="M1938" s="3"/>
      <c r="N1938" s="3"/>
      <c r="O1938" s="3"/>
      <c r="P1938" s="3"/>
      <c r="Q1938" s="3"/>
      <c r="R1938" s="3"/>
      <c r="S1938" s="3"/>
      <c r="T1938" s="3"/>
      <c r="U1938" s="3"/>
      <c r="V1938" s="3"/>
      <c r="W1938" s="3"/>
      <c r="X1938" s="3"/>
      <c r="Y1938" s="3"/>
      <c r="Z1938" s="3"/>
      <c r="AA1938" s="3"/>
    </row>
    <row r="1939">
      <c r="A1939" s="4"/>
      <c r="B1939" s="3"/>
      <c r="C1939" s="3"/>
      <c r="D1939" s="3"/>
      <c r="E1939" s="3"/>
      <c r="F1939" s="3"/>
      <c r="G1939" s="3"/>
      <c r="H1939" s="3"/>
      <c r="I1939" s="3"/>
      <c r="J1939" s="3"/>
      <c r="K1939" s="3"/>
      <c r="L1939" s="3"/>
      <c r="M1939" s="3"/>
      <c r="N1939" s="3"/>
      <c r="O1939" s="3"/>
      <c r="P1939" s="3"/>
      <c r="Q1939" s="3"/>
      <c r="R1939" s="3"/>
      <c r="S1939" s="3"/>
      <c r="T1939" s="3"/>
      <c r="U1939" s="3"/>
      <c r="V1939" s="3"/>
      <c r="W1939" s="3"/>
      <c r="X1939" s="3"/>
      <c r="Y1939" s="3"/>
      <c r="Z1939" s="3"/>
      <c r="AA1939" s="3"/>
    </row>
    <row r="1940">
      <c r="A1940" s="4"/>
      <c r="B1940" s="3"/>
      <c r="C1940" s="3"/>
      <c r="D1940" s="3"/>
      <c r="E1940" s="3"/>
      <c r="F1940" s="3"/>
      <c r="G1940" s="3"/>
      <c r="H1940" s="3"/>
      <c r="I1940" s="3"/>
      <c r="J1940" s="3"/>
      <c r="K1940" s="3"/>
      <c r="L1940" s="3"/>
      <c r="M1940" s="3"/>
      <c r="N1940" s="3"/>
      <c r="O1940" s="3"/>
      <c r="P1940" s="3"/>
      <c r="Q1940" s="3"/>
      <c r="R1940" s="3"/>
      <c r="S1940" s="3"/>
      <c r="T1940" s="3"/>
      <c r="U1940" s="3"/>
      <c r="V1940" s="3"/>
      <c r="W1940" s="3"/>
      <c r="X1940" s="3"/>
      <c r="Y1940" s="3"/>
      <c r="Z1940" s="3"/>
      <c r="AA1940" s="3"/>
    </row>
    <row r="1941">
      <c r="A1941" s="4"/>
      <c r="B1941" s="3"/>
      <c r="C1941" s="3"/>
      <c r="D1941" s="3"/>
      <c r="E1941" s="3"/>
      <c r="F1941" s="3"/>
      <c r="G1941" s="3"/>
      <c r="H1941" s="3"/>
      <c r="I1941" s="3"/>
      <c r="J1941" s="3"/>
      <c r="K1941" s="3"/>
      <c r="L1941" s="3"/>
      <c r="M1941" s="3"/>
      <c r="N1941" s="3"/>
      <c r="O1941" s="3"/>
      <c r="P1941" s="3"/>
      <c r="Q1941" s="3"/>
      <c r="R1941" s="3"/>
      <c r="S1941" s="3"/>
      <c r="T1941" s="3"/>
      <c r="U1941" s="3"/>
      <c r="V1941" s="3"/>
      <c r="W1941" s="3"/>
      <c r="X1941" s="3"/>
      <c r="Y1941" s="3"/>
      <c r="Z1941" s="3"/>
      <c r="AA1941" s="3"/>
    </row>
    <row r="1942">
      <c r="A1942" s="4"/>
      <c r="B1942" s="3"/>
      <c r="C1942" s="3"/>
      <c r="D1942" s="3"/>
      <c r="E1942" s="3"/>
      <c r="F1942" s="3"/>
      <c r="G1942" s="3"/>
      <c r="H1942" s="3"/>
      <c r="I1942" s="3"/>
      <c r="J1942" s="3"/>
      <c r="K1942" s="3"/>
      <c r="L1942" s="3"/>
      <c r="M1942" s="3"/>
      <c r="N1942" s="3"/>
      <c r="O1942" s="3"/>
      <c r="P1942" s="3"/>
      <c r="Q1942" s="3"/>
      <c r="R1942" s="3"/>
      <c r="S1942" s="3"/>
      <c r="T1942" s="3"/>
      <c r="U1942" s="3"/>
      <c r="V1942" s="3"/>
      <c r="W1942" s="3"/>
      <c r="X1942" s="3"/>
      <c r="Y1942" s="3"/>
      <c r="Z1942" s="3"/>
      <c r="AA1942" s="3"/>
    </row>
    <row r="1943">
      <c r="A1943" s="4"/>
      <c r="B1943" s="3"/>
      <c r="C1943" s="3"/>
      <c r="D1943" s="3"/>
      <c r="E1943" s="3"/>
      <c r="F1943" s="3"/>
      <c r="G1943" s="3"/>
      <c r="H1943" s="3"/>
      <c r="I1943" s="3"/>
      <c r="J1943" s="3"/>
      <c r="K1943" s="3"/>
      <c r="L1943" s="3"/>
      <c r="M1943" s="3"/>
      <c r="N1943" s="3"/>
      <c r="O1943" s="3"/>
      <c r="P1943" s="3"/>
      <c r="Q1943" s="3"/>
      <c r="R1943" s="3"/>
      <c r="S1943" s="3"/>
      <c r="T1943" s="3"/>
      <c r="U1943" s="3"/>
      <c r="V1943" s="3"/>
      <c r="W1943" s="3"/>
      <c r="X1943" s="3"/>
      <c r="Y1943" s="3"/>
      <c r="Z1943" s="3"/>
      <c r="AA1943" s="3"/>
    </row>
    <row r="1944">
      <c r="A1944" s="4"/>
      <c r="B1944" s="3"/>
      <c r="C1944" s="3"/>
      <c r="D1944" s="3"/>
      <c r="E1944" s="3"/>
      <c r="F1944" s="3"/>
      <c r="G1944" s="3"/>
      <c r="H1944" s="3"/>
      <c r="I1944" s="3"/>
      <c r="J1944" s="3"/>
      <c r="K1944" s="3"/>
      <c r="L1944" s="3"/>
      <c r="M1944" s="3"/>
      <c r="N1944" s="3"/>
      <c r="O1944" s="3"/>
      <c r="P1944" s="3"/>
      <c r="Q1944" s="3"/>
      <c r="R1944" s="3"/>
      <c r="S1944" s="3"/>
      <c r="T1944" s="3"/>
      <c r="U1944" s="3"/>
      <c r="V1944" s="3"/>
      <c r="W1944" s="3"/>
      <c r="X1944" s="3"/>
      <c r="Y1944" s="3"/>
      <c r="Z1944" s="3"/>
      <c r="AA1944" s="3"/>
    </row>
    <row r="1945">
      <c r="A1945" s="4"/>
      <c r="B1945" s="3"/>
      <c r="C1945" s="3"/>
      <c r="D1945" s="3"/>
      <c r="E1945" s="3"/>
      <c r="F1945" s="3"/>
      <c r="G1945" s="3"/>
      <c r="H1945" s="3"/>
      <c r="I1945" s="3"/>
      <c r="J1945" s="3"/>
      <c r="K1945" s="3"/>
      <c r="L1945" s="3"/>
      <c r="M1945" s="3"/>
      <c r="N1945" s="3"/>
      <c r="O1945" s="3"/>
      <c r="P1945" s="3"/>
      <c r="Q1945" s="3"/>
      <c r="R1945" s="3"/>
      <c r="S1945" s="3"/>
      <c r="T1945" s="3"/>
      <c r="U1945" s="3"/>
      <c r="V1945" s="3"/>
      <c r="W1945" s="3"/>
      <c r="X1945" s="3"/>
      <c r="Y1945" s="3"/>
      <c r="Z1945" s="3"/>
      <c r="AA1945" s="3"/>
    </row>
    <row r="1946">
      <c r="A1946" s="4"/>
      <c r="B1946" s="3"/>
      <c r="C1946" s="3"/>
      <c r="D1946" s="3"/>
      <c r="E1946" s="3"/>
      <c r="F1946" s="3"/>
      <c r="G1946" s="3"/>
      <c r="H1946" s="3"/>
      <c r="I1946" s="3"/>
      <c r="J1946" s="3"/>
      <c r="K1946" s="3"/>
      <c r="L1946" s="3"/>
      <c r="M1946" s="3"/>
      <c r="N1946" s="3"/>
      <c r="O1946" s="3"/>
      <c r="P1946" s="3"/>
      <c r="Q1946" s="3"/>
      <c r="R1946" s="3"/>
      <c r="S1946" s="3"/>
      <c r="T1946" s="3"/>
      <c r="U1946" s="3"/>
      <c r="V1946" s="3"/>
      <c r="W1946" s="3"/>
      <c r="X1946" s="3"/>
      <c r="Y1946" s="3"/>
      <c r="Z1946" s="3"/>
      <c r="AA1946" s="3"/>
    </row>
    <row r="1947">
      <c r="A1947" s="4"/>
      <c r="B1947" s="3"/>
      <c r="C1947" s="3"/>
      <c r="D1947" s="3"/>
      <c r="E1947" s="3"/>
      <c r="F1947" s="3"/>
      <c r="G1947" s="3"/>
      <c r="H1947" s="3"/>
      <c r="I1947" s="3"/>
      <c r="J1947" s="3"/>
      <c r="K1947" s="3"/>
      <c r="L1947" s="3"/>
      <c r="M1947" s="3"/>
      <c r="N1947" s="3"/>
      <c r="O1947" s="3"/>
      <c r="P1947" s="3"/>
      <c r="Q1947" s="3"/>
      <c r="R1947" s="3"/>
      <c r="S1947" s="3"/>
      <c r="T1947" s="3"/>
      <c r="U1947" s="3"/>
      <c r="V1947" s="3"/>
      <c r="W1947" s="3"/>
      <c r="X1947" s="3"/>
      <c r="Y1947" s="3"/>
      <c r="Z1947" s="3"/>
      <c r="AA1947" s="3"/>
    </row>
    <row r="1948">
      <c r="A1948" s="4"/>
      <c r="B1948" s="3"/>
      <c r="C1948" s="3"/>
      <c r="D1948" s="3"/>
      <c r="E1948" s="3"/>
      <c r="F1948" s="3"/>
      <c r="G1948" s="3"/>
      <c r="H1948" s="3"/>
      <c r="I1948" s="3"/>
      <c r="J1948" s="3"/>
      <c r="K1948" s="3"/>
      <c r="L1948" s="3"/>
      <c r="M1948" s="3"/>
      <c r="N1948" s="3"/>
      <c r="O1948" s="3"/>
      <c r="P1948" s="3"/>
      <c r="Q1948" s="3"/>
      <c r="R1948" s="3"/>
      <c r="S1948" s="3"/>
      <c r="T1948" s="3"/>
      <c r="U1948" s="3"/>
      <c r="V1948" s="3"/>
      <c r="W1948" s="3"/>
      <c r="X1948" s="3"/>
      <c r="Y1948" s="3"/>
      <c r="Z1948" s="3"/>
      <c r="AA1948" s="3"/>
    </row>
    <row r="1949">
      <c r="A1949" s="4"/>
      <c r="B1949" s="3"/>
      <c r="C1949" s="3"/>
      <c r="D1949" s="3"/>
      <c r="E1949" s="3"/>
      <c r="F1949" s="3"/>
      <c r="G1949" s="3"/>
      <c r="H1949" s="3"/>
      <c r="I1949" s="3"/>
      <c r="J1949" s="3"/>
      <c r="K1949" s="3"/>
      <c r="L1949" s="3"/>
      <c r="M1949" s="3"/>
      <c r="N1949" s="3"/>
      <c r="O1949" s="3"/>
      <c r="P1949" s="3"/>
      <c r="Q1949" s="3"/>
      <c r="R1949" s="3"/>
      <c r="S1949" s="3"/>
      <c r="T1949" s="3"/>
      <c r="U1949" s="3"/>
      <c r="V1949" s="3"/>
      <c r="W1949" s="3"/>
      <c r="X1949" s="3"/>
      <c r="Y1949" s="3"/>
      <c r="Z1949" s="3"/>
      <c r="AA1949" s="3"/>
    </row>
    <row r="1950">
      <c r="A1950" s="4"/>
      <c r="B1950" s="3"/>
      <c r="C1950" s="3"/>
      <c r="D1950" s="3"/>
      <c r="E1950" s="3"/>
      <c r="F1950" s="3"/>
      <c r="G1950" s="3"/>
      <c r="H1950" s="3"/>
      <c r="I1950" s="3"/>
      <c r="J1950" s="3"/>
      <c r="K1950" s="3"/>
      <c r="L1950" s="3"/>
      <c r="M1950" s="3"/>
      <c r="N1950" s="3"/>
      <c r="O1950" s="3"/>
      <c r="P1950" s="3"/>
      <c r="Q1950" s="3"/>
      <c r="R1950" s="3"/>
      <c r="S1950" s="3"/>
      <c r="T1950" s="3"/>
      <c r="U1950" s="3"/>
      <c r="V1950" s="3"/>
      <c r="W1950" s="3"/>
      <c r="X1950" s="3"/>
      <c r="Y1950" s="3"/>
      <c r="Z1950" s="3"/>
      <c r="AA1950" s="3"/>
    </row>
    <row r="1951">
      <c r="A1951" s="4"/>
      <c r="B1951" s="3"/>
      <c r="C1951" s="3"/>
      <c r="D1951" s="3"/>
      <c r="E1951" s="3"/>
      <c r="F1951" s="3"/>
      <c r="G1951" s="3"/>
      <c r="H1951" s="3"/>
      <c r="I1951" s="3"/>
      <c r="J1951" s="3"/>
      <c r="K1951" s="3"/>
      <c r="L1951" s="3"/>
      <c r="M1951" s="3"/>
      <c r="N1951" s="3"/>
      <c r="O1951" s="3"/>
      <c r="P1951" s="3"/>
      <c r="Q1951" s="3"/>
      <c r="R1951" s="3"/>
      <c r="S1951" s="3"/>
      <c r="T1951" s="3"/>
      <c r="U1951" s="3"/>
      <c r="V1951" s="3"/>
      <c r="W1951" s="3"/>
      <c r="X1951" s="3"/>
      <c r="Y1951" s="3"/>
      <c r="Z1951" s="3"/>
      <c r="AA1951" s="3"/>
    </row>
    <row r="1952">
      <c r="A1952" s="4"/>
      <c r="B1952" s="3"/>
      <c r="C1952" s="3"/>
      <c r="D1952" s="3"/>
      <c r="E1952" s="3"/>
      <c r="F1952" s="3"/>
      <c r="G1952" s="3"/>
      <c r="H1952" s="3"/>
      <c r="I1952" s="3"/>
      <c r="J1952" s="3"/>
      <c r="K1952" s="3"/>
      <c r="L1952" s="3"/>
      <c r="M1952" s="3"/>
      <c r="N1952" s="3"/>
      <c r="O1952" s="3"/>
      <c r="P1952" s="3"/>
      <c r="Q1952" s="3"/>
      <c r="R1952" s="3"/>
      <c r="S1952" s="3"/>
      <c r="T1952" s="3"/>
      <c r="U1952" s="3"/>
      <c r="V1952" s="3"/>
      <c r="W1952" s="3"/>
      <c r="X1952" s="3"/>
      <c r="Y1952" s="3"/>
      <c r="Z1952" s="3"/>
      <c r="AA1952" s="3"/>
    </row>
    <row r="1953">
      <c r="A1953" s="4"/>
      <c r="B1953" s="3"/>
      <c r="C1953" s="3"/>
      <c r="D1953" s="3"/>
      <c r="E1953" s="3"/>
      <c r="F1953" s="3"/>
      <c r="G1953" s="3"/>
      <c r="H1953" s="3"/>
      <c r="I1953" s="3"/>
      <c r="J1953" s="3"/>
      <c r="K1953" s="3"/>
      <c r="L1953" s="3"/>
      <c r="M1953" s="3"/>
      <c r="N1953" s="3"/>
      <c r="O1953" s="3"/>
      <c r="P1953" s="3"/>
      <c r="Q1953" s="3"/>
      <c r="R1953" s="3"/>
      <c r="S1953" s="3"/>
      <c r="T1953" s="3"/>
      <c r="U1953" s="3"/>
      <c r="V1953" s="3"/>
      <c r="W1953" s="3"/>
      <c r="X1953" s="3"/>
      <c r="Y1953" s="3"/>
      <c r="Z1953" s="3"/>
      <c r="AA1953" s="3"/>
    </row>
    <row r="1954">
      <c r="A1954" s="4"/>
      <c r="B1954" s="3"/>
      <c r="C1954" s="3"/>
      <c r="D1954" s="3"/>
      <c r="E1954" s="3"/>
      <c r="F1954" s="3"/>
      <c r="G1954" s="3"/>
      <c r="H1954" s="3"/>
      <c r="I1954" s="3"/>
      <c r="J1954" s="3"/>
      <c r="K1954" s="3"/>
      <c r="L1954" s="3"/>
      <c r="M1954" s="3"/>
      <c r="N1954" s="3"/>
      <c r="O1954" s="3"/>
      <c r="P1954" s="3"/>
      <c r="Q1954" s="3"/>
      <c r="R1954" s="3"/>
      <c r="S1954" s="3"/>
      <c r="T1954" s="3"/>
      <c r="U1954" s="3"/>
      <c r="V1954" s="3"/>
      <c r="W1954" s="3"/>
      <c r="X1954" s="3"/>
      <c r="Y1954" s="3"/>
      <c r="Z1954" s="3"/>
      <c r="AA1954" s="3"/>
    </row>
    <row r="1955">
      <c r="A1955" s="4"/>
      <c r="B1955" s="3"/>
      <c r="C1955" s="3"/>
      <c r="D1955" s="3"/>
      <c r="E1955" s="3"/>
      <c r="F1955" s="3"/>
      <c r="G1955" s="3"/>
      <c r="H1955" s="3"/>
      <c r="I1955" s="3"/>
      <c r="J1955" s="3"/>
      <c r="K1955" s="3"/>
      <c r="L1955" s="3"/>
      <c r="M1955" s="3"/>
      <c r="N1955" s="3"/>
      <c r="O1955" s="3"/>
      <c r="P1955" s="3"/>
      <c r="Q1955" s="3"/>
      <c r="R1955" s="3"/>
      <c r="S1955" s="3"/>
      <c r="T1955" s="3"/>
      <c r="U1955" s="3"/>
      <c r="V1955" s="3"/>
      <c r="W1955" s="3"/>
      <c r="X1955" s="3"/>
      <c r="Y1955" s="3"/>
      <c r="Z1955" s="3"/>
      <c r="AA1955" s="3"/>
    </row>
    <row r="1956">
      <c r="A1956" s="4"/>
      <c r="B1956" s="3"/>
      <c r="C1956" s="3"/>
      <c r="D1956" s="3"/>
      <c r="E1956" s="3"/>
      <c r="F1956" s="3"/>
      <c r="G1956" s="3"/>
      <c r="H1956" s="3"/>
      <c r="I1956" s="3"/>
      <c r="J1956" s="3"/>
      <c r="K1956" s="3"/>
      <c r="L1956" s="3"/>
      <c r="M1956" s="3"/>
      <c r="N1956" s="3"/>
      <c r="O1956" s="3"/>
      <c r="P1956" s="3"/>
      <c r="Q1956" s="3"/>
      <c r="R1956" s="3"/>
      <c r="S1956" s="3"/>
      <c r="T1956" s="3"/>
      <c r="U1956" s="3"/>
      <c r="V1956" s="3"/>
      <c r="W1956" s="3"/>
      <c r="X1956" s="3"/>
      <c r="Y1956" s="3"/>
      <c r="Z1956" s="3"/>
      <c r="AA1956" s="3"/>
    </row>
    <row r="1957">
      <c r="A1957" s="4"/>
      <c r="B1957" s="3"/>
      <c r="C1957" s="3"/>
      <c r="D1957" s="3"/>
      <c r="E1957" s="3"/>
      <c r="F1957" s="3"/>
      <c r="G1957" s="3"/>
      <c r="H1957" s="3"/>
      <c r="I1957" s="3"/>
      <c r="J1957" s="3"/>
      <c r="K1957" s="3"/>
      <c r="L1957" s="3"/>
      <c r="M1957" s="3"/>
      <c r="N1957" s="3"/>
      <c r="O1957" s="3"/>
      <c r="P1957" s="3"/>
      <c r="Q1957" s="3"/>
      <c r="R1957" s="3"/>
      <c r="S1957" s="3"/>
      <c r="T1957" s="3"/>
      <c r="U1957" s="3"/>
      <c r="V1957" s="3"/>
      <c r="W1957" s="3"/>
      <c r="X1957" s="3"/>
      <c r="Y1957" s="3"/>
      <c r="Z1957" s="3"/>
      <c r="AA1957" s="3"/>
    </row>
    <row r="1958">
      <c r="A1958" s="4"/>
      <c r="B1958" s="3"/>
      <c r="C1958" s="3"/>
      <c r="D1958" s="3"/>
      <c r="E1958" s="3"/>
      <c r="F1958" s="3"/>
      <c r="G1958" s="3"/>
      <c r="H1958" s="3"/>
      <c r="I1958" s="3"/>
      <c r="J1958" s="3"/>
      <c r="K1958" s="3"/>
      <c r="L1958" s="3"/>
      <c r="M1958" s="3"/>
      <c r="N1958" s="3"/>
      <c r="O1958" s="3"/>
      <c r="P1958" s="3"/>
      <c r="Q1958" s="3"/>
      <c r="R1958" s="3"/>
      <c r="S1958" s="3"/>
      <c r="T1958" s="3"/>
      <c r="U1958" s="3"/>
      <c r="V1958" s="3"/>
      <c r="W1958" s="3"/>
      <c r="X1958" s="3"/>
      <c r="Y1958" s="3"/>
      <c r="Z1958" s="3"/>
      <c r="AA1958" s="3"/>
    </row>
    <row r="1959">
      <c r="A1959" s="4"/>
      <c r="B1959" s="3"/>
      <c r="C1959" s="3"/>
      <c r="D1959" s="3"/>
      <c r="E1959" s="3"/>
      <c r="F1959" s="3"/>
      <c r="G1959" s="3"/>
      <c r="H1959" s="3"/>
      <c r="I1959" s="3"/>
      <c r="J1959" s="3"/>
      <c r="K1959" s="3"/>
      <c r="L1959" s="3"/>
      <c r="M1959" s="3"/>
      <c r="N1959" s="3"/>
      <c r="O1959" s="3"/>
      <c r="P1959" s="3"/>
      <c r="Q1959" s="3"/>
      <c r="R1959" s="3"/>
      <c r="S1959" s="3"/>
      <c r="T1959" s="3"/>
      <c r="U1959" s="3"/>
      <c r="V1959" s="3"/>
      <c r="W1959" s="3"/>
      <c r="X1959" s="3"/>
      <c r="Y1959" s="3"/>
      <c r="Z1959" s="3"/>
      <c r="AA1959" s="3"/>
    </row>
    <row r="1960">
      <c r="A1960" s="4"/>
      <c r="B1960" s="3"/>
      <c r="C1960" s="3"/>
      <c r="D1960" s="3"/>
      <c r="E1960" s="3"/>
      <c r="F1960" s="3"/>
      <c r="G1960" s="3"/>
      <c r="H1960" s="3"/>
      <c r="I1960" s="3"/>
      <c r="J1960" s="3"/>
      <c r="K1960" s="3"/>
      <c r="L1960" s="3"/>
      <c r="M1960" s="3"/>
      <c r="N1960" s="3"/>
      <c r="O1960" s="3"/>
      <c r="P1960" s="3"/>
      <c r="Q1960" s="3"/>
      <c r="R1960" s="3"/>
      <c r="S1960" s="3"/>
      <c r="T1960" s="3"/>
      <c r="U1960" s="3"/>
      <c r="V1960" s="3"/>
      <c r="W1960" s="3"/>
      <c r="X1960" s="3"/>
      <c r="Y1960" s="3"/>
      <c r="Z1960" s="3"/>
      <c r="AA1960" s="3"/>
    </row>
    <row r="1961">
      <c r="A1961" s="4"/>
      <c r="B1961" s="3"/>
      <c r="C1961" s="3"/>
      <c r="D1961" s="3"/>
      <c r="E1961" s="3"/>
      <c r="F1961" s="3"/>
      <c r="G1961" s="3"/>
      <c r="H1961" s="3"/>
      <c r="I1961" s="3"/>
      <c r="J1961" s="3"/>
      <c r="K1961" s="3"/>
      <c r="L1961" s="3"/>
      <c r="M1961" s="3"/>
      <c r="N1961" s="3"/>
      <c r="O1961" s="3"/>
      <c r="P1961" s="3"/>
      <c r="Q1961" s="3"/>
      <c r="R1961" s="3"/>
      <c r="S1961" s="3"/>
      <c r="T1961" s="3"/>
      <c r="U1961" s="3"/>
      <c r="V1961" s="3"/>
      <c r="W1961" s="3"/>
      <c r="X1961" s="3"/>
      <c r="Y1961" s="3"/>
      <c r="Z1961" s="3"/>
      <c r="AA1961" s="3"/>
    </row>
    <row r="1962">
      <c r="A1962" s="4"/>
      <c r="B1962" s="3"/>
      <c r="C1962" s="3"/>
      <c r="D1962" s="3"/>
      <c r="E1962" s="3"/>
      <c r="F1962" s="3"/>
      <c r="G1962" s="3"/>
      <c r="H1962" s="3"/>
      <c r="I1962" s="3"/>
      <c r="J1962" s="3"/>
      <c r="K1962" s="3"/>
      <c r="L1962" s="3"/>
      <c r="M1962" s="3"/>
      <c r="N1962" s="3"/>
      <c r="O1962" s="3"/>
      <c r="P1962" s="3"/>
      <c r="Q1962" s="3"/>
      <c r="R1962" s="3"/>
      <c r="S1962" s="3"/>
      <c r="T1962" s="3"/>
      <c r="U1962" s="3"/>
      <c r="V1962" s="3"/>
      <c r="W1962" s="3"/>
      <c r="X1962" s="3"/>
      <c r="Y1962" s="3"/>
      <c r="Z1962" s="3"/>
      <c r="AA1962" s="3"/>
    </row>
    <row r="1963">
      <c r="A1963" s="4"/>
      <c r="B1963" s="3"/>
      <c r="C1963" s="3"/>
      <c r="D1963" s="3"/>
      <c r="E1963" s="3"/>
      <c r="F1963" s="3"/>
      <c r="G1963" s="3"/>
      <c r="H1963" s="3"/>
      <c r="I1963" s="3"/>
      <c r="J1963" s="3"/>
      <c r="K1963" s="3"/>
      <c r="L1963" s="3"/>
      <c r="M1963" s="3"/>
      <c r="N1963" s="3"/>
      <c r="O1963" s="3"/>
      <c r="P1963" s="3"/>
      <c r="Q1963" s="3"/>
      <c r="R1963" s="3"/>
      <c r="S1963" s="3"/>
      <c r="T1963" s="3"/>
      <c r="U1963" s="3"/>
      <c r="V1963" s="3"/>
      <c r="W1963" s="3"/>
      <c r="X1963" s="3"/>
      <c r="Y1963" s="3"/>
      <c r="Z1963" s="3"/>
      <c r="AA1963" s="3"/>
    </row>
    <row r="1964">
      <c r="A1964" s="4"/>
      <c r="B1964" s="3"/>
      <c r="C1964" s="3"/>
      <c r="D1964" s="3"/>
      <c r="E1964" s="3"/>
      <c r="F1964" s="3"/>
      <c r="G1964" s="3"/>
      <c r="H1964" s="3"/>
      <c r="I1964" s="3"/>
      <c r="J1964" s="3"/>
      <c r="K1964" s="3"/>
      <c r="L1964" s="3"/>
      <c r="M1964" s="3"/>
      <c r="N1964" s="3"/>
      <c r="O1964" s="3"/>
      <c r="P1964" s="3"/>
      <c r="Q1964" s="3"/>
      <c r="R1964" s="3"/>
      <c r="S1964" s="3"/>
      <c r="T1964" s="3"/>
      <c r="U1964" s="3"/>
      <c r="V1964" s="3"/>
      <c r="W1964" s="3"/>
      <c r="X1964" s="3"/>
      <c r="Y1964" s="3"/>
      <c r="Z1964" s="3"/>
      <c r="AA1964" s="3"/>
    </row>
    <row r="1965">
      <c r="A1965" s="4"/>
      <c r="B1965" s="3"/>
      <c r="C1965" s="3"/>
      <c r="D1965" s="3"/>
      <c r="E1965" s="3"/>
      <c r="F1965" s="3"/>
      <c r="G1965" s="3"/>
      <c r="H1965" s="3"/>
      <c r="I1965" s="3"/>
      <c r="J1965" s="3"/>
      <c r="K1965" s="3"/>
      <c r="L1965" s="3"/>
      <c r="M1965" s="3"/>
      <c r="N1965" s="3"/>
      <c r="O1965" s="3"/>
      <c r="P1965" s="3"/>
      <c r="Q1965" s="3"/>
      <c r="R1965" s="3"/>
      <c r="S1965" s="3"/>
      <c r="T1965" s="3"/>
      <c r="U1965" s="3"/>
      <c r="V1965" s="3"/>
      <c r="W1965" s="3"/>
      <c r="X1965" s="3"/>
      <c r="Y1965" s="3"/>
      <c r="Z1965" s="3"/>
      <c r="AA1965" s="3"/>
    </row>
    <row r="1966">
      <c r="A1966" s="4"/>
      <c r="B1966" s="3"/>
      <c r="C1966" s="3"/>
      <c r="D1966" s="3"/>
      <c r="E1966" s="3"/>
      <c r="F1966" s="3"/>
      <c r="G1966" s="3"/>
      <c r="H1966" s="3"/>
      <c r="I1966" s="3"/>
      <c r="J1966" s="3"/>
      <c r="K1966" s="3"/>
      <c r="L1966" s="3"/>
      <c r="M1966" s="3"/>
      <c r="N1966" s="3"/>
      <c r="O1966" s="3"/>
      <c r="P1966" s="3"/>
      <c r="Q1966" s="3"/>
      <c r="R1966" s="3"/>
      <c r="S1966" s="3"/>
      <c r="T1966" s="3"/>
      <c r="U1966" s="3"/>
      <c r="V1966" s="3"/>
      <c r="W1966" s="3"/>
      <c r="X1966" s="3"/>
      <c r="Y1966" s="3"/>
      <c r="Z1966" s="3"/>
      <c r="AA1966" s="3"/>
    </row>
    <row r="1967">
      <c r="A1967" s="4"/>
      <c r="B1967" s="3"/>
      <c r="C1967" s="3"/>
      <c r="D1967" s="3"/>
      <c r="E1967" s="3"/>
      <c r="F1967" s="3"/>
      <c r="G1967" s="3"/>
      <c r="H1967" s="3"/>
      <c r="I1967" s="3"/>
      <c r="J1967" s="3"/>
      <c r="K1967" s="3"/>
      <c r="L1967" s="3"/>
      <c r="M1967" s="3"/>
      <c r="N1967" s="3"/>
      <c r="O1967" s="3"/>
      <c r="P1967" s="3"/>
      <c r="Q1967" s="3"/>
      <c r="R1967" s="3"/>
      <c r="S1967" s="3"/>
      <c r="T1967" s="3"/>
      <c r="U1967" s="3"/>
      <c r="V1967" s="3"/>
      <c r="W1967" s="3"/>
      <c r="X1967" s="3"/>
      <c r="Y1967" s="3"/>
      <c r="Z1967" s="3"/>
      <c r="AA1967" s="3"/>
    </row>
    <row r="1968">
      <c r="A1968" s="4"/>
      <c r="B1968" s="3"/>
      <c r="C1968" s="3"/>
      <c r="D1968" s="3"/>
      <c r="E1968" s="3"/>
      <c r="F1968" s="3"/>
      <c r="G1968" s="3"/>
      <c r="H1968" s="3"/>
      <c r="I1968" s="3"/>
      <c r="J1968" s="3"/>
      <c r="K1968" s="3"/>
      <c r="L1968" s="3"/>
      <c r="M1968" s="3"/>
      <c r="N1968" s="3"/>
      <c r="O1968" s="3"/>
      <c r="P1968" s="3"/>
      <c r="Q1968" s="3"/>
      <c r="R1968" s="3"/>
      <c r="S1968" s="3"/>
      <c r="T1968" s="3"/>
      <c r="U1968" s="3"/>
      <c r="V1968" s="3"/>
      <c r="W1968" s="3"/>
      <c r="X1968" s="3"/>
      <c r="Y1968" s="3"/>
      <c r="Z1968" s="3"/>
      <c r="AA1968" s="3"/>
    </row>
    <row r="1969">
      <c r="A1969" s="4"/>
      <c r="B1969" s="3"/>
      <c r="C1969" s="3"/>
      <c r="D1969" s="3"/>
      <c r="E1969" s="3"/>
      <c r="F1969" s="3"/>
      <c r="G1969" s="3"/>
      <c r="H1969" s="3"/>
      <c r="I1969" s="3"/>
      <c r="J1969" s="3"/>
      <c r="K1969" s="3"/>
      <c r="L1969" s="3"/>
      <c r="M1969" s="3"/>
      <c r="N1969" s="3"/>
      <c r="O1969" s="3"/>
      <c r="P1969" s="3"/>
      <c r="Q1969" s="3"/>
      <c r="R1969" s="3"/>
      <c r="S1969" s="3"/>
      <c r="T1969" s="3"/>
      <c r="U1969" s="3"/>
      <c r="V1969" s="3"/>
      <c r="W1969" s="3"/>
      <c r="X1969" s="3"/>
      <c r="Y1969" s="3"/>
      <c r="Z1969" s="3"/>
      <c r="AA1969" s="3"/>
    </row>
    <row r="1970">
      <c r="A1970" s="4"/>
      <c r="B1970" s="3"/>
      <c r="C1970" s="3"/>
      <c r="D1970" s="3"/>
      <c r="E1970" s="3"/>
      <c r="F1970" s="3"/>
      <c r="G1970" s="3"/>
      <c r="H1970" s="3"/>
      <c r="I1970" s="3"/>
      <c r="J1970" s="3"/>
      <c r="K1970" s="3"/>
      <c r="L1970" s="3"/>
      <c r="M1970" s="3"/>
      <c r="N1970" s="3"/>
      <c r="O1970" s="3"/>
      <c r="P1970" s="3"/>
      <c r="Q1970" s="3"/>
      <c r="R1970" s="3"/>
      <c r="S1970" s="3"/>
      <c r="T1970" s="3"/>
      <c r="U1970" s="3"/>
      <c r="V1970" s="3"/>
      <c r="W1970" s="3"/>
      <c r="X1970" s="3"/>
      <c r="Y1970" s="3"/>
      <c r="Z1970" s="3"/>
      <c r="AA1970" s="3"/>
    </row>
    <row r="1971">
      <c r="A1971" s="4"/>
      <c r="B1971" s="3"/>
      <c r="C1971" s="3"/>
      <c r="D1971" s="3"/>
      <c r="E1971" s="3"/>
      <c r="F1971" s="3"/>
      <c r="G1971" s="3"/>
      <c r="H1971" s="3"/>
      <c r="I1971" s="3"/>
      <c r="J1971" s="3"/>
      <c r="K1971" s="3"/>
      <c r="L1971" s="3"/>
      <c r="M1971" s="3"/>
      <c r="N1971" s="3"/>
      <c r="O1971" s="3"/>
      <c r="P1971" s="3"/>
      <c r="Q1971" s="3"/>
      <c r="R1971" s="3"/>
      <c r="S1971" s="3"/>
      <c r="T1971" s="3"/>
      <c r="U1971" s="3"/>
      <c r="V1971" s="3"/>
      <c r="W1971" s="3"/>
      <c r="X1971" s="3"/>
      <c r="Y1971" s="3"/>
      <c r="Z1971" s="3"/>
      <c r="AA1971" s="3"/>
    </row>
    <row r="1972">
      <c r="A1972" s="4"/>
      <c r="B1972" s="3"/>
      <c r="C1972" s="3"/>
      <c r="D1972" s="3"/>
      <c r="E1972" s="3"/>
      <c r="F1972" s="3"/>
      <c r="G1972" s="3"/>
      <c r="H1972" s="3"/>
      <c r="I1972" s="3"/>
      <c r="J1972" s="3"/>
      <c r="K1972" s="3"/>
      <c r="L1972" s="3"/>
      <c r="M1972" s="3"/>
      <c r="N1972" s="3"/>
      <c r="O1972" s="3"/>
      <c r="P1972" s="3"/>
      <c r="Q1972" s="3"/>
      <c r="R1972" s="3"/>
      <c r="S1972" s="3"/>
      <c r="T1972" s="3"/>
      <c r="U1972" s="3"/>
      <c r="V1972" s="3"/>
      <c r="W1972" s="3"/>
      <c r="X1972" s="3"/>
      <c r="Y1972" s="3"/>
      <c r="Z1972" s="3"/>
      <c r="AA1972" s="3"/>
    </row>
    <row r="1973">
      <c r="A1973" s="4"/>
      <c r="B1973" s="3"/>
      <c r="C1973" s="3"/>
      <c r="D1973" s="3"/>
      <c r="E1973" s="3"/>
      <c r="F1973" s="3"/>
      <c r="G1973" s="3"/>
      <c r="H1973" s="3"/>
      <c r="I1973" s="3"/>
      <c r="J1973" s="3"/>
      <c r="K1973" s="3"/>
      <c r="L1973" s="3"/>
      <c r="M1973" s="3"/>
      <c r="N1973" s="3"/>
      <c r="O1973" s="3"/>
      <c r="P1973" s="3"/>
      <c r="Q1973" s="3"/>
      <c r="R1973" s="3"/>
      <c r="S1973" s="3"/>
      <c r="T1973" s="3"/>
      <c r="U1973" s="3"/>
      <c r="V1973" s="3"/>
      <c r="W1973" s="3"/>
      <c r="X1973" s="3"/>
      <c r="Y1973" s="3"/>
      <c r="Z1973" s="3"/>
      <c r="AA1973" s="3"/>
    </row>
    <row r="1974">
      <c r="A1974" s="4"/>
      <c r="B1974" s="3"/>
      <c r="C1974" s="3"/>
      <c r="D1974" s="3"/>
      <c r="E1974" s="3"/>
      <c r="F1974" s="3"/>
      <c r="G1974" s="3"/>
      <c r="H1974" s="3"/>
      <c r="I1974" s="3"/>
      <c r="J1974" s="3"/>
      <c r="K1974" s="3"/>
      <c r="L1974" s="3"/>
      <c r="M1974" s="3"/>
      <c r="N1974" s="3"/>
      <c r="O1974" s="3"/>
      <c r="P1974" s="3"/>
      <c r="Q1974" s="3"/>
      <c r="R1974" s="3"/>
      <c r="S1974" s="3"/>
      <c r="T1974" s="3"/>
      <c r="U1974" s="3"/>
      <c r="V1974" s="3"/>
      <c r="W1974" s="3"/>
      <c r="X1974" s="3"/>
      <c r="Y1974" s="3"/>
      <c r="Z1974" s="3"/>
      <c r="AA1974" s="3"/>
    </row>
    <row r="1975">
      <c r="A1975" s="4"/>
      <c r="B1975" s="3"/>
      <c r="C1975" s="3"/>
      <c r="D1975" s="3"/>
      <c r="E1975" s="3"/>
      <c r="F1975" s="3"/>
      <c r="G1975" s="3"/>
      <c r="H1975" s="3"/>
      <c r="I1975" s="3"/>
      <c r="J1975" s="3"/>
      <c r="K1975" s="3"/>
      <c r="L1975" s="3"/>
      <c r="M1975" s="3"/>
      <c r="N1975" s="3"/>
      <c r="O1975" s="3"/>
      <c r="P1975" s="3"/>
      <c r="Q1975" s="3"/>
      <c r="R1975" s="3"/>
      <c r="S1975" s="3"/>
      <c r="T1975" s="3"/>
      <c r="U1975" s="3"/>
      <c r="V1975" s="3"/>
      <c r="W1975" s="3"/>
      <c r="X1975" s="3"/>
      <c r="Y1975" s="3"/>
      <c r="Z1975" s="3"/>
      <c r="AA1975" s="3"/>
    </row>
    <row r="1976">
      <c r="A1976" s="4"/>
      <c r="B1976" s="3"/>
      <c r="C1976" s="3"/>
      <c r="D1976" s="3"/>
      <c r="E1976" s="3"/>
      <c r="F1976" s="3"/>
      <c r="G1976" s="3"/>
      <c r="H1976" s="3"/>
      <c r="I1976" s="3"/>
      <c r="J1976" s="3"/>
      <c r="K1976" s="3"/>
      <c r="L1976" s="3"/>
      <c r="M1976" s="3"/>
      <c r="N1976" s="3"/>
      <c r="O1976" s="3"/>
      <c r="P1976" s="3"/>
      <c r="Q1976" s="3"/>
      <c r="R1976" s="3"/>
      <c r="S1976" s="3"/>
      <c r="T1976" s="3"/>
      <c r="U1976" s="3"/>
      <c r="V1976" s="3"/>
      <c r="W1976" s="3"/>
      <c r="X1976" s="3"/>
      <c r="Y1976" s="3"/>
      <c r="Z1976" s="3"/>
      <c r="AA1976" s="3"/>
    </row>
    <row r="1977">
      <c r="A1977" s="4"/>
      <c r="B1977" s="3"/>
      <c r="C1977" s="3"/>
      <c r="D1977" s="3"/>
      <c r="E1977" s="3"/>
      <c r="F1977" s="3"/>
      <c r="G1977" s="3"/>
      <c r="H1977" s="3"/>
      <c r="I1977" s="3"/>
      <c r="J1977" s="3"/>
      <c r="K1977" s="3"/>
      <c r="L1977" s="3"/>
      <c r="M1977" s="3"/>
      <c r="N1977" s="3"/>
      <c r="O1977" s="3"/>
      <c r="P1977" s="3"/>
      <c r="Q1977" s="3"/>
      <c r="R1977" s="3"/>
      <c r="S1977" s="3"/>
      <c r="T1977" s="3"/>
      <c r="U1977" s="3"/>
      <c r="V1977" s="3"/>
      <c r="W1977" s="3"/>
      <c r="X1977" s="3"/>
      <c r="Y1977" s="3"/>
      <c r="Z1977" s="3"/>
      <c r="AA1977" s="3"/>
    </row>
    <row r="1978">
      <c r="A1978" s="4"/>
      <c r="B1978" s="3"/>
      <c r="C1978" s="3"/>
      <c r="D1978" s="3"/>
      <c r="E1978" s="3"/>
      <c r="F1978" s="3"/>
      <c r="G1978" s="3"/>
      <c r="H1978" s="3"/>
      <c r="I1978" s="3"/>
      <c r="J1978" s="3"/>
      <c r="K1978" s="3"/>
      <c r="L1978" s="3"/>
      <c r="M1978" s="3"/>
      <c r="N1978" s="3"/>
      <c r="O1978" s="3"/>
      <c r="P1978" s="3"/>
      <c r="Q1978" s="3"/>
      <c r="R1978" s="3"/>
      <c r="S1978" s="3"/>
      <c r="T1978" s="3"/>
      <c r="U1978" s="3"/>
      <c r="V1978" s="3"/>
      <c r="W1978" s="3"/>
      <c r="X1978" s="3"/>
      <c r="Y1978" s="3"/>
      <c r="Z1978" s="3"/>
      <c r="AA1978" s="3"/>
    </row>
    <row r="1979">
      <c r="A1979" s="4"/>
      <c r="B1979" s="3"/>
      <c r="C1979" s="3"/>
      <c r="D1979" s="3"/>
      <c r="E1979" s="3"/>
      <c r="F1979" s="3"/>
      <c r="G1979" s="3"/>
      <c r="H1979" s="3"/>
      <c r="I1979" s="3"/>
      <c r="J1979" s="3"/>
      <c r="K1979" s="3"/>
      <c r="L1979" s="3"/>
      <c r="M1979" s="3"/>
      <c r="N1979" s="3"/>
      <c r="O1979" s="3"/>
      <c r="P1979" s="3"/>
      <c r="Q1979" s="3"/>
      <c r="R1979" s="3"/>
      <c r="S1979" s="3"/>
      <c r="T1979" s="3"/>
      <c r="U1979" s="3"/>
      <c r="V1979" s="3"/>
      <c r="W1979" s="3"/>
      <c r="X1979" s="3"/>
      <c r="Y1979" s="3"/>
      <c r="Z1979" s="3"/>
      <c r="AA1979" s="3"/>
    </row>
    <row r="1980">
      <c r="A1980" s="4"/>
      <c r="B1980" s="3"/>
      <c r="C1980" s="3"/>
      <c r="D1980" s="3"/>
      <c r="E1980" s="3"/>
      <c r="F1980" s="3"/>
      <c r="G1980" s="3"/>
      <c r="H1980" s="3"/>
      <c r="I1980" s="3"/>
      <c r="J1980" s="3"/>
      <c r="K1980" s="3"/>
      <c r="L1980" s="3"/>
      <c r="M1980" s="3"/>
      <c r="N1980" s="3"/>
      <c r="O1980" s="3"/>
      <c r="P1980" s="3"/>
      <c r="Q1980" s="3"/>
      <c r="R1980" s="3"/>
      <c r="S1980" s="3"/>
      <c r="T1980" s="3"/>
      <c r="U1980" s="3"/>
      <c r="V1980" s="3"/>
      <c r="W1980" s="3"/>
      <c r="X1980" s="3"/>
      <c r="Y1980" s="3"/>
      <c r="Z1980" s="3"/>
      <c r="AA1980" s="3"/>
    </row>
    <row r="1981">
      <c r="A1981" s="4"/>
      <c r="B1981" s="3"/>
      <c r="C1981" s="3"/>
      <c r="D1981" s="3"/>
      <c r="E1981" s="3"/>
      <c r="F1981" s="3"/>
      <c r="G1981" s="3"/>
      <c r="H1981" s="3"/>
      <c r="I1981" s="3"/>
      <c r="J1981" s="3"/>
      <c r="K1981" s="3"/>
      <c r="L1981" s="3"/>
      <c r="M1981" s="3"/>
      <c r="N1981" s="3"/>
      <c r="O1981" s="3"/>
      <c r="P1981" s="3"/>
      <c r="Q1981" s="3"/>
      <c r="R1981" s="3"/>
      <c r="S1981" s="3"/>
      <c r="T1981" s="3"/>
      <c r="U1981" s="3"/>
      <c r="V1981" s="3"/>
      <c r="W1981" s="3"/>
      <c r="X1981" s="3"/>
      <c r="Y1981" s="3"/>
      <c r="Z1981" s="3"/>
      <c r="AA1981" s="3"/>
    </row>
    <row r="1982">
      <c r="A1982" s="4"/>
      <c r="B1982" s="3"/>
      <c r="C1982" s="3"/>
      <c r="D1982" s="3"/>
      <c r="E1982" s="3"/>
      <c r="F1982" s="3"/>
      <c r="G1982" s="3"/>
      <c r="H1982" s="3"/>
      <c r="I1982" s="3"/>
      <c r="J1982" s="3"/>
      <c r="K1982" s="3"/>
      <c r="L1982" s="3"/>
      <c r="M1982" s="3"/>
      <c r="N1982" s="3"/>
      <c r="O1982" s="3"/>
      <c r="P1982" s="3"/>
      <c r="Q1982" s="3"/>
      <c r="R1982" s="3"/>
      <c r="S1982" s="3"/>
      <c r="T1982" s="3"/>
      <c r="U1982" s="3"/>
      <c r="V1982" s="3"/>
      <c r="W1982" s="3"/>
      <c r="X1982" s="3"/>
      <c r="Y1982" s="3"/>
      <c r="Z1982" s="3"/>
      <c r="AA1982" s="3"/>
    </row>
    <row r="1983">
      <c r="A1983" s="4"/>
      <c r="B1983" s="3"/>
      <c r="C1983" s="3"/>
      <c r="D1983" s="3"/>
      <c r="E1983" s="3"/>
      <c r="F1983" s="3"/>
      <c r="G1983" s="3"/>
      <c r="H1983" s="3"/>
      <c r="I1983" s="3"/>
      <c r="J1983" s="3"/>
      <c r="K1983" s="3"/>
      <c r="L1983" s="3"/>
      <c r="M1983" s="3"/>
      <c r="N1983" s="3"/>
      <c r="O1983" s="3"/>
      <c r="P1983" s="3"/>
      <c r="Q1983" s="3"/>
      <c r="R1983" s="3"/>
      <c r="S1983" s="3"/>
      <c r="T1983" s="3"/>
      <c r="U1983" s="3"/>
      <c r="V1983" s="3"/>
      <c r="W1983" s="3"/>
      <c r="X1983" s="3"/>
      <c r="Y1983" s="3"/>
      <c r="Z1983" s="3"/>
      <c r="AA1983" s="3"/>
    </row>
    <row r="1984">
      <c r="A1984" s="4"/>
      <c r="B1984" s="3"/>
      <c r="C1984" s="3"/>
      <c r="D1984" s="3"/>
      <c r="E1984" s="3"/>
      <c r="F1984" s="3"/>
      <c r="G1984" s="3"/>
      <c r="H1984" s="3"/>
      <c r="I1984" s="3"/>
      <c r="J1984" s="3"/>
      <c r="K1984" s="3"/>
      <c r="L1984" s="3"/>
      <c r="M1984" s="3"/>
      <c r="N1984" s="3"/>
      <c r="O1984" s="3"/>
      <c r="P1984" s="3"/>
      <c r="Q1984" s="3"/>
      <c r="R1984" s="3"/>
      <c r="S1984" s="3"/>
      <c r="T1984" s="3"/>
      <c r="U1984" s="3"/>
      <c r="V1984" s="3"/>
      <c r="W1984" s="3"/>
      <c r="X1984" s="3"/>
      <c r="Y1984" s="3"/>
      <c r="Z1984" s="3"/>
      <c r="AA1984" s="3"/>
    </row>
    <row r="1985">
      <c r="A1985" s="4"/>
      <c r="B1985" s="3"/>
      <c r="C1985" s="3"/>
      <c r="D1985" s="3"/>
      <c r="E1985" s="3"/>
      <c r="F1985" s="3"/>
      <c r="G1985" s="3"/>
      <c r="H1985" s="3"/>
      <c r="I1985" s="3"/>
      <c r="J1985" s="3"/>
      <c r="K1985" s="3"/>
      <c r="L1985" s="3"/>
      <c r="M1985" s="3"/>
      <c r="N1985" s="3"/>
      <c r="O1985" s="3"/>
      <c r="P1985" s="3"/>
      <c r="Q1985" s="3"/>
      <c r="R1985" s="3"/>
      <c r="S1985" s="3"/>
      <c r="T1985" s="3"/>
      <c r="U1985" s="3"/>
      <c r="V1985" s="3"/>
      <c r="W1985" s="3"/>
      <c r="X1985" s="3"/>
      <c r="Y1985" s="3"/>
      <c r="Z1985" s="3"/>
      <c r="AA1985" s="3"/>
    </row>
    <row r="1986">
      <c r="A1986" s="4"/>
      <c r="B1986" s="3"/>
      <c r="C1986" s="3"/>
      <c r="D1986" s="3"/>
      <c r="E1986" s="3"/>
      <c r="F1986" s="3"/>
      <c r="G1986" s="3"/>
      <c r="H1986" s="3"/>
      <c r="I1986" s="3"/>
      <c r="J1986" s="3"/>
      <c r="K1986" s="3"/>
      <c r="L1986" s="3"/>
      <c r="M1986" s="3"/>
      <c r="N1986" s="3"/>
      <c r="O1986" s="3"/>
      <c r="P1986" s="3"/>
      <c r="Q1986" s="3"/>
      <c r="R1986" s="3"/>
      <c r="S1986" s="3"/>
      <c r="T1986" s="3"/>
      <c r="U1986" s="3"/>
      <c r="V1986" s="3"/>
      <c r="W1986" s="3"/>
      <c r="X1986" s="3"/>
      <c r="Y1986" s="3"/>
      <c r="Z1986" s="3"/>
      <c r="AA1986" s="3"/>
    </row>
    <row r="1987">
      <c r="A1987" s="4"/>
      <c r="B1987" s="3"/>
      <c r="C1987" s="3"/>
      <c r="D1987" s="3"/>
      <c r="E1987" s="3"/>
      <c r="F1987" s="3"/>
      <c r="G1987" s="3"/>
      <c r="H1987" s="3"/>
      <c r="I1987" s="3"/>
      <c r="J1987" s="3"/>
      <c r="K1987" s="3"/>
      <c r="L1987" s="3"/>
      <c r="M1987" s="3"/>
      <c r="N1987" s="3"/>
      <c r="O1987" s="3"/>
      <c r="P1987" s="3"/>
      <c r="Q1987" s="3"/>
      <c r="R1987" s="3"/>
      <c r="S1987" s="3"/>
      <c r="T1987" s="3"/>
      <c r="U1987" s="3"/>
      <c r="V1987" s="3"/>
      <c r="W1987" s="3"/>
      <c r="X1987" s="3"/>
      <c r="Y1987" s="3"/>
      <c r="Z1987" s="3"/>
      <c r="AA1987" s="3"/>
    </row>
    <row r="1988">
      <c r="A1988" s="4"/>
      <c r="B1988" s="3"/>
      <c r="C1988" s="3"/>
      <c r="D1988" s="3"/>
      <c r="E1988" s="3"/>
      <c r="F1988" s="3"/>
      <c r="G1988" s="3"/>
      <c r="H1988" s="3"/>
      <c r="I1988" s="3"/>
      <c r="J1988" s="3"/>
      <c r="K1988" s="3"/>
      <c r="L1988" s="3"/>
      <c r="M1988" s="3"/>
      <c r="N1988" s="3"/>
      <c r="O1988" s="3"/>
      <c r="P1988" s="3"/>
      <c r="Q1988" s="3"/>
      <c r="R1988" s="3"/>
      <c r="S1988" s="3"/>
      <c r="T1988" s="3"/>
      <c r="U1988" s="3"/>
      <c r="V1988" s="3"/>
      <c r="W1988" s="3"/>
      <c r="X1988" s="3"/>
      <c r="Y1988" s="3"/>
      <c r="Z1988" s="3"/>
      <c r="AA1988" s="3"/>
    </row>
    <row r="1989">
      <c r="A1989" s="4"/>
      <c r="B1989" s="3"/>
      <c r="C1989" s="3"/>
      <c r="D1989" s="3"/>
      <c r="E1989" s="3"/>
      <c r="F1989" s="3"/>
      <c r="G1989" s="3"/>
      <c r="H1989" s="3"/>
      <c r="I1989" s="3"/>
      <c r="J1989" s="3"/>
      <c r="K1989" s="3"/>
      <c r="L1989" s="3"/>
      <c r="M1989" s="3"/>
      <c r="N1989" s="3"/>
      <c r="O1989" s="3"/>
      <c r="P1989" s="3"/>
      <c r="Q1989" s="3"/>
      <c r="R1989" s="3"/>
      <c r="S1989" s="3"/>
      <c r="T1989" s="3"/>
      <c r="U1989" s="3"/>
      <c r="V1989" s="3"/>
      <c r="W1989" s="3"/>
      <c r="X1989" s="3"/>
      <c r="Y1989" s="3"/>
      <c r="Z1989" s="3"/>
      <c r="AA1989" s="3"/>
    </row>
    <row r="1990">
      <c r="A1990" s="4"/>
      <c r="B1990" s="3"/>
      <c r="C1990" s="3"/>
      <c r="D1990" s="3"/>
      <c r="E1990" s="3"/>
      <c r="F1990" s="3"/>
      <c r="G1990" s="3"/>
      <c r="H1990" s="3"/>
      <c r="I1990" s="3"/>
      <c r="J1990" s="3"/>
      <c r="K1990" s="3"/>
      <c r="L1990" s="3"/>
      <c r="M1990" s="3"/>
      <c r="N1990" s="3"/>
      <c r="O1990" s="3"/>
      <c r="P1990" s="3"/>
      <c r="Q1990" s="3"/>
      <c r="R1990" s="3"/>
      <c r="S1990" s="3"/>
      <c r="T1990" s="3"/>
      <c r="U1990" s="3"/>
      <c r="V1990" s="3"/>
      <c r="W1990" s="3"/>
      <c r="X1990" s="3"/>
      <c r="Y1990" s="3"/>
      <c r="Z1990" s="3"/>
      <c r="AA1990" s="3"/>
    </row>
    <row r="1991">
      <c r="A1991" s="4"/>
      <c r="B1991" s="3"/>
      <c r="C1991" s="3"/>
      <c r="D1991" s="3"/>
      <c r="E1991" s="3"/>
      <c r="F1991" s="3"/>
      <c r="G1991" s="3"/>
      <c r="H1991" s="3"/>
      <c r="I1991" s="3"/>
      <c r="J1991" s="3"/>
      <c r="K1991" s="3"/>
      <c r="L1991" s="3"/>
      <c r="M1991" s="3"/>
      <c r="N1991" s="3"/>
      <c r="O1991" s="3"/>
      <c r="P1991" s="3"/>
      <c r="Q1991" s="3"/>
      <c r="R1991" s="3"/>
      <c r="S1991" s="3"/>
      <c r="T1991" s="3"/>
      <c r="U1991" s="3"/>
      <c r="V1991" s="3"/>
      <c r="W1991" s="3"/>
      <c r="X1991" s="3"/>
      <c r="Y1991" s="3"/>
      <c r="Z1991" s="3"/>
      <c r="AA1991" s="3"/>
    </row>
    <row r="1992">
      <c r="A1992" s="4"/>
      <c r="B1992" s="3"/>
      <c r="C1992" s="3"/>
      <c r="D1992" s="3"/>
      <c r="E1992" s="3"/>
      <c r="F1992" s="3"/>
      <c r="G1992" s="3"/>
      <c r="H1992" s="3"/>
      <c r="I1992" s="3"/>
      <c r="J1992" s="3"/>
      <c r="K1992" s="3"/>
      <c r="L1992" s="3"/>
      <c r="M1992" s="3"/>
      <c r="N1992" s="3"/>
      <c r="O1992" s="3"/>
      <c r="P1992" s="3"/>
      <c r="Q1992" s="3"/>
      <c r="R1992" s="3"/>
      <c r="S1992" s="3"/>
      <c r="T1992" s="3"/>
      <c r="U1992" s="3"/>
      <c r="V1992" s="3"/>
      <c r="W1992" s="3"/>
      <c r="X1992" s="3"/>
      <c r="Y1992" s="3"/>
      <c r="Z1992" s="3"/>
      <c r="AA1992" s="3"/>
    </row>
    <row r="1993">
      <c r="A1993" s="4"/>
      <c r="B1993" s="3"/>
      <c r="C1993" s="3"/>
      <c r="D1993" s="3"/>
      <c r="E1993" s="3"/>
      <c r="F1993" s="3"/>
      <c r="G1993" s="3"/>
      <c r="H1993" s="3"/>
      <c r="I1993" s="3"/>
      <c r="J1993" s="3"/>
      <c r="K1993" s="3"/>
      <c r="L1993" s="3"/>
      <c r="M1993" s="3"/>
      <c r="N1993" s="3"/>
      <c r="O1993" s="3"/>
      <c r="P1993" s="3"/>
      <c r="Q1993" s="3"/>
      <c r="R1993" s="3"/>
      <c r="S1993" s="3"/>
      <c r="T1993" s="3"/>
      <c r="U1993" s="3"/>
      <c r="V1993" s="3"/>
      <c r="W1993" s="3"/>
      <c r="X1993" s="3"/>
      <c r="Y1993" s="3"/>
      <c r="Z1993" s="3"/>
      <c r="AA1993" s="3"/>
    </row>
    <row r="1994">
      <c r="A1994" s="4"/>
      <c r="B1994" s="3"/>
      <c r="C1994" s="3"/>
      <c r="D1994" s="3"/>
      <c r="E1994" s="3"/>
      <c r="F1994" s="3"/>
      <c r="G1994" s="3"/>
      <c r="H1994" s="3"/>
      <c r="I1994" s="3"/>
      <c r="J1994" s="3"/>
      <c r="K1994" s="3"/>
      <c r="L1994" s="3"/>
      <c r="M1994" s="3"/>
      <c r="N1994" s="3"/>
      <c r="O1994" s="3"/>
      <c r="P1994" s="3"/>
      <c r="Q1994" s="3"/>
      <c r="R1994" s="3"/>
      <c r="S1994" s="3"/>
      <c r="T1994" s="3"/>
      <c r="U1994" s="3"/>
      <c r="V1994" s="3"/>
      <c r="W1994" s="3"/>
      <c r="X1994" s="3"/>
      <c r="Y1994" s="3"/>
      <c r="Z1994" s="3"/>
      <c r="AA1994" s="3"/>
    </row>
    <row r="1995">
      <c r="A1995" s="4"/>
      <c r="B1995" s="3"/>
      <c r="C1995" s="3"/>
      <c r="D1995" s="3"/>
      <c r="E1995" s="3"/>
      <c r="F1995" s="3"/>
      <c r="G1995" s="3"/>
      <c r="H1995" s="3"/>
      <c r="I1995" s="3"/>
      <c r="J1995" s="3"/>
      <c r="K1995" s="3"/>
      <c r="L1995" s="3"/>
      <c r="M1995" s="3"/>
      <c r="N1995" s="3"/>
      <c r="O1995" s="3"/>
      <c r="P1995" s="3"/>
      <c r="Q1995" s="3"/>
      <c r="R1995" s="3"/>
      <c r="S1995" s="3"/>
      <c r="T1995" s="3"/>
      <c r="U1995" s="3"/>
      <c r="V1995" s="3"/>
      <c r="W1995" s="3"/>
      <c r="X1995" s="3"/>
      <c r="Y1995" s="3"/>
      <c r="Z1995" s="3"/>
      <c r="AA1995" s="3"/>
    </row>
    <row r="1996">
      <c r="A1996" s="4"/>
      <c r="B1996" s="3"/>
      <c r="C1996" s="3"/>
      <c r="D1996" s="3"/>
      <c r="E1996" s="3"/>
      <c r="F1996" s="3"/>
      <c r="G1996" s="3"/>
      <c r="H1996" s="3"/>
      <c r="I1996" s="3"/>
      <c r="J1996" s="3"/>
      <c r="K1996" s="3"/>
      <c r="L1996" s="3"/>
      <c r="M1996" s="3"/>
      <c r="N1996" s="3"/>
      <c r="O1996" s="3"/>
      <c r="P1996" s="3"/>
      <c r="Q1996" s="3"/>
      <c r="R1996" s="3"/>
      <c r="S1996" s="3"/>
      <c r="T1996" s="3"/>
      <c r="U1996" s="3"/>
      <c r="V1996" s="3"/>
      <c r="W1996" s="3"/>
      <c r="X1996" s="3"/>
      <c r="Y1996" s="3"/>
      <c r="Z1996" s="3"/>
      <c r="AA1996" s="3"/>
    </row>
    <row r="1997">
      <c r="A1997" s="4"/>
      <c r="B1997" s="3"/>
      <c r="C1997" s="3"/>
      <c r="D1997" s="3"/>
      <c r="E1997" s="3"/>
      <c r="F1997" s="3"/>
      <c r="G1997" s="3"/>
      <c r="H1997" s="3"/>
      <c r="I1997" s="3"/>
      <c r="J1997" s="3"/>
      <c r="K1997" s="3"/>
      <c r="L1997" s="3"/>
      <c r="M1997" s="3"/>
      <c r="N1997" s="3"/>
      <c r="O1997" s="3"/>
      <c r="P1997" s="3"/>
      <c r="Q1997" s="3"/>
      <c r="R1997" s="3"/>
      <c r="S1997" s="3"/>
      <c r="T1997" s="3"/>
      <c r="U1997" s="3"/>
      <c r="V1997" s="3"/>
      <c r="W1997" s="3"/>
      <c r="X1997" s="3"/>
      <c r="Y1997" s="3"/>
      <c r="Z1997" s="3"/>
      <c r="AA1997" s="3"/>
    </row>
    <row r="1998">
      <c r="A1998" s="4"/>
      <c r="B1998" s="3"/>
      <c r="C1998" s="3"/>
      <c r="D1998" s="3"/>
      <c r="E1998" s="3"/>
      <c r="F1998" s="3"/>
      <c r="G1998" s="3"/>
      <c r="H1998" s="3"/>
      <c r="I1998" s="3"/>
      <c r="J1998" s="3"/>
      <c r="K1998" s="3"/>
      <c r="L1998" s="3"/>
      <c r="M1998" s="3"/>
      <c r="N1998" s="3"/>
      <c r="O1998" s="3"/>
      <c r="P1998" s="3"/>
      <c r="Q1998" s="3"/>
      <c r="R1998" s="3"/>
      <c r="S1998" s="3"/>
      <c r="T1998" s="3"/>
      <c r="U1998" s="3"/>
      <c r="V1998" s="3"/>
      <c r="W1998" s="3"/>
      <c r="X1998" s="3"/>
      <c r="Y1998" s="3"/>
      <c r="Z1998" s="3"/>
      <c r="AA1998" s="3"/>
    </row>
    <row r="1999">
      <c r="A1999" s="4"/>
      <c r="B1999" s="3"/>
      <c r="C1999" s="3"/>
      <c r="D1999" s="3"/>
      <c r="E1999" s="3"/>
      <c r="F1999" s="3"/>
      <c r="G1999" s="3"/>
      <c r="H1999" s="3"/>
      <c r="I1999" s="3"/>
      <c r="J1999" s="3"/>
      <c r="K1999" s="3"/>
      <c r="L1999" s="3"/>
      <c r="M1999" s="3"/>
      <c r="N1999" s="3"/>
      <c r="O1999" s="3"/>
      <c r="P1999" s="3"/>
      <c r="Q1999" s="3"/>
      <c r="R1999" s="3"/>
      <c r="S1999" s="3"/>
      <c r="T1999" s="3"/>
      <c r="U1999" s="3"/>
      <c r="V1999" s="3"/>
      <c r="W1999" s="3"/>
      <c r="X1999" s="3"/>
      <c r="Y1999" s="3"/>
      <c r="Z1999" s="3"/>
      <c r="AA1999" s="3"/>
    </row>
    <row r="2000">
      <c r="A2000" s="4"/>
      <c r="B2000" s="3"/>
      <c r="C2000" s="3"/>
      <c r="D2000" s="3"/>
      <c r="E2000" s="3"/>
      <c r="F2000" s="3"/>
      <c r="G2000" s="3"/>
      <c r="H2000" s="3"/>
      <c r="I2000" s="3"/>
      <c r="J2000" s="3"/>
      <c r="K2000" s="3"/>
      <c r="L2000" s="3"/>
      <c r="M2000" s="3"/>
      <c r="N2000" s="3"/>
      <c r="O2000" s="3"/>
      <c r="P2000" s="3"/>
      <c r="Q2000" s="3"/>
      <c r="R2000" s="3"/>
      <c r="S2000" s="3"/>
      <c r="T2000" s="3"/>
      <c r="U2000" s="3"/>
      <c r="V2000" s="3"/>
      <c r="W2000" s="3"/>
      <c r="X2000" s="3"/>
      <c r="Y2000" s="3"/>
      <c r="Z2000" s="3"/>
      <c r="AA2000" s="3"/>
    </row>
    <row r="2001">
      <c r="A2001" s="4"/>
      <c r="B2001" s="3"/>
      <c r="C2001" s="3"/>
      <c r="D2001" s="3"/>
      <c r="E2001" s="3"/>
      <c r="F2001" s="3"/>
      <c r="G2001" s="3"/>
      <c r="H2001" s="3"/>
      <c r="I2001" s="3"/>
      <c r="J2001" s="3"/>
      <c r="K2001" s="3"/>
      <c r="L2001" s="3"/>
      <c r="M2001" s="3"/>
      <c r="N2001" s="3"/>
      <c r="O2001" s="3"/>
      <c r="P2001" s="3"/>
      <c r="Q2001" s="3"/>
      <c r="R2001" s="3"/>
      <c r="S2001" s="3"/>
      <c r="T2001" s="3"/>
      <c r="U2001" s="3"/>
      <c r="V2001" s="3"/>
      <c r="W2001" s="3"/>
      <c r="X2001" s="3"/>
      <c r="Y2001" s="3"/>
      <c r="Z2001" s="3"/>
      <c r="AA2001" s="3"/>
    </row>
    <row r="2002">
      <c r="A2002" s="4"/>
      <c r="B2002" s="3"/>
      <c r="C2002" s="3"/>
      <c r="D2002" s="3"/>
      <c r="E2002" s="3"/>
      <c r="F2002" s="3"/>
      <c r="G2002" s="3"/>
      <c r="H2002" s="3"/>
      <c r="I2002" s="3"/>
      <c r="J2002" s="3"/>
      <c r="K2002" s="3"/>
      <c r="L2002" s="3"/>
      <c r="M2002" s="3"/>
      <c r="N2002" s="3"/>
      <c r="O2002" s="3"/>
      <c r="P2002" s="3"/>
      <c r="Q2002" s="3"/>
      <c r="R2002" s="3"/>
      <c r="S2002" s="3"/>
      <c r="T2002" s="3"/>
      <c r="U2002" s="3"/>
      <c r="V2002" s="3"/>
      <c r="W2002" s="3"/>
      <c r="X2002" s="3"/>
      <c r="Y2002" s="3"/>
      <c r="Z2002" s="3"/>
      <c r="AA2002" s="3"/>
    </row>
    <row r="2003">
      <c r="A2003" s="4"/>
      <c r="B2003" s="3"/>
      <c r="C2003" s="3"/>
      <c r="D2003" s="3"/>
      <c r="E2003" s="3"/>
      <c r="F2003" s="3"/>
      <c r="G2003" s="3"/>
      <c r="H2003" s="3"/>
      <c r="I2003" s="3"/>
      <c r="J2003" s="3"/>
      <c r="K2003" s="3"/>
      <c r="L2003" s="3"/>
      <c r="M2003" s="3"/>
      <c r="N2003" s="3"/>
      <c r="O2003" s="3"/>
      <c r="P2003" s="3"/>
      <c r="Q2003" s="3"/>
      <c r="R2003" s="3"/>
      <c r="S2003" s="3"/>
      <c r="T2003" s="3"/>
      <c r="U2003" s="3"/>
      <c r="V2003" s="3"/>
      <c r="W2003" s="3"/>
      <c r="X2003" s="3"/>
      <c r="Y2003" s="3"/>
      <c r="Z2003" s="3"/>
      <c r="AA2003" s="3"/>
    </row>
    <row r="2004">
      <c r="A2004" s="4"/>
      <c r="B2004" s="3"/>
      <c r="C2004" s="3"/>
      <c r="D2004" s="3"/>
      <c r="E2004" s="3"/>
      <c r="F2004" s="3"/>
      <c r="G2004" s="3"/>
      <c r="H2004" s="3"/>
      <c r="I2004" s="3"/>
      <c r="J2004" s="3"/>
      <c r="K2004" s="3"/>
      <c r="L2004" s="3"/>
      <c r="M2004" s="3"/>
      <c r="N2004" s="3"/>
      <c r="O2004" s="3"/>
      <c r="P2004" s="3"/>
      <c r="Q2004" s="3"/>
      <c r="R2004" s="3"/>
      <c r="S2004" s="3"/>
      <c r="T2004" s="3"/>
      <c r="U2004" s="3"/>
      <c r="V2004" s="3"/>
      <c r="W2004" s="3"/>
      <c r="X2004" s="3"/>
      <c r="Y2004" s="3"/>
      <c r="Z2004" s="3"/>
      <c r="AA2004" s="3"/>
    </row>
    <row r="2005">
      <c r="A2005" s="4"/>
      <c r="B2005" s="3"/>
      <c r="C2005" s="3"/>
      <c r="D2005" s="3"/>
      <c r="E2005" s="3"/>
      <c r="F2005" s="3"/>
      <c r="G2005" s="3"/>
      <c r="H2005" s="3"/>
      <c r="I2005" s="3"/>
      <c r="J2005" s="3"/>
      <c r="K2005" s="3"/>
      <c r="L2005" s="3"/>
      <c r="M2005" s="3"/>
      <c r="N2005" s="3"/>
      <c r="O2005" s="3"/>
      <c r="P2005" s="3"/>
      <c r="Q2005" s="3"/>
      <c r="R2005" s="3"/>
      <c r="S2005" s="3"/>
      <c r="T2005" s="3"/>
      <c r="U2005" s="3"/>
      <c r="V2005" s="3"/>
      <c r="W2005" s="3"/>
      <c r="X2005" s="3"/>
      <c r="Y2005" s="3"/>
      <c r="Z2005" s="3"/>
      <c r="AA2005" s="3"/>
    </row>
    <row r="2006">
      <c r="A2006" s="4"/>
      <c r="B2006" s="3"/>
      <c r="C2006" s="3"/>
      <c r="D2006" s="3"/>
      <c r="E2006" s="3"/>
      <c r="F2006" s="3"/>
      <c r="G2006" s="3"/>
      <c r="H2006" s="3"/>
      <c r="I2006" s="3"/>
      <c r="J2006" s="3"/>
      <c r="K2006" s="3"/>
      <c r="L2006" s="3"/>
      <c r="M2006" s="3"/>
      <c r="N2006" s="3"/>
      <c r="O2006" s="3"/>
      <c r="P2006" s="3"/>
      <c r="Q2006" s="3"/>
      <c r="R2006" s="3"/>
      <c r="S2006" s="3"/>
      <c r="T2006" s="3"/>
      <c r="U2006" s="3"/>
      <c r="V2006" s="3"/>
      <c r="W2006" s="3"/>
      <c r="X2006" s="3"/>
      <c r="Y2006" s="3"/>
      <c r="Z2006" s="3"/>
      <c r="AA2006" s="3"/>
    </row>
    <row r="2007">
      <c r="A2007" s="4"/>
      <c r="B2007" s="3"/>
      <c r="C2007" s="3"/>
      <c r="D2007" s="3"/>
      <c r="E2007" s="3"/>
      <c r="F2007" s="3"/>
      <c r="G2007" s="3"/>
      <c r="H2007" s="3"/>
      <c r="I2007" s="3"/>
      <c r="J2007" s="3"/>
      <c r="K2007" s="3"/>
      <c r="L2007" s="3"/>
      <c r="M2007" s="3"/>
      <c r="N2007" s="3"/>
      <c r="O2007" s="3"/>
      <c r="P2007" s="3"/>
      <c r="Q2007" s="3"/>
      <c r="R2007" s="3"/>
      <c r="S2007" s="3"/>
      <c r="T2007" s="3"/>
      <c r="U2007" s="3"/>
      <c r="V2007" s="3"/>
      <c r="W2007" s="3"/>
      <c r="X2007" s="3"/>
      <c r="Y2007" s="3"/>
      <c r="Z2007" s="3"/>
      <c r="AA2007" s="3"/>
    </row>
    <row r="2008">
      <c r="A2008" s="4"/>
      <c r="B2008" s="3"/>
      <c r="C2008" s="3"/>
      <c r="D2008" s="3"/>
      <c r="E2008" s="3"/>
      <c r="F2008" s="3"/>
      <c r="G2008" s="3"/>
      <c r="H2008" s="3"/>
      <c r="I2008" s="3"/>
      <c r="J2008" s="3"/>
      <c r="K2008" s="3"/>
      <c r="L2008" s="3"/>
      <c r="M2008" s="3"/>
      <c r="N2008" s="3"/>
      <c r="O2008" s="3"/>
      <c r="P2008" s="3"/>
      <c r="Q2008" s="3"/>
      <c r="R2008" s="3"/>
      <c r="S2008" s="3"/>
      <c r="T2008" s="3"/>
      <c r="U2008" s="3"/>
      <c r="V2008" s="3"/>
      <c r="W2008" s="3"/>
      <c r="X2008" s="3"/>
      <c r="Y2008" s="3"/>
      <c r="Z2008" s="3"/>
      <c r="AA2008" s="3"/>
    </row>
    <row r="2009">
      <c r="A2009" s="4"/>
      <c r="B2009" s="3"/>
      <c r="C2009" s="3"/>
      <c r="D2009" s="3"/>
      <c r="E2009" s="3"/>
      <c r="F2009" s="3"/>
      <c r="G2009" s="3"/>
      <c r="H2009" s="3"/>
      <c r="I2009" s="3"/>
      <c r="J2009" s="3"/>
      <c r="K2009" s="3"/>
      <c r="L2009" s="3"/>
      <c r="M2009" s="3"/>
      <c r="N2009" s="3"/>
      <c r="O2009" s="3"/>
      <c r="P2009" s="3"/>
      <c r="Q2009" s="3"/>
      <c r="R2009" s="3"/>
      <c r="S2009" s="3"/>
      <c r="T2009" s="3"/>
      <c r="U2009" s="3"/>
      <c r="V2009" s="3"/>
      <c r="W2009" s="3"/>
      <c r="X2009" s="3"/>
      <c r="Y2009" s="3"/>
      <c r="Z2009" s="3"/>
      <c r="AA2009" s="3"/>
    </row>
    <row r="2010">
      <c r="A2010" s="4"/>
      <c r="B2010" s="3"/>
      <c r="C2010" s="3"/>
      <c r="D2010" s="3"/>
      <c r="E2010" s="3"/>
      <c r="F2010" s="3"/>
      <c r="G2010" s="3"/>
      <c r="H2010" s="3"/>
      <c r="I2010" s="3"/>
      <c r="J2010" s="3"/>
      <c r="K2010" s="3"/>
      <c r="L2010" s="3"/>
      <c r="M2010" s="3"/>
      <c r="N2010" s="3"/>
      <c r="O2010" s="3"/>
      <c r="P2010" s="3"/>
      <c r="Q2010" s="3"/>
      <c r="R2010" s="3"/>
      <c r="S2010" s="3"/>
      <c r="T2010" s="3"/>
      <c r="U2010" s="3"/>
      <c r="V2010" s="3"/>
      <c r="W2010" s="3"/>
      <c r="X2010" s="3"/>
      <c r="Y2010" s="3"/>
      <c r="Z2010" s="3"/>
      <c r="AA2010" s="3"/>
    </row>
    <row r="2011">
      <c r="A2011" s="4"/>
      <c r="B2011" s="3"/>
      <c r="C2011" s="3"/>
      <c r="D2011" s="3"/>
      <c r="E2011" s="3"/>
      <c r="F2011" s="3"/>
      <c r="G2011" s="3"/>
      <c r="H2011" s="3"/>
      <c r="I2011" s="3"/>
      <c r="J2011" s="3"/>
      <c r="K2011" s="3"/>
      <c r="L2011" s="3"/>
      <c r="M2011" s="3"/>
      <c r="N2011" s="3"/>
      <c r="O2011" s="3"/>
      <c r="P2011" s="3"/>
      <c r="Q2011" s="3"/>
      <c r="R2011" s="3"/>
      <c r="S2011" s="3"/>
      <c r="T2011" s="3"/>
      <c r="U2011" s="3"/>
      <c r="V2011" s="3"/>
      <c r="W2011" s="3"/>
      <c r="X2011" s="3"/>
      <c r="Y2011" s="3"/>
      <c r="Z2011" s="3"/>
      <c r="AA2011" s="3"/>
    </row>
    <row r="2012">
      <c r="A2012" s="4"/>
      <c r="B2012" s="3"/>
      <c r="C2012" s="3"/>
      <c r="D2012" s="3"/>
      <c r="E2012" s="3"/>
      <c r="F2012" s="3"/>
      <c r="G2012" s="3"/>
      <c r="H2012" s="3"/>
      <c r="I2012" s="3"/>
      <c r="J2012" s="3"/>
      <c r="K2012" s="3"/>
      <c r="L2012" s="3"/>
      <c r="M2012" s="3"/>
      <c r="N2012" s="3"/>
      <c r="O2012" s="3"/>
      <c r="P2012" s="3"/>
      <c r="Q2012" s="3"/>
      <c r="R2012" s="3"/>
      <c r="S2012" s="3"/>
      <c r="T2012" s="3"/>
      <c r="U2012" s="3"/>
      <c r="V2012" s="3"/>
      <c r="W2012" s="3"/>
      <c r="X2012" s="3"/>
      <c r="Y2012" s="3"/>
      <c r="Z2012" s="3"/>
      <c r="AA2012" s="3"/>
    </row>
    <row r="2013">
      <c r="A2013" s="4"/>
      <c r="B2013" s="3"/>
      <c r="C2013" s="3"/>
      <c r="D2013" s="3"/>
      <c r="E2013" s="3"/>
      <c r="F2013" s="3"/>
      <c r="G2013" s="3"/>
      <c r="H2013" s="3"/>
      <c r="I2013" s="3"/>
      <c r="J2013" s="3"/>
      <c r="K2013" s="3"/>
      <c r="L2013" s="3"/>
      <c r="M2013" s="3"/>
      <c r="N2013" s="3"/>
      <c r="O2013" s="3"/>
      <c r="P2013" s="3"/>
      <c r="Q2013" s="3"/>
      <c r="R2013" s="3"/>
      <c r="S2013" s="3"/>
      <c r="T2013" s="3"/>
      <c r="U2013" s="3"/>
      <c r="V2013" s="3"/>
      <c r="W2013" s="3"/>
      <c r="X2013" s="3"/>
      <c r="Y2013" s="3"/>
      <c r="Z2013" s="3"/>
      <c r="AA2013" s="3"/>
    </row>
    <row r="2014">
      <c r="A2014" s="4"/>
      <c r="B2014" s="3"/>
      <c r="C2014" s="3"/>
      <c r="D2014" s="3"/>
      <c r="E2014" s="3"/>
      <c r="F2014" s="3"/>
      <c r="G2014" s="3"/>
      <c r="H2014" s="3"/>
      <c r="I2014" s="3"/>
      <c r="J2014" s="3"/>
      <c r="K2014" s="3"/>
      <c r="L2014" s="3"/>
      <c r="M2014" s="3"/>
      <c r="N2014" s="3"/>
      <c r="O2014" s="3"/>
      <c r="P2014" s="3"/>
      <c r="Q2014" s="3"/>
      <c r="R2014" s="3"/>
      <c r="S2014" s="3"/>
      <c r="T2014" s="3"/>
      <c r="U2014" s="3"/>
      <c r="V2014" s="3"/>
      <c r="W2014" s="3"/>
      <c r="X2014" s="3"/>
      <c r="Y2014" s="3"/>
      <c r="Z2014" s="3"/>
      <c r="AA2014" s="3"/>
    </row>
    <row r="2015">
      <c r="A2015" s="4"/>
      <c r="B2015" s="3"/>
      <c r="C2015" s="3"/>
      <c r="D2015" s="3"/>
      <c r="E2015" s="3"/>
      <c r="F2015" s="3"/>
      <c r="G2015" s="3"/>
      <c r="H2015" s="3"/>
      <c r="I2015" s="3"/>
      <c r="J2015" s="3"/>
      <c r="K2015" s="3"/>
      <c r="L2015" s="3"/>
      <c r="M2015" s="3"/>
      <c r="N2015" s="3"/>
      <c r="O2015" s="3"/>
      <c r="P2015" s="3"/>
      <c r="Q2015" s="3"/>
      <c r="R2015" s="3"/>
      <c r="S2015" s="3"/>
      <c r="T2015" s="3"/>
      <c r="U2015" s="3"/>
      <c r="V2015" s="3"/>
      <c r="W2015" s="3"/>
      <c r="X2015" s="3"/>
      <c r="Y2015" s="3"/>
      <c r="Z2015" s="3"/>
      <c r="AA2015" s="3"/>
    </row>
    <row r="2016">
      <c r="A2016" s="4"/>
      <c r="B2016" s="3"/>
      <c r="C2016" s="3"/>
      <c r="D2016" s="3"/>
      <c r="E2016" s="3"/>
      <c r="F2016" s="3"/>
      <c r="G2016" s="3"/>
      <c r="H2016" s="3"/>
      <c r="I2016" s="3"/>
      <c r="J2016" s="3"/>
      <c r="K2016" s="3"/>
      <c r="L2016" s="3"/>
      <c r="M2016" s="3"/>
      <c r="N2016" s="3"/>
      <c r="O2016" s="3"/>
      <c r="P2016" s="3"/>
      <c r="Q2016" s="3"/>
      <c r="R2016" s="3"/>
      <c r="S2016" s="3"/>
      <c r="T2016" s="3"/>
      <c r="U2016" s="3"/>
      <c r="V2016" s="3"/>
      <c r="W2016" s="3"/>
      <c r="X2016" s="3"/>
      <c r="Y2016" s="3"/>
      <c r="Z2016" s="3"/>
      <c r="AA2016" s="3"/>
    </row>
    <row r="2017">
      <c r="A2017" s="4"/>
      <c r="B2017" s="3"/>
      <c r="C2017" s="3"/>
      <c r="D2017" s="3"/>
      <c r="E2017" s="3"/>
      <c r="F2017" s="3"/>
      <c r="G2017" s="3"/>
      <c r="H2017" s="3"/>
      <c r="I2017" s="3"/>
      <c r="J2017" s="3"/>
      <c r="K2017" s="3"/>
      <c r="L2017" s="3"/>
      <c r="M2017" s="3"/>
      <c r="N2017" s="3"/>
      <c r="O2017" s="3"/>
      <c r="P2017" s="3"/>
      <c r="Q2017" s="3"/>
      <c r="R2017" s="3"/>
      <c r="S2017" s="3"/>
      <c r="T2017" s="3"/>
      <c r="U2017" s="3"/>
      <c r="V2017" s="3"/>
      <c r="W2017" s="3"/>
      <c r="X2017" s="3"/>
      <c r="Y2017" s="3"/>
      <c r="Z2017" s="3"/>
      <c r="AA2017" s="3"/>
    </row>
    <row r="2018">
      <c r="A2018" s="4"/>
      <c r="B2018" s="3"/>
      <c r="C2018" s="3"/>
      <c r="D2018" s="3"/>
      <c r="E2018" s="3"/>
      <c r="F2018" s="3"/>
      <c r="G2018" s="3"/>
      <c r="H2018" s="3"/>
      <c r="I2018" s="3"/>
      <c r="J2018" s="3"/>
      <c r="K2018" s="3"/>
      <c r="L2018" s="3"/>
      <c r="M2018" s="3"/>
      <c r="N2018" s="3"/>
      <c r="O2018" s="3"/>
      <c r="P2018" s="3"/>
      <c r="Q2018" s="3"/>
      <c r="R2018" s="3"/>
      <c r="S2018" s="3"/>
      <c r="T2018" s="3"/>
      <c r="U2018" s="3"/>
      <c r="V2018" s="3"/>
      <c r="W2018" s="3"/>
      <c r="X2018" s="3"/>
      <c r="Y2018" s="3"/>
      <c r="Z2018" s="3"/>
      <c r="AA2018" s="3"/>
    </row>
    <row r="2019">
      <c r="A2019" s="4"/>
      <c r="B2019" s="3"/>
      <c r="C2019" s="3"/>
      <c r="D2019" s="3"/>
      <c r="E2019" s="3"/>
      <c r="F2019" s="3"/>
      <c r="G2019" s="3"/>
      <c r="H2019" s="3"/>
      <c r="I2019" s="3"/>
      <c r="J2019" s="3"/>
      <c r="K2019" s="3"/>
      <c r="L2019" s="3"/>
      <c r="M2019" s="3"/>
      <c r="N2019" s="3"/>
      <c r="O2019" s="3"/>
      <c r="P2019" s="3"/>
      <c r="Q2019" s="3"/>
      <c r="R2019" s="3"/>
      <c r="S2019" s="3"/>
      <c r="T2019" s="3"/>
      <c r="U2019" s="3"/>
      <c r="V2019" s="3"/>
      <c r="W2019" s="3"/>
      <c r="X2019" s="3"/>
      <c r="Y2019" s="3"/>
      <c r="Z2019" s="3"/>
      <c r="AA2019" s="3"/>
    </row>
    <row r="2020">
      <c r="A2020" s="4"/>
      <c r="B2020" s="3"/>
      <c r="C2020" s="3"/>
      <c r="D2020" s="3"/>
      <c r="E2020" s="3"/>
      <c r="F2020" s="3"/>
      <c r="G2020" s="3"/>
      <c r="H2020" s="3"/>
      <c r="I2020" s="3"/>
      <c r="J2020" s="3"/>
      <c r="K2020" s="3"/>
      <c r="L2020" s="3"/>
      <c r="M2020" s="3"/>
      <c r="N2020" s="3"/>
      <c r="O2020" s="3"/>
      <c r="P2020" s="3"/>
      <c r="Q2020" s="3"/>
      <c r="R2020" s="3"/>
      <c r="S2020" s="3"/>
      <c r="T2020" s="3"/>
      <c r="U2020" s="3"/>
      <c r="V2020" s="3"/>
      <c r="W2020" s="3"/>
      <c r="X2020" s="3"/>
      <c r="Y2020" s="3"/>
      <c r="Z2020" s="3"/>
      <c r="AA2020" s="3"/>
    </row>
    <row r="2021">
      <c r="A2021" s="4"/>
      <c r="B2021" s="3"/>
      <c r="C2021" s="3"/>
      <c r="D2021" s="3"/>
      <c r="E2021" s="3"/>
      <c r="F2021" s="3"/>
      <c r="G2021" s="3"/>
      <c r="H2021" s="3"/>
      <c r="I2021" s="3"/>
      <c r="J2021" s="3"/>
      <c r="K2021" s="3"/>
      <c r="L2021" s="3"/>
      <c r="M2021" s="3"/>
      <c r="N2021" s="3"/>
      <c r="O2021" s="3"/>
      <c r="P2021" s="3"/>
      <c r="Q2021" s="3"/>
      <c r="R2021" s="3"/>
      <c r="S2021" s="3"/>
      <c r="T2021" s="3"/>
      <c r="U2021" s="3"/>
      <c r="V2021" s="3"/>
      <c r="W2021" s="3"/>
      <c r="X2021" s="3"/>
      <c r="Y2021" s="3"/>
      <c r="Z2021" s="3"/>
      <c r="AA2021" s="3"/>
    </row>
    <row r="2022">
      <c r="A2022" s="4"/>
      <c r="B2022" s="3"/>
      <c r="C2022" s="3"/>
      <c r="D2022" s="3"/>
      <c r="E2022" s="3"/>
      <c r="F2022" s="3"/>
      <c r="G2022" s="3"/>
      <c r="H2022" s="3"/>
      <c r="I2022" s="3"/>
      <c r="J2022" s="3"/>
      <c r="K2022" s="3"/>
      <c r="L2022" s="3"/>
      <c r="M2022" s="3"/>
      <c r="N2022" s="3"/>
      <c r="O2022" s="3"/>
      <c r="P2022" s="3"/>
      <c r="Q2022" s="3"/>
      <c r="R2022" s="3"/>
      <c r="S2022" s="3"/>
      <c r="T2022" s="3"/>
      <c r="U2022" s="3"/>
      <c r="V2022" s="3"/>
      <c r="W2022" s="3"/>
      <c r="X2022" s="3"/>
      <c r="Y2022" s="3"/>
      <c r="Z2022" s="3"/>
      <c r="AA2022" s="3"/>
    </row>
    <row r="2023">
      <c r="A2023" s="4"/>
      <c r="B2023" s="3"/>
      <c r="C2023" s="3"/>
      <c r="D2023" s="3"/>
      <c r="E2023" s="3"/>
      <c r="F2023" s="3"/>
      <c r="G2023" s="3"/>
      <c r="H2023" s="3"/>
      <c r="I2023" s="3"/>
      <c r="J2023" s="3"/>
      <c r="K2023" s="3"/>
      <c r="L2023" s="3"/>
      <c r="M2023" s="3"/>
      <c r="N2023" s="3"/>
      <c r="O2023" s="3"/>
      <c r="P2023" s="3"/>
      <c r="Q2023" s="3"/>
      <c r="R2023" s="3"/>
      <c r="S2023" s="3"/>
      <c r="T2023" s="3"/>
      <c r="U2023" s="3"/>
      <c r="V2023" s="3"/>
      <c r="W2023" s="3"/>
      <c r="X2023" s="3"/>
      <c r="Y2023" s="3"/>
      <c r="Z2023" s="3"/>
      <c r="AA2023" s="3"/>
    </row>
    <row r="2024">
      <c r="A2024" s="4"/>
      <c r="B2024" s="3"/>
      <c r="C2024" s="3"/>
      <c r="D2024" s="3"/>
      <c r="E2024" s="3"/>
      <c r="F2024" s="3"/>
      <c r="G2024" s="3"/>
      <c r="H2024" s="3"/>
      <c r="I2024" s="3"/>
      <c r="J2024" s="3"/>
      <c r="K2024" s="3"/>
      <c r="L2024" s="3"/>
      <c r="M2024" s="3"/>
      <c r="N2024" s="3"/>
      <c r="O2024" s="3"/>
      <c r="P2024" s="3"/>
      <c r="Q2024" s="3"/>
      <c r="R2024" s="3"/>
      <c r="S2024" s="3"/>
      <c r="T2024" s="3"/>
      <c r="U2024" s="3"/>
      <c r="V2024" s="3"/>
      <c r="W2024" s="3"/>
      <c r="X2024" s="3"/>
      <c r="Y2024" s="3"/>
      <c r="Z2024" s="3"/>
      <c r="AA2024" s="3"/>
    </row>
    <row r="2025">
      <c r="A2025" s="4"/>
      <c r="B2025" s="3"/>
      <c r="C2025" s="3"/>
      <c r="D2025" s="3"/>
      <c r="E2025" s="3"/>
      <c r="F2025" s="3"/>
      <c r="G2025" s="3"/>
      <c r="H2025" s="3"/>
      <c r="I2025" s="3"/>
      <c r="J2025" s="3"/>
      <c r="K2025" s="3"/>
      <c r="L2025" s="3"/>
      <c r="M2025" s="3"/>
      <c r="N2025" s="3"/>
      <c r="O2025" s="3"/>
      <c r="P2025" s="3"/>
      <c r="Q2025" s="3"/>
      <c r="R2025" s="3"/>
      <c r="S2025" s="3"/>
      <c r="T2025" s="3"/>
      <c r="U2025" s="3"/>
      <c r="V2025" s="3"/>
      <c r="W2025" s="3"/>
      <c r="X2025" s="3"/>
      <c r="Y2025" s="3"/>
      <c r="Z2025" s="3"/>
      <c r="AA2025" s="3"/>
    </row>
    <row r="2026">
      <c r="A2026" s="4"/>
      <c r="B2026" s="3"/>
      <c r="C2026" s="3"/>
      <c r="D2026" s="3"/>
      <c r="E2026" s="3"/>
      <c r="F2026" s="3"/>
      <c r="G2026" s="3"/>
      <c r="H2026" s="3"/>
      <c r="I2026" s="3"/>
      <c r="J2026" s="3"/>
      <c r="K2026" s="3"/>
      <c r="L2026" s="3"/>
      <c r="M2026" s="3"/>
      <c r="N2026" s="3"/>
      <c r="O2026" s="3"/>
      <c r="P2026" s="3"/>
      <c r="Q2026" s="3"/>
      <c r="R2026" s="3"/>
      <c r="S2026" s="3"/>
      <c r="T2026" s="3"/>
      <c r="U2026" s="3"/>
      <c r="V2026" s="3"/>
      <c r="W2026" s="3"/>
      <c r="X2026" s="3"/>
      <c r="Y2026" s="3"/>
      <c r="Z2026" s="3"/>
      <c r="AA2026" s="3"/>
    </row>
    <row r="2027">
      <c r="A2027" s="4"/>
      <c r="B2027" s="3"/>
      <c r="C2027" s="3"/>
      <c r="D2027" s="3"/>
      <c r="E2027" s="3"/>
      <c r="F2027" s="3"/>
      <c r="G2027" s="3"/>
      <c r="H2027" s="3"/>
      <c r="I2027" s="3"/>
      <c r="J2027" s="3"/>
      <c r="K2027" s="3"/>
      <c r="L2027" s="3"/>
      <c r="M2027" s="3"/>
      <c r="N2027" s="3"/>
      <c r="O2027" s="3"/>
      <c r="P2027" s="3"/>
      <c r="Q2027" s="3"/>
      <c r="R2027" s="3"/>
      <c r="S2027" s="3"/>
      <c r="T2027" s="3"/>
      <c r="U2027" s="3"/>
      <c r="V2027" s="3"/>
      <c r="W2027" s="3"/>
      <c r="X2027" s="3"/>
      <c r="Y2027" s="3"/>
      <c r="Z2027" s="3"/>
      <c r="AA2027" s="3"/>
    </row>
    <row r="2028">
      <c r="A2028" s="4"/>
      <c r="B2028" s="3"/>
      <c r="C2028" s="3"/>
      <c r="D2028" s="3"/>
      <c r="E2028" s="3"/>
      <c r="F2028" s="3"/>
      <c r="G2028" s="3"/>
      <c r="H2028" s="3"/>
      <c r="I2028" s="3"/>
      <c r="J2028" s="3"/>
      <c r="K2028" s="3"/>
      <c r="L2028" s="3"/>
      <c r="M2028" s="3"/>
      <c r="N2028" s="3"/>
      <c r="O2028" s="3"/>
      <c r="P2028" s="3"/>
      <c r="Q2028" s="3"/>
      <c r="R2028" s="3"/>
      <c r="S2028" s="3"/>
      <c r="T2028" s="3"/>
      <c r="U2028" s="3"/>
      <c r="V2028" s="3"/>
      <c r="W2028" s="3"/>
      <c r="X2028" s="3"/>
      <c r="Y2028" s="3"/>
      <c r="Z2028" s="3"/>
      <c r="AA2028" s="3"/>
    </row>
    <row r="2029">
      <c r="A2029" s="4"/>
      <c r="B2029" s="3"/>
      <c r="C2029" s="3"/>
      <c r="D2029" s="3"/>
      <c r="E2029" s="3"/>
      <c r="F2029" s="3"/>
      <c r="G2029" s="3"/>
      <c r="H2029" s="3"/>
      <c r="I2029" s="3"/>
      <c r="J2029" s="3"/>
      <c r="K2029" s="3"/>
      <c r="L2029" s="3"/>
      <c r="M2029" s="3"/>
      <c r="N2029" s="3"/>
      <c r="O2029" s="3"/>
      <c r="P2029" s="3"/>
      <c r="Q2029" s="3"/>
      <c r="R2029" s="3"/>
      <c r="S2029" s="3"/>
      <c r="T2029" s="3"/>
      <c r="U2029" s="3"/>
      <c r="V2029" s="3"/>
      <c r="W2029" s="3"/>
      <c r="X2029" s="3"/>
      <c r="Y2029" s="3"/>
      <c r="Z2029" s="3"/>
      <c r="AA2029" s="3"/>
    </row>
    <row r="2030">
      <c r="A2030" s="4"/>
      <c r="B2030" s="3"/>
      <c r="C2030" s="3"/>
      <c r="D2030" s="3"/>
      <c r="E2030" s="3"/>
      <c r="F2030" s="3"/>
      <c r="G2030" s="3"/>
      <c r="H2030" s="3"/>
      <c r="I2030" s="3"/>
      <c r="J2030" s="3"/>
      <c r="K2030" s="3"/>
      <c r="L2030" s="3"/>
      <c r="M2030" s="3"/>
      <c r="N2030" s="3"/>
      <c r="O2030" s="3"/>
      <c r="P2030" s="3"/>
      <c r="Q2030" s="3"/>
      <c r="R2030" s="3"/>
      <c r="S2030" s="3"/>
      <c r="T2030" s="3"/>
      <c r="U2030" s="3"/>
      <c r="V2030" s="3"/>
      <c r="W2030" s="3"/>
      <c r="X2030" s="3"/>
      <c r="Y2030" s="3"/>
      <c r="Z2030" s="3"/>
      <c r="AA2030" s="3"/>
    </row>
    <row r="2031">
      <c r="A2031" s="4"/>
      <c r="B2031" s="3"/>
      <c r="C2031" s="3"/>
      <c r="D2031" s="3"/>
      <c r="E2031" s="3"/>
      <c r="F2031" s="3"/>
      <c r="G2031" s="3"/>
      <c r="H2031" s="3"/>
      <c r="I2031" s="3"/>
      <c r="J2031" s="3"/>
      <c r="K2031" s="3"/>
      <c r="L2031" s="3"/>
      <c r="M2031" s="3"/>
      <c r="N2031" s="3"/>
      <c r="O2031" s="3"/>
      <c r="P2031" s="3"/>
      <c r="Q2031" s="3"/>
      <c r="R2031" s="3"/>
      <c r="S2031" s="3"/>
      <c r="T2031" s="3"/>
      <c r="U2031" s="3"/>
      <c r="V2031" s="3"/>
      <c r="W2031" s="3"/>
      <c r="X2031" s="3"/>
      <c r="Y2031" s="3"/>
      <c r="Z2031" s="3"/>
      <c r="AA2031" s="3"/>
    </row>
    <row r="2032">
      <c r="A2032" s="4"/>
      <c r="B2032" s="3"/>
      <c r="C2032" s="3"/>
      <c r="D2032" s="3"/>
      <c r="E2032" s="3"/>
      <c r="F2032" s="3"/>
      <c r="G2032" s="3"/>
      <c r="H2032" s="3"/>
      <c r="I2032" s="3"/>
      <c r="J2032" s="3"/>
      <c r="K2032" s="3"/>
      <c r="L2032" s="3"/>
      <c r="M2032" s="3"/>
      <c r="N2032" s="3"/>
      <c r="O2032" s="3"/>
      <c r="P2032" s="3"/>
      <c r="Q2032" s="3"/>
      <c r="R2032" s="3"/>
      <c r="S2032" s="3"/>
      <c r="T2032" s="3"/>
      <c r="U2032" s="3"/>
      <c r="V2032" s="3"/>
      <c r="W2032" s="3"/>
      <c r="X2032" s="3"/>
      <c r="Y2032" s="3"/>
      <c r="Z2032" s="3"/>
      <c r="AA2032" s="3"/>
    </row>
    <row r="2033">
      <c r="A2033" s="4"/>
      <c r="B2033" s="3"/>
      <c r="C2033" s="3"/>
      <c r="D2033" s="3"/>
      <c r="E2033" s="3"/>
      <c r="F2033" s="3"/>
      <c r="G2033" s="3"/>
      <c r="H2033" s="3"/>
      <c r="I2033" s="3"/>
      <c r="J2033" s="3"/>
      <c r="K2033" s="3"/>
      <c r="L2033" s="3"/>
      <c r="M2033" s="3"/>
      <c r="N2033" s="3"/>
      <c r="O2033" s="3"/>
      <c r="P2033" s="3"/>
      <c r="Q2033" s="3"/>
      <c r="R2033" s="3"/>
      <c r="S2033" s="3"/>
      <c r="T2033" s="3"/>
      <c r="U2033" s="3"/>
      <c r="V2033" s="3"/>
      <c r="W2033" s="3"/>
      <c r="X2033" s="3"/>
      <c r="Y2033" s="3"/>
      <c r="Z2033" s="3"/>
      <c r="AA2033" s="3"/>
    </row>
    <row r="2034">
      <c r="A2034" s="4"/>
      <c r="B2034" s="3"/>
      <c r="C2034" s="3"/>
      <c r="D2034" s="3"/>
      <c r="E2034" s="3"/>
      <c r="F2034" s="3"/>
      <c r="G2034" s="3"/>
      <c r="H2034" s="3"/>
      <c r="I2034" s="3"/>
      <c r="J2034" s="3"/>
      <c r="K2034" s="3"/>
      <c r="L2034" s="3"/>
      <c r="M2034" s="3"/>
      <c r="N2034" s="3"/>
      <c r="O2034" s="3"/>
      <c r="P2034" s="3"/>
      <c r="Q2034" s="3"/>
      <c r="R2034" s="3"/>
      <c r="S2034" s="3"/>
      <c r="T2034" s="3"/>
      <c r="U2034" s="3"/>
      <c r="V2034" s="3"/>
      <c r="W2034" s="3"/>
      <c r="X2034" s="3"/>
      <c r="Y2034" s="3"/>
      <c r="Z2034" s="3"/>
      <c r="AA2034" s="3"/>
    </row>
    <row r="2035">
      <c r="A2035" s="4"/>
      <c r="B2035" s="3"/>
      <c r="C2035" s="3"/>
      <c r="D2035" s="3"/>
      <c r="E2035" s="3"/>
      <c r="F2035" s="3"/>
      <c r="G2035" s="3"/>
      <c r="H2035" s="3"/>
      <c r="I2035" s="3"/>
      <c r="J2035" s="3"/>
      <c r="K2035" s="3"/>
      <c r="L2035" s="3"/>
      <c r="M2035" s="3"/>
      <c r="N2035" s="3"/>
      <c r="O2035" s="3"/>
      <c r="P2035" s="3"/>
      <c r="Q2035" s="3"/>
      <c r="R2035" s="3"/>
      <c r="S2035" s="3"/>
      <c r="T2035" s="3"/>
      <c r="U2035" s="3"/>
      <c r="V2035" s="3"/>
      <c r="W2035" s="3"/>
      <c r="X2035" s="3"/>
      <c r="Y2035" s="3"/>
      <c r="Z2035" s="3"/>
      <c r="AA2035" s="3"/>
    </row>
    <row r="2036">
      <c r="A2036" s="4"/>
      <c r="B2036" s="3"/>
      <c r="C2036" s="3"/>
      <c r="D2036" s="3"/>
      <c r="E2036" s="3"/>
      <c r="F2036" s="3"/>
      <c r="G2036" s="3"/>
      <c r="H2036" s="3"/>
      <c r="I2036" s="3"/>
      <c r="J2036" s="3"/>
      <c r="K2036" s="3"/>
      <c r="L2036" s="3"/>
      <c r="M2036" s="3"/>
      <c r="N2036" s="3"/>
      <c r="O2036" s="3"/>
      <c r="P2036" s="3"/>
      <c r="Q2036" s="3"/>
      <c r="R2036" s="3"/>
      <c r="S2036" s="3"/>
      <c r="T2036" s="3"/>
      <c r="U2036" s="3"/>
      <c r="V2036" s="3"/>
      <c r="W2036" s="3"/>
      <c r="X2036" s="3"/>
      <c r="Y2036" s="3"/>
      <c r="Z2036" s="3"/>
      <c r="AA2036" s="3"/>
    </row>
    <row r="2037">
      <c r="A2037" s="4"/>
      <c r="B2037" s="3"/>
      <c r="C2037" s="3"/>
      <c r="D2037" s="3"/>
      <c r="E2037" s="3"/>
      <c r="F2037" s="3"/>
      <c r="G2037" s="3"/>
      <c r="H2037" s="3"/>
      <c r="I2037" s="3"/>
      <c r="J2037" s="3"/>
      <c r="K2037" s="3"/>
      <c r="L2037" s="3"/>
      <c r="M2037" s="3"/>
      <c r="N2037" s="3"/>
      <c r="O2037" s="3"/>
      <c r="P2037" s="3"/>
      <c r="Q2037" s="3"/>
      <c r="R2037" s="3"/>
      <c r="S2037" s="3"/>
      <c r="T2037" s="3"/>
      <c r="U2037" s="3"/>
      <c r="V2037" s="3"/>
      <c r="W2037" s="3"/>
      <c r="X2037" s="3"/>
      <c r="Y2037" s="3"/>
      <c r="Z2037" s="3"/>
      <c r="AA2037" s="3"/>
    </row>
    <row r="2038">
      <c r="A2038" s="4"/>
      <c r="B2038" s="3"/>
      <c r="C2038" s="3"/>
      <c r="D2038" s="3"/>
      <c r="E2038" s="3"/>
      <c r="F2038" s="3"/>
      <c r="G2038" s="3"/>
      <c r="H2038" s="3"/>
      <c r="I2038" s="3"/>
      <c r="J2038" s="3"/>
      <c r="K2038" s="3"/>
      <c r="L2038" s="3"/>
      <c r="M2038" s="3"/>
      <c r="N2038" s="3"/>
      <c r="O2038" s="3"/>
      <c r="P2038" s="3"/>
      <c r="Q2038" s="3"/>
      <c r="R2038" s="3"/>
      <c r="S2038" s="3"/>
      <c r="T2038" s="3"/>
      <c r="U2038" s="3"/>
      <c r="V2038" s="3"/>
      <c r="W2038" s="3"/>
      <c r="X2038" s="3"/>
      <c r="Y2038" s="3"/>
      <c r="Z2038" s="3"/>
      <c r="AA2038" s="3"/>
    </row>
    <row r="2039">
      <c r="A2039" s="4"/>
      <c r="B2039" s="3"/>
      <c r="C2039" s="3"/>
      <c r="D2039" s="3"/>
      <c r="E2039" s="3"/>
      <c r="F2039" s="3"/>
      <c r="G2039" s="3"/>
      <c r="H2039" s="3"/>
      <c r="I2039" s="3"/>
      <c r="J2039" s="3"/>
      <c r="K2039" s="3"/>
      <c r="L2039" s="3"/>
      <c r="M2039" s="3"/>
      <c r="N2039" s="3"/>
      <c r="O2039" s="3"/>
      <c r="P2039" s="3"/>
      <c r="Q2039" s="3"/>
      <c r="R2039" s="3"/>
      <c r="S2039" s="3"/>
      <c r="T2039" s="3"/>
      <c r="U2039" s="3"/>
      <c r="V2039" s="3"/>
      <c r="W2039" s="3"/>
      <c r="X2039" s="3"/>
      <c r="Y2039" s="3"/>
      <c r="Z2039" s="3"/>
      <c r="AA2039" s="3"/>
    </row>
    <row r="2040">
      <c r="A2040" s="4"/>
      <c r="B2040" s="3"/>
      <c r="C2040" s="3"/>
      <c r="D2040" s="3"/>
      <c r="E2040" s="3"/>
      <c r="F2040" s="3"/>
      <c r="G2040" s="3"/>
      <c r="H2040" s="3"/>
      <c r="I2040" s="3"/>
      <c r="J2040" s="3"/>
      <c r="K2040" s="3"/>
      <c r="L2040" s="3"/>
      <c r="M2040" s="3"/>
      <c r="N2040" s="3"/>
      <c r="O2040" s="3"/>
      <c r="P2040" s="3"/>
      <c r="Q2040" s="3"/>
      <c r="R2040" s="3"/>
      <c r="S2040" s="3"/>
      <c r="T2040" s="3"/>
      <c r="U2040" s="3"/>
      <c r="V2040" s="3"/>
      <c r="W2040" s="3"/>
      <c r="X2040" s="3"/>
      <c r="Y2040" s="3"/>
      <c r="Z2040" s="3"/>
      <c r="AA2040" s="3"/>
    </row>
    <row r="2041">
      <c r="A2041" s="4"/>
      <c r="B2041" s="3"/>
      <c r="C2041" s="3"/>
      <c r="D2041" s="3"/>
      <c r="E2041" s="3"/>
      <c r="F2041" s="3"/>
      <c r="G2041" s="3"/>
      <c r="H2041" s="3"/>
      <c r="I2041" s="3"/>
      <c r="J2041" s="3"/>
      <c r="K2041" s="3"/>
      <c r="L2041" s="3"/>
      <c r="M2041" s="3"/>
      <c r="N2041" s="3"/>
      <c r="O2041" s="3"/>
      <c r="P2041" s="3"/>
      <c r="Q2041" s="3"/>
      <c r="R2041" s="3"/>
      <c r="S2041" s="3"/>
      <c r="T2041" s="3"/>
      <c r="U2041" s="3"/>
      <c r="V2041" s="3"/>
      <c r="W2041" s="3"/>
      <c r="X2041" s="3"/>
      <c r="Y2041" s="3"/>
      <c r="Z2041" s="3"/>
      <c r="AA2041" s="3"/>
    </row>
    <row r="2042">
      <c r="A2042" s="4"/>
      <c r="B2042" s="3"/>
      <c r="C2042" s="3"/>
      <c r="D2042" s="3"/>
      <c r="E2042" s="3"/>
      <c r="F2042" s="3"/>
      <c r="G2042" s="3"/>
      <c r="H2042" s="3"/>
      <c r="I2042" s="3"/>
      <c r="J2042" s="3"/>
      <c r="K2042" s="3"/>
      <c r="L2042" s="3"/>
      <c r="M2042" s="3"/>
      <c r="N2042" s="3"/>
      <c r="O2042" s="3"/>
      <c r="P2042" s="3"/>
      <c r="Q2042" s="3"/>
      <c r="R2042" s="3"/>
      <c r="S2042" s="3"/>
      <c r="T2042" s="3"/>
      <c r="U2042" s="3"/>
      <c r="V2042" s="3"/>
      <c r="W2042" s="3"/>
      <c r="X2042" s="3"/>
      <c r="Y2042" s="3"/>
      <c r="Z2042" s="3"/>
      <c r="AA2042" s="3"/>
    </row>
    <row r="2043">
      <c r="A2043" s="4"/>
      <c r="B2043" s="3"/>
      <c r="C2043" s="3"/>
      <c r="D2043" s="3"/>
      <c r="E2043" s="3"/>
      <c r="F2043" s="3"/>
      <c r="G2043" s="3"/>
      <c r="H2043" s="3"/>
      <c r="I2043" s="3"/>
      <c r="J2043" s="3"/>
      <c r="K2043" s="3"/>
      <c r="L2043" s="3"/>
      <c r="M2043" s="3"/>
      <c r="N2043" s="3"/>
      <c r="O2043" s="3"/>
      <c r="P2043" s="3"/>
      <c r="Q2043" s="3"/>
      <c r="R2043" s="3"/>
      <c r="S2043" s="3"/>
      <c r="T2043" s="3"/>
      <c r="U2043" s="3"/>
      <c r="V2043" s="3"/>
      <c r="W2043" s="3"/>
      <c r="X2043" s="3"/>
      <c r="Y2043" s="3"/>
      <c r="Z2043" s="3"/>
      <c r="AA2043" s="3"/>
    </row>
    <row r="2044">
      <c r="A2044" s="4"/>
      <c r="B2044" s="3"/>
      <c r="C2044" s="3"/>
      <c r="D2044" s="3"/>
      <c r="E2044" s="3"/>
      <c r="F2044" s="3"/>
      <c r="G2044" s="3"/>
      <c r="H2044" s="3"/>
      <c r="I2044" s="3"/>
      <c r="J2044" s="3"/>
      <c r="K2044" s="3"/>
      <c r="L2044" s="3"/>
      <c r="M2044" s="3"/>
      <c r="N2044" s="3"/>
      <c r="O2044" s="3"/>
      <c r="P2044" s="3"/>
      <c r="Q2044" s="3"/>
      <c r="R2044" s="3"/>
      <c r="S2044" s="3"/>
      <c r="T2044" s="3"/>
      <c r="U2044" s="3"/>
      <c r="V2044" s="3"/>
      <c r="W2044" s="3"/>
      <c r="X2044" s="3"/>
      <c r="Y2044" s="3"/>
      <c r="Z2044" s="3"/>
      <c r="AA2044" s="3"/>
    </row>
    <row r="2045">
      <c r="A2045" s="4"/>
      <c r="B2045" s="3"/>
      <c r="C2045" s="3"/>
      <c r="D2045" s="3"/>
      <c r="E2045" s="3"/>
      <c r="F2045" s="3"/>
      <c r="G2045" s="3"/>
      <c r="H2045" s="3"/>
      <c r="I2045" s="3"/>
      <c r="J2045" s="3"/>
      <c r="K2045" s="3"/>
      <c r="L2045" s="3"/>
      <c r="M2045" s="3"/>
      <c r="N2045" s="3"/>
      <c r="O2045" s="3"/>
      <c r="P2045" s="3"/>
      <c r="Q2045" s="3"/>
      <c r="R2045" s="3"/>
      <c r="S2045" s="3"/>
      <c r="T2045" s="3"/>
      <c r="U2045" s="3"/>
      <c r="V2045" s="3"/>
      <c r="W2045" s="3"/>
      <c r="X2045" s="3"/>
      <c r="Y2045" s="3"/>
      <c r="Z2045" s="3"/>
      <c r="AA2045" s="3"/>
    </row>
    <row r="2046">
      <c r="A2046" s="4"/>
      <c r="B2046" s="3"/>
      <c r="C2046" s="3"/>
      <c r="D2046" s="3"/>
      <c r="E2046" s="3"/>
      <c r="F2046" s="3"/>
      <c r="G2046" s="3"/>
      <c r="H2046" s="3"/>
      <c r="I2046" s="3"/>
      <c r="J2046" s="3"/>
      <c r="K2046" s="3"/>
      <c r="L2046" s="3"/>
      <c r="M2046" s="3"/>
      <c r="N2046" s="3"/>
      <c r="O2046" s="3"/>
      <c r="P2046" s="3"/>
      <c r="Q2046" s="3"/>
      <c r="R2046" s="3"/>
      <c r="S2046" s="3"/>
      <c r="T2046" s="3"/>
      <c r="U2046" s="3"/>
      <c r="V2046" s="3"/>
      <c r="W2046" s="3"/>
      <c r="X2046" s="3"/>
      <c r="Y2046" s="3"/>
      <c r="Z2046" s="3"/>
      <c r="AA2046" s="3"/>
    </row>
    <row r="2047">
      <c r="A2047" s="4"/>
      <c r="B2047" s="3"/>
      <c r="C2047" s="3"/>
      <c r="D2047" s="3"/>
      <c r="E2047" s="3"/>
      <c r="F2047" s="3"/>
      <c r="G2047" s="3"/>
      <c r="H2047" s="3"/>
      <c r="I2047" s="3"/>
      <c r="J2047" s="3"/>
      <c r="K2047" s="3"/>
      <c r="L2047" s="3"/>
      <c r="M2047" s="3"/>
      <c r="N2047" s="3"/>
      <c r="O2047" s="3"/>
      <c r="P2047" s="3"/>
      <c r="Q2047" s="3"/>
      <c r="R2047" s="3"/>
      <c r="S2047" s="3"/>
      <c r="T2047" s="3"/>
      <c r="U2047" s="3"/>
      <c r="V2047" s="3"/>
      <c r="W2047" s="3"/>
      <c r="X2047" s="3"/>
      <c r="Y2047" s="3"/>
      <c r="Z2047" s="3"/>
      <c r="AA2047" s="3"/>
    </row>
    <row r="2048">
      <c r="A2048" s="4"/>
      <c r="B2048" s="3"/>
      <c r="C2048" s="3"/>
      <c r="D2048" s="3"/>
      <c r="E2048" s="3"/>
      <c r="F2048" s="3"/>
      <c r="G2048" s="3"/>
      <c r="H2048" s="3"/>
      <c r="I2048" s="3"/>
      <c r="J2048" s="3"/>
      <c r="K2048" s="3"/>
      <c r="L2048" s="3"/>
      <c r="M2048" s="3"/>
      <c r="N2048" s="3"/>
      <c r="O2048" s="3"/>
      <c r="P2048" s="3"/>
      <c r="Q2048" s="3"/>
      <c r="R2048" s="3"/>
      <c r="S2048" s="3"/>
      <c r="T2048" s="3"/>
      <c r="U2048" s="3"/>
      <c r="V2048" s="3"/>
      <c r="W2048" s="3"/>
      <c r="X2048" s="3"/>
      <c r="Y2048" s="3"/>
      <c r="Z2048" s="3"/>
      <c r="AA2048" s="3"/>
    </row>
    <row r="2049">
      <c r="A2049" s="4"/>
      <c r="B2049" s="3"/>
      <c r="C2049" s="3"/>
      <c r="D2049" s="3"/>
      <c r="E2049" s="3"/>
      <c r="F2049" s="3"/>
      <c r="G2049" s="3"/>
      <c r="H2049" s="3"/>
      <c r="I2049" s="3"/>
      <c r="J2049" s="3"/>
      <c r="K2049" s="3"/>
      <c r="L2049" s="3"/>
      <c r="M2049" s="3"/>
      <c r="N2049" s="3"/>
      <c r="O2049" s="3"/>
      <c r="P2049" s="3"/>
      <c r="Q2049" s="3"/>
      <c r="R2049" s="3"/>
      <c r="S2049" s="3"/>
      <c r="T2049" s="3"/>
      <c r="U2049" s="3"/>
      <c r="V2049" s="3"/>
      <c r="W2049" s="3"/>
      <c r="X2049" s="3"/>
      <c r="Y2049" s="3"/>
      <c r="Z2049" s="3"/>
      <c r="AA2049" s="3"/>
    </row>
    <row r="2050">
      <c r="A2050" s="4"/>
      <c r="B2050" s="3"/>
      <c r="C2050" s="3"/>
      <c r="D2050" s="3"/>
      <c r="E2050" s="3"/>
      <c r="F2050" s="3"/>
      <c r="G2050" s="3"/>
      <c r="H2050" s="3"/>
      <c r="I2050" s="3"/>
      <c r="J2050" s="3"/>
      <c r="K2050" s="3"/>
      <c r="L2050" s="3"/>
      <c r="M2050" s="3"/>
      <c r="N2050" s="3"/>
      <c r="O2050" s="3"/>
      <c r="P2050" s="3"/>
      <c r="Q2050" s="3"/>
      <c r="R2050" s="3"/>
      <c r="S2050" s="3"/>
      <c r="T2050" s="3"/>
      <c r="U2050" s="3"/>
      <c r="V2050" s="3"/>
      <c r="W2050" s="3"/>
      <c r="X2050" s="3"/>
      <c r="Y2050" s="3"/>
      <c r="Z2050" s="3"/>
      <c r="AA2050" s="3"/>
    </row>
    <row r="2051">
      <c r="A2051" s="4"/>
      <c r="B2051" s="3"/>
      <c r="C2051" s="3"/>
      <c r="D2051" s="3"/>
      <c r="E2051" s="3"/>
      <c r="F2051" s="3"/>
      <c r="G2051" s="3"/>
      <c r="H2051" s="3"/>
      <c r="I2051" s="3"/>
      <c r="J2051" s="3"/>
      <c r="K2051" s="3"/>
      <c r="L2051" s="3"/>
      <c r="M2051" s="3"/>
      <c r="N2051" s="3"/>
      <c r="O2051" s="3"/>
      <c r="P2051" s="3"/>
      <c r="Q2051" s="3"/>
      <c r="R2051" s="3"/>
      <c r="S2051" s="3"/>
      <c r="T2051" s="3"/>
      <c r="U2051" s="3"/>
      <c r="V2051" s="3"/>
      <c r="W2051" s="3"/>
      <c r="X2051" s="3"/>
      <c r="Y2051" s="3"/>
      <c r="Z2051" s="3"/>
      <c r="AA2051" s="3"/>
    </row>
    <row r="2052">
      <c r="A2052" s="4"/>
      <c r="B2052" s="3"/>
      <c r="C2052" s="3"/>
      <c r="D2052" s="3"/>
      <c r="E2052" s="3"/>
      <c r="F2052" s="3"/>
      <c r="G2052" s="3"/>
      <c r="H2052" s="3"/>
      <c r="I2052" s="3"/>
      <c r="J2052" s="3"/>
      <c r="K2052" s="3"/>
      <c r="L2052" s="3"/>
      <c r="M2052" s="3"/>
      <c r="N2052" s="3"/>
      <c r="O2052" s="3"/>
      <c r="P2052" s="3"/>
      <c r="Q2052" s="3"/>
      <c r="R2052" s="3"/>
      <c r="S2052" s="3"/>
      <c r="T2052" s="3"/>
      <c r="U2052" s="3"/>
      <c r="V2052" s="3"/>
      <c r="W2052" s="3"/>
      <c r="X2052" s="3"/>
      <c r="Y2052" s="3"/>
      <c r="Z2052" s="3"/>
      <c r="AA2052" s="3"/>
    </row>
    <row r="2053">
      <c r="A2053" s="4"/>
      <c r="B2053" s="3"/>
      <c r="C2053" s="3"/>
      <c r="D2053" s="3"/>
      <c r="E2053" s="3"/>
      <c r="F2053" s="3"/>
      <c r="G2053" s="3"/>
      <c r="H2053" s="3"/>
      <c r="I2053" s="3"/>
      <c r="J2053" s="3"/>
      <c r="K2053" s="3"/>
      <c r="L2053" s="3"/>
      <c r="M2053" s="3"/>
      <c r="N2053" s="3"/>
      <c r="O2053" s="3"/>
      <c r="P2053" s="3"/>
      <c r="Q2053" s="3"/>
      <c r="R2053" s="3"/>
      <c r="S2053" s="3"/>
      <c r="T2053" s="3"/>
      <c r="U2053" s="3"/>
      <c r="V2053" s="3"/>
      <c r="W2053" s="3"/>
      <c r="X2053" s="3"/>
      <c r="Y2053" s="3"/>
      <c r="Z2053" s="3"/>
      <c r="AA2053" s="3"/>
    </row>
    <row r="2054">
      <c r="A2054" s="4"/>
      <c r="B2054" s="3"/>
      <c r="C2054" s="3"/>
      <c r="D2054" s="3"/>
      <c r="E2054" s="3"/>
      <c r="F2054" s="3"/>
      <c r="G2054" s="3"/>
      <c r="H2054" s="3"/>
      <c r="I2054" s="3"/>
      <c r="J2054" s="3"/>
      <c r="K2054" s="3"/>
      <c r="L2054" s="3"/>
      <c r="M2054" s="3"/>
      <c r="N2054" s="3"/>
      <c r="O2054" s="3"/>
      <c r="P2054" s="3"/>
      <c r="Q2054" s="3"/>
      <c r="R2054" s="3"/>
      <c r="S2054" s="3"/>
      <c r="T2054" s="3"/>
      <c r="U2054" s="3"/>
      <c r="V2054" s="3"/>
      <c r="W2054" s="3"/>
      <c r="X2054" s="3"/>
      <c r="Y2054" s="3"/>
      <c r="Z2054" s="3"/>
      <c r="AA2054" s="3"/>
    </row>
    <row r="2055">
      <c r="A2055" s="4"/>
      <c r="B2055" s="3"/>
      <c r="C2055" s="3"/>
      <c r="D2055" s="3"/>
      <c r="E2055" s="3"/>
      <c r="F2055" s="3"/>
      <c r="G2055" s="3"/>
      <c r="H2055" s="3"/>
      <c r="I2055" s="3"/>
      <c r="J2055" s="3"/>
      <c r="K2055" s="3"/>
      <c r="L2055" s="3"/>
      <c r="M2055" s="3"/>
      <c r="N2055" s="3"/>
      <c r="O2055" s="3"/>
      <c r="P2055" s="3"/>
      <c r="Q2055" s="3"/>
      <c r="R2055" s="3"/>
      <c r="S2055" s="3"/>
      <c r="T2055" s="3"/>
      <c r="U2055" s="3"/>
      <c r="V2055" s="3"/>
      <c r="W2055" s="3"/>
      <c r="X2055" s="3"/>
      <c r="Y2055" s="3"/>
      <c r="Z2055" s="3"/>
      <c r="AA2055" s="3"/>
    </row>
    <row r="2056">
      <c r="A2056" s="4"/>
      <c r="B2056" s="3"/>
      <c r="C2056" s="3"/>
      <c r="D2056" s="3"/>
      <c r="E2056" s="3"/>
      <c r="F2056" s="3"/>
      <c r="G2056" s="3"/>
      <c r="H2056" s="3"/>
      <c r="I2056" s="3"/>
      <c r="J2056" s="3"/>
      <c r="K2056" s="3"/>
      <c r="L2056" s="3"/>
      <c r="M2056" s="3"/>
      <c r="N2056" s="3"/>
      <c r="O2056" s="3"/>
      <c r="P2056" s="3"/>
      <c r="Q2056" s="3"/>
      <c r="R2056" s="3"/>
      <c r="S2056" s="3"/>
      <c r="T2056" s="3"/>
      <c r="U2056" s="3"/>
      <c r="V2056" s="3"/>
      <c r="W2056" s="3"/>
      <c r="X2056" s="3"/>
      <c r="Y2056" s="3"/>
      <c r="Z2056" s="3"/>
      <c r="AA2056" s="3"/>
    </row>
    <row r="2057">
      <c r="A2057" s="4"/>
      <c r="B2057" s="3"/>
      <c r="C2057" s="3"/>
      <c r="D2057" s="3"/>
      <c r="E2057" s="3"/>
      <c r="F2057" s="3"/>
      <c r="G2057" s="3"/>
      <c r="H2057" s="3"/>
      <c r="I2057" s="3"/>
      <c r="J2057" s="3"/>
      <c r="K2057" s="3"/>
      <c r="L2057" s="3"/>
      <c r="M2057" s="3"/>
      <c r="N2057" s="3"/>
      <c r="O2057" s="3"/>
      <c r="P2057" s="3"/>
      <c r="Q2057" s="3"/>
      <c r="R2057" s="3"/>
      <c r="S2057" s="3"/>
      <c r="T2057" s="3"/>
      <c r="U2057" s="3"/>
      <c r="V2057" s="3"/>
      <c r="W2057" s="3"/>
      <c r="X2057" s="3"/>
      <c r="Y2057" s="3"/>
      <c r="Z2057" s="3"/>
      <c r="AA2057" s="3"/>
    </row>
    <row r="2058">
      <c r="A2058" s="4"/>
      <c r="B2058" s="3"/>
      <c r="C2058" s="3"/>
      <c r="D2058" s="3"/>
      <c r="E2058" s="3"/>
      <c r="F2058" s="3"/>
      <c r="G2058" s="3"/>
      <c r="H2058" s="3"/>
      <c r="I2058" s="3"/>
      <c r="J2058" s="3"/>
      <c r="K2058" s="3"/>
      <c r="L2058" s="3"/>
      <c r="M2058" s="3"/>
      <c r="N2058" s="3"/>
      <c r="O2058" s="3"/>
      <c r="P2058" s="3"/>
      <c r="Q2058" s="3"/>
      <c r="R2058" s="3"/>
      <c r="S2058" s="3"/>
      <c r="T2058" s="3"/>
      <c r="U2058" s="3"/>
      <c r="V2058" s="3"/>
      <c r="W2058" s="3"/>
      <c r="X2058" s="3"/>
      <c r="Y2058" s="3"/>
      <c r="Z2058" s="3"/>
      <c r="AA2058" s="3"/>
    </row>
    <row r="2059">
      <c r="A2059" s="4"/>
      <c r="B2059" s="3"/>
      <c r="C2059" s="3"/>
      <c r="D2059" s="3"/>
      <c r="E2059" s="3"/>
      <c r="F2059" s="3"/>
      <c r="G2059" s="3"/>
      <c r="H2059" s="3"/>
      <c r="I2059" s="3"/>
      <c r="J2059" s="3"/>
      <c r="K2059" s="3"/>
      <c r="L2059" s="3"/>
      <c r="M2059" s="3"/>
      <c r="N2059" s="3"/>
      <c r="O2059" s="3"/>
      <c r="P2059" s="3"/>
      <c r="Q2059" s="3"/>
      <c r="R2059" s="3"/>
      <c r="S2059" s="3"/>
      <c r="T2059" s="3"/>
      <c r="U2059" s="3"/>
      <c r="V2059" s="3"/>
      <c r="W2059" s="3"/>
      <c r="X2059" s="3"/>
      <c r="Y2059" s="3"/>
      <c r="Z2059" s="3"/>
      <c r="AA2059" s="3"/>
    </row>
    <row r="2060">
      <c r="A2060" s="4"/>
      <c r="B2060" s="3"/>
      <c r="C2060" s="3"/>
      <c r="D2060" s="3"/>
      <c r="E2060" s="3"/>
      <c r="F2060" s="3"/>
      <c r="G2060" s="3"/>
      <c r="H2060" s="3"/>
      <c r="I2060" s="3"/>
      <c r="J2060" s="3"/>
      <c r="K2060" s="3"/>
      <c r="L2060" s="3"/>
      <c r="M2060" s="3"/>
      <c r="N2060" s="3"/>
      <c r="O2060" s="3"/>
      <c r="P2060" s="3"/>
      <c r="Q2060" s="3"/>
      <c r="R2060" s="3"/>
      <c r="S2060" s="3"/>
      <c r="T2060" s="3"/>
      <c r="U2060" s="3"/>
      <c r="V2060" s="3"/>
      <c r="W2060" s="3"/>
      <c r="X2060" s="3"/>
      <c r="Y2060" s="3"/>
      <c r="Z2060" s="3"/>
      <c r="AA2060" s="3"/>
    </row>
    <row r="2061">
      <c r="A2061" s="4"/>
      <c r="B2061" s="3"/>
      <c r="C2061" s="3"/>
      <c r="D2061" s="3"/>
      <c r="E2061" s="3"/>
      <c r="F2061" s="3"/>
      <c r="G2061" s="3"/>
      <c r="H2061" s="3"/>
      <c r="I2061" s="3"/>
      <c r="J2061" s="3"/>
      <c r="K2061" s="3"/>
      <c r="L2061" s="3"/>
      <c r="M2061" s="3"/>
      <c r="N2061" s="3"/>
      <c r="O2061" s="3"/>
      <c r="P2061" s="3"/>
      <c r="Q2061" s="3"/>
      <c r="R2061" s="3"/>
      <c r="S2061" s="3"/>
      <c r="T2061" s="3"/>
      <c r="U2061" s="3"/>
      <c r="V2061" s="3"/>
      <c r="W2061" s="3"/>
      <c r="X2061" s="3"/>
      <c r="Y2061" s="3"/>
      <c r="Z2061" s="3"/>
      <c r="AA2061" s="3"/>
    </row>
    <row r="2062">
      <c r="A2062" s="4"/>
      <c r="B2062" s="3"/>
      <c r="C2062" s="3"/>
      <c r="D2062" s="3"/>
      <c r="E2062" s="3"/>
      <c r="F2062" s="3"/>
      <c r="G2062" s="3"/>
      <c r="H2062" s="3"/>
      <c r="I2062" s="3"/>
      <c r="J2062" s="3"/>
      <c r="K2062" s="3"/>
      <c r="L2062" s="3"/>
      <c r="M2062" s="3"/>
      <c r="N2062" s="3"/>
      <c r="O2062" s="3"/>
      <c r="P2062" s="3"/>
      <c r="Q2062" s="3"/>
      <c r="R2062" s="3"/>
      <c r="S2062" s="3"/>
      <c r="T2062" s="3"/>
      <c r="U2062" s="3"/>
      <c r="V2062" s="3"/>
      <c r="W2062" s="3"/>
      <c r="X2062" s="3"/>
      <c r="Y2062" s="3"/>
      <c r="Z2062" s="3"/>
      <c r="AA2062" s="3"/>
    </row>
    <row r="2063">
      <c r="A2063" s="4"/>
      <c r="B2063" s="3"/>
      <c r="C2063" s="3"/>
      <c r="D2063" s="3"/>
      <c r="E2063" s="3"/>
      <c r="F2063" s="3"/>
      <c r="G2063" s="3"/>
      <c r="H2063" s="3"/>
      <c r="I2063" s="3"/>
      <c r="J2063" s="3"/>
      <c r="K2063" s="3"/>
      <c r="L2063" s="3"/>
      <c r="M2063" s="3"/>
      <c r="N2063" s="3"/>
      <c r="O2063" s="3"/>
      <c r="P2063" s="3"/>
      <c r="Q2063" s="3"/>
      <c r="R2063" s="3"/>
      <c r="S2063" s="3"/>
      <c r="T2063" s="3"/>
      <c r="U2063" s="3"/>
      <c r="V2063" s="3"/>
      <c r="W2063" s="3"/>
      <c r="X2063" s="3"/>
      <c r="Y2063" s="3"/>
      <c r="Z2063" s="3"/>
      <c r="AA2063" s="3"/>
    </row>
    <row r="2064">
      <c r="A2064" s="4"/>
      <c r="B2064" s="3"/>
      <c r="C2064" s="3"/>
      <c r="D2064" s="3"/>
      <c r="E2064" s="3"/>
      <c r="F2064" s="3"/>
      <c r="G2064" s="3"/>
      <c r="H2064" s="3"/>
      <c r="I2064" s="3"/>
      <c r="J2064" s="3"/>
      <c r="K2064" s="3"/>
      <c r="L2064" s="3"/>
      <c r="M2064" s="3"/>
      <c r="N2064" s="3"/>
      <c r="O2064" s="3"/>
      <c r="P2064" s="3"/>
      <c r="Q2064" s="3"/>
      <c r="R2064" s="3"/>
      <c r="S2064" s="3"/>
      <c r="T2064" s="3"/>
      <c r="U2064" s="3"/>
      <c r="V2064" s="3"/>
      <c r="W2064" s="3"/>
      <c r="X2064" s="3"/>
      <c r="Y2064" s="3"/>
      <c r="Z2064" s="3"/>
      <c r="AA2064" s="3"/>
    </row>
    <row r="2065">
      <c r="A2065" s="4"/>
      <c r="B2065" s="3"/>
      <c r="C2065" s="3"/>
      <c r="D2065" s="3"/>
      <c r="E2065" s="3"/>
      <c r="F2065" s="3"/>
      <c r="G2065" s="3"/>
      <c r="H2065" s="3"/>
      <c r="I2065" s="3"/>
      <c r="J2065" s="3"/>
      <c r="K2065" s="3"/>
      <c r="L2065" s="3"/>
      <c r="M2065" s="3"/>
      <c r="N2065" s="3"/>
      <c r="O2065" s="3"/>
      <c r="P2065" s="3"/>
      <c r="Q2065" s="3"/>
      <c r="R2065" s="3"/>
      <c r="S2065" s="3"/>
      <c r="T2065" s="3"/>
      <c r="U2065" s="3"/>
      <c r="V2065" s="3"/>
      <c r="W2065" s="3"/>
      <c r="X2065" s="3"/>
      <c r="Y2065" s="3"/>
      <c r="Z2065" s="3"/>
      <c r="AA2065" s="3"/>
    </row>
    <row r="2066">
      <c r="A2066" s="4"/>
      <c r="B2066" s="3"/>
      <c r="C2066" s="3"/>
      <c r="D2066" s="3"/>
      <c r="E2066" s="3"/>
      <c r="F2066" s="3"/>
      <c r="G2066" s="3"/>
      <c r="H2066" s="3"/>
      <c r="I2066" s="3"/>
      <c r="J2066" s="3"/>
      <c r="K2066" s="3"/>
      <c r="L2066" s="3"/>
      <c r="M2066" s="3"/>
      <c r="N2066" s="3"/>
      <c r="O2066" s="3"/>
      <c r="P2066" s="3"/>
      <c r="Q2066" s="3"/>
      <c r="R2066" s="3"/>
      <c r="S2066" s="3"/>
      <c r="T2066" s="3"/>
      <c r="U2066" s="3"/>
      <c r="V2066" s="3"/>
      <c r="W2066" s="3"/>
      <c r="X2066" s="3"/>
      <c r="Y2066" s="3"/>
      <c r="Z2066" s="3"/>
      <c r="AA2066" s="3"/>
    </row>
    <row r="2067">
      <c r="A2067" s="4"/>
      <c r="B2067" s="3"/>
      <c r="C2067" s="3"/>
      <c r="D2067" s="3"/>
      <c r="E2067" s="3"/>
      <c r="F2067" s="3"/>
      <c r="G2067" s="3"/>
      <c r="H2067" s="3"/>
      <c r="I2067" s="3"/>
      <c r="J2067" s="3"/>
      <c r="K2067" s="3"/>
      <c r="L2067" s="3"/>
      <c r="M2067" s="3"/>
      <c r="N2067" s="3"/>
      <c r="O2067" s="3"/>
      <c r="P2067" s="3"/>
      <c r="Q2067" s="3"/>
      <c r="R2067" s="3"/>
      <c r="S2067" s="3"/>
      <c r="T2067" s="3"/>
      <c r="U2067" s="3"/>
      <c r="V2067" s="3"/>
      <c r="W2067" s="3"/>
      <c r="X2067" s="3"/>
      <c r="Y2067" s="3"/>
      <c r="Z2067" s="3"/>
      <c r="AA2067" s="3"/>
    </row>
    <row r="2068">
      <c r="A2068" s="4"/>
      <c r="B2068" s="3"/>
      <c r="C2068" s="3"/>
      <c r="D2068" s="3"/>
      <c r="E2068" s="3"/>
      <c r="F2068" s="3"/>
      <c r="G2068" s="3"/>
      <c r="H2068" s="3"/>
      <c r="I2068" s="3"/>
      <c r="J2068" s="3"/>
      <c r="K2068" s="3"/>
      <c r="L2068" s="3"/>
      <c r="M2068" s="3"/>
      <c r="N2068" s="3"/>
      <c r="O2068" s="3"/>
      <c r="P2068" s="3"/>
      <c r="Q2068" s="3"/>
      <c r="R2068" s="3"/>
      <c r="S2068" s="3"/>
      <c r="T2068" s="3"/>
      <c r="U2068" s="3"/>
      <c r="V2068" s="3"/>
      <c r="W2068" s="3"/>
      <c r="X2068" s="3"/>
      <c r="Y2068" s="3"/>
      <c r="Z2068" s="3"/>
      <c r="AA2068" s="3"/>
    </row>
    <row r="2069">
      <c r="A2069" s="4"/>
      <c r="B2069" s="3"/>
      <c r="C2069" s="3"/>
      <c r="D2069" s="3"/>
      <c r="E2069" s="3"/>
      <c r="F2069" s="3"/>
      <c r="G2069" s="3"/>
      <c r="H2069" s="3"/>
      <c r="I2069" s="3"/>
      <c r="J2069" s="3"/>
      <c r="K2069" s="3"/>
      <c r="L2069" s="3"/>
      <c r="M2069" s="3"/>
      <c r="N2069" s="3"/>
      <c r="O2069" s="3"/>
      <c r="P2069" s="3"/>
      <c r="Q2069" s="3"/>
      <c r="R2069" s="3"/>
      <c r="S2069" s="3"/>
      <c r="T2069" s="3"/>
      <c r="U2069" s="3"/>
      <c r="V2069" s="3"/>
      <c r="W2069" s="3"/>
      <c r="X2069" s="3"/>
      <c r="Y2069" s="3"/>
      <c r="Z2069" s="3"/>
      <c r="AA2069" s="3"/>
    </row>
    <row r="2070">
      <c r="A2070" s="4"/>
      <c r="B2070" s="3"/>
      <c r="C2070" s="3"/>
      <c r="D2070" s="3"/>
      <c r="E2070" s="3"/>
      <c r="F2070" s="3"/>
      <c r="G2070" s="3"/>
      <c r="H2070" s="3"/>
      <c r="I2070" s="3"/>
      <c r="J2070" s="3"/>
      <c r="K2070" s="3"/>
      <c r="L2070" s="3"/>
      <c r="M2070" s="3"/>
      <c r="N2070" s="3"/>
      <c r="O2070" s="3"/>
      <c r="P2070" s="3"/>
      <c r="Q2070" s="3"/>
      <c r="R2070" s="3"/>
      <c r="S2070" s="3"/>
      <c r="T2070" s="3"/>
      <c r="U2070" s="3"/>
      <c r="V2070" s="3"/>
      <c r="W2070" s="3"/>
      <c r="X2070" s="3"/>
      <c r="Y2070" s="3"/>
      <c r="Z2070" s="3"/>
      <c r="AA2070" s="3"/>
    </row>
    <row r="2071">
      <c r="A2071" s="4"/>
      <c r="B2071" s="3"/>
      <c r="C2071" s="3"/>
      <c r="D2071" s="3"/>
      <c r="E2071" s="3"/>
      <c r="F2071" s="3"/>
      <c r="G2071" s="3"/>
      <c r="H2071" s="3"/>
      <c r="I2071" s="3"/>
      <c r="J2071" s="3"/>
      <c r="K2071" s="3"/>
      <c r="L2071" s="3"/>
      <c r="M2071" s="3"/>
      <c r="N2071" s="3"/>
      <c r="O2071" s="3"/>
      <c r="P2071" s="3"/>
      <c r="Q2071" s="3"/>
      <c r="R2071" s="3"/>
      <c r="S2071" s="3"/>
      <c r="T2071" s="3"/>
      <c r="U2071" s="3"/>
      <c r="V2071" s="3"/>
      <c r="W2071" s="3"/>
      <c r="X2071" s="3"/>
      <c r="Y2071" s="3"/>
      <c r="Z2071" s="3"/>
      <c r="AA2071" s="3"/>
    </row>
    <row r="2072">
      <c r="A2072" s="4"/>
      <c r="B2072" s="3"/>
      <c r="C2072" s="3"/>
      <c r="D2072" s="3"/>
      <c r="E2072" s="3"/>
      <c r="F2072" s="3"/>
      <c r="G2072" s="3"/>
      <c r="H2072" s="3"/>
      <c r="I2072" s="3"/>
      <c r="J2072" s="3"/>
      <c r="K2072" s="3"/>
      <c r="L2072" s="3"/>
      <c r="M2072" s="3"/>
      <c r="N2072" s="3"/>
      <c r="O2072" s="3"/>
      <c r="P2072" s="3"/>
      <c r="Q2072" s="3"/>
      <c r="R2072" s="3"/>
      <c r="S2072" s="3"/>
      <c r="T2072" s="3"/>
      <c r="U2072" s="3"/>
      <c r="V2072" s="3"/>
      <c r="W2072" s="3"/>
      <c r="X2072" s="3"/>
      <c r="Y2072" s="3"/>
      <c r="Z2072" s="3"/>
      <c r="AA2072" s="3"/>
    </row>
    <row r="2073">
      <c r="A2073" s="4"/>
      <c r="B2073" s="3"/>
      <c r="C2073" s="3"/>
      <c r="D2073" s="3"/>
      <c r="E2073" s="3"/>
      <c r="F2073" s="3"/>
      <c r="G2073" s="3"/>
      <c r="H2073" s="3"/>
      <c r="I2073" s="3"/>
      <c r="J2073" s="3"/>
      <c r="K2073" s="3"/>
      <c r="L2073" s="3"/>
      <c r="M2073" s="3"/>
      <c r="N2073" s="3"/>
      <c r="O2073" s="3"/>
      <c r="P2073" s="3"/>
      <c r="Q2073" s="3"/>
      <c r="R2073" s="3"/>
      <c r="S2073" s="3"/>
      <c r="T2073" s="3"/>
      <c r="U2073" s="3"/>
      <c r="V2073" s="3"/>
      <c r="W2073" s="3"/>
      <c r="X2073" s="3"/>
      <c r="Y2073" s="3"/>
      <c r="Z2073" s="3"/>
      <c r="AA2073" s="3"/>
    </row>
    <row r="2074">
      <c r="A2074" s="4"/>
      <c r="B2074" s="3"/>
      <c r="C2074" s="3"/>
      <c r="D2074" s="3"/>
      <c r="E2074" s="3"/>
      <c r="F2074" s="3"/>
      <c r="G2074" s="3"/>
      <c r="H2074" s="3"/>
      <c r="I2074" s="3"/>
      <c r="J2074" s="3"/>
      <c r="K2074" s="3"/>
      <c r="L2074" s="3"/>
      <c r="M2074" s="3"/>
      <c r="N2074" s="3"/>
      <c r="O2074" s="3"/>
      <c r="P2074" s="3"/>
      <c r="Q2074" s="3"/>
      <c r="R2074" s="3"/>
      <c r="S2074" s="3"/>
      <c r="T2074" s="3"/>
      <c r="U2074" s="3"/>
      <c r="V2074" s="3"/>
      <c r="W2074" s="3"/>
      <c r="X2074" s="3"/>
      <c r="Y2074" s="3"/>
      <c r="Z2074" s="3"/>
      <c r="AA2074" s="3"/>
    </row>
    <row r="2075">
      <c r="A2075" s="4"/>
      <c r="B2075" s="3"/>
      <c r="C2075" s="3"/>
      <c r="D2075" s="3"/>
      <c r="E2075" s="3"/>
      <c r="F2075" s="3"/>
      <c r="G2075" s="3"/>
      <c r="H2075" s="3"/>
      <c r="I2075" s="3"/>
      <c r="J2075" s="3"/>
      <c r="K2075" s="3"/>
      <c r="L2075" s="3"/>
      <c r="M2075" s="3"/>
      <c r="N2075" s="3"/>
      <c r="O2075" s="3"/>
      <c r="P2075" s="3"/>
      <c r="Q2075" s="3"/>
      <c r="R2075" s="3"/>
      <c r="S2075" s="3"/>
      <c r="T2075" s="3"/>
      <c r="U2075" s="3"/>
      <c r="V2075" s="3"/>
      <c r="W2075" s="3"/>
      <c r="X2075" s="3"/>
      <c r="Y2075" s="3"/>
      <c r="Z2075" s="3"/>
      <c r="AA2075" s="3"/>
    </row>
    <row r="2076">
      <c r="A2076" s="4"/>
      <c r="B2076" s="3"/>
      <c r="C2076" s="3"/>
      <c r="D2076" s="3"/>
      <c r="E2076" s="3"/>
      <c r="F2076" s="3"/>
      <c r="G2076" s="3"/>
      <c r="H2076" s="3"/>
      <c r="I2076" s="3"/>
      <c r="J2076" s="3"/>
      <c r="K2076" s="3"/>
      <c r="L2076" s="3"/>
      <c r="M2076" s="3"/>
      <c r="N2076" s="3"/>
      <c r="O2076" s="3"/>
      <c r="P2076" s="3"/>
      <c r="Q2076" s="3"/>
      <c r="R2076" s="3"/>
      <c r="S2076" s="3"/>
      <c r="T2076" s="3"/>
      <c r="U2076" s="3"/>
      <c r="V2076" s="3"/>
      <c r="W2076" s="3"/>
      <c r="X2076" s="3"/>
      <c r="Y2076" s="3"/>
      <c r="Z2076" s="3"/>
      <c r="AA2076" s="3"/>
    </row>
    <row r="2077">
      <c r="A2077" s="4"/>
      <c r="B2077" s="3"/>
      <c r="C2077" s="3"/>
      <c r="D2077" s="3"/>
      <c r="E2077" s="3"/>
      <c r="F2077" s="3"/>
      <c r="G2077" s="3"/>
      <c r="H2077" s="3"/>
      <c r="I2077" s="3"/>
      <c r="J2077" s="3"/>
      <c r="K2077" s="3"/>
      <c r="L2077" s="3"/>
      <c r="M2077" s="3"/>
      <c r="N2077" s="3"/>
      <c r="O2077" s="3"/>
      <c r="P2077" s="3"/>
      <c r="Q2077" s="3"/>
      <c r="R2077" s="3"/>
      <c r="S2077" s="3"/>
      <c r="T2077" s="3"/>
      <c r="U2077" s="3"/>
      <c r="V2077" s="3"/>
      <c r="W2077" s="3"/>
      <c r="X2077" s="3"/>
      <c r="Y2077" s="3"/>
      <c r="Z2077" s="3"/>
      <c r="AA2077" s="3"/>
    </row>
    <row r="2078">
      <c r="A2078" s="4"/>
      <c r="B2078" s="3"/>
      <c r="C2078" s="3"/>
      <c r="D2078" s="3"/>
      <c r="E2078" s="3"/>
      <c r="F2078" s="3"/>
      <c r="G2078" s="3"/>
      <c r="H2078" s="3"/>
      <c r="I2078" s="3"/>
      <c r="J2078" s="3"/>
      <c r="K2078" s="3"/>
      <c r="L2078" s="3"/>
      <c r="M2078" s="3"/>
      <c r="N2078" s="3"/>
      <c r="O2078" s="3"/>
      <c r="P2078" s="3"/>
      <c r="Q2078" s="3"/>
      <c r="R2078" s="3"/>
      <c r="S2078" s="3"/>
      <c r="T2078" s="3"/>
      <c r="U2078" s="3"/>
      <c r="V2078" s="3"/>
      <c r="W2078" s="3"/>
      <c r="X2078" s="3"/>
      <c r="Y2078" s="3"/>
      <c r="Z2078" s="3"/>
      <c r="AA2078" s="3"/>
    </row>
    <row r="2079">
      <c r="A2079" s="4"/>
      <c r="B2079" s="3"/>
      <c r="C2079" s="3"/>
      <c r="D2079" s="3"/>
      <c r="E2079" s="3"/>
      <c r="F2079" s="3"/>
      <c r="G2079" s="3"/>
      <c r="H2079" s="3"/>
      <c r="I2079" s="3"/>
      <c r="J2079" s="3"/>
      <c r="K2079" s="3"/>
      <c r="L2079" s="3"/>
      <c r="M2079" s="3"/>
      <c r="N2079" s="3"/>
      <c r="O2079" s="3"/>
      <c r="P2079" s="3"/>
      <c r="Q2079" s="3"/>
      <c r="R2079" s="3"/>
      <c r="S2079" s="3"/>
      <c r="T2079" s="3"/>
      <c r="U2079" s="3"/>
      <c r="V2079" s="3"/>
      <c r="W2079" s="3"/>
      <c r="X2079" s="3"/>
      <c r="Y2079" s="3"/>
      <c r="Z2079" s="3"/>
      <c r="AA2079" s="3"/>
    </row>
    <row r="2080">
      <c r="A2080" s="4"/>
      <c r="B2080" s="3"/>
      <c r="C2080" s="3"/>
      <c r="D2080" s="3"/>
      <c r="E2080" s="3"/>
      <c r="F2080" s="3"/>
      <c r="G2080" s="3"/>
      <c r="H2080" s="3"/>
      <c r="I2080" s="3"/>
      <c r="J2080" s="3"/>
      <c r="K2080" s="3"/>
      <c r="L2080" s="3"/>
      <c r="M2080" s="3"/>
      <c r="N2080" s="3"/>
      <c r="O2080" s="3"/>
      <c r="P2080" s="3"/>
      <c r="Q2080" s="3"/>
      <c r="R2080" s="3"/>
      <c r="S2080" s="3"/>
      <c r="T2080" s="3"/>
      <c r="U2080" s="3"/>
      <c r="V2080" s="3"/>
      <c r="W2080" s="3"/>
      <c r="X2080" s="3"/>
      <c r="Y2080" s="3"/>
      <c r="Z2080" s="3"/>
      <c r="AA2080" s="3"/>
    </row>
    <row r="2081">
      <c r="A2081" s="4"/>
      <c r="B2081" s="3"/>
      <c r="C2081" s="3"/>
      <c r="D2081" s="3"/>
      <c r="E2081" s="3"/>
      <c r="F2081" s="3"/>
      <c r="G2081" s="3"/>
      <c r="H2081" s="3"/>
      <c r="I2081" s="3"/>
      <c r="J2081" s="3"/>
      <c r="K2081" s="3"/>
      <c r="L2081" s="3"/>
      <c r="M2081" s="3"/>
      <c r="N2081" s="3"/>
      <c r="O2081" s="3"/>
      <c r="P2081" s="3"/>
      <c r="Q2081" s="3"/>
      <c r="R2081" s="3"/>
      <c r="S2081" s="3"/>
      <c r="T2081" s="3"/>
      <c r="U2081" s="3"/>
      <c r="V2081" s="3"/>
      <c r="W2081" s="3"/>
      <c r="X2081" s="3"/>
      <c r="Y2081" s="3"/>
      <c r="Z2081" s="3"/>
      <c r="AA2081" s="3"/>
    </row>
    <row r="2082">
      <c r="A2082" s="4"/>
      <c r="B2082" s="3"/>
      <c r="C2082" s="3"/>
      <c r="D2082" s="3"/>
      <c r="E2082" s="3"/>
      <c r="F2082" s="3"/>
      <c r="G2082" s="3"/>
      <c r="H2082" s="3"/>
      <c r="I2082" s="3"/>
      <c r="J2082" s="3"/>
      <c r="K2082" s="3"/>
      <c r="L2082" s="3"/>
      <c r="M2082" s="3"/>
      <c r="N2082" s="3"/>
      <c r="O2082" s="3"/>
      <c r="P2082" s="3"/>
      <c r="Q2082" s="3"/>
      <c r="R2082" s="3"/>
      <c r="S2082" s="3"/>
      <c r="T2082" s="3"/>
      <c r="U2082" s="3"/>
      <c r="V2082" s="3"/>
      <c r="W2082" s="3"/>
      <c r="X2082" s="3"/>
      <c r="Y2082" s="3"/>
      <c r="Z2082" s="3"/>
      <c r="AA2082" s="3"/>
    </row>
    <row r="2083">
      <c r="A2083" s="4"/>
      <c r="B2083" s="3"/>
      <c r="C2083" s="3"/>
      <c r="D2083" s="3"/>
      <c r="E2083" s="3"/>
      <c r="F2083" s="3"/>
      <c r="G2083" s="3"/>
      <c r="H2083" s="3"/>
      <c r="I2083" s="3"/>
      <c r="J2083" s="3"/>
      <c r="K2083" s="3"/>
      <c r="L2083" s="3"/>
      <c r="M2083" s="3"/>
      <c r="N2083" s="3"/>
      <c r="O2083" s="3"/>
      <c r="P2083" s="3"/>
      <c r="Q2083" s="3"/>
      <c r="R2083" s="3"/>
      <c r="S2083" s="3"/>
      <c r="T2083" s="3"/>
      <c r="U2083" s="3"/>
      <c r="V2083" s="3"/>
      <c r="W2083" s="3"/>
      <c r="X2083" s="3"/>
      <c r="Y2083" s="3"/>
      <c r="Z2083" s="3"/>
      <c r="AA2083" s="3"/>
    </row>
    <row r="2084">
      <c r="A2084" s="4"/>
      <c r="B2084" s="3"/>
      <c r="C2084" s="3"/>
      <c r="D2084" s="3"/>
      <c r="E2084" s="3"/>
      <c r="F2084" s="3"/>
      <c r="G2084" s="3"/>
      <c r="H2084" s="3"/>
      <c r="I2084" s="3"/>
      <c r="J2084" s="3"/>
      <c r="K2084" s="3"/>
      <c r="L2084" s="3"/>
      <c r="M2084" s="3"/>
      <c r="N2084" s="3"/>
      <c r="O2084" s="3"/>
      <c r="P2084" s="3"/>
      <c r="Q2084" s="3"/>
      <c r="R2084" s="3"/>
      <c r="S2084" s="3"/>
      <c r="T2084" s="3"/>
      <c r="U2084" s="3"/>
      <c r="V2084" s="3"/>
      <c r="W2084" s="3"/>
      <c r="X2084" s="3"/>
      <c r="Y2084" s="3"/>
      <c r="Z2084" s="3"/>
      <c r="AA2084" s="3"/>
    </row>
    <row r="2085">
      <c r="A2085" s="4"/>
      <c r="B2085" s="3"/>
      <c r="C2085" s="3"/>
      <c r="D2085" s="3"/>
      <c r="E2085" s="3"/>
      <c r="F2085" s="3"/>
      <c r="G2085" s="3"/>
      <c r="H2085" s="3"/>
      <c r="I2085" s="3"/>
      <c r="J2085" s="3"/>
      <c r="K2085" s="3"/>
      <c r="L2085" s="3"/>
      <c r="M2085" s="3"/>
      <c r="N2085" s="3"/>
      <c r="O2085" s="3"/>
      <c r="P2085" s="3"/>
      <c r="Q2085" s="3"/>
      <c r="R2085" s="3"/>
      <c r="S2085" s="3"/>
      <c r="T2085" s="3"/>
      <c r="U2085" s="3"/>
      <c r="V2085" s="3"/>
      <c r="W2085" s="3"/>
      <c r="X2085" s="3"/>
      <c r="Y2085" s="3"/>
      <c r="Z2085" s="3"/>
      <c r="AA2085" s="3"/>
    </row>
    <row r="2086">
      <c r="A2086" s="4"/>
      <c r="B2086" s="3"/>
      <c r="C2086" s="3"/>
      <c r="D2086" s="3"/>
      <c r="E2086" s="3"/>
      <c r="F2086" s="3"/>
      <c r="G2086" s="3"/>
      <c r="H2086" s="3"/>
      <c r="I2086" s="3"/>
      <c r="J2086" s="3"/>
      <c r="K2086" s="3"/>
      <c r="L2086" s="3"/>
      <c r="M2086" s="3"/>
      <c r="N2086" s="3"/>
      <c r="O2086" s="3"/>
      <c r="P2086" s="3"/>
      <c r="Q2086" s="3"/>
      <c r="R2086" s="3"/>
      <c r="S2086" s="3"/>
      <c r="T2086" s="3"/>
      <c r="U2086" s="3"/>
      <c r="V2086" s="3"/>
      <c r="W2086" s="3"/>
      <c r="X2086" s="3"/>
      <c r="Y2086" s="3"/>
      <c r="Z2086" s="3"/>
      <c r="AA2086" s="3"/>
    </row>
    <row r="2087">
      <c r="A2087" s="4"/>
      <c r="B2087" s="3"/>
      <c r="C2087" s="3"/>
      <c r="D2087" s="3"/>
      <c r="E2087" s="3"/>
      <c r="F2087" s="3"/>
      <c r="G2087" s="3"/>
      <c r="H2087" s="3"/>
      <c r="I2087" s="3"/>
      <c r="J2087" s="3"/>
      <c r="K2087" s="3"/>
      <c r="L2087" s="3"/>
      <c r="M2087" s="3"/>
      <c r="N2087" s="3"/>
      <c r="O2087" s="3"/>
      <c r="P2087" s="3"/>
      <c r="Q2087" s="3"/>
      <c r="R2087" s="3"/>
      <c r="S2087" s="3"/>
      <c r="T2087" s="3"/>
      <c r="U2087" s="3"/>
      <c r="V2087" s="3"/>
      <c r="W2087" s="3"/>
      <c r="X2087" s="3"/>
      <c r="Y2087" s="3"/>
      <c r="Z2087" s="3"/>
      <c r="AA2087" s="3"/>
    </row>
    <row r="2088">
      <c r="A2088" s="4"/>
      <c r="B2088" s="3"/>
      <c r="C2088" s="3"/>
      <c r="D2088" s="3"/>
      <c r="E2088" s="3"/>
      <c r="F2088" s="3"/>
      <c r="G2088" s="3"/>
      <c r="H2088" s="3"/>
      <c r="I2088" s="3"/>
      <c r="J2088" s="3"/>
      <c r="K2088" s="3"/>
      <c r="L2088" s="3"/>
      <c r="M2088" s="3"/>
      <c r="N2088" s="3"/>
      <c r="O2088" s="3"/>
      <c r="P2088" s="3"/>
      <c r="Q2088" s="3"/>
      <c r="R2088" s="3"/>
      <c r="S2088" s="3"/>
      <c r="T2088" s="3"/>
      <c r="U2088" s="3"/>
      <c r="V2088" s="3"/>
      <c r="W2088" s="3"/>
      <c r="X2088" s="3"/>
      <c r="Y2088" s="3"/>
      <c r="Z2088" s="3"/>
      <c r="AA2088" s="3"/>
    </row>
    <row r="2089">
      <c r="A2089" s="4"/>
      <c r="B2089" s="3"/>
      <c r="C2089" s="3"/>
      <c r="D2089" s="3"/>
      <c r="E2089" s="3"/>
      <c r="F2089" s="3"/>
      <c r="G2089" s="3"/>
      <c r="H2089" s="3"/>
      <c r="I2089" s="3"/>
      <c r="J2089" s="3"/>
      <c r="K2089" s="3"/>
      <c r="L2089" s="3"/>
      <c r="M2089" s="3"/>
      <c r="N2089" s="3"/>
      <c r="O2089" s="3"/>
      <c r="P2089" s="3"/>
      <c r="Q2089" s="3"/>
      <c r="R2089" s="3"/>
      <c r="S2089" s="3"/>
      <c r="T2089" s="3"/>
      <c r="U2089" s="3"/>
      <c r="V2089" s="3"/>
      <c r="W2089" s="3"/>
      <c r="X2089" s="3"/>
      <c r="Y2089" s="3"/>
      <c r="Z2089" s="3"/>
      <c r="AA2089" s="3"/>
    </row>
    <row r="2090">
      <c r="A2090" s="4"/>
      <c r="B2090" s="3"/>
      <c r="C2090" s="3"/>
      <c r="D2090" s="3"/>
      <c r="E2090" s="3"/>
      <c r="F2090" s="3"/>
      <c r="G2090" s="3"/>
      <c r="H2090" s="3"/>
      <c r="I2090" s="3"/>
      <c r="J2090" s="3"/>
      <c r="K2090" s="3"/>
      <c r="L2090" s="3"/>
      <c r="M2090" s="3"/>
      <c r="N2090" s="3"/>
      <c r="O2090" s="3"/>
      <c r="P2090" s="3"/>
      <c r="Q2090" s="3"/>
      <c r="R2090" s="3"/>
      <c r="S2090" s="3"/>
      <c r="T2090" s="3"/>
      <c r="U2090" s="3"/>
      <c r="V2090" s="3"/>
      <c r="W2090" s="3"/>
      <c r="X2090" s="3"/>
      <c r="Y2090" s="3"/>
      <c r="Z2090" s="3"/>
      <c r="AA2090" s="3"/>
    </row>
    <row r="2091">
      <c r="A2091" s="4"/>
      <c r="B2091" s="3"/>
      <c r="C2091" s="3"/>
      <c r="D2091" s="3"/>
      <c r="E2091" s="3"/>
      <c r="F2091" s="3"/>
      <c r="G2091" s="3"/>
      <c r="H2091" s="3"/>
      <c r="I2091" s="3"/>
      <c r="J2091" s="3"/>
      <c r="K2091" s="3"/>
      <c r="L2091" s="3"/>
      <c r="M2091" s="3"/>
      <c r="N2091" s="3"/>
      <c r="O2091" s="3"/>
      <c r="P2091" s="3"/>
      <c r="Q2091" s="3"/>
      <c r="R2091" s="3"/>
      <c r="S2091" s="3"/>
      <c r="T2091" s="3"/>
      <c r="U2091" s="3"/>
      <c r="V2091" s="3"/>
      <c r="W2091" s="3"/>
      <c r="X2091" s="3"/>
      <c r="Y2091" s="3"/>
      <c r="Z2091" s="3"/>
      <c r="AA2091" s="3"/>
    </row>
    <row r="2092">
      <c r="A2092" s="4"/>
      <c r="B2092" s="3"/>
      <c r="C2092" s="3"/>
      <c r="D2092" s="3"/>
      <c r="E2092" s="3"/>
      <c r="F2092" s="3"/>
      <c r="G2092" s="3"/>
      <c r="H2092" s="3"/>
      <c r="I2092" s="3"/>
      <c r="J2092" s="3"/>
      <c r="K2092" s="3"/>
      <c r="L2092" s="3"/>
      <c r="M2092" s="3"/>
      <c r="N2092" s="3"/>
      <c r="O2092" s="3"/>
      <c r="P2092" s="3"/>
      <c r="Q2092" s="3"/>
      <c r="R2092" s="3"/>
      <c r="S2092" s="3"/>
      <c r="T2092" s="3"/>
      <c r="U2092" s="3"/>
      <c r="V2092" s="3"/>
      <c r="W2092" s="3"/>
      <c r="X2092" s="3"/>
      <c r="Y2092" s="3"/>
      <c r="Z2092" s="3"/>
      <c r="AA2092" s="3"/>
    </row>
    <row r="2093">
      <c r="A2093" s="4"/>
      <c r="B2093" s="3"/>
      <c r="C2093" s="3"/>
      <c r="D2093" s="3"/>
      <c r="E2093" s="3"/>
      <c r="F2093" s="3"/>
      <c r="G2093" s="3"/>
      <c r="H2093" s="3"/>
      <c r="I2093" s="3"/>
      <c r="J2093" s="3"/>
      <c r="K2093" s="3"/>
      <c r="L2093" s="3"/>
      <c r="M2093" s="3"/>
      <c r="N2093" s="3"/>
      <c r="O2093" s="3"/>
      <c r="P2093" s="3"/>
      <c r="Q2093" s="3"/>
      <c r="R2093" s="3"/>
      <c r="S2093" s="3"/>
      <c r="T2093" s="3"/>
      <c r="U2093" s="3"/>
      <c r="V2093" s="3"/>
      <c r="W2093" s="3"/>
      <c r="X2093" s="3"/>
      <c r="Y2093" s="3"/>
      <c r="Z2093" s="3"/>
      <c r="AA2093" s="3"/>
    </row>
    <row r="2094">
      <c r="A2094" s="4"/>
      <c r="B2094" s="3"/>
      <c r="C2094" s="3"/>
      <c r="D2094" s="3"/>
      <c r="E2094" s="3"/>
      <c r="F2094" s="3"/>
      <c r="G2094" s="3"/>
      <c r="H2094" s="3"/>
      <c r="I2094" s="3"/>
      <c r="J2094" s="3"/>
      <c r="K2094" s="3"/>
      <c r="L2094" s="3"/>
      <c r="M2094" s="3"/>
      <c r="N2094" s="3"/>
      <c r="O2094" s="3"/>
      <c r="P2094" s="3"/>
      <c r="Q2094" s="3"/>
      <c r="R2094" s="3"/>
      <c r="S2094" s="3"/>
      <c r="T2094" s="3"/>
      <c r="U2094" s="3"/>
      <c r="V2094" s="3"/>
      <c r="W2094" s="3"/>
      <c r="X2094" s="3"/>
      <c r="Y2094" s="3"/>
      <c r="Z2094" s="3"/>
      <c r="AA2094" s="3"/>
    </row>
    <row r="2095">
      <c r="A2095" s="4"/>
      <c r="B2095" s="3"/>
      <c r="C2095" s="3"/>
      <c r="D2095" s="3"/>
      <c r="E2095" s="3"/>
      <c r="F2095" s="3"/>
      <c r="G2095" s="3"/>
      <c r="H2095" s="3"/>
      <c r="I2095" s="3"/>
      <c r="J2095" s="3"/>
      <c r="K2095" s="3"/>
      <c r="L2095" s="3"/>
      <c r="M2095" s="3"/>
      <c r="N2095" s="3"/>
      <c r="O2095" s="3"/>
      <c r="P2095" s="3"/>
      <c r="Q2095" s="3"/>
      <c r="R2095" s="3"/>
      <c r="S2095" s="3"/>
      <c r="T2095" s="3"/>
      <c r="U2095" s="3"/>
      <c r="V2095" s="3"/>
      <c r="W2095" s="3"/>
      <c r="X2095" s="3"/>
      <c r="Y2095" s="3"/>
      <c r="Z2095" s="3"/>
      <c r="AA2095" s="3"/>
    </row>
    <row r="2096">
      <c r="A2096" s="4"/>
      <c r="B2096" s="3"/>
      <c r="C2096" s="3"/>
      <c r="D2096" s="3"/>
      <c r="E2096" s="3"/>
      <c r="F2096" s="3"/>
      <c r="G2096" s="3"/>
      <c r="H2096" s="3"/>
      <c r="I2096" s="3"/>
      <c r="J2096" s="3"/>
      <c r="K2096" s="3"/>
      <c r="L2096" s="3"/>
      <c r="M2096" s="3"/>
      <c r="N2096" s="3"/>
      <c r="O2096" s="3"/>
      <c r="P2096" s="3"/>
      <c r="Q2096" s="3"/>
      <c r="R2096" s="3"/>
      <c r="S2096" s="3"/>
      <c r="T2096" s="3"/>
      <c r="U2096" s="3"/>
      <c r="V2096" s="3"/>
      <c r="W2096" s="3"/>
      <c r="X2096" s="3"/>
      <c r="Y2096" s="3"/>
      <c r="Z2096" s="3"/>
      <c r="AA2096" s="3"/>
    </row>
    <row r="2097">
      <c r="A2097" s="4"/>
      <c r="B2097" s="3"/>
      <c r="C2097" s="3"/>
      <c r="D2097" s="3"/>
      <c r="E2097" s="3"/>
      <c r="F2097" s="3"/>
      <c r="G2097" s="3"/>
      <c r="H2097" s="3"/>
      <c r="I2097" s="3"/>
      <c r="J2097" s="3"/>
      <c r="K2097" s="3"/>
      <c r="L2097" s="3"/>
      <c r="M2097" s="3"/>
      <c r="N2097" s="3"/>
      <c r="O2097" s="3"/>
      <c r="P2097" s="3"/>
      <c r="Q2097" s="3"/>
      <c r="R2097" s="3"/>
      <c r="S2097" s="3"/>
      <c r="T2097" s="3"/>
      <c r="U2097" s="3"/>
      <c r="V2097" s="3"/>
      <c r="W2097" s="3"/>
      <c r="X2097" s="3"/>
      <c r="Y2097" s="3"/>
      <c r="Z2097" s="3"/>
      <c r="AA2097" s="3"/>
    </row>
    <row r="2098">
      <c r="A2098" s="4"/>
      <c r="B2098" s="3"/>
      <c r="C2098" s="3"/>
      <c r="D2098" s="3"/>
      <c r="E2098" s="3"/>
      <c r="F2098" s="3"/>
      <c r="G2098" s="3"/>
      <c r="H2098" s="3"/>
      <c r="I2098" s="3"/>
      <c r="J2098" s="3"/>
      <c r="K2098" s="3"/>
      <c r="L2098" s="3"/>
      <c r="M2098" s="3"/>
      <c r="N2098" s="3"/>
      <c r="O2098" s="3"/>
      <c r="P2098" s="3"/>
      <c r="Q2098" s="3"/>
      <c r="R2098" s="3"/>
      <c r="S2098" s="3"/>
      <c r="T2098" s="3"/>
      <c r="U2098" s="3"/>
      <c r="V2098" s="3"/>
      <c r="W2098" s="3"/>
      <c r="X2098" s="3"/>
      <c r="Y2098" s="3"/>
      <c r="Z2098" s="3"/>
      <c r="AA2098" s="3"/>
    </row>
    <row r="2099">
      <c r="A2099" s="4"/>
      <c r="B2099" s="3"/>
      <c r="C2099" s="3"/>
      <c r="D2099" s="3"/>
      <c r="E2099" s="3"/>
      <c r="F2099" s="3"/>
      <c r="G2099" s="3"/>
      <c r="H2099" s="3"/>
      <c r="I2099" s="3"/>
      <c r="J2099" s="3"/>
      <c r="K2099" s="3"/>
      <c r="L2099" s="3"/>
      <c r="M2099" s="3"/>
      <c r="N2099" s="3"/>
      <c r="O2099" s="3"/>
      <c r="P2099" s="3"/>
      <c r="Q2099" s="3"/>
      <c r="R2099" s="3"/>
      <c r="S2099" s="3"/>
      <c r="T2099" s="3"/>
      <c r="U2099" s="3"/>
      <c r="V2099" s="3"/>
      <c r="W2099" s="3"/>
      <c r="X2099" s="3"/>
      <c r="Y2099" s="3"/>
      <c r="Z2099" s="3"/>
      <c r="AA2099" s="3"/>
    </row>
    <row r="2100">
      <c r="A2100" s="4"/>
      <c r="B2100" s="3"/>
      <c r="C2100" s="3"/>
      <c r="D2100" s="3"/>
      <c r="E2100" s="3"/>
      <c r="F2100" s="3"/>
      <c r="G2100" s="3"/>
      <c r="H2100" s="3"/>
      <c r="I2100" s="3"/>
      <c r="J2100" s="3"/>
      <c r="K2100" s="3"/>
      <c r="L2100" s="3"/>
      <c r="M2100" s="3"/>
      <c r="N2100" s="3"/>
      <c r="O2100" s="3"/>
      <c r="P2100" s="3"/>
      <c r="Q2100" s="3"/>
      <c r="R2100" s="3"/>
      <c r="S2100" s="3"/>
      <c r="T2100" s="3"/>
      <c r="U2100" s="3"/>
      <c r="V2100" s="3"/>
      <c r="W2100" s="3"/>
      <c r="X2100" s="3"/>
      <c r="Y2100" s="3"/>
      <c r="Z2100" s="3"/>
      <c r="AA2100" s="3"/>
    </row>
    <row r="2101">
      <c r="A2101" s="4"/>
      <c r="B2101" s="3"/>
      <c r="C2101" s="3"/>
      <c r="D2101" s="3"/>
      <c r="E2101" s="3"/>
      <c r="F2101" s="3"/>
      <c r="G2101" s="3"/>
      <c r="H2101" s="3"/>
      <c r="I2101" s="3"/>
      <c r="J2101" s="3"/>
      <c r="K2101" s="3"/>
      <c r="L2101" s="3"/>
      <c r="M2101" s="3"/>
      <c r="N2101" s="3"/>
      <c r="O2101" s="3"/>
      <c r="P2101" s="3"/>
      <c r="Q2101" s="3"/>
      <c r="R2101" s="3"/>
      <c r="S2101" s="3"/>
      <c r="T2101" s="3"/>
      <c r="U2101" s="3"/>
      <c r="V2101" s="3"/>
      <c r="W2101" s="3"/>
      <c r="X2101" s="3"/>
      <c r="Y2101" s="3"/>
      <c r="Z2101" s="3"/>
      <c r="AA2101" s="3"/>
    </row>
    <row r="2102">
      <c r="A2102" s="4"/>
      <c r="B2102" s="3"/>
      <c r="C2102" s="3"/>
      <c r="D2102" s="3"/>
      <c r="E2102" s="3"/>
      <c r="F2102" s="3"/>
      <c r="G2102" s="3"/>
      <c r="H2102" s="3"/>
      <c r="I2102" s="3"/>
      <c r="J2102" s="3"/>
      <c r="K2102" s="3"/>
      <c r="L2102" s="3"/>
      <c r="M2102" s="3"/>
      <c r="N2102" s="3"/>
      <c r="O2102" s="3"/>
      <c r="P2102" s="3"/>
      <c r="Q2102" s="3"/>
      <c r="R2102" s="3"/>
      <c r="S2102" s="3"/>
      <c r="T2102" s="3"/>
      <c r="U2102" s="3"/>
      <c r="V2102" s="3"/>
      <c r="W2102" s="3"/>
      <c r="X2102" s="3"/>
      <c r="Y2102" s="3"/>
      <c r="Z2102" s="3"/>
      <c r="AA2102" s="3"/>
    </row>
    <row r="2103">
      <c r="A2103" s="4"/>
      <c r="B2103" s="3"/>
      <c r="C2103" s="3"/>
      <c r="D2103" s="3"/>
      <c r="E2103" s="3"/>
      <c r="F2103" s="3"/>
      <c r="G2103" s="3"/>
      <c r="H2103" s="3"/>
      <c r="I2103" s="3"/>
      <c r="J2103" s="3"/>
      <c r="K2103" s="3"/>
      <c r="L2103" s="3"/>
      <c r="M2103" s="3"/>
      <c r="N2103" s="3"/>
      <c r="O2103" s="3"/>
      <c r="P2103" s="3"/>
      <c r="Q2103" s="3"/>
      <c r="R2103" s="3"/>
      <c r="S2103" s="3"/>
      <c r="T2103" s="3"/>
      <c r="U2103" s="3"/>
      <c r="V2103" s="3"/>
      <c r="W2103" s="3"/>
      <c r="X2103" s="3"/>
      <c r="Y2103" s="3"/>
      <c r="Z2103" s="3"/>
      <c r="AA2103" s="3"/>
    </row>
    <row r="2104">
      <c r="A2104" s="4"/>
      <c r="B2104" s="3"/>
      <c r="C2104" s="3"/>
      <c r="D2104" s="3"/>
      <c r="E2104" s="3"/>
      <c r="F2104" s="3"/>
      <c r="G2104" s="3"/>
      <c r="H2104" s="3"/>
      <c r="I2104" s="3"/>
      <c r="J2104" s="3"/>
      <c r="K2104" s="3"/>
      <c r="L2104" s="3"/>
      <c r="M2104" s="3"/>
      <c r="N2104" s="3"/>
      <c r="O2104" s="3"/>
      <c r="P2104" s="3"/>
      <c r="Q2104" s="3"/>
      <c r="R2104" s="3"/>
      <c r="S2104" s="3"/>
      <c r="T2104" s="3"/>
      <c r="U2104" s="3"/>
      <c r="V2104" s="3"/>
      <c r="W2104" s="3"/>
      <c r="X2104" s="3"/>
      <c r="Y2104" s="3"/>
      <c r="Z2104" s="3"/>
      <c r="AA2104" s="3"/>
    </row>
    <row r="2105">
      <c r="A2105" s="4"/>
      <c r="B2105" s="3"/>
      <c r="C2105" s="3"/>
      <c r="D2105" s="3"/>
      <c r="E2105" s="3"/>
      <c r="F2105" s="3"/>
      <c r="G2105" s="3"/>
      <c r="H2105" s="3"/>
      <c r="I2105" s="3"/>
      <c r="J2105" s="3"/>
      <c r="K2105" s="3"/>
      <c r="L2105" s="3"/>
      <c r="M2105" s="3"/>
      <c r="N2105" s="3"/>
      <c r="O2105" s="3"/>
      <c r="P2105" s="3"/>
      <c r="Q2105" s="3"/>
      <c r="R2105" s="3"/>
      <c r="S2105" s="3"/>
      <c r="T2105" s="3"/>
      <c r="U2105" s="3"/>
      <c r="V2105" s="3"/>
      <c r="W2105" s="3"/>
      <c r="X2105" s="3"/>
      <c r="Y2105" s="3"/>
      <c r="Z2105" s="3"/>
      <c r="AA2105" s="3"/>
    </row>
    <row r="2106">
      <c r="A2106" s="4"/>
      <c r="B2106" s="3"/>
      <c r="C2106" s="3"/>
      <c r="D2106" s="3"/>
      <c r="E2106" s="3"/>
      <c r="F2106" s="3"/>
      <c r="G2106" s="3"/>
      <c r="H2106" s="3"/>
      <c r="I2106" s="3"/>
      <c r="J2106" s="3"/>
      <c r="K2106" s="3"/>
      <c r="L2106" s="3"/>
      <c r="M2106" s="3"/>
      <c r="N2106" s="3"/>
      <c r="O2106" s="3"/>
      <c r="P2106" s="3"/>
      <c r="Q2106" s="3"/>
      <c r="R2106" s="3"/>
      <c r="S2106" s="3"/>
      <c r="T2106" s="3"/>
      <c r="U2106" s="3"/>
      <c r="V2106" s="3"/>
      <c r="W2106" s="3"/>
      <c r="X2106" s="3"/>
      <c r="Y2106" s="3"/>
      <c r="Z2106" s="3"/>
      <c r="AA2106" s="3"/>
    </row>
    <row r="2107">
      <c r="A2107" s="4"/>
      <c r="B2107" s="3"/>
      <c r="C2107" s="3"/>
      <c r="D2107" s="3"/>
      <c r="E2107" s="3"/>
      <c r="F2107" s="3"/>
      <c r="G2107" s="3"/>
      <c r="H2107" s="3"/>
      <c r="I2107" s="3"/>
      <c r="J2107" s="3"/>
      <c r="K2107" s="3"/>
      <c r="L2107" s="3"/>
      <c r="M2107" s="3"/>
      <c r="N2107" s="3"/>
      <c r="O2107" s="3"/>
      <c r="P2107" s="3"/>
      <c r="Q2107" s="3"/>
      <c r="R2107" s="3"/>
      <c r="S2107" s="3"/>
      <c r="T2107" s="3"/>
      <c r="U2107" s="3"/>
      <c r="V2107" s="3"/>
      <c r="W2107" s="3"/>
      <c r="X2107" s="3"/>
      <c r="Y2107" s="3"/>
      <c r="Z2107" s="3"/>
      <c r="AA2107" s="3"/>
    </row>
    <row r="2108">
      <c r="A2108" s="4"/>
      <c r="B2108" s="3"/>
      <c r="C2108" s="3"/>
      <c r="D2108" s="3"/>
      <c r="E2108" s="3"/>
      <c r="F2108" s="3"/>
      <c r="G2108" s="3"/>
      <c r="H2108" s="3"/>
      <c r="I2108" s="3"/>
      <c r="J2108" s="3"/>
      <c r="K2108" s="3"/>
      <c r="L2108" s="3"/>
      <c r="M2108" s="3"/>
      <c r="N2108" s="3"/>
      <c r="O2108" s="3"/>
      <c r="P2108" s="3"/>
      <c r="Q2108" s="3"/>
      <c r="R2108" s="3"/>
      <c r="S2108" s="3"/>
      <c r="T2108" s="3"/>
      <c r="U2108" s="3"/>
      <c r="V2108" s="3"/>
      <c r="W2108" s="3"/>
      <c r="X2108" s="3"/>
      <c r="Y2108" s="3"/>
      <c r="Z2108" s="3"/>
      <c r="AA2108" s="3"/>
    </row>
    <row r="2109">
      <c r="A2109" s="4"/>
      <c r="B2109" s="3"/>
      <c r="C2109" s="3"/>
      <c r="D2109" s="3"/>
      <c r="E2109" s="3"/>
      <c r="F2109" s="3"/>
      <c r="G2109" s="3"/>
      <c r="H2109" s="3"/>
      <c r="I2109" s="3"/>
      <c r="J2109" s="3"/>
      <c r="K2109" s="3"/>
      <c r="L2109" s="3"/>
      <c r="M2109" s="3"/>
      <c r="N2109" s="3"/>
      <c r="O2109" s="3"/>
      <c r="P2109" s="3"/>
      <c r="Q2109" s="3"/>
      <c r="R2109" s="3"/>
      <c r="S2109" s="3"/>
      <c r="T2109" s="3"/>
      <c r="U2109" s="3"/>
      <c r="V2109" s="3"/>
      <c r="W2109" s="3"/>
      <c r="X2109" s="3"/>
      <c r="Y2109" s="3"/>
      <c r="Z2109" s="3"/>
      <c r="AA2109" s="3"/>
    </row>
    <row r="2110">
      <c r="A2110" s="4"/>
      <c r="B2110" s="3"/>
      <c r="C2110" s="3"/>
      <c r="D2110" s="3"/>
      <c r="E2110" s="3"/>
      <c r="F2110" s="3"/>
      <c r="G2110" s="3"/>
      <c r="H2110" s="3"/>
      <c r="I2110" s="3"/>
      <c r="J2110" s="3"/>
      <c r="K2110" s="3"/>
      <c r="L2110" s="3"/>
      <c r="M2110" s="3"/>
      <c r="N2110" s="3"/>
      <c r="O2110" s="3"/>
      <c r="P2110" s="3"/>
      <c r="Q2110" s="3"/>
      <c r="R2110" s="3"/>
      <c r="S2110" s="3"/>
      <c r="T2110" s="3"/>
      <c r="U2110" s="3"/>
      <c r="V2110" s="3"/>
      <c r="W2110" s="3"/>
      <c r="X2110" s="3"/>
      <c r="Y2110" s="3"/>
      <c r="Z2110" s="3"/>
      <c r="AA2110" s="3"/>
    </row>
    <row r="2111">
      <c r="A2111" s="4"/>
      <c r="B2111" s="3"/>
      <c r="C2111" s="3"/>
      <c r="D2111" s="3"/>
      <c r="E2111" s="3"/>
      <c r="F2111" s="3"/>
      <c r="G2111" s="3"/>
      <c r="H2111" s="3"/>
      <c r="I2111" s="3"/>
      <c r="J2111" s="3"/>
      <c r="K2111" s="3"/>
      <c r="L2111" s="3"/>
      <c r="M2111" s="3"/>
      <c r="N2111" s="3"/>
      <c r="O2111" s="3"/>
      <c r="P2111" s="3"/>
      <c r="Q2111" s="3"/>
      <c r="R2111" s="3"/>
      <c r="S2111" s="3"/>
      <c r="T2111" s="3"/>
      <c r="U2111" s="3"/>
      <c r="V2111" s="3"/>
      <c r="W2111" s="3"/>
      <c r="X2111" s="3"/>
      <c r="Y2111" s="3"/>
      <c r="Z2111" s="3"/>
      <c r="AA2111" s="3"/>
    </row>
    <row r="2112">
      <c r="A2112" s="4"/>
      <c r="B2112" s="3"/>
      <c r="C2112" s="3"/>
      <c r="D2112" s="3"/>
      <c r="E2112" s="3"/>
      <c r="F2112" s="3"/>
      <c r="G2112" s="3"/>
      <c r="H2112" s="3"/>
      <c r="I2112" s="3"/>
      <c r="J2112" s="3"/>
      <c r="K2112" s="3"/>
      <c r="L2112" s="3"/>
      <c r="M2112" s="3"/>
      <c r="N2112" s="3"/>
      <c r="O2112" s="3"/>
      <c r="P2112" s="3"/>
      <c r="Q2112" s="3"/>
      <c r="R2112" s="3"/>
      <c r="S2112" s="3"/>
      <c r="T2112" s="3"/>
      <c r="U2112" s="3"/>
      <c r="V2112" s="3"/>
      <c r="W2112" s="3"/>
      <c r="X2112" s="3"/>
      <c r="Y2112" s="3"/>
      <c r="Z2112" s="3"/>
      <c r="AA2112" s="3"/>
    </row>
    <row r="2113">
      <c r="A2113" s="4"/>
      <c r="B2113" s="3"/>
      <c r="C2113" s="3"/>
      <c r="D2113" s="3"/>
      <c r="E2113" s="3"/>
      <c r="F2113" s="3"/>
      <c r="G2113" s="3"/>
      <c r="H2113" s="3"/>
      <c r="I2113" s="3"/>
      <c r="J2113" s="3"/>
      <c r="K2113" s="3"/>
      <c r="L2113" s="3"/>
      <c r="M2113" s="3"/>
      <c r="N2113" s="3"/>
      <c r="O2113" s="3"/>
      <c r="P2113" s="3"/>
      <c r="Q2113" s="3"/>
      <c r="R2113" s="3"/>
      <c r="S2113" s="3"/>
      <c r="T2113" s="3"/>
      <c r="U2113" s="3"/>
      <c r="V2113" s="3"/>
      <c r="W2113" s="3"/>
      <c r="X2113" s="3"/>
      <c r="Y2113" s="3"/>
      <c r="Z2113" s="3"/>
      <c r="AA2113" s="3"/>
    </row>
    <row r="2114">
      <c r="A2114" s="4"/>
      <c r="B2114" s="3"/>
      <c r="C2114" s="3"/>
      <c r="D2114" s="3"/>
      <c r="E2114" s="3"/>
      <c r="F2114" s="3"/>
      <c r="G2114" s="3"/>
      <c r="H2114" s="3"/>
      <c r="I2114" s="3"/>
      <c r="J2114" s="3"/>
      <c r="K2114" s="3"/>
      <c r="L2114" s="3"/>
      <c r="M2114" s="3"/>
      <c r="N2114" s="3"/>
      <c r="O2114" s="3"/>
      <c r="P2114" s="3"/>
      <c r="Q2114" s="3"/>
      <c r="R2114" s="3"/>
      <c r="S2114" s="3"/>
      <c r="T2114" s="3"/>
      <c r="U2114" s="3"/>
      <c r="V2114" s="3"/>
      <c r="W2114" s="3"/>
      <c r="X2114" s="3"/>
      <c r="Y2114" s="3"/>
      <c r="Z2114" s="3"/>
      <c r="AA2114" s="3"/>
    </row>
    <row r="2115">
      <c r="A2115" s="4"/>
      <c r="B2115" s="3"/>
      <c r="C2115" s="3"/>
      <c r="D2115" s="3"/>
      <c r="E2115" s="3"/>
      <c r="F2115" s="3"/>
      <c r="G2115" s="3"/>
      <c r="H2115" s="3"/>
      <c r="I2115" s="3"/>
      <c r="J2115" s="3"/>
      <c r="K2115" s="3"/>
      <c r="L2115" s="3"/>
      <c r="M2115" s="3"/>
      <c r="N2115" s="3"/>
      <c r="O2115" s="3"/>
      <c r="P2115" s="3"/>
      <c r="Q2115" s="3"/>
      <c r="R2115" s="3"/>
      <c r="S2115" s="3"/>
      <c r="T2115" s="3"/>
      <c r="U2115" s="3"/>
      <c r="V2115" s="3"/>
      <c r="W2115" s="3"/>
      <c r="X2115" s="3"/>
      <c r="Y2115" s="3"/>
      <c r="Z2115" s="3"/>
      <c r="AA2115" s="3"/>
    </row>
    <row r="2116">
      <c r="A2116" s="4"/>
      <c r="B2116" s="3"/>
      <c r="C2116" s="3"/>
      <c r="D2116" s="3"/>
      <c r="E2116" s="3"/>
      <c r="F2116" s="3"/>
      <c r="G2116" s="3"/>
      <c r="H2116" s="3"/>
      <c r="I2116" s="3"/>
      <c r="J2116" s="3"/>
      <c r="K2116" s="3"/>
      <c r="L2116" s="3"/>
      <c r="M2116" s="3"/>
      <c r="N2116" s="3"/>
      <c r="O2116" s="3"/>
      <c r="P2116" s="3"/>
      <c r="Q2116" s="3"/>
      <c r="R2116" s="3"/>
      <c r="S2116" s="3"/>
      <c r="T2116" s="3"/>
      <c r="U2116" s="3"/>
      <c r="V2116" s="3"/>
      <c r="W2116" s="3"/>
      <c r="X2116" s="3"/>
      <c r="Y2116" s="3"/>
      <c r="Z2116" s="3"/>
      <c r="AA2116" s="3"/>
    </row>
    <row r="2117">
      <c r="A2117" s="4"/>
      <c r="B2117" s="3"/>
      <c r="C2117" s="3"/>
      <c r="D2117" s="3"/>
      <c r="E2117" s="3"/>
      <c r="F2117" s="3"/>
      <c r="G2117" s="3"/>
      <c r="H2117" s="3"/>
      <c r="I2117" s="3"/>
      <c r="J2117" s="3"/>
      <c r="K2117" s="3"/>
      <c r="L2117" s="3"/>
      <c r="M2117" s="3"/>
      <c r="N2117" s="3"/>
      <c r="O2117" s="3"/>
      <c r="P2117" s="3"/>
      <c r="Q2117" s="3"/>
      <c r="R2117" s="3"/>
      <c r="S2117" s="3"/>
      <c r="T2117" s="3"/>
      <c r="U2117" s="3"/>
      <c r="V2117" s="3"/>
      <c r="W2117" s="3"/>
      <c r="X2117" s="3"/>
      <c r="Y2117" s="3"/>
      <c r="Z2117" s="3"/>
      <c r="AA2117" s="3"/>
    </row>
    <row r="2118">
      <c r="A2118" s="4"/>
      <c r="B2118" s="3"/>
      <c r="C2118" s="3"/>
      <c r="D2118" s="3"/>
      <c r="E2118" s="3"/>
      <c r="F2118" s="3"/>
      <c r="G2118" s="3"/>
      <c r="H2118" s="3"/>
      <c r="I2118" s="3"/>
      <c r="J2118" s="3"/>
      <c r="K2118" s="3"/>
      <c r="L2118" s="3"/>
      <c r="M2118" s="3"/>
      <c r="N2118" s="3"/>
      <c r="O2118" s="3"/>
      <c r="P2118" s="3"/>
      <c r="Q2118" s="3"/>
      <c r="R2118" s="3"/>
      <c r="S2118" s="3"/>
      <c r="T2118" s="3"/>
      <c r="U2118" s="3"/>
      <c r="V2118" s="3"/>
      <c r="W2118" s="3"/>
      <c r="X2118" s="3"/>
      <c r="Y2118" s="3"/>
      <c r="Z2118" s="3"/>
      <c r="AA2118" s="3"/>
    </row>
    <row r="2119">
      <c r="A2119" s="4"/>
      <c r="B2119" s="3"/>
      <c r="C2119" s="3"/>
      <c r="D2119" s="3"/>
      <c r="E2119" s="3"/>
      <c r="F2119" s="3"/>
      <c r="G2119" s="3"/>
      <c r="H2119" s="3"/>
      <c r="I2119" s="3"/>
      <c r="J2119" s="3"/>
      <c r="K2119" s="3"/>
      <c r="L2119" s="3"/>
      <c r="M2119" s="3"/>
      <c r="N2119" s="3"/>
      <c r="O2119" s="3"/>
      <c r="P2119" s="3"/>
      <c r="Q2119" s="3"/>
      <c r="R2119" s="3"/>
      <c r="S2119" s="3"/>
      <c r="T2119" s="3"/>
      <c r="U2119" s="3"/>
      <c r="V2119" s="3"/>
      <c r="W2119" s="3"/>
      <c r="X2119" s="3"/>
      <c r="Y2119" s="3"/>
      <c r="Z2119" s="3"/>
      <c r="AA2119" s="3"/>
    </row>
    <row r="2120">
      <c r="A2120" s="4"/>
      <c r="B2120" s="3"/>
      <c r="C2120" s="3"/>
      <c r="D2120" s="3"/>
      <c r="E2120" s="3"/>
      <c r="F2120" s="3"/>
      <c r="G2120" s="3"/>
      <c r="H2120" s="3"/>
      <c r="I2120" s="3"/>
      <c r="J2120" s="3"/>
      <c r="K2120" s="3"/>
      <c r="L2120" s="3"/>
      <c r="M2120" s="3"/>
      <c r="N2120" s="3"/>
      <c r="O2120" s="3"/>
      <c r="P2120" s="3"/>
      <c r="Q2120" s="3"/>
      <c r="R2120" s="3"/>
      <c r="S2120" s="3"/>
      <c r="T2120" s="3"/>
      <c r="U2120" s="3"/>
      <c r="V2120" s="3"/>
      <c r="W2120" s="3"/>
      <c r="X2120" s="3"/>
      <c r="Y2120" s="3"/>
      <c r="Z2120" s="3"/>
      <c r="AA2120" s="3"/>
    </row>
    <row r="2121">
      <c r="A2121" s="4"/>
      <c r="B2121" s="3"/>
      <c r="C2121" s="3"/>
      <c r="D2121" s="3"/>
      <c r="E2121" s="3"/>
      <c r="F2121" s="3"/>
      <c r="G2121" s="3"/>
      <c r="H2121" s="3"/>
      <c r="I2121" s="3"/>
      <c r="J2121" s="3"/>
      <c r="K2121" s="3"/>
      <c r="L2121" s="3"/>
      <c r="M2121" s="3"/>
      <c r="N2121" s="3"/>
      <c r="O2121" s="3"/>
      <c r="P2121" s="3"/>
      <c r="Q2121" s="3"/>
      <c r="R2121" s="3"/>
      <c r="S2121" s="3"/>
      <c r="T2121" s="3"/>
      <c r="U2121" s="3"/>
      <c r="V2121" s="3"/>
      <c r="W2121" s="3"/>
      <c r="X2121" s="3"/>
      <c r="Y2121" s="3"/>
      <c r="Z2121" s="3"/>
      <c r="AA2121" s="3"/>
    </row>
    <row r="2122">
      <c r="A2122" s="4"/>
      <c r="B2122" s="3"/>
      <c r="C2122" s="3"/>
      <c r="D2122" s="3"/>
      <c r="E2122" s="3"/>
      <c r="F2122" s="3"/>
      <c r="G2122" s="3"/>
      <c r="H2122" s="3"/>
      <c r="I2122" s="3"/>
      <c r="J2122" s="3"/>
      <c r="K2122" s="3"/>
      <c r="L2122" s="3"/>
      <c r="M2122" s="3"/>
      <c r="N2122" s="3"/>
      <c r="O2122" s="3"/>
      <c r="P2122" s="3"/>
      <c r="Q2122" s="3"/>
      <c r="R2122" s="3"/>
      <c r="S2122" s="3"/>
      <c r="T2122" s="3"/>
      <c r="U2122" s="3"/>
      <c r="V2122" s="3"/>
      <c r="W2122" s="3"/>
      <c r="X2122" s="3"/>
      <c r="Y2122" s="3"/>
      <c r="Z2122" s="3"/>
      <c r="AA2122" s="3"/>
    </row>
    <row r="2123">
      <c r="A2123" s="4"/>
      <c r="B2123" s="3"/>
      <c r="C2123" s="3"/>
      <c r="D2123" s="3"/>
      <c r="E2123" s="3"/>
      <c r="F2123" s="3"/>
      <c r="G2123" s="3"/>
      <c r="H2123" s="3"/>
      <c r="I2123" s="3"/>
      <c r="J2123" s="3"/>
      <c r="K2123" s="3"/>
      <c r="L2123" s="3"/>
      <c r="M2123" s="3"/>
      <c r="N2123" s="3"/>
      <c r="O2123" s="3"/>
      <c r="P2123" s="3"/>
      <c r="Q2123" s="3"/>
      <c r="R2123" s="3"/>
      <c r="S2123" s="3"/>
      <c r="T2123" s="3"/>
      <c r="U2123" s="3"/>
      <c r="V2123" s="3"/>
      <c r="W2123" s="3"/>
      <c r="X2123" s="3"/>
      <c r="Y2123" s="3"/>
      <c r="Z2123" s="3"/>
      <c r="AA2123" s="3"/>
    </row>
    <row r="2124">
      <c r="A2124" s="4"/>
      <c r="B2124" s="3"/>
      <c r="C2124" s="3"/>
      <c r="D2124" s="3"/>
      <c r="E2124" s="3"/>
      <c r="F2124" s="3"/>
      <c r="G2124" s="3"/>
      <c r="H2124" s="3"/>
      <c r="I2124" s="3"/>
      <c r="J2124" s="3"/>
      <c r="K2124" s="3"/>
      <c r="L2124" s="3"/>
      <c r="M2124" s="3"/>
      <c r="N2124" s="3"/>
      <c r="O2124" s="3"/>
      <c r="P2124" s="3"/>
      <c r="Q2124" s="3"/>
      <c r="R2124" s="3"/>
      <c r="S2124" s="3"/>
      <c r="T2124" s="3"/>
      <c r="U2124" s="3"/>
      <c r="V2124" s="3"/>
      <c r="W2124" s="3"/>
      <c r="X2124" s="3"/>
      <c r="Y2124" s="3"/>
      <c r="Z2124" s="3"/>
      <c r="AA2124" s="3"/>
    </row>
    <row r="2125">
      <c r="A2125" s="4"/>
      <c r="B2125" s="3"/>
      <c r="C2125" s="3"/>
      <c r="D2125" s="3"/>
      <c r="E2125" s="3"/>
      <c r="F2125" s="3"/>
      <c r="G2125" s="3"/>
      <c r="H2125" s="3"/>
      <c r="I2125" s="3"/>
      <c r="J2125" s="3"/>
      <c r="K2125" s="3"/>
      <c r="L2125" s="3"/>
      <c r="M2125" s="3"/>
      <c r="N2125" s="3"/>
      <c r="O2125" s="3"/>
      <c r="P2125" s="3"/>
      <c r="Q2125" s="3"/>
      <c r="R2125" s="3"/>
      <c r="S2125" s="3"/>
      <c r="T2125" s="3"/>
      <c r="U2125" s="3"/>
      <c r="V2125" s="3"/>
      <c r="W2125" s="3"/>
      <c r="X2125" s="3"/>
      <c r="Y2125" s="3"/>
      <c r="Z2125" s="3"/>
      <c r="AA2125" s="3"/>
    </row>
    <row r="2126">
      <c r="A2126" s="4"/>
      <c r="B2126" s="3"/>
      <c r="C2126" s="3"/>
      <c r="D2126" s="3"/>
      <c r="E2126" s="3"/>
      <c r="F2126" s="3"/>
      <c r="G2126" s="3"/>
      <c r="H2126" s="3"/>
      <c r="I2126" s="3"/>
      <c r="J2126" s="3"/>
      <c r="K2126" s="3"/>
      <c r="L2126" s="3"/>
      <c r="M2126" s="3"/>
      <c r="N2126" s="3"/>
      <c r="O2126" s="3"/>
      <c r="P2126" s="3"/>
      <c r="Q2126" s="3"/>
      <c r="R2126" s="3"/>
      <c r="S2126" s="3"/>
      <c r="T2126" s="3"/>
      <c r="U2126" s="3"/>
      <c r="V2126" s="3"/>
      <c r="W2126" s="3"/>
      <c r="X2126" s="3"/>
      <c r="Y2126" s="3"/>
      <c r="Z2126" s="3"/>
      <c r="AA2126" s="3"/>
    </row>
    <row r="2127">
      <c r="A2127" s="4"/>
      <c r="B2127" s="3"/>
      <c r="C2127" s="3"/>
      <c r="D2127" s="3"/>
      <c r="E2127" s="3"/>
      <c r="F2127" s="3"/>
      <c r="G2127" s="3"/>
      <c r="H2127" s="3"/>
      <c r="I2127" s="3"/>
      <c r="J2127" s="3"/>
      <c r="K2127" s="3"/>
      <c r="L2127" s="3"/>
      <c r="M2127" s="3"/>
      <c r="N2127" s="3"/>
      <c r="O2127" s="3"/>
      <c r="P2127" s="3"/>
      <c r="Q2127" s="3"/>
      <c r="R2127" s="3"/>
      <c r="S2127" s="3"/>
      <c r="T2127" s="3"/>
      <c r="U2127" s="3"/>
      <c r="V2127" s="3"/>
      <c r="W2127" s="3"/>
      <c r="X2127" s="3"/>
      <c r="Y2127" s="3"/>
      <c r="Z2127" s="3"/>
      <c r="AA2127" s="3"/>
    </row>
    <row r="2128">
      <c r="A2128" s="4"/>
      <c r="B2128" s="3"/>
      <c r="C2128" s="3"/>
      <c r="D2128" s="3"/>
      <c r="E2128" s="3"/>
      <c r="F2128" s="3"/>
      <c r="G2128" s="3"/>
      <c r="H2128" s="3"/>
      <c r="I2128" s="3"/>
      <c r="J2128" s="3"/>
      <c r="K2128" s="3"/>
      <c r="L2128" s="3"/>
      <c r="M2128" s="3"/>
      <c r="N2128" s="3"/>
      <c r="O2128" s="3"/>
      <c r="P2128" s="3"/>
      <c r="Q2128" s="3"/>
      <c r="R2128" s="3"/>
      <c r="S2128" s="3"/>
      <c r="T2128" s="3"/>
      <c r="U2128" s="3"/>
      <c r="V2128" s="3"/>
      <c r="W2128" s="3"/>
      <c r="X2128" s="3"/>
      <c r="Y2128" s="3"/>
      <c r="Z2128" s="3"/>
      <c r="AA2128" s="3"/>
    </row>
    <row r="2129">
      <c r="A2129" s="4"/>
      <c r="B2129" s="3"/>
      <c r="C2129" s="3"/>
      <c r="D2129" s="3"/>
      <c r="E2129" s="3"/>
      <c r="F2129" s="3"/>
      <c r="G2129" s="3"/>
      <c r="H2129" s="3"/>
      <c r="I2129" s="3"/>
      <c r="J2129" s="3"/>
      <c r="K2129" s="3"/>
      <c r="L2129" s="3"/>
      <c r="M2129" s="3"/>
      <c r="N2129" s="3"/>
      <c r="O2129" s="3"/>
      <c r="P2129" s="3"/>
      <c r="Q2129" s="3"/>
      <c r="R2129" s="3"/>
      <c r="S2129" s="3"/>
      <c r="T2129" s="3"/>
      <c r="U2129" s="3"/>
      <c r="V2129" s="3"/>
      <c r="W2129" s="3"/>
      <c r="X2129" s="3"/>
      <c r="Y2129" s="3"/>
      <c r="Z2129" s="3"/>
      <c r="AA2129" s="3"/>
    </row>
    <row r="2130">
      <c r="A2130" s="4"/>
      <c r="B2130" s="3"/>
      <c r="C2130" s="3"/>
      <c r="D2130" s="3"/>
      <c r="E2130" s="3"/>
      <c r="F2130" s="3"/>
      <c r="G2130" s="3"/>
      <c r="H2130" s="3"/>
      <c r="I2130" s="3"/>
      <c r="J2130" s="3"/>
      <c r="K2130" s="3"/>
      <c r="L2130" s="3"/>
      <c r="M2130" s="3"/>
      <c r="N2130" s="3"/>
      <c r="O2130" s="3"/>
      <c r="P2130" s="3"/>
      <c r="Q2130" s="3"/>
      <c r="R2130" s="3"/>
      <c r="S2130" s="3"/>
      <c r="T2130" s="3"/>
      <c r="U2130" s="3"/>
      <c r="V2130" s="3"/>
      <c r="W2130" s="3"/>
      <c r="X2130" s="3"/>
      <c r="Y2130" s="3"/>
      <c r="Z2130" s="3"/>
      <c r="AA2130" s="3"/>
    </row>
    <row r="2131">
      <c r="A2131" s="4"/>
      <c r="B2131" s="3"/>
      <c r="C2131" s="3"/>
      <c r="D2131" s="3"/>
      <c r="E2131" s="3"/>
      <c r="F2131" s="3"/>
      <c r="G2131" s="3"/>
      <c r="H2131" s="3"/>
      <c r="I2131" s="3"/>
      <c r="J2131" s="3"/>
      <c r="K2131" s="3"/>
      <c r="L2131" s="3"/>
      <c r="M2131" s="3"/>
      <c r="N2131" s="3"/>
      <c r="O2131" s="3"/>
      <c r="P2131" s="3"/>
      <c r="Q2131" s="3"/>
      <c r="R2131" s="3"/>
      <c r="S2131" s="3"/>
      <c r="T2131" s="3"/>
      <c r="U2131" s="3"/>
      <c r="V2131" s="3"/>
      <c r="W2131" s="3"/>
      <c r="X2131" s="3"/>
      <c r="Y2131" s="3"/>
      <c r="Z2131" s="3"/>
      <c r="AA2131" s="3"/>
    </row>
    <row r="2132">
      <c r="A2132" s="4"/>
      <c r="B2132" s="3"/>
      <c r="C2132" s="3"/>
      <c r="D2132" s="3"/>
      <c r="E2132" s="3"/>
      <c r="F2132" s="3"/>
      <c r="G2132" s="3"/>
      <c r="H2132" s="3"/>
      <c r="I2132" s="3"/>
      <c r="J2132" s="3"/>
      <c r="K2132" s="3"/>
      <c r="L2132" s="3"/>
      <c r="M2132" s="3"/>
      <c r="N2132" s="3"/>
      <c r="O2132" s="3"/>
      <c r="P2132" s="3"/>
      <c r="Q2132" s="3"/>
      <c r="R2132" s="3"/>
      <c r="S2132" s="3"/>
      <c r="T2132" s="3"/>
      <c r="U2132" s="3"/>
      <c r="V2132" s="3"/>
      <c r="W2132" s="3"/>
      <c r="X2132" s="3"/>
      <c r="Y2132" s="3"/>
      <c r="Z2132" s="3"/>
      <c r="AA2132" s="3"/>
    </row>
    <row r="2133">
      <c r="A2133" s="4"/>
      <c r="B2133" s="3"/>
      <c r="C2133" s="3"/>
      <c r="D2133" s="3"/>
      <c r="E2133" s="3"/>
      <c r="F2133" s="3"/>
      <c r="G2133" s="3"/>
      <c r="H2133" s="3"/>
      <c r="I2133" s="3"/>
      <c r="J2133" s="3"/>
      <c r="K2133" s="3"/>
      <c r="L2133" s="3"/>
      <c r="M2133" s="3"/>
      <c r="N2133" s="3"/>
      <c r="O2133" s="3"/>
      <c r="P2133" s="3"/>
      <c r="Q2133" s="3"/>
      <c r="R2133" s="3"/>
      <c r="S2133" s="3"/>
      <c r="T2133" s="3"/>
      <c r="U2133" s="3"/>
      <c r="V2133" s="3"/>
      <c r="W2133" s="3"/>
      <c r="X2133" s="3"/>
      <c r="Y2133" s="3"/>
      <c r="Z2133" s="3"/>
      <c r="AA2133" s="3"/>
    </row>
    <row r="2134">
      <c r="A2134" s="4"/>
      <c r="B2134" s="3"/>
      <c r="C2134" s="3"/>
      <c r="D2134" s="3"/>
      <c r="E2134" s="3"/>
      <c r="F2134" s="3"/>
      <c r="G2134" s="3"/>
      <c r="H2134" s="3"/>
      <c r="I2134" s="3"/>
      <c r="J2134" s="3"/>
      <c r="K2134" s="3"/>
      <c r="L2134" s="3"/>
      <c r="M2134" s="3"/>
      <c r="N2134" s="3"/>
      <c r="O2134" s="3"/>
      <c r="P2134" s="3"/>
      <c r="Q2134" s="3"/>
      <c r="R2134" s="3"/>
      <c r="S2134" s="3"/>
      <c r="T2134" s="3"/>
      <c r="U2134" s="3"/>
      <c r="V2134" s="3"/>
      <c r="W2134" s="3"/>
      <c r="X2134" s="3"/>
      <c r="Y2134" s="3"/>
      <c r="Z2134" s="3"/>
      <c r="AA2134" s="3"/>
    </row>
    <row r="2135">
      <c r="A2135" s="4"/>
      <c r="B2135" s="3"/>
      <c r="C2135" s="3"/>
      <c r="D2135" s="3"/>
      <c r="E2135" s="3"/>
      <c r="F2135" s="3"/>
      <c r="G2135" s="3"/>
      <c r="H2135" s="3"/>
      <c r="I2135" s="3"/>
      <c r="J2135" s="3"/>
      <c r="K2135" s="3"/>
      <c r="L2135" s="3"/>
      <c r="M2135" s="3"/>
      <c r="N2135" s="3"/>
      <c r="O2135" s="3"/>
      <c r="P2135" s="3"/>
      <c r="Q2135" s="3"/>
      <c r="R2135" s="3"/>
      <c r="S2135" s="3"/>
      <c r="T2135" s="3"/>
      <c r="U2135" s="3"/>
      <c r="V2135" s="3"/>
      <c r="W2135" s="3"/>
      <c r="X2135" s="3"/>
      <c r="Y2135" s="3"/>
      <c r="Z2135" s="3"/>
      <c r="AA2135" s="3"/>
    </row>
    <row r="2136">
      <c r="A2136" s="4"/>
      <c r="B2136" s="3"/>
      <c r="C2136" s="3"/>
      <c r="D2136" s="3"/>
      <c r="E2136" s="3"/>
      <c r="F2136" s="3"/>
      <c r="G2136" s="3"/>
      <c r="H2136" s="3"/>
      <c r="I2136" s="3"/>
      <c r="J2136" s="3"/>
      <c r="K2136" s="3"/>
      <c r="L2136" s="3"/>
      <c r="M2136" s="3"/>
      <c r="N2136" s="3"/>
      <c r="O2136" s="3"/>
      <c r="P2136" s="3"/>
      <c r="Q2136" s="3"/>
      <c r="R2136" s="3"/>
      <c r="S2136" s="3"/>
      <c r="T2136" s="3"/>
      <c r="U2136" s="3"/>
      <c r="V2136" s="3"/>
      <c r="W2136" s="3"/>
      <c r="X2136" s="3"/>
      <c r="Y2136" s="3"/>
      <c r="Z2136" s="3"/>
      <c r="AA2136" s="3"/>
    </row>
    <row r="2137">
      <c r="A2137" s="4"/>
      <c r="B2137" s="3"/>
      <c r="C2137" s="3"/>
      <c r="D2137" s="3"/>
      <c r="E2137" s="3"/>
      <c r="F2137" s="3"/>
      <c r="G2137" s="3"/>
      <c r="H2137" s="3"/>
      <c r="I2137" s="3"/>
      <c r="J2137" s="3"/>
      <c r="K2137" s="3"/>
      <c r="L2137" s="3"/>
      <c r="M2137" s="3"/>
      <c r="N2137" s="3"/>
      <c r="O2137" s="3"/>
      <c r="P2137" s="3"/>
      <c r="Q2137" s="3"/>
      <c r="R2137" s="3"/>
      <c r="S2137" s="3"/>
      <c r="T2137" s="3"/>
      <c r="U2137" s="3"/>
      <c r="V2137" s="3"/>
      <c r="W2137" s="3"/>
      <c r="X2137" s="3"/>
      <c r="Y2137" s="3"/>
      <c r="Z2137" s="3"/>
      <c r="AA2137" s="3"/>
    </row>
    <row r="2138">
      <c r="A2138" s="4"/>
      <c r="B2138" s="3"/>
      <c r="C2138" s="3"/>
      <c r="D2138" s="3"/>
      <c r="E2138" s="3"/>
      <c r="F2138" s="3"/>
      <c r="G2138" s="3"/>
      <c r="H2138" s="3"/>
      <c r="I2138" s="3"/>
      <c r="J2138" s="3"/>
      <c r="K2138" s="3"/>
      <c r="L2138" s="3"/>
      <c r="M2138" s="3"/>
      <c r="N2138" s="3"/>
      <c r="O2138" s="3"/>
      <c r="P2138" s="3"/>
      <c r="Q2138" s="3"/>
      <c r="R2138" s="3"/>
      <c r="S2138" s="3"/>
      <c r="T2138" s="3"/>
      <c r="U2138" s="3"/>
      <c r="V2138" s="3"/>
      <c r="W2138" s="3"/>
      <c r="X2138" s="3"/>
      <c r="Y2138" s="3"/>
      <c r="Z2138" s="3"/>
      <c r="AA2138" s="3"/>
    </row>
    <row r="2139">
      <c r="A2139" s="4"/>
      <c r="B2139" s="3"/>
      <c r="C2139" s="3"/>
      <c r="D2139" s="3"/>
      <c r="E2139" s="3"/>
      <c r="F2139" s="3"/>
      <c r="G2139" s="3"/>
      <c r="H2139" s="3"/>
      <c r="I2139" s="3"/>
      <c r="J2139" s="3"/>
      <c r="K2139" s="3"/>
      <c r="L2139" s="3"/>
      <c r="M2139" s="3"/>
      <c r="N2139" s="3"/>
      <c r="O2139" s="3"/>
      <c r="P2139" s="3"/>
      <c r="Q2139" s="3"/>
      <c r="R2139" s="3"/>
      <c r="S2139" s="3"/>
      <c r="T2139" s="3"/>
      <c r="U2139" s="3"/>
      <c r="V2139" s="3"/>
      <c r="W2139" s="3"/>
      <c r="X2139" s="3"/>
      <c r="Y2139" s="3"/>
      <c r="Z2139" s="3"/>
      <c r="AA2139" s="3"/>
    </row>
    <row r="2140">
      <c r="A2140" s="4"/>
      <c r="B2140" s="3"/>
      <c r="C2140" s="3"/>
      <c r="D2140" s="3"/>
      <c r="E2140" s="3"/>
      <c r="F2140" s="3"/>
      <c r="G2140" s="3"/>
      <c r="H2140" s="3"/>
      <c r="I2140" s="3"/>
      <c r="J2140" s="3"/>
      <c r="K2140" s="3"/>
      <c r="L2140" s="3"/>
      <c r="M2140" s="3"/>
      <c r="N2140" s="3"/>
      <c r="O2140" s="3"/>
      <c r="P2140" s="3"/>
      <c r="Q2140" s="3"/>
      <c r="R2140" s="3"/>
      <c r="S2140" s="3"/>
      <c r="T2140" s="3"/>
      <c r="U2140" s="3"/>
      <c r="V2140" s="3"/>
      <c r="W2140" s="3"/>
      <c r="X2140" s="3"/>
      <c r="Y2140" s="3"/>
      <c r="Z2140" s="3"/>
      <c r="AA2140" s="3"/>
    </row>
    <row r="2141">
      <c r="A2141" s="4"/>
      <c r="B2141" s="3"/>
      <c r="C2141" s="3"/>
      <c r="D2141" s="3"/>
      <c r="E2141" s="3"/>
      <c r="F2141" s="3"/>
      <c r="G2141" s="3"/>
      <c r="H2141" s="3"/>
      <c r="I2141" s="3"/>
      <c r="J2141" s="3"/>
      <c r="K2141" s="3"/>
      <c r="L2141" s="3"/>
      <c r="M2141" s="3"/>
      <c r="N2141" s="3"/>
      <c r="O2141" s="3"/>
      <c r="P2141" s="3"/>
      <c r="Q2141" s="3"/>
      <c r="R2141" s="3"/>
      <c r="S2141" s="3"/>
      <c r="T2141" s="3"/>
      <c r="U2141" s="3"/>
      <c r="V2141" s="3"/>
      <c r="W2141" s="3"/>
      <c r="X2141" s="3"/>
      <c r="Y2141" s="3"/>
      <c r="Z2141" s="3"/>
      <c r="AA2141" s="3"/>
    </row>
    <row r="2142">
      <c r="A2142" s="4"/>
      <c r="B2142" s="3"/>
      <c r="C2142" s="3"/>
      <c r="D2142" s="3"/>
      <c r="E2142" s="3"/>
      <c r="F2142" s="3"/>
      <c r="G2142" s="3"/>
      <c r="H2142" s="3"/>
      <c r="I2142" s="3"/>
      <c r="J2142" s="3"/>
      <c r="K2142" s="3"/>
      <c r="L2142" s="3"/>
      <c r="M2142" s="3"/>
      <c r="N2142" s="3"/>
      <c r="O2142" s="3"/>
      <c r="P2142" s="3"/>
      <c r="Q2142" s="3"/>
      <c r="R2142" s="3"/>
      <c r="S2142" s="3"/>
      <c r="T2142" s="3"/>
      <c r="U2142" s="3"/>
      <c r="V2142" s="3"/>
      <c r="W2142" s="3"/>
      <c r="X2142" s="3"/>
      <c r="Y2142" s="3"/>
      <c r="Z2142" s="3"/>
      <c r="AA2142" s="3"/>
    </row>
    <row r="2143">
      <c r="A2143" s="4"/>
      <c r="B2143" s="3"/>
      <c r="C2143" s="3"/>
      <c r="D2143" s="3"/>
      <c r="E2143" s="3"/>
      <c r="F2143" s="3"/>
      <c r="G2143" s="3"/>
      <c r="H2143" s="3"/>
      <c r="I2143" s="3"/>
      <c r="J2143" s="3"/>
      <c r="K2143" s="3"/>
      <c r="L2143" s="3"/>
      <c r="M2143" s="3"/>
      <c r="N2143" s="3"/>
      <c r="O2143" s="3"/>
      <c r="P2143" s="3"/>
      <c r="Q2143" s="3"/>
      <c r="R2143" s="3"/>
      <c r="S2143" s="3"/>
      <c r="T2143" s="3"/>
      <c r="U2143" s="3"/>
      <c r="V2143" s="3"/>
      <c r="W2143" s="3"/>
      <c r="X2143" s="3"/>
      <c r="Y2143" s="3"/>
      <c r="Z2143" s="3"/>
      <c r="AA2143" s="3"/>
    </row>
    <row r="2144">
      <c r="A2144" s="4"/>
      <c r="B2144" s="3"/>
      <c r="C2144" s="3"/>
      <c r="D2144" s="3"/>
      <c r="E2144" s="3"/>
      <c r="F2144" s="3"/>
      <c r="G2144" s="3"/>
      <c r="H2144" s="3"/>
      <c r="I2144" s="3"/>
      <c r="J2144" s="3"/>
      <c r="K2144" s="3"/>
      <c r="L2144" s="3"/>
      <c r="M2144" s="3"/>
      <c r="N2144" s="3"/>
      <c r="O2144" s="3"/>
      <c r="P2144" s="3"/>
      <c r="Q2144" s="3"/>
      <c r="R2144" s="3"/>
      <c r="S2144" s="3"/>
      <c r="T2144" s="3"/>
      <c r="U2144" s="3"/>
      <c r="V2144" s="3"/>
      <c r="W2144" s="3"/>
      <c r="X2144" s="3"/>
      <c r="Y2144" s="3"/>
      <c r="Z2144" s="3"/>
      <c r="AA2144" s="3"/>
    </row>
    <row r="2145">
      <c r="A2145" s="4"/>
      <c r="B2145" s="3"/>
      <c r="C2145" s="3"/>
      <c r="D2145" s="3"/>
      <c r="E2145" s="3"/>
      <c r="F2145" s="3"/>
      <c r="G2145" s="3"/>
      <c r="H2145" s="3"/>
      <c r="I2145" s="3"/>
      <c r="J2145" s="3"/>
      <c r="K2145" s="3"/>
      <c r="L2145" s="3"/>
      <c r="M2145" s="3"/>
      <c r="N2145" s="3"/>
      <c r="O2145" s="3"/>
      <c r="P2145" s="3"/>
      <c r="Q2145" s="3"/>
      <c r="R2145" s="3"/>
      <c r="S2145" s="3"/>
      <c r="T2145" s="3"/>
      <c r="U2145" s="3"/>
      <c r="V2145" s="3"/>
      <c r="W2145" s="3"/>
      <c r="X2145" s="3"/>
      <c r="Y2145" s="3"/>
      <c r="Z2145" s="3"/>
      <c r="AA2145" s="3"/>
    </row>
    <row r="2146">
      <c r="A2146" s="4"/>
      <c r="B2146" s="3"/>
      <c r="C2146" s="3"/>
      <c r="D2146" s="3"/>
      <c r="E2146" s="3"/>
      <c r="F2146" s="3"/>
      <c r="G2146" s="3"/>
      <c r="H2146" s="3"/>
      <c r="I2146" s="3"/>
      <c r="J2146" s="3"/>
      <c r="K2146" s="3"/>
      <c r="L2146" s="3"/>
      <c r="M2146" s="3"/>
      <c r="N2146" s="3"/>
      <c r="O2146" s="3"/>
      <c r="P2146" s="3"/>
      <c r="Q2146" s="3"/>
      <c r="R2146" s="3"/>
      <c r="S2146" s="3"/>
      <c r="T2146" s="3"/>
      <c r="U2146" s="3"/>
      <c r="V2146" s="3"/>
      <c r="W2146" s="3"/>
      <c r="X2146" s="3"/>
      <c r="Y2146" s="3"/>
      <c r="Z2146" s="3"/>
      <c r="AA2146" s="3"/>
    </row>
    <row r="2147">
      <c r="A2147" s="4"/>
      <c r="B2147" s="3"/>
      <c r="C2147" s="3"/>
      <c r="D2147" s="3"/>
      <c r="E2147" s="3"/>
      <c r="F2147" s="3"/>
      <c r="G2147" s="3"/>
      <c r="H2147" s="3"/>
      <c r="I2147" s="3"/>
      <c r="J2147" s="3"/>
      <c r="K2147" s="3"/>
      <c r="L2147" s="3"/>
      <c r="M2147" s="3"/>
      <c r="N2147" s="3"/>
      <c r="O2147" s="3"/>
      <c r="P2147" s="3"/>
      <c r="Q2147" s="3"/>
      <c r="R2147" s="3"/>
      <c r="S2147" s="3"/>
      <c r="T2147" s="3"/>
      <c r="U2147" s="3"/>
      <c r="V2147" s="3"/>
      <c r="W2147" s="3"/>
      <c r="X2147" s="3"/>
      <c r="Y2147" s="3"/>
      <c r="Z2147" s="3"/>
      <c r="AA2147" s="3"/>
    </row>
    <row r="2148">
      <c r="A2148" s="4"/>
      <c r="B2148" s="3"/>
      <c r="C2148" s="3"/>
      <c r="D2148" s="3"/>
      <c r="E2148" s="3"/>
      <c r="F2148" s="3"/>
      <c r="G2148" s="3"/>
      <c r="H2148" s="3"/>
      <c r="I2148" s="3"/>
      <c r="J2148" s="3"/>
      <c r="K2148" s="3"/>
      <c r="L2148" s="3"/>
      <c r="M2148" s="3"/>
      <c r="N2148" s="3"/>
      <c r="O2148" s="3"/>
      <c r="P2148" s="3"/>
      <c r="Q2148" s="3"/>
      <c r="R2148" s="3"/>
      <c r="S2148" s="3"/>
      <c r="T2148" s="3"/>
      <c r="U2148" s="3"/>
      <c r="V2148" s="3"/>
      <c r="W2148" s="3"/>
      <c r="X2148" s="3"/>
      <c r="Y2148" s="3"/>
      <c r="Z2148" s="3"/>
      <c r="AA2148" s="3"/>
    </row>
    <row r="2149">
      <c r="A2149" s="4"/>
      <c r="B2149" s="3"/>
      <c r="C2149" s="3"/>
      <c r="D2149" s="3"/>
      <c r="E2149" s="3"/>
      <c r="F2149" s="3"/>
      <c r="G2149" s="3"/>
      <c r="H2149" s="3"/>
      <c r="I2149" s="3"/>
      <c r="J2149" s="3"/>
      <c r="K2149" s="3"/>
      <c r="L2149" s="3"/>
      <c r="M2149" s="3"/>
      <c r="N2149" s="3"/>
      <c r="O2149" s="3"/>
      <c r="P2149" s="3"/>
      <c r="Q2149" s="3"/>
      <c r="R2149" s="3"/>
      <c r="S2149" s="3"/>
      <c r="T2149" s="3"/>
      <c r="U2149" s="3"/>
      <c r="V2149" s="3"/>
      <c r="W2149" s="3"/>
      <c r="X2149" s="3"/>
      <c r="Y2149" s="3"/>
      <c r="Z2149" s="3"/>
      <c r="AA2149" s="3"/>
    </row>
    <row r="2150">
      <c r="A2150" s="4"/>
      <c r="B2150" s="3"/>
      <c r="C2150" s="3"/>
      <c r="D2150" s="3"/>
      <c r="E2150" s="3"/>
      <c r="F2150" s="3"/>
      <c r="G2150" s="3"/>
      <c r="H2150" s="3"/>
      <c r="I2150" s="3"/>
      <c r="J2150" s="3"/>
      <c r="K2150" s="3"/>
      <c r="L2150" s="3"/>
      <c r="M2150" s="3"/>
      <c r="N2150" s="3"/>
      <c r="O2150" s="3"/>
      <c r="P2150" s="3"/>
      <c r="Q2150" s="3"/>
      <c r="R2150" s="3"/>
      <c r="S2150" s="3"/>
      <c r="T2150" s="3"/>
      <c r="U2150" s="3"/>
      <c r="V2150" s="3"/>
      <c r="W2150" s="3"/>
      <c r="X2150" s="3"/>
      <c r="Y2150" s="3"/>
      <c r="Z2150" s="3"/>
      <c r="AA2150" s="3"/>
    </row>
    <row r="2151">
      <c r="A2151" s="4"/>
      <c r="B2151" s="3"/>
      <c r="C2151" s="3"/>
      <c r="D2151" s="3"/>
      <c r="E2151" s="3"/>
      <c r="F2151" s="3"/>
      <c r="G2151" s="3"/>
      <c r="H2151" s="3"/>
      <c r="I2151" s="3"/>
      <c r="J2151" s="3"/>
      <c r="K2151" s="3"/>
      <c r="L2151" s="3"/>
      <c r="M2151" s="3"/>
      <c r="N2151" s="3"/>
      <c r="O2151" s="3"/>
      <c r="P2151" s="3"/>
      <c r="Q2151" s="3"/>
      <c r="R2151" s="3"/>
      <c r="S2151" s="3"/>
      <c r="T2151" s="3"/>
      <c r="U2151" s="3"/>
      <c r="V2151" s="3"/>
      <c r="W2151" s="3"/>
      <c r="X2151" s="3"/>
      <c r="Y2151" s="3"/>
      <c r="Z2151" s="3"/>
      <c r="AA2151" s="3"/>
    </row>
    <row r="2152">
      <c r="A2152" s="4"/>
      <c r="B2152" s="3"/>
      <c r="C2152" s="3"/>
      <c r="D2152" s="3"/>
      <c r="E2152" s="3"/>
      <c r="F2152" s="3"/>
      <c r="G2152" s="3"/>
      <c r="H2152" s="3"/>
      <c r="I2152" s="3"/>
      <c r="J2152" s="3"/>
      <c r="K2152" s="3"/>
      <c r="L2152" s="3"/>
      <c r="M2152" s="3"/>
      <c r="N2152" s="3"/>
      <c r="O2152" s="3"/>
      <c r="P2152" s="3"/>
      <c r="Q2152" s="3"/>
      <c r="R2152" s="3"/>
      <c r="S2152" s="3"/>
      <c r="T2152" s="3"/>
      <c r="U2152" s="3"/>
      <c r="V2152" s="3"/>
      <c r="W2152" s="3"/>
      <c r="X2152" s="3"/>
      <c r="Y2152" s="3"/>
      <c r="Z2152" s="3"/>
      <c r="AA2152" s="3"/>
    </row>
    <row r="2153">
      <c r="A2153" s="4"/>
      <c r="B2153" s="3"/>
      <c r="C2153" s="3"/>
      <c r="D2153" s="3"/>
      <c r="E2153" s="3"/>
      <c r="F2153" s="3"/>
      <c r="G2153" s="3"/>
      <c r="H2153" s="3"/>
      <c r="I2153" s="3"/>
      <c r="J2153" s="3"/>
      <c r="K2153" s="3"/>
      <c r="L2153" s="3"/>
      <c r="M2153" s="3"/>
      <c r="N2153" s="3"/>
      <c r="O2153" s="3"/>
      <c r="P2153" s="3"/>
      <c r="Q2153" s="3"/>
      <c r="R2153" s="3"/>
      <c r="S2153" s="3"/>
      <c r="T2153" s="3"/>
      <c r="U2153" s="3"/>
      <c r="V2153" s="3"/>
      <c r="W2153" s="3"/>
      <c r="X2153" s="3"/>
      <c r="Y2153" s="3"/>
      <c r="Z2153" s="3"/>
      <c r="AA2153" s="3"/>
    </row>
    <row r="2154">
      <c r="A2154" s="4"/>
      <c r="B2154" s="3"/>
      <c r="C2154" s="3"/>
      <c r="D2154" s="3"/>
      <c r="E2154" s="3"/>
      <c r="F2154" s="3"/>
      <c r="G2154" s="3"/>
      <c r="H2154" s="3"/>
      <c r="I2154" s="3"/>
      <c r="J2154" s="3"/>
      <c r="K2154" s="3"/>
      <c r="L2154" s="3"/>
      <c r="M2154" s="3"/>
      <c r="N2154" s="3"/>
      <c r="O2154" s="3"/>
      <c r="P2154" s="3"/>
      <c r="Q2154" s="3"/>
      <c r="R2154" s="3"/>
      <c r="S2154" s="3"/>
      <c r="T2154" s="3"/>
      <c r="U2154" s="3"/>
      <c r="V2154" s="3"/>
      <c r="W2154" s="3"/>
      <c r="X2154" s="3"/>
      <c r="Y2154" s="3"/>
      <c r="Z2154" s="3"/>
      <c r="AA2154" s="3"/>
    </row>
    <row r="2155">
      <c r="A2155" s="4"/>
      <c r="B2155" s="3"/>
      <c r="C2155" s="3"/>
      <c r="D2155" s="3"/>
      <c r="E2155" s="3"/>
      <c r="F2155" s="3"/>
      <c r="G2155" s="3"/>
      <c r="H2155" s="3"/>
      <c r="I2155" s="3"/>
      <c r="J2155" s="3"/>
      <c r="K2155" s="3"/>
      <c r="L2155" s="3"/>
      <c r="M2155" s="3"/>
      <c r="N2155" s="3"/>
      <c r="O2155" s="3"/>
      <c r="P2155" s="3"/>
      <c r="Q2155" s="3"/>
      <c r="R2155" s="3"/>
      <c r="S2155" s="3"/>
      <c r="T2155" s="3"/>
      <c r="U2155" s="3"/>
      <c r="V2155" s="3"/>
      <c r="W2155" s="3"/>
      <c r="X2155" s="3"/>
      <c r="Y2155" s="3"/>
      <c r="Z2155" s="3"/>
      <c r="AA2155" s="3"/>
    </row>
    <row r="2156">
      <c r="A2156" s="4"/>
      <c r="B2156" s="3"/>
      <c r="C2156" s="3"/>
      <c r="D2156" s="3"/>
      <c r="E2156" s="3"/>
      <c r="F2156" s="3"/>
      <c r="G2156" s="3"/>
      <c r="H2156" s="3"/>
      <c r="I2156" s="3"/>
      <c r="J2156" s="3"/>
      <c r="K2156" s="3"/>
      <c r="L2156" s="3"/>
      <c r="M2156" s="3"/>
      <c r="N2156" s="3"/>
      <c r="O2156" s="3"/>
      <c r="P2156" s="3"/>
      <c r="Q2156" s="3"/>
      <c r="R2156" s="3"/>
      <c r="S2156" s="3"/>
      <c r="T2156" s="3"/>
      <c r="U2156" s="3"/>
      <c r="V2156" s="3"/>
      <c r="W2156" s="3"/>
      <c r="X2156" s="3"/>
      <c r="Y2156" s="3"/>
      <c r="Z2156" s="3"/>
      <c r="AA2156" s="3"/>
    </row>
    <row r="2157">
      <c r="A2157" s="4"/>
      <c r="B2157" s="3"/>
      <c r="C2157" s="3"/>
      <c r="D2157" s="3"/>
      <c r="E2157" s="3"/>
      <c r="F2157" s="3"/>
      <c r="G2157" s="3"/>
      <c r="H2157" s="3"/>
      <c r="I2157" s="3"/>
      <c r="J2157" s="3"/>
      <c r="K2157" s="3"/>
      <c r="L2157" s="3"/>
      <c r="M2157" s="3"/>
      <c r="N2157" s="3"/>
      <c r="O2157" s="3"/>
      <c r="P2157" s="3"/>
      <c r="Q2157" s="3"/>
      <c r="R2157" s="3"/>
      <c r="S2157" s="3"/>
      <c r="T2157" s="3"/>
      <c r="U2157" s="3"/>
      <c r="V2157" s="3"/>
      <c r="W2157" s="3"/>
      <c r="X2157" s="3"/>
      <c r="Y2157" s="3"/>
      <c r="Z2157" s="3"/>
      <c r="AA2157" s="3"/>
    </row>
    <row r="2158">
      <c r="A2158" s="4"/>
      <c r="B2158" s="3"/>
      <c r="C2158" s="3"/>
      <c r="D2158" s="3"/>
      <c r="E2158" s="3"/>
      <c r="F2158" s="3"/>
      <c r="G2158" s="3"/>
      <c r="H2158" s="3"/>
      <c r="I2158" s="3"/>
      <c r="J2158" s="3"/>
      <c r="K2158" s="3"/>
      <c r="L2158" s="3"/>
      <c r="M2158" s="3"/>
      <c r="N2158" s="3"/>
      <c r="O2158" s="3"/>
      <c r="P2158" s="3"/>
      <c r="Q2158" s="3"/>
      <c r="R2158" s="3"/>
      <c r="S2158" s="3"/>
      <c r="T2158" s="3"/>
      <c r="U2158" s="3"/>
      <c r="V2158" s="3"/>
      <c r="W2158" s="3"/>
      <c r="X2158" s="3"/>
      <c r="Y2158" s="3"/>
      <c r="Z2158" s="3"/>
      <c r="AA2158" s="3"/>
    </row>
    <row r="2159">
      <c r="A2159" s="4"/>
      <c r="B2159" s="3"/>
      <c r="C2159" s="3"/>
      <c r="D2159" s="3"/>
      <c r="E2159" s="3"/>
      <c r="F2159" s="3"/>
      <c r="G2159" s="3"/>
      <c r="H2159" s="3"/>
      <c r="I2159" s="3"/>
      <c r="J2159" s="3"/>
      <c r="K2159" s="3"/>
      <c r="L2159" s="3"/>
      <c r="M2159" s="3"/>
      <c r="N2159" s="3"/>
      <c r="O2159" s="3"/>
      <c r="P2159" s="3"/>
      <c r="Q2159" s="3"/>
      <c r="R2159" s="3"/>
      <c r="S2159" s="3"/>
      <c r="T2159" s="3"/>
      <c r="U2159" s="3"/>
      <c r="V2159" s="3"/>
      <c r="W2159" s="3"/>
      <c r="X2159" s="3"/>
      <c r="Y2159" s="3"/>
      <c r="Z2159" s="3"/>
      <c r="AA2159" s="3"/>
    </row>
    <row r="2160">
      <c r="A2160" s="4"/>
      <c r="B2160" s="3"/>
      <c r="C2160" s="3"/>
      <c r="D2160" s="3"/>
      <c r="E2160" s="3"/>
      <c r="F2160" s="3"/>
      <c r="G2160" s="3"/>
      <c r="H2160" s="3"/>
      <c r="I2160" s="3"/>
      <c r="J2160" s="3"/>
      <c r="K2160" s="3"/>
      <c r="L2160" s="3"/>
      <c r="M2160" s="3"/>
      <c r="N2160" s="3"/>
      <c r="O2160" s="3"/>
      <c r="P2160" s="3"/>
      <c r="Q2160" s="3"/>
      <c r="R2160" s="3"/>
      <c r="S2160" s="3"/>
      <c r="T2160" s="3"/>
      <c r="U2160" s="3"/>
      <c r="V2160" s="3"/>
      <c r="W2160" s="3"/>
      <c r="X2160" s="3"/>
      <c r="Y2160" s="3"/>
      <c r="Z2160" s="3"/>
      <c r="AA2160" s="3"/>
    </row>
    <row r="2161">
      <c r="A2161" s="4"/>
      <c r="B2161" s="3"/>
      <c r="C2161" s="3"/>
      <c r="D2161" s="3"/>
      <c r="E2161" s="3"/>
      <c r="F2161" s="3"/>
      <c r="G2161" s="3"/>
      <c r="H2161" s="3"/>
      <c r="I2161" s="3"/>
      <c r="J2161" s="3"/>
      <c r="K2161" s="3"/>
      <c r="L2161" s="3"/>
      <c r="M2161" s="3"/>
      <c r="N2161" s="3"/>
      <c r="O2161" s="3"/>
      <c r="P2161" s="3"/>
      <c r="Q2161" s="3"/>
      <c r="R2161" s="3"/>
      <c r="S2161" s="3"/>
      <c r="T2161" s="3"/>
      <c r="U2161" s="3"/>
      <c r="V2161" s="3"/>
      <c r="W2161" s="3"/>
      <c r="X2161" s="3"/>
      <c r="Y2161" s="3"/>
      <c r="Z2161" s="3"/>
      <c r="AA2161" s="3"/>
    </row>
    <row r="2162">
      <c r="A2162" s="4"/>
      <c r="B2162" s="3"/>
      <c r="C2162" s="3"/>
      <c r="D2162" s="3"/>
      <c r="E2162" s="3"/>
      <c r="F2162" s="3"/>
      <c r="G2162" s="3"/>
      <c r="H2162" s="3"/>
      <c r="I2162" s="3"/>
      <c r="J2162" s="3"/>
      <c r="K2162" s="3"/>
      <c r="L2162" s="3"/>
      <c r="M2162" s="3"/>
      <c r="N2162" s="3"/>
      <c r="O2162" s="3"/>
      <c r="P2162" s="3"/>
      <c r="Q2162" s="3"/>
      <c r="R2162" s="3"/>
      <c r="S2162" s="3"/>
      <c r="T2162" s="3"/>
      <c r="U2162" s="3"/>
      <c r="V2162" s="3"/>
      <c r="W2162" s="3"/>
      <c r="X2162" s="3"/>
      <c r="Y2162" s="3"/>
      <c r="Z2162" s="3"/>
      <c r="AA2162" s="3"/>
    </row>
    <row r="2163">
      <c r="A2163" s="4"/>
      <c r="B2163" s="3"/>
      <c r="C2163" s="3"/>
      <c r="D2163" s="3"/>
      <c r="E2163" s="3"/>
      <c r="F2163" s="3"/>
      <c r="G2163" s="3"/>
      <c r="H2163" s="3"/>
      <c r="I2163" s="3"/>
      <c r="J2163" s="3"/>
      <c r="K2163" s="3"/>
      <c r="L2163" s="3"/>
      <c r="M2163" s="3"/>
      <c r="N2163" s="3"/>
      <c r="O2163" s="3"/>
      <c r="P2163" s="3"/>
      <c r="Q2163" s="3"/>
      <c r="R2163" s="3"/>
      <c r="S2163" s="3"/>
      <c r="T2163" s="3"/>
      <c r="U2163" s="3"/>
      <c r="V2163" s="3"/>
      <c r="W2163" s="3"/>
      <c r="X2163" s="3"/>
      <c r="Y2163" s="3"/>
      <c r="Z2163" s="3"/>
      <c r="AA2163" s="3"/>
    </row>
    <row r="2164">
      <c r="A2164" s="4"/>
      <c r="B2164" s="3"/>
      <c r="C2164" s="3"/>
      <c r="D2164" s="3"/>
      <c r="E2164" s="3"/>
      <c r="F2164" s="3"/>
      <c r="G2164" s="3"/>
      <c r="H2164" s="3"/>
      <c r="I2164" s="3"/>
      <c r="J2164" s="3"/>
      <c r="K2164" s="3"/>
      <c r="L2164" s="3"/>
      <c r="M2164" s="3"/>
      <c r="N2164" s="3"/>
      <c r="O2164" s="3"/>
      <c r="P2164" s="3"/>
      <c r="Q2164" s="3"/>
      <c r="R2164" s="3"/>
      <c r="S2164" s="3"/>
      <c r="T2164" s="3"/>
      <c r="U2164" s="3"/>
      <c r="V2164" s="3"/>
      <c r="W2164" s="3"/>
      <c r="X2164" s="3"/>
      <c r="Y2164" s="3"/>
      <c r="Z2164" s="3"/>
      <c r="AA2164" s="3"/>
    </row>
    <row r="2165">
      <c r="A2165" s="4"/>
      <c r="B2165" s="3"/>
      <c r="C2165" s="3"/>
      <c r="D2165" s="3"/>
      <c r="E2165" s="3"/>
      <c r="F2165" s="3"/>
      <c r="G2165" s="3"/>
      <c r="H2165" s="3"/>
      <c r="I2165" s="3"/>
      <c r="J2165" s="3"/>
      <c r="K2165" s="3"/>
      <c r="L2165" s="3"/>
      <c r="M2165" s="3"/>
      <c r="N2165" s="3"/>
      <c r="O2165" s="3"/>
      <c r="P2165" s="3"/>
      <c r="Q2165" s="3"/>
      <c r="R2165" s="3"/>
      <c r="S2165" s="3"/>
      <c r="T2165" s="3"/>
      <c r="U2165" s="3"/>
      <c r="V2165" s="3"/>
      <c r="W2165" s="3"/>
      <c r="X2165" s="3"/>
      <c r="Y2165" s="3"/>
      <c r="Z2165" s="3"/>
      <c r="AA2165" s="3"/>
    </row>
    <row r="2166">
      <c r="A2166" s="4"/>
      <c r="B2166" s="3"/>
      <c r="C2166" s="3"/>
      <c r="D2166" s="3"/>
      <c r="E2166" s="3"/>
      <c r="F2166" s="3"/>
      <c r="G2166" s="3"/>
      <c r="H2166" s="3"/>
      <c r="I2166" s="3"/>
      <c r="J2166" s="3"/>
      <c r="K2166" s="3"/>
      <c r="L2166" s="3"/>
      <c r="M2166" s="3"/>
      <c r="N2166" s="3"/>
      <c r="O2166" s="3"/>
      <c r="P2166" s="3"/>
      <c r="Q2166" s="3"/>
      <c r="R2166" s="3"/>
      <c r="S2166" s="3"/>
      <c r="T2166" s="3"/>
      <c r="U2166" s="3"/>
      <c r="V2166" s="3"/>
      <c r="W2166" s="3"/>
      <c r="X2166" s="3"/>
      <c r="Y2166" s="3"/>
      <c r="Z2166" s="3"/>
      <c r="AA2166" s="3"/>
    </row>
    <row r="2167">
      <c r="A2167" s="4"/>
      <c r="B2167" s="3"/>
      <c r="C2167" s="3"/>
      <c r="D2167" s="3"/>
      <c r="E2167" s="3"/>
      <c r="F2167" s="3"/>
      <c r="G2167" s="3"/>
      <c r="H2167" s="3"/>
      <c r="I2167" s="3"/>
      <c r="J2167" s="3"/>
      <c r="K2167" s="3"/>
      <c r="L2167" s="3"/>
      <c r="M2167" s="3"/>
      <c r="N2167" s="3"/>
      <c r="O2167" s="3"/>
      <c r="P2167" s="3"/>
      <c r="Q2167" s="3"/>
      <c r="R2167" s="3"/>
      <c r="S2167" s="3"/>
      <c r="T2167" s="3"/>
      <c r="U2167" s="3"/>
      <c r="V2167" s="3"/>
      <c r="W2167" s="3"/>
      <c r="X2167" s="3"/>
      <c r="Y2167" s="3"/>
      <c r="Z2167" s="3"/>
      <c r="AA2167" s="3"/>
    </row>
    <row r="2168">
      <c r="A2168" s="4"/>
      <c r="B2168" s="3"/>
      <c r="C2168" s="3"/>
      <c r="D2168" s="3"/>
      <c r="E2168" s="3"/>
      <c r="F2168" s="3"/>
      <c r="G2168" s="3"/>
      <c r="H2168" s="3"/>
      <c r="I2168" s="3"/>
      <c r="J2168" s="3"/>
      <c r="K2168" s="3"/>
      <c r="L2168" s="3"/>
      <c r="M2168" s="3"/>
      <c r="N2168" s="3"/>
      <c r="O2168" s="3"/>
      <c r="P2168" s="3"/>
      <c r="Q2168" s="3"/>
      <c r="R2168" s="3"/>
      <c r="S2168" s="3"/>
      <c r="T2168" s="3"/>
      <c r="U2168" s="3"/>
      <c r="V2168" s="3"/>
      <c r="W2168" s="3"/>
      <c r="X2168" s="3"/>
      <c r="Y2168" s="3"/>
      <c r="Z2168" s="3"/>
      <c r="AA2168" s="3"/>
    </row>
    <row r="2169">
      <c r="A2169" s="4"/>
      <c r="B2169" s="3"/>
      <c r="C2169" s="3"/>
      <c r="D2169" s="3"/>
      <c r="E2169" s="3"/>
      <c r="F2169" s="3"/>
      <c r="G2169" s="3"/>
      <c r="H2169" s="3"/>
      <c r="I2169" s="3"/>
      <c r="J2169" s="3"/>
      <c r="K2169" s="3"/>
      <c r="L2169" s="3"/>
      <c r="M2169" s="3"/>
      <c r="N2169" s="3"/>
      <c r="O2169" s="3"/>
      <c r="P2169" s="3"/>
      <c r="Q2169" s="3"/>
      <c r="R2169" s="3"/>
      <c r="S2169" s="3"/>
      <c r="T2169" s="3"/>
      <c r="U2169" s="3"/>
      <c r="V2169" s="3"/>
      <c r="W2169" s="3"/>
      <c r="X2169" s="3"/>
      <c r="Y2169" s="3"/>
      <c r="Z2169" s="3"/>
      <c r="AA2169" s="3"/>
    </row>
    <row r="2170">
      <c r="A2170" s="4"/>
      <c r="B2170" s="3"/>
      <c r="C2170" s="3"/>
      <c r="D2170" s="3"/>
      <c r="E2170" s="3"/>
      <c r="F2170" s="3"/>
      <c r="G2170" s="3"/>
      <c r="H2170" s="3"/>
      <c r="I2170" s="3"/>
      <c r="J2170" s="3"/>
      <c r="K2170" s="3"/>
      <c r="L2170" s="3"/>
      <c r="M2170" s="3"/>
      <c r="N2170" s="3"/>
      <c r="O2170" s="3"/>
      <c r="P2170" s="3"/>
      <c r="Q2170" s="3"/>
      <c r="R2170" s="3"/>
      <c r="S2170" s="3"/>
      <c r="T2170" s="3"/>
      <c r="U2170" s="3"/>
      <c r="V2170" s="3"/>
      <c r="W2170" s="3"/>
      <c r="X2170" s="3"/>
      <c r="Y2170" s="3"/>
      <c r="Z2170" s="3"/>
      <c r="AA2170" s="3"/>
    </row>
    <row r="2171">
      <c r="A2171" s="4"/>
      <c r="B2171" s="3"/>
      <c r="C2171" s="3"/>
      <c r="D2171" s="3"/>
      <c r="E2171" s="3"/>
      <c r="F2171" s="3"/>
      <c r="G2171" s="3"/>
      <c r="H2171" s="3"/>
      <c r="I2171" s="3"/>
      <c r="J2171" s="3"/>
      <c r="K2171" s="3"/>
      <c r="L2171" s="3"/>
      <c r="M2171" s="3"/>
      <c r="N2171" s="3"/>
      <c r="O2171" s="3"/>
      <c r="P2171" s="3"/>
      <c r="Q2171" s="3"/>
      <c r="R2171" s="3"/>
      <c r="S2171" s="3"/>
      <c r="T2171" s="3"/>
      <c r="U2171" s="3"/>
      <c r="V2171" s="3"/>
      <c r="W2171" s="3"/>
      <c r="X2171" s="3"/>
      <c r="Y2171" s="3"/>
      <c r="Z2171" s="3"/>
      <c r="AA2171" s="3"/>
    </row>
    <row r="2172">
      <c r="A2172" s="4"/>
      <c r="B2172" s="3"/>
      <c r="C2172" s="3"/>
      <c r="D2172" s="3"/>
      <c r="E2172" s="3"/>
      <c r="F2172" s="3"/>
      <c r="G2172" s="3"/>
      <c r="H2172" s="3"/>
      <c r="I2172" s="3"/>
      <c r="J2172" s="3"/>
      <c r="K2172" s="3"/>
      <c r="L2172" s="3"/>
      <c r="M2172" s="3"/>
      <c r="N2172" s="3"/>
      <c r="O2172" s="3"/>
      <c r="P2172" s="3"/>
      <c r="Q2172" s="3"/>
      <c r="R2172" s="3"/>
      <c r="S2172" s="3"/>
      <c r="T2172" s="3"/>
      <c r="U2172" s="3"/>
      <c r="V2172" s="3"/>
      <c r="W2172" s="3"/>
      <c r="X2172" s="3"/>
      <c r="Y2172" s="3"/>
      <c r="Z2172" s="3"/>
      <c r="AA2172" s="3"/>
    </row>
    <row r="2173">
      <c r="A2173" s="4"/>
      <c r="B2173" s="3"/>
      <c r="C2173" s="3"/>
      <c r="D2173" s="3"/>
      <c r="E2173" s="3"/>
      <c r="F2173" s="3"/>
      <c r="G2173" s="3"/>
      <c r="H2173" s="3"/>
      <c r="I2173" s="3"/>
      <c r="J2173" s="3"/>
      <c r="K2173" s="3"/>
      <c r="L2173" s="3"/>
      <c r="M2173" s="3"/>
      <c r="N2173" s="3"/>
      <c r="O2173" s="3"/>
      <c r="P2173" s="3"/>
      <c r="Q2173" s="3"/>
      <c r="R2173" s="3"/>
      <c r="S2173" s="3"/>
      <c r="T2173" s="3"/>
      <c r="U2173" s="3"/>
      <c r="V2173" s="3"/>
      <c r="W2173" s="3"/>
      <c r="X2173" s="3"/>
      <c r="Y2173" s="3"/>
      <c r="Z2173" s="3"/>
      <c r="AA2173" s="3"/>
    </row>
    <row r="2174">
      <c r="A2174" s="4"/>
      <c r="B2174" s="3"/>
      <c r="C2174" s="3"/>
      <c r="D2174" s="3"/>
      <c r="E2174" s="3"/>
      <c r="F2174" s="3"/>
      <c r="G2174" s="3"/>
      <c r="H2174" s="3"/>
      <c r="I2174" s="3"/>
      <c r="J2174" s="3"/>
      <c r="K2174" s="3"/>
      <c r="L2174" s="3"/>
      <c r="M2174" s="3"/>
      <c r="N2174" s="3"/>
      <c r="O2174" s="3"/>
      <c r="P2174" s="3"/>
      <c r="Q2174" s="3"/>
      <c r="R2174" s="3"/>
      <c r="S2174" s="3"/>
      <c r="T2174" s="3"/>
      <c r="U2174" s="3"/>
      <c r="V2174" s="3"/>
      <c r="W2174" s="3"/>
      <c r="X2174" s="3"/>
      <c r="Y2174" s="3"/>
      <c r="Z2174" s="3"/>
      <c r="AA2174" s="3"/>
    </row>
    <row r="2175">
      <c r="A2175" s="4"/>
      <c r="B2175" s="3"/>
      <c r="C2175" s="3"/>
      <c r="D2175" s="3"/>
      <c r="E2175" s="3"/>
      <c r="F2175" s="3"/>
      <c r="G2175" s="3"/>
      <c r="H2175" s="3"/>
      <c r="I2175" s="3"/>
      <c r="J2175" s="3"/>
      <c r="K2175" s="3"/>
      <c r="L2175" s="3"/>
      <c r="M2175" s="3"/>
      <c r="N2175" s="3"/>
      <c r="O2175" s="3"/>
      <c r="P2175" s="3"/>
      <c r="Q2175" s="3"/>
      <c r="R2175" s="3"/>
      <c r="S2175" s="3"/>
      <c r="T2175" s="3"/>
      <c r="U2175" s="3"/>
      <c r="V2175" s="3"/>
      <c r="W2175" s="3"/>
      <c r="X2175" s="3"/>
      <c r="Y2175" s="3"/>
      <c r="Z2175" s="3"/>
      <c r="AA2175" s="3"/>
    </row>
    <row r="2176">
      <c r="A2176" s="4"/>
      <c r="B2176" s="3"/>
      <c r="C2176" s="3"/>
      <c r="D2176" s="3"/>
      <c r="E2176" s="3"/>
      <c r="F2176" s="3"/>
      <c r="G2176" s="3"/>
      <c r="H2176" s="3"/>
      <c r="I2176" s="3"/>
      <c r="J2176" s="3"/>
      <c r="K2176" s="3"/>
      <c r="L2176" s="3"/>
      <c r="M2176" s="3"/>
      <c r="N2176" s="3"/>
      <c r="O2176" s="3"/>
      <c r="P2176" s="3"/>
      <c r="Q2176" s="3"/>
      <c r="R2176" s="3"/>
      <c r="S2176" s="3"/>
      <c r="T2176" s="3"/>
      <c r="U2176" s="3"/>
      <c r="V2176" s="3"/>
      <c r="W2176" s="3"/>
      <c r="X2176" s="3"/>
      <c r="Y2176" s="3"/>
      <c r="Z2176" s="3"/>
      <c r="AA2176" s="3"/>
    </row>
    <row r="2177">
      <c r="A2177" s="4"/>
      <c r="B2177" s="3"/>
      <c r="C2177" s="3"/>
      <c r="D2177" s="3"/>
      <c r="E2177" s="3"/>
      <c r="F2177" s="3"/>
      <c r="G2177" s="3"/>
      <c r="H2177" s="3"/>
      <c r="I2177" s="3"/>
      <c r="J2177" s="3"/>
      <c r="K2177" s="3"/>
      <c r="L2177" s="3"/>
      <c r="M2177" s="3"/>
      <c r="N2177" s="3"/>
      <c r="O2177" s="3"/>
      <c r="P2177" s="3"/>
      <c r="Q2177" s="3"/>
      <c r="R2177" s="3"/>
      <c r="S2177" s="3"/>
      <c r="T2177" s="3"/>
      <c r="U2177" s="3"/>
      <c r="V2177" s="3"/>
      <c r="W2177" s="3"/>
      <c r="X2177" s="3"/>
      <c r="Y2177" s="3"/>
      <c r="Z2177" s="3"/>
      <c r="AA2177" s="3"/>
    </row>
    <row r="2178">
      <c r="A2178" s="4"/>
      <c r="B2178" s="3"/>
      <c r="C2178" s="3"/>
      <c r="D2178" s="3"/>
      <c r="E2178" s="3"/>
      <c r="F2178" s="3"/>
      <c r="G2178" s="3"/>
      <c r="H2178" s="3"/>
      <c r="I2178" s="3"/>
      <c r="J2178" s="3"/>
      <c r="K2178" s="3"/>
      <c r="L2178" s="3"/>
      <c r="M2178" s="3"/>
      <c r="N2178" s="3"/>
      <c r="O2178" s="3"/>
      <c r="P2178" s="3"/>
      <c r="Q2178" s="3"/>
      <c r="R2178" s="3"/>
      <c r="S2178" s="3"/>
      <c r="T2178" s="3"/>
      <c r="U2178" s="3"/>
      <c r="V2178" s="3"/>
      <c r="W2178" s="3"/>
      <c r="X2178" s="3"/>
      <c r="Y2178" s="3"/>
      <c r="Z2178" s="3"/>
      <c r="AA2178" s="3"/>
    </row>
    <row r="2179">
      <c r="A2179" s="4"/>
      <c r="B2179" s="3"/>
      <c r="C2179" s="3"/>
      <c r="D2179" s="3"/>
      <c r="E2179" s="3"/>
      <c r="F2179" s="3"/>
      <c r="G2179" s="3"/>
      <c r="H2179" s="3"/>
      <c r="I2179" s="3"/>
      <c r="J2179" s="3"/>
      <c r="K2179" s="3"/>
      <c r="L2179" s="3"/>
      <c r="M2179" s="3"/>
      <c r="N2179" s="3"/>
      <c r="O2179" s="3"/>
      <c r="P2179" s="3"/>
      <c r="Q2179" s="3"/>
      <c r="R2179" s="3"/>
      <c r="S2179" s="3"/>
      <c r="T2179" s="3"/>
      <c r="U2179" s="3"/>
      <c r="V2179" s="3"/>
      <c r="W2179" s="3"/>
      <c r="X2179" s="3"/>
      <c r="Y2179" s="3"/>
      <c r="Z2179" s="3"/>
      <c r="AA2179" s="3"/>
    </row>
    <row r="2180">
      <c r="A2180" s="4"/>
      <c r="B2180" s="3"/>
      <c r="C2180" s="3"/>
      <c r="D2180" s="3"/>
      <c r="E2180" s="3"/>
      <c r="F2180" s="3"/>
      <c r="G2180" s="3"/>
      <c r="H2180" s="3"/>
      <c r="I2180" s="3"/>
      <c r="J2180" s="3"/>
      <c r="K2180" s="3"/>
      <c r="L2180" s="3"/>
      <c r="M2180" s="3"/>
      <c r="N2180" s="3"/>
      <c r="O2180" s="3"/>
      <c r="P2180" s="3"/>
      <c r="Q2180" s="3"/>
      <c r="R2180" s="3"/>
      <c r="S2180" s="3"/>
      <c r="T2180" s="3"/>
      <c r="U2180" s="3"/>
      <c r="V2180" s="3"/>
      <c r="W2180" s="3"/>
      <c r="X2180" s="3"/>
      <c r="Y2180" s="3"/>
      <c r="Z2180" s="3"/>
      <c r="AA2180" s="3"/>
    </row>
    <row r="2181">
      <c r="A2181" s="4"/>
      <c r="B2181" s="3"/>
      <c r="C2181" s="3"/>
      <c r="D2181" s="3"/>
      <c r="E2181" s="3"/>
      <c r="F2181" s="3"/>
      <c r="G2181" s="3"/>
      <c r="H2181" s="3"/>
      <c r="I2181" s="3"/>
      <c r="J2181" s="3"/>
      <c r="K2181" s="3"/>
      <c r="L2181" s="3"/>
      <c r="M2181" s="3"/>
      <c r="N2181" s="3"/>
      <c r="O2181" s="3"/>
      <c r="P2181" s="3"/>
      <c r="Q2181" s="3"/>
      <c r="R2181" s="3"/>
      <c r="S2181" s="3"/>
      <c r="T2181" s="3"/>
      <c r="U2181" s="3"/>
      <c r="V2181" s="3"/>
      <c r="W2181" s="3"/>
      <c r="X2181" s="3"/>
      <c r="Y2181" s="3"/>
      <c r="Z2181" s="3"/>
      <c r="AA2181" s="3"/>
    </row>
    <row r="2182">
      <c r="A2182" s="4"/>
      <c r="B2182" s="3"/>
      <c r="C2182" s="3"/>
      <c r="D2182" s="3"/>
      <c r="E2182" s="3"/>
      <c r="F2182" s="3"/>
      <c r="G2182" s="3"/>
      <c r="H2182" s="3"/>
      <c r="I2182" s="3"/>
      <c r="J2182" s="3"/>
      <c r="K2182" s="3"/>
      <c r="L2182" s="3"/>
      <c r="M2182" s="3"/>
      <c r="N2182" s="3"/>
      <c r="O2182" s="3"/>
      <c r="P2182" s="3"/>
      <c r="Q2182" s="3"/>
      <c r="R2182" s="3"/>
      <c r="S2182" s="3"/>
      <c r="T2182" s="3"/>
      <c r="U2182" s="3"/>
      <c r="V2182" s="3"/>
      <c r="W2182" s="3"/>
      <c r="X2182" s="3"/>
      <c r="Y2182" s="3"/>
      <c r="Z2182" s="3"/>
      <c r="AA2182" s="3"/>
    </row>
    <row r="2183">
      <c r="A2183" s="4"/>
      <c r="B2183" s="3"/>
      <c r="C2183" s="3"/>
      <c r="D2183" s="3"/>
      <c r="E2183" s="3"/>
      <c r="F2183" s="3"/>
      <c r="G2183" s="3"/>
      <c r="H2183" s="3"/>
      <c r="I2183" s="3"/>
      <c r="J2183" s="3"/>
      <c r="K2183" s="3"/>
      <c r="L2183" s="3"/>
      <c r="M2183" s="3"/>
      <c r="N2183" s="3"/>
      <c r="O2183" s="3"/>
      <c r="P2183" s="3"/>
      <c r="Q2183" s="3"/>
      <c r="R2183" s="3"/>
      <c r="S2183" s="3"/>
      <c r="T2183" s="3"/>
      <c r="U2183" s="3"/>
      <c r="V2183" s="3"/>
      <c r="W2183" s="3"/>
      <c r="X2183" s="3"/>
      <c r="Y2183" s="3"/>
      <c r="Z2183" s="3"/>
      <c r="AA2183" s="3"/>
    </row>
    <row r="2184">
      <c r="A2184" s="4"/>
      <c r="B2184" s="3"/>
      <c r="C2184" s="3"/>
      <c r="D2184" s="3"/>
      <c r="E2184" s="3"/>
      <c r="F2184" s="3"/>
      <c r="G2184" s="3"/>
      <c r="H2184" s="3"/>
      <c r="I2184" s="3"/>
      <c r="J2184" s="3"/>
      <c r="K2184" s="3"/>
      <c r="L2184" s="3"/>
      <c r="M2184" s="3"/>
      <c r="N2184" s="3"/>
      <c r="O2184" s="3"/>
      <c r="P2184" s="3"/>
      <c r="Q2184" s="3"/>
      <c r="R2184" s="3"/>
      <c r="S2184" s="3"/>
      <c r="T2184" s="3"/>
      <c r="U2184" s="3"/>
      <c r="V2184" s="3"/>
      <c r="W2184" s="3"/>
      <c r="X2184" s="3"/>
      <c r="Y2184" s="3"/>
      <c r="Z2184" s="3"/>
      <c r="AA2184" s="3"/>
    </row>
    <row r="2185">
      <c r="A2185" s="4"/>
      <c r="B2185" s="3"/>
      <c r="C2185" s="3"/>
      <c r="D2185" s="3"/>
      <c r="E2185" s="3"/>
      <c r="F2185" s="3"/>
      <c r="G2185" s="3"/>
      <c r="H2185" s="3"/>
      <c r="I2185" s="3"/>
      <c r="J2185" s="3"/>
      <c r="K2185" s="3"/>
      <c r="L2185" s="3"/>
      <c r="M2185" s="3"/>
      <c r="N2185" s="3"/>
      <c r="O2185" s="3"/>
      <c r="P2185" s="3"/>
      <c r="Q2185" s="3"/>
      <c r="R2185" s="3"/>
      <c r="S2185" s="3"/>
      <c r="T2185" s="3"/>
      <c r="U2185" s="3"/>
      <c r="V2185" s="3"/>
      <c r="W2185" s="3"/>
      <c r="X2185" s="3"/>
      <c r="Y2185" s="3"/>
      <c r="Z2185" s="3"/>
      <c r="AA2185" s="3"/>
    </row>
    <row r="2186">
      <c r="A2186" s="4"/>
      <c r="B2186" s="3"/>
      <c r="C2186" s="3"/>
      <c r="D2186" s="3"/>
      <c r="E2186" s="3"/>
      <c r="F2186" s="3"/>
      <c r="G2186" s="3"/>
      <c r="H2186" s="3"/>
      <c r="I2186" s="3"/>
      <c r="J2186" s="3"/>
      <c r="K2186" s="3"/>
      <c r="L2186" s="3"/>
      <c r="M2186" s="3"/>
      <c r="N2186" s="3"/>
      <c r="O2186" s="3"/>
      <c r="P2186" s="3"/>
      <c r="Q2186" s="3"/>
      <c r="R2186" s="3"/>
      <c r="S2186" s="3"/>
      <c r="T2186" s="3"/>
      <c r="U2186" s="3"/>
      <c r="V2186" s="3"/>
      <c r="W2186" s="3"/>
      <c r="X2186" s="3"/>
      <c r="Y2186" s="3"/>
      <c r="Z2186" s="3"/>
      <c r="AA2186" s="3"/>
    </row>
    <row r="2187">
      <c r="A2187" s="4"/>
      <c r="B2187" s="3"/>
      <c r="C2187" s="3"/>
      <c r="D2187" s="3"/>
      <c r="E2187" s="3"/>
      <c r="F2187" s="3"/>
      <c r="G2187" s="3"/>
      <c r="H2187" s="3"/>
      <c r="I2187" s="3"/>
      <c r="J2187" s="3"/>
      <c r="K2187" s="3"/>
      <c r="L2187" s="3"/>
      <c r="M2187" s="3"/>
      <c r="N2187" s="3"/>
      <c r="O2187" s="3"/>
      <c r="P2187" s="3"/>
      <c r="Q2187" s="3"/>
      <c r="R2187" s="3"/>
      <c r="S2187" s="3"/>
      <c r="T2187" s="3"/>
      <c r="U2187" s="3"/>
      <c r="V2187" s="3"/>
      <c r="W2187" s="3"/>
      <c r="X2187" s="3"/>
      <c r="Y2187" s="3"/>
      <c r="Z2187" s="3"/>
      <c r="AA2187" s="3"/>
    </row>
    <row r="2188">
      <c r="A2188" s="4"/>
      <c r="B2188" s="3"/>
      <c r="C2188" s="3"/>
      <c r="D2188" s="3"/>
      <c r="E2188" s="3"/>
      <c r="F2188" s="3"/>
      <c r="G2188" s="3"/>
      <c r="H2188" s="3"/>
      <c r="I2188" s="3"/>
      <c r="J2188" s="3"/>
      <c r="K2188" s="3"/>
      <c r="L2188" s="3"/>
      <c r="M2188" s="3"/>
      <c r="N2188" s="3"/>
      <c r="O2188" s="3"/>
      <c r="P2188" s="3"/>
      <c r="Q2188" s="3"/>
      <c r="R2188" s="3"/>
      <c r="S2188" s="3"/>
      <c r="T2188" s="3"/>
      <c r="U2188" s="3"/>
      <c r="V2188" s="3"/>
      <c r="W2188" s="3"/>
      <c r="X2188" s="3"/>
      <c r="Y2188" s="3"/>
      <c r="Z2188" s="3"/>
      <c r="AA2188" s="3"/>
    </row>
    <row r="2189">
      <c r="A2189" s="4"/>
      <c r="B2189" s="3"/>
      <c r="C2189" s="3"/>
      <c r="D2189" s="3"/>
      <c r="E2189" s="3"/>
      <c r="F2189" s="3"/>
      <c r="G2189" s="3"/>
      <c r="H2189" s="3"/>
      <c r="I2189" s="3"/>
      <c r="J2189" s="3"/>
      <c r="K2189" s="3"/>
      <c r="L2189" s="3"/>
      <c r="M2189" s="3"/>
      <c r="N2189" s="3"/>
      <c r="O2189" s="3"/>
      <c r="P2189" s="3"/>
      <c r="Q2189" s="3"/>
      <c r="R2189" s="3"/>
      <c r="S2189" s="3"/>
      <c r="T2189" s="3"/>
      <c r="U2189" s="3"/>
      <c r="V2189" s="3"/>
      <c r="W2189" s="3"/>
      <c r="X2189" s="3"/>
      <c r="Y2189" s="3"/>
      <c r="Z2189" s="3"/>
      <c r="AA2189" s="3"/>
    </row>
    <row r="2190">
      <c r="A2190" s="4"/>
      <c r="B2190" s="3"/>
      <c r="C2190" s="3"/>
      <c r="D2190" s="3"/>
      <c r="E2190" s="3"/>
      <c r="F2190" s="3"/>
      <c r="G2190" s="3"/>
      <c r="H2190" s="3"/>
      <c r="I2190" s="3"/>
      <c r="J2190" s="3"/>
      <c r="K2190" s="3"/>
      <c r="L2190" s="3"/>
      <c r="M2190" s="3"/>
      <c r="N2190" s="3"/>
      <c r="O2190" s="3"/>
      <c r="P2190" s="3"/>
      <c r="Q2190" s="3"/>
      <c r="R2190" s="3"/>
      <c r="S2190" s="3"/>
      <c r="T2190" s="3"/>
      <c r="U2190" s="3"/>
      <c r="V2190" s="3"/>
      <c r="W2190" s="3"/>
      <c r="X2190" s="3"/>
      <c r="Y2190" s="3"/>
      <c r="Z2190" s="3"/>
      <c r="AA2190" s="3"/>
    </row>
    <row r="2191">
      <c r="A2191" s="4"/>
      <c r="B2191" s="3"/>
      <c r="C2191" s="3"/>
      <c r="D2191" s="3"/>
      <c r="E2191" s="3"/>
      <c r="F2191" s="3"/>
      <c r="G2191" s="3"/>
      <c r="H2191" s="3"/>
      <c r="I2191" s="3"/>
      <c r="J2191" s="3"/>
      <c r="K2191" s="3"/>
      <c r="L2191" s="3"/>
      <c r="M2191" s="3"/>
      <c r="N2191" s="3"/>
      <c r="O2191" s="3"/>
      <c r="P2191" s="3"/>
      <c r="Q2191" s="3"/>
      <c r="R2191" s="3"/>
      <c r="S2191" s="3"/>
      <c r="T2191" s="3"/>
      <c r="U2191" s="3"/>
      <c r="V2191" s="3"/>
      <c r="W2191" s="3"/>
      <c r="X2191" s="3"/>
      <c r="Y2191" s="3"/>
      <c r="Z2191" s="3"/>
      <c r="AA2191" s="3"/>
    </row>
    <row r="2192">
      <c r="A2192" s="4"/>
      <c r="B2192" s="3"/>
      <c r="C2192" s="3"/>
      <c r="D2192" s="3"/>
      <c r="E2192" s="3"/>
      <c r="F2192" s="3"/>
      <c r="G2192" s="3"/>
      <c r="H2192" s="3"/>
      <c r="I2192" s="3"/>
      <c r="J2192" s="3"/>
      <c r="K2192" s="3"/>
      <c r="L2192" s="3"/>
      <c r="M2192" s="3"/>
      <c r="N2192" s="3"/>
      <c r="O2192" s="3"/>
      <c r="P2192" s="3"/>
      <c r="Q2192" s="3"/>
      <c r="R2192" s="3"/>
      <c r="S2192" s="3"/>
      <c r="T2192" s="3"/>
      <c r="U2192" s="3"/>
      <c r="V2192" s="3"/>
      <c r="W2192" s="3"/>
      <c r="X2192" s="3"/>
      <c r="Y2192" s="3"/>
      <c r="Z2192" s="3"/>
      <c r="AA2192" s="3"/>
    </row>
    <row r="2193">
      <c r="A2193" s="4"/>
      <c r="B2193" s="3"/>
      <c r="C2193" s="3"/>
      <c r="D2193" s="3"/>
      <c r="E2193" s="3"/>
      <c r="F2193" s="3"/>
      <c r="G2193" s="3"/>
      <c r="H2193" s="3"/>
      <c r="I2193" s="3"/>
      <c r="J2193" s="3"/>
      <c r="K2193" s="3"/>
      <c r="L2193" s="3"/>
      <c r="M2193" s="3"/>
      <c r="N2193" s="3"/>
      <c r="O2193" s="3"/>
      <c r="P2193" s="3"/>
      <c r="Q2193" s="3"/>
      <c r="R2193" s="3"/>
      <c r="S2193" s="3"/>
      <c r="T2193" s="3"/>
      <c r="U2193" s="3"/>
      <c r="V2193" s="3"/>
      <c r="W2193" s="3"/>
      <c r="X2193" s="3"/>
      <c r="Y2193" s="3"/>
      <c r="Z2193" s="3"/>
      <c r="AA2193" s="3"/>
    </row>
    <row r="2194">
      <c r="A2194" s="4"/>
      <c r="B2194" s="3"/>
      <c r="C2194" s="3"/>
      <c r="D2194" s="3"/>
      <c r="E2194" s="3"/>
      <c r="F2194" s="3"/>
      <c r="G2194" s="3"/>
      <c r="H2194" s="3"/>
      <c r="I2194" s="3"/>
      <c r="J2194" s="3"/>
      <c r="K2194" s="3"/>
      <c r="L2194" s="3"/>
      <c r="M2194" s="3"/>
      <c r="N2194" s="3"/>
      <c r="O2194" s="3"/>
      <c r="P2194" s="3"/>
      <c r="Q2194" s="3"/>
      <c r="R2194" s="3"/>
      <c r="S2194" s="3"/>
      <c r="T2194" s="3"/>
      <c r="U2194" s="3"/>
      <c r="V2194" s="3"/>
      <c r="W2194" s="3"/>
      <c r="X2194" s="3"/>
      <c r="Y2194" s="3"/>
      <c r="Z2194" s="3"/>
      <c r="AA2194" s="3"/>
    </row>
    <row r="2195">
      <c r="A2195" s="4"/>
      <c r="B2195" s="3"/>
      <c r="C2195" s="3"/>
      <c r="D2195" s="3"/>
      <c r="E2195" s="3"/>
      <c r="F2195" s="3"/>
      <c r="G2195" s="3"/>
      <c r="H2195" s="3"/>
      <c r="I2195" s="3"/>
      <c r="J2195" s="3"/>
      <c r="K2195" s="3"/>
      <c r="L2195" s="3"/>
      <c r="M2195" s="3"/>
      <c r="N2195" s="3"/>
      <c r="O2195" s="3"/>
      <c r="P2195" s="3"/>
      <c r="Q2195" s="3"/>
      <c r="R2195" s="3"/>
      <c r="S2195" s="3"/>
      <c r="T2195" s="3"/>
      <c r="U2195" s="3"/>
      <c r="V2195" s="3"/>
      <c r="W2195" s="3"/>
      <c r="X2195" s="3"/>
      <c r="Y2195" s="3"/>
      <c r="Z2195" s="3"/>
      <c r="AA2195" s="3"/>
    </row>
    <row r="2196">
      <c r="A2196" s="4"/>
      <c r="B2196" s="3"/>
      <c r="C2196" s="3"/>
      <c r="D2196" s="3"/>
      <c r="E2196" s="3"/>
      <c r="F2196" s="3"/>
      <c r="G2196" s="3"/>
      <c r="H2196" s="3"/>
      <c r="I2196" s="3"/>
      <c r="J2196" s="3"/>
      <c r="K2196" s="3"/>
      <c r="L2196" s="3"/>
      <c r="M2196" s="3"/>
      <c r="N2196" s="3"/>
      <c r="O2196" s="3"/>
      <c r="P2196" s="3"/>
      <c r="Q2196" s="3"/>
      <c r="R2196" s="3"/>
      <c r="S2196" s="3"/>
      <c r="T2196" s="3"/>
      <c r="U2196" s="3"/>
      <c r="V2196" s="3"/>
      <c r="W2196" s="3"/>
      <c r="X2196" s="3"/>
      <c r="Y2196" s="3"/>
      <c r="Z2196" s="3"/>
      <c r="AA2196" s="3"/>
    </row>
    <row r="2197">
      <c r="A2197" s="4"/>
      <c r="B2197" s="3"/>
      <c r="C2197" s="3"/>
      <c r="D2197" s="3"/>
      <c r="E2197" s="3"/>
      <c r="F2197" s="3"/>
      <c r="G2197" s="3"/>
      <c r="H2197" s="3"/>
      <c r="I2197" s="3"/>
      <c r="J2197" s="3"/>
      <c r="K2197" s="3"/>
      <c r="L2197" s="3"/>
      <c r="M2197" s="3"/>
      <c r="N2197" s="3"/>
      <c r="O2197" s="3"/>
      <c r="P2197" s="3"/>
      <c r="Q2197" s="3"/>
      <c r="R2197" s="3"/>
      <c r="S2197" s="3"/>
      <c r="T2197" s="3"/>
      <c r="U2197" s="3"/>
      <c r="V2197" s="3"/>
      <c r="W2197" s="3"/>
      <c r="X2197" s="3"/>
      <c r="Y2197" s="3"/>
      <c r="Z2197" s="3"/>
      <c r="AA2197" s="3"/>
    </row>
    <row r="2198">
      <c r="A2198" s="4"/>
      <c r="B2198" s="3"/>
      <c r="C2198" s="3"/>
      <c r="D2198" s="3"/>
      <c r="E2198" s="3"/>
      <c r="F2198" s="3"/>
      <c r="G2198" s="3"/>
      <c r="H2198" s="3"/>
      <c r="I2198" s="3"/>
      <c r="J2198" s="3"/>
      <c r="K2198" s="3"/>
      <c r="L2198" s="3"/>
      <c r="M2198" s="3"/>
      <c r="N2198" s="3"/>
      <c r="O2198" s="3"/>
      <c r="P2198" s="3"/>
      <c r="Q2198" s="3"/>
      <c r="R2198" s="3"/>
      <c r="S2198" s="3"/>
      <c r="T2198" s="3"/>
      <c r="U2198" s="3"/>
      <c r="V2198" s="3"/>
      <c r="W2198" s="3"/>
      <c r="X2198" s="3"/>
      <c r="Y2198" s="3"/>
      <c r="Z2198" s="3"/>
      <c r="AA2198" s="3"/>
    </row>
    <row r="2199">
      <c r="A2199" s="4"/>
      <c r="B2199" s="3"/>
      <c r="C2199" s="3"/>
      <c r="D2199" s="3"/>
      <c r="E2199" s="3"/>
      <c r="F2199" s="3"/>
      <c r="G2199" s="3"/>
      <c r="H2199" s="3"/>
      <c r="I2199" s="3"/>
      <c r="J2199" s="3"/>
      <c r="K2199" s="3"/>
      <c r="L2199" s="3"/>
      <c r="M2199" s="3"/>
      <c r="N2199" s="3"/>
      <c r="O2199" s="3"/>
      <c r="P2199" s="3"/>
      <c r="Q2199" s="3"/>
      <c r="R2199" s="3"/>
      <c r="S2199" s="3"/>
      <c r="T2199" s="3"/>
      <c r="U2199" s="3"/>
      <c r="V2199" s="3"/>
      <c r="W2199" s="3"/>
      <c r="X2199" s="3"/>
      <c r="Y2199" s="3"/>
      <c r="Z2199" s="3"/>
      <c r="AA2199" s="3"/>
    </row>
    <row r="2200">
      <c r="A2200" s="4"/>
      <c r="B2200" s="3"/>
      <c r="C2200" s="3"/>
      <c r="D2200" s="3"/>
      <c r="E2200" s="3"/>
      <c r="F2200" s="3"/>
      <c r="G2200" s="3"/>
      <c r="H2200" s="3"/>
      <c r="I2200" s="3"/>
      <c r="J2200" s="3"/>
      <c r="K2200" s="3"/>
      <c r="L2200" s="3"/>
      <c r="M2200" s="3"/>
      <c r="N2200" s="3"/>
      <c r="O2200" s="3"/>
      <c r="P2200" s="3"/>
      <c r="Q2200" s="3"/>
      <c r="R2200" s="3"/>
      <c r="S2200" s="3"/>
      <c r="T2200" s="3"/>
      <c r="U2200" s="3"/>
      <c r="V2200" s="3"/>
      <c r="W2200" s="3"/>
      <c r="X2200" s="3"/>
      <c r="Y2200" s="3"/>
      <c r="Z2200" s="3"/>
      <c r="AA2200" s="3"/>
    </row>
    <row r="2201">
      <c r="A2201" s="4"/>
      <c r="B2201" s="3"/>
      <c r="C2201" s="3"/>
      <c r="D2201" s="3"/>
      <c r="E2201" s="3"/>
      <c r="F2201" s="3"/>
      <c r="G2201" s="3"/>
      <c r="H2201" s="3"/>
      <c r="I2201" s="3"/>
      <c r="J2201" s="3"/>
      <c r="K2201" s="3"/>
      <c r="L2201" s="3"/>
      <c r="M2201" s="3"/>
      <c r="N2201" s="3"/>
      <c r="O2201" s="3"/>
      <c r="P2201" s="3"/>
      <c r="Q2201" s="3"/>
      <c r="R2201" s="3"/>
      <c r="S2201" s="3"/>
      <c r="T2201" s="3"/>
      <c r="U2201" s="3"/>
      <c r="V2201" s="3"/>
      <c r="W2201" s="3"/>
      <c r="X2201" s="3"/>
      <c r="Y2201" s="3"/>
      <c r="Z2201" s="3"/>
      <c r="AA2201" s="3"/>
    </row>
    <row r="2202">
      <c r="A2202" s="4"/>
      <c r="B2202" s="3"/>
      <c r="C2202" s="3"/>
      <c r="D2202" s="3"/>
      <c r="E2202" s="3"/>
      <c r="F2202" s="3"/>
      <c r="G2202" s="3"/>
      <c r="H2202" s="3"/>
      <c r="I2202" s="3"/>
      <c r="J2202" s="3"/>
      <c r="K2202" s="3"/>
      <c r="L2202" s="3"/>
      <c r="M2202" s="3"/>
      <c r="N2202" s="3"/>
      <c r="O2202" s="3"/>
      <c r="P2202" s="3"/>
      <c r="Q2202" s="3"/>
      <c r="R2202" s="3"/>
      <c r="S2202" s="3"/>
      <c r="T2202" s="3"/>
      <c r="U2202" s="3"/>
      <c r="V2202" s="3"/>
      <c r="W2202" s="3"/>
      <c r="X2202" s="3"/>
      <c r="Y2202" s="3"/>
      <c r="Z2202" s="3"/>
      <c r="AA2202" s="3"/>
    </row>
    <row r="2203">
      <c r="A2203" s="4"/>
      <c r="B2203" s="3"/>
      <c r="C2203" s="3"/>
      <c r="D2203" s="3"/>
      <c r="E2203" s="3"/>
      <c r="F2203" s="3"/>
      <c r="G2203" s="3"/>
      <c r="H2203" s="3"/>
      <c r="I2203" s="3"/>
      <c r="J2203" s="3"/>
      <c r="K2203" s="3"/>
      <c r="L2203" s="3"/>
      <c r="M2203" s="3"/>
      <c r="N2203" s="3"/>
      <c r="O2203" s="3"/>
      <c r="P2203" s="3"/>
      <c r="Q2203" s="3"/>
      <c r="R2203" s="3"/>
      <c r="S2203" s="3"/>
      <c r="T2203" s="3"/>
      <c r="U2203" s="3"/>
      <c r="V2203" s="3"/>
      <c r="W2203" s="3"/>
      <c r="X2203" s="3"/>
      <c r="Y2203" s="3"/>
      <c r="Z2203" s="3"/>
      <c r="AA2203" s="3"/>
    </row>
    <row r="2204">
      <c r="A2204" s="4"/>
      <c r="B2204" s="3"/>
      <c r="C2204" s="3"/>
      <c r="D2204" s="3"/>
      <c r="E2204" s="3"/>
      <c r="F2204" s="3"/>
      <c r="G2204" s="3"/>
      <c r="H2204" s="3"/>
      <c r="I2204" s="3"/>
      <c r="J2204" s="3"/>
      <c r="K2204" s="3"/>
      <c r="L2204" s="3"/>
      <c r="M2204" s="3"/>
      <c r="N2204" s="3"/>
      <c r="O2204" s="3"/>
      <c r="P2204" s="3"/>
      <c r="Q2204" s="3"/>
      <c r="R2204" s="3"/>
      <c r="S2204" s="3"/>
      <c r="T2204" s="3"/>
      <c r="U2204" s="3"/>
      <c r="V2204" s="3"/>
      <c r="W2204" s="3"/>
      <c r="X2204" s="3"/>
      <c r="Y2204" s="3"/>
      <c r="Z2204" s="3"/>
      <c r="AA2204" s="3"/>
    </row>
    <row r="2205">
      <c r="A2205" s="4"/>
      <c r="B2205" s="3"/>
      <c r="C2205" s="3"/>
      <c r="D2205" s="3"/>
      <c r="E2205" s="3"/>
      <c r="F2205" s="3"/>
      <c r="G2205" s="3"/>
      <c r="H2205" s="3"/>
      <c r="I2205" s="3"/>
      <c r="J2205" s="3"/>
      <c r="K2205" s="3"/>
      <c r="L2205" s="3"/>
      <c r="M2205" s="3"/>
      <c r="N2205" s="3"/>
      <c r="O2205" s="3"/>
      <c r="P2205" s="3"/>
      <c r="Q2205" s="3"/>
      <c r="R2205" s="3"/>
      <c r="S2205" s="3"/>
      <c r="T2205" s="3"/>
      <c r="U2205" s="3"/>
      <c r="V2205" s="3"/>
      <c r="W2205" s="3"/>
      <c r="X2205" s="3"/>
      <c r="Y2205" s="3"/>
      <c r="Z2205" s="3"/>
      <c r="AA2205" s="3"/>
    </row>
    <row r="2206">
      <c r="A2206" s="4"/>
      <c r="B2206" s="3"/>
      <c r="C2206" s="3"/>
      <c r="D2206" s="3"/>
      <c r="E2206" s="3"/>
      <c r="F2206" s="3"/>
      <c r="G2206" s="3"/>
      <c r="H2206" s="3"/>
      <c r="I2206" s="3"/>
      <c r="J2206" s="3"/>
      <c r="K2206" s="3"/>
      <c r="L2206" s="3"/>
      <c r="M2206" s="3"/>
      <c r="N2206" s="3"/>
      <c r="O2206" s="3"/>
      <c r="P2206" s="3"/>
      <c r="Q2206" s="3"/>
      <c r="R2206" s="3"/>
      <c r="S2206" s="3"/>
      <c r="T2206" s="3"/>
      <c r="U2206" s="3"/>
      <c r="V2206" s="3"/>
      <c r="W2206" s="3"/>
      <c r="X2206" s="3"/>
      <c r="Y2206" s="3"/>
      <c r="Z2206" s="3"/>
      <c r="AA2206" s="3"/>
    </row>
    <row r="2207">
      <c r="A2207" s="4"/>
      <c r="B2207" s="3"/>
      <c r="C2207" s="3"/>
      <c r="D2207" s="3"/>
      <c r="E2207" s="3"/>
      <c r="F2207" s="3"/>
      <c r="G2207" s="3"/>
      <c r="H2207" s="3"/>
      <c r="I2207" s="3"/>
      <c r="J2207" s="3"/>
      <c r="K2207" s="3"/>
      <c r="L2207" s="3"/>
      <c r="M2207" s="3"/>
      <c r="N2207" s="3"/>
      <c r="O2207" s="3"/>
      <c r="P2207" s="3"/>
      <c r="Q2207" s="3"/>
      <c r="R2207" s="3"/>
      <c r="S2207" s="3"/>
      <c r="T2207" s="3"/>
      <c r="U2207" s="3"/>
      <c r="V2207" s="3"/>
      <c r="W2207" s="3"/>
      <c r="X2207" s="3"/>
      <c r="Y2207" s="3"/>
      <c r="Z2207" s="3"/>
      <c r="AA2207" s="3"/>
    </row>
    <row r="2208">
      <c r="A2208" s="4"/>
      <c r="B2208" s="3"/>
      <c r="C2208" s="3"/>
      <c r="D2208" s="3"/>
      <c r="E2208" s="3"/>
      <c r="F2208" s="3"/>
      <c r="G2208" s="3"/>
      <c r="H2208" s="3"/>
      <c r="I2208" s="3"/>
      <c r="J2208" s="3"/>
      <c r="K2208" s="3"/>
      <c r="L2208" s="3"/>
      <c r="M2208" s="3"/>
      <c r="N2208" s="3"/>
      <c r="O2208" s="3"/>
      <c r="P2208" s="3"/>
      <c r="Q2208" s="3"/>
      <c r="R2208" s="3"/>
      <c r="S2208" s="3"/>
      <c r="T2208" s="3"/>
      <c r="U2208" s="3"/>
      <c r="V2208" s="3"/>
      <c r="W2208" s="3"/>
      <c r="X2208" s="3"/>
      <c r="Y2208" s="3"/>
      <c r="Z2208" s="3"/>
      <c r="AA2208" s="3"/>
    </row>
    <row r="2209">
      <c r="A2209" s="4"/>
      <c r="B2209" s="3"/>
      <c r="C2209" s="3"/>
      <c r="D2209" s="3"/>
      <c r="E2209" s="3"/>
      <c r="F2209" s="3"/>
      <c r="G2209" s="3"/>
      <c r="H2209" s="3"/>
      <c r="I2209" s="3"/>
      <c r="J2209" s="3"/>
      <c r="K2209" s="3"/>
      <c r="L2209" s="3"/>
      <c r="M2209" s="3"/>
      <c r="N2209" s="3"/>
      <c r="O2209" s="3"/>
      <c r="P2209" s="3"/>
      <c r="Q2209" s="3"/>
      <c r="R2209" s="3"/>
      <c r="S2209" s="3"/>
      <c r="T2209" s="3"/>
      <c r="U2209" s="3"/>
      <c r="V2209" s="3"/>
      <c r="W2209" s="3"/>
      <c r="X2209" s="3"/>
      <c r="Y2209" s="3"/>
      <c r="Z2209" s="3"/>
      <c r="AA2209" s="3"/>
    </row>
    <row r="2210">
      <c r="A2210" s="4"/>
      <c r="B2210" s="3"/>
      <c r="C2210" s="3"/>
      <c r="D2210" s="3"/>
      <c r="E2210" s="3"/>
      <c r="F2210" s="3"/>
      <c r="G2210" s="3"/>
      <c r="H2210" s="3"/>
      <c r="I2210" s="3"/>
      <c r="J2210" s="3"/>
      <c r="K2210" s="3"/>
      <c r="L2210" s="3"/>
      <c r="M2210" s="3"/>
      <c r="N2210" s="3"/>
      <c r="O2210" s="3"/>
      <c r="P2210" s="3"/>
      <c r="Q2210" s="3"/>
      <c r="R2210" s="3"/>
      <c r="S2210" s="3"/>
      <c r="T2210" s="3"/>
      <c r="U2210" s="3"/>
      <c r="V2210" s="3"/>
      <c r="W2210" s="3"/>
      <c r="X2210" s="3"/>
      <c r="Y2210" s="3"/>
      <c r="Z2210" s="3"/>
      <c r="AA2210" s="3"/>
    </row>
    <row r="2211">
      <c r="A2211" s="4"/>
      <c r="B2211" s="3"/>
      <c r="C2211" s="3"/>
      <c r="D2211" s="3"/>
      <c r="E2211" s="3"/>
      <c r="F2211" s="3"/>
      <c r="G2211" s="3"/>
      <c r="H2211" s="3"/>
      <c r="I2211" s="3"/>
      <c r="J2211" s="3"/>
      <c r="K2211" s="3"/>
      <c r="L2211" s="3"/>
      <c r="M2211" s="3"/>
      <c r="N2211" s="3"/>
      <c r="O2211" s="3"/>
      <c r="P2211" s="3"/>
      <c r="Q2211" s="3"/>
      <c r="R2211" s="3"/>
      <c r="S2211" s="3"/>
      <c r="T2211" s="3"/>
      <c r="U2211" s="3"/>
      <c r="V2211" s="3"/>
      <c r="W2211" s="3"/>
      <c r="X2211" s="3"/>
      <c r="Y2211" s="3"/>
      <c r="Z2211" s="3"/>
      <c r="AA2211" s="3"/>
    </row>
    <row r="2212">
      <c r="A2212" s="4"/>
      <c r="B2212" s="3"/>
      <c r="C2212" s="3"/>
      <c r="D2212" s="3"/>
      <c r="E2212" s="3"/>
      <c r="F2212" s="3"/>
      <c r="G2212" s="3"/>
      <c r="H2212" s="3"/>
      <c r="I2212" s="3"/>
      <c r="J2212" s="3"/>
      <c r="K2212" s="3"/>
      <c r="L2212" s="3"/>
      <c r="M2212" s="3"/>
      <c r="N2212" s="3"/>
      <c r="O2212" s="3"/>
      <c r="P2212" s="3"/>
      <c r="Q2212" s="3"/>
      <c r="R2212" s="3"/>
      <c r="S2212" s="3"/>
      <c r="T2212" s="3"/>
      <c r="U2212" s="3"/>
      <c r="V2212" s="3"/>
      <c r="W2212" s="3"/>
      <c r="X2212" s="3"/>
      <c r="Y2212" s="3"/>
      <c r="Z2212" s="3"/>
      <c r="AA2212" s="3"/>
    </row>
    <row r="2213">
      <c r="A2213" s="4"/>
      <c r="B2213" s="3"/>
      <c r="C2213" s="3"/>
      <c r="D2213" s="3"/>
      <c r="E2213" s="3"/>
      <c r="F2213" s="3"/>
      <c r="G2213" s="3"/>
      <c r="H2213" s="3"/>
      <c r="I2213" s="3"/>
      <c r="J2213" s="3"/>
      <c r="K2213" s="3"/>
      <c r="L2213" s="3"/>
      <c r="M2213" s="3"/>
      <c r="N2213" s="3"/>
      <c r="O2213" s="3"/>
      <c r="P2213" s="3"/>
      <c r="Q2213" s="3"/>
      <c r="R2213" s="3"/>
      <c r="S2213" s="3"/>
      <c r="T2213" s="3"/>
      <c r="U2213" s="3"/>
      <c r="V2213" s="3"/>
      <c r="W2213" s="3"/>
      <c r="X2213" s="3"/>
      <c r="Y2213" s="3"/>
      <c r="Z2213" s="3"/>
      <c r="AA2213" s="3"/>
    </row>
    <row r="2214">
      <c r="A2214" s="4"/>
      <c r="B2214" s="3"/>
      <c r="C2214" s="3"/>
      <c r="D2214" s="3"/>
      <c r="E2214" s="3"/>
      <c r="F2214" s="3"/>
      <c r="G2214" s="3"/>
      <c r="H2214" s="3"/>
      <c r="I2214" s="3"/>
      <c r="J2214" s="3"/>
      <c r="K2214" s="3"/>
      <c r="L2214" s="3"/>
      <c r="M2214" s="3"/>
      <c r="N2214" s="3"/>
      <c r="O2214" s="3"/>
      <c r="P2214" s="3"/>
      <c r="Q2214" s="3"/>
      <c r="R2214" s="3"/>
      <c r="S2214" s="3"/>
      <c r="T2214" s="3"/>
      <c r="U2214" s="3"/>
      <c r="V2214" s="3"/>
      <c r="W2214" s="3"/>
      <c r="X2214" s="3"/>
      <c r="Y2214" s="3"/>
      <c r="Z2214" s="3"/>
      <c r="AA2214" s="3"/>
    </row>
    <row r="2215">
      <c r="A2215" s="4"/>
      <c r="B2215" s="3"/>
      <c r="C2215" s="3"/>
      <c r="D2215" s="3"/>
      <c r="E2215" s="3"/>
      <c r="F2215" s="3"/>
      <c r="G2215" s="3"/>
      <c r="H2215" s="3"/>
      <c r="I2215" s="3"/>
      <c r="J2215" s="3"/>
      <c r="K2215" s="3"/>
      <c r="L2215" s="3"/>
      <c r="M2215" s="3"/>
      <c r="N2215" s="3"/>
      <c r="O2215" s="3"/>
      <c r="P2215" s="3"/>
      <c r="Q2215" s="3"/>
      <c r="R2215" s="3"/>
      <c r="S2215" s="3"/>
      <c r="T2215" s="3"/>
      <c r="U2215" s="3"/>
      <c r="V2215" s="3"/>
      <c r="W2215" s="3"/>
      <c r="X2215" s="3"/>
      <c r="Y2215" s="3"/>
      <c r="Z2215" s="3"/>
      <c r="AA2215" s="3"/>
    </row>
    <row r="2216">
      <c r="A2216" s="4"/>
      <c r="B2216" s="3"/>
      <c r="C2216" s="3"/>
      <c r="D2216" s="3"/>
      <c r="E2216" s="3"/>
      <c r="F2216" s="3"/>
      <c r="G2216" s="3"/>
      <c r="H2216" s="3"/>
      <c r="I2216" s="3"/>
      <c r="J2216" s="3"/>
      <c r="K2216" s="3"/>
      <c r="L2216" s="3"/>
      <c r="M2216" s="3"/>
      <c r="N2216" s="3"/>
      <c r="O2216" s="3"/>
      <c r="P2216" s="3"/>
      <c r="Q2216" s="3"/>
      <c r="R2216" s="3"/>
      <c r="S2216" s="3"/>
      <c r="T2216" s="3"/>
      <c r="U2216" s="3"/>
      <c r="V2216" s="3"/>
      <c r="W2216" s="3"/>
      <c r="X2216" s="3"/>
      <c r="Y2216" s="3"/>
      <c r="Z2216" s="3"/>
      <c r="AA2216" s="3"/>
    </row>
    <row r="2217">
      <c r="A2217" s="4"/>
      <c r="B2217" s="3"/>
      <c r="C2217" s="3"/>
      <c r="D2217" s="3"/>
      <c r="E2217" s="3"/>
      <c r="F2217" s="3"/>
      <c r="G2217" s="3"/>
      <c r="H2217" s="3"/>
      <c r="I2217" s="3"/>
      <c r="J2217" s="3"/>
      <c r="K2217" s="3"/>
      <c r="L2217" s="3"/>
      <c r="M2217" s="3"/>
      <c r="N2217" s="3"/>
      <c r="O2217" s="3"/>
      <c r="P2217" s="3"/>
      <c r="Q2217" s="3"/>
      <c r="R2217" s="3"/>
      <c r="S2217" s="3"/>
      <c r="T2217" s="3"/>
      <c r="U2217" s="3"/>
      <c r="V2217" s="3"/>
      <c r="W2217" s="3"/>
      <c r="X2217" s="3"/>
      <c r="Y2217" s="3"/>
      <c r="Z2217" s="3"/>
      <c r="AA2217" s="3"/>
    </row>
    <row r="2218">
      <c r="A2218" s="4"/>
      <c r="B2218" s="3"/>
      <c r="C2218" s="3"/>
      <c r="D2218" s="3"/>
      <c r="E2218" s="3"/>
      <c r="F2218" s="3"/>
      <c r="G2218" s="3"/>
      <c r="H2218" s="3"/>
      <c r="I2218" s="3"/>
      <c r="J2218" s="3"/>
      <c r="K2218" s="3"/>
      <c r="L2218" s="3"/>
      <c r="M2218" s="3"/>
      <c r="N2218" s="3"/>
      <c r="O2218" s="3"/>
      <c r="P2218" s="3"/>
      <c r="Q2218" s="3"/>
      <c r="R2218" s="3"/>
      <c r="S2218" s="3"/>
      <c r="T2218" s="3"/>
      <c r="U2218" s="3"/>
      <c r="V2218" s="3"/>
      <c r="W2218" s="3"/>
      <c r="X2218" s="3"/>
      <c r="Y2218" s="3"/>
      <c r="Z2218" s="3"/>
      <c r="AA2218" s="3"/>
    </row>
    <row r="2219">
      <c r="A2219" s="4"/>
      <c r="B2219" s="3"/>
      <c r="C2219" s="3"/>
      <c r="D2219" s="3"/>
      <c r="E2219" s="3"/>
      <c r="F2219" s="3"/>
      <c r="G2219" s="3"/>
      <c r="H2219" s="3"/>
      <c r="I2219" s="3"/>
      <c r="J2219" s="3"/>
      <c r="K2219" s="3"/>
      <c r="L2219" s="3"/>
      <c r="M2219" s="3"/>
      <c r="N2219" s="3"/>
      <c r="O2219" s="3"/>
      <c r="P2219" s="3"/>
      <c r="Q2219" s="3"/>
      <c r="R2219" s="3"/>
      <c r="S2219" s="3"/>
      <c r="T2219" s="3"/>
      <c r="U2219" s="3"/>
      <c r="V2219" s="3"/>
      <c r="W2219" s="3"/>
      <c r="X2219" s="3"/>
      <c r="Y2219" s="3"/>
      <c r="Z2219" s="3"/>
      <c r="AA2219" s="3"/>
    </row>
    <row r="2220">
      <c r="A2220" s="4"/>
      <c r="B2220" s="3"/>
      <c r="C2220" s="3"/>
      <c r="D2220" s="3"/>
      <c r="E2220" s="3"/>
      <c r="F2220" s="3"/>
      <c r="G2220" s="3"/>
      <c r="H2220" s="3"/>
      <c r="I2220" s="3"/>
      <c r="J2220" s="3"/>
      <c r="K2220" s="3"/>
      <c r="L2220" s="3"/>
      <c r="M2220" s="3"/>
      <c r="N2220" s="3"/>
      <c r="O2220" s="3"/>
      <c r="P2220" s="3"/>
      <c r="Q2220" s="3"/>
      <c r="R2220" s="3"/>
      <c r="S2220" s="3"/>
      <c r="T2220" s="3"/>
      <c r="U2220" s="3"/>
      <c r="V2220" s="3"/>
      <c r="W2220" s="3"/>
      <c r="X2220" s="3"/>
      <c r="Y2220" s="3"/>
      <c r="Z2220" s="3"/>
      <c r="AA2220" s="3"/>
    </row>
    <row r="2221">
      <c r="A2221" s="4"/>
      <c r="B2221" s="3"/>
      <c r="C2221" s="3"/>
      <c r="D2221" s="3"/>
      <c r="E2221" s="3"/>
      <c r="F2221" s="3"/>
      <c r="G2221" s="3"/>
      <c r="H2221" s="3"/>
      <c r="I2221" s="3"/>
      <c r="J2221" s="3"/>
      <c r="K2221" s="3"/>
      <c r="L2221" s="3"/>
      <c r="M2221" s="3"/>
      <c r="N2221" s="3"/>
      <c r="O2221" s="3"/>
      <c r="P2221" s="3"/>
      <c r="Q2221" s="3"/>
      <c r="R2221" s="3"/>
      <c r="S2221" s="3"/>
      <c r="T2221" s="3"/>
      <c r="U2221" s="3"/>
      <c r="V2221" s="3"/>
      <c r="W2221" s="3"/>
      <c r="X2221" s="3"/>
      <c r="Y2221" s="3"/>
      <c r="Z2221" s="3"/>
      <c r="AA2221" s="3"/>
    </row>
    <row r="2222">
      <c r="A2222" s="4"/>
      <c r="B2222" s="3"/>
      <c r="C2222" s="3"/>
      <c r="D2222" s="3"/>
      <c r="E2222" s="3"/>
      <c r="F2222" s="3"/>
      <c r="G2222" s="3"/>
      <c r="H2222" s="3"/>
      <c r="I2222" s="3"/>
      <c r="J2222" s="3"/>
      <c r="K2222" s="3"/>
      <c r="L2222" s="3"/>
      <c r="M2222" s="3"/>
      <c r="N2222" s="3"/>
      <c r="O2222" s="3"/>
      <c r="P2222" s="3"/>
      <c r="Q2222" s="3"/>
      <c r="R2222" s="3"/>
      <c r="S2222" s="3"/>
      <c r="T2222" s="3"/>
      <c r="U2222" s="3"/>
      <c r="V2222" s="3"/>
      <c r="W2222" s="3"/>
      <c r="X2222" s="3"/>
      <c r="Y2222" s="3"/>
      <c r="Z2222" s="3"/>
      <c r="AA2222" s="3"/>
    </row>
    <row r="2223">
      <c r="A2223" s="4"/>
      <c r="B2223" s="3"/>
      <c r="C2223" s="3"/>
      <c r="D2223" s="3"/>
      <c r="E2223" s="3"/>
      <c r="F2223" s="3"/>
      <c r="G2223" s="3"/>
      <c r="H2223" s="3"/>
      <c r="I2223" s="3"/>
      <c r="J2223" s="3"/>
      <c r="K2223" s="3"/>
      <c r="L2223" s="3"/>
      <c r="M2223" s="3"/>
      <c r="N2223" s="3"/>
      <c r="O2223" s="3"/>
      <c r="P2223" s="3"/>
      <c r="Q2223" s="3"/>
      <c r="R2223" s="3"/>
      <c r="S2223" s="3"/>
      <c r="T2223" s="3"/>
      <c r="U2223" s="3"/>
      <c r="V2223" s="3"/>
      <c r="W2223" s="3"/>
      <c r="X2223" s="3"/>
      <c r="Y2223" s="3"/>
      <c r="Z2223" s="3"/>
      <c r="AA2223" s="3"/>
    </row>
    <row r="2224">
      <c r="A2224" s="4"/>
      <c r="B2224" s="3"/>
      <c r="C2224" s="3"/>
      <c r="D2224" s="3"/>
      <c r="E2224" s="3"/>
      <c r="F2224" s="3"/>
      <c r="G2224" s="3"/>
      <c r="H2224" s="3"/>
      <c r="I2224" s="3"/>
      <c r="J2224" s="3"/>
      <c r="K2224" s="3"/>
      <c r="L2224" s="3"/>
      <c r="M2224" s="3"/>
      <c r="N2224" s="3"/>
      <c r="O2224" s="3"/>
      <c r="P2224" s="3"/>
      <c r="Q2224" s="3"/>
      <c r="R2224" s="3"/>
      <c r="S2224" s="3"/>
      <c r="T2224" s="3"/>
      <c r="U2224" s="3"/>
      <c r="V2224" s="3"/>
      <c r="W2224" s="3"/>
      <c r="X2224" s="3"/>
      <c r="Y2224" s="3"/>
      <c r="Z2224" s="3"/>
      <c r="AA2224" s="3"/>
    </row>
    <row r="2225">
      <c r="A2225" s="4"/>
      <c r="B2225" s="3"/>
      <c r="C2225" s="3"/>
      <c r="D2225" s="3"/>
      <c r="E2225" s="3"/>
      <c r="F2225" s="3"/>
      <c r="G2225" s="3"/>
      <c r="H2225" s="3"/>
      <c r="I2225" s="3"/>
      <c r="J2225" s="3"/>
      <c r="K2225" s="3"/>
      <c r="L2225" s="3"/>
      <c r="M2225" s="3"/>
      <c r="N2225" s="3"/>
      <c r="O2225" s="3"/>
      <c r="P2225" s="3"/>
      <c r="Q2225" s="3"/>
      <c r="R2225" s="3"/>
      <c r="S2225" s="3"/>
      <c r="T2225" s="3"/>
      <c r="U2225" s="3"/>
      <c r="V2225" s="3"/>
      <c r="W2225" s="3"/>
      <c r="X2225" s="3"/>
      <c r="Y2225" s="3"/>
      <c r="Z2225" s="3"/>
      <c r="AA2225" s="3"/>
    </row>
    <row r="2226">
      <c r="A2226" s="4"/>
      <c r="B2226" s="3"/>
      <c r="C2226" s="3"/>
      <c r="D2226" s="3"/>
      <c r="E2226" s="3"/>
      <c r="F2226" s="3"/>
      <c r="G2226" s="3"/>
      <c r="H2226" s="3"/>
      <c r="I2226" s="3"/>
      <c r="J2226" s="3"/>
      <c r="K2226" s="3"/>
      <c r="L2226" s="3"/>
      <c r="M2226" s="3"/>
      <c r="N2226" s="3"/>
      <c r="O2226" s="3"/>
      <c r="P2226" s="3"/>
      <c r="Q2226" s="3"/>
      <c r="R2226" s="3"/>
      <c r="S2226" s="3"/>
      <c r="T2226" s="3"/>
      <c r="U2226" s="3"/>
      <c r="V2226" s="3"/>
      <c r="W2226" s="3"/>
      <c r="X2226" s="3"/>
      <c r="Y2226" s="3"/>
      <c r="Z2226" s="3"/>
      <c r="AA2226" s="3"/>
    </row>
    <row r="2227">
      <c r="A2227" s="4"/>
      <c r="B2227" s="3"/>
      <c r="C2227" s="3"/>
      <c r="D2227" s="3"/>
      <c r="E2227" s="3"/>
      <c r="F2227" s="3"/>
      <c r="G2227" s="3"/>
      <c r="H2227" s="3"/>
      <c r="I2227" s="3"/>
      <c r="J2227" s="3"/>
      <c r="K2227" s="3"/>
      <c r="L2227" s="3"/>
      <c r="M2227" s="3"/>
      <c r="N2227" s="3"/>
      <c r="O2227" s="3"/>
      <c r="P2227" s="3"/>
      <c r="Q2227" s="3"/>
      <c r="R2227" s="3"/>
      <c r="S2227" s="3"/>
      <c r="T2227" s="3"/>
      <c r="U2227" s="3"/>
      <c r="V2227" s="3"/>
      <c r="W2227" s="3"/>
      <c r="X2227" s="3"/>
      <c r="Y2227" s="3"/>
      <c r="Z2227" s="3"/>
      <c r="AA2227" s="3"/>
    </row>
    <row r="2228">
      <c r="A2228" s="4"/>
      <c r="B2228" s="3"/>
      <c r="C2228" s="3"/>
      <c r="D2228" s="3"/>
      <c r="E2228" s="3"/>
      <c r="F2228" s="3"/>
      <c r="G2228" s="3"/>
      <c r="H2228" s="3"/>
      <c r="I2228" s="3"/>
      <c r="J2228" s="3"/>
      <c r="K2228" s="3"/>
      <c r="L2228" s="3"/>
      <c r="M2228" s="3"/>
      <c r="N2228" s="3"/>
      <c r="O2228" s="3"/>
      <c r="P2228" s="3"/>
      <c r="Q2228" s="3"/>
      <c r="R2228" s="3"/>
      <c r="S2228" s="3"/>
      <c r="T2228" s="3"/>
      <c r="U2228" s="3"/>
      <c r="V2228" s="3"/>
      <c r="W2228" s="3"/>
      <c r="X2228" s="3"/>
      <c r="Y2228" s="3"/>
      <c r="Z2228" s="3"/>
      <c r="AA2228" s="3"/>
    </row>
    <row r="2229">
      <c r="A2229" s="4"/>
      <c r="B2229" s="3"/>
      <c r="C2229" s="3"/>
      <c r="D2229" s="3"/>
      <c r="E2229" s="3"/>
      <c r="F2229" s="3"/>
      <c r="G2229" s="3"/>
      <c r="H2229" s="3"/>
      <c r="I2229" s="3"/>
      <c r="J2229" s="3"/>
      <c r="K2229" s="3"/>
      <c r="L2229" s="3"/>
      <c r="M2229" s="3"/>
      <c r="N2229" s="3"/>
      <c r="O2229" s="3"/>
      <c r="P2229" s="3"/>
      <c r="Q2229" s="3"/>
      <c r="R2229" s="3"/>
      <c r="S2229" s="3"/>
      <c r="T2229" s="3"/>
      <c r="U2229" s="3"/>
      <c r="V2229" s="3"/>
      <c r="W2229" s="3"/>
      <c r="X2229" s="3"/>
      <c r="Y2229" s="3"/>
      <c r="Z2229" s="3"/>
      <c r="AA2229" s="3"/>
    </row>
    <row r="2230">
      <c r="A2230" s="4"/>
      <c r="B2230" s="3"/>
      <c r="C2230" s="3"/>
      <c r="D2230" s="3"/>
      <c r="E2230" s="3"/>
      <c r="F2230" s="3"/>
      <c r="G2230" s="3"/>
      <c r="H2230" s="3"/>
      <c r="I2230" s="3"/>
      <c r="J2230" s="3"/>
      <c r="K2230" s="3"/>
      <c r="L2230" s="3"/>
      <c r="M2230" s="3"/>
      <c r="N2230" s="3"/>
      <c r="O2230" s="3"/>
      <c r="P2230" s="3"/>
      <c r="Q2230" s="3"/>
      <c r="R2230" s="3"/>
      <c r="S2230" s="3"/>
      <c r="T2230" s="3"/>
      <c r="U2230" s="3"/>
      <c r="V2230" s="3"/>
      <c r="W2230" s="3"/>
      <c r="X2230" s="3"/>
      <c r="Y2230" s="3"/>
      <c r="Z2230" s="3"/>
      <c r="AA2230" s="3"/>
    </row>
    <row r="2231">
      <c r="A2231" s="4"/>
      <c r="B2231" s="3"/>
      <c r="C2231" s="3"/>
      <c r="D2231" s="3"/>
      <c r="E2231" s="3"/>
      <c r="F2231" s="3"/>
      <c r="G2231" s="3"/>
      <c r="H2231" s="3"/>
      <c r="I2231" s="3"/>
      <c r="J2231" s="3"/>
      <c r="K2231" s="3"/>
      <c r="L2231" s="3"/>
      <c r="M2231" s="3"/>
      <c r="N2231" s="3"/>
      <c r="O2231" s="3"/>
      <c r="P2231" s="3"/>
      <c r="Q2231" s="3"/>
      <c r="R2231" s="3"/>
      <c r="S2231" s="3"/>
      <c r="T2231" s="3"/>
      <c r="U2231" s="3"/>
      <c r="V2231" s="3"/>
      <c r="W2231" s="3"/>
      <c r="X2231" s="3"/>
      <c r="Y2231" s="3"/>
      <c r="Z2231" s="3"/>
      <c r="AA2231" s="3"/>
    </row>
    <row r="2232">
      <c r="A2232" s="4"/>
      <c r="B2232" s="3"/>
      <c r="C2232" s="3"/>
      <c r="D2232" s="3"/>
      <c r="E2232" s="3"/>
      <c r="F2232" s="3"/>
      <c r="G2232" s="3"/>
      <c r="H2232" s="3"/>
      <c r="I2232" s="3"/>
      <c r="J2232" s="3"/>
      <c r="K2232" s="3"/>
      <c r="L2232" s="3"/>
      <c r="M2232" s="3"/>
      <c r="N2232" s="3"/>
      <c r="O2232" s="3"/>
      <c r="P2232" s="3"/>
      <c r="Q2232" s="3"/>
      <c r="R2232" s="3"/>
      <c r="S2232" s="3"/>
      <c r="T2232" s="3"/>
      <c r="U2232" s="3"/>
      <c r="V2232" s="3"/>
      <c r="W2232" s="3"/>
      <c r="X2232" s="3"/>
      <c r="Y2232" s="3"/>
      <c r="Z2232" s="3"/>
      <c r="AA2232" s="3"/>
    </row>
    <row r="2233">
      <c r="A2233" s="4"/>
      <c r="B2233" s="3"/>
      <c r="C2233" s="3"/>
      <c r="D2233" s="3"/>
      <c r="E2233" s="3"/>
      <c r="F2233" s="3"/>
      <c r="G2233" s="3"/>
      <c r="H2233" s="3"/>
      <c r="I2233" s="3"/>
      <c r="J2233" s="3"/>
      <c r="K2233" s="3"/>
      <c r="L2233" s="3"/>
      <c r="M2233" s="3"/>
      <c r="N2233" s="3"/>
      <c r="O2233" s="3"/>
      <c r="P2233" s="3"/>
      <c r="Q2233" s="3"/>
      <c r="R2233" s="3"/>
      <c r="S2233" s="3"/>
      <c r="T2233" s="3"/>
      <c r="U2233" s="3"/>
      <c r="V2233" s="3"/>
      <c r="W2233" s="3"/>
      <c r="X2233" s="3"/>
      <c r="Y2233" s="3"/>
      <c r="Z2233" s="3"/>
      <c r="AA2233" s="3"/>
    </row>
    <row r="2234">
      <c r="A2234" s="4"/>
      <c r="B2234" s="3"/>
      <c r="C2234" s="3"/>
      <c r="D2234" s="3"/>
      <c r="E2234" s="3"/>
      <c r="F2234" s="3"/>
      <c r="G2234" s="3"/>
      <c r="H2234" s="3"/>
      <c r="I2234" s="3"/>
      <c r="J2234" s="3"/>
      <c r="K2234" s="3"/>
      <c r="L2234" s="3"/>
      <c r="M2234" s="3"/>
      <c r="N2234" s="3"/>
      <c r="O2234" s="3"/>
      <c r="P2234" s="3"/>
      <c r="Q2234" s="3"/>
      <c r="R2234" s="3"/>
      <c r="S2234" s="3"/>
      <c r="T2234" s="3"/>
      <c r="U2234" s="3"/>
      <c r="V2234" s="3"/>
      <c r="W2234" s="3"/>
      <c r="X2234" s="3"/>
      <c r="Y2234" s="3"/>
      <c r="Z2234" s="3"/>
      <c r="AA2234" s="3"/>
    </row>
    <row r="2235">
      <c r="A2235" s="4"/>
      <c r="B2235" s="3"/>
      <c r="C2235" s="3"/>
      <c r="D2235" s="3"/>
      <c r="E2235" s="3"/>
      <c r="F2235" s="3"/>
      <c r="G2235" s="3"/>
      <c r="H2235" s="3"/>
      <c r="I2235" s="3"/>
      <c r="J2235" s="3"/>
      <c r="K2235" s="3"/>
      <c r="L2235" s="3"/>
      <c r="M2235" s="3"/>
      <c r="N2235" s="3"/>
      <c r="O2235" s="3"/>
      <c r="P2235" s="3"/>
      <c r="Q2235" s="3"/>
      <c r="R2235" s="3"/>
      <c r="S2235" s="3"/>
      <c r="T2235" s="3"/>
      <c r="U2235" s="3"/>
      <c r="V2235" s="3"/>
      <c r="W2235" s="3"/>
      <c r="X2235" s="3"/>
      <c r="Y2235" s="3"/>
      <c r="Z2235" s="3"/>
      <c r="AA2235" s="3"/>
    </row>
    <row r="2236">
      <c r="A2236" s="4"/>
      <c r="B2236" s="3"/>
      <c r="C2236" s="3"/>
      <c r="D2236" s="3"/>
      <c r="E2236" s="3"/>
      <c r="F2236" s="3"/>
      <c r="G2236" s="3"/>
      <c r="H2236" s="3"/>
      <c r="I2236" s="3"/>
      <c r="J2236" s="3"/>
      <c r="K2236" s="3"/>
      <c r="L2236" s="3"/>
      <c r="M2236" s="3"/>
      <c r="N2236" s="3"/>
      <c r="O2236" s="3"/>
      <c r="P2236" s="3"/>
      <c r="Q2236" s="3"/>
      <c r="R2236" s="3"/>
      <c r="S2236" s="3"/>
      <c r="T2236" s="3"/>
      <c r="U2236" s="3"/>
      <c r="V2236" s="3"/>
      <c r="W2236" s="3"/>
      <c r="X2236" s="3"/>
      <c r="Y2236" s="3"/>
      <c r="Z2236" s="3"/>
      <c r="AA2236" s="3"/>
    </row>
    <row r="2237">
      <c r="A2237" s="4"/>
      <c r="B2237" s="3"/>
      <c r="C2237" s="3"/>
      <c r="D2237" s="3"/>
      <c r="E2237" s="3"/>
      <c r="F2237" s="3"/>
      <c r="G2237" s="3"/>
      <c r="H2237" s="3"/>
      <c r="I2237" s="3"/>
      <c r="J2237" s="3"/>
      <c r="K2237" s="3"/>
      <c r="L2237" s="3"/>
      <c r="M2237" s="3"/>
      <c r="N2237" s="3"/>
      <c r="O2237" s="3"/>
      <c r="P2237" s="3"/>
      <c r="Q2237" s="3"/>
      <c r="R2237" s="3"/>
      <c r="S2237" s="3"/>
      <c r="T2237" s="3"/>
      <c r="U2237" s="3"/>
      <c r="V2237" s="3"/>
      <c r="W2237" s="3"/>
      <c r="X2237" s="3"/>
      <c r="Y2237" s="3"/>
      <c r="Z2237" s="3"/>
      <c r="AA2237" s="3"/>
    </row>
    <row r="2238">
      <c r="A2238" s="4"/>
      <c r="B2238" s="3"/>
      <c r="C2238" s="3"/>
      <c r="D2238" s="3"/>
      <c r="E2238" s="3"/>
      <c r="F2238" s="3"/>
      <c r="G2238" s="3"/>
      <c r="H2238" s="3"/>
      <c r="I2238" s="3"/>
      <c r="J2238" s="3"/>
      <c r="K2238" s="3"/>
      <c r="L2238" s="3"/>
      <c r="M2238" s="3"/>
      <c r="N2238" s="3"/>
      <c r="O2238" s="3"/>
      <c r="P2238" s="3"/>
      <c r="Q2238" s="3"/>
      <c r="R2238" s="3"/>
      <c r="S2238" s="3"/>
      <c r="T2238" s="3"/>
      <c r="U2238" s="3"/>
      <c r="V2238" s="3"/>
      <c r="W2238" s="3"/>
      <c r="X2238" s="3"/>
      <c r="Y2238" s="3"/>
      <c r="Z2238" s="3"/>
      <c r="AA2238" s="3"/>
    </row>
    <row r="2239">
      <c r="A2239" s="4"/>
      <c r="B2239" s="3"/>
      <c r="C2239" s="3"/>
      <c r="D2239" s="3"/>
      <c r="E2239" s="3"/>
      <c r="F2239" s="3"/>
      <c r="G2239" s="3"/>
      <c r="H2239" s="3"/>
      <c r="I2239" s="3"/>
      <c r="J2239" s="3"/>
      <c r="K2239" s="3"/>
      <c r="L2239" s="3"/>
      <c r="M2239" s="3"/>
      <c r="N2239" s="3"/>
      <c r="O2239" s="3"/>
      <c r="P2239" s="3"/>
      <c r="Q2239" s="3"/>
      <c r="R2239" s="3"/>
      <c r="S2239" s="3"/>
      <c r="T2239" s="3"/>
      <c r="U2239" s="3"/>
      <c r="V2239" s="3"/>
      <c r="W2239" s="3"/>
      <c r="X2239" s="3"/>
      <c r="Y2239" s="3"/>
      <c r="Z2239" s="3"/>
      <c r="AA2239" s="3"/>
    </row>
    <row r="2240">
      <c r="A2240" s="4"/>
      <c r="B2240" s="3"/>
      <c r="C2240" s="3"/>
      <c r="D2240" s="3"/>
      <c r="E2240" s="3"/>
      <c r="F2240" s="3"/>
      <c r="G2240" s="3"/>
      <c r="H2240" s="3"/>
      <c r="I2240" s="3"/>
      <c r="J2240" s="3"/>
      <c r="K2240" s="3"/>
      <c r="L2240" s="3"/>
      <c r="M2240" s="3"/>
      <c r="N2240" s="3"/>
      <c r="O2240" s="3"/>
      <c r="P2240" s="3"/>
      <c r="Q2240" s="3"/>
      <c r="R2240" s="3"/>
      <c r="S2240" s="3"/>
      <c r="T2240" s="3"/>
      <c r="U2240" s="3"/>
      <c r="V2240" s="3"/>
      <c r="W2240" s="3"/>
      <c r="X2240" s="3"/>
      <c r="Y2240" s="3"/>
      <c r="Z2240" s="3"/>
      <c r="AA2240" s="3"/>
    </row>
    <row r="2241">
      <c r="A2241" s="4"/>
      <c r="B2241" s="3"/>
      <c r="C2241" s="3"/>
      <c r="D2241" s="3"/>
      <c r="E2241" s="3"/>
      <c r="F2241" s="3"/>
      <c r="G2241" s="3"/>
      <c r="H2241" s="3"/>
      <c r="I2241" s="3"/>
      <c r="J2241" s="3"/>
      <c r="K2241" s="3"/>
      <c r="L2241" s="3"/>
      <c r="M2241" s="3"/>
      <c r="N2241" s="3"/>
      <c r="O2241" s="3"/>
      <c r="P2241" s="3"/>
      <c r="Q2241" s="3"/>
      <c r="R2241" s="3"/>
      <c r="S2241" s="3"/>
      <c r="T2241" s="3"/>
      <c r="U2241" s="3"/>
      <c r="V2241" s="3"/>
      <c r="W2241" s="3"/>
      <c r="X2241" s="3"/>
      <c r="Y2241" s="3"/>
      <c r="Z2241" s="3"/>
      <c r="AA2241" s="3"/>
    </row>
    <row r="2242">
      <c r="A2242" s="4"/>
      <c r="B2242" s="3"/>
      <c r="C2242" s="3"/>
      <c r="D2242" s="3"/>
      <c r="E2242" s="3"/>
      <c r="F2242" s="3"/>
      <c r="G2242" s="3"/>
      <c r="H2242" s="3"/>
      <c r="I2242" s="3"/>
      <c r="J2242" s="3"/>
      <c r="K2242" s="3"/>
      <c r="L2242" s="3"/>
      <c r="M2242" s="3"/>
      <c r="N2242" s="3"/>
      <c r="O2242" s="3"/>
      <c r="P2242" s="3"/>
      <c r="Q2242" s="3"/>
      <c r="R2242" s="3"/>
      <c r="S2242" s="3"/>
      <c r="T2242" s="3"/>
      <c r="U2242" s="3"/>
      <c r="V2242" s="3"/>
      <c r="W2242" s="3"/>
      <c r="X2242" s="3"/>
      <c r="Y2242" s="3"/>
      <c r="Z2242" s="3"/>
      <c r="AA2242" s="3"/>
    </row>
    <row r="2243">
      <c r="A2243" s="4"/>
      <c r="B2243" s="3"/>
      <c r="C2243" s="3"/>
      <c r="D2243" s="3"/>
      <c r="E2243" s="3"/>
      <c r="F2243" s="3"/>
      <c r="G2243" s="3"/>
      <c r="H2243" s="3"/>
      <c r="I2243" s="3"/>
      <c r="J2243" s="3"/>
      <c r="K2243" s="3"/>
      <c r="L2243" s="3"/>
      <c r="M2243" s="3"/>
      <c r="N2243" s="3"/>
      <c r="O2243" s="3"/>
      <c r="P2243" s="3"/>
      <c r="Q2243" s="3"/>
      <c r="R2243" s="3"/>
      <c r="S2243" s="3"/>
      <c r="T2243" s="3"/>
      <c r="U2243" s="3"/>
      <c r="V2243" s="3"/>
      <c r="W2243" s="3"/>
      <c r="X2243" s="3"/>
      <c r="Y2243" s="3"/>
      <c r="Z2243" s="3"/>
      <c r="AA2243" s="3"/>
    </row>
    <row r="2244">
      <c r="A2244" s="4"/>
      <c r="B2244" s="3"/>
      <c r="C2244" s="3"/>
      <c r="D2244" s="3"/>
      <c r="E2244" s="3"/>
      <c r="F2244" s="3"/>
      <c r="G2244" s="3"/>
      <c r="H2244" s="3"/>
      <c r="I2244" s="3"/>
      <c r="J2244" s="3"/>
      <c r="K2244" s="3"/>
      <c r="L2244" s="3"/>
      <c r="M2244" s="3"/>
      <c r="N2244" s="3"/>
      <c r="O2244" s="3"/>
      <c r="P2244" s="3"/>
      <c r="Q2244" s="3"/>
      <c r="R2244" s="3"/>
      <c r="S2244" s="3"/>
      <c r="T2244" s="3"/>
      <c r="U2244" s="3"/>
      <c r="V2244" s="3"/>
      <c r="W2244" s="3"/>
      <c r="X2244" s="3"/>
      <c r="Y2244" s="3"/>
      <c r="Z2244" s="3"/>
      <c r="AA2244" s="3"/>
    </row>
    <row r="2245">
      <c r="A2245" s="4"/>
      <c r="B2245" s="3"/>
      <c r="C2245" s="3"/>
      <c r="D2245" s="3"/>
      <c r="E2245" s="3"/>
      <c r="F2245" s="3"/>
      <c r="G2245" s="3"/>
      <c r="H2245" s="3"/>
      <c r="I2245" s="3"/>
      <c r="J2245" s="3"/>
      <c r="K2245" s="3"/>
      <c r="L2245" s="3"/>
      <c r="M2245" s="3"/>
      <c r="N2245" s="3"/>
      <c r="O2245" s="3"/>
      <c r="P2245" s="3"/>
      <c r="Q2245" s="3"/>
      <c r="R2245" s="3"/>
      <c r="S2245" s="3"/>
      <c r="T2245" s="3"/>
      <c r="U2245" s="3"/>
      <c r="V2245" s="3"/>
      <c r="W2245" s="3"/>
      <c r="X2245" s="3"/>
      <c r="Y2245" s="3"/>
      <c r="Z2245" s="3"/>
      <c r="AA2245" s="3"/>
    </row>
    <row r="2246">
      <c r="A2246" s="4"/>
      <c r="B2246" s="3"/>
      <c r="C2246" s="3"/>
      <c r="D2246" s="3"/>
      <c r="E2246" s="3"/>
      <c r="F2246" s="3"/>
      <c r="G2246" s="3"/>
      <c r="H2246" s="3"/>
      <c r="I2246" s="3"/>
      <c r="J2246" s="3"/>
      <c r="K2246" s="3"/>
      <c r="L2246" s="3"/>
      <c r="M2246" s="3"/>
      <c r="N2246" s="3"/>
      <c r="O2246" s="3"/>
      <c r="P2246" s="3"/>
      <c r="Q2246" s="3"/>
      <c r="R2246" s="3"/>
      <c r="S2246" s="3"/>
      <c r="T2246" s="3"/>
      <c r="U2246" s="3"/>
      <c r="V2246" s="3"/>
      <c r="W2246" s="3"/>
      <c r="X2246" s="3"/>
      <c r="Y2246" s="3"/>
      <c r="Z2246" s="3"/>
      <c r="AA2246" s="3"/>
    </row>
    <row r="2247">
      <c r="A2247" s="4"/>
      <c r="B2247" s="3"/>
      <c r="C2247" s="3"/>
      <c r="D2247" s="3"/>
      <c r="E2247" s="3"/>
      <c r="F2247" s="3"/>
      <c r="G2247" s="3"/>
      <c r="H2247" s="3"/>
      <c r="I2247" s="3"/>
      <c r="J2247" s="3"/>
      <c r="K2247" s="3"/>
      <c r="L2247" s="3"/>
      <c r="M2247" s="3"/>
      <c r="N2247" s="3"/>
      <c r="O2247" s="3"/>
      <c r="P2247" s="3"/>
      <c r="Q2247" s="3"/>
      <c r="R2247" s="3"/>
      <c r="S2247" s="3"/>
      <c r="T2247" s="3"/>
      <c r="U2247" s="3"/>
      <c r="V2247" s="3"/>
      <c r="W2247" s="3"/>
      <c r="X2247" s="3"/>
      <c r="Y2247" s="3"/>
      <c r="Z2247" s="3"/>
      <c r="AA2247" s="3"/>
    </row>
    <row r="2248">
      <c r="A2248" s="4"/>
      <c r="B2248" s="3"/>
      <c r="C2248" s="3"/>
      <c r="D2248" s="3"/>
      <c r="E2248" s="3"/>
      <c r="F2248" s="3"/>
      <c r="G2248" s="3"/>
      <c r="H2248" s="3"/>
      <c r="I2248" s="3"/>
      <c r="J2248" s="3"/>
      <c r="K2248" s="3"/>
      <c r="L2248" s="3"/>
      <c r="M2248" s="3"/>
      <c r="N2248" s="3"/>
      <c r="O2248" s="3"/>
      <c r="P2248" s="3"/>
      <c r="Q2248" s="3"/>
      <c r="R2248" s="3"/>
      <c r="S2248" s="3"/>
      <c r="T2248" s="3"/>
      <c r="U2248" s="3"/>
      <c r="V2248" s="3"/>
      <c r="W2248" s="3"/>
      <c r="X2248" s="3"/>
      <c r="Y2248" s="3"/>
      <c r="Z2248" s="3"/>
      <c r="AA2248" s="3"/>
    </row>
    <row r="2249">
      <c r="A2249" s="4"/>
      <c r="B2249" s="3"/>
      <c r="C2249" s="3"/>
      <c r="D2249" s="3"/>
      <c r="E2249" s="3"/>
      <c r="F2249" s="3"/>
      <c r="G2249" s="3"/>
      <c r="H2249" s="3"/>
      <c r="I2249" s="3"/>
      <c r="J2249" s="3"/>
      <c r="K2249" s="3"/>
      <c r="L2249" s="3"/>
      <c r="M2249" s="3"/>
      <c r="N2249" s="3"/>
      <c r="O2249" s="3"/>
      <c r="P2249" s="3"/>
      <c r="Q2249" s="3"/>
      <c r="R2249" s="3"/>
      <c r="S2249" s="3"/>
      <c r="T2249" s="3"/>
      <c r="U2249" s="3"/>
      <c r="V2249" s="3"/>
      <c r="W2249" s="3"/>
      <c r="X2249" s="3"/>
      <c r="Y2249" s="3"/>
      <c r="Z2249" s="3"/>
      <c r="AA2249" s="3"/>
    </row>
    <row r="2250">
      <c r="A2250" s="4"/>
      <c r="B2250" s="3"/>
      <c r="C2250" s="3"/>
      <c r="D2250" s="3"/>
      <c r="E2250" s="3"/>
      <c r="F2250" s="3"/>
      <c r="G2250" s="3"/>
      <c r="H2250" s="3"/>
      <c r="I2250" s="3"/>
      <c r="J2250" s="3"/>
      <c r="K2250" s="3"/>
      <c r="L2250" s="3"/>
      <c r="M2250" s="3"/>
      <c r="N2250" s="3"/>
      <c r="O2250" s="3"/>
      <c r="P2250" s="3"/>
      <c r="Q2250" s="3"/>
      <c r="R2250" s="3"/>
      <c r="S2250" s="3"/>
      <c r="T2250" s="3"/>
      <c r="U2250" s="3"/>
      <c r="V2250" s="3"/>
      <c r="W2250" s="3"/>
      <c r="X2250" s="3"/>
      <c r="Y2250" s="3"/>
      <c r="Z2250" s="3"/>
      <c r="AA2250" s="3"/>
    </row>
    <row r="2251">
      <c r="A2251" s="4"/>
      <c r="B2251" s="3"/>
      <c r="C2251" s="3"/>
      <c r="D2251" s="3"/>
      <c r="E2251" s="3"/>
      <c r="F2251" s="3"/>
      <c r="G2251" s="3"/>
      <c r="H2251" s="3"/>
      <c r="I2251" s="3"/>
      <c r="J2251" s="3"/>
      <c r="K2251" s="3"/>
      <c r="L2251" s="3"/>
      <c r="M2251" s="3"/>
      <c r="N2251" s="3"/>
      <c r="O2251" s="3"/>
      <c r="P2251" s="3"/>
      <c r="Q2251" s="3"/>
      <c r="R2251" s="3"/>
      <c r="S2251" s="3"/>
      <c r="T2251" s="3"/>
      <c r="U2251" s="3"/>
      <c r="V2251" s="3"/>
      <c r="W2251" s="3"/>
      <c r="X2251" s="3"/>
      <c r="Y2251" s="3"/>
      <c r="Z2251" s="3"/>
      <c r="AA2251" s="3"/>
    </row>
    <row r="2252">
      <c r="A2252" s="4"/>
      <c r="B2252" s="3"/>
      <c r="C2252" s="3"/>
      <c r="D2252" s="3"/>
      <c r="E2252" s="3"/>
      <c r="F2252" s="3"/>
      <c r="G2252" s="3"/>
      <c r="H2252" s="3"/>
      <c r="I2252" s="3"/>
      <c r="J2252" s="3"/>
      <c r="K2252" s="3"/>
      <c r="L2252" s="3"/>
      <c r="M2252" s="3"/>
      <c r="N2252" s="3"/>
      <c r="O2252" s="3"/>
      <c r="P2252" s="3"/>
      <c r="Q2252" s="3"/>
      <c r="R2252" s="3"/>
      <c r="S2252" s="3"/>
      <c r="T2252" s="3"/>
      <c r="U2252" s="3"/>
      <c r="V2252" s="3"/>
      <c r="W2252" s="3"/>
      <c r="X2252" s="3"/>
      <c r="Y2252" s="3"/>
      <c r="Z2252" s="3"/>
      <c r="AA2252"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38"/>
    <col customWidth="1" min="2" max="2" width="8.13"/>
    <col customWidth="1" min="3" max="3" width="12.63"/>
    <col customWidth="1" min="4" max="4" width="98.63"/>
    <col customWidth="1" min="9" max="9" width="13.0"/>
    <col customWidth="1" min="10" max="10" width="32.25"/>
    <col customWidth="1" min="11" max="11" width="25.75"/>
    <col customWidth="1" min="12" max="12" width="34.0"/>
    <col customWidth="1" min="16" max="16" width="16.38"/>
  </cols>
  <sheetData>
    <row r="1">
      <c r="A1" s="5" t="s">
        <v>299</v>
      </c>
      <c r="B1" s="6" t="s">
        <v>300</v>
      </c>
      <c r="C1" s="6" t="s">
        <v>301</v>
      </c>
      <c r="D1" s="6" t="s">
        <v>302</v>
      </c>
      <c r="E1" s="5" t="s">
        <v>303</v>
      </c>
      <c r="F1" s="7" t="s">
        <v>304</v>
      </c>
      <c r="G1" s="7" t="s">
        <v>305</v>
      </c>
      <c r="H1" s="7" t="s">
        <v>306</v>
      </c>
      <c r="I1" s="8" t="s">
        <v>307</v>
      </c>
      <c r="J1" s="9" t="s">
        <v>308</v>
      </c>
      <c r="K1" s="8" t="s">
        <v>309</v>
      </c>
      <c r="L1" s="8" t="s">
        <v>310</v>
      </c>
      <c r="M1" s="10"/>
      <c r="N1" s="10"/>
      <c r="O1" s="7"/>
      <c r="P1" s="10"/>
      <c r="Q1" s="10"/>
      <c r="R1" s="10"/>
      <c r="S1" s="10"/>
      <c r="T1" s="10"/>
      <c r="U1" s="10"/>
      <c r="V1" s="10"/>
      <c r="W1" s="10"/>
      <c r="X1" s="10"/>
      <c r="Y1" s="10"/>
      <c r="Z1" s="10"/>
      <c r="AA1" s="10"/>
      <c r="AB1" s="10"/>
      <c r="AC1" s="10"/>
      <c r="AD1" s="10"/>
      <c r="AE1" s="10"/>
      <c r="AF1" s="10"/>
    </row>
    <row r="2">
      <c r="A2" s="10"/>
      <c r="B2" s="8">
        <v>1.0</v>
      </c>
      <c r="C2" s="8">
        <v>1.0</v>
      </c>
      <c r="D2" s="8" t="s">
        <v>311</v>
      </c>
      <c r="E2" s="7">
        <v>0.0</v>
      </c>
      <c r="F2" s="7"/>
      <c r="G2" s="7" t="s">
        <v>312</v>
      </c>
      <c r="H2" s="7" t="s">
        <v>313</v>
      </c>
      <c r="I2" s="7"/>
      <c r="J2" s="11"/>
      <c r="K2" s="12"/>
      <c r="L2" s="12"/>
      <c r="M2" s="7" t="s">
        <v>314</v>
      </c>
      <c r="N2" s="10">
        <f>countif(E:E,0)</f>
        <v>2616</v>
      </c>
      <c r="O2" s="10"/>
      <c r="P2" s="10"/>
      <c r="Q2" s="10"/>
      <c r="R2" s="10"/>
      <c r="S2" s="10"/>
      <c r="T2" s="10"/>
      <c r="U2" s="10"/>
      <c r="V2" s="10"/>
      <c r="W2" s="10"/>
      <c r="X2" s="10"/>
      <c r="Y2" s="10"/>
      <c r="Z2" s="10"/>
      <c r="AA2" s="10"/>
      <c r="AB2" s="10"/>
      <c r="AC2" s="10"/>
      <c r="AD2" s="10"/>
      <c r="AE2" s="10"/>
      <c r="AF2" s="10"/>
    </row>
    <row r="3">
      <c r="A3" s="10"/>
      <c r="B3" s="8">
        <v>1.0</v>
      </c>
      <c r="C3" s="8">
        <v>2.0</v>
      </c>
      <c r="D3" s="8" t="s">
        <v>315</v>
      </c>
      <c r="E3" s="7">
        <v>0.0</v>
      </c>
      <c r="F3" s="7"/>
      <c r="G3" s="7" t="s">
        <v>312</v>
      </c>
      <c r="H3" s="7" t="s">
        <v>313</v>
      </c>
      <c r="I3" s="7"/>
      <c r="J3" s="11"/>
      <c r="K3" s="12"/>
      <c r="L3" s="12"/>
      <c r="M3" s="7" t="s">
        <v>316</v>
      </c>
      <c r="N3" s="10">
        <f>countif(E:E,1)</f>
        <v>241</v>
      </c>
      <c r="O3" s="10"/>
      <c r="P3" s="10"/>
      <c r="Q3" s="10"/>
      <c r="R3" s="10"/>
      <c r="S3" s="10"/>
      <c r="T3" s="10"/>
      <c r="U3" s="10"/>
      <c r="V3" s="10"/>
      <c r="W3" s="10"/>
      <c r="X3" s="10"/>
      <c r="Y3" s="10"/>
      <c r="Z3" s="10"/>
      <c r="AA3" s="10"/>
      <c r="AB3" s="10"/>
      <c r="AC3" s="10"/>
      <c r="AD3" s="10"/>
      <c r="AE3" s="10"/>
      <c r="AF3" s="10"/>
    </row>
    <row r="4">
      <c r="A4" s="7"/>
      <c r="B4" s="8">
        <v>1.0</v>
      </c>
      <c r="C4" s="8">
        <v>3.0</v>
      </c>
      <c r="D4" s="8" t="s">
        <v>317</v>
      </c>
      <c r="E4" s="7">
        <v>0.0</v>
      </c>
      <c r="F4" s="7"/>
      <c r="G4" s="7" t="s">
        <v>312</v>
      </c>
      <c r="H4" s="7" t="s">
        <v>313</v>
      </c>
      <c r="I4" s="7"/>
      <c r="J4" s="11"/>
      <c r="K4" s="12"/>
      <c r="L4" s="12"/>
      <c r="M4" s="7" t="s">
        <v>318</v>
      </c>
      <c r="N4" s="10">
        <f>countif(E:E,2)</f>
        <v>477</v>
      </c>
      <c r="O4" s="10"/>
      <c r="P4" s="10"/>
      <c r="Q4" s="10"/>
      <c r="R4" s="10"/>
      <c r="S4" s="10"/>
      <c r="T4" s="10"/>
      <c r="U4" s="10"/>
      <c r="V4" s="10"/>
      <c r="W4" s="10"/>
      <c r="X4" s="10"/>
      <c r="Y4" s="10"/>
      <c r="Z4" s="10"/>
      <c r="AA4" s="10"/>
      <c r="AB4" s="10"/>
      <c r="AC4" s="10"/>
      <c r="AD4" s="10"/>
      <c r="AE4" s="10"/>
      <c r="AF4" s="10"/>
    </row>
    <row r="5">
      <c r="A5" s="7"/>
      <c r="B5" s="8">
        <v>1.0</v>
      </c>
      <c r="C5" s="8">
        <v>4.0</v>
      </c>
      <c r="D5" s="8" t="s">
        <v>319</v>
      </c>
      <c r="E5" s="7">
        <v>1.0</v>
      </c>
      <c r="F5" s="7" t="s">
        <v>320</v>
      </c>
      <c r="G5" s="7" t="s">
        <v>312</v>
      </c>
      <c r="H5" s="7" t="s">
        <v>313</v>
      </c>
      <c r="I5" s="7" t="s">
        <v>321</v>
      </c>
      <c r="J5" s="9" t="s">
        <v>322</v>
      </c>
      <c r="K5" s="12"/>
      <c r="L5" s="12"/>
      <c r="M5" s="7" t="s">
        <v>323</v>
      </c>
      <c r="N5" s="10">
        <f>countif(E:E,3)</f>
        <v>247</v>
      </c>
      <c r="O5" s="10"/>
      <c r="P5" s="10"/>
      <c r="Q5" s="10"/>
      <c r="R5" s="10"/>
      <c r="S5" s="10"/>
      <c r="T5" s="10"/>
      <c r="U5" s="10"/>
      <c r="V5" s="10"/>
      <c r="W5" s="10"/>
      <c r="X5" s="10"/>
      <c r="Y5" s="10"/>
      <c r="Z5" s="10"/>
      <c r="AA5" s="10"/>
      <c r="AB5" s="10"/>
      <c r="AC5" s="10"/>
      <c r="AD5" s="10"/>
      <c r="AE5" s="10"/>
      <c r="AF5" s="10"/>
    </row>
    <row r="6">
      <c r="A6" s="7"/>
      <c r="B6" s="8">
        <v>1.0</v>
      </c>
      <c r="C6" s="8">
        <v>5.0</v>
      </c>
      <c r="D6" s="8" t="s">
        <v>324</v>
      </c>
      <c r="E6" s="7">
        <v>1.0</v>
      </c>
      <c r="F6" s="7" t="s">
        <v>320</v>
      </c>
      <c r="G6" s="7" t="s">
        <v>312</v>
      </c>
      <c r="H6" s="7" t="s">
        <v>313</v>
      </c>
      <c r="I6" s="7" t="s">
        <v>321</v>
      </c>
      <c r="J6" s="9" t="s">
        <v>322</v>
      </c>
      <c r="K6" s="12"/>
      <c r="L6" s="12"/>
      <c r="M6" s="7" t="s">
        <v>325</v>
      </c>
      <c r="N6" s="7">
        <v>755.0</v>
      </c>
      <c r="O6" s="10"/>
      <c r="P6" s="10"/>
      <c r="Q6" s="10"/>
      <c r="R6" s="10"/>
      <c r="S6" s="10"/>
      <c r="T6" s="10"/>
      <c r="U6" s="10"/>
      <c r="V6" s="10"/>
      <c r="W6" s="10"/>
      <c r="X6" s="10"/>
      <c r="Y6" s="10"/>
      <c r="Z6" s="10"/>
      <c r="AA6" s="10"/>
      <c r="AB6" s="10"/>
      <c r="AC6" s="10"/>
      <c r="AD6" s="10"/>
      <c r="AE6" s="10"/>
      <c r="AF6" s="10"/>
    </row>
    <row r="7">
      <c r="A7" s="7"/>
      <c r="B7" s="8">
        <v>1.0</v>
      </c>
      <c r="C7" s="8">
        <v>6.0</v>
      </c>
      <c r="D7" s="8" t="s">
        <v>326</v>
      </c>
      <c r="E7" s="7">
        <v>0.0</v>
      </c>
      <c r="F7" s="7"/>
      <c r="G7" s="7" t="s">
        <v>312</v>
      </c>
      <c r="H7" s="7" t="s">
        <v>313</v>
      </c>
      <c r="I7" s="7"/>
      <c r="J7" s="11"/>
      <c r="K7" s="12"/>
      <c r="L7" s="12"/>
      <c r="M7" s="13" t="s">
        <v>327</v>
      </c>
      <c r="N7" s="10">
        <f>sum(N2:N6)</f>
        <v>4336</v>
      </c>
      <c r="O7" s="10"/>
      <c r="P7" s="10"/>
      <c r="Q7" s="10"/>
      <c r="R7" s="10"/>
      <c r="S7" s="10"/>
      <c r="T7" s="10"/>
      <c r="U7" s="10"/>
      <c r="V7" s="10"/>
      <c r="W7" s="10"/>
      <c r="X7" s="10"/>
      <c r="Y7" s="10"/>
      <c r="Z7" s="10"/>
      <c r="AA7" s="10"/>
      <c r="AB7" s="10"/>
      <c r="AC7" s="10"/>
      <c r="AD7" s="10"/>
      <c r="AE7" s="10"/>
      <c r="AF7" s="10"/>
    </row>
    <row r="8">
      <c r="A8" s="10"/>
      <c r="B8" s="8"/>
      <c r="C8" s="8"/>
      <c r="D8" s="12"/>
      <c r="E8" s="10"/>
      <c r="F8" s="10"/>
      <c r="G8" s="10"/>
      <c r="H8" s="10"/>
      <c r="I8" s="10"/>
      <c r="J8" s="11"/>
      <c r="K8" s="12"/>
      <c r="L8" s="12"/>
      <c r="M8" s="10"/>
      <c r="N8" s="10"/>
      <c r="O8" s="10"/>
      <c r="P8" s="10"/>
      <c r="Q8" s="10"/>
      <c r="R8" s="10"/>
      <c r="S8" s="10"/>
      <c r="T8" s="10"/>
      <c r="U8" s="10"/>
      <c r="V8" s="10"/>
      <c r="W8" s="10"/>
      <c r="X8" s="10"/>
      <c r="Y8" s="10"/>
      <c r="Z8" s="10"/>
      <c r="AA8" s="10"/>
      <c r="AB8" s="10"/>
      <c r="AC8" s="10"/>
      <c r="AD8" s="10"/>
      <c r="AE8" s="10"/>
      <c r="AF8" s="10"/>
    </row>
    <row r="9">
      <c r="A9" s="7"/>
      <c r="B9" s="8">
        <v>2.0</v>
      </c>
      <c r="C9" s="8">
        <v>1.0</v>
      </c>
      <c r="D9" s="8" t="s">
        <v>328</v>
      </c>
      <c r="E9" s="7">
        <v>1.0</v>
      </c>
      <c r="F9" s="7"/>
      <c r="G9" s="7" t="s">
        <v>312</v>
      </c>
      <c r="H9" s="7" t="s">
        <v>313</v>
      </c>
      <c r="I9" s="7"/>
      <c r="J9" s="11"/>
      <c r="K9" s="12"/>
      <c r="L9" s="12"/>
      <c r="M9" s="10"/>
      <c r="N9" s="10"/>
      <c r="O9" s="10"/>
      <c r="P9" s="10"/>
      <c r="Q9" s="10"/>
      <c r="R9" s="10"/>
      <c r="S9" s="10"/>
      <c r="T9" s="10"/>
      <c r="U9" s="10"/>
      <c r="V9" s="10"/>
      <c r="W9" s="10"/>
      <c r="X9" s="10"/>
      <c r="Y9" s="10"/>
      <c r="Z9" s="10"/>
      <c r="AA9" s="10"/>
      <c r="AB9" s="10"/>
      <c r="AC9" s="10"/>
      <c r="AD9" s="10"/>
      <c r="AE9" s="10"/>
      <c r="AF9" s="10"/>
    </row>
    <row r="10">
      <c r="A10" s="7"/>
      <c r="B10" s="8">
        <v>2.0</v>
      </c>
      <c r="C10" s="8">
        <v>2.0</v>
      </c>
      <c r="D10" s="8" t="s">
        <v>329</v>
      </c>
      <c r="E10" s="7">
        <v>1.0</v>
      </c>
      <c r="F10" s="7"/>
      <c r="G10" s="7" t="s">
        <v>312</v>
      </c>
      <c r="H10" s="7" t="s">
        <v>313</v>
      </c>
      <c r="I10" s="7"/>
      <c r="J10" s="11"/>
      <c r="K10" s="12"/>
      <c r="L10" s="12"/>
      <c r="M10" s="10"/>
      <c r="N10" s="10"/>
      <c r="O10" s="10"/>
      <c r="P10" s="10"/>
      <c r="Q10" s="10"/>
      <c r="R10" s="10"/>
      <c r="S10" s="10"/>
      <c r="T10" s="10"/>
      <c r="U10" s="10"/>
      <c r="V10" s="10"/>
      <c r="W10" s="10"/>
      <c r="X10" s="10"/>
      <c r="Y10" s="10"/>
      <c r="Z10" s="10"/>
      <c r="AA10" s="10"/>
      <c r="AB10" s="10"/>
      <c r="AC10" s="10"/>
      <c r="AD10" s="10"/>
      <c r="AE10" s="10"/>
      <c r="AF10" s="10"/>
    </row>
    <row r="11">
      <c r="A11" s="7"/>
      <c r="B11" s="8">
        <v>2.0</v>
      </c>
      <c r="C11" s="8">
        <v>3.0</v>
      </c>
      <c r="D11" s="8" t="s">
        <v>330</v>
      </c>
      <c r="E11" s="7">
        <v>1.0</v>
      </c>
      <c r="F11" s="7"/>
      <c r="G11" s="7" t="s">
        <v>312</v>
      </c>
      <c r="H11" s="7" t="s">
        <v>313</v>
      </c>
      <c r="I11" s="7"/>
      <c r="J11" s="11"/>
      <c r="K11" s="12"/>
      <c r="L11" s="12"/>
      <c r="M11" s="10"/>
      <c r="N11" s="10"/>
      <c r="O11" s="10"/>
      <c r="P11" s="10"/>
      <c r="Q11" s="10"/>
      <c r="R11" s="10"/>
      <c r="S11" s="10"/>
      <c r="T11" s="10"/>
      <c r="U11" s="10"/>
      <c r="V11" s="10"/>
      <c r="W11" s="10"/>
      <c r="X11" s="10"/>
      <c r="Y11" s="10"/>
      <c r="Z11" s="10"/>
      <c r="AA11" s="10"/>
      <c r="AB11" s="10"/>
      <c r="AC11" s="10"/>
      <c r="AD11" s="10"/>
      <c r="AE11" s="10"/>
      <c r="AF11" s="10"/>
    </row>
    <row r="12">
      <c r="A12" s="10"/>
      <c r="B12" s="12"/>
      <c r="C12" s="12"/>
      <c r="D12" s="12"/>
      <c r="E12" s="10"/>
      <c r="F12" s="10"/>
      <c r="G12" s="10"/>
      <c r="H12" s="10"/>
      <c r="I12" s="10"/>
      <c r="J12" s="11"/>
      <c r="K12" s="12"/>
      <c r="L12" s="12"/>
      <c r="M12" s="10"/>
      <c r="N12" s="10"/>
      <c r="O12" s="10"/>
      <c r="P12" s="10"/>
      <c r="Q12" s="10"/>
      <c r="R12" s="10"/>
      <c r="S12" s="10"/>
      <c r="T12" s="10"/>
      <c r="U12" s="10"/>
      <c r="V12" s="10"/>
      <c r="W12" s="10"/>
      <c r="X12" s="10"/>
      <c r="Y12" s="10"/>
      <c r="Z12" s="10"/>
      <c r="AA12" s="10"/>
      <c r="AB12" s="10"/>
      <c r="AC12" s="10"/>
      <c r="AD12" s="10"/>
      <c r="AE12" s="10"/>
      <c r="AF12" s="10"/>
    </row>
    <row r="13">
      <c r="A13" s="10"/>
      <c r="B13" s="8">
        <v>3.0</v>
      </c>
      <c r="C13" s="8">
        <v>1.0</v>
      </c>
      <c r="D13" s="8" t="s">
        <v>331</v>
      </c>
      <c r="E13" s="7">
        <v>0.0</v>
      </c>
      <c r="F13" s="10"/>
      <c r="G13" s="7" t="s">
        <v>312</v>
      </c>
      <c r="H13" s="10"/>
      <c r="I13" s="10"/>
      <c r="J13" s="11"/>
      <c r="K13" s="14" t="s">
        <v>332</v>
      </c>
      <c r="L13" s="15" t="s">
        <v>333</v>
      </c>
      <c r="M13" s="10"/>
      <c r="N13" s="10"/>
      <c r="O13" s="10"/>
      <c r="P13" s="10"/>
      <c r="Q13" s="10"/>
      <c r="R13" s="10"/>
      <c r="S13" s="10"/>
      <c r="T13" s="10"/>
      <c r="U13" s="10"/>
      <c r="V13" s="10"/>
      <c r="W13" s="10"/>
      <c r="X13" s="10"/>
      <c r="Y13" s="10"/>
      <c r="Z13" s="10"/>
      <c r="AA13" s="10"/>
      <c r="AB13" s="10"/>
      <c r="AC13" s="10"/>
      <c r="AD13" s="10"/>
      <c r="AE13" s="10"/>
      <c r="AF13" s="10"/>
    </row>
    <row r="14">
      <c r="A14" s="10"/>
      <c r="B14" s="12"/>
      <c r="C14" s="12"/>
      <c r="D14" s="12"/>
      <c r="E14" s="10"/>
      <c r="F14" s="10"/>
      <c r="G14" s="10"/>
      <c r="H14" s="10"/>
      <c r="I14" s="10"/>
      <c r="J14" s="11"/>
      <c r="K14" s="12"/>
      <c r="L14" s="12"/>
      <c r="M14" s="10"/>
      <c r="N14" s="10"/>
      <c r="O14" s="10"/>
      <c r="P14" s="10"/>
      <c r="Q14" s="10"/>
      <c r="R14" s="10"/>
      <c r="S14" s="10"/>
      <c r="T14" s="10"/>
      <c r="U14" s="10"/>
      <c r="V14" s="10"/>
      <c r="W14" s="10"/>
      <c r="X14" s="10"/>
      <c r="Y14" s="10"/>
      <c r="Z14" s="10"/>
      <c r="AA14" s="10"/>
      <c r="AB14" s="10"/>
      <c r="AC14" s="10"/>
      <c r="AD14" s="10"/>
      <c r="AE14" s="10"/>
      <c r="AF14" s="10"/>
    </row>
    <row r="15">
      <c r="A15" s="7"/>
      <c r="B15" s="8">
        <v>4.0</v>
      </c>
      <c r="C15" s="8">
        <v>1.0</v>
      </c>
      <c r="D15" s="8" t="s">
        <v>334</v>
      </c>
      <c r="E15" s="7">
        <v>0.0</v>
      </c>
      <c r="F15" s="7"/>
      <c r="G15" s="7" t="s">
        <v>312</v>
      </c>
      <c r="H15" s="7" t="s">
        <v>313</v>
      </c>
      <c r="I15" s="10"/>
      <c r="J15" s="9" t="s">
        <v>335</v>
      </c>
      <c r="K15" s="12"/>
      <c r="L15" s="12"/>
      <c r="M15" s="10"/>
      <c r="N15" s="10"/>
      <c r="O15" s="10"/>
      <c r="P15" s="10"/>
      <c r="Q15" s="10"/>
      <c r="R15" s="10"/>
      <c r="S15" s="10"/>
      <c r="T15" s="10"/>
      <c r="U15" s="10"/>
      <c r="V15" s="10"/>
      <c r="W15" s="10"/>
      <c r="X15" s="10"/>
      <c r="Y15" s="10"/>
      <c r="Z15" s="10"/>
      <c r="AA15" s="10"/>
      <c r="AB15" s="10"/>
      <c r="AC15" s="10"/>
      <c r="AD15" s="10"/>
      <c r="AE15" s="10"/>
      <c r="AF15" s="10"/>
    </row>
    <row r="16">
      <c r="A16" s="10"/>
      <c r="B16" s="12"/>
      <c r="C16" s="12"/>
      <c r="D16" s="12"/>
      <c r="E16" s="10"/>
      <c r="F16" s="10"/>
      <c r="G16" s="10"/>
      <c r="H16" s="10"/>
      <c r="I16" s="10"/>
      <c r="J16" s="11"/>
      <c r="K16" s="12"/>
      <c r="L16" s="12"/>
      <c r="M16" s="10"/>
      <c r="N16" s="10"/>
      <c r="O16" s="10"/>
      <c r="P16" s="10"/>
      <c r="Q16" s="10"/>
      <c r="R16" s="10"/>
      <c r="S16" s="10"/>
      <c r="T16" s="10"/>
      <c r="U16" s="10"/>
      <c r="V16" s="10"/>
      <c r="W16" s="10"/>
      <c r="X16" s="10"/>
      <c r="Y16" s="10"/>
      <c r="Z16" s="10"/>
      <c r="AA16" s="10"/>
      <c r="AB16" s="10"/>
      <c r="AC16" s="10"/>
      <c r="AD16" s="10"/>
      <c r="AE16" s="10"/>
      <c r="AF16" s="10"/>
    </row>
    <row r="17">
      <c r="A17" s="7"/>
      <c r="B17" s="8">
        <v>5.0</v>
      </c>
      <c r="C17" s="8">
        <v>1.0</v>
      </c>
      <c r="D17" s="8" t="s">
        <v>336</v>
      </c>
      <c r="E17" s="7">
        <v>0.0</v>
      </c>
      <c r="F17" s="7"/>
      <c r="G17" s="7" t="s">
        <v>312</v>
      </c>
      <c r="H17" s="7" t="s">
        <v>313</v>
      </c>
      <c r="I17" s="10"/>
      <c r="J17" s="11"/>
      <c r="K17" s="12"/>
      <c r="L17" s="12"/>
      <c r="M17" s="10"/>
      <c r="N17" s="10"/>
      <c r="O17" s="10"/>
      <c r="P17" s="10"/>
      <c r="Q17" s="10"/>
      <c r="R17" s="10"/>
      <c r="S17" s="10"/>
      <c r="T17" s="10"/>
      <c r="U17" s="10"/>
      <c r="V17" s="10"/>
      <c r="W17" s="10"/>
      <c r="X17" s="10"/>
      <c r="Y17" s="10"/>
      <c r="Z17" s="10"/>
      <c r="AA17" s="10"/>
      <c r="AB17" s="10"/>
      <c r="AC17" s="10"/>
      <c r="AD17" s="10"/>
      <c r="AE17" s="10"/>
      <c r="AF17" s="10"/>
    </row>
    <row r="18">
      <c r="A18" s="10"/>
      <c r="B18" s="12"/>
      <c r="C18" s="12"/>
      <c r="D18" s="12"/>
      <c r="E18" s="10"/>
      <c r="F18" s="10"/>
      <c r="G18" s="10"/>
      <c r="H18" s="10"/>
      <c r="I18" s="10"/>
      <c r="J18" s="11"/>
      <c r="K18" s="12"/>
      <c r="L18" s="12"/>
      <c r="M18" s="10"/>
      <c r="N18" s="10"/>
      <c r="O18" s="10"/>
      <c r="P18" s="10"/>
      <c r="Q18" s="10"/>
      <c r="R18" s="10"/>
      <c r="S18" s="10"/>
      <c r="T18" s="10"/>
      <c r="U18" s="10"/>
      <c r="V18" s="10"/>
      <c r="W18" s="10"/>
      <c r="X18" s="10"/>
      <c r="Y18" s="10"/>
      <c r="Z18" s="10"/>
      <c r="AA18" s="10"/>
      <c r="AB18" s="10"/>
      <c r="AC18" s="10"/>
      <c r="AD18" s="10"/>
      <c r="AE18" s="10"/>
      <c r="AF18" s="10"/>
    </row>
    <row r="19">
      <c r="A19" s="7"/>
      <c r="B19" s="8">
        <v>6.0</v>
      </c>
      <c r="C19" s="8">
        <v>1.0</v>
      </c>
      <c r="D19" s="8" t="s">
        <v>337</v>
      </c>
      <c r="E19" s="7">
        <v>0.0</v>
      </c>
      <c r="F19" s="7"/>
      <c r="G19" s="7" t="s">
        <v>312</v>
      </c>
      <c r="H19" s="7" t="s">
        <v>313</v>
      </c>
      <c r="I19" s="10"/>
      <c r="J19" s="11"/>
      <c r="K19" s="12"/>
      <c r="L19" s="12"/>
      <c r="M19" s="10"/>
      <c r="N19" s="10"/>
      <c r="O19" s="10"/>
      <c r="P19" s="10"/>
      <c r="Q19" s="10"/>
      <c r="R19" s="10"/>
      <c r="S19" s="10"/>
      <c r="T19" s="10"/>
      <c r="U19" s="10"/>
      <c r="V19" s="10"/>
      <c r="W19" s="10"/>
      <c r="X19" s="10"/>
      <c r="Y19" s="10"/>
      <c r="Z19" s="10"/>
      <c r="AA19" s="10"/>
      <c r="AB19" s="10"/>
      <c r="AC19" s="10"/>
      <c r="AD19" s="10"/>
      <c r="AE19" s="10"/>
      <c r="AF19" s="10"/>
    </row>
    <row r="20">
      <c r="A20" s="7"/>
      <c r="B20" s="8">
        <v>6.0</v>
      </c>
      <c r="C20" s="8">
        <v>2.0</v>
      </c>
      <c r="D20" s="8" t="s">
        <v>338</v>
      </c>
      <c r="E20" s="7">
        <v>1.0</v>
      </c>
      <c r="F20" s="7"/>
      <c r="G20" s="7" t="s">
        <v>312</v>
      </c>
      <c r="H20" s="7" t="s">
        <v>313</v>
      </c>
      <c r="I20" s="10"/>
      <c r="J20" s="11"/>
      <c r="K20" s="12"/>
      <c r="L20" s="12"/>
      <c r="M20" s="10"/>
      <c r="N20" s="10"/>
      <c r="O20" s="10"/>
      <c r="P20" s="10"/>
      <c r="Q20" s="10"/>
      <c r="R20" s="10"/>
      <c r="S20" s="10"/>
      <c r="T20" s="10"/>
      <c r="U20" s="10"/>
      <c r="V20" s="10"/>
      <c r="W20" s="10"/>
      <c r="X20" s="10"/>
      <c r="Y20" s="10"/>
      <c r="Z20" s="10"/>
      <c r="AA20" s="10"/>
      <c r="AB20" s="10"/>
      <c r="AC20" s="10"/>
      <c r="AD20" s="10"/>
      <c r="AE20" s="10"/>
      <c r="AF20" s="10"/>
    </row>
    <row r="21">
      <c r="A21" s="7"/>
      <c r="B21" s="8">
        <v>6.0</v>
      </c>
      <c r="C21" s="8">
        <v>3.0</v>
      </c>
      <c r="D21" s="8" t="s">
        <v>339</v>
      </c>
      <c r="E21" s="7">
        <v>1.0</v>
      </c>
      <c r="F21" s="7"/>
      <c r="G21" s="7" t="s">
        <v>312</v>
      </c>
      <c r="H21" s="7" t="s">
        <v>313</v>
      </c>
      <c r="I21" s="10"/>
      <c r="J21" s="11"/>
      <c r="K21" s="12"/>
      <c r="L21" s="12"/>
      <c r="M21" s="10"/>
      <c r="N21" s="10"/>
      <c r="O21" s="10"/>
      <c r="P21" s="10"/>
      <c r="Q21" s="10"/>
      <c r="R21" s="10"/>
      <c r="S21" s="10"/>
      <c r="T21" s="10"/>
      <c r="U21" s="10"/>
      <c r="V21" s="10"/>
      <c r="W21" s="10"/>
      <c r="X21" s="10"/>
      <c r="Y21" s="10"/>
      <c r="Z21" s="10"/>
      <c r="AA21" s="10"/>
      <c r="AB21" s="10"/>
      <c r="AC21" s="10"/>
      <c r="AD21" s="10"/>
      <c r="AE21" s="10"/>
      <c r="AF21" s="10"/>
    </row>
    <row r="22">
      <c r="A22" s="7"/>
      <c r="B22" s="8">
        <v>6.0</v>
      </c>
      <c r="C22" s="8">
        <v>4.0</v>
      </c>
      <c r="D22" s="8" t="s">
        <v>340</v>
      </c>
      <c r="E22" s="7">
        <v>0.0</v>
      </c>
      <c r="F22" s="7"/>
      <c r="G22" s="7" t="s">
        <v>312</v>
      </c>
      <c r="H22" s="7" t="s">
        <v>313</v>
      </c>
      <c r="I22" s="10"/>
      <c r="J22" s="11"/>
      <c r="K22" s="12"/>
      <c r="L22" s="12"/>
      <c r="M22" s="10"/>
      <c r="N22" s="10"/>
      <c r="O22" s="10"/>
      <c r="P22" s="10"/>
      <c r="Q22" s="10"/>
      <c r="R22" s="10"/>
      <c r="S22" s="10"/>
      <c r="T22" s="10"/>
      <c r="U22" s="10"/>
      <c r="V22" s="10"/>
      <c r="W22" s="10"/>
      <c r="X22" s="10"/>
      <c r="Y22" s="10"/>
      <c r="Z22" s="10"/>
      <c r="AA22" s="10"/>
      <c r="AB22" s="10"/>
      <c r="AC22" s="10"/>
      <c r="AD22" s="10"/>
      <c r="AE22" s="10"/>
      <c r="AF22" s="10"/>
    </row>
    <row r="23">
      <c r="A23" s="7"/>
      <c r="B23" s="8">
        <v>6.0</v>
      </c>
      <c r="C23" s="8">
        <v>5.0</v>
      </c>
      <c r="D23" s="8" t="s">
        <v>341</v>
      </c>
      <c r="E23" s="7">
        <v>0.0</v>
      </c>
      <c r="F23" s="7"/>
      <c r="G23" s="7" t="s">
        <v>312</v>
      </c>
      <c r="H23" s="7" t="s">
        <v>313</v>
      </c>
      <c r="I23" s="10"/>
      <c r="J23" s="11"/>
      <c r="K23" s="12"/>
      <c r="L23" s="12"/>
      <c r="M23" s="10"/>
      <c r="N23" s="10"/>
      <c r="O23" s="10"/>
      <c r="P23" s="10"/>
      <c r="Q23" s="10"/>
      <c r="R23" s="10"/>
      <c r="S23" s="10"/>
      <c r="T23" s="10"/>
      <c r="U23" s="10"/>
      <c r="V23" s="10"/>
      <c r="W23" s="10"/>
      <c r="X23" s="10"/>
      <c r="Y23" s="10"/>
      <c r="Z23" s="10"/>
      <c r="AA23" s="10"/>
      <c r="AB23" s="10"/>
      <c r="AC23" s="10"/>
      <c r="AD23" s="10"/>
      <c r="AE23" s="10"/>
      <c r="AF23" s="10"/>
    </row>
    <row r="24">
      <c r="A24" s="7"/>
      <c r="B24" s="8">
        <v>6.0</v>
      </c>
      <c r="C24" s="8">
        <v>6.0</v>
      </c>
      <c r="D24" s="8" t="s">
        <v>342</v>
      </c>
      <c r="E24" s="7">
        <v>0.0</v>
      </c>
      <c r="F24" s="7"/>
      <c r="G24" s="7" t="s">
        <v>312</v>
      </c>
      <c r="H24" s="7" t="s">
        <v>313</v>
      </c>
      <c r="I24" s="10"/>
      <c r="J24" s="11"/>
      <c r="K24" s="12"/>
      <c r="L24" s="12"/>
      <c r="M24" s="10"/>
      <c r="N24" s="10"/>
      <c r="O24" s="10"/>
      <c r="P24" s="10"/>
      <c r="Q24" s="10"/>
      <c r="R24" s="10"/>
      <c r="S24" s="10"/>
      <c r="T24" s="10"/>
      <c r="U24" s="10"/>
      <c r="V24" s="10"/>
      <c r="W24" s="10"/>
      <c r="X24" s="10"/>
      <c r="Y24" s="10"/>
      <c r="Z24" s="10"/>
      <c r="AA24" s="10"/>
      <c r="AB24" s="10"/>
      <c r="AC24" s="10"/>
      <c r="AD24" s="10"/>
      <c r="AE24" s="10"/>
      <c r="AF24" s="10"/>
    </row>
    <row r="25">
      <c r="A25" s="7"/>
      <c r="B25" s="8">
        <v>6.0</v>
      </c>
      <c r="C25" s="8">
        <v>7.0</v>
      </c>
      <c r="D25" s="8" t="s">
        <v>343</v>
      </c>
      <c r="E25" s="7">
        <v>0.0</v>
      </c>
      <c r="F25" s="7"/>
      <c r="G25" s="7" t="s">
        <v>312</v>
      </c>
      <c r="H25" s="7" t="s">
        <v>313</v>
      </c>
      <c r="I25" s="10"/>
      <c r="J25" s="11"/>
      <c r="K25" s="12"/>
      <c r="L25" s="12"/>
      <c r="M25" s="10"/>
      <c r="N25" s="10"/>
      <c r="O25" s="10"/>
      <c r="P25" s="10"/>
      <c r="Q25" s="10"/>
      <c r="R25" s="10"/>
      <c r="S25" s="10"/>
      <c r="T25" s="10"/>
      <c r="U25" s="10"/>
      <c r="V25" s="10"/>
      <c r="W25" s="10"/>
      <c r="X25" s="10"/>
      <c r="Y25" s="10"/>
      <c r="Z25" s="10"/>
      <c r="AA25" s="10"/>
      <c r="AB25" s="10"/>
      <c r="AC25" s="10"/>
      <c r="AD25" s="10"/>
      <c r="AE25" s="10"/>
      <c r="AF25" s="10"/>
    </row>
    <row r="26">
      <c r="A26" s="7"/>
      <c r="B26" s="8">
        <v>6.0</v>
      </c>
      <c r="C26" s="8">
        <v>8.0</v>
      </c>
      <c r="D26" s="8" t="s">
        <v>344</v>
      </c>
      <c r="E26" s="7">
        <v>1.0</v>
      </c>
      <c r="F26" s="7"/>
      <c r="G26" s="7" t="s">
        <v>312</v>
      </c>
      <c r="H26" s="7" t="s">
        <v>313</v>
      </c>
      <c r="I26" s="10"/>
      <c r="J26" s="11"/>
      <c r="K26" s="12"/>
      <c r="L26" s="12"/>
      <c r="M26" s="10"/>
      <c r="N26" s="10"/>
      <c r="O26" s="10"/>
      <c r="P26" s="10"/>
      <c r="Q26" s="10"/>
      <c r="R26" s="10"/>
      <c r="S26" s="10"/>
      <c r="T26" s="10"/>
      <c r="U26" s="10"/>
      <c r="V26" s="10"/>
      <c r="W26" s="10"/>
      <c r="X26" s="10"/>
      <c r="Y26" s="10"/>
      <c r="Z26" s="10"/>
      <c r="AA26" s="10"/>
      <c r="AB26" s="10"/>
      <c r="AC26" s="10"/>
      <c r="AD26" s="10"/>
      <c r="AE26" s="10"/>
      <c r="AF26" s="10"/>
    </row>
    <row r="27">
      <c r="A27" s="7"/>
      <c r="B27" s="8">
        <v>6.0</v>
      </c>
      <c r="C27" s="8">
        <v>9.0</v>
      </c>
      <c r="D27" s="8" t="s">
        <v>345</v>
      </c>
      <c r="E27" s="7">
        <v>1.0</v>
      </c>
      <c r="F27" s="7"/>
      <c r="G27" s="7" t="s">
        <v>312</v>
      </c>
      <c r="H27" s="7" t="s">
        <v>313</v>
      </c>
      <c r="I27" s="10"/>
      <c r="J27" s="11"/>
      <c r="K27" s="12"/>
      <c r="L27" s="12"/>
      <c r="M27" s="10"/>
      <c r="N27" s="10"/>
      <c r="O27" s="10"/>
      <c r="P27" s="10"/>
      <c r="Q27" s="10"/>
      <c r="R27" s="10"/>
      <c r="S27" s="10"/>
      <c r="T27" s="10"/>
      <c r="U27" s="10"/>
      <c r="V27" s="10"/>
      <c r="W27" s="10"/>
      <c r="X27" s="10"/>
      <c r="Y27" s="10"/>
      <c r="Z27" s="10"/>
      <c r="AA27" s="10"/>
      <c r="AB27" s="10"/>
      <c r="AC27" s="10"/>
      <c r="AD27" s="10"/>
      <c r="AE27" s="10"/>
      <c r="AF27" s="10"/>
    </row>
    <row r="28">
      <c r="A28" s="7"/>
      <c r="B28" s="8">
        <v>6.0</v>
      </c>
      <c r="C28" s="8">
        <v>10.0</v>
      </c>
      <c r="D28" s="8" t="s">
        <v>346</v>
      </c>
      <c r="E28" s="7">
        <v>0.0</v>
      </c>
      <c r="F28" s="7"/>
      <c r="G28" s="7" t="s">
        <v>312</v>
      </c>
      <c r="H28" s="7" t="s">
        <v>313</v>
      </c>
      <c r="I28" s="10"/>
      <c r="J28" s="11"/>
      <c r="K28" s="12"/>
      <c r="L28" s="12"/>
      <c r="M28" s="10"/>
      <c r="N28" s="10"/>
      <c r="O28" s="10"/>
      <c r="P28" s="10"/>
      <c r="Q28" s="10"/>
      <c r="R28" s="10"/>
      <c r="S28" s="10"/>
      <c r="T28" s="10"/>
      <c r="U28" s="10"/>
      <c r="V28" s="10"/>
      <c r="W28" s="10"/>
      <c r="X28" s="10"/>
      <c r="Y28" s="10"/>
      <c r="Z28" s="10"/>
      <c r="AA28" s="10"/>
      <c r="AB28" s="10"/>
      <c r="AC28" s="10"/>
      <c r="AD28" s="10"/>
      <c r="AE28" s="10"/>
      <c r="AF28" s="10"/>
    </row>
    <row r="29">
      <c r="A29" s="7"/>
      <c r="B29" s="8">
        <v>6.0</v>
      </c>
      <c r="C29" s="8">
        <v>11.0</v>
      </c>
      <c r="D29" s="8" t="s">
        <v>347</v>
      </c>
      <c r="E29" s="7">
        <v>0.0</v>
      </c>
      <c r="F29" s="7"/>
      <c r="G29" s="7" t="s">
        <v>312</v>
      </c>
      <c r="H29" s="7" t="s">
        <v>313</v>
      </c>
      <c r="I29" s="10"/>
      <c r="J29" s="11"/>
      <c r="K29" s="12"/>
      <c r="L29" s="12"/>
      <c r="M29" s="10"/>
      <c r="N29" s="10"/>
      <c r="O29" s="10"/>
      <c r="P29" s="10"/>
      <c r="Q29" s="10"/>
      <c r="R29" s="10"/>
      <c r="S29" s="10"/>
      <c r="T29" s="10"/>
      <c r="U29" s="10"/>
      <c r="V29" s="10"/>
      <c r="W29" s="10"/>
      <c r="X29" s="10"/>
      <c r="Y29" s="10"/>
      <c r="Z29" s="10"/>
      <c r="AA29" s="10"/>
      <c r="AB29" s="10"/>
      <c r="AC29" s="10"/>
      <c r="AD29" s="10"/>
      <c r="AE29" s="10"/>
      <c r="AF29" s="10"/>
    </row>
    <row r="30">
      <c r="A30" s="7"/>
      <c r="B30" s="8">
        <v>6.0</v>
      </c>
      <c r="C30" s="8">
        <v>12.0</v>
      </c>
      <c r="D30" s="8" t="s">
        <v>348</v>
      </c>
      <c r="E30" s="7">
        <v>0.0</v>
      </c>
      <c r="F30" s="7"/>
      <c r="G30" s="7" t="s">
        <v>312</v>
      </c>
      <c r="H30" s="7" t="s">
        <v>313</v>
      </c>
      <c r="I30" s="10"/>
      <c r="J30" s="11"/>
      <c r="K30" s="12"/>
      <c r="L30" s="12"/>
      <c r="M30" s="10"/>
      <c r="N30" s="10"/>
      <c r="O30" s="10"/>
      <c r="P30" s="10"/>
      <c r="Q30" s="10"/>
      <c r="R30" s="10"/>
      <c r="S30" s="10"/>
      <c r="T30" s="10"/>
      <c r="U30" s="10"/>
      <c r="V30" s="10"/>
      <c r="W30" s="10"/>
      <c r="X30" s="10"/>
      <c r="Y30" s="10"/>
      <c r="Z30" s="10"/>
      <c r="AA30" s="10"/>
      <c r="AB30" s="10"/>
      <c r="AC30" s="10"/>
      <c r="AD30" s="10"/>
      <c r="AE30" s="10"/>
      <c r="AF30" s="10"/>
    </row>
    <row r="31">
      <c r="A31" s="7"/>
      <c r="B31" s="8">
        <v>6.0</v>
      </c>
      <c r="C31" s="8">
        <v>13.0</v>
      </c>
      <c r="D31" s="8" t="s">
        <v>349</v>
      </c>
      <c r="E31" s="7">
        <v>0.0</v>
      </c>
      <c r="F31" s="7"/>
      <c r="G31" s="7" t="s">
        <v>312</v>
      </c>
      <c r="H31" s="7" t="s">
        <v>313</v>
      </c>
      <c r="I31" s="10"/>
      <c r="J31" s="11"/>
      <c r="K31" s="12"/>
      <c r="L31" s="12"/>
      <c r="M31" s="10"/>
      <c r="N31" s="10"/>
      <c r="O31" s="10"/>
      <c r="P31" s="10"/>
      <c r="Q31" s="10"/>
      <c r="R31" s="10"/>
      <c r="S31" s="10"/>
      <c r="T31" s="10"/>
      <c r="U31" s="10"/>
      <c r="V31" s="10"/>
      <c r="W31" s="10"/>
      <c r="X31" s="10"/>
      <c r="Y31" s="10"/>
      <c r="Z31" s="10"/>
      <c r="AA31" s="10"/>
      <c r="AB31" s="10"/>
      <c r="AC31" s="10"/>
      <c r="AD31" s="10"/>
      <c r="AE31" s="10"/>
      <c r="AF31" s="10"/>
    </row>
    <row r="32">
      <c r="A32" s="7"/>
      <c r="B32" s="8">
        <v>6.0</v>
      </c>
      <c r="C32" s="8">
        <v>14.0</v>
      </c>
      <c r="D32" s="8" t="s">
        <v>350</v>
      </c>
      <c r="E32" s="7">
        <v>0.0</v>
      </c>
      <c r="F32" s="7"/>
      <c r="G32" s="7" t="s">
        <v>312</v>
      </c>
      <c r="H32" s="7" t="s">
        <v>313</v>
      </c>
      <c r="I32" s="10"/>
      <c r="J32" s="11"/>
      <c r="K32" s="12"/>
      <c r="L32" s="12"/>
      <c r="M32" s="10"/>
      <c r="N32" s="10"/>
      <c r="O32" s="10"/>
      <c r="P32" s="10"/>
      <c r="Q32" s="10"/>
      <c r="R32" s="10"/>
      <c r="S32" s="10"/>
      <c r="T32" s="10"/>
      <c r="U32" s="10"/>
      <c r="V32" s="10"/>
      <c r="W32" s="10"/>
      <c r="X32" s="10"/>
      <c r="Y32" s="10"/>
      <c r="Z32" s="10"/>
      <c r="AA32" s="10"/>
      <c r="AB32" s="10"/>
      <c r="AC32" s="10"/>
      <c r="AD32" s="10"/>
      <c r="AE32" s="10"/>
      <c r="AF32" s="10"/>
    </row>
    <row r="33">
      <c r="A33" s="7"/>
      <c r="B33" s="8">
        <v>6.0</v>
      </c>
      <c r="C33" s="8">
        <v>15.0</v>
      </c>
      <c r="D33" s="8" t="s">
        <v>351</v>
      </c>
      <c r="E33" s="7">
        <v>0.0</v>
      </c>
      <c r="F33" s="7"/>
      <c r="G33" s="7" t="s">
        <v>312</v>
      </c>
      <c r="H33" s="7" t="s">
        <v>313</v>
      </c>
      <c r="I33" s="10"/>
      <c r="J33" s="11"/>
      <c r="K33" s="12"/>
      <c r="L33" s="12"/>
      <c r="M33" s="10"/>
      <c r="N33" s="10"/>
      <c r="O33" s="10"/>
      <c r="P33" s="10"/>
      <c r="Q33" s="10"/>
      <c r="R33" s="10"/>
      <c r="S33" s="10"/>
      <c r="T33" s="10"/>
      <c r="U33" s="10"/>
      <c r="V33" s="10"/>
      <c r="W33" s="10"/>
      <c r="X33" s="10"/>
      <c r="Y33" s="10"/>
      <c r="Z33" s="10"/>
      <c r="AA33" s="10"/>
      <c r="AB33" s="10"/>
      <c r="AC33" s="10"/>
      <c r="AD33" s="10"/>
      <c r="AE33" s="10"/>
      <c r="AF33" s="10"/>
    </row>
    <row r="34">
      <c r="A34" s="7"/>
      <c r="B34" s="8">
        <v>6.0</v>
      </c>
      <c r="C34" s="8">
        <v>16.0</v>
      </c>
      <c r="D34" s="8" t="s">
        <v>352</v>
      </c>
      <c r="E34" s="7">
        <v>0.0</v>
      </c>
      <c r="F34" s="7"/>
      <c r="G34" s="7" t="s">
        <v>312</v>
      </c>
      <c r="H34" s="7" t="s">
        <v>313</v>
      </c>
      <c r="I34" s="10"/>
      <c r="J34" s="11"/>
      <c r="K34" s="12"/>
      <c r="L34" s="12"/>
      <c r="M34" s="10"/>
      <c r="N34" s="10"/>
      <c r="O34" s="10"/>
      <c r="P34" s="10"/>
      <c r="Q34" s="10"/>
      <c r="R34" s="10"/>
      <c r="S34" s="10"/>
      <c r="T34" s="10"/>
      <c r="U34" s="10"/>
      <c r="V34" s="10"/>
      <c r="W34" s="10"/>
      <c r="X34" s="10"/>
      <c r="Y34" s="10"/>
      <c r="Z34" s="10"/>
      <c r="AA34" s="10"/>
      <c r="AB34" s="10"/>
      <c r="AC34" s="10"/>
      <c r="AD34" s="10"/>
      <c r="AE34" s="10"/>
      <c r="AF34" s="10"/>
    </row>
    <row r="35">
      <c r="A35" s="7"/>
      <c r="B35" s="8">
        <v>6.0</v>
      </c>
      <c r="C35" s="8">
        <v>17.0</v>
      </c>
      <c r="D35" s="8" t="s">
        <v>353</v>
      </c>
      <c r="E35" s="7">
        <v>0.0</v>
      </c>
      <c r="F35" s="7"/>
      <c r="G35" s="7" t="s">
        <v>312</v>
      </c>
      <c r="H35" s="7" t="s">
        <v>313</v>
      </c>
      <c r="I35" s="10"/>
      <c r="J35" s="11"/>
      <c r="K35" s="12"/>
      <c r="L35" s="12"/>
      <c r="M35" s="10"/>
      <c r="N35" s="10"/>
      <c r="O35" s="10"/>
      <c r="P35" s="10"/>
      <c r="Q35" s="10"/>
      <c r="R35" s="10"/>
      <c r="S35" s="10"/>
      <c r="T35" s="10"/>
      <c r="U35" s="10"/>
      <c r="V35" s="10"/>
      <c r="W35" s="10"/>
      <c r="X35" s="10"/>
      <c r="Y35" s="10"/>
      <c r="Z35" s="10"/>
      <c r="AA35" s="10"/>
      <c r="AB35" s="10"/>
      <c r="AC35" s="10"/>
      <c r="AD35" s="10"/>
      <c r="AE35" s="10"/>
      <c r="AF35" s="10"/>
    </row>
    <row r="36">
      <c r="A36" s="7"/>
      <c r="B36" s="8">
        <v>6.0</v>
      </c>
      <c r="C36" s="8">
        <v>18.0</v>
      </c>
      <c r="D36" s="8" t="s">
        <v>354</v>
      </c>
      <c r="E36" s="7">
        <v>0.0</v>
      </c>
      <c r="F36" s="7"/>
      <c r="G36" s="7" t="s">
        <v>312</v>
      </c>
      <c r="H36" s="7" t="s">
        <v>313</v>
      </c>
      <c r="I36" s="10"/>
      <c r="J36" s="11"/>
      <c r="K36" s="12"/>
      <c r="L36" s="12"/>
      <c r="M36" s="10"/>
      <c r="N36" s="10"/>
      <c r="O36" s="10"/>
      <c r="P36" s="10"/>
      <c r="Q36" s="10"/>
      <c r="R36" s="10"/>
      <c r="S36" s="10"/>
      <c r="T36" s="10"/>
      <c r="U36" s="10"/>
      <c r="V36" s="10"/>
      <c r="W36" s="10"/>
      <c r="X36" s="10"/>
      <c r="Y36" s="10"/>
      <c r="Z36" s="10"/>
      <c r="AA36" s="10"/>
      <c r="AB36" s="10"/>
      <c r="AC36" s="10"/>
      <c r="AD36" s="10"/>
      <c r="AE36" s="10"/>
      <c r="AF36" s="10"/>
    </row>
    <row r="37">
      <c r="A37" s="7"/>
      <c r="B37" s="8">
        <v>6.0</v>
      </c>
      <c r="C37" s="8">
        <v>19.0</v>
      </c>
      <c r="D37" s="8" t="s">
        <v>355</v>
      </c>
      <c r="E37" s="7">
        <v>0.0</v>
      </c>
      <c r="F37" s="7"/>
      <c r="G37" s="7" t="s">
        <v>312</v>
      </c>
      <c r="H37" s="7" t="s">
        <v>313</v>
      </c>
      <c r="I37" s="10"/>
      <c r="J37" s="11"/>
      <c r="K37" s="12"/>
      <c r="L37" s="12"/>
      <c r="M37" s="10"/>
      <c r="N37" s="10"/>
      <c r="O37" s="10"/>
      <c r="P37" s="10"/>
      <c r="Q37" s="10"/>
      <c r="R37" s="10"/>
      <c r="S37" s="10"/>
      <c r="T37" s="10"/>
      <c r="U37" s="10"/>
      <c r="V37" s="10"/>
      <c r="W37" s="10"/>
      <c r="X37" s="10"/>
      <c r="Y37" s="10"/>
      <c r="Z37" s="10"/>
      <c r="AA37" s="10"/>
      <c r="AB37" s="10"/>
      <c r="AC37" s="10"/>
      <c r="AD37" s="10"/>
      <c r="AE37" s="10"/>
      <c r="AF37" s="10"/>
    </row>
    <row r="38">
      <c r="A38" s="7"/>
      <c r="B38" s="8">
        <v>6.0</v>
      </c>
      <c r="C38" s="8">
        <v>20.0</v>
      </c>
      <c r="D38" s="8" t="s">
        <v>356</v>
      </c>
      <c r="E38" s="7">
        <v>0.0</v>
      </c>
      <c r="F38" s="7"/>
      <c r="G38" s="7" t="s">
        <v>312</v>
      </c>
      <c r="H38" s="7" t="s">
        <v>313</v>
      </c>
      <c r="I38" s="10"/>
      <c r="J38" s="11"/>
      <c r="K38" s="12"/>
      <c r="L38" s="12"/>
      <c r="M38" s="10"/>
      <c r="N38" s="10"/>
      <c r="O38" s="10"/>
      <c r="P38" s="10"/>
      <c r="Q38" s="10"/>
      <c r="R38" s="10"/>
      <c r="S38" s="10"/>
      <c r="T38" s="10"/>
      <c r="U38" s="10"/>
      <c r="V38" s="10"/>
      <c r="W38" s="10"/>
      <c r="X38" s="10"/>
      <c r="Y38" s="10"/>
      <c r="Z38" s="10"/>
      <c r="AA38" s="10"/>
      <c r="AB38" s="10"/>
      <c r="AC38" s="10"/>
      <c r="AD38" s="10"/>
      <c r="AE38" s="10"/>
      <c r="AF38" s="10"/>
    </row>
    <row r="39">
      <c r="A39" s="7"/>
      <c r="B39" s="8">
        <v>6.0</v>
      </c>
      <c r="C39" s="8">
        <v>21.0</v>
      </c>
      <c r="D39" s="8" t="s">
        <v>357</v>
      </c>
      <c r="E39" s="7">
        <v>0.0</v>
      </c>
      <c r="F39" s="7"/>
      <c r="G39" s="7" t="s">
        <v>312</v>
      </c>
      <c r="H39" s="7" t="s">
        <v>313</v>
      </c>
      <c r="I39" s="10"/>
      <c r="J39" s="11"/>
      <c r="K39" s="12"/>
      <c r="L39" s="12"/>
      <c r="M39" s="10"/>
      <c r="N39" s="10"/>
      <c r="O39" s="10"/>
      <c r="P39" s="10"/>
      <c r="Q39" s="10"/>
      <c r="R39" s="10"/>
      <c r="S39" s="10"/>
      <c r="T39" s="10"/>
      <c r="U39" s="10"/>
      <c r="V39" s="10"/>
      <c r="W39" s="10"/>
      <c r="X39" s="10"/>
      <c r="Y39" s="10"/>
      <c r="Z39" s="10"/>
      <c r="AA39" s="10"/>
      <c r="AB39" s="10"/>
      <c r="AC39" s="10"/>
      <c r="AD39" s="10"/>
      <c r="AE39" s="10"/>
      <c r="AF39" s="10"/>
    </row>
    <row r="40">
      <c r="A40" s="7"/>
      <c r="B40" s="8">
        <v>6.0</v>
      </c>
      <c r="C40" s="8">
        <v>22.0</v>
      </c>
      <c r="D40" s="8" t="s">
        <v>358</v>
      </c>
      <c r="E40" s="7">
        <v>0.0</v>
      </c>
      <c r="F40" s="7"/>
      <c r="G40" s="7" t="s">
        <v>312</v>
      </c>
      <c r="H40" s="7" t="s">
        <v>313</v>
      </c>
      <c r="I40" s="10"/>
      <c r="J40" s="11"/>
      <c r="K40" s="12"/>
      <c r="L40" s="12"/>
      <c r="M40" s="10"/>
      <c r="N40" s="10"/>
      <c r="O40" s="10"/>
      <c r="P40" s="10"/>
      <c r="Q40" s="10"/>
      <c r="R40" s="10"/>
      <c r="S40" s="10"/>
      <c r="T40" s="10"/>
      <c r="U40" s="10"/>
      <c r="V40" s="10"/>
      <c r="W40" s="10"/>
      <c r="X40" s="10"/>
      <c r="Y40" s="10"/>
      <c r="Z40" s="10"/>
      <c r="AA40" s="10"/>
      <c r="AB40" s="10"/>
      <c r="AC40" s="10"/>
      <c r="AD40" s="10"/>
      <c r="AE40" s="10"/>
      <c r="AF40" s="10"/>
    </row>
    <row r="41">
      <c r="A41" s="7"/>
      <c r="B41" s="8">
        <v>6.0</v>
      </c>
      <c r="C41" s="8">
        <v>23.0</v>
      </c>
      <c r="D41" s="8" t="s">
        <v>359</v>
      </c>
      <c r="E41" s="7">
        <v>1.0</v>
      </c>
      <c r="F41" s="7"/>
      <c r="G41" s="7" t="s">
        <v>312</v>
      </c>
      <c r="H41" s="7" t="s">
        <v>313</v>
      </c>
      <c r="I41" s="10"/>
      <c r="J41" s="11"/>
      <c r="K41" s="12"/>
      <c r="L41" s="12"/>
      <c r="M41" s="10"/>
      <c r="N41" s="10"/>
      <c r="O41" s="10"/>
      <c r="P41" s="10"/>
      <c r="Q41" s="10"/>
      <c r="R41" s="10"/>
      <c r="S41" s="10"/>
      <c r="T41" s="10"/>
      <c r="U41" s="10"/>
      <c r="V41" s="10"/>
      <c r="W41" s="10"/>
      <c r="X41" s="10"/>
      <c r="Y41" s="10"/>
      <c r="Z41" s="10"/>
      <c r="AA41" s="10"/>
      <c r="AB41" s="10"/>
      <c r="AC41" s="10"/>
      <c r="AD41" s="10"/>
      <c r="AE41" s="10"/>
      <c r="AF41" s="10"/>
    </row>
    <row r="42">
      <c r="A42" s="7"/>
      <c r="B42" s="8">
        <v>6.0</v>
      </c>
      <c r="C42" s="8">
        <v>24.0</v>
      </c>
      <c r="D42" s="8" t="s">
        <v>360</v>
      </c>
      <c r="E42" s="7">
        <v>1.0</v>
      </c>
      <c r="F42" s="7"/>
      <c r="G42" s="7" t="s">
        <v>312</v>
      </c>
      <c r="H42" s="7" t="s">
        <v>313</v>
      </c>
      <c r="I42" s="10"/>
      <c r="J42" s="11"/>
      <c r="K42" s="12"/>
      <c r="L42" s="12"/>
      <c r="M42" s="10"/>
      <c r="N42" s="10"/>
      <c r="O42" s="10"/>
      <c r="P42" s="10"/>
      <c r="Q42" s="10"/>
      <c r="R42" s="10"/>
      <c r="S42" s="10"/>
      <c r="T42" s="10"/>
      <c r="U42" s="10"/>
      <c r="V42" s="10"/>
      <c r="W42" s="10"/>
      <c r="X42" s="10"/>
      <c r="Y42" s="10"/>
      <c r="Z42" s="10"/>
      <c r="AA42" s="10"/>
      <c r="AB42" s="10"/>
      <c r="AC42" s="10"/>
      <c r="AD42" s="10"/>
      <c r="AE42" s="10"/>
      <c r="AF42" s="10"/>
    </row>
    <row r="43">
      <c r="A43" s="7"/>
      <c r="B43" s="8">
        <v>6.0</v>
      </c>
      <c r="C43" s="8">
        <v>25.0</v>
      </c>
      <c r="D43" s="8" t="s">
        <v>361</v>
      </c>
      <c r="E43" s="7">
        <v>1.0</v>
      </c>
      <c r="F43" s="7"/>
      <c r="G43" s="7" t="s">
        <v>312</v>
      </c>
      <c r="H43" s="7" t="s">
        <v>313</v>
      </c>
      <c r="I43" s="10"/>
      <c r="J43" s="11"/>
      <c r="K43" s="12"/>
      <c r="L43" s="12"/>
      <c r="M43" s="10"/>
      <c r="N43" s="10"/>
      <c r="O43" s="10"/>
      <c r="P43" s="10"/>
      <c r="Q43" s="10"/>
      <c r="R43" s="10"/>
      <c r="S43" s="10"/>
      <c r="T43" s="10"/>
      <c r="U43" s="10"/>
      <c r="V43" s="10"/>
      <c r="W43" s="10"/>
      <c r="X43" s="10"/>
      <c r="Y43" s="10"/>
      <c r="Z43" s="10"/>
      <c r="AA43" s="10"/>
      <c r="AB43" s="10"/>
      <c r="AC43" s="10"/>
      <c r="AD43" s="10"/>
      <c r="AE43" s="10"/>
      <c r="AF43" s="10"/>
    </row>
    <row r="44">
      <c r="A44" s="7"/>
      <c r="B44" s="8">
        <v>6.0</v>
      </c>
      <c r="C44" s="8">
        <v>26.0</v>
      </c>
      <c r="D44" s="8" t="s">
        <v>362</v>
      </c>
      <c r="E44" s="7">
        <v>0.0</v>
      </c>
      <c r="F44" s="7"/>
      <c r="G44" s="7" t="s">
        <v>312</v>
      </c>
      <c r="H44" s="7" t="s">
        <v>313</v>
      </c>
      <c r="I44" s="10"/>
      <c r="J44" s="11"/>
      <c r="K44" s="12"/>
      <c r="L44" s="12"/>
      <c r="M44" s="10"/>
      <c r="N44" s="10"/>
      <c r="O44" s="10"/>
      <c r="P44" s="10"/>
      <c r="Q44" s="10"/>
      <c r="R44" s="10"/>
      <c r="S44" s="10"/>
      <c r="T44" s="10"/>
      <c r="U44" s="10"/>
      <c r="V44" s="10"/>
      <c r="W44" s="10"/>
      <c r="X44" s="10"/>
      <c r="Y44" s="10"/>
      <c r="Z44" s="10"/>
      <c r="AA44" s="10"/>
      <c r="AB44" s="10"/>
      <c r="AC44" s="10"/>
      <c r="AD44" s="10"/>
      <c r="AE44" s="10"/>
      <c r="AF44" s="10"/>
    </row>
    <row r="45">
      <c r="A45" s="7"/>
      <c r="B45" s="8">
        <v>6.0</v>
      </c>
      <c r="C45" s="8">
        <v>27.0</v>
      </c>
      <c r="D45" s="8" t="s">
        <v>363</v>
      </c>
      <c r="E45" s="7">
        <v>0.0</v>
      </c>
      <c r="F45" s="7"/>
      <c r="G45" s="7" t="s">
        <v>312</v>
      </c>
      <c r="H45" s="7" t="s">
        <v>313</v>
      </c>
      <c r="I45" s="10"/>
      <c r="J45" s="11"/>
      <c r="K45" s="12"/>
      <c r="L45" s="12"/>
      <c r="M45" s="10"/>
      <c r="N45" s="10"/>
      <c r="O45" s="10"/>
      <c r="P45" s="10"/>
      <c r="Q45" s="10"/>
      <c r="R45" s="10"/>
      <c r="S45" s="10"/>
      <c r="T45" s="10"/>
      <c r="U45" s="10"/>
      <c r="V45" s="10"/>
      <c r="W45" s="10"/>
      <c r="X45" s="10"/>
      <c r="Y45" s="10"/>
      <c r="Z45" s="10"/>
      <c r="AA45" s="10"/>
      <c r="AB45" s="10"/>
      <c r="AC45" s="10"/>
      <c r="AD45" s="10"/>
      <c r="AE45" s="10"/>
      <c r="AF45" s="10"/>
    </row>
    <row r="46">
      <c r="A46" s="7"/>
      <c r="B46" s="8">
        <v>6.0</v>
      </c>
      <c r="C46" s="8">
        <v>28.0</v>
      </c>
      <c r="D46" s="8" t="s">
        <v>364</v>
      </c>
      <c r="E46" s="7">
        <v>0.0</v>
      </c>
      <c r="F46" s="7"/>
      <c r="G46" s="7" t="s">
        <v>312</v>
      </c>
      <c r="H46" s="7" t="s">
        <v>313</v>
      </c>
      <c r="I46" s="10"/>
      <c r="J46" s="11"/>
      <c r="K46" s="12"/>
      <c r="L46" s="12"/>
      <c r="M46" s="10"/>
      <c r="N46" s="10"/>
      <c r="O46" s="10"/>
      <c r="P46" s="10"/>
      <c r="Q46" s="10"/>
      <c r="R46" s="10"/>
      <c r="S46" s="10"/>
      <c r="T46" s="10"/>
      <c r="U46" s="10"/>
      <c r="V46" s="10"/>
      <c r="W46" s="10"/>
      <c r="X46" s="10"/>
      <c r="Y46" s="10"/>
      <c r="Z46" s="10"/>
      <c r="AA46" s="10"/>
      <c r="AB46" s="10"/>
      <c r="AC46" s="10"/>
      <c r="AD46" s="10"/>
      <c r="AE46" s="10"/>
      <c r="AF46" s="10"/>
    </row>
    <row r="47">
      <c r="A47" s="10"/>
      <c r="B47" s="12"/>
      <c r="C47" s="12"/>
      <c r="D47" s="12"/>
      <c r="E47" s="10"/>
      <c r="F47" s="10"/>
      <c r="G47" s="10"/>
      <c r="H47" s="10"/>
      <c r="I47" s="10"/>
      <c r="J47" s="11"/>
      <c r="K47" s="12"/>
      <c r="L47" s="12"/>
      <c r="M47" s="10"/>
      <c r="N47" s="10"/>
      <c r="O47" s="10"/>
      <c r="P47" s="10"/>
      <c r="Q47" s="10"/>
      <c r="R47" s="10"/>
      <c r="S47" s="10"/>
      <c r="T47" s="10"/>
      <c r="U47" s="10"/>
      <c r="V47" s="10"/>
      <c r="W47" s="10"/>
      <c r="X47" s="10"/>
      <c r="Y47" s="10"/>
      <c r="Z47" s="10"/>
      <c r="AA47" s="10"/>
      <c r="AB47" s="10"/>
      <c r="AC47" s="10"/>
      <c r="AD47" s="10"/>
      <c r="AE47" s="10"/>
      <c r="AF47" s="10"/>
    </row>
    <row r="48">
      <c r="A48" s="7"/>
      <c r="B48" s="8">
        <v>7.0</v>
      </c>
      <c r="C48" s="8">
        <v>1.0</v>
      </c>
      <c r="D48" s="8" t="s">
        <v>365</v>
      </c>
      <c r="E48" s="7">
        <v>0.0</v>
      </c>
      <c r="F48" s="7" t="s">
        <v>320</v>
      </c>
      <c r="G48" s="7" t="s">
        <v>312</v>
      </c>
      <c r="H48" s="7" t="s">
        <v>313</v>
      </c>
      <c r="I48" s="7" t="s">
        <v>366</v>
      </c>
      <c r="J48" s="16"/>
      <c r="K48" s="8" t="s">
        <v>367</v>
      </c>
      <c r="L48" s="12"/>
      <c r="M48" s="10"/>
      <c r="N48" s="10"/>
      <c r="O48" s="10"/>
      <c r="P48" s="10"/>
      <c r="Q48" s="10"/>
      <c r="R48" s="10"/>
      <c r="S48" s="10"/>
      <c r="T48" s="10"/>
      <c r="U48" s="10"/>
      <c r="V48" s="10"/>
      <c r="W48" s="10"/>
      <c r="X48" s="10"/>
      <c r="Y48" s="10"/>
      <c r="Z48" s="10"/>
      <c r="AA48" s="10"/>
      <c r="AB48" s="10"/>
      <c r="AC48" s="10"/>
      <c r="AD48" s="10"/>
      <c r="AE48" s="10"/>
      <c r="AF48" s="10"/>
    </row>
    <row r="49">
      <c r="A49" s="7"/>
      <c r="B49" s="8">
        <v>7.0</v>
      </c>
      <c r="C49" s="8">
        <v>2.0</v>
      </c>
      <c r="D49" s="8" t="s">
        <v>368</v>
      </c>
      <c r="E49" s="7">
        <v>0.0</v>
      </c>
      <c r="F49" s="7"/>
      <c r="G49" s="7" t="s">
        <v>312</v>
      </c>
      <c r="H49" s="7" t="s">
        <v>313</v>
      </c>
      <c r="I49" s="10"/>
      <c r="J49" s="11"/>
      <c r="K49" s="12"/>
      <c r="L49" s="12"/>
      <c r="M49" s="10"/>
      <c r="N49" s="10"/>
      <c r="O49" s="10"/>
      <c r="P49" s="10"/>
      <c r="Q49" s="10"/>
      <c r="R49" s="10"/>
      <c r="S49" s="10"/>
      <c r="T49" s="10"/>
      <c r="U49" s="10"/>
      <c r="V49" s="10"/>
      <c r="W49" s="10"/>
      <c r="X49" s="10"/>
      <c r="Y49" s="10"/>
      <c r="Z49" s="10"/>
      <c r="AA49" s="10"/>
      <c r="AB49" s="10"/>
      <c r="AC49" s="10"/>
      <c r="AD49" s="10"/>
      <c r="AE49" s="10"/>
      <c r="AF49" s="10"/>
    </row>
    <row r="50">
      <c r="A50" s="7"/>
      <c r="B50" s="8">
        <v>7.0</v>
      </c>
      <c r="C50" s="8">
        <v>3.0</v>
      </c>
      <c r="D50" s="8" t="s">
        <v>369</v>
      </c>
      <c r="E50" s="7">
        <v>0.0</v>
      </c>
      <c r="F50" s="7"/>
      <c r="G50" s="7" t="s">
        <v>312</v>
      </c>
      <c r="H50" s="7" t="s">
        <v>313</v>
      </c>
      <c r="I50" s="10"/>
      <c r="J50" s="11"/>
      <c r="K50" s="12"/>
      <c r="L50" s="12"/>
      <c r="M50" s="10"/>
      <c r="N50" s="10"/>
      <c r="O50" s="10"/>
      <c r="P50" s="10"/>
      <c r="Q50" s="10"/>
      <c r="R50" s="10"/>
      <c r="S50" s="10"/>
      <c r="T50" s="10"/>
      <c r="U50" s="10"/>
      <c r="V50" s="10"/>
      <c r="W50" s="10"/>
      <c r="X50" s="10"/>
      <c r="Y50" s="10"/>
      <c r="Z50" s="10"/>
      <c r="AA50" s="10"/>
      <c r="AB50" s="10"/>
      <c r="AC50" s="10"/>
      <c r="AD50" s="10"/>
      <c r="AE50" s="10"/>
      <c r="AF50" s="10"/>
    </row>
    <row r="51">
      <c r="A51" s="10"/>
      <c r="B51" s="12"/>
      <c r="C51" s="12"/>
      <c r="D51" s="12"/>
      <c r="E51" s="10"/>
      <c r="F51" s="10"/>
      <c r="G51" s="10"/>
      <c r="H51" s="10"/>
      <c r="I51" s="10"/>
      <c r="J51" s="11"/>
      <c r="K51" s="12"/>
      <c r="L51" s="12"/>
      <c r="M51" s="10"/>
      <c r="N51" s="10"/>
      <c r="O51" s="10"/>
      <c r="P51" s="10"/>
      <c r="Q51" s="10"/>
      <c r="R51" s="10"/>
      <c r="S51" s="10"/>
      <c r="T51" s="10"/>
      <c r="U51" s="10"/>
      <c r="V51" s="10"/>
      <c r="W51" s="10"/>
      <c r="X51" s="10"/>
      <c r="Y51" s="10"/>
      <c r="Z51" s="10"/>
      <c r="AA51" s="10"/>
      <c r="AB51" s="10"/>
      <c r="AC51" s="10"/>
      <c r="AD51" s="10"/>
      <c r="AE51" s="10"/>
      <c r="AF51" s="10"/>
    </row>
    <row r="52">
      <c r="A52" s="7"/>
      <c r="B52" s="8">
        <v>8.0</v>
      </c>
      <c r="C52" s="8">
        <v>1.0</v>
      </c>
      <c r="D52" s="8" t="s">
        <v>370</v>
      </c>
      <c r="E52" s="7">
        <v>0.0</v>
      </c>
      <c r="F52" s="7"/>
      <c r="G52" s="7" t="s">
        <v>312</v>
      </c>
      <c r="H52" s="7" t="s">
        <v>313</v>
      </c>
      <c r="I52" s="10"/>
      <c r="J52" s="11"/>
      <c r="K52" s="12"/>
      <c r="L52" s="12"/>
      <c r="M52" s="10"/>
      <c r="N52" s="10"/>
      <c r="O52" s="10"/>
      <c r="P52" s="10"/>
      <c r="Q52" s="10"/>
      <c r="R52" s="10"/>
      <c r="S52" s="10"/>
      <c r="T52" s="10"/>
      <c r="U52" s="10"/>
      <c r="V52" s="10"/>
      <c r="W52" s="10"/>
      <c r="X52" s="10"/>
      <c r="Y52" s="10"/>
      <c r="Z52" s="10"/>
      <c r="AA52" s="10"/>
      <c r="AB52" s="10"/>
      <c r="AC52" s="10"/>
      <c r="AD52" s="10"/>
      <c r="AE52" s="10"/>
      <c r="AF52" s="10"/>
    </row>
    <row r="53">
      <c r="A53" s="10"/>
      <c r="B53" s="12"/>
      <c r="C53" s="12"/>
      <c r="D53" s="12"/>
      <c r="E53" s="10"/>
      <c r="F53" s="10"/>
      <c r="G53" s="10"/>
      <c r="H53" s="10"/>
      <c r="I53" s="10"/>
      <c r="J53" s="11"/>
      <c r="K53" s="12"/>
      <c r="L53" s="12"/>
      <c r="M53" s="10"/>
      <c r="N53" s="10"/>
      <c r="O53" s="10"/>
      <c r="P53" s="10"/>
      <c r="Q53" s="10"/>
      <c r="R53" s="10"/>
      <c r="S53" s="10"/>
      <c r="T53" s="10"/>
      <c r="U53" s="10"/>
      <c r="V53" s="10"/>
      <c r="W53" s="10"/>
      <c r="X53" s="10"/>
      <c r="Y53" s="10"/>
      <c r="Z53" s="10"/>
      <c r="AA53" s="10"/>
      <c r="AB53" s="10"/>
      <c r="AC53" s="10"/>
      <c r="AD53" s="10"/>
      <c r="AE53" s="10"/>
      <c r="AF53" s="10"/>
    </row>
    <row r="54">
      <c r="A54" s="7"/>
      <c r="B54" s="8">
        <v>9.0</v>
      </c>
      <c r="C54" s="8">
        <v>1.0</v>
      </c>
      <c r="D54" s="8" t="s">
        <v>371</v>
      </c>
      <c r="E54" s="7">
        <v>0.0</v>
      </c>
      <c r="F54" s="7"/>
      <c r="G54" s="7" t="s">
        <v>312</v>
      </c>
      <c r="H54" s="7" t="s">
        <v>313</v>
      </c>
      <c r="I54" s="10"/>
      <c r="J54" s="11"/>
      <c r="K54" s="12"/>
      <c r="L54" s="12"/>
      <c r="M54" s="10"/>
      <c r="N54" s="10"/>
      <c r="O54" s="10"/>
      <c r="P54" s="10"/>
      <c r="Q54" s="10"/>
      <c r="R54" s="10"/>
      <c r="S54" s="10"/>
      <c r="T54" s="10"/>
      <c r="U54" s="10"/>
      <c r="V54" s="10"/>
      <c r="W54" s="10"/>
      <c r="X54" s="10"/>
      <c r="Y54" s="10"/>
      <c r="Z54" s="10"/>
      <c r="AA54" s="10"/>
      <c r="AB54" s="10"/>
      <c r="AC54" s="10"/>
      <c r="AD54" s="10"/>
      <c r="AE54" s="10"/>
      <c r="AF54" s="10"/>
    </row>
    <row r="55">
      <c r="A55" s="7"/>
      <c r="B55" s="8">
        <v>9.0</v>
      </c>
      <c r="C55" s="8">
        <v>2.0</v>
      </c>
      <c r="D55" s="8" t="s">
        <v>372</v>
      </c>
      <c r="E55" s="7">
        <v>0.0</v>
      </c>
      <c r="F55" s="7"/>
      <c r="G55" s="7" t="s">
        <v>312</v>
      </c>
      <c r="H55" s="7" t="s">
        <v>313</v>
      </c>
      <c r="I55" s="10"/>
      <c r="J55" s="11"/>
      <c r="K55" s="8" t="s">
        <v>373</v>
      </c>
      <c r="L55" s="12"/>
      <c r="M55" s="10"/>
      <c r="N55" s="10"/>
      <c r="O55" s="10"/>
      <c r="P55" s="10"/>
      <c r="Q55" s="10"/>
      <c r="R55" s="10"/>
      <c r="S55" s="10"/>
      <c r="T55" s="10"/>
      <c r="U55" s="10"/>
      <c r="V55" s="10"/>
      <c r="W55" s="10"/>
      <c r="X55" s="10"/>
      <c r="Y55" s="10"/>
      <c r="Z55" s="10"/>
      <c r="AA55" s="10"/>
      <c r="AB55" s="10"/>
      <c r="AC55" s="10"/>
      <c r="AD55" s="10"/>
      <c r="AE55" s="10"/>
      <c r="AF55" s="10"/>
    </row>
    <row r="56">
      <c r="A56" s="7"/>
      <c r="B56" s="8">
        <v>9.0</v>
      </c>
      <c r="C56" s="8">
        <v>3.0</v>
      </c>
      <c r="D56" s="8" t="s">
        <v>374</v>
      </c>
      <c r="E56" s="7">
        <v>0.0</v>
      </c>
      <c r="F56" s="7"/>
      <c r="G56" s="7" t="s">
        <v>312</v>
      </c>
      <c r="H56" s="7" t="s">
        <v>313</v>
      </c>
      <c r="I56" s="10"/>
      <c r="J56" s="11"/>
      <c r="K56" s="12"/>
      <c r="L56" s="12"/>
      <c r="M56" s="10"/>
      <c r="N56" s="10"/>
      <c r="O56" s="10"/>
      <c r="P56" s="10"/>
      <c r="Q56" s="10"/>
      <c r="R56" s="10"/>
      <c r="S56" s="10"/>
      <c r="T56" s="10"/>
      <c r="U56" s="10"/>
      <c r="V56" s="10"/>
      <c r="W56" s="10"/>
      <c r="X56" s="10"/>
      <c r="Y56" s="10"/>
      <c r="Z56" s="10"/>
      <c r="AA56" s="10"/>
      <c r="AB56" s="10"/>
      <c r="AC56" s="10"/>
      <c r="AD56" s="10"/>
      <c r="AE56" s="10"/>
      <c r="AF56" s="10"/>
    </row>
    <row r="57">
      <c r="A57" s="10"/>
      <c r="B57" s="12"/>
      <c r="C57" s="12"/>
      <c r="D57" s="12"/>
      <c r="E57" s="10"/>
      <c r="F57" s="10"/>
      <c r="G57" s="10"/>
      <c r="H57" s="10"/>
      <c r="I57" s="10"/>
      <c r="J57" s="11"/>
      <c r="K57" s="12"/>
      <c r="L57" s="12"/>
      <c r="M57" s="10"/>
      <c r="N57" s="10"/>
      <c r="O57" s="10"/>
      <c r="P57" s="10"/>
      <c r="Q57" s="10"/>
      <c r="R57" s="10"/>
      <c r="S57" s="10"/>
      <c r="T57" s="10"/>
      <c r="U57" s="10"/>
      <c r="V57" s="10"/>
      <c r="W57" s="10"/>
      <c r="X57" s="10"/>
      <c r="Y57" s="10"/>
      <c r="Z57" s="10"/>
      <c r="AA57" s="10"/>
      <c r="AB57" s="10"/>
      <c r="AC57" s="10"/>
      <c r="AD57" s="10"/>
      <c r="AE57" s="10"/>
      <c r="AF57" s="10"/>
    </row>
    <row r="58">
      <c r="A58" s="7"/>
      <c r="B58" s="8">
        <v>10.0</v>
      </c>
      <c r="C58" s="8">
        <v>1.0</v>
      </c>
      <c r="D58" s="8" t="s">
        <v>375</v>
      </c>
      <c r="E58" s="7">
        <v>0.0</v>
      </c>
      <c r="F58" s="7"/>
      <c r="G58" s="7" t="s">
        <v>312</v>
      </c>
      <c r="H58" s="7" t="s">
        <v>313</v>
      </c>
      <c r="I58" s="10"/>
      <c r="J58" s="11"/>
      <c r="K58" s="12"/>
      <c r="L58" s="12"/>
      <c r="M58" s="10"/>
      <c r="N58" s="10"/>
      <c r="O58" s="10"/>
      <c r="P58" s="10"/>
      <c r="Q58" s="10"/>
      <c r="R58" s="10"/>
      <c r="S58" s="10"/>
      <c r="T58" s="10"/>
      <c r="U58" s="10"/>
      <c r="V58" s="10"/>
      <c r="W58" s="10"/>
      <c r="X58" s="10"/>
      <c r="Y58" s="10"/>
      <c r="Z58" s="10"/>
      <c r="AA58" s="10"/>
      <c r="AB58" s="10"/>
      <c r="AC58" s="10"/>
      <c r="AD58" s="10"/>
      <c r="AE58" s="10"/>
      <c r="AF58" s="10"/>
    </row>
    <row r="59">
      <c r="A59" s="10"/>
      <c r="B59" s="12"/>
      <c r="C59" s="12"/>
      <c r="D59" s="12"/>
      <c r="E59" s="10"/>
      <c r="F59" s="10"/>
      <c r="G59" s="10"/>
      <c r="H59" s="10"/>
      <c r="I59" s="10"/>
      <c r="J59" s="11"/>
      <c r="K59" s="12"/>
      <c r="L59" s="12"/>
      <c r="M59" s="10"/>
      <c r="N59" s="10"/>
      <c r="O59" s="10"/>
      <c r="P59" s="10"/>
      <c r="Q59" s="10"/>
      <c r="R59" s="10"/>
      <c r="S59" s="10"/>
      <c r="T59" s="10"/>
      <c r="U59" s="10"/>
      <c r="V59" s="10"/>
      <c r="W59" s="10"/>
      <c r="X59" s="10"/>
      <c r="Y59" s="10"/>
      <c r="Z59" s="10"/>
      <c r="AA59" s="10"/>
      <c r="AB59" s="10"/>
      <c r="AC59" s="10"/>
      <c r="AD59" s="10"/>
      <c r="AE59" s="10"/>
      <c r="AF59" s="10"/>
    </row>
    <row r="60">
      <c r="A60" s="7"/>
      <c r="B60" s="8">
        <v>11.0</v>
      </c>
      <c r="C60" s="8">
        <v>1.0</v>
      </c>
      <c r="D60" s="8" t="s">
        <v>376</v>
      </c>
      <c r="E60" s="7">
        <v>0.0</v>
      </c>
      <c r="F60" s="7"/>
      <c r="G60" s="7" t="s">
        <v>312</v>
      </c>
      <c r="H60" s="7" t="s">
        <v>313</v>
      </c>
      <c r="I60" s="10"/>
      <c r="J60" s="11"/>
      <c r="K60" s="12"/>
      <c r="L60" s="12"/>
      <c r="M60" s="10"/>
      <c r="N60" s="10"/>
      <c r="O60" s="10"/>
      <c r="P60" s="10"/>
      <c r="Q60" s="10"/>
      <c r="R60" s="10"/>
      <c r="S60" s="10"/>
      <c r="T60" s="10"/>
      <c r="U60" s="10"/>
      <c r="V60" s="10"/>
      <c r="W60" s="10"/>
      <c r="X60" s="10"/>
      <c r="Y60" s="10"/>
      <c r="Z60" s="10"/>
      <c r="AA60" s="10"/>
      <c r="AB60" s="10"/>
      <c r="AC60" s="10"/>
      <c r="AD60" s="10"/>
      <c r="AE60" s="10"/>
      <c r="AF60" s="10"/>
    </row>
    <row r="61">
      <c r="A61" s="7"/>
      <c r="B61" s="8">
        <v>11.0</v>
      </c>
      <c r="C61" s="8">
        <v>2.0</v>
      </c>
      <c r="D61" s="8" t="s">
        <v>377</v>
      </c>
      <c r="E61" s="7">
        <v>0.0</v>
      </c>
      <c r="F61" s="7"/>
      <c r="G61" s="7" t="s">
        <v>312</v>
      </c>
      <c r="H61" s="7" t="s">
        <v>313</v>
      </c>
      <c r="I61" s="10"/>
      <c r="J61" s="11"/>
      <c r="K61" s="12"/>
      <c r="L61" s="12"/>
      <c r="M61" s="10"/>
      <c r="N61" s="10"/>
      <c r="O61" s="10"/>
      <c r="P61" s="10"/>
      <c r="Q61" s="10"/>
      <c r="R61" s="10"/>
      <c r="S61" s="10"/>
      <c r="T61" s="10"/>
      <c r="U61" s="10"/>
      <c r="V61" s="10"/>
      <c r="W61" s="10"/>
      <c r="X61" s="10"/>
      <c r="Y61" s="10"/>
      <c r="Z61" s="10"/>
      <c r="AA61" s="10"/>
      <c r="AB61" s="10"/>
      <c r="AC61" s="10"/>
      <c r="AD61" s="10"/>
      <c r="AE61" s="10"/>
      <c r="AF61" s="10"/>
    </row>
    <row r="62">
      <c r="A62" s="7"/>
      <c r="B62" s="8">
        <v>11.0</v>
      </c>
      <c r="C62" s="8">
        <v>3.0</v>
      </c>
      <c r="D62" s="8" t="s">
        <v>378</v>
      </c>
      <c r="E62" s="7">
        <v>1.0</v>
      </c>
      <c r="F62" s="7"/>
      <c r="G62" s="7" t="s">
        <v>312</v>
      </c>
      <c r="H62" s="7" t="s">
        <v>313</v>
      </c>
      <c r="I62" s="10"/>
      <c r="J62" s="11"/>
      <c r="K62" s="12"/>
      <c r="L62" s="12"/>
      <c r="M62" s="10"/>
      <c r="N62" s="10"/>
      <c r="O62" s="10"/>
      <c r="P62" s="10"/>
      <c r="Q62" s="10"/>
      <c r="R62" s="10"/>
      <c r="S62" s="10"/>
      <c r="T62" s="10"/>
      <c r="U62" s="10"/>
      <c r="V62" s="10"/>
      <c r="W62" s="10"/>
      <c r="X62" s="10"/>
      <c r="Y62" s="10"/>
      <c r="Z62" s="10"/>
      <c r="AA62" s="10"/>
      <c r="AB62" s="10"/>
      <c r="AC62" s="10"/>
      <c r="AD62" s="10"/>
      <c r="AE62" s="10"/>
      <c r="AF62" s="10"/>
    </row>
    <row r="63">
      <c r="A63" s="10"/>
      <c r="B63" s="12"/>
      <c r="C63" s="12"/>
      <c r="D63" s="12"/>
      <c r="E63" s="10"/>
      <c r="F63" s="10"/>
      <c r="G63" s="10"/>
      <c r="H63" s="10"/>
      <c r="I63" s="10"/>
      <c r="J63" s="11"/>
      <c r="K63" s="12"/>
      <c r="L63" s="12"/>
      <c r="M63" s="10"/>
      <c r="N63" s="10"/>
      <c r="O63" s="10"/>
      <c r="P63" s="10"/>
      <c r="Q63" s="10"/>
      <c r="R63" s="10"/>
      <c r="S63" s="10"/>
      <c r="T63" s="10"/>
      <c r="U63" s="10"/>
      <c r="V63" s="10"/>
      <c r="W63" s="10"/>
      <c r="X63" s="10"/>
      <c r="Y63" s="10"/>
      <c r="Z63" s="10"/>
      <c r="AA63" s="10"/>
      <c r="AB63" s="10"/>
      <c r="AC63" s="10"/>
      <c r="AD63" s="10"/>
      <c r="AE63" s="10"/>
      <c r="AF63" s="10"/>
    </row>
    <row r="64">
      <c r="A64" s="7"/>
      <c r="B64" s="8">
        <v>12.0</v>
      </c>
      <c r="C64" s="8">
        <v>1.0</v>
      </c>
      <c r="D64" s="8" t="s">
        <v>379</v>
      </c>
      <c r="E64" s="7">
        <v>1.0</v>
      </c>
      <c r="F64" s="7" t="s">
        <v>320</v>
      </c>
      <c r="G64" s="7" t="s">
        <v>312</v>
      </c>
      <c r="H64" s="7" t="s">
        <v>313</v>
      </c>
      <c r="I64" s="10"/>
      <c r="J64" s="9" t="s">
        <v>380</v>
      </c>
      <c r="K64" s="12"/>
      <c r="L64" s="12"/>
      <c r="M64" s="10"/>
      <c r="N64" s="10"/>
      <c r="O64" s="10"/>
      <c r="P64" s="10"/>
      <c r="Q64" s="10"/>
      <c r="R64" s="10"/>
      <c r="S64" s="10"/>
      <c r="T64" s="10"/>
      <c r="U64" s="10"/>
      <c r="V64" s="10"/>
      <c r="W64" s="10"/>
      <c r="X64" s="10"/>
      <c r="Y64" s="10"/>
      <c r="Z64" s="10"/>
      <c r="AA64" s="10"/>
      <c r="AB64" s="10"/>
      <c r="AC64" s="10"/>
      <c r="AD64" s="10"/>
      <c r="AE64" s="10"/>
      <c r="AF64" s="10"/>
    </row>
    <row r="65">
      <c r="A65" s="7"/>
      <c r="B65" s="8">
        <v>12.0</v>
      </c>
      <c r="C65" s="8">
        <v>2.0</v>
      </c>
      <c r="D65" s="8" t="s">
        <v>381</v>
      </c>
      <c r="E65" s="7">
        <v>0.0</v>
      </c>
      <c r="F65" s="7" t="s">
        <v>320</v>
      </c>
      <c r="G65" s="7" t="s">
        <v>312</v>
      </c>
      <c r="H65" s="7" t="s">
        <v>313</v>
      </c>
      <c r="I65" s="10"/>
      <c r="J65" s="9" t="s">
        <v>382</v>
      </c>
      <c r="K65" s="12"/>
      <c r="L65" s="12"/>
      <c r="M65" s="10"/>
      <c r="N65" s="10"/>
      <c r="O65" s="10"/>
      <c r="P65" s="10"/>
      <c r="Q65" s="10"/>
      <c r="R65" s="10"/>
      <c r="S65" s="10"/>
      <c r="T65" s="10"/>
      <c r="U65" s="10"/>
      <c r="V65" s="10"/>
      <c r="W65" s="10"/>
      <c r="X65" s="10"/>
      <c r="Y65" s="10"/>
      <c r="Z65" s="10"/>
      <c r="AA65" s="10"/>
      <c r="AB65" s="10"/>
      <c r="AC65" s="10"/>
      <c r="AD65" s="10"/>
      <c r="AE65" s="10"/>
      <c r="AF65" s="10"/>
    </row>
    <row r="66">
      <c r="A66" s="7"/>
      <c r="B66" s="8">
        <v>12.0</v>
      </c>
      <c r="C66" s="8">
        <v>3.0</v>
      </c>
      <c r="D66" s="8" t="s">
        <v>383</v>
      </c>
      <c r="E66" s="7">
        <v>0.0</v>
      </c>
      <c r="F66" s="7"/>
      <c r="G66" s="7" t="s">
        <v>312</v>
      </c>
      <c r="H66" s="7" t="s">
        <v>313</v>
      </c>
      <c r="I66" s="7" t="s">
        <v>366</v>
      </c>
      <c r="J66" s="16" t="s">
        <v>384</v>
      </c>
      <c r="K66" s="12"/>
      <c r="L66" s="12"/>
      <c r="M66" s="10"/>
      <c r="N66" s="10"/>
      <c r="O66" s="10"/>
      <c r="P66" s="10"/>
      <c r="Q66" s="10"/>
      <c r="R66" s="10"/>
      <c r="S66" s="10"/>
      <c r="T66" s="10"/>
      <c r="U66" s="10"/>
      <c r="V66" s="10"/>
      <c r="W66" s="10"/>
      <c r="X66" s="10"/>
      <c r="Y66" s="10"/>
      <c r="Z66" s="10"/>
      <c r="AA66" s="10"/>
      <c r="AB66" s="10"/>
      <c r="AC66" s="10"/>
      <c r="AD66" s="10"/>
      <c r="AE66" s="10"/>
      <c r="AF66" s="10"/>
    </row>
    <row r="67">
      <c r="A67" s="10"/>
      <c r="B67" s="12"/>
      <c r="C67" s="12"/>
      <c r="D67" s="12"/>
      <c r="E67" s="10"/>
      <c r="F67" s="10"/>
      <c r="G67" s="10"/>
      <c r="H67" s="10"/>
      <c r="I67" s="10"/>
      <c r="J67" s="11"/>
      <c r="K67" s="12"/>
      <c r="L67" s="12"/>
      <c r="M67" s="10"/>
      <c r="N67" s="10"/>
      <c r="O67" s="10"/>
      <c r="P67" s="10"/>
      <c r="Q67" s="10"/>
      <c r="R67" s="10"/>
      <c r="S67" s="10"/>
      <c r="T67" s="10"/>
      <c r="U67" s="10"/>
      <c r="V67" s="10"/>
      <c r="W67" s="10"/>
      <c r="X67" s="10"/>
      <c r="Y67" s="10"/>
      <c r="Z67" s="10"/>
      <c r="AA67" s="10"/>
      <c r="AB67" s="10"/>
      <c r="AC67" s="10"/>
      <c r="AD67" s="10"/>
      <c r="AE67" s="10"/>
      <c r="AF67" s="10"/>
    </row>
    <row r="68">
      <c r="A68" s="7"/>
      <c r="B68" s="8">
        <v>13.0</v>
      </c>
      <c r="C68" s="8">
        <v>1.0</v>
      </c>
      <c r="D68" s="8" t="s">
        <v>385</v>
      </c>
      <c r="E68" s="7">
        <v>1.0</v>
      </c>
      <c r="F68" s="7"/>
      <c r="G68" s="7" t="s">
        <v>312</v>
      </c>
      <c r="H68" s="7" t="s">
        <v>313</v>
      </c>
      <c r="I68" s="10"/>
      <c r="J68" s="9" t="s">
        <v>386</v>
      </c>
      <c r="K68" s="12"/>
      <c r="L68" s="12"/>
      <c r="M68" s="10"/>
      <c r="N68" s="10"/>
      <c r="O68" s="10"/>
      <c r="P68" s="10"/>
      <c r="Q68" s="10"/>
      <c r="R68" s="10"/>
      <c r="S68" s="10"/>
      <c r="T68" s="10"/>
      <c r="U68" s="10"/>
      <c r="V68" s="10"/>
      <c r="W68" s="10"/>
      <c r="X68" s="10"/>
      <c r="Y68" s="10"/>
      <c r="Z68" s="10"/>
      <c r="AA68" s="10"/>
      <c r="AB68" s="10"/>
      <c r="AC68" s="10"/>
      <c r="AD68" s="10"/>
      <c r="AE68" s="10"/>
      <c r="AF68" s="10"/>
    </row>
    <row r="69">
      <c r="A69" s="7"/>
      <c r="B69" s="8">
        <v>13.0</v>
      </c>
      <c r="C69" s="8">
        <v>2.0</v>
      </c>
      <c r="D69" s="8" t="s">
        <v>387</v>
      </c>
      <c r="E69" s="7">
        <v>0.0</v>
      </c>
      <c r="F69" s="7"/>
      <c r="G69" s="7" t="s">
        <v>312</v>
      </c>
      <c r="H69" s="7" t="s">
        <v>313</v>
      </c>
      <c r="I69" s="10"/>
      <c r="J69" s="9" t="s">
        <v>388</v>
      </c>
      <c r="K69" s="12"/>
      <c r="L69" s="12"/>
      <c r="M69" s="10"/>
      <c r="N69" s="10"/>
      <c r="O69" s="10"/>
      <c r="P69" s="10"/>
      <c r="Q69" s="10"/>
      <c r="R69" s="10"/>
      <c r="S69" s="10"/>
      <c r="T69" s="10"/>
      <c r="U69" s="10"/>
      <c r="V69" s="10"/>
      <c r="W69" s="10"/>
      <c r="X69" s="10"/>
      <c r="Y69" s="10"/>
      <c r="Z69" s="10"/>
      <c r="AA69" s="10"/>
      <c r="AB69" s="10"/>
      <c r="AC69" s="10"/>
      <c r="AD69" s="10"/>
      <c r="AE69" s="10"/>
      <c r="AF69" s="10"/>
    </row>
    <row r="70">
      <c r="A70" s="7"/>
      <c r="B70" s="8">
        <v>13.0</v>
      </c>
      <c r="C70" s="8">
        <v>3.0</v>
      </c>
      <c r="D70" s="8" t="s">
        <v>389</v>
      </c>
      <c r="E70" s="7">
        <v>0.0</v>
      </c>
      <c r="F70" s="7"/>
      <c r="G70" s="7" t="s">
        <v>312</v>
      </c>
      <c r="H70" s="7" t="s">
        <v>313</v>
      </c>
      <c r="I70" s="10"/>
      <c r="J70" s="11"/>
      <c r="K70" s="12"/>
      <c r="L70" s="12"/>
      <c r="M70" s="10"/>
      <c r="N70" s="10"/>
      <c r="O70" s="10"/>
      <c r="P70" s="10"/>
      <c r="Q70" s="10"/>
      <c r="R70" s="10"/>
      <c r="S70" s="10"/>
      <c r="T70" s="10"/>
      <c r="U70" s="10"/>
      <c r="V70" s="10"/>
      <c r="W70" s="10"/>
      <c r="X70" s="10"/>
      <c r="Y70" s="10"/>
      <c r="Z70" s="10"/>
      <c r="AA70" s="10"/>
      <c r="AB70" s="10"/>
      <c r="AC70" s="10"/>
      <c r="AD70" s="10"/>
      <c r="AE70" s="10"/>
      <c r="AF70" s="10"/>
    </row>
    <row r="71">
      <c r="A71" s="7"/>
      <c r="B71" s="8">
        <v>13.0</v>
      </c>
      <c r="C71" s="8">
        <v>4.0</v>
      </c>
      <c r="D71" s="8" t="s">
        <v>390</v>
      </c>
      <c r="E71" s="7">
        <v>0.0</v>
      </c>
      <c r="F71" s="7"/>
      <c r="G71" s="7" t="s">
        <v>312</v>
      </c>
      <c r="H71" s="7" t="s">
        <v>313</v>
      </c>
      <c r="I71" s="10"/>
      <c r="J71" s="11"/>
      <c r="K71" s="12"/>
      <c r="L71" s="12"/>
      <c r="M71" s="10"/>
      <c r="N71" s="10"/>
      <c r="O71" s="10"/>
      <c r="P71" s="10"/>
      <c r="Q71" s="10"/>
      <c r="R71" s="10"/>
      <c r="S71" s="10"/>
      <c r="T71" s="10"/>
      <c r="U71" s="10"/>
      <c r="V71" s="10"/>
      <c r="W71" s="10"/>
      <c r="X71" s="10"/>
      <c r="Y71" s="10"/>
      <c r="Z71" s="10"/>
      <c r="AA71" s="10"/>
      <c r="AB71" s="10"/>
      <c r="AC71" s="10"/>
      <c r="AD71" s="10"/>
      <c r="AE71" s="10"/>
      <c r="AF71" s="10"/>
    </row>
    <row r="72">
      <c r="A72" s="7"/>
      <c r="B72" s="8">
        <v>13.0</v>
      </c>
      <c r="C72" s="8">
        <v>5.0</v>
      </c>
      <c r="D72" s="8" t="s">
        <v>391</v>
      </c>
      <c r="E72" s="7">
        <v>0.0</v>
      </c>
      <c r="F72" s="7"/>
      <c r="G72" s="7" t="s">
        <v>312</v>
      </c>
      <c r="H72" s="7" t="s">
        <v>313</v>
      </c>
      <c r="I72" s="10"/>
      <c r="J72" s="11"/>
      <c r="K72" s="12"/>
      <c r="L72" s="12"/>
      <c r="M72" s="10"/>
      <c r="N72" s="10"/>
      <c r="O72" s="10"/>
      <c r="P72" s="10"/>
      <c r="Q72" s="10"/>
      <c r="R72" s="10"/>
      <c r="S72" s="10"/>
      <c r="T72" s="10"/>
      <c r="U72" s="10"/>
      <c r="V72" s="10"/>
      <c r="W72" s="10"/>
      <c r="X72" s="10"/>
      <c r="Y72" s="10"/>
      <c r="Z72" s="10"/>
      <c r="AA72" s="10"/>
      <c r="AB72" s="10"/>
      <c r="AC72" s="10"/>
      <c r="AD72" s="10"/>
      <c r="AE72" s="10"/>
      <c r="AF72" s="10"/>
    </row>
    <row r="73">
      <c r="A73" s="7"/>
      <c r="B73" s="8">
        <v>13.0</v>
      </c>
      <c r="C73" s="8">
        <v>6.0</v>
      </c>
      <c r="D73" s="8" t="s">
        <v>392</v>
      </c>
      <c r="E73" s="7">
        <v>0.0</v>
      </c>
      <c r="F73" s="7"/>
      <c r="G73" s="7" t="s">
        <v>312</v>
      </c>
      <c r="H73" s="7" t="s">
        <v>313</v>
      </c>
      <c r="I73" s="10"/>
      <c r="J73" s="11"/>
      <c r="K73" s="12"/>
      <c r="L73" s="12"/>
      <c r="M73" s="10"/>
      <c r="N73" s="10"/>
      <c r="O73" s="10"/>
      <c r="P73" s="10"/>
      <c r="Q73" s="10"/>
      <c r="R73" s="10"/>
      <c r="S73" s="10"/>
      <c r="T73" s="10"/>
      <c r="U73" s="10"/>
      <c r="V73" s="10"/>
      <c r="W73" s="10"/>
      <c r="X73" s="10"/>
      <c r="Y73" s="10"/>
      <c r="Z73" s="10"/>
      <c r="AA73" s="10"/>
      <c r="AB73" s="10"/>
      <c r="AC73" s="10"/>
      <c r="AD73" s="10"/>
      <c r="AE73" s="10"/>
      <c r="AF73" s="10"/>
    </row>
    <row r="74">
      <c r="A74" s="7"/>
      <c r="B74" s="8">
        <v>13.0</v>
      </c>
      <c r="C74" s="8">
        <v>7.0</v>
      </c>
      <c r="D74" s="8" t="s">
        <v>393</v>
      </c>
      <c r="E74" s="7">
        <v>0.0</v>
      </c>
      <c r="F74" s="7"/>
      <c r="G74" s="7" t="s">
        <v>312</v>
      </c>
      <c r="H74" s="7" t="s">
        <v>313</v>
      </c>
      <c r="I74" s="10"/>
      <c r="J74" s="11"/>
      <c r="K74" s="12"/>
      <c r="L74" s="12"/>
      <c r="M74" s="10"/>
      <c r="N74" s="10"/>
      <c r="O74" s="10"/>
      <c r="P74" s="10"/>
      <c r="Q74" s="10"/>
      <c r="R74" s="10"/>
      <c r="S74" s="10"/>
      <c r="T74" s="10"/>
      <c r="U74" s="10"/>
      <c r="V74" s="10"/>
      <c r="W74" s="10"/>
      <c r="X74" s="10"/>
      <c r="Y74" s="10"/>
      <c r="Z74" s="10"/>
      <c r="AA74" s="10"/>
      <c r="AB74" s="10"/>
      <c r="AC74" s="10"/>
      <c r="AD74" s="10"/>
      <c r="AE74" s="10"/>
      <c r="AF74" s="10"/>
    </row>
    <row r="75">
      <c r="A75" s="7"/>
      <c r="B75" s="8">
        <v>13.0</v>
      </c>
      <c r="C75" s="8">
        <v>8.0</v>
      </c>
      <c r="D75" s="8" t="s">
        <v>394</v>
      </c>
      <c r="E75" s="7">
        <v>0.0</v>
      </c>
      <c r="F75" s="7"/>
      <c r="G75" s="7" t="s">
        <v>312</v>
      </c>
      <c r="H75" s="7" t="s">
        <v>313</v>
      </c>
      <c r="I75" s="10"/>
      <c r="J75" s="11"/>
      <c r="K75" s="12"/>
      <c r="L75" s="12"/>
      <c r="M75" s="10"/>
      <c r="N75" s="10"/>
      <c r="O75" s="10"/>
      <c r="P75" s="10"/>
      <c r="Q75" s="10"/>
      <c r="R75" s="10"/>
      <c r="S75" s="10"/>
      <c r="T75" s="10"/>
      <c r="U75" s="10"/>
      <c r="V75" s="10"/>
      <c r="W75" s="10"/>
      <c r="X75" s="10"/>
      <c r="Y75" s="10"/>
      <c r="Z75" s="10"/>
      <c r="AA75" s="10"/>
      <c r="AB75" s="10"/>
      <c r="AC75" s="10"/>
      <c r="AD75" s="10"/>
      <c r="AE75" s="10"/>
      <c r="AF75" s="10"/>
    </row>
    <row r="76">
      <c r="A76" s="7"/>
      <c r="B76" s="8">
        <v>13.0</v>
      </c>
      <c r="C76" s="8">
        <v>9.0</v>
      </c>
      <c r="D76" s="8" t="s">
        <v>395</v>
      </c>
      <c r="E76" s="7">
        <v>0.0</v>
      </c>
      <c r="F76" s="7"/>
      <c r="G76" s="7" t="s">
        <v>312</v>
      </c>
      <c r="H76" s="7" t="s">
        <v>313</v>
      </c>
      <c r="I76" s="10"/>
      <c r="J76" s="11"/>
      <c r="K76" s="12"/>
      <c r="L76" s="12"/>
      <c r="M76" s="10"/>
      <c r="N76" s="10"/>
      <c r="O76" s="10"/>
      <c r="P76" s="10"/>
      <c r="Q76" s="10"/>
      <c r="R76" s="10"/>
      <c r="S76" s="10"/>
      <c r="T76" s="10"/>
      <c r="U76" s="10"/>
      <c r="V76" s="10"/>
      <c r="W76" s="10"/>
      <c r="X76" s="10"/>
      <c r="Y76" s="10"/>
      <c r="Z76" s="10"/>
      <c r="AA76" s="10"/>
      <c r="AB76" s="10"/>
      <c r="AC76" s="10"/>
      <c r="AD76" s="10"/>
      <c r="AE76" s="10"/>
      <c r="AF76" s="10"/>
    </row>
    <row r="77">
      <c r="A77" s="7"/>
      <c r="B77" s="8">
        <v>13.0</v>
      </c>
      <c r="C77" s="8">
        <v>10.0</v>
      </c>
      <c r="D77" s="8" t="s">
        <v>396</v>
      </c>
      <c r="E77" s="7">
        <v>1.0</v>
      </c>
      <c r="F77" s="7" t="s">
        <v>320</v>
      </c>
      <c r="G77" s="7" t="s">
        <v>312</v>
      </c>
      <c r="H77" s="7" t="s">
        <v>313</v>
      </c>
      <c r="I77" s="7" t="s">
        <v>366</v>
      </c>
      <c r="J77" s="9" t="s">
        <v>397</v>
      </c>
      <c r="K77" s="12"/>
      <c r="L77" s="12"/>
      <c r="M77" s="10"/>
      <c r="N77" s="10"/>
      <c r="O77" s="10"/>
      <c r="P77" s="10"/>
      <c r="Q77" s="10"/>
      <c r="R77" s="10"/>
      <c r="S77" s="10"/>
      <c r="T77" s="10"/>
      <c r="U77" s="10"/>
      <c r="V77" s="10"/>
      <c r="W77" s="10"/>
      <c r="X77" s="10"/>
      <c r="Y77" s="10"/>
      <c r="Z77" s="10"/>
      <c r="AA77" s="10"/>
      <c r="AB77" s="10"/>
      <c r="AC77" s="10"/>
      <c r="AD77" s="10"/>
      <c r="AE77" s="10"/>
      <c r="AF77" s="10"/>
    </row>
    <row r="78">
      <c r="A78" s="7"/>
      <c r="B78" s="8">
        <v>13.0</v>
      </c>
      <c r="C78" s="8">
        <v>11.0</v>
      </c>
      <c r="D78" s="8" t="s">
        <v>398</v>
      </c>
      <c r="E78" s="7">
        <v>0.0</v>
      </c>
      <c r="F78" s="7"/>
      <c r="G78" s="7" t="s">
        <v>312</v>
      </c>
      <c r="H78" s="7" t="s">
        <v>313</v>
      </c>
      <c r="I78" s="10"/>
      <c r="J78" s="11"/>
      <c r="K78" s="12"/>
      <c r="L78" s="12"/>
      <c r="M78" s="10"/>
      <c r="N78" s="10"/>
      <c r="O78" s="10"/>
      <c r="P78" s="10"/>
      <c r="Q78" s="10"/>
      <c r="R78" s="10"/>
      <c r="S78" s="10"/>
      <c r="T78" s="10"/>
      <c r="U78" s="10"/>
      <c r="V78" s="10"/>
      <c r="W78" s="10"/>
      <c r="X78" s="10"/>
      <c r="Y78" s="10"/>
      <c r="Z78" s="10"/>
      <c r="AA78" s="10"/>
      <c r="AB78" s="10"/>
      <c r="AC78" s="10"/>
      <c r="AD78" s="10"/>
      <c r="AE78" s="10"/>
      <c r="AF78" s="10"/>
    </row>
    <row r="79">
      <c r="A79" s="7"/>
      <c r="B79" s="8">
        <v>13.0</v>
      </c>
      <c r="C79" s="8">
        <v>12.0</v>
      </c>
      <c r="D79" s="8" t="s">
        <v>399</v>
      </c>
      <c r="E79" s="7">
        <v>0.0</v>
      </c>
      <c r="F79" s="7"/>
      <c r="G79" s="7" t="s">
        <v>312</v>
      </c>
      <c r="H79" s="7" t="s">
        <v>313</v>
      </c>
      <c r="I79" s="10"/>
      <c r="J79" s="11"/>
      <c r="K79" s="12"/>
      <c r="L79" s="12"/>
      <c r="M79" s="10"/>
      <c r="N79" s="10"/>
      <c r="O79" s="10"/>
      <c r="P79" s="10"/>
      <c r="Q79" s="10"/>
      <c r="R79" s="10"/>
      <c r="S79" s="10"/>
      <c r="T79" s="10"/>
      <c r="U79" s="10"/>
      <c r="V79" s="10"/>
      <c r="W79" s="10"/>
      <c r="X79" s="10"/>
      <c r="Y79" s="10"/>
      <c r="Z79" s="10"/>
      <c r="AA79" s="10"/>
      <c r="AB79" s="10"/>
      <c r="AC79" s="10"/>
      <c r="AD79" s="10"/>
      <c r="AE79" s="10"/>
      <c r="AF79" s="10"/>
    </row>
    <row r="80">
      <c r="A80" s="7"/>
      <c r="B80" s="8">
        <v>13.0</v>
      </c>
      <c r="C80" s="8">
        <v>13.0</v>
      </c>
      <c r="D80" s="8" t="s">
        <v>400</v>
      </c>
      <c r="E80" s="7">
        <v>0.0</v>
      </c>
      <c r="F80" s="7"/>
      <c r="G80" s="7" t="s">
        <v>312</v>
      </c>
      <c r="H80" s="7" t="s">
        <v>313</v>
      </c>
      <c r="I80" s="10"/>
      <c r="J80" s="11"/>
      <c r="K80" s="12"/>
      <c r="L80" s="12"/>
      <c r="M80" s="10"/>
      <c r="N80" s="10"/>
      <c r="O80" s="10"/>
      <c r="P80" s="10"/>
      <c r="Q80" s="10"/>
      <c r="R80" s="10"/>
      <c r="S80" s="10"/>
      <c r="T80" s="10"/>
      <c r="U80" s="10"/>
      <c r="V80" s="10"/>
      <c r="W80" s="10"/>
      <c r="X80" s="10"/>
      <c r="Y80" s="10"/>
      <c r="Z80" s="10"/>
      <c r="AA80" s="10"/>
      <c r="AB80" s="10"/>
      <c r="AC80" s="10"/>
      <c r="AD80" s="10"/>
      <c r="AE80" s="10"/>
      <c r="AF80" s="10"/>
    </row>
    <row r="81">
      <c r="A81" s="7"/>
      <c r="B81" s="8">
        <v>13.0</v>
      </c>
      <c r="C81" s="8">
        <v>14.0</v>
      </c>
      <c r="D81" s="8" t="s">
        <v>401</v>
      </c>
      <c r="E81" s="7">
        <v>0.0</v>
      </c>
      <c r="F81" s="7"/>
      <c r="G81" s="7" t="s">
        <v>312</v>
      </c>
      <c r="H81" s="7" t="s">
        <v>313</v>
      </c>
      <c r="I81" s="10"/>
      <c r="J81" s="11"/>
      <c r="K81" s="12"/>
      <c r="L81" s="12"/>
      <c r="M81" s="10"/>
      <c r="N81" s="10"/>
      <c r="O81" s="10"/>
      <c r="P81" s="10"/>
      <c r="Q81" s="10"/>
      <c r="R81" s="10"/>
      <c r="S81" s="10"/>
      <c r="T81" s="10"/>
      <c r="U81" s="10"/>
      <c r="V81" s="10"/>
      <c r="W81" s="10"/>
      <c r="X81" s="10"/>
      <c r="Y81" s="10"/>
      <c r="Z81" s="10"/>
      <c r="AA81" s="10"/>
      <c r="AB81" s="10"/>
      <c r="AC81" s="10"/>
      <c r="AD81" s="10"/>
      <c r="AE81" s="10"/>
      <c r="AF81" s="10"/>
    </row>
    <row r="82">
      <c r="A82" s="7"/>
      <c r="B82" s="8">
        <v>13.0</v>
      </c>
      <c r="C82" s="8">
        <v>15.0</v>
      </c>
      <c r="D82" s="8" t="s">
        <v>402</v>
      </c>
      <c r="E82" s="7">
        <v>0.0</v>
      </c>
      <c r="F82" s="7"/>
      <c r="G82" s="7" t="s">
        <v>312</v>
      </c>
      <c r="H82" s="7" t="s">
        <v>313</v>
      </c>
      <c r="I82" s="10"/>
      <c r="J82" s="11"/>
      <c r="K82" s="12"/>
      <c r="L82" s="12"/>
      <c r="M82" s="10"/>
      <c r="N82" s="10"/>
      <c r="O82" s="10"/>
      <c r="P82" s="10"/>
      <c r="Q82" s="10"/>
      <c r="R82" s="10"/>
      <c r="S82" s="10"/>
      <c r="T82" s="10"/>
      <c r="U82" s="10"/>
      <c r="V82" s="10"/>
      <c r="W82" s="10"/>
      <c r="X82" s="10"/>
      <c r="Y82" s="10"/>
      <c r="Z82" s="10"/>
      <c r="AA82" s="10"/>
      <c r="AB82" s="10"/>
      <c r="AC82" s="10"/>
      <c r="AD82" s="10"/>
      <c r="AE82" s="10"/>
      <c r="AF82" s="10"/>
    </row>
    <row r="83">
      <c r="A83" s="7"/>
      <c r="B83" s="8">
        <v>13.0</v>
      </c>
      <c r="C83" s="8">
        <v>16.0</v>
      </c>
      <c r="D83" s="8" t="s">
        <v>403</v>
      </c>
      <c r="E83" s="7">
        <v>0.0</v>
      </c>
      <c r="F83" s="7"/>
      <c r="G83" s="7" t="s">
        <v>312</v>
      </c>
      <c r="H83" s="7" t="s">
        <v>313</v>
      </c>
      <c r="I83" s="10"/>
      <c r="J83" s="11"/>
      <c r="K83" s="12"/>
      <c r="L83" s="12"/>
      <c r="M83" s="10"/>
      <c r="N83" s="10"/>
      <c r="O83" s="10"/>
      <c r="P83" s="10"/>
      <c r="Q83" s="10"/>
      <c r="R83" s="10"/>
      <c r="S83" s="10"/>
      <c r="T83" s="10"/>
      <c r="U83" s="10"/>
      <c r="V83" s="10"/>
      <c r="W83" s="10"/>
      <c r="X83" s="10"/>
      <c r="Y83" s="10"/>
      <c r="Z83" s="10"/>
      <c r="AA83" s="10"/>
      <c r="AB83" s="10"/>
      <c r="AC83" s="10"/>
      <c r="AD83" s="10"/>
      <c r="AE83" s="10"/>
      <c r="AF83" s="10"/>
    </row>
    <row r="84">
      <c r="A84" s="7"/>
      <c r="B84" s="8">
        <v>13.0</v>
      </c>
      <c r="C84" s="8">
        <v>17.0</v>
      </c>
      <c r="D84" s="8" t="s">
        <v>404</v>
      </c>
      <c r="E84" s="7">
        <v>0.0</v>
      </c>
      <c r="F84" s="7"/>
      <c r="G84" s="7" t="s">
        <v>312</v>
      </c>
      <c r="H84" s="7" t="s">
        <v>313</v>
      </c>
      <c r="I84" s="10"/>
      <c r="J84" s="11"/>
      <c r="K84" s="12"/>
      <c r="L84" s="12"/>
      <c r="M84" s="10"/>
      <c r="N84" s="10"/>
      <c r="O84" s="10"/>
      <c r="P84" s="10"/>
      <c r="Q84" s="10"/>
      <c r="R84" s="10"/>
      <c r="S84" s="10"/>
      <c r="T84" s="10"/>
      <c r="U84" s="10"/>
      <c r="V84" s="10"/>
      <c r="W84" s="10"/>
      <c r="X84" s="10"/>
      <c r="Y84" s="10"/>
      <c r="Z84" s="10"/>
      <c r="AA84" s="10"/>
      <c r="AB84" s="10"/>
      <c r="AC84" s="10"/>
      <c r="AD84" s="10"/>
      <c r="AE84" s="10"/>
      <c r="AF84" s="10"/>
    </row>
    <row r="85">
      <c r="A85" s="7"/>
      <c r="B85" s="8">
        <v>13.0</v>
      </c>
      <c r="C85" s="8">
        <v>18.0</v>
      </c>
      <c r="D85" s="8" t="s">
        <v>405</v>
      </c>
      <c r="E85" s="7">
        <v>0.0</v>
      </c>
      <c r="F85" s="7"/>
      <c r="G85" s="7" t="s">
        <v>312</v>
      </c>
      <c r="H85" s="7" t="s">
        <v>313</v>
      </c>
      <c r="I85" s="10"/>
      <c r="J85" s="11"/>
      <c r="K85" s="12"/>
      <c r="L85" s="12"/>
      <c r="M85" s="10"/>
      <c r="N85" s="10"/>
      <c r="O85" s="10"/>
      <c r="P85" s="10"/>
      <c r="Q85" s="10"/>
      <c r="R85" s="10"/>
      <c r="S85" s="10"/>
      <c r="T85" s="10"/>
      <c r="U85" s="10"/>
      <c r="V85" s="10"/>
      <c r="W85" s="10"/>
      <c r="X85" s="10"/>
      <c r="Y85" s="10"/>
      <c r="Z85" s="10"/>
      <c r="AA85" s="10"/>
      <c r="AB85" s="10"/>
      <c r="AC85" s="10"/>
      <c r="AD85" s="10"/>
      <c r="AE85" s="10"/>
      <c r="AF85" s="10"/>
    </row>
    <row r="86">
      <c r="A86" s="7"/>
      <c r="B86" s="8">
        <v>13.0</v>
      </c>
      <c r="C86" s="8">
        <v>19.0</v>
      </c>
      <c r="D86" s="8" t="s">
        <v>406</v>
      </c>
      <c r="E86" s="7">
        <v>0.0</v>
      </c>
      <c r="F86" s="7"/>
      <c r="G86" s="7" t="s">
        <v>312</v>
      </c>
      <c r="H86" s="7" t="s">
        <v>313</v>
      </c>
      <c r="I86" s="10"/>
      <c r="J86" s="11"/>
      <c r="K86" s="12"/>
      <c r="L86" s="12"/>
      <c r="M86" s="10"/>
      <c r="N86" s="10"/>
      <c r="O86" s="10"/>
      <c r="P86" s="10"/>
      <c r="Q86" s="10"/>
      <c r="R86" s="10"/>
      <c r="S86" s="10"/>
      <c r="T86" s="10"/>
      <c r="U86" s="10"/>
      <c r="V86" s="10"/>
      <c r="W86" s="10"/>
      <c r="X86" s="10"/>
      <c r="Y86" s="10"/>
      <c r="Z86" s="10"/>
      <c r="AA86" s="10"/>
      <c r="AB86" s="10"/>
      <c r="AC86" s="10"/>
      <c r="AD86" s="10"/>
      <c r="AE86" s="10"/>
      <c r="AF86" s="10"/>
    </row>
    <row r="87">
      <c r="A87" s="7"/>
      <c r="B87" s="8">
        <v>13.0</v>
      </c>
      <c r="C87" s="8">
        <v>20.0</v>
      </c>
      <c r="D87" s="8" t="s">
        <v>407</v>
      </c>
      <c r="E87" s="7">
        <v>0.0</v>
      </c>
      <c r="F87" s="7"/>
      <c r="G87" s="7" t="s">
        <v>312</v>
      </c>
      <c r="H87" s="7" t="s">
        <v>313</v>
      </c>
      <c r="I87" s="10"/>
      <c r="J87" s="11"/>
      <c r="K87" s="12"/>
      <c r="L87" s="12"/>
      <c r="M87" s="10"/>
      <c r="N87" s="10"/>
      <c r="O87" s="10"/>
      <c r="P87" s="10"/>
      <c r="Q87" s="10"/>
      <c r="R87" s="10"/>
      <c r="S87" s="10"/>
      <c r="T87" s="10"/>
      <c r="U87" s="10"/>
      <c r="V87" s="10"/>
      <c r="W87" s="10"/>
      <c r="X87" s="10"/>
      <c r="Y87" s="10"/>
      <c r="Z87" s="10"/>
      <c r="AA87" s="10"/>
      <c r="AB87" s="10"/>
      <c r="AC87" s="10"/>
      <c r="AD87" s="10"/>
      <c r="AE87" s="10"/>
      <c r="AF87" s="10"/>
    </row>
    <row r="88">
      <c r="A88" s="7"/>
      <c r="B88" s="8">
        <v>13.0</v>
      </c>
      <c r="C88" s="8">
        <v>21.0</v>
      </c>
      <c r="D88" s="8" t="s">
        <v>408</v>
      </c>
      <c r="E88" s="7">
        <v>0.0</v>
      </c>
      <c r="F88" s="7"/>
      <c r="G88" s="7" t="s">
        <v>312</v>
      </c>
      <c r="H88" s="7" t="s">
        <v>313</v>
      </c>
      <c r="I88" s="10"/>
      <c r="J88" s="11"/>
      <c r="K88" s="12"/>
      <c r="L88" s="12"/>
      <c r="M88" s="10"/>
      <c r="N88" s="10"/>
      <c r="O88" s="10"/>
      <c r="P88" s="10"/>
      <c r="Q88" s="10"/>
      <c r="R88" s="10"/>
      <c r="S88" s="10"/>
      <c r="T88" s="10"/>
      <c r="U88" s="10"/>
      <c r="V88" s="10"/>
      <c r="W88" s="10"/>
      <c r="X88" s="10"/>
      <c r="Y88" s="10"/>
      <c r="Z88" s="10"/>
      <c r="AA88" s="10"/>
      <c r="AB88" s="10"/>
      <c r="AC88" s="10"/>
      <c r="AD88" s="10"/>
      <c r="AE88" s="10"/>
      <c r="AF88" s="10"/>
    </row>
    <row r="89">
      <c r="A89" s="7"/>
      <c r="B89" s="8">
        <v>13.0</v>
      </c>
      <c r="C89" s="8">
        <v>22.0</v>
      </c>
      <c r="D89" s="8" t="s">
        <v>409</v>
      </c>
      <c r="E89" s="7">
        <v>0.0</v>
      </c>
      <c r="F89" s="7"/>
      <c r="G89" s="7" t="s">
        <v>312</v>
      </c>
      <c r="H89" s="7" t="s">
        <v>313</v>
      </c>
      <c r="I89" s="10"/>
      <c r="J89" s="11"/>
      <c r="K89" s="12"/>
      <c r="L89" s="12"/>
      <c r="M89" s="10"/>
      <c r="N89" s="10"/>
      <c r="O89" s="10"/>
      <c r="P89" s="10"/>
      <c r="Q89" s="10"/>
      <c r="R89" s="10"/>
      <c r="S89" s="10"/>
      <c r="T89" s="10"/>
      <c r="U89" s="10"/>
      <c r="V89" s="10"/>
      <c r="W89" s="10"/>
      <c r="X89" s="10"/>
      <c r="Y89" s="10"/>
      <c r="Z89" s="10"/>
      <c r="AA89" s="10"/>
      <c r="AB89" s="10"/>
      <c r="AC89" s="10"/>
      <c r="AD89" s="10"/>
      <c r="AE89" s="10"/>
      <c r="AF89" s="10"/>
    </row>
    <row r="90">
      <c r="A90" s="7"/>
      <c r="B90" s="8">
        <v>13.0</v>
      </c>
      <c r="C90" s="8">
        <v>23.0</v>
      </c>
      <c r="D90" s="8" t="s">
        <v>410</v>
      </c>
      <c r="E90" s="7">
        <v>0.0</v>
      </c>
      <c r="F90" s="7"/>
      <c r="G90" s="7" t="s">
        <v>312</v>
      </c>
      <c r="H90" s="7" t="s">
        <v>313</v>
      </c>
      <c r="I90" s="10"/>
      <c r="J90" s="11"/>
      <c r="K90" s="12"/>
      <c r="L90" s="12"/>
      <c r="M90" s="10"/>
      <c r="N90" s="10"/>
      <c r="O90" s="10"/>
      <c r="P90" s="10"/>
      <c r="Q90" s="10"/>
      <c r="R90" s="10"/>
      <c r="S90" s="10"/>
      <c r="T90" s="10"/>
      <c r="U90" s="10"/>
      <c r="V90" s="10"/>
      <c r="W90" s="10"/>
      <c r="X90" s="10"/>
      <c r="Y90" s="10"/>
      <c r="Z90" s="10"/>
      <c r="AA90" s="10"/>
      <c r="AB90" s="10"/>
      <c r="AC90" s="10"/>
      <c r="AD90" s="10"/>
      <c r="AE90" s="10"/>
      <c r="AF90" s="10"/>
    </row>
    <row r="91">
      <c r="A91" s="7"/>
      <c r="B91" s="8">
        <v>13.0</v>
      </c>
      <c r="C91" s="8">
        <v>24.0</v>
      </c>
      <c r="D91" s="8" t="s">
        <v>411</v>
      </c>
      <c r="E91" s="7">
        <v>0.0</v>
      </c>
      <c r="F91" s="7"/>
      <c r="G91" s="7" t="s">
        <v>312</v>
      </c>
      <c r="H91" s="7" t="s">
        <v>313</v>
      </c>
      <c r="I91" s="10"/>
      <c r="J91" s="11"/>
      <c r="K91" s="12"/>
      <c r="L91" s="12"/>
      <c r="M91" s="10"/>
      <c r="N91" s="10"/>
      <c r="O91" s="10"/>
      <c r="P91" s="10"/>
      <c r="Q91" s="10"/>
      <c r="R91" s="10"/>
      <c r="S91" s="10"/>
      <c r="T91" s="10"/>
      <c r="U91" s="10"/>
      <c r="V91" s="10"/>
      <c r="W91" s="10"/>
      <c r="X91" s="10"/>
      <c r="Y91" s="10"/>
      <c r="Z91" s="10"/>
      <c r="AA91" s="10"/>
      <c r="AB91" s="10"/>
      <c r="AC91" s="10"/>
      <c r="AD91" s="10"/>
      <c r="AE91" s="10"/>
      <c r="AF91" s="10"/>
    </row>
    <row r="92">
      <c r="A92" s="7"/>
      <c r="B92" s="8">
        <v>13.0</v>
      </c>
      <c r="C92" s="8">
        <v>25.0</v>
      </c>
      <c r="D92" s="8" t="s">
        <v>412</v>
      </c>
      <c r="E92" s="7">
        <v>0.0</v>
      </c>
      <c r="F92" s="7"/>
      <c r="G92" s="7" t="s">
        <v>312</v>
      </c>
      <c r="H92" s="7" t="s">
        <v>313</v>
      </c>
      <c r="I92" s="10"/>
      <c r="J92" s="11"/>
      <c r="K92" s="12"/>
      <c r="L92" s="12"/>
      <c r="M92" s="10"/>
      <c r="N92" s="10"/>
      <c r="O92" s="10"/>
      <c r="P92" s="10"/>
      <c r="Q92" s="10"/>
      <c r="R92" s="10"/>
      <c r="S92" s="10"/>
      <c r="T92" s="10"/>
      <c r="U92" s="10"/>
      <c r="V92" s="10"/>
      <c r="W92" s="10"/>
      <c r="X92" s="10"/>
      <c r="Y92" s="10"/>
      <c r="Z92" s="10"/>
      <c r="AA92" s="10"/>
      <c r="AB92" s="10"/>
      <c r="AC92" s="10"/>
      <c r="AD92" s="10"/>
      <c r="AE92" s="10"/>
      <c r="AF92" s="10"/>
    </row>
    <row r="93">
      <c r="A93" s="7"/>
      <c r="B93" s="8">
        <v>13.0</v>
      </c>
      <c r="C93" s="8">
        <v>26.0</v>
      </c>
      <c r="D93" s="8" t="s">
        <v>413</v>
      </c>
      <c r="E93" s="7">
        <v>0.0</v>
      </c>
      <c r="F93" s="7"/>
      <c r="G93" s="7" t="s">
        <v>312</v>
      </c>
      <c r="H93" s="7" t="s">
        <v>313</v>
      </c>
      <c r="I93" s="10"/>
      <c r="J93" s="11"/>
      <c r="K93" s="12"/>
      <c r="L93" s="12"/>
      <c r="M93" s="10"/>
      <c r="N93" s="10"/>
      <c r="O93" s="10"/>
      <c r="P93" s="10"/>
      <c r="Q93" s="10"/>
      <c r="R93" s="10"/>
      <c r="S93" s="10"/>
      <c r="T93" s="10"/>
      <c r="U93" s="10"/>
      <c r="V93" s="10"/>
      <c r="W93" s="10"/>
      <c r="X93" s="10"/>
      <c r="Y93" s="10"/>
      <c r="Z93" s="10"/>
      <c r="AA93" s="10"/>
      <c r="AB93" s="10"/>
      <c r="AC93" s="10"/>
      <c r="AD93" s="10"/>
      <c r="AE93" s="10"/>
      <c r="AF93" s="10"/>
    </row>
    <row r="94">
      <c r="A94" s="7"/>
      <c r="B94" s="8">
        <v>13.0</v>
      </c>
      <c r="C94" s="8">
        <v>27.0</v>
      </c>
      <c r="D94" s="8" t="s">
        <v>414</v>
      </c>
      <c r="E94" s="7">
        <v>0.0</v>
      </c>
      <c r="F94" s="7"/>
      <c r="G94" s="7" t="s">
        <v>312</v>
      </c>
      <c r="H94" s="7" t="s">
        <v>313</v>
      </c>
      <c r="I94" s="10"/>
      <c r="J94" s="11"/>
      <c r="K94" s="12"/>
      <c r="L94" s="12"/>
      <c r="M94" s="10"/>
      <c r="N94" s="10"/>
      <c r="O94" s="10"/>
      <c r="P94" s="10"/>
      <c r="Q94" s="10"/>
      <c r="R94" s="10"/>
      <c r="S94" s="10"/>
      <c r="T94" s="10"/>
      <c r="U94" s="10"/>
      <c r="V94" s="10"/>
      <c r="W94" s="10"/>
      <c r="X94" s="10"/>
      <c r="Y94" s="10"/>
      <c r="Z94" s="10"/>
      <c r="AA94" s="10"/>
      <c r="AB94" s="10"/>
      <c r="AC94" s="10"/>
      <c r="AD94" s="10"/>
      <c r="AE94" s="10"/>
      <c r="AF94" s="10"/>
    </row>
    <row r="95">
      <c r="A95" s="7"/>
      <c r="B95" s="8">
        <v>13.0</v>
      </c>
      <c r="C95" s="8">
        <v>28.0</v>
      </c>
      <c r="D95" s="8" t="s">
        <v>415</v>
      </c>
      <c r="E95" s="7">
        <v>0.0</v>
      </c>
      <c r="F95" s="7"/>
      <c r="G95" s="7" t="s">
        <v>312</v>
      </c>
      <c r="H95" s="7" t="s">
        <v>313</v>
      </c>
      <c r="I95" s="10"/>
      <c r="J95" s="11"/>
      <c r="K95" s="12"/>
      <c r="L95" s="12"/>
      <c r="M95" s="10"/>
      <c r="N95" s="10"/>
      <c r="O95" s="10"/>
      <c r="P95" s="10"/>
      <c r="Q95" s="10"/>
      <c r="R95" s="10"/>
      <c r="S95" s="10"/>
      <c r="T95" s="10"/>
      <c r="U95" s="10"/>
      <c r="V95" s="10"/>
      <c r="W95" s="10"/>
      <c r="X95" s="10"/>
      <c r="Y95" s="10"/>
      <c r="Z95" s="10"/>
      <c r="AA95" s="10"/>
      <c r="AB95" s="10"/>
      <c r="AC95" s="10"/>
      <c r="AD95" s="10"/>
      <c r="AE95" s="10"/>
      <c r="AF95" s="10"/>
    </row>
    <row r="96">
      <c r="A96" s="7"/>
      <c r="B96" s="8">
        <v>13.0</v>
      </c>
      <c r="C96" s="8">
        <v>29.0</v>
      </c>
      <c r="D96" s="8" t="s">
        <v>416</v>
      </c>
      <c r="E96" s="7">
        <v>0.0</v>
      </c>
      <c r="F96" s="7"/>
      <c r="G96" s="7" t="s">
        <v>312</v>
      </c>
      <c r="H96" s="7" t="s">
        <v>313</v>
      </c>
      <c r="I96" s="10"/>
      <c r="J96" s="11"/>
      <c r="K96" s="12"/>
      <c r="L96" s="12"/>
      <c r="M96" s="10"/>
      <c r="N96" s="10"/>
      <c r="O96" s="10"/>
      <c r="P96" s="10"/>
      <c r="Q96" s="10"/>
      <c r="R96" s="10"/>
      <c r="S96" s="10"/>
      <c r="T96" s="10"/>
      <c r="U96" s="10"/>
      <c r="V96" s="10"/>
      <c r="W96" s="10"/>
      <c r="X96" s="10"/>
      <c r="Y96" s="10"/>
      <c r="Z96" s="10"/>
      <c r="AA96" s="10"/>
      <c r="AB96" s="10"/>
      <c r="AC96" s="10"/>
      <c r="AD96" s="10"/>
      <c r="AE96" s="10"/>
      <c r="AF96" s="10"/>
    </row>
    <row r="97">
      <c r="A97" s="7"/>
      <c r="B97" s="8">
        <v>13.0</v>
      </c>
      <c r="C97" s="8">
        <v>30.0</v>
      </c>
      <c r="D97" s="8" t="s">
        <v>417</v>
      </c>
      <c r="E97" s="7">
        <v>0.0</v>
      </c>
      <c r="F97" s="7"/>
      <c r="G97" s="7" t="s">
        <v>312</v>
      </c>
      <c r="H97" s="7" t="s">
        <v>313</v>
      </c>
      <c r="I97" s="10"/>
      <c r="J97" s="11"/>
      <c r="K97" s="12"/>
      <c r="L97" s="12"/>
      <c r="M97" s="10"/>
      <c r="N97" s="10"/>
      <c r="O97" s="10"/>
      <c r="P97" s="10"/>
      <c r="Q97" s="10"/>
      <c r="R97" s="10"/>
      <c r="S97" s="10"/>
      <c r="T97" s="10"/>
      <c r="U97" s="10"/>
      <c r="V97" s="10"/>
      <c r="W97" s="10"/>
      <c r="X97" s="10"/>
      <c r="Y97" s="10"/>
      <c r="Z97" s="10"/>
      <c r="AA97" s="10"/>
      <c r="AB97" s="10"/>
      <c r="AC97" s="10"/>
      <c r="AD97" s="10"/>
      <c r="AE97" s="10"/>
      <c r="AF97" s="10"/>
    </row>
    <row r="98">
      <c r="A98" s="7"/>
      <c r="B98" s="8">
        <v>13.0</v>
      </c>
      <c r="C98" s="8">
        <v>31.0</v>
      </c>
      <c r="D98" s="8" t="s">
        <v>418</v>
      </c>
      <c r="E98" s="7">
        <v>0.0</v>
      </c>
      <c r="F98" s="7"/>
      <c r="G98" s="7" t="s">
        <v>312</v>
      </c>
      <c r="H98" s="7" t="s">
        <v>313</v>
      </c>
      <c r="I98" s="10"/>
      <c r="J98" s="11"/>
      <c r="K98" s="12"/>
      <c r="L98" s="12"/>
      <c r="M98" s="10"/>
      <c r="N98" s="10"/>
      <c r="O98" s="10"/>
      <c r="P98" s="10"/>
      <c r="Q98" s="10"/>
      <c r="R98" s="10"/>
      <c r="S98" s="10"/>
      <c r="T98" s="10"/>
      <c r="U98" s="10"/>
      <c r="V98" s="10"/>
      <c r="W98" s="10"/>
      <c r="X98" s="10"/>
      <c r="Y98" s="10"/>
      <c r="Z98" s="10"/>
      <c r="AA98" s="10"/>
      <c r="AB98" s="10"/>
      <c r="AC98" s="10"/>
      <c r="AD98" s="10"/>
      <c r="AE98" s="10"/>
      <c r="AF98" s="10"/>
    </row>
    <row r="99">
      <c r="A99" s="7"/>
      <c r="B99" s="8">
        <v>13.0</v>
      </c>
      <c r="C99" s="8">
        <v>32.0</v>
      </c>
      <c r="D99" s="8" t="s">
        <v>419</v>
      </c>
      <c r="E99" s="7">
        <v>0.0</v>
      </c>
      <c r="F99" s="7"/>
      <c r="G99" s="7" t="s">
        <v>312</v>
      </c>
      <c r="H99" s="7" t="s">
        <v>313</v>
      </c>
      <c r="I99" s="10"/>
      <c r="J99" s="11"/>
      <c r="K99" s="12"/>
      <c r="L99" s="12"/>
      <c r="M99" s="10"/>
      <c r="N99" s="10"/>
      <c r="O99" s="10"/>
      <c r="P99" s="10"/>
      <c r="Q99" s="10"/>
      <c r="R99" s="10"/>
      <c r="S99" s="10"/>
      <c r="T99" s="10"/>
      <c r="U99" s="10"/>
      <c r="V99" s="10"/>
      <c r="W99" s="10"/>
      <c r="X99" s="10"/>
      <c r="Y99" s="10"/>
      <c r="Z99" s="10"/>
      <c r="AA99" s="10"/>
      <c r="AB99" s="10"/>
      <c r="AC99" s="10"/>
      <c r="AD99" s="10"/>
      <c r="AE99" s="10"/>
      <c r="AF99" s="10"/>
    </row>
    <row r="100">
      <c r="A100" s="7"/>
      <c r="B100" s="8">
        <v>13.0</v>
      </c>
      <c r="C100" s="8">
        <v>33.0</v>
      </c>
      <c r="D100" s="8" t="s">
        <v>420</v>
      </c>
      <c r="E100" s="7">
        <v>0.0</v>
      </c>
      <c r="F100" s="7"/>
      <c r="G100" s="7" t="s">
        <v>312</v>
      </c>
      <c r="H100" s="7" t="s">
        <v>313</v>
      </c>
      <c r="I100" s="10"/>
      <c r="J100" s="11"/>
      <c r="K100" s="12"/>
      <c r="L100" s="12"/>
      <c r="M100" s="10"/>
      <c r="N100" s="10"/>
      <c r="O100" s="10"/>
      <c r="P100" s="10"/>
      <c r="Q100" s="10"/>
      <c r="R100" s="10"/>
      <c r="S100" s="10"/>
      <c r="T100" s="10"/>
      <c r="U100" s="10"/>
      <c r="V100" s="10"/>
      <c r="W100" s="10"/>
      <c r="X100" s="10"/>
      <c r="Y100" s="10"/>
      <c r="Z100" s="10"/>
      <c r="AA100" s="10"/>
      <c r="AB100" s="10"/>
      <c r="AC100" s="10"/>
      <c r="AD100" s="10"/>
      <c r="AE100" s="10"/>
      <c r="AF100" s="10"/>
    </row>
    <row r="101">
      <c r="A101" s="7"/>
      <c r="B101" s="8">
        <v>13.0</v>
      </c>
      <c r="C101" s="8">
        <v>34.0</v>
      </c>
      <c r="D101" s="8" t="s">
        <v>421</v>
      </c>
      <c r="E101" s="7">
        <v>0.0</v>
      </c>
      <c r="F101" s="7"/>
      <c r="G101" s="7" t="s">
        <v>312</v>
      </c>
      <c r="H101" s="7" t="s">
        <v>313</v>
      </c>
      <c r="I101" s="10"/>
      <c r="J101" s="11"/>
      <c r="K101" s="12"/>
      <c r="L101" s="12"/>
      <c r="M101" s="10"/>
      <c r="N101" s="10"/>
      <c r="O101" s="10"/>
      <c r="P101" s="10"/>
      <c r="Q101" s="10"/>
      <c r="R101" s="10"/>
      <c r="S101" s="10"/>
      <c r="T101" s="10"/>
      <c r="U101" s="10"/>
      <c r="V101" s="10"/>
      <c r="W101" s="10"/>
      <c r="X101" s="10"/>
      <c r="Y101" s="10"/>
      <c r="Z101" s="10"/>
      <c r="AA101" s="10"/>
      <c r="AB101" s="10"/>
      <c r="AC101" s="10"/>
      <c r="AD101" s="10"/>
      <c r="AE101" s="10"/>
      <c r="AF101" s="10"/>
    </row>
    <row r="102">
      <c r="A102" s="7"/>
      <c r="B102" s="8">
        <v>13.0</v>
      </c>
      <c r="C102" s="8">
        <v>35.0</v>
      </c>
      <c r="D102" s="8" t="s">
        <v>422</v>
      </c>
      <c r="E102" s="7">
        <v>0.0</v>
      </c>
      <c r="F102" s="7"/>
      <c r="G102" s="7" t="s">
        <v>312</v>
      </c>
      <c r="H102" s="7" t="s">
        <v>313</v>
      </c>
      <c r="I102" s="10"/>
      <c r="J102" s="11"/>
      <c r="K102" s="12"/>
      <c r="L102" s="12"/>
      <c r="M102" s="10"/>
      <c r="N102" s="10"/>
      <c r="O102" s="10"/>
      <c r="P102" s="10"/>
      <c r="Q102" s="10"/>
      <c r="R102" s="10"/>
      <c r="S102" s="10"/>
      <c r="T102" s="10"/>
      <c r="U102" s="10"/>
      <c r="V102" s="10"/>
      <c r="W102" s="10"/>
      <c r="X102" s="10"/>
      <c r="Y102" s="10"/>
      <c r="Z102" s="10"/>
      <c r="AA102" s="10"/>
      <c r="AB102" s="10"/>
      <c r="AC102" s="10"/>
      <c r="AD102" s="10"/>
      <c r="AE102" s="10"/>
      <c r="AF102" s="10"/>
    </row>
    <row r="103">
      <c r="A103" s="7"/>
      <c r="B103" s="8">
        <v>13.0</v>
      </c>
      <c r="C103" s="8">
        <v>36.0</v>
      </c>
      <c r="D103" s="8" t="s">
        <v>423</v>
      </c>
      <c r="E103" s="7">
        <v>0.0</v>
      </c>
      <c r="F103" s="7"/>
      <c r="G103" s="7" t="s">
        <v>312</v>
      </c>
      <c r="H103" s="7" t="s">
        <v>313</v>
      </c>
      <c r="I103" s="10"/>
      <c r="J103" s="11"/>
      <c r="K103" s="12"/>
      <c r="L103" s="12"/>
      <c r="M103" s="10"/>
      <c r="N103" s="10"/>
      <c r="O103" s="10"/>
      <c r="P103" s="10"/>
      <c r="Q103" s="10"/>
      <c r="R103" s="10"/>
      <c r="S103" s="10"/>
      <c r="T103" s="10"/>
      <c r="U103" s="10"/>
      <c r="V103" s="10"/>
      <c r="W103" s="10"/>
      <c r="X103" s="10"/>
      <c r="Y103" s="10"/>
      <c r="Z103" s="10"/>
      <c r="AA103" s="10"/>
      <c r="AB103" s="10"/>
      <c r="AC103" s="10"/>
      <c r="AD103" s="10"/>
      <c r="AE103" s="10"/>
      <c r="AF103" s="10"/>
    </row>
    <row r="104">
      <c r="A104" s="7"/>
      <c r="B104" s="8">
        <v>13.0</v>
      </c>
      <c r="C104" s="8">
        <v>37.0</v>
      </c>
      <c r="D104" s="8" t="s">
        <v>424</v>
      </c>
      <c r="E104" s="7">
        <v>0.0</v>
      </c>
      <c r="F104" s="7"/>
      <c r="G104" s="7" t="s">
        <v>312</v>
      </c>
      <c r="H104" s="7" t="s">
        <v>313</v>
      </c>
      <c r="I104" s="10"/>
      <c r="J104" s="11"/>
      <c r="K104" s="12"/>
      <c r="L104" s="12"/>
      <c r="M104" s="10"/>
      <c r="N104" s="10"/>
      <c r="O104" s="10"/>
      <c r="P104" s="10"/>
      <c r="Q104" s="10"/>
      <c r="R104" s="10"/>
      <c r="S104" s="10"/>
      <c r="T104" s="10"/>
      <c r="U104" s="10"/>
      <c r="V104" s="10"/>
      <c r="W104" s="10"/>
      <c r="X104" s="10"/>
      <c r="Y104" s="10"/>
      <c r="Z104" s="10"/>
      <c r="AA104" s="10"/>
      <c r="AB104" s="10"/>
      <c r="AC104" s="10"/>
      <c r="AD104" s="10"/>
      <c r="AE104" s="10"/>
      <c r="AF104" s="10"/>
    </row>
    <row r="105">
      <c r="A105" s="7"/>
      <c r="B105" s="8">
        <v>13.0</v>
      </c>
      <c r="C105" s="8">
        <v>38.0</v>
      </c>
      <c r="D105" s="8" t="s">
        <v>425</v>
      </c>
      <c r="E105" s="7">
        <v>0.0</v>
      </c>
      <c r="F105" s="7"/>
      <c r="G105" s="7" t="s">
        <v>312</v>
      </c>
      <c r="H105" s="7" t="s">
        <v>313</v>
      </c>
      <c r="I105" s="10"/>
      <c r="J105" s="11"/>
      <c r="K105" s="12"/>
      <c r="L105" s="12"/>
      <c r="M105" s="10"/>
      <c r="N105" s="10"/>
      <c r="O105" s="10"/>
      <c r="P105" s="10"/>
      <c r="Q105" s="10"/>
      <c r="R105" s="10"/>
      <c r="S105" s="10"/>
      <c r="T105" s="10"/>
      <c r="U105" s="10"/>
      <c r="V105" s="10"/>
      <c r="W105" s="10"/>
      <c r="X105" s="10"/>
      <c r="Y105" s="10"/>
      <c r="Z105" s="10"/>
      <c r="AA105" s="10"/>
      <c r="AB105" s="10"/>
      <c r="AC105" s="10"/>
      <c r="AD105" s="10"/>
      <c r="AE105" s="10"/>
      <c r="AF105" s="10"/>
    </row>
    <row r="106">
      <c r="A106" s="7"/>
      <c r="B106" s="8">
        <v>13.0</v>
      </c>
      <c r="C106" s="8">
        <v>39.0</v>
      </c>
      <c r="D106" s="8" t="s">
        <v>426</v>
      </c>
      <c r="E106" s="7">
        <v>0.0</v>
      </c>
      <c r="F106" s="7"/>
      <c r="G106" s="7" t="s">
        <v>312</v>
      </c>
      <c r="H106" s="7" t="s">
        <v>313</v>
      </c>
      <c r="I106" s="10"/>
      <c r="J106" s="11"/>
      <c r="K106" s="12"/>
      <c r="L106" s="12"/>
      <c r="M106" s="10"/>
      <c r="N106" s="10"/>
      <c r="O106" s="10"/>
      <c r="P106" s="10"/>
      <c r="Q106" s="10"/>
      <c r="R106" s="10"/>
      <c r="S106" s="10"/>
      <c r="T106" s="10"/>
      <c r="U106" s="10"/>
      <c r="V106" s="10"/>
      <c r="W106" s="10"/>
      <c r="X106" s="10"/>
      <c r="Y106" s="10"/>
      <c r="Z106" s="10"/>
      <c r="AA106" s="10"/>
      <c r="AB106" s="10"/>
      <c r="AC106" s="10"/>
      <c r="AD106" s="10"/>
      <c r="AE106" s="10"/>
      <c r="AF106" s="10"/>
    </row>
    <row r="107">
      <c r="A107" s="7"/>
      <c r="B107" s="8">
        <v>13.0</v>
      </c>
      <c r="C107" s="8">
        <v>40.0</v>
      </c>
      <c r="D107" s="8" t="s">
        <v>427</v>
      </c>
      <c r="E107" s="7">
        <v>0.0</v>
      </c>
      <c r="F107" s="7"/>
      <c r="G107" s="7" t="s">
        <v>312</v>
      </c>
      <c r="H107" s="7" t="s">
        <v>313</v>
      </c>
      <c r="I107" s="10"/>
      <c r="J107" s="11"/>
      <c r="K107" s="12"/>
      <c r="L107" s="12"/>
      <c r="M107" s="10"/>
      <c r="N107" s="10"/>
      <c r="O107" s="10"/>
      <c r="P107" s="10"/>
      <c r="Q107" s="10"/>
      <c r="R107" s="10"/>
      <c r="S107" s="10"/>
      <c r="T107" s="10"/>
      <c r="U107" s="10"/>
      <c r="V107" s="10"/>
      <c r="W107" s="10"/>
      <c r="X107" s="10"/>
      <c r="Y107" s="10"/>
      <c r="Z107" s="10"/>
      <c r="AA107" s="10"/>
      <c r="AB107" s="10"/>
      <c r="AC107" s="10"/>
      <c r="AD107" s="10"/>
      <c r="AE107" s="10"/>
      <c r="AF107" s="10"/>
    </row>
    <row r="108">
      <c r="A108" s="7"/>
      <c r="B108" s="8">
        <v>13.0</v>
      </c>
      <c r="C108" s="8">
        <v>41.0</v>
      </c>
      <c r="D108" s="8" t="s">
        <v>428</v>
      </c>
      <c r="E108" s="7">
        <v>0.0</v>
      </c>
      <c r="F108" s="7"/>
      <c r="G108" s="7" t="s">
        <v>312</v>
      </c>
      <c r="H108" s="7" t="s">
        <v>313</v>
      </c>
      <c r="I108" s="10"/>
      <c r="J108" s="11"/>
      <c r="K108" s="12"/>
      <c r="L108" s="12"/>
      <c r="M108" s="10"/>
      <c r="N108" s="10"/>
      <c r="O108" s="10"/>
      <c r="P108" s="10"/>
      <c r="Q108" s="10"/>
      <c r="R108" s="10"/>
      <c r="S108" s="10"/>
      <c r="T108" s="10"/>
      <c r="U108" s="10"/>
      <c r="V108" s="10"/>
      <c r="W108" s="10"/>
      <c r="X108" s="10"/>
      <c r="Y108" s="10"/>
      <c r="Z108" s="10"/>
      <c r="AA108" s="10"/>
      <c r="AB108" s="10"/>
      <c r="AC108" s="10"/>
      <c r="AD108" s="10"/>
      <c r="AE108" s="10"/>
      <c r="AF108" s="10"/>
    </row>
    <row r="109">
      <c r="A109" s="7"/>
      <c r="B109" s="8">
        <v>13.0</v>
      </c>
      <c r="C109" s="8">
        <v>42.0</v>
      </c>
      <c r="D109" s="8" t="s">
        <v>429</v>
      </c>
      <c r="E109" s="7">
        <v>0.0</v>
      </c>
      <c r="F109" s="7"/>
      <c r="G109" s="7" t="s">
        <v>312</v>
      </c>
      <c r="H109" s="7" t="s">
        <v>313</v>
      </c>
      <c r="I109" s="10"/>
      <c r="J109" s="11"/>
      <c r="K109" s="12"/>
      <c r="L109" s="12"/>
      <c r="M109" s="10"/>
      <c r="N109" s="10"/>
      <c r="O109" s="10"/>
      <c r="P109" s="10"/>
      <c r="Q109" s="10"/>
      <c r="R109" s="10"/>
      <c r="S109" s="10"/>
      <c r="T109" s="10"/>
      <c r="U109" s="10"/>
      <c r="V109" s="10"/>
      <c r="W109" s="10"/>
      <c r="X109" s="10"/>
      <c r="Y109" s="10"/>
      <c r="Z109" s="10"/>
      <c r="AA109" s="10"/>
      <c r="AB109" s="10"/>
      <c r="AC109" s="10"/>
      <c r="AD109" s="10"/>
      <c r="AE109" s="10"/>
      <c r="AF109" s="10"/>
    </row>
    <row r="110">
      <c r="A110" s="7"/>
      <c r="B110" s="8">
        <v>13.0</v>
      </c>
      <c r="C110" s="8">
        <v>43.0</v>
      </c>
      <c r="D110" s="8" t="s">
        <v>430</v>
      </c>
      <c r="E110" s="7">
        <v>0.0</v>
      </c>
      <c r="F110" s="7"/>
      <c r="G110" s="7" t="s">
        <v>312</v>
      </c>
      <c r="H110" s="7" t="s">
        <v>313</v>
      </c>
      <c r="I110" s="10"/>
      <c r="J110" s="11"/>
      <c r="K110" s="12"/>
      <c r="L110" s="12"/>
      <c r="M110" s="10"/>
      <c r="N110" s="10"/>
      <c r="O110" s="10"/>
      <c r="P110" s="10"/>
      <c r="Q110" s="10"/>
      <c r="R110" s="10"/>
      <c r="S110" s="10"/>
      <c r="T110" s="10"/>
      <c r="U110" s="10"/>
      <c r="V110" s="10"/>
      <c r="W110" s="10"/>
      <c r="X110" s="10"/>
      <c r="Y110" s="10"/>
      <c r="Z110" s="10"/>
      <c r="AA110" s="10"/>
      <c r="AB110" s="10"/>
      <c r="AC110" s="10"/>
      <c r="AD110" s="10"/>
      <c r="AE110" s="10"/>
      <c r="AF110" s="10"/>
    </row>
    <row r="111">
      <c r="A111" s="7"/>
      <c r="B111" s="8">
        <v>13.0</v>
      </c>
      <c r="C111" s="8">
        <v>44.0</v>
      </c>
      <c r="D111" s="8" t="s">
        <v>431</v>
      </c>
      <c r="E111" s="7">
        <v>0.0</v>
      </c>
      <c r="F111" s="7"/>
      <c r="G111" s="7" t="s">
        <v>312</v>
      </c>
      <c r="H111" s="7" t="s">
        <v>313</v>
      </c>
      <c r="I111" s="10"/>
      <c r="J111" s="11"/>
      <c r="K111" s="12"/>
      <c r="L111" s="12"/>
      <c r="M111" s="10"/>
      <c r="N111" s="10"/>
      <c r="O111" s="10"/>
      <c r="P111" s="10"/>
      <c r="Q111" s="10"/>
      <c r="R111" s="10"/>
      <c r="S111" s="10"/>
      <c r="T111" s="10"/>
      <c r="U111" s="10"/>
      <c r="V111" s="10"/>
      <c r="W111" s="10"/>
      <c r="X111" s="10"/>
      <c r="Y111" s="10"/>
      <c r="Z111" s="10"/>
      <c r="AA111" s="10"/>
      <c r="AB111" s="10"/>
      <c r="AC111" s="10"/>
      <c r="AD111" s="10"/>
      <c r="AE111" s="10"/>
      <c r="AF111" s="10"/>
    </row>
    <row r="112">
      <c r="A112" s="7"/>
      <c r="B112" s="8">
        <v>13.0</v>
      </c>
      <c r="C112" s="8">
        <v>45.0</v>
      </c>
      <c r="D112" s="8" t="s">
        <v>432</v>
      </c>
      <c r="E112" s="7">
        <v>0.0</v>
      </c>
      <c r="F112" s="7"/>
      <c r="G112" s="7" t="s">
        <v>312</v>
      </c>
      <c r="H112" s="7" t="s">
        <v>313</v>
      </c>
      <c r="I112" s="10"/>
      <c r="J112" s="11"/>
      <c r="K112" s="12"/>
      <c r="L112" s="12"/>
      <c r="M112" s="10"/>
      <c r="N112" s="10"/>
      <c r="O112" s="10"/>
      <c r="P112" s="10"/>
      <c r="Q112" s="10"/>
      <c r="R112" s="10"/>
      <c r="S112" s="10"/>
      <c r="T112" s="10"/>
      <c r="U112" s="10"/>
      <c r="V112" s="10"/>
      <c r="W112" s="10"/>
      <c r="X112" s="10"/>
      <c r="Y112" s="10"/>
      <c r="Z112" s="10"/>
      <c r="AA112" s="10"/>
      <c r="AB112" s="10"/>
      <c r="AC112" s="10"/>
      <c r="AD112" s="10"/>
      <c r="AE112" s="10"/>
      <c r="AF112" s="10"/>
    </row>
    <row r="113">
      <c r="A113" s="10"/>
      <c r="B113" s="12"/>
      <c r="C113" s="12"/>
      <c r="D113" s="12"/>
      <c r="E113" s="10"/>
      <c r="F113" s="10"/>
      <c r="G113" s="10"/>
      <c r="H113" s="10"/>
      <c r="I113" s="10"/>
      <c r="J113" s="11"/>
      <c r="K113" s="12"/>
      <c r="L113" s="12"/>
      <c r="M113" s="10"/>
      <c r="N113" s="10"/>
      <c r="O113" s="10"/>
      <c r="P113" s="10"/>
      <c r="Q113" s="10"/>
      <c r="R113" s="10"/>
      <c r="S113" s="10"/>
      <c r="T113" s="10"/>
      <c r="U113" s="10"/>
      <c r="V113" s="10"/>
      <c r="W113" s="10"/>
      <c r="X113" s="10"/>
      <c r="Y113" s="10"/>
      <c r="Z113" s="10"/>
      <c r="AA113" s="10"/>
      <c r="AB113" s="10"/>
      <c r="AC113" s="10"/>
      <c r="AD113" s="10"/>
      <c r="AE113" s="10"/>
      <c r="AF113" s="10"/>
    </row>
    <row r="114">
      <c r="A114" s="7"/>
      <c r="B114" s="8">
        <v>14.0</v>
      </c>
      <c r="C114" s="8">
        <v>1.0</v>
      </c>
      <c r="D114" s="8" t="s">
        <v>433</v>
      </c>
      <c r="E114" s="7">
        <v>1.0</v>
      </c>
      <c r="F114" s="7" t="s">
        <v>320</v>
      </c>
      <c r="G114" s="7" t="s">
        <v>312</v>
      </c>
      <c r="H114" s="7" t="s">
        <v>313</v>
      </c>
      <c r="I114" s="7" t="s">
        <v>366</v>
      </c>
      <c r="J114" s="9" t="s">
        <v>434</v>
      </c>
      <c r="K114" s="12"/>
      <c r="L114" s="12"/>
      <c r="M114" s="10"/>
      <c r="N114" s="10"/>
      <c r="O114" s="10"/>
      <c r="P114" s="10"/>
      <c r="Q114" s="10"/>
      <c r="R114" s="10"/>
      <c r="S114" s="10"/>
      <c r="T114" s="10"/>
      <c r="U114" s="10"/>
      <c r="V114" s="10"/>
      <c r="W114" s="10"/>
      <c r="X114" s="10"/>
      <c r="Y114" s="10"/>
      <c r="Z114" s="10"/>
      <c r="AA114" s="10"/>
      <c r="AB114" s="10"/>
      <c r="AC114" s="10"/>
      <c r="AD114" s="10"/>
      <c r="AE114" s="10"/>
      <c r="AF114" s="10"/>
    </row>
    <row r="115">
      <c r="A115" s="7"/>
      <c r="B115" s="8">
        <v>14.0</v>
      </c>
      <c r="C115" s="8">
        <v>2.0</v>
      </c>
      <c r="D115" s="8" t="s">
        <v>435</v>
      </c>
      <c r="E115" s="7">
        <v>0.0</v>
      </c>
      <c r="F115" s="7"/>
      <c r="G115" s="7" t="s">
        <v>312</v>
      </c>
      <c r="H115" s="7" t="s">
        <v>313</v>
      </c>
      <c r="I115" s="10"/>
      <c r="J115" s="9"/>
      <c r="K115" s="12"/>
      <c r="L115" s="12"/>
      <c r="M115" s="10"/>
      <c r="N115" s="10"/>
      <c r="O115" s="10"/>
      <c r="P115" s="10"/>
      <c r="Q115" s="10"/>
      <c r="R115" s="10"/>
      <c r="S115" s="10"/>
      <c r="T115" s="10"/>
      <c r="U115" s="10"/>
      <c r="V115" s="10"/>
      <c r="W115" s="10"/>
      <c r="X115" s="10"/>
      <c r="Y115" s="10"/>
      <c r="Z115" s="10"/>
      <c r="AA115" s="10"/>
      <c r="AB115" s="10"/>
      <c r="AC115" s="10"/>
      <c r="AD115" s="10"/>
      <c r="AE115" s="10"/>
      <c r="AF115" s="10"/>
    </row>
    <row r="116">
      <c r="A116" s="7"/>
      <c r="B116" s="8">
        <v>14.0</v>
      </c>
      <c r="C116" s="8">
        <v>3.0</v>
      </c>
      <c r="D116" s="8" t="s">
        <v>436</v>
      </c>
      <c r="E116" s="7">
        <v>0.0</v>
      </c>
      <c r="F116" s="7"/>
      <c r="G116" s="7" t="s">
        <v>312</v>
      </c>
      <c r="H116" s="7" t="s">
        <v>313</v>
      </c>
      <c r="I116" s="10"/>
      <c r="J116" s="11"/>
      <c r="K116" s="12"/>
      <c r="L116" s="12"/>
      <c r="M116" s="10"/>
      <c r="N116" s="10"/>
      <c r="O116" s="10"/>
      <c r="P116" s="10"/>
      <c r="Q116" s="10"/>
      <c r="R116" s="10"/>
      <c r="S116" s="10"/>
      <c r="T116" s="10"/>
      <c r="U116" s="10"/>
      <c r="V116" s="10"/>
      <c r="W116" s="10"/>
      <c r="X116" s="10"/>
      <c r="Y116" s="10"/>
      <c r="Z116" s="10"/>
      <c r="AA116" s="10"/>
      <c r="AB116" s="10"/>
      <c r="AC116" s="10"/>
      <c r="AD116" s="10"/>
      <c r="AE116" s="10"/>
      <c r="AF116" s="10"/>
    </row>
    <row r="117">
      <c r="A117" s="10"/>
      <c r="B117" s="12"/>
      <c r="C117" s="12"/>
      <c r="D117" s="12"/>
      <c r="E117" s="10"/>
      <c r="F117" s="10"/>
      <c r="G117" s="10"/>
      <c r="H117" s="10"/>
      <c r="I117" s="10"/>
      <c r="J117" s="11"/>
      <c r="K117" s="12"/>
      <c r="L117" s="12"/>
      <c r="M117" s="10"/>
      <c r="N117" s="10"/>
      <c r="O117" s="10"/>
      <c r="P117" s="10"/>
      <c r="Q117" s="10"/>
      <c r="R117" s="10"/>
      <c r="S117" s="10"/>
      <c r="T117" s="10"/>
      <c r="U117" s="10"/>
      <c r="V117" s="10"/>
      <c r="W117" s="10"/>
      <c r="X117" s="10"/>
      <c r="Y117" s="10"/>
      <c r="Z117" s="10"/>
      <c r="AA117" s="10"/>
      <c r="AB117" s="10"/>
      <c r="AC117" s="10"/>
      <c r="AD117" s="10"/>
      <c r="AE117" s="10"/>
      <c r="AF117" s="10"/>
    </row>
    <row r="118">
      <c r="A118" s="7"/>
      <c r="B118" s="8">
        <v>15.0</v>
      </c>
      <c r="C118" s="8">
        <v>1.0</v>
      </c>
      <c r="D118" s="8" t="s">
        <v>437</v>
      </c>
      <c r="E118" s="7">
        <v>1.0</v>
      </c>
      <c r="F118" s="7"/>
      <c r="G118" s="7" t="s">
        <v>312</v>
      </c>
      <c r="H118" s="7" t="s">
        <v>313</v>
      </c>
      <c r="I118" s="10"/>
      <c r="J118" s="9" t="s">
        <v>438</v>
      </c>
      <c r="K118" s="12"/>
      <c r="L118" s="12"/>
      <c r="M118" s="10"/>
      <c r="N118" s="10"/>
      <c r="O118" s="10"/>
      <c r="P118" s="10"/>
      <c r="Q118" s="10"/>
      <c r="R118" s="10"/>
      <c r="S118" s="10"/>
      <c r="T118" s="10"/>
      <c r="U118" s="10"/>
      <c r="V118" s="10"/>
      <c r="W118" s="10"/>
      <c r="X118" s="10"/>
      <c r="Y118" s="10"/>
      <c r="Z118" s="10"/>
      <c r="AA118" s="10"/>
      <c r="AB118" s="10"/>
      <c r="AC118" s="10"/>
      <c r="AD118" s="10"/>
      <c r="AE118" s="10"/>
      <c r="AF118" s="10"/>
    </row>
    <row r="119">
      <c r="A119" s="7"/>
      <c r="B119" s="8">
        <v>15.0</v>
      </c>
      <c r="C119" s="8">
        <v>2.0</v>
      </c>
      <c r="D119" s="8" t="s">
        <v>439</v>
      </c>
      <c r="E119" s="7">
        <v>1.0</v>
      </c>
      <c r="F119" s="7"/>
      <c r="G119" s="7" t="s">
        <v>312</v>
      </c>
      <c r="H119" s="7" t="s">
        <v>313</v>
      </c>
      <c r="I119" s="10"/>
      <c r="J119" s="9" t="s">
        <v>440</v>
      </c>
      <c r="K119" s="12"/>
      <c r="L119" s="12"/>
      <c r="M119" s="10"/>
      <c r="N119" s="10"/>
      <c r="O119" s="10"/>
      <c r="P119" s="10"/>
      <c r="Q119" s="10"/>
      <c r="R119" s="10"/>
      <c r="S119" s="10"/>
      <c r="T119" s="10"/>
      <c r="U119" s="10"/>
      <c r="V119" s="10"/>
      <c r="W119" s="10"/>
      <c r="X119" s="10"/>
      <c r="Y119" s="10"/>
      <c r="Z119" s="10"/>
      <c r="AA119" s="10"/>
      <c r="AB119" s="10"/>
      <c r="AC119" s="10"/>
      <c r="AD119" s="10"/>
      <c r="AE119" s="10"/>
      <c r="AF119" s="10"/>
    </row>
    <row r="120">
      <c r="A120" s="7"/>
      <c r="B120" s="8">
        <v>15.0</v>
      </c>
      <c r="C120" s="8">
        <v>3.0</v>
      </c>
      <c r="D120" s="8" t="s">
        <v>441</v>
      </c>
      <c r="E120" s="7">
        <v>0.0</v>
      </c>
      <c r="F120" s="7"/>
      <c r="G120" s="7" t="s">
        <v>312</v>
      </c>
      <c r="H120" s="7" t="s">
        <v>313</v>
      </c>
      <c r="I120" s="10"/>
      <c r="J120" s="9"/>
      <c r="K120" s="12"/>
      <c r="L120" s="12"/>
      <c r="M120" s="10"/>
      <c r="N120" s="10"/>
      <c r="O120" s="10"/>
      <c r="P120" s="10"/>
      <c r="Q120" s="10"/>
      <c r="R120" s="10"/>
      <c r="S120" s="10"/>
      <c r="T120" s="10"/>
      <c r="U120" s="10"/>
      <c r="V120" s="10"/>
      <c r="W120" s="10"/>
      <c r="X120" s="10"/>
      <c r="Y120" s="10"/>
      <c r="Z120" s="10"/>
      <c r="AA120" s="10"/>
      <c r="AB120" s="10"/>
      <c r="AC120" s="10"/>
      <c r="AD120" s="10"/>
      <c r="AE120" s="10"/>
      <c r="AF120" s="10"/>
    </row>
    <row r="121">
      <c r="A121" s="7"/>
      <c r="B121" s="8">
        <v>15.0</v>
      </c>
      <c r="C121" s="8">
        <v>4.0</v>
      </c>
      <c r="D121" s="8" t="s">
        <v>442</v>
      </c>
      <c r="E121" s="7">
        <v>0.0</v>
      </c>
      <c r="F121" s="7"/>
      <c r="G121" s="7" t="s">
        <v>312</v>
      </c>
      <c r="H121" s="7" t="s">
        <v>313</v>
      </c>
      <c r="I121" s="10"/>
      <c r="J121" s="11"/>
      <c r="K121" s="12"/>
      <c r="L121" s="12"/>
      <c r="M121" s="10"/>
      <c r="N121" s="10"/>
      <c r="O121" s="10"/>
      <c r="P121" s="10"/>
      <c r="Q121" s="10"/>
      <c r="R121" s="10"/>
      <c r="S121" s="10"/>
      <c r="T121" s="10"/>
      <c r="U121" s="10"/>
      <c r="V121" s="10"/>
      <c r="W121" s="10"/>
      <c r="X121" s="10"/>
      <c r="Y121" s="10"/>
      <c r="Z121" s="10"/>
      <c r="AA121" s="10"/>
      <c r="AB121" s="10"/>
      <c r="AC121" s="10"/>
      <c r="AD121" s="10"/>
      <c r="AE121" s="10"/>
      <c r="AF121" s="10"/>
    </row>
    <row r="122">
      <c r="A122" s="7"/>
      <c r="B122" s="8">
        <v>15.0</v>
      </c>
      <c r="C122" s="8">
        <v>5.0</v>
      </c>
      <c r="D122" s="8" t="s">
        <v>443</v>
      </c>
      <c r="E122" s="7">
        <v>0.0</v>
      </c>
      <c r="F122" s="7"/>
      <c r="G122" s="7" t="s">
        <v>312</v>
      </c>
      <c r="H122" s="7" t="s">
        <v>313</v>
      </c>
      <c r="I122" s="10"/>
      <c r="J122" s="11"/>
      <c r="K122" s="12"/>
      <c r="L122" s="12"/>
      <c r="M122" s="10"/>
      <c r="N122" s="10"/>
      <c r="O122" s="10"/>
      <c r="P122" s="10"/>
      <c r="Q122" s="10"/>
      <c r="R122" s="10"/>
      <c r="S122" s="10"/>
      <c r="T122" s="10"/>
      <c r="U122" s="10"/>
      <c r="V122" s="10"/>
      <c r="W122" s="10"/>
      <c r="X122" s="10"/>
      <c r="Y122" s="10"/>
      <c r="Z122" s="10"/>
      <c r="AA122" s="10"/>
      <c r="AB122" s="10"/>
      <c r="AC122" s="10"/>
      <c r="AD122" s="10"/>
      <c r="AE122" s="10"/>
      <c r="AF122" s="10"/>
    </row>
    <row r="123">
      <c r="A123" s="7"/>
      <c r="B123" s="8">
        <v>15.0</v>
      </c>
      <c r="C123" s="8">
        <v>6.0</v>
      </c>
      <c r="D123" s="8" t="s">
        <v>444</v>
      </c>
      <c r="E123" s="7">
        <v>0.0</v>
      </c>
      <c r="F123" s="7"/>
      <c r="G123" s="7" t="s">
        <v>312</v>
      </c>
      <c r="H123" s="7" t="s">
        <v>313</v>
      </c>
      <c r="I123" s="10"/>
      <c r="J123" s="11"/>
      <c r="K123" s="12"/>
      <c r="L123" s="12"/>
      <c r="M123" s="10"/>
      <c r="N123" s="10"/>
      <c r="O123" s="10"/>
      <c r="P123" s="10"/>
      <c r="Q123" s="10"/>
      <c r="R123" s="10"/>
      <c r="S123" s="10"/>
      <c r="T123" s="10"/>
      <c r="U123" s="10"/>
      <c r="V123" s="10"/>
      <c r="W123" s="10"/>
      <c r="X123" s="10"/>
      <c r="Y123" s="10"/>
      <c r="Z123" s="10"/>
      <c r="AA123" s="10"/>
      <c r="AB123" s="10"/>
      <c r="AC123" s="10"/>
      <c r="AD123" s="10"/>
      <c r="AE123" s="10"/>
      <c r="AF123" s="10"/>
    </row>
    <row r="124">
      <c r="A124" s="7"/>
      <c r="B124" s="8">
        <v>15.0</v>
      </c>
      <c r="C124" s="8">
        <v>7.0</v>
      </c>
      <c r="D124" s="8" t="s">
        <v>445</v>
      </c>
      <c r="E124" s="7">
        <v>0.0</v>
      </c>
      <c r="F124" s="7"/>
      <c r="G124" s="7" t="s">
        <v>312</v>
      </c>
      <c r="H124" s="7" t="s">
        <v>313</v>
      </c>
      <c r="I124" s="10"/>
      <c r="J124" s="11"/>
      <c r="K124" s="12"/>
      <c r="L124" s="12"/>
      <c r="M124" s="10"/>
      <c r="N124" s="10"/>
      <c r="O124" s="10"/>
      <c r="P124" s="10"/>
      <c r="Q124" s="10"/>
      <c r="R124" s="10"/>
      <c r="S124" s="10"/>
      <c r="T124" s="10"/>
      <c r="U124" s="10"/>
      <c r="V124" s="10"/>
      <c r="W124" s="10"/>
      <c r="X124" s="10"/>
      <c r="Y124" s="10"/>
      <c r="Z124" s="10"/>
      <c r="AA124" s="10"/>
      <c r="AB124" s="10"/>
      <c r="AC124" s="10"/>
      <c r="AD124" s="10"/>
      <c r="AE124" s="10"/>
      <c r="AF124" s="10"/>
    </row>
    <row r="125">
      <c r="A125" s="7"/>
      <c r="B125" s="8">
        <v>15.0</v>
      </c>
      <c r="C125" s="8">
        <v>8.0</v>
      </c>
      <c r="D125" s="8" t="s">
        <v>446</v>
      </c>
      <c r="E125" s="7">
        <v>0.0</v>
      </c>
      <c r="F125" s="7"/>
      <c r="G125" s="7" t="s">
        <v>312</v>
      </c>
      <c r="H125" s="7" t="s">
        <v>313</v>
      </c>
      <c r="I125" s="10"/>
      <c r="J125" s="11"/>
      <c r="K125" s="12"/>
      <c r="L125" s="12"/>
      <c r="M125" s="10"/>
      <c r="N125" s="10"/>
      <c r="O125" s="10"/>
      <c r="P125" s="10"/>
      <c r="Q125" s="10"/>
      <c r="R125" s="10"/>
      <c r="S125" s="10"/>
      <c r="T125" s="10"/>
      <c r="U125" s="10"/>
      <c r="V125" s="10"/>
      <c r="W125" s="10"/>
      <c r="X125" s="10"/>
      <c r="Y125" s="10"/>
      <c r="Z125" s="10"/>
      <c r="AA125" s="10"/>
      <c r="AB125" s="10"/>
      <c r="AC125" s="10"/>
      <c r="AD125" s="10"/>
      <c r="AE125" s="10"/>
      <c r="AF125" s="10"/>
    </row>
    <row r="126">
      <c r="A126" s="7"/>
      <c r="B126" s="8">
        <v>15.0</v>
      </c>
      <c r="C126" s="8">
        <v>9.0</v>
      </c>
      <c r="D126" s="8" t="s">
        <v>447</v>
      </c>
      <c r="E126" s="7">
        <v>0.0</v>
      </c>
      <c r="F126" s="7"/>
      <c r="G126" s="7" t="s">
        <v>312</v>
      </c>
      <c r="H126" s="7" t="s">
        <v>313</v>
      </c>
      <c r="I126" s="10"/>
      <c r="J126" s="11"/>
      <c r="K126" s="12"/>
      <c r="L126" s="12"/>
      <c r="M126" s="10"/>
      <c r="N126" s="10"/>
      <c r="O126" s="10"/>
      <c r="P126" s="10"/>
      <c r="Q126" s="10"/>
      <c r="R126" s="10"/>
      <c r="S126" s="10"/>
      <c r="T126" s="10"/>
      <c r="U126" s="10"/>
      <c r="V126" s="10"/>
      <c r="W126" s="10"/>
      <c r="X126" s="10"/>
      <c r="Y126" s="10"/>
      <c r="Z126" s="10"/>
      <c r="AA126" s="10"/>
      <c r="AB126" s="10"/>
      <c r="AC126" s="10"/>
      <c r="AD126" s="10"/>
      <c r="AE126" s="10"/>
      <c r="AF126" s="10"/>
    </row>
    <row r="127">
      <c r="A127" s="7"/>
      <c r="B127" s="8">
        <v>15.0</v>
      </c>
      <c r="C127" s="8">
        <v>10.0</v>
      </c>
      <c r="D127" s="8" t="s">
        <v>448</v>
      </c>
      <c r="E127" s="7">
        <v>0.0</v>
      </c>
      <c r="F127" s="7"/>
      <c r="G127" s="7" t="s">
        <v>312</v>
      </c>
      <c r="H127" s="7" t="s">
        <v>313</v>
      </c>
      <c r="I127" s="10"/>
      <c r="J127" s="11"/>
      <c r="K127" s="12"/>
      <c r="L127" s="12"/>
      <c r="M127" s="10"/>
      <c r="N127" s="10"/>
      <c r="O127" s="10"/>
      <c r="P127" s="10"/>
      <c r="Q127" s="10"/>
      <c r="R127" s="10"/>
      <c r="S127" s="10"/>
      <c r="T127" s="10"/>
      <c r="U127" s="10"/>
      <c r="V127" s="10"/>
      <c r="W127" s="10"/>
      <c r="X127" s="10"/>
      <c r="Y127" s="10"/>
      <c r="Z127" s="10"/>
      <c r="AA127" s="10"/>
      <c r="AB127" s="10"/>
      <c r="AC127" s="10"/>
      <c r="AD127" s="10"/>
      <c r="AE127" s="10"/>
      <c r="AF127" s="10"/>
    </row>
    <row r="128">
      <c r="A128" s="10"/>
      <c r="B128" s="12"/>
      <c r="C128" s="12"/>
      <c r="D128" s="12"/>
      <c r="E128" s="10"/>
      <c r="F128" s="10"/>
      <c r="G128" s="10"/>
      <c r="H128" s="10"/>
      <c r="I128" s="10"/>
      <c r="J128" s="11"/>
      <c r="K128" s="12"/>
      <c r="L128" s="12"/>
      <c r="M128" s="10"/>
      <c r="N128" s="10"/>
      <c r="O128" s="10"/>
      <c r="P128" s="10"/>
      <c r="Q128" s="10"/>
      <c r="R128" s="10"/>
      <c r="S128" s="10"/>
      <c r="T128" s="10"/>
      <c r="U128" s="10"/>
      <c r="V128" s="10"/>
      <c r="W128" s="10"/>
      <c r="X128" s="10"/>
      <c r="Y128" s="10"/>
      <c r="Z128" s="10"/>
      <c r="AA128" s="10"/>
      <c r="AB128" s="10"/>
      <c r="AC128" s="10"/>
      <c r="AD128" s="10"/>
      <c r="AE128" s="10"/>
      <c r="AF128" s="10"/>
    </row>
    <row r="129">
      <c r="A129" s="7"/>
      <c r="B129" s="8">
        <v>16.0</v>
      </c>
      <c r="C129" s="8">
        <v>1.0</v>
      </c>
      <c r="D129" s="8" t="s">
        <v>449</v>
      </c>
      <c r="E129" s="7">
        <v>0.0</v>
      </c>
      <c r="F129" s="7"/>
      <c r="G129" s="7" t="s">
        <v>312</v>
      </c>
      <c r="H129" s="7" t="s">
        <v>313</v>
      </c>
      <c r="I129" s="10"/>
      <c r="J129" s="11"/>
      <c r="K129" s="12"/>
      <c r="L129" s="12"/>
      <c r="M129" s="10"/>
      <c r="N129" s="10"/>
      <c r="O129" s="10"/>
      <c r="P129" s="10"/>
      <c r="Q129" s="10"/>
      <c r="R129" s="10"/>
      <c r="S129" s="10"/>
      <c r="T129" s="10"/>
      <c r="U129" s="10"/>
      <c r="V129" s="10"/>
      <c r="W129" s="10"/>
      <c r="X129" s="10"/>
      <c r="Y129" s="10"/>
      <c r="Z129" s="10"/>
      <c r="AA129" s="10"/>
      <c r="AB129" s="10"/>
      <c r="AC129" s="10"/>
      <c r="AD129" s="10"/>
      <c r="AE129" s="10"/>
      <c r="AF129" s="10"/>
    </row>
    <row r="130">
      <c r="A130" s="7"/>
      <c r="B130" s="8">
        <v>16.0</v>
      </c>
      <c r="C130" s="8">
        <v>2.0</v>
      </c>
      <c r="D130" s="8" t="s">
        <v>450</v>
      </c>
      <c r="E130" s="7">
        <v>0.0</v>
      </c>
      <c r="F130" s="7"/>
      <c r="G130" s="7" t="s">
        <v>312</v>
      </c>
      <c r="H130" s="7" t="s">
        <v>313</v>
      </c>
      <c r="I130" s="10"/>
      <c r="J130" s="11"/>
      <c r="K130" s="12"/>
      <c r="L130" s="12"/>
      <c r="M130" s="10"/>
      <c r="N130" s="10"/>
      <c r="O130" s="10"/>
      <c r="P130" s="10"/>
      <c r="Q130" s="10"/>
      <c r="R130" s="10"/>
      <c r="S130" s="10"/>
      <c r="T130" s="10"/>
      <c r="U130" s="10"/>
      <c r="V130" s="10"/>
      <c r="W130" s="10"/>
      <c r="X130" s="10"/>
      <c r="Y130" s="10"/>
      <c r="Z130" s="10"/>
      <c r="AA130" s="10"/>
      <c r="AB130" s="10"/>
      <c r="AC130" s="10"/>
      <c r="AD130" s="10"/>
      <c r="AE130" s="10"/>
      <c r="AF130" s="10"/>
    </row>
    <row r="131">
      <c r="A131" s="7"/>
      <c r="B131" s="8">
        <v>16.0</v>
      </c>
      <c r="C131" s="8">
        <v>3.0</v>
      </c>
      <c r="D131" s="8" t="s">
        <v>451</v>
      </c>
      <c r="E131" s="7">
        <v>0.0</v>
      </c>
      <c r="F131" s="7"/>
      <c r="G131" s="7" t="s">
        <v>312</v>
      </c>
      <c r="H131" s="7" t="s">
        <v>313</v>
      </c>
      <c r="I131" s="10"/>
      <c r="J131" s="11"/>
      <c r="K131" s="12"/>
      <c r="L131" s="12"/>
      <c r="M131" s="10"/>
      <c r="N131" s="10"/>
      <c r="O131" s="10"/>
      <c r="P131" s="10"/>
      <c r="Q131" s="10"/>
      <c r="R131" s="10"/>
      <c r="S131" s="10"/>
      <c r="T131" s="10"/>
      <c r="U131" s="10"/>
      <c r="V131" s="10"/>
      <c r="W131" s="10"/>
      <c r="X131" s="10"/>
      <c r="Y131" s="10"/>
      <c r="Z131" s="10"/>
      <c r="AA131" s="10"/>
      <c r="AB131" s="10"/>
      <c r="AC131" s="10"/>
      <c r="AD131" s="10"/>
      <c r="AE131" s="10"/>
      <c r="AF131" s="10"/>
    </row>
    <row r="132">
      <c r="A132" s="7"/>
      <c r="B132" s="8">
        <v>16.0</v>
      </c>
      <c r="C132" s="8">
        <v>4.0</v>
      </c>
      <c r="D132" s="8" t="s">
        <v>452</v>
      </c>
      <c r="E132" s="7">
        <v>0.0</v>
      </c>
      <c r="F132" s="7"/>
      <c r="G132" s="7" t="s">
        <v>312</v>
      </c>
      <c r="H132" s="7" t="s">
        <v>313</v>
      </c>
      <c r="I132" s="10"/>
      <c r="J132" s="11"/>
      <c r="K132" s="12"/>
      <c r="L132" s="12"/>
      <c r="M132" s="10"/>
      <c r="N132" s="10"/>
      <c r="O132" s="10"/>
      <c r="P132" s="10"/>
      <c r="Q132" s="10"/>
      <c r="R132" s="10"/>
      <c r="S132" s="10"/>
      <c r="T132" s="10"/>
      <c r="U132" s="10"/>
      <c r="V132" s="10"/>
      <c r="W132" s="10"/>
      <c r="X132" s="10"/>
      <c r="Y132" s="10"/>
      <c r="Z132" s="10"/>
      <c r="AA132" s="10"/>
      <c r="AB132" s="10"/>
      <c r="AC132" s="10"/>
      <c r="AD132" s="10"/>
      <c r="AE132" s="10"/>
      <c r="AF132" s="10"/>
    </row>
    <row r="133">
      <c r="A133" s="7"/>
      <c r="B133" s="8">
        <v>16.0</v>
      </c>
      <c r="C133" s="8">
        <v>5.0</v>
      </c>
      <c r="D133" s="8" t="s">
        <v>453</v>
      </c>
      <c r="E133" s="7">
        <v>0.0</v>
      </c>
      <c r="F133" s="7" t="s">
        <v>320</v>
      </c>
      <c r="G133" s="7" t="s">
        <v>312</v>
      </c>
      <c r="H133" s="7" t="s">
        <v>313</v>
      </c>
      <c r="I133" s="7" t="s">
        <v>366</v>
      </c>
      <c r="J133" s="9" t="s">
        <v>454</v>
      </c>
      <c r="K133" s="8" t="s">
        <v>455</v>
      </c>
      <c r="L133" s="12"/>
      <c r="M133" s="10"/>
      <c r="N133" s="10"/>
      <c r="O133" s="10"/>
      <c r="P133" s="10"/>
      <c r="Q133" s="10"/>
      <c r="R133" s="10"/>
      <c r="S133" s="10"/>
      <c r="T133" s="10"/>
      <c r="U133" s="10"/>
      <c r="V133" s="10"/>
      <c r="W133" s="10"/>
      <c r="X133" s="10"/>
      <c r="Y133" s="10"/>
      <c r="Z133" s="10"/>
      <c r="AA133" s="10"/>
      <c r="AB133" s="10"/>
      <c r="AC133" s="10"/>
      <c r="AD133" s="10"/>
      <c r="AE133" s="10"/>
      <c r="AF133" s="10"/>
    </row>
    <row r="134">
      <c r="A134" s="7"/>
      <c r="B134" s="8">
        <v>16.0</v>
      </c>
      <c r="C134" s="8">
        <v>6.0</v>
      </c>
      <c r="D134" s="8" t="s">
        <v>456</v>
      </c>
      <c r="E134" s="7">
        <v>0.0</v>
      </c>
      <c r="F134" s="7" t="s">
        <v>320</v>
      </c>
      <c r="G134" s="7" t="s">
        <v>312</v>
      </c>
      <c r="H134" s="7" t="s">
        <v>313</v>
      </c>
      <c r="I134" s="7" t="s">
        <v>366</v>
      </c>
      <c r="J134" s="9" t="s">
        <v>457</v>
      </c>
      <c r="K134" s="8" t="s">
        <v>455</v>
      </c>
      <c r="L134" s="12"/>
      <c r="M134" s="10"/>
      <c r="N134" s="10"/>
      <c r="O134" s="10"/>
      <c r="P134" s="10"/>
      <c r="Q134" s="10"/>
      <c r="R134" s="10"/>
      <c r="S134" s="10"/>
      <c r="T134" s="10"/>
      <c r="U134" s="10"/>
      <c r="V134" s="10"/>
      <c r="W134" s="10"/>
      <c r="X134" s="10"/>
      <c r="Y134" s="10"/>
      <c r="Z134" s="10"/>
      <c r="AA134" s="10"/>
      <c r="AB134" s="10"/>
      <c r="AC134" s="10"/>
      <c r="AD134" s="10"/>
      <c r="AE134" s="10"/>
      <c r="AF134" s="10"/>
    </row>
    <row r="135">
      <c r="A135" s="7"/>
      <c r="B135" s="8">
        <v>16.0</v>
      </c>
      <c r="C135" s="8">
        <v>7.0</v>
      </c>
      <c r="D135" s="8" t="s">
        <v>458</v>
      </c>
      <c r="E135" s="7">
        <v>0.0</v>
      </c>
      <c r="F135" s="7" t="s">
        <v>320</v>
      </c>
      <c r="G135" s="7" t="s">
        <v>312</v>
      </c>
      <c r="H135" s="7" t="s">
        <v>313</v>
      </c>
      <c r="I135" s="7" t="s">
        <v>366</v>
      </c>
      <c r="J135" s="9" t="s">
        <v>459</v>
      </c>
      <c r="K135" s="8" t="s">
        <v>455</v>
      </c>
      <c r="L135" s="12"/>
      <c r="M135" s="10"/>
      <c r="N135" s="10"/>
      <c r="O135" s="10"/>
      <c r="P135" s="10"/>
      <c r="Q135" s="10"/>
      <c r="R135" s="10"/>
      <c r="S135" s="10"/>
      <c r="T135" s="10"/>
      <c r="U135" s="10"/>
      <c r="V135" s="10"/>
      <c r="W135" s="10"/>
      <c r="X135" s="10"/>
      <c r="Y135" s="10"/>
      <c r="Z135" s="10"/>
      <c r="AA135" s="10"/>
      <c r="AB135" s="10"/>
      <c r="AC135" s="10"/>
      <c r="AD135" s="10"/>
      <c r="AE135" s="10"/>
      <c r="AF135" s="10"/>
    </row>
    <row r="136">
      <c r="A136" s="7"/>
      <c r="B136" s="8">
        <v>16.0</v>
      </c>
      <c r="C136" s="8">
        <v>8.0</v>
      </c>
      <c r="D136" s="8" t="s">
        <v>460</v>
      </c>
      <c r="E136" s="7">
        <v>1.0</v>
      </c>
      <c r="F136" s="7" t="s">
        <v>320</v>
      </c>
      <c r="G136" s="7" t="s">
        <v>312</v>
      </c>
      <c r="H136" s="7" t="s">
        <v>313</v>
      </c>
      <c r="I136" s="7" t="s">
        <v>366</v>
      </c>
      <c r="J136" s="9" t="s">
        <v>461</v>
      </c>
      <c r="K136" s="12"/>
      <c r="L136" s="12"/>
      <c r="M136" s="10"/>
      <c r="N136" s="10"/>
      <c r="O136" s="10"/>
      <c r="P136" s="10"/>
      <c r="Q136" s="10"/>
      <c r="R136" s="10"/>
      <c r="S136" s="10"/>
      <c r="T136" s="10"/>
      <c r="U136" s="10"/>
      <c r="V136" s="10"/>
      <c r="W136" s="10"/>
      <c r="X136" s="10"/>
      <c r="Y136" s="10"/>
      <c r="Z136" s="10"/>
      <c r="AA136" s="10"/>
      <c r="AB136" s="10"/>
      <c r="AC136" s="10"/>
      <c r="AD136" s="10"/>
      <c r="AE136" s="10"/>
      <c r="AF136" s="10"/>
    </row>
    <row r="137">
      <c r="A137" s="7"/>
      <c r="B137" s="8">
        <v>16.0</v>
      </c>
      <c r="C137" s="8">
        <v>9.0</v>
      </c>
      <c r="D137" s="8" t="s">
        <v>462</v>
      </c>
      <c r="E137" s="7">
        <v>1.0</v>
      </c>
      <c r="F137" s="7" t="s">
        <v>320</v>
      </c>
      <c r="G137" s="7" t="s">
        <v>312</v>
      </c>
      <c r="H137" s="7" t="s">
        <v>313</v>
      </c>
      <c r="I137" s="7" t="s">
        <v>366</v>
      </c>
      <c r="J137" s="9" t="s">
        <v>463</v>
      </c>
      <c r="K137" s="12"/>
      <c r="L137" s="12"/>
      <c r="M137" s="10"/>
      <c r="N137" s="10"/>
      <c r="O137" s="10"/>
      <c r="P137" s="10"/>
      <c r="Q137" s="10"/>
      <c r="R137" s="10"/>
      <c r="S137" s="10"/>
      <c r="T137" s="10"/>
      <c r="U137" s="10"/>
      <c r="V137" s="10"/>
      <c r="W137" s="10"/>
      <c r="X137" s="10"/>
      <c r="Y137" s="10"/>
      <c r="Z137" s="10"/>
      <c r="AA137" s="10"/>
      <c r="AB137" s="10"/>
      <c r="AC137" s="10"/>
      <c r="AD137" s="10"/>
      <c r="AE137" s="10"/>
      <c r="AF137" s="10"/>
    </row>
    <row r="138">
      <c r="A138" s="7"/>
      <c r="B138" s="8">
        <v>16.0</v>
      </c>
      <c r="C138" s="8">
        <v>10.0</v>
      </c>
      <c r="D138" s="8" t="s">
        <v>464</v>
      </c>
      <c r="E138" s="7">
        <v>0.0</v>
      </c>
      <c r="F138" s="7"/>
      <c r="G138" s="7" t="s">
        <v>312</v>
      </c>
      <c r="H138" s="7" t="s">
        <v>313</v>
      </c>
      <c r="I138" s="10"/>
      <c r="J138" s="11"/>
      <c r="K138" s="12"/>
      <c r="L138" s="12"/>
      <c r="M138" s="10"/>
      <c r="N138" s="10"/>
      <c r="O138" s="10"/>
      <c r="P138" s="10"/>
      <c r="Q138" s="10"/>
      <c r="R138" s="10"/>
      <c r="S138" s="10"/>
      <c r="T138" s="10"/>
      <c r="U138" s="10"/>
      <c r="V138" s="10"/>
      <c r="W138" s="10"/>
      <c r="X138" s="10"/>
      <c r="Y138" s="10"/>
      <c r="Z138" s="10"/>
      <c r="AA138" s="10"/>
      <c r="AB138" s="10"/>
      <c r="AC138" s="10"/>
      <c r="AD138" s="10"/>
      <c r="AE138" s="10"/>
      <c r="AF138" s="10"/>
    </row>
    <row r="139">
      <c r="A139" s="7"/>
      <c r="B139" s="8">
        <v>16.0</v>
      </c>
      <c r="C139" s="8">
        <v>11.0</v>
      </c>
      <c r="D139" s="8" t="s">
        <v>465</v>
      </c>
      <c r="E139" s="7">
        <v>0.0</v>
      </c>
      <c r="F139" s="7"/>
      <c r="G139" s="7" t="s">
        <v>312</v>
      </c>
      <c r="H139" s="7" t="s">
        <v>313</v>
      </c>
      <c r="I139" s="10"/>
      <c r="J139" s="11"/>
      <c r="K139" s="12"/>
      <c r="L139" s="12"/>
      <c r="M139" s="10"/>
      <c r="N139" s="10"/>
      <c r="O139" s="10"/>
      <c r="P139" s="10"/>
      <c r="Q139" s="10"/>
      <c r="R139" s="10"/>
      <c r="S139" s="10"/>
      <c r="T139" s="10"/>
      <c r="U139" s="10"/>
      <c r="V139" s="10"/>
      <c r="W139" s="10"/>
      <c r="X139" s="10"/>
      <c r="Y139" s="10"/>
      <c r="Z139" s="10"/>
      <c r="AA139" s="10"/>
      <c r="AB139" s="10"/>
      <c r="AC139" s="10"/>
      <c r="AD139" s="10"/>
      <c r="AE139" s="10"/>
      <c r="AF139" s="10"/>
    </row>
    <row r="140">
      <c r="A140" s="7"/>
      <c r="B140" s="8">
        <v>16.0</v>
      </c>
      <c r="C140" s="8">
        <v>12.0</v>
      </c>
      <c r="D140" s="8" t="s">
        <v>466</v>
      </c>
      <c r="E140" s="7">
        <v>0.0</v>
      </c>
      <c r="F140" s="7"/>
      <c r="G140" s="7" t="s">
        <v>312</v>
      </c>
      <c r="H140" s="7" t="s">
        <v>313</v>
      </c>
      <c r="I140" s="10"/>
      <c r="J140" s="11"/>
      <c r="K140" s="12"/>
      <c r="L140" s="12"/>
      <c r="M140" s="10"/>
      <c r="N140" s="10"/>
      <c r="O140" s="10"/>
      <c r="P140" s="10"/>
      <c r="Q140" s="10"/>
      <c r="R140" s="10"/>
      <c r="S140" s="10"/>
      <c r="T140" s="10"/>
      <c r="U140" s="10"/>
      <c r="V140" s="10"/>
      <c r="W140" s="10"/>
      <c r="X140" s="10"/>
      <c r="Y140" s="10"/>
      <c r="Z140" s="10"/>
      <c r="AA140" s="10"/>
      <c r="AB140" s="10"/>
      <c r="AC140" s="10"/>
      <c r="AD140" s="10"/>
      <c r="AE140" s="10"/>
      <c r="AF140" s="10"/>
    </row>
    <row r="141">
      <c r="A141" s="7"/>
      <c r="B141" s="8">
        <v>16.0</v>
      </c>
      <c r="C141" s="8">
        <v>13.0</v>
      </c>
      <c r="D141" s="8" t="s">
        <v>467</v>
      </c>
      <c r="E141" s="7">
        <v>0.0</v>
      </c>
      <c r="F141" s="7"/>
      <c r="G141" s="7" t="s">
        <v>312</v>
      </c>
      <c r="H141" s="7" t="s">
        <v>313</v>
      </c>
      <c r="I141" s="10"/>
      <c r="J141" s="11"/>
      <c r="K141" s="12"/>
      <c r="L141" s="12"/>
      <c r="M141" s="10"/>
      <c r="N141" s="10"/>
      <c r="O141" s="10"/>
      <c r="P141" s="10"/>
      <c r="Q141" s="10"/>
      <c r="R141" s="10"/>
      <c r="S141" s="10"/>
      <c r="T141" s="10"/>
      <c r="U141" s="10"/>
      <c r="V141" s="10"/>
      <c r="W141" s="10"/>
      <c r="X141" s="10"/>
      <c r="Y141" s="10"/>
      <c r="Z141" s="10"/>
      <c r="AA141" s="10"/>
      <c r="AB141" s="10"/>
      <c r="AC141" s="10"/>
      <c r="AD141" s="10"/>
      <c r="AE141" s="10"/>
      <c r="AF141" s="10"/>
    </row>
    <row r="142">
      <c r="A142" s="7"/>
      <c r="B142" s="8">
        <v>16.0</v>
      </c>
      <c r="C142" s="8">
        <v>14.0</v>
      </c>
      <c r="D142" s="8" t="s">
        <v>468</v>
      </c>
      <c r="E142" s="7">
        <v>0.0</v>
      </c>
      <c r="F142" s="7"/>
      <c r="G142" s="7" t="s">
        <v>312</v>
      </c>
      <c r="H142" s="7" t="s">
        <v>313</v>
      </c>
      <c r="I142" s="10"/>
      <c r="J142" s="11"/>
      <c r="K142" s="12"/>
      <c r="L142" s="12"/>
      <c r="M142" s="10"/>
      <c r="N142" s="10"/>
      <c r="O142" s="10"/>
      <c r="P142" s="10"/>
      <c r="Q142" s="10"/>
      <c r="R142" s="10"/>
      <c r="S142" s="10"/>
      <c r="T142" s="10"/>
      <c r="U142" s="10"/>
      <c r="V142" s="10"/>
      <c r="W142" s="10"/>
      <c r="X142" s="10"/>
      <c r="Y142" s="10"/>
      <c r="Z142" s="10"/>
      <c r="AA142" s="10"/>
      <c r="AB142" s="10"/>
      <c r="AC142" s="10"/>
      <c r="AD142" s="10"/>
      <c r="AE142" s="10"/>
      <c r="AF142" s="10"/>
    </row>
    <row r="143">
      <c r="A143" s="7"/>
      <c r="B143" s="8">
        <v>16.0</v>
      </c>
      <c r="C143" s="8">
        <v>15.0</v>
      </c>
      <c r="D143" s="8" t="s">
        <v>469</v>
      </c>
      <c r="E143" s="7">
        <v>0.0</v>
      </c>
      <c r="F143" s="7" t="s">
        <v>320</v>
      </c>
      <c r="G143" s="7" t="s">
        <v>312</v>
      </c>
      <c r="H143" s="7" t="s">
        <v>313</v>
      </c>
      <c r="I143" s="7" t="s">
        <v>366</v>
      </c>
      <c r="J143" s="9" t="s">
        <v>470</v>
      </c>
      <c r="K143" s="8" t="s">
        <v>455</v>
      </c>
      <c r="L143" s="12"/>
      <c r="M143" s="10"/>
      <c r="N143" s="10"/>
      <c r="O143" s="10"/>
      <c r="P143" s="10"/>
      <c r="Q143" s="10"/>
      <c r="R143" s="10"/>
      <c r="S143" s="10"/>
      <c r="T143" s="10"/>
      <c r="U143" s="10"/>
      <c r="V143" s="10"/>
      <c r="W143" s="10"/>
      <c r="X143" s="10"/>
      <c r="Y143" s="10"/>
      <c r="Z143" s="10"/>
      <c r="AA143" s="10"/>
      <c r="AB143" s="10"/>
      <c r="AC143" s="10"/>
      <c r="AD143" s="10"/>
      <c r="AE143" s="10"/>
      <c r="AF143" s="10"/>
    </row>
    <row r="144">
      <c r="A144" s="7"/>
      <c r="B144" s="8">
        <v>16.0</v>
      </c>
      <c r="C144" s="8">
        <v>16.0</v>
      </c>
      <c r="D144" s="8" t="s">
        <v>471</v>
      </c>
      <c r="E144" s="7">
        <v>0.0</v>
      </c>
      <c r="F144" s="7" t="s">
        <v>320</v>
      </c>
      <c r="G144" s="7" t="s">
        <v>312</v>
      </c>
      <c r="H144" s="7" t="s">
        <v>313</v>
      </c>
      <c r="I144" s="7" t="s">
        <v>366</v>
      </c>
      <c r="J144" s="9" t="s">
        <v>470</v>
      </c>
      <c r="K144" s="8" t="s">
        <v>455</v>
      </c>
      <c r="L144" s="12"/>
      <c r="M144" s="10"/>
      <c r="N144" s="10"/>
      <c r="O144" s="10"/>
      <c r="P144" s="10"/>
      <c r="Q144" s="10"/>
      <c r="R144" s="10"/>
      <c r="S144" s="10"/>
      <c r="T144" s="10"/>
      <c r="U144" s="10"/>
      <c r="V144" s="10"/>
      <c r="W144" s="10"/>
      <c r="X144" s="10"/>
      <c r="Y144" s="10"/>
      <c r="Z144" s="10"/>
      <c r="AA144" s="10"/>
      <c r="AB144" s="10"/>
      <c r="AC144" s="10"/>
      <c r="AD144" s="10"/>
      <c r="AE144" s="10"/>
      <c r="AF144" s="10"/>
    </row>
    <row r="145">
      <c r="A145" s="7"/>
      <c r="B145" s="8">
        <v>16.0</v>
      </c>
      <c r="C145" s="8">
        <v>17.0</v>
      </c>
      <c r="D145" s="8" t="s">
        <v>472</v>
      </c>
      <c r="E145" s="7">
        <v>0.0</v>
      </c>
      <c r="F145" s="7" t="s">
        <v>320</v>
      </c>
      <c r="G145" s="7" t="s">
        <v>312</v>
      </c>
      <c r="H145" s="7" t="s">
        <v>313</v>
      </c>
      <c r="I145" s="7" t="s">
        <v>366</v>
      </c>
      <c r="J145" s="9" t="s">
        <v>470</v>
      </c>
      <c r="K145" s="8" t="s">
        <v>455</v>
      </c>
      <c r="L145" s="12"/>
      <c r="M145" s="10"/>
      <c r="N145" s="10"/>
      <c r="O145" s="10"/>
      <c r="P145" s="10"/>
      <c r="Q145" s="10"/>
      <c r="R145" s="10"/>
      <c r="S145" s="10"/>
      <c r="T145" s="10"/>
      <c r="U145" s="10"/>
      <c r="V145" s="10"/>
      <c r="W145" s="10"/>
      <c r="X145" s="10"/>
      <c r="Y145" s="10"/>
      <c r="Z145" s="10"/>
      <c r="AA145" s="10"/>
      <c r="AB145" s="10"/>
      <c r="AC145" s="10"/>
      <c r="AD145" s="10"/>
      <c r="AE145" s="10"/>
      <c r="AF145" s="10"/>
    </row>
    <row r="146">
      <c r="A146" s="7"/>
      <c r="B146" s="8">
        <v>16.0</v>
      </c>
      <c r="C146" s="8">
        <v>18.0</v>
      </c>
      <c r="D146" s="8" t="s">
        <v>473</v>
      </c>
      <c r="E146" s="7">
        <v>1.0</v>
      </c>
      <c r="F146" s="7" t="s">
        <v>320</v>
      </c>
      <c r="G146" s="7" t="s">
        <v>312</v>
      </c>
      <c r="H146" s="7" t="s">
        <v>313</v>
      </c>
      <c r="I146" s="7" t="s">
        <v>366</v>
      </c>
      <c r="J146" s="9" t="s">
        <v>474</v>
      </c>
      <c r="K146" s="12"/>
      <c r="L146" s="12"/>
      <c r="M146" s="10"/>
      <c r="N146" s="10"/>
      <c r="O146" s="10"/>
      <c r="P146" s="10"/>
      <c r="Q146" s="10"/>
      <c r="R146" s="10"/>
      <c r="S146" s="10"/>
      <c r="T146" s="10"/>
      <c r="U146" s="10"/>
      <c r="V146" s="10"/>
      <c r="W146" s="10"/>
      <c r="X146" s="10"/>
      <c r="Y146" s="10"/>
      <c r="Z146" s="10"/>
      <c r="AA146" s="10"/>
      <c r="AB146" s="10"/>
      <c r="AC146" s="10"/>
      <c r="AD146" s="10"/>
      <c r="AE146" s="10"/>
      <c r="AF146" s="10"/>
    </row>
    <row r="147">
      <c r="A147" s="7"/>
      <c r="B147" s="8">
        <v>16.0</v>
      </c>
      <c r="C147" s="8">
        <v>19.0</v>
      </c>
      <c r="D147" s="8" t="s">
        <v>475</v>
      </c>
      <c r="E147" s="7">
        <v>1.0</v>
      </c>
      <c r="F147" s="7" t="s">
        <v>320</v>
      </c>
      <c r="G147" s="7" t="s">
        <v>312</v>
      </c>
      <c r="H147" s="7" t="s">
        <v>313</v>
      </c>
      <c r="I147" s="7" t="s">
        <v>366</v>
      </c>
      <c r="J147" s="9" t="s">
        <v>476</v>
      </c>
      <c r="K147" s="12"/>
      <c r="L147" s="12"/>
      <c r="M147" s="10"/>
      <c r="N147" s="10"/>
      <c r="O147" s="10"/>
      <c r="P147" s="10"/>
      <c r="Q147" s="10"/>
      <c r="R147" s="10"/>
      <c r="S147" s="10"/>
      <c r="T147" s="10"/>
      <c r="U147" s="10"/>
      <c r="V147" s="10"/>
      <c r="W147" s="10"/>
      <c r="X147" s="10"/>
      <c r="Y147" s="10"/>
      <c r="Z147" s="10"/>
      <c r="AA147" s="10"/>
      <c r="AB147" s="10"/>
      <c r="AC147" s="10"/>
      <c r="AD147" s="10"/>
      <c r="AE147" s="10"/>
      <c r="AF147" s="10"/>
    </row>
    <row r="148">
      <c r="A148" s="7"/>
      <c r="B148" s="8">
        <v>16.0</v>
      </c>
      <c r="C148" s="8">
        <v>20.0</v>
      </c>
      <c r="D148" s="8" t="s">
        <v>477</v>
      </c>
      <c r="E148" s="7">
        <v>0.0</v>
      </c>
      <c r="F148" s="7"/>
      <c r="G148" s="7" t="s">
        <v>312</v>
      </c>
      <c r="H148" s="7" t="s">
        <v>313</v>
      </c>
      <c r="I148" s="10"/>
      <c r="J148" s="11"/>
      <c r="K148" s="12"/>
      <c r="L148" s="12"/>
      <c r="M148" s="10"/>
      <c r="N148" s="10"/>
      <c r="O148" s="10"/>
      <c r="P148" s="10"/>
      <c r="Q148" s="10"/>
      <c r="R148" s="10"/>
      <c r="S148" s="10"/>
      <c r="T148" s="10"/>
      <c r="U148" s="10"/>
      <c r="V148" s="10"/>
      <c r="W148" s="10"/>
      <c r="X148" s="10"/>
      <c r="Y148" s="10"/>
      <c r="Z148" s="10"/>
      <c r="AA148" s="10"/>
      <c r="AB148" s="10"/>
      <c r="AC148" s="10"/>
      <c r="AD148" s="10"/>
      <c r="AE148" s="10"/>
      <c r="AF148" s="10"/>
    </row>
    <row r="149">
      <c r="A149" s="7"/>
      <c r="B149" s="8">
        <v>16.0</v>
      </c>
      <c r="C149" s="8">
        <v>21.0</v>
      </c>
      <c r="D149" s="8" t="s">
        <v>478</v>
      </c>
      <c r="E149" s="7">
        <v>0.0</v>
      </c>
      <c r="F149" s="7"/>
      <c r="G149" s="7" t="s">
        <v>312</v>
      </c>
      <c r="H149" s="7" t="s">
        <v>313</v>
      </c>
      <c r="I149" s="10"/>
      <c r="J149" s="11"/>
      <c r="K149" s="12"/>
      <c r="L149" s="12"/>
      <c r="M149" s="10"/>
      <c r="N149" s="10"/>
      <c r="O149" s="10"/>
      <c r="P149" s="10"/>
      <c r="Q149" s="10"/>
      <c r="R149" s="10"/>
      <c r="S149" s="10"/>
      <c r="T149" s="10"/>
      <c r="U149" s="10"/>
      <c r="V149" s="10"/>
      <c r="W149" s="10"/>
      <c r="X149" s="10"/>
      <c r="Y149" s="10"/>
      <c r="Z149" s="10"/>
      <c r="AA149" s="10"/>
      <c r="AB149" s="10"/>
      <c r="AC149" s="10"/>
      <c r="AD149" s="10"/>
      <c r="AE149" s="10"/>
      <c r="AF149" s="10"/>
    </row>
    <row r="150">
      <c r="A150" s="7"/>
      <c r="B150" s="8">
        <v>16.0</v>
      </c>
      <c r="C150" s="8">
        <v>22.0</v>
      </c>
      <c r="D150" s="8" t="s">
        <v>479</v>
      </c>
      <c r="E150" s="7">
        <v>0.0</v>
      </c>
      <c r="F150" s="7"/>
      <c r="G150" s="7" t="s">
        <v>312</v>
      </c>
      <c r="H150" s="7" t="s">
        <v>313</v>
      </c>
      <c r="I150" s="10"/>
      <c r="J150" s="11"/>
      <c r="K150" s="12"/>
      <c r="L150" s="12"/>
      <c r="M150" s="10"/>
      <c r="N150" s="10"/>
      <c r="O150" s="10"/>
      <c r="P150" s="10"/>
      <c r="Q150" s="10"/>
      <c r="R150" s="10"/>
      <c r="S150" s="10"/>
      <c r="T150" s="10"/>
      <c r="U150" s="10"/>
      <c r="V150" s="10"/>
      <c r="W150" s="10"/>
      <c r="X150" s="10"/>
      <c r="Y150" s="10"/>
      <c r="Z150" s="10"/>
      <c r="AA150" s="10"/>
      <c r="AB150" s="10"/>
      <c r="AC150" s="10"/>
      <c r="AD150" s="10"/>
      <c r="AE150" s="10"/>
      <c r="AF150" s="10"/>
    </row>
    <row r="151">
      <c r="A151" s="7"/>
      <c r="B151" s="8">
        <v>16.0</v>
      </c>
      <c r="C151" s="8">
        <v>23.0</v>
      </c>
      <c r="D151" s="8" t="s">
        <v>480</v>
      </c>
      <c r="E151" s="7">
        <v>0.0</v>
      </c>
      <c r="F151" s="7"/>
      <c r="G151" s="7" t="s">
        <v>312</v>
      </c>
      <c r="H151" s="7" t="s">
        <v>313</v>
      </c>
      <c r="I151" s="10"/>
      <c r="J151" s="11"/>
      <c r="K151" s="12"/>
      <c r="L151" s="12"/>
      <c r="M151" s="10"/>
      <c r="N151" s="10"/>
      <c r="O151" s="10"/>
      <c r="P151" s="10"/>
      <c r="Q151" s="10"/>
      <c r="R151" s="10"/>
      <c r="S151" s="10"/>
      <c r="T151" s="10"/>
      <c r="U151" s="10"/>
      <c r="V151" s="10"/>
      <c r="W151" s="10"/>
      <c r="X151" s="10"/>
      <c r="Y151" s="10"/>
      <c r="Z151" s="10"/>
      <c r="AA151" s="10"/>
      <c r="AB151" s="10"/>
      <c r="AC151" s="10"/>
      <c r="AD151" s="10"/>
      <c r="AE151" s="10"/>
      <c r="AF151" s="10"/>
    </row>
    <row r="152">
      <c r="A152" s="7"/>
      <c r="B152" s="8">
        <v>16.0</v>
      </c>
      <c r="C152" s="8">
        <v>24.0</v>
      </c>
      <c r="D152" s="8" t="s">
        <v>481</v>
      </c>
      <c r="E152" s="7">
        <v>0.0</v>
      </c>
      <c r="F152" s="7" t="s">
        <v>320</v>
      </c>
      <c r="G152" s="7" t="s">
        <v>312</v>
      </c>
      <c r="H152" s="7" t="s">
        <v>313</v>
      </c>
      <c r="I152" s="7" t="s">
        <v>366</v>
      </c>
      <c r="J152" s="9" t="s">
        <v>470</v>
      </c>
      <c r="K152" s="8" t="s">
        <v>455</v>
      </c>
      <c r="L152" s="12"/>
      <c r="M152" s="10"/>
      <c r="N152" s="10"/>
      <c r="O152" s="10"/>
      <c r="P152" s="10"/>
      <c r="Q152" s="10"/>
      <c r="R152" s="10"/>
      <c r="S152" s="10"/>
      <c r="T152" s="10"/>
      <c r="U152" s="10"/>
      <c r="V152" s="10"/>
      <c r="W152" s="10"/>
      <c r="X152" s="10"/>
      <c r="Y152" s="10"/>
      <c r="Z152" s="10"/>
      <c r="AA152" s="10"/>
      <c r="AB152" s="10"/>
      <c r="AC152" s="10"/>
      <c r="AD152" s="10"/>
      <c r="AE152" s="10"/>
      <c r="AF152" s="10"/>
    </row>
    <row r="153">
      <c r="A153" s="7"/>
      <c r="B153" s="8">
        <v>16.0</v>
      </c>
      <c r="C153" s="8">
        <v>25.0</v>
      </c>
      <c r="D153" s="8" t="s">
        <v>482</v>
      </c>
      <c r="E153" s="7">
        <v>0.0</v>
      </c>
      <c r="F153" s="7" t="s">
        <v>320</v>
      </c>
      <c r="G153" s="7" t="s">
        <v>312</v>
      </c>
      <c r="H153" s="7" t="s">
        <v>313</v>
      </c>
      <c r="I153" s="7" t="s">
        <v>366</v>
      </c>
      <c r="J153" s="9" t="s">
        <v>470</v>
      </c>
      <c r="K153" s="8" t="s">
        <v>455</v>
      </c>
      <c r="L153" s="12"/>
      <c r="M153" s="10"/>
      <c r="N153" s="10"/>
      <c r="O153" s="10"/>
      <c r="P153" s="10"/>
      <c r="Q153" s="10"/>
      <c r="R153" s="10"/>
      <c r="S153" s="10"/>
      <c r="T153" s="10"/>
      <c r="U153" s="10"/>
      <c r="V153" s="10"/>
      <c r="W153" s="10"/>
      <c r="X153" s="10"/>
      <c r="Y153" s="10"/>
      <c r="Z153" s="10"/>
      <c r="AA153" s="10"/>
      <c r="AB153" s="10"/>
      <c r="AC153" s="10"/>
      <c r="AD153" s="10"/>
      <c r="AE153" s="10"/>
      <c r="AF153" s="10"/>
    </row>
    <row r="154">
      <c r="A154" s="7"/>
      <c r="B154" s="8">
        <v>16.0</v>
      </c>
      <c r="C154" s="8">
        <v>26.0</v>
      </c>
      <c r="D154" s="8" t="s">
        <v>483</v>
      </c>
      <c r="E154" s="7">
        <v>0.0</v>
      </c>
      <c r="F154" s="7" t="s">
        <v>320</v>
      </c>
      <c r="G154" s="7" t="s">
        <v>312</v>
      </c>
      <c r="H154" s="7" t="s">
        <v>313</v>
      </c>
      <c r="I154" s="7" t="s">
        <v>366</v>
      </c>
      <c r="J154" s="9" t="s">
        <v>470</v>
      </c>
      <c r="K154" s="8" t="s">
        <v>455</v>
      </c>
      <c r="L154" s="12"/>
      <c r="M154" s="10"/>
      <c r="N154" s="10"/>
      <c r="O154" s="10"/>
      <c r="P154" s="10"/>
      <c r="Q154" s="10"/>
      <c r="R154" s="10"/>
      <c r="S154" s="10"/>
      <c r="T154" s="10"/>
      <c r="U154" s="10"/>
      <c r="V154" s="10"/>
      <c r="W154" s="10"/>
      <c r="X154" s="10"/>
      <c r="Y154" s="10"/>
      <c r="Z154" s="10"/>
      <c r="AA154" s="10"/>
      <c r="AB154" s="10"/>
      <c r="AC154" s="10"/>
      <c r="AD154" s="10"/>
      <c r="AE154" s="10"/>
      <c r="AF154" s="10"/>
    </row>
    <row r="155">
      <c r="A155" s="7"/>
      <c r="B155" s="8">
        <v>16.0</v>
      </c>
      <c r="C155" s="8">
        <v>27.0</v>
      </c>
      <c r="D155" s="8" t="s">
        <v>484</v>
      </c>
      <c r="E155" s="7">
        <v>1.0</v>
      </c>
      <c r="F155" s="7" t="s">
        <v>320</v>
      </c>
      <c r="G155" s="7" t="s">
        <v>312</v>
      </c>
      <c r="H155" s="7" t="s">
        <v>313</v>
      </c>
      <c r="I155" s="7" t="s">
        <v>366</v>
      </c>
      <c r="J155" s="9" t="s">
        <v>474</v>
      </c>
      <c r="K155" s="12"/>
      <c r="L155" s="12"/>
      <c r="M155" s="10"/>
      <c r="N155" s="10"/>
      <c r="O155" s="10"/>
      <c r="P155" s="10"/>
      <c r="Q155" s="10"/>
      <c r="R155" s="10"/>
      <c r="S155" s="10"/>
      <c r="T155" s="10"/>
      <c r="U155" s="10"/>
      <c r="V155" s="10"/>
      <c r="W155" s="10"/>
      <c r="X155" s="10"/>
      <c r="Y155" s="10"/>
      <c r="Z155" s="10"/>
      <c r="AA155" s="10"/>
      <c r="AB155" s="10"/>
      <c r="AC155" s="10"/>
      <c r="AD155" s="10"/>
      <c r="AE155" s="10"/>
      <c r="AF155" s="10"/>
    </row>
    <row r="156">
      <c r="A156" s="7"/>
      <c r="B156" s="8">
        <v>16.0</v>
      </c>
      <c r="C156" s="8">
        <v>28.0</v>
      </c>
      <c r="D156" s="8" t="s">
        <v>485</v>
      </c>
      <c r="E156" s="7">
        <v>1.0</v>
      </c>
      <c r="F156" s="7" t="s">
        <v>320</v>
      </c>
      <c r="G156" s="7" t="s">
        <v>312</v>
      </c>
      <c r="H156" s="7" t="s">
        <v>313</v>
      </c>
      <c r="I156" s="7" t="s">
        <v>366</v>
      </c>
      <c r="J156" s="9" t="s">
        <v>476</v>
      </c>
      <c r="K156" s="12"/>
      <c r="L156" s="12"/>
      <c r="M156" s="10"/>
      <c r="N156" s="10"/>
      <c r="O156" s="10"/>
      <c r="P156" s="10"/>
      <c r="Q156" s="10"/>
      <c r="R156" s="10"/>
      <c r="S156" s="10"/>
      <c r="T156" s="10"/>
      <c r="U156" s="10"/>
      <c r="V156" s="10"/>
      <c r="W156" s="10"/>
      <c r="X156" s="10"/>
      <c r="Y156" s="10"/>
      <c r="Z156" s="10"/>
      <c r="AA156" s="10"/>
      <c r="AB156" s="10"/>
      <c r="AC156" s="10"/>
      <c r="AD156" s="10"/>
      <c r="AE156" s="10"/>
      <c r="AF156" s="10"/>
    </row>
    <row r="157">
      <c r="A157" s="7"/>
      <c r="B157" s="8">
        <v>16.0</v>
      </c>
      <c r="C157" s="8">
        <v>29.0</v>
      </c>
      <c r="D157" s="8" t="s">
        <v>486</v>
      </c>
      <c r="E157" s="7">
        <v>0.0</v>
      </c>
      <c r="F157" s="7"/>
      <c r="G157" s="7" t="s">
        <v>312</v>
      </c>
      <c r="H157" s="7" t="s">
        <v>313</v>
      </c>
      <c r="I157" s="10"/>
      <c r="J157" s="11"/>
      <c r="K157" s="12"/>
      <c r="L157" s="12"/>
      <c r="M157" s="10"/>
      <c r="N157" s="10"/>
      <c r="O157" s="10"/>
      <c r="P157" s="10"/>
      <c r="Q157" s="10"/>
      <c r="R157" s="10"/>
      <c r="S157" s="10"/>
      <c r="T157" s="10"/>
      <c r="U157" s="10"/>
      <c r="V157" s="10"/>
      <c r="W157" s="10"/>
      <c r="X157" s="10"/>
      <c r="Y157" s="10"/>
      <c r="Z157" s="10"/>
      <c r="AA157" s="10"/>
      <c r="AB157" s="10"/>
      <c r="AC157" s="10"/>
      <c r="AD157" s="10"/>
      <c r="AE157" s="10"/>
      <c r="AF157" s="10"/>
    </row>
    <row r="158">
      <c r="A158" s="7"/>
      <c r="B158" s="8">
        <v>16.0</v>
      </c>
      <c r="C158" s="8">
        <v>30.0</v>
      </c>
      <c r="D158" s="8" t="s">
        <v>487</v>
      </c>
      <c r="E158" s="7">
        <v>0.0</v>
      </c>
      <c r="F158" s="7"/>
      <c r="G158" s="7" t="s">
        <v>312</v>
      </c>
      <c r="H158" s="7" t="s">
        <v>313</v>
      </c>
      <c r="I158" s="10"/>
      <c r="J158" s="11"/>
      <c r="K158" s="12"/>
      <c r="L158" s="12"/>
      <c r="M158" s="10"/>
      <c r="N158" s="10"/>
      <c r="O158" s="10"/>
      <c r="P158" s="10"/>
      <c r="Q158" s="10"/>
      <c r="R158" s="10"/>
      <c r="S158" s="10"/>
      <c r="T158" s="10"/>
      <c r="U158" s="10"/>
      <c r="V158" s="10"/>
      <c r="W158" s="10"/>
      <c r="X158" s="10"/>
      <c r="Y158" s="10"/>
      <c r="Z158" s="10"/>
      <c r="AA158" s="10"/>
      <c r="AB158" s="10"/>
      <c r="AC158" s="10"/>
      <c r="AD158" s="10"/>
      <c r="AE158" s="10"/>
      <c r="AF158" s="10"/>
    </row>
    <row r="159">
      <c r="A159" s="7"/>
      <c r="B159" s="8">
        <v>16.0</v>
      </c>
      <c r="C159" s="8">
        <v>31.0</v>
      </c>
      <c r="D159" s="8" t="s">
        <v>488</v>
      </c>
      <c r="E159" s="7">
        <v>0.0</v>
      </c>
      <c r="F159" s="7"/>
      <c r="G159" s="7" t="s">
        <v>312</v>
      </c>
      <c r="H159" s="7" t="s">
        <v>313</v>
      </c>
      <c r="I159" s="10"/>
      <c r="J159" s="11"/>
      <c r="K159" s="12"/>
      <c r="L159" s="12"/>
      <c r="M159" s="10"/>
      <c r="N159" s="10"/>
      <c r="O159" s="10"/>
      <c r="P159" s="10"/>
      <c r="Q159" s="10"/>
      <c r="R159" s="10"/>
      <c r="S159" s="10"/>
      <c r="T159" s="10"/>
      <c r="U159" s="10"/>
      <c r="V159" s="10"/>
      <c r="W159" s="10"/>
      <c r="X159" s="10"/>
      <c r="Y159" s="10"/>
      <c r="Z159" s="10"/>
      <c r="AA159" s="10"/>
      <c r="AB159" s="10"/>
      <c r="AC159" s="10"/>
      <c r="AD159" s="10"/>
      <c r="AE159" s="10"/>
      <c r="AF159" s="10"/>
    </row>
    <row r="160">
      <c r="A160" s="7"/>
      <c r="B160" s="8">
        <v>16.0</v>
      </c>
      <c r="C160" s="8">
        <v>32.0</v>
      </c>
      <c r="D160" s="8" t="s">
        <v>489</v>
      </c>
      <c r="E160" s="7">
        <v>0.0</v>
      </c>
      <c r="F160" s="7" t="s">
        <v>320</v>
      </c>
      <c r="G160" s="7" t="s">
        <v>312</v>
      </c>
      <c r="H160" s="7" t="s">
        <v>313</v>
      </c>
      <c r="I160" s="7" t="s">
        <v>366</v>
      </c>
      <c r="J160" s="9" t="s">
        <v>470</v>
      </c>
      <c r="K160" s="8" t="s">
        <v>455</v>
      </c>
      <c r="L160" s="12"/>
      <c r="M160" s="10"/>
      <c r="N160" s="10"/>
      <c r="O160" s="10"/>
      <c r="P160" s="10"/>
      <c r="Q160" s="10"/>
      <c r="R160" s="10"/>
      <c r="S160" s="10"/>
      <c r="T160" s="10"/>
      <c r="U160" s="10"/>
      <c r="V160" s="10"/>
      <c r="W160" s="10"/>
      <c r="X160" s="10"/>
      <c r="Y160" s="10"/>
      <c r="Z160" s="10"/>
      <c r="AA160" s="10"/>
      <c r="AB160" s="10"/>
      <c r="AC160" s="10"/>
      <c r="AD160" s="10"/>
      <c r="AE160" s="10"/>
      <c r="AF160" s="10"/>
    </row>
    <row r="161">
      <c r="A161" s="7"/>
      <c r="B161" s="8">
        <v>16.0</v>
      </c>
      <c r="C161" s="8">
        <v>33.0</v>
      </c>
      <c r="D161" s="8" t="s">
        <v>490</v>
      </c>
      <c r="E161" s="7">
        <v>0.0</v>
      </c>
      <c r="F161" s="7" t="s">
        <v>320</v>
      </c>
      <c r="G161" s="7" t="s">
        <v>312</v>
      </c>
      <c r="H161" s="7" t="s">
        <v>313</v>
      </c>
      <c r="I161" s="7" t="s">
        <v>366</v>
      </c>
      <c r="J161" s="9" t="s">
        <v>470</v>
      </c>
      <c r="K161" s="8" t="s">
        <v>455</v>
      </c>
      <c r="L161" s="12"/>
      <c r="M161" s="10"/>
      <c r="N161" s="10"/>
      <c r="O161" s="10"/>
      <c r="P161" s="10"/>
      <c r="Q161" s="10"/>
      <c r="R161" s="10"/>
      <c r="S161" s="10"/>
      <c r="T161" s="10"/>
      <c r="U161" s="10"/>
      <c r="V161" s="10"/>
      <c r="W161" s="10"/>
      <c r="X161" s="10"/>
      <c r="Y161" s="10"/>
      <c r="Z161" s="10"/>
      <c r="AA161" s="10"/>
      <c r="AB161" s="10"/>
      <c r="AC161" s="10"/>
      <c r="AD161" s="10"/>
      <c r="AE161" s="10"/>
      <c r="AF161" s="10"/>
    </row>
    <row r="162">
      <c r="A162" s="7"/>
      <c r="B162" s="8">
        <v>16.0</v>
      </c>
      <c r="C162" s="8">
        <v>34.0</v>
      </c>
      <c r="D162" s="8" t="s">
        <v>491</v>
      </c>
      <c r="E162" s="7">
        <v>0.0</v>
      </c>
      <c r="F162" s="7" t="s">
        <v>320</v>
      </c>
      <c r="G162" s="7" t="s">
        <v>312</v>
      </c>
      <c r="H162" s="7" t="s">
        <v>313</v>
      </c>
      <c r="I162" s="7" t="s">
        <v>366</v>
      </c>
      <c r="J162" s="9" t="s">
        <v>470</v>
      </c>
      <c r="K162" s="8" t="s">
        <v>455</v>
      </c>
      <c r="L162" s="12"/>
      <c r="M162" s="10"/>
      <c r="N162" s="10"/>
      <c r="O162" s="10"/>
      <c r="P162" s="10"/>
      <c r="Q162" s="10"/>
      <c r="R162" s="10"/>
      <c r="S162" s="10"/>
      <c r="T162" s="10"/>
      <c r="U162" s="10"/>
      <c r="V162" s="10"/>
      <c r="W162" s="10"/>
      <c r="X162" s="10"/>
      <c r="Y162" s="10"/>
      <c r="Z162" s="10"/>
      <c r="AA162" s="10"/>
      <c r="AB162" s="10"/>
      <c r="AC162" s="10"/>
      <c r="AD162" s="10"/>
      <c r="AE162" s="10"/>
      <c r="AF162" s="10"/>
    </row>
    <row r="163">
      <c r="A163" s="7"/>
      <c r="B163" s="8">
        <v>16.0</v>
      </c>
      <c r="C163" s="8">
        <v>35.0</v>
      </c>
      <c r="D163" s="8" t="s">
        <v>492</v>
      </c>
      <c r="E163" s="7">
        <v>1.0</v>
      </c>
      <c r="F163" s="7" t="s">
        <v>320</v>
      </c>
      <c r="G163" s="7" t="s">
        <v>312</v>
      </c>
      <c r="H163" s="7" t="s">
        <v>313</v>
      </c>
      <c r="I163" s="7" t="s">
        <v>366</v>
      </c>
      <c r="J163" s="9" t="s">
        <v>474</v>
      </c>
      <c r="K163" s="12"/>
      <c r="L163" s="12"/>
      <c r="M163" s="10"/>
      <c r="N163" s="10"/>
      <c r="O163" s="10"/>
      <c r="P163" s="10"/>
      <c r="Q163" s="10"/>
      <c r="R163" s="10"/>
      <c r="S163" s="10"/>
      <c r="T163" s="10"/>
      <c r="U163" s="10"/>
      <c r="V163" s="10"/>
      <c r="W163" s="10"/>
      <c r="X163" s="10"/>
      <c r="Y163" s="10"/>
      <c r="Z163" s="10"/>
      <c r="AA163" s="10"/>
      <c r="AB163" s="10"/>
      <c r="AC163" s="10"/>
      <c r="AD163" s="10"/>
      <c r="AE163" s="10"/>
      <c r="AF163" s="10"/>
    </row>
    <row r="164">
      <c r="A164" s="7"/>
      <c r="B164" s="8">
        <v>16.0</v>
      </c>
      <c r="C164" s="8">
        <v>36.0</v>
      </c>
      <c r="D164" s="8" t="s">
        <v>493</v>
      </c>
      <c r="E164" s="7">
        <v>1.0</v>
      </c>
      <c r="F164" s="7" t="s">
        <v>320</v>
      </c>
      <c r="G164" s="7" t="s">
        <v>312</v>
      </c>
      <c r="H164" s="7" t="s">
        <v>313</v>
      </c>
      <c r="I164" s="7" t="s">
        <v>366</v>
      </c>
      <c r="J164" s="9" t="s">
        <v>476</v>
      </c>
      <c r="K164" s="12"/>
      <c r="L164" s="12"/>
      <c r="M164" s="10"/>
      <c r="N164" s="10"/>
      <c r="O164" s="10"/>
      <c r="P164" s="10"/>
      <c r="Q164" s="10"/>
      <c r="R164" s="10"/>
      <c r="S164" s="10"/>
      <c r="T164" s="10"/>
      <c r="U164" s="10"/>
      <c r="V164" s="10"/>
      <c r="W164" s="10"/>
      <c r="X164" s="10"/>
      <c r="Y164" s="10"/>
      <c r="Z164" s="10"/>
      <c r="AA164" s="10"/>
      <c r="AB164" s="10"/>
      <c r="AC164" s="10"/>
      <c r="AD164" s="10"/>
      <c r="AE164" s="10"/>
      <c r="AF164" s="10"/>
    </row>
    <row r="165">
      <c r="A165" s="7"/>
      <c r="B165" s="8">
        <v>16.0</v>
      </c>
      <c r="C165" s="8">
        <v>37.0</v>
      </c>
      <c r="D165" s="8" t="s">
        <v>494</v>
      </c>
      <c r="E165" s="7">
        <v>0.0</v>
      </c>
      <c r="F165" s="7"/>
      <c r="G165" s="7" t="s">
        <v>312</v>
      </c>
      <c r="H165" s="7" t="s">
        <v>313</v>
      </c>
      <c r="I165" s="10"/>
      <c r="J165" s="11"/>
      <c r="K165" s="12"/>
      <c r="L165" s="12"/>
      <c r="M165" s="10"/>
      <c r="N165" s="10"/>
      <c r="O165" s="10"/>
      <c r="P165" s="10"/>
      <c r="Q165" s="10"/>
      <c r="R165" s="10"/>
      <c r="S165" s="10"/>
      <c r="T165" s="10"/>
      <c r="U165" s="10"/>
      <c r="V165" s="10"/>
      <c r="W165" s="10"/>
      <c r="X165" s="10"/>
      <c r="Y165" s="10"/>
      <c r="Z165" s="10"/>
      <c r="AA165" s="10"/>
      <c r="AB165" s="10"/>
      <c r="AC165" s="10"/>
      <c r="AD165" s="10"/>
      <c r="AE165" s="10"/>
      <c r="AF165" s="10"/>
    </row>
    <row r="166">
      <c r="A166" s="7"/>
      <c r="B166" s="8">
        <v>16.0</v>
      </c>
      <c r="C166" s="8">
        <v>38.0</v>
      </c>
      <c r="D166" s="8" t="s">
        <v>495</v>
      </c>
      <c r="E166" s="7">
        <v>0.0</v>
      </c>
      <c r="F166" s="7"/>
      <c r="G166" s="7" t="s">
        <v>312</v>
      </c>
      <c r="H166" s="7" t="s">
        <v>313</v>
      </c>
      <c r="I166" s="10"/>
      <c r="J166" s="11"/>
      <c r="K166" s="12"/>
      <c r="L166" s="12"/>
      <c r="M166" s="10"/>
      <c r="N166" s="10"/>
      <c r="O166" s="10"/>
      <c r="P166" s="10"/>
      <c r="Q166" s="10"/>
      <c r="R166" s="10"/>
      <c r="S166" s="10"/>
      <c r="T166" s="10"/>
      <c r="U166" s="10"/>
      <c r="V166" s="10"/>
      <c r="W166" s="10"/>
      <c r="X166" s="10"/>
      <c r="Y166" s="10"/>
      <c r="Z166" s="10"/>
      <c r="AA166" s="10"/>
      <c r="AB166" s="10"/>
      <c r="AC166" s="10"/>
      <c r="AD166" s="10"/>
      <c r="AE166" s="10"/>
      <c r="AF166" s="10"/>
    </row>
    <row r="167">
      <c r="A167" s="7"/>
      <c r="B167" s="8">
        <v>16.0</v>
      </c>
      <c r="C167" s="8">
        <v>39.0</v>
      </c>
      <c r="D167" s="8" t="s">
        <v>496</v>
      </c>
      <c r="E167" s="7">
        <v>0.0</v>
      </c>
      <c r="F167" s="7" t="s">
        <v>320</v>
      </c>
      <c r="G167" s="7" t="s">
        <v>312</v>
      </c>
      <c r="H167" s="7" t="s">
        <v>313</v>
      </c>
      <c r="I167" s="7" t="s">
        <v>366</v>
      </c>
      <c r="J167" s="9" t="s">
        <v>470</v>
      </c>
      <c r="K167" s="8" t="s">
        <v>455</v>
      </c>
      <c r="L167" s="12"/>
      <c r="M167" s="10"/>
      <c r="N167" s="10"/>
      <c r="O167" s="10"/>
      <c r="P167" s="10"/>
      <c r="Q167" s="10"/>
      <c r="R167" s="10"/>
      <c r="S167" s="10"/>
      <c r="T167" s="10"/>
      <c r="U167" s="10"/>
      <c r="V167" s="10"/>
      <c r="W167" s="10"/>
      <c r="X167" s="10"/>
      <c r="Y167" s="10"/>
      <c r="Z167" s="10"/>
      <c r="AA167" s="10"/>
      <c r="AB167" s="10"/>
      <c r="AC167" s="10"/>
      <c r="AD167" s="10"/>
      <c r="AE167" s="10"/>
      <c r="AF167" s="10"/>
    </row>
    <row r="168">
      <c r="A168" s="7"/>
      <c r="B168" s="8">
        <v>16.0</v>
      </c>
      <c r="C168" s="8">
        <v>40.0</v>
      </c>
      <c r="D168" s="8" t="s">
        <v>497</v>
      </c>
      <c r="E168" s="7">
        <v>0.0</v>
      </c>
      <c r="F168" s="7" t="s">
        <v>320</v>
      </c>
      <c r="G168" s="7" t="s">
        <v>312</v>
      </c>
      <c r="H168" s="7" t="s">
        <v>313</v>
      </c>
      <c r="I168" s="7" t="s">
        <v>366</v>
      </c>
      <c r="J168" s="9" t="s">
        <v>470</v>
      </c>
      <c r="K168" s="8" t="s">
        <v>455</v>
      </c>
      <c r="L168" s="12"/>
      <c r="M168" s="10"/>
      <c r="N168" s="10"/>
      <c r="O168" s="10"/>
      <c r="P168" s="10"/>
      <c r="Q168" s="10"/>
      <c r="R168" s="10"/>
      <c r="S168" s="10"/>
      <c r="T168" s="10"/>
      <c r="U168" s="10"/>
      <c r="V168" s="10"/>
      <c r="W168" s="10"/>
      <c r="X168" s="10"/>
      <c r="Y168" s="10"/>
      <c r="Z168" s="10"/>
      <c r="AA168" s="10"/>
      <c r="AB168" s="10"/>
      <c r="AC168" s="10"/>
      <c r="AD168" s="10"/>
      <c r="AE168" s="10"/>
      <c r="AF168" s="10"/>
    </row>
    <row r="169">
      <c r="A169" s="7"/>
      <c r="B169" s="8">
        <v>16.0</v>
      </c>
      <c r="C169" s="8">
        <v>41.0</v>
      </c>
      <c r="D169" s="8" t="s">
        <v>498</v>
      </c>
      <c r="E169" s="7">
        <v>0.0</v>
      </c>
      <c r="F169" s="7" t="s">
        <v>320</v>
      </c>
      <c r="G169" s="7" t="s">
        <v>312</v>
      </c>
      <c r="H169" s="7" t="s">
        <v>313</v>
      </c>
      <c r="I169" s="7" t="s">
        <v>366</v>
      </c>
      <c r="J169" s="9" t="s">
        <v>470</v>
      </c>
      <c r="K169" s="8" t="s">
        <v>455</v>
      </c>
      <c r="L169" s="12"/>
      <c r="M169" s="10"/>
      <c r="N169" s="10"/>
      <c r="O169" s="10"/>
      <c r="P169" s="10"/>
      <c r="Q169" s="10"/>
      <c r="R169" s="10"/>
      <c r="S169" s="10"/>
      <c r="T169" s="10"/>
      <c r="U169" s="10"/>
      <c r="V169" s="10"/>
      <c r="W169" s="10"/>
      <c r="X169" s="10"/>
      <c r="Y169" s="10"/>
      <c r="Z169" s="10"/>
      <c r="AA169" s="10"/>
      <c r="AB169" s="10"/>
      <c r="AC169" s="10"/>
      <c r="AD169" s="10"/>
      <c r="AE169" s="10"/>
      <c r="AF169" s="10"/>
    </row>
    <row r="170">
      <c r="A170" s="7"/>
      <c r="B170" s="8">
        <v>16.0</v>
      </c>
      <c r="C170" s="8">
        <v>42.0</v>
      </c>
      <c r="D170" s="8" t="s">
        <v>499</v>
      </c>
      <c r="E170" s="7">
        <v>1.0</v>
      </c>
      <c r="F170" s="7" t="s">
        <v>320</v>
      </c>
      <c r="G170" s="7" t="s">
        <v>312</v>
      </c>
      <c r="H170" s="7" t="s">
        <v>313</v>
      </c>
      <c r="I170" s="7" t="s">
        <v>366</v>
      </c>
      <c r="J170" s="9" t="s">
        <v>474</v>
      </c>
      <c r="K170" s="12"/>
      <c r="L170" s="12"/>
      <c r="M170" s="10"/>
      <c r="N170" s="10"/>
      <c r="O170" s="10"/>
      <c r="P170" s="10"/>
      <c r="Q170" s="10"/>
      <c r="R170" s="10"/>
      <c r="S170" s="10"/>
      <c r="T170" s="10"/>
      <c r="U170" s="10"/>
      <c r="V170" s="10"/>
      <c r="W170" s="10"/>
      <c r="X170" s="10"/>
      <c r="Y170" s="10"/>
      <c r="Z170" s="10"/>
      <c r="AA170" s="10"/>
      <c r="AB170" s="10"/>
      <c r="AC170" s="10"/>
      <c r="AD170" s="10"/>
      <c r="AE170" s="10"/>
      <c r="AF170" s="10"/>
    </row>
    <row r="171">
      <c r="A171" s="7"/>
      <c r="B171" s="8">
        <v>16.0</v>
      </c>
      <c r="C171" s="8">
        <v>43.0</v>
      </c>
      <c r="D171" s="8" t="s">
        <v>500</v>
      </c>
      <c r="E171" s="7">
        <v>1.0</v>
      </c>
      <c r="F171" s="7" t="s">
        <v>320</v>
      </c>
      <c r="G171" s="7" t="s">
        <v>312</v>
      </c>
      <c r="H171" s="7" t="s">
        <v>313</v>
      </c>
      <c r="I171" s="7" t="s">
        <v>366</v>
      </c>
      <c r="J171" s="9" t="s">
        <v>476</v>
      </c>
      <c r="K171" s="12"/>
      <c r="L171" s="12"/>
      <c r="M171" s="10"/>
      <c r="N171" s="10"/>
      <c r="O171" s="10"/>
      <c r="P171" s="10"/>
      <c r="Q171" s="10"/>
      <c r="R171" s="10"/>
      <c r="S171" s="10"/>
      <c r="T171" s="10"/>
      <c r="U171" s="10"/>
      <c r="V171" s="10"/>
      <c r="W171" s="10"/>
      <c r="X171" s="10"/>
      <c r="Y171" s="10"/>
      <c r="Z171" s="10"/>
      <c r="AA171" s="10"/>
      <c r="AB171" s="10"/>
      <c r="AC171" s="10"/>
      <c r="AD171" s="10"/>
      <c r="AE171" s="10"/>
      <c r="AF171" s="10"/>
    </row>
    <row r="172">
      <c r="A172" s="7"/>
      <c r="B172" s="8">
        <v>16.0</v>
      </c>
      <c r="C172" s="8">
        <v>44.0</v>
      </c>
      <c r="D172" s="8" t="s">
        <v>501</v>
      </c>
      <c r="E172" s="7">
        <v>0.0</v>
      </c>
      <c r="F172" s="7"/>
      <c r="G172" s="7" t="s">
        <v>312</v>
      </c>
      <c r="H172" s="7" t="s">
        <v>313</v>
      </c>
      <c r="I172" s="10"/>
      <c r="J172" s="11"/>
      <c r="K172" s="12"/>
      <c r="L172" s="12"/>
      <c r="M172" s="10"/>
      <c r="N172" s="10"/>
      <c r="O172" s="10"/>
      <c r="P172" s="10"/>
      <c r="Q172" s="10"/>
      <c r="R172" s="10"/>
      <c r="S172" s="10"/>
      <c r="T172" s="10"/>
      <c r="U172" s="10"/>
      <c r="V172" s="10"/>
      <c r="W172" s="10"/>
      <c r="X172" s="10"/>
      <c r="Y172" s="10"/>
      <c r="Z172" s="10"/>
      <c r="AA172" s="10"/>
      <c r="AB172" s="10"/>
      <c r="AC172" s="10"/>
      <c r="AD172" s="10"/>
      <c r="AE172" s="10"/>
      <c r="AF172" s="10"/>
    </row>
    <row r="173">
      <c r="A173" s="7"/>
      <c r="B173" s="8">
        <v>16.0</v>
      </c>
      <c r="C173" s="8">
        <v>45.0</v>
      </c>
      <c r="D173" s="8" t="s">
        <v>502</v>
      </c>
      <c r="E173" s="7">
        <v>0.0</v>
      </c>
      <c r="F173" s="7"/>
      <c r="G173" s="7" t="s">
        <v>312</v>
      </c>
      <c r="H173" s="7" t="s">
        <v>313</v>
      </c>
      <c r="I173" s="10"/>
      <c r="J173" s="11"/>
      <c r="K173" s="12"/>
      <c r="L173" s="12"/>
      <c r="M173" s="10"/>
      <c r="N173" s="10"/>
      <c r="O173" s="10"/>
      <c r="P173" s="10"/>
      <c r="Q173" s="10"/>
      <c r="R173" s="10"/>
      <c r="S173" s="10"/>
      <c r="T173" s="10"/>
      <c r="U173" s="10"/>
      <c r="V173" s="10"/>
      <c r="W173" s="10"/>
      <c r="X173" s="10"/>
      <c r="Y173" s="10"/>
      <c r="Z173" s="10"/>
      <c r="AA173" s="10"/>
      <c r="AB173" s="10"/>
      <c r="AC173" s="10"/>
      <c r="AD173" s="10"/>
      <c r="AE173" s="10"/>
      <c r="AF173" s="10"/>
    </row>
    <row r="174">
      <c r="A174" s="7"/>
      <c r="B174" s="8">
        <v>16.0</v>
      </c>
      <c r="C174" s="8">
        <v>46.0</v>
      </c>
      <c r="D174" s="8" t="s">
        <v>503</v>
      </c>
      <c r="E174" s="7">
        <v>0.0</v>
      </c>
      <c r="F174" s="7"/>
      <c r="G174" s="7" t="s">
        <v>312</v>
      </c>
      <c r="H174" s="7" t="s">
        <v>313</v>
      </c>
      <c r="I174" s="10"/>
      <c r="J174" s="11"/>
      <c r="K174" s="12"/>
      <c r="L174" s="12"/>
      <c r="M174" s="10"/>
      <c r="N174" s="10"/>
      <c r="O174" s="10"/>
      <c r="P174" s="10"/>
      <c r="Q174" s="10"/>
      <c r="R174" s="10"/>
      <c r="S174" s="10"/>
      <c r="T174" s="10"/>
      <c r="U174" s="10"/>
      <c r="V174" s="10"/>
      <c r="W174" s="10"/>
      <c r="X174" s="10"/>
      <c r="Y174" s="10"/>
      <c r="Z174" s="10"/>
      <c r="AA174" s="10"/>
      <c r="AB174" s="10"/>
      <c r="AC174" s="10"/>
      <c r="AD174" s="10"/>
      <c r="AE174" s="10"/>
      <c r="AF174" s="10"/>
    </row>
    <row r="175">
      <c r="A175" s="7"/>
      <c r="B175" s="8">
        <v>16.0</v>
      </c>
      <c r="C175" s="8">
        <v>47.0</v>
      </c>
      <c r="D175" s="8" t="s">
        <v>504</v>
      </c>
      <c r="E175" s="7">
        <v>0.0</v>
      </c>
      <c r="F175" s="7" t="s">
        <v>320</v>
      </c>
      <c r="G175" s="7" t="s">
        <v>312</v>
      </c>
      <c r="H175" s="7" t="s">
        <v>313</v>
      </c>
      <c r="I175" s="7" t="s">
        <v>366</v>
      </c>
      <c r="J175" s="9" t="s">
        <v>470</v>
      </c>
      <c r="K175" s="8" t="s">
        <v>455</v>
      </c>
      <c r="L175" s="12"/>
      <c r="M175" s="10"/>
      <c r="N175" s="10"/>
      <c r="O175" s="10"/>
      <c r="P175" s="10"/>
      <c r="Q175" s="10"/>
      <c r="R175" s="10"/>
      <c r="S175" s="10"/>
      <c r="T175" s="10"/>
      <c r="U175" s="10"/>
      <c r="V175" s="10"/>
      <c r="W175" s="10"/>
      <c r="X175" s="10"/>
      <c r="Y175" s="10"/>
      <c r="Z175" s="10"/>
      <c r="AA175" s="10"/>
      <c r="AB175" s="10"/>
      <c r="AC175" s="10"/>
      <c r="AD175" s="10"/>
      <c r="AE175" s="10"/>
      <c r="AF175" s="10"/>
    </row>
    <row r="176">
      <c r="A176" s="7"/>
      <c r="B176" s="8">
        <v>16.0</v>
      </c>
      <c r="C176" s="8">
        <v>48.0</v>
      </c>
      <c r="D176" s="8" t="s">
        <v>505</v>
      </c>
      <c r="E176" s="7">
        <v>0.0</v>
      </c>
      <c r="F176" s="7" t="s">
        <v>320</v>
      </c>
      <c r="G176" s="7" t="s">
        <v>312</v>
      </c>
      <c r="H176" s="7" t="s">
        <v>313</v>
      </c>
      <c r="I176" s="7" t="s">
        <v>366</v>
      </c>
      <c r="J176" s="9" t="s">
        <v>506</v>
      </c>
      <c r="K176" s="12"/>
      <c r="L176" s="12"/>
      <c r="M176" s="10"/>
      <c r="N176" s="10"/>
      <c r="O176" s="10"/>
      <c r="P176" s="10"/>
      <c r="Q176" s="10"/>
      <c r="R176" s="10"/>
      <c r="S176" s="10"/>
      <c r="T176" s="10"/>
      <c r="U176" s="10"/>
      <c r="V176" s="10"/>
      <c r="W176" s="10"/>
      <c r="X176" s="10"/>
      <c r="Y176" s="10"/>
      <c r="Z176" s="10"/>
      <c r="AA176" s="10"/>
      <c r="AB176" s="10"/>
      <c r="AC176" s="10"/>
      <c r="AD176" s="10"/>
      <c r="AE176" s="10"/>
      <c r="AF176" s="10"/>
    </row>
    <row r="177">
      <c r="A177" s="7"/>
      <c r="B177" s="8">
        <v>16.0</v>
      </c>
      <c r="C177" s="8">
        <v>49.0</v>
      </c>
      <c r="D177" s="8" t="s">
        <v>507</v>
      </c>
      <c r="E177" s="7">
        <v>0.0</v>
      </c>
      <c r="F177" s="7"/>
      <c r="G177" s="7" t="s">
        <v>312</v>
      </c>
      <c r="H177" s="7" t="s">
        <v>313</v>
      </c>
      <c r="I177" s="10"/>
      <c r="J177" s="9"/>
      <c r="K177" s="12"/>
      <c r="L177" s="12"/>
      <c r="M177" s="10"/>
      <c r="N177" s="10"/>
      <c r="O177" s="10"/>
      <c r="P177" s="10"/>
      <c r="Q177" s="10"/>
      <c r="R177" s="10"/>
      <c r="S177" s="10"/>
      <c r="T177" s="10"/>
      <c r="U177" s="10"/>
      <c r="V177" s="10"/>
      <c r="W177" s="10"/>
      <c r="X177" s="10"/>
      <c r="Y177" s="10"/>
      <c r="Z177" s="10"/>
      <c r="AA177" s="10"/>
      <c r="AB177" s="10"/>
      <c r="AC177" s="10"/>
      <c r="AD177" s="10"/>
      <c r="AE177" s="10"/>
      <c r="AF177" s="10"/>
    </row>
    <row r="178">
      <c r="A178" s="7"/>
      <c r="B178" s="8">
        <v>16.0</v>
      </c>
      <c r="C178" s="8">
        <v>50.0</v>
      </c>
      <c r="D178" s="8" t="s">
        <v>508</v>
      </c>
      <c r="E178" s="7">
        <v>0.0</v>
      </c>
      <c r="F178" s="7"/>
      <c r="G178" s="7" t="s">
        <v>312</v>
      </c>
      <c r="H178" s="7" t="s">
        <v>313</v>
      </c>
      <c r="I178" s="10"/>
      <c r="J178" s="9"/>
      <c r="K178" s="12"/>
      <c r="L178" s="12"/>
      <c r="M178" s="10"/>
      <c r="N178" s="10"/>
      <c r="O178" s="10"/>
      <c r="P178" s="10"/>
      <c r="Q178" s="10"/>
      <c r="R178" s="10"/>
      <c r="S178" s="10"/>
      <c r="T178" s="10"/>
      <c r="U178" s="10"/>
      <c r="V178" s="10"/>
      <c r="W178" s="10"/>
      <c r="X178" s="10"/>
      <c r="Y178" s="10"/>
      <c r="Z178" s="10"/>
      <c r="AA178" s="10"/>
      <c r="AB178" s="10"/>
      <c r="AC178" s="10"/>
      <c r="AD178" s="10"/>
      <c r="AE178" s="10"/>
      <c r="AF178" s="10"/>
    </row>
    <row r="179">
      <c r="A179" s="7"/>
      <c r="B179" s="8">
        <v>16.0</v>
      </c>
      <c r="C179" s="8">
        <v>51.0</v>
      </c>
      <c r="D179" s="8" t="s">
        <v>509</v>
      </c>
      <c r="E179" s="7">
        <v>0.0</v>
      </c>
      <c r="F179" s="7"/>
      <c r="G179" s="7" t="s">
        <v>312</v>
      </c>
      <c r="H179" s="7" t="s">
        <v>313</v>
      </c>
      <c r="I179" s="10"/>
      <c r="J179" s="11"/>
      <c r="K179" s="12"/>
      <c r="L179" s="12"/>
      <c r="M179" s="10"/>
      <c r="N179" s="10"/>
      <c r="O179" s="10"/>
      <c r="P179" s="10"/>
      <c r="Q179" s="10"/>
      <c r="R179" s="10"/>
      <c r="S179" s="10"/>
      <c r="T179" s="10"/>
      <c r="U179" s="10"/>
      <c r="V179" s="10"/>
      <c r="W179" s="10"/>
      <c r="X179" s="10"/>
      <c r="Y179" s="10"/>
      <c r="Z179" s="10"/>
      <c r="AA179" s="10"/>
      <c r="AB179" s="10"/>
      <c r="AC179" s="10"/>
      <c r="AD179" s="10"/>
      <c r="AE179" s="10"/>
      <c r="AF179" s="10"/>
    </row>
    <row r="180">
      <c r="A180" s="7"/>
      <c r="B180" s="8">
        <v>16.0</v>
      </c>
      <c r="C180" s="8">
        <v>52.0</v>
      </c>
      <c r="D180" s="8" t="s">
        <v>510</v>
      </c>
      <c r="E180" s="7">
        <v>0.0</v>
      </c>
      <c r="F180" s="7" t="s">
        <v>320</v>
      </c>
      <c r="G180" s="7" t="s">
        <v>312</v>
      </c>
      <c r="H180" s="7" t="s">
        <v>313</v>
      </c>
      <c r="I180" s="7" t="s">
        <v>366</v>
      </c>
      <c r="J180" s="9" t="s">
        <v>470</v>
      </c>
      <c r="K180" s="8" t="s">
        <v>455</v>
      </c>
      <c r="L180" s="12"/>
      <c r="M180" s="10"/>
      <c r="N180" s="10"/>
      <c r="O180" s="10"/>
      <c r="P180" s="10"/>
      <c r="Q180" s="10"/>
      <c r="R180" s="10"/>
      <c r="S180" s="10"/>
      <c r="T180" s="10"/>
      <c r="U180" s="10"/>
      <c r="V180" s="10"/>
      <c r="W180" s="10"/>
      <c r="X180" s="10"/>
      <c r="Y180" s="10"/>
      <c r="Z180" s="10"/>
      <c r="AA180" s="10"/>
      <c r="AB180" s="10"/>
      <c r="AC180" s="10"/>
      <c r="AD180" s="10"/>
      <c r="AE180" s="10"/>
      <c r="AF180" s="10"/>
    </row>
    <row r="181">
      <c r="A181" s="7"/>
      <c r="B181" s="8">
        <v>16.0</v>
      </c>
      <c r="C181" s="8">
        <v>53.0</v>
      </c>
      <c r="D181" s="8" t="s">
        <v>511</v>
      </c>
      <c r="E181" s="7">
        <v>0.0</v>
      </c>
      <c r="F181" s="7" t="s">
        <v>320</v>
      </c>
      <c r="G181" s="7" t="s">
        <v>312</v>
      </c>
      <c r="H181" s="7" t="s">
        <v>313</v>
      </c>
      <c r="I181" s="7" t="s">
        <v>366</v>
      </c>
      <c r="J181" s="9" t="s">
        <v>506</v>
      </c>
      <c r="K181" s="12"/>
      <c r="L181" s="12"/>
      <c r="M181" s="10"/>
      <c r="N181" s="10"/>
      <c r="O181" s="10"/>
      <c r="P181" s="10"/>
      <c r="Q181" s="10"/>
      <c r="R181" s="10"/>
      <c r="S181" s="10"/>
      <c r="T181" s="10"/>
      <c r="U181" s="10"/>
      <c r="V181" s="10"/>
      <c r="W181" s="10"/>
      <c r="X181" s="10"/>
      <c r="Y181" s="10"/>
      <c r="Z181" s="10"/>
      <c r="AA181" s="10"/>
      <c r="AB181" s="10"/>
      <c r="AC181" s="10"/>
      <c r="AD181" s="10"/>
      <c r="AE181" s="10"/>
      <c r="AF181" s="10"/>
    </row>
    <row r="182">
      <c r="A182" s="7"/>
      <c r="B182" s="8">
        <v>16.0</v>
      </c>
      <c r="C182" s="8">
        <v>54.0</v>
      </c>
      <c r="D182" s="8" t="s">
        <v>512</v>
      </c>
      <c r="E182" s="7">
        <v>0.0</v>
      </c>
      <c r="F182" s="7"/>
      <c r="G182" s="7" t="s">
        <v>312</v>
      </c>
      <c r="H182" s="7" t="s">
        <v>313</v>
      </c>
      <c r="I182" s="10"/>
      <c r="J182" s="11"/>
      <c r="K182" s="12"/>
      <c r="L182" s="12"/>
      <c r="M182" s="10"/>
      <c r="N182" s="10"/>
      <c r="O182" s="10"/>
      <c r="P182" s="10"/>
      <c r="Q182" s="10"/>
      <c r="R182" s="10"/>
      <c r="S182" s="10"/>
      <c r="T182" s="10"/>
      <c r="U182" s="10"/>
      <c r="V182" s="10"/>
      <c r="W182" s="10"/>
      <c r="X182" s="10"/>
      <c r="Y182" s="10"/>
      <c r="Z182" s="10"/>
      <c r="AA182" s="10"/>
      <c r="AB182" s="10"/>
      <c r="AC182" s="10"/>
      <c r="AD182" s="10"/>
      <c r="AE182" s="10"/>
      <c r="AF182" s="10"/>
    </row>
    <row r="183">
      <c r="A183" s="7"/>
      <c r="B183" s="8">
        <v>16.0</v>
      </c>
      <c r="C183" s="8">
        <v>55.0</v>
      </c>
      <c r="D183" s="8" t="s">
        <v>513</v>
      </c>
      <c r="E183" s="7">
        <v>0.0</v>
      </c>
      <c r="F183" s="7"/>
      <c r="G183" s="7" t="s">
        <v>312</v>
      </c>
      <c r="H183" s="7" t="s">
        <v>313</v>
      </c>
      <c r="I183" s="10"/>
      <c r="J183" s="11"/>
      <c r="K183" s="12"/>
      <c r="L183" s="12"/>
      <c r="M183" s="10"/>
      <c r="N183" s="10"/>
      <c r="O183" s="10"/>
      <c r="P183" s="10"/>
      <c r="Q183" s="10"/>
      <c r="R183" s="10"/>
      <c r="S183" s="10"/>
      <c r="T183" s="10"/>
      <c r="U183" s="10"/>
      <c r="V183" s="10"/>
      <c r="W183" s="10"/>
      <c r="X183" s="10"/>
      <c r="Y183" s="10"/>
      <c r="Z183" s="10"/>
      <c r="AA183" s="10"/>
      <c r="AB183" s="10"/>
      <c r="AC183" s="10"/>
      <c r="AD183" s="10"/>
      <c r="AE183" s="10"/>
      <c r="AF183" s="10"/>
    </row>
    <row r="184">
      <c r="A184" s="7"/>
      <c r="B184" s="8">
        <v>16.0</v>
      </c>
      <c r="C184" s="8">
        <v>56.0</v>
      </c>
      <c r="D184" s="8" t="s">
        <v>514</v>
      </c>
      <c r="E184" s="7">
        <v>0.0</v>
      </c>
      <c r="F184" s="7"/>
      <c r="G184" s="7" t="s">
        <v>312</v>
      </c>
      <c r="H184" s="7" t="s">
        <v>313</v>
      </c>
      <c r="I184" s="10"/>
      <c r="J184" s="11"/>
      <c r="K184" s="12"/>
      <c r="L184" s="12"/>
      <c r="M184" s="10"/>
      <c r="N184" s="10"/>
      <c r="O184" s="10"/>
      <c r="P184" s="10"/>
      <c r="Q184" s="10"/>
      <c r="R184" s="10"/>
      <c r="S184" s="10"/>
      <c r="T184" s="10"/>
      <c r="U184" s="10"/>
      <c r="V184" s="10"/>
      <c r="W184" s="10"/>
      <c r="X184" s="10"/>
      <c r="Y184" s="10"/>
      <c r="Z184" s="10"/>
      <c r="AA184" s="10"/>
      <c r="AB184" s="10"/>
      <c r="AC184" s="10"/>
      <c r="AD184" s="10"/>
      <c r="AE184" s="10"/>
      <c r="AF184" s="10"/>
    </row>
    <row r="185">
      <c r="A185" s="7"/>
      <c r="B185" s="8">
        <v>16.0</v>
      </c>
      <c r="C185" s="8">
        <v>57.0</v>
      </c>
      <c r="D185" s="8" t="s">
        <v>515</v>
      </c>
      <c r="E185" s="7">
        <v>0.0</v>
      </c>
      <c r="F185" s="7" t="s">
        <v>320</v>
      </c>
      <c r="G185" s="7" t="s">
        <v>312</v>
      </c>
      <c r="H185" s="7" t="s">
        <v>313</v>
      </c>
      <c r="I185" s="7" t="s">
        <v>366</v>
      </c>
      <c r="J185" s="9" t="s">
        <v>516</v>
      </c>
      <c r="K185" s="12"/>
      <c r="L185" s="12"/>
      <c r="M185" s="10"/>
      <c r="N185" s="10"/>
      <c r="O185" s="10"/>
      <c r="P185" s="10"/>
      <c r="Q185" s="10"/>
      <c r="R185" s="10"/>
      <c r="S185" s="10"/>
      <c r="T185" s="10"/>
      <c r="U185" s="10"/>
      <c r="V185" s="10"/>
      <c r="W185" s="10"/>
      <c r="X185" s="10"/>
      <c r="Y185" s="10"/>
      <c r="Z185" s="10"/>
      <c r="AA185" s="10"/>
      <c r="AB185" s="10"/>
      <c r="AC185" s="10"/>
      <c r="AD185" s="10"/>
      <c r="AE185" s="10"/>
      <c r="AF185" s="10"/>
    </row>
    <row r="186">
      <c r="A186" s="7"/>
      <c r="B186" s="8">
        <v>16.0</v>
      </c>
      <c r="C186" s="8">
        <v>58.0</v>
      </c>
      <c r="D186" s="8" t="s">
        <v>517</v>
      </c>
      <c r="E186" s="7">
        <v>0.0</v>
      </c>
      <c r="F186" s="7"/>
      <c r="G186" s="7" t="s">
        <v>312</v>
      </c>
      <c r="H186" s="7" t="s">
        <v>313</v>
      </c>
      <c r="I186" s="10"/>
      <c r="J186" s="11"/>
      <c r="K186" s="12"/>
      <c r="L186" s="12"/>
      <c r="M186" s="10"/>
      <c r="N186" s="10"/>
      <c r="O186" s="10"/>
      <c r="P186" s="10"/>
      <c r="Q186" s="10"/>
      <c r="R186" s="10"/>
      <c r="S186" s="10"/>
      <c r="T186" s="10"/>
      <c r="U186" s="10"/>
      <c r="V186" s="10"/>
      <c r="W186" s="10"/>
      <c r="X186" s="10"/>
      <c r="Y186" s="10"/>
      <c r="Z186" s="10"/>
      <c r="AA186" s="10"/>
      <c r="AB186" s="10"/>
      <c r="AC186" s="10"/>
      <c r="AD186" s="10"/>
      <c r="AE186" s="10"/>
      <c r="AF186" s="10"/>
    </row>
    <row r="187">
      <c r="A187" s="7"/>
      <c r="B187" s="8">
        <v>16.0</v>
      </c>
      <c r="C187" s="8">
        <v>59.0</v>
      </c>
      <c r="D187" s="8" t="s">
        <v>518</v>
      </c>
      <c r="E187" s="7">
        <v>0.0</v>
      </c>
      <c r="F187" s="7"/>
      <c r="G187" s="7" t="s">
        <v>312</v>
      </c>
      <c r="H187" s="7" t="s">
        <v>313</v>
      </c>
      <c r="I187" s="10"/>
      <c r="J187" s="11"/>
      <c r="K187" s="12"/>
      <c r="L187" s="12"/>
      <c r="M187" s="10"/>
      <c r="N187" s="10"/>
      <c r="O187" s="10"/>
      <c r="P187" s="10"/>
      <c r="Q187" s="10"/>
      <c r="R187" s="10"/>
      <c r="S187" s="10"/>
      <c r="T187" s="10"/>
      <c r="U187" s="10"/>
      <c r="V187" s="10"/>
      <c r="W187" s="10"/>
      <c r="X187" s="10"/>
      <c r="Y187" s="10"/>
      <c r="Z187" s="10"/>
      <c r="AA187" s="10"/>
      <c r="AB187" s="10"/>
      <c r="AC187" s="10"/>
      <c r="AD187" s="10"/>
      <c r="AE187" s="10"/>
      <c r="AF187" s="10"/>
    </row>
    <row r="188">
      <c r="A188" s="7"/>
      <c r="B188" s="8">
        <v>16.0</v>
      </c>
      <c r="C188" s="8">
        <v>60.0</v>
      </c>
      <c r="D188" s="8" t="s">
        <v>519</v>
      </c>
      <c r="E188" s="7">
        <v>0.0</v>
      </c>
      <c r="F188" s="7"/>
      <c r="G188" s="7" t="s">
        <v>312</v>
      </c>
      <c r="H188" s="7" t="s">
        <v>313</v>
      </c>
      <c r="I188" s="10"/>
      <c r="J188" s="11"/>
      <c r="K188" s="12"/>
      <c r="L188" s="12"/>
      <c r="M188" s="10"/>
      <c r="N188" s="10"/>
      <c r="O188" s="10"/>
      <c r="P188" s="10"/>
      <c r="Q188" s="10"/>
      <c r="R188" s="10"/>
      <c r="S188" s="10"/>
      <c r="T188" s="10"/>
      <c r="U188" s="10"/>
      <c r="V188" s="10"/>
      <c r="W188" s="10"/>
      <c r="X188" s="10"/>
      <c r="Y188" s="10"/>
      <c r="Z188" s="10"/>
      <c r="AA188" s="10"/>
      <c r="AB188" s="10"/>
      <c r="AC188" s="10"/>
      <c r="AD188" s="10"/>
      <c r="AE188" s="10"/>
      <c r="AF188" s="10"/>
    </row>
    <row r="189">
      <c r="A189" s="7"/>
      <c r="B189" s="8">
        <v>16.0</v>
      </c>
      <c r="C189" s="8">
        <v>61.0</v>
      </c>
      <c r="D189" s="8" t="s">
        <v>520</v>
      </c>
      <c r="E189" s="7">
        <v>0.0</v>
      </c>
      <c r="F189" s="7"/>
      <c r="G189" s="7" t="s">
        <v>312</v>
      </c>
      <c r="H189" s="7" t="s">
        <v>313</v>
      </c>
      <c r="I189" s="10"/>
      <c r="J189" s="11"/>
      <c r="K189" s="12"/>
      <c r="L189" s="12"/>
      <c r="M189" s="10"/>
      <c r="N189" s="10"/>
      <c r="O189" s="10"/>
      <c r="P189" s="10"/>
      <c r="Q189" s="10"/>
      <c r="R189" s="10"/>
      <c r="S189" s="10"/>
      <c r="T189" s="10"/>
      <c r="U189" s="10"/>
      <c r="V189" s="10"/>
      <c r="W189" s="10"/>
      <c r="X189" s="10"/>
      <c r="Y189" s="10"/>
      <c r="Z189" s="10"/>
      <c r="AA189" s="10"/>
      <c r="AB189" s="10"/>
      <c r="AC189" s="10"/>
      <c r="AD189" s="10"/>
      <c r="AE189" s="10"/>
      <c r="AF189" s="10"/>
    </row>
    <row r="190">
      <c r="A190" s="7"/>
      <c r="B190" s="8">
        <v>16.0</v>
      </c>
      <c r="C190" s="8">
        <v>62.0</v>
      </c>
      <c r="D190" s="8" t="s">
        <v>521</v>
      </c>
      <c r="E190" s="7">
        <v>0.0</v>
      </c>
      <c r="F190" s="7"/>
      <c r="G190" s="7" t="s">
        <v>312</v>
      </c>
      <c r="H190" s="7" t="s">
        <v>313</v>
      </c>
      <c r="I190" s="10"/>
      <c r="J190" s="11"/>
      <c r="K190" s="12"/>
      <c r="L190" s="12"/>
      <c r="M190" s="10"/>
      <c r="N190" s="10"/>
      <c r="O190" s="10"/>
      <c r="P190" s="10"/>
      <c r="Q190" s="10"/>
      <c r="R190" s="10"/>
      <c r="S190" s="10"/>
      <c r="T190" s="10"/>
      <c r="U190" s="10"/>
      <c r="V190" s="10"/>
      <c r="W190" s="10"/>
      <c r="X190" s="10"/>
      <c r="Y190" s="10"/>
      <c r="Z190" s="10"/>
      <c r="AA190" s="10"/>
      <c r="AB190" s="10"/>
      <c r="AC190" s="10"/>
      <c r="AD190" s="10"/>
      <c r="AE190" s="10"/>
      <c r="AF190" s="10"/>
    </row>
    <row r="191">
      <c r="A191" s="7"/>
      <c r="B191" s="8">
        <v>16.0</v>
      </c>
      <c r="C191" s="8">
        <v>63.0</v>
      </c>
      <c r="D191" s="8" t="s">
        <v>522</v>
      </c>
      <c r="E191" s="7">
        <v>0.0</v>
      </c>
      <c r="F191" s="7"/>
      <c r="G191" s="7" t="s">
        <v>312</v>
      </c>
      <c r="H191" s="7" t="s">
        <v>313</v>
      </c>
      <c r="I191" s="10"/>
      <c r="J191" s="11"/>
      <c r="K191" s="12"/>
      <c r="L191" s="12"/>
      <c r="M191" s="10"/>
      <c r="N191" s="10"/>
      <c r="O191" s="10"/>
      <c r="P191" s="10"/>
      <c r="Q191" s="10"/>
      <c r="R191" s="10"/>
      <c r="S191" s="10"/>
      <c r="T191" s="10"/>
      <c r="U191" s="10"/>
      <c r="V191" s="10"/>
      <c r="W191" s="10"/>
      <c r="X191" s="10"/>
      <c r="Y191" s="10"/>
      <c r="Z191" s="10"/>
      <c r="AA191" s="10"/>
      <c r="AB191" s="10"/>
      <c r="AC191" s="10"/>
      <c r="AD191" s="10"/>
      <c r="AE191" s="10"/>
      <c r="AF191" s="10"/>
    </row>
    <row r="192">
      <c r="A192" s="7"/>
      <c r="B192" s="8">
        <v>16.0</v>
      </c>
      <c r="C192" s="8">
        <v>64.0</v>
      </c>
      <c r="D192" s="8" t="s">
        <v>523</v>
      </c>
      <c r="E192" s="7">
        <v>0.0</v>
      </c>
      <c r="F192" s="7"/>
      <c r="G192" s="7" t="s">
        <v>312</v>
      </c>
      <c r="H192" s="7" t="s">
        <v>313</v>
      </c>
      <c r="I192" s="10"/>
      <c r="J192" s="11"/>
      <c r="K192" s="12"/>
      <c r="L192" s="12"/>
      <c r="M192" s="10"/>
      <c r="N192" s="10"/>
      <c r="O192" s="10"/>
      <c r="P192" s="10"/>
      <c r="Q192" s="10"/>
      <c r="R192" s="10"/>
      <c r="S192" s="10"/>
      <c r="T192" s="10"/>
      <c r="U192" s="10"/>
      <c r="V192" s="10"/>
      <c r="W192" s="10"/>
      <c r="X192" s="10"/>
      <c r="Y192" s="10"/>
      <c r="Z192" s="10"/>
      <c r="AA192" s="10"/>
      <c r="AB192" s="10"/>
      <c r="AC192" s="10"/>
      <c r="AD192" s="10"/>
      <c r="AE192" s="10"/>
      <c r="AF192" s="10"/>
    </row>
    <row r="193">
      <c r="A193" s="7"/>
      <c r="B193" s="8">
        <v>16.0</v>
      </c>
      <c r="C193" s="8">
        <v>65.0</v>
      </c>
      <c r="D193" s="8" t="s">
        <v>524</v>
      </c>
      <c r="E193" s="7">
        <v>0.0</v>
      </c>
      <c r="F193" s="7"/>
      <c r="G193" s="7" t="s">
        <v>312</v>
      </c>
      <c r="H193" s="7" t="s">
        <v>313</v>
      </c>
      <c r="I193" s="10"/>
      <c r="J193" s="11"/>
      <c r="K193" s="12"/>
      <c r="L193" s="12"/>
      <c r="M193" s="10"/>
      <c r="N193" s="10"/>
      <c r="O193" s="10"/>
      <c r="P193" s="10"/>
      <c r="Q193" s="10"/>
      <c r="R193" s="10"/>
      <c r="S193" s="10"/>
      <c r="T193" s="10"/>
      <c r="U193" s="10"/>
      <c r="V193" s="10"/>
      <c r="W193" s="10"/>
      <c r="X193" s="10"/>
      <c r="Y193" s="10"/>
      <c r="Z193" s="10"/>
      <c r="AA193" s="10"/>
      <c r="AB193" s="10"/>
      <c r="AC193" s="10"/>
      <c r="AD193" s="10"/>
      <c r="AE193" s="10"/>
      <c r="AF193" s="10"/>
    </row>
    <row r="194">
      <c r="A194" s="7"/>
      <c r="B194" s="8">
        <v>16.0</v>
      </c>
      <c r="C194" s="8">
        <v>66.0</v>
      </c>
      <c r="D194" s="8" t="s">
        <v>525</v>
      </c>
      <c r="E194" s="7">
        <v>0.0</v>
      </c>
      <c r="F194" s="7"/>
      <c r="G194" s="7" t="s">
        <v>312</v>
      </c>
      <c r="H194" s="7" t="s">
        <v>313</v>
      </c>
      <c r="I194" s="10"/>
      <c r="J194" s="11"/>
      <c r="K194" s="12"/>
      <c r="L194" s="12"/>
      <c r="M194" s="10"/>
      <c r="N194" s="10"/>
      <c r="O194" s="10"/>
      <c r="P194" s="10"/>
      <c r="Q194" s="10"/>
      <c r="R194" s="10"/>
      <c r="S194" s="10"/>
      <c r="T194" s="10"/>
      <c r="U194" s="10"/>
      <c r="V194" s="10"/>
      <c r="W194" s="10"/>
      <c r="X194" s="10"/>
      <c r="Y194" s="10"/>
      <c r="Z194" s="10"/>
      <c r="AA194" s="10"/>
      <c r="AB194" s="10"/>
      <c r="AC194" s="10"/>
      <c r="AD194" s="10"/>
      <c r="AE194" s="10"/>
      <c r="AF194" s="10"/>
    </row>
    <row r="195">
      <c r="A195" s="10"/>
      <c r="B195" s="12"/>
      <c r="C195" s="12"/>
      <c r="D195" s="12"/>
      <c r="E195" s="10"/>
      <c r="F195" s="10"/>
      <c r="G195" s="10"/>
      <c r="H195" s="10"/>
      <c r="I195" s="10"/>
      <c r="J195" s="11"/>
      <c r="K195" s="12"/>
      <c r="L195" s="12"/>
      <c r="M195" s="10"/>
      <c r="N195" s="10"/>
      <c r="O195" s="10"/>
      <c r="P195" s="10"/>
      <c r="Q195" s="10"/>
      <c r="R195" s="10"/>
      <c r="S195" s="10"/>
      <c r="T195" s="10"/>
      <c r="U195" s="10"/>
      <c r="V195" s="10"/>
      <c r="W195" s="10"/>
      <c r="X195" s="10"/>
      <c r="Y195" s="10"/>
      <c r="Z195" s="10"/>
      <c r="AA195" s="10"/>
      <c r="AB195" s="10"/>
      <c r="AC195" s="10"/>
      <c r="AD195" s="10"/>
      <c r="AE195" s="10"/>
      <c r="AF195" s="10"/>
    </row>
    <row r="196">
      <c r="A196" s="7"/>
      <c r="B196" s="8">
        <v>17.0</v>
      </c>
      <c r="C196" s="8">
        <v>1.0</v>
      </c>
      <c r="D196" s="8" t="s">
        <v>526</v>
      </c>
      <c r="E196" s="7">
        <v>0.0</v>
      </c>
      <c r="F196" s="7"/>
      <c r="G196" s="7" t="s">
        <v>312</v>
      </c>
      <c r="H196" s="7" t="s">
        <v>313</v>
      </c>
      <c r="I196" s="10"/>
      <c r="J196" s="9" t="s">
        <v>527</v>
      </c>
      <c r="K196" s="8" t="s">
        <v>528</v>
      </c>
      <c r="L196" s="12"/>
      <c r="M196" s="10"/>
      <c r="N196" s="10"/>
      <c r="O196" s="10"/>
      <c r="P196" s="10"/>
      <c r="Q196" s="10"/>
      <c r="R196" s="10"/>
      <c r="S196" s="10"/>
      <c r="T196" s="10"/>
      <c r="U196" s="10"/>
      <c r="V196" s="10"/>
      <c r="W196" s="10"/>
      <c r="X196" s="10"/>
      <c r="Y196" s="10"/>
      <c r="Z196" s="10"/>
      <c r="AA196" s="10"/>
      <c r="AB196" s="10"/>
      <c r="AC196" s="10"/>
      <c r="AD196" s="10"/>
      <c r="AE196" s="10"/>
      <c r="AF196" s="10"/>
    </row>
    <row r="197">
      <c r="A197" s="7"/>
      <c r="B197" s="8">
        <v>17.0</v>
      </c>
      <c r="C197" s="8">
        <v>2.0</v>
      </c>
      <c r="D197" s="8" t="s">
        <v>529</v>
      </c>
      <c r="E197" s="7">
        <v>0.0</v>
      </c>
      <c r="F197" s="7"/>
      <c r="G197" s="7" t="s">
        <v>312</v>
      </c>
      <c r="H197" s="7" t="s">
        <v>313</v>
      </c>
      <c r="I197" s="10"/>
      <c r="J197" s="11"/>
      <c r="K197" s="12"/>
      <c r="L197" s="12"/>
      <c r="M197" s="10"/>
      <c r="N197" s="10"/>
      <c r="O197" s="10"/>
      <c r="P197" s="10"/>
      <c r="Q197" s="10"/>
      <c r="R197" s="10"/>
      <c r="S197" s="10"/>
      <c r="T197" s="10"/>
      <c r="U197" s="10"/>
      <c r="V197" s="10"/>
      <c r="W197" s="10"/>
      <c r="X197" s="10"/>
      <c r="Y197" s="10"/>
      <c r="Z197" s="10"/>
      <c r="AA197" s="10"/>
      <c r="AB197" s="10"/>
      <c r="AC197" s="10"/>
      <c r="AD197" s="10"/>
      <c r="AE197" s="10"/>
      <c r="AF197" s="10"/>
    </row>
    <row r="198">
      <c r="A198" s="7"/>
      <c r="B198" s="8">
        <v>17.0</v>
      </c>
      <c r="C198" s="8">
        <v>3.0</v>
      </c>
      <c r="D198" s="8" t="s">
        <v>530</v>
      </c>
      <c r="E198" s="7">
        <v>0.0</v>
      </c>
      <c r="F198" s="7"/>
      <c r="G198" s="7" t="s">
        <v>312</v>
      </c>
      <c r="H198" s="7" t="s">
        <v>313</v>
      </c>
      <c r="I198" s="10"/>
      <c r="J198" s="11"/>
      <c r="K198" s="12"/>
      <c r="L198" s="12"/>
      <c r="M198" s="10"/>
      <c r="N198" s="10"/>
      <c r="O198" s="10"/>
      <c r="P198" s="10"/>
      <c r="Q198" s="10"/>
      <c r="R198" s="10"/>
      <c r="S198" s="10"/>
      <c r="T198" s="10"/>
      <c r="U198" s="10"/>
      <c r="V198" s="10"/>
      <c r="W198" s="10"/>
      <c r="X198" s="10"/>
      <c r="Y198" s="10"/>
      <c r="Z198" s="10"/>
      <c r="AA198" s="10"/>
      <c r="AB198" s="10"/>
      <c r="AC198" s="10"/>
      <c r="AD198" s="10"/>
      <c r="AE198" s="10"/>
      <c r="AF198" s="10"/>
    </row>
    <row r="199">
      <c r="A199" s="10"/>
      <c r="B199" s="12"/>
      <c r="C199" s="12"/>
      <c r="D199" s="12"/>
      <c r="E199" s="10"/>
      <c r="F199" s="10"/>
      <c r="G199" s="10"/>
      <c r="H199" s="10"/>
      <c r="I199" s="10"/>
      <c r="J199" s="11"/>
      <c r="K199" s="12"/>
      <c r="L199" s="12"/>
      <c r="M199" s="10"/>
      <c r="N199" s="10"/>
      <c r="O199" s="10"/>
      <c r="P199" s="10"/>
      <c r="Q199" s="10"/>
      <c r="R199" s="10"/>
      <c r="S199" s="10"/>
      <c r="T199" s="10"/>
      <c r="U199" s="10"/>
      <c r="V199" s="10"/>
      <c r="W199" s="10"/>
      <c r="X199" s="10"/>
      <c r="Y199" s="10"/>
      <c r="Z199" s="10"/>
      <c r="AA199" s="10"/>
      <c r="AB199" s="10"/>
      <c r="AC199" s="10"/>
      <c r="AD199" s="10"/>
      <c r="AE199" s="10"/>
      <c r="AF199" s="10"/>
    </row>
    <row r="200">
      <c r="A200" s="7"/>
      <c r="B200" s="8">
        <v>18.0</v>
      </c>
      <c r="C200" s="8">
        <v>1.0</v>
      </c>
      <c r="D200" s="8" t="s">
        <v>531</v>
      </c>
      <c r="E200" s="7">
        <v>0.0</v>
      </c>
      <c r="F200" s="7"/>
      <c r="G200" s="7" t="s">
        <v>312</v>
      </c>
      <c r="H200" s="7" t="s">
        <v>313</v>
      </c>
      <c r="I200" s="10"/>
      <c r="J200" s="9" t="s">
        <v>532</v>
      </c>
      <c r="K200" s="12"/>
      <c r="L200" s="12"/>
      <c r="M200" s="10"/>
      <c r="N200" s="10"/>
      <c r="O200" s="10"/>
      <c r="P200" s="10"/>
      <c r="Q200" s="10"/>
      <c r="R200" s="10"/>
      <c r="S200" s="10"/>
      <c r="T200" s="10"/>
      <c r="U200" s="10"/>
      <c r="V200" s="10"/>
      <c r="W200" s="10"/>
      <c r="X200" s="10"/>
      <c r="Y200" s="10"/>
      <c r="Z200" s="10"/>
      <c r="AA200" s="10"/>
      <c r="AB200" s="10"/>
      <c r="AC200" s="10"/>
      <c r="AD200" s="10"/>
      <c r="AE200" s="10"/>
      <c r="AF200" s="10"/>
    </row>
    <row r="201">
      <c r="A201" s="7"/>
      <c r="B201" s="8">
        <v>18.0</v>
      </c>
      <c r="C201" s="8">
        <v>2.0</v>
      </c>
      <c r="D201" s="8" t="s">
        <v>533</v>
      </c>
      <c r="E201" s="7">
        <v>0.0</v>
      </c>
      <c r="F201" s="7"/>
      <c r="G201" s="7" t="s">
        <v>312</v>
      </c>
      <c r="H201" s="7" t="s">
        <v>313</v>
      </c>
      <c r="I201" s="10"/>
      <c r="J201" s="9" t="s">
        <v>534</v>
      </c>
      <c r="K201" s="12"/>
      <c r="L201" s="12"/>
      <c r="M201" s="10"/>
      <c r="N201" s="10"/>
      <c r="O201" s="10"/>
      <c r="P201" s="10"/>
      <c r="Q201" s="10"/>
      <c r="R201" s="10"/>
      <c r="S201" s="10"/>
      <c r="T201" s="10"/>
      <c r="U201" s="10"/>
      <c r="V201" s="10"/>
      <c r="W201" s="10"/>
      <c r="X201" s="10"/>
      <c r="Y201" s="10"/>
      <c r="Z201" s="10"/>
      <c r="AA201" s="10"/>
      <c r="AB201" s="10"/>
      <c r="AC201" s="10"/>
      <c r="AD201" s="10"/>
      <c r="AE201" s="10"/>
      <c r="AF201" s="10"/>
    </row>
    <row r="202">
      <c r="A202" s="7"/>
      <c r="B202" s="8">
        <v>18.0</v>
      </c>
      <c r="C202" s="8">
        <v>3.0</v>
      </c>
      <c r="D202" s="8" t="s">
        <v>535</v>
      </c>
      <c r="E202" s="7">
        <v>0.0</v>
      </c>
      <c r="F202" s="7"/>
      <c r="G202" s="7" t="s">
        <v>312</v>
      </c>
      <c r="H202" s="7" t="s">
        <v>313</v>
      </c>
      <c r="I202" s="10"/>
      <c r="J202" s="11"/>
      <c r="K202" s="12"/>
      <c r="L202" s="12"/>
      <c r="M202" s="10"/>
      <c r="N202" s="10"/>
      <c r="O202" s="10"/>
      <c r="P202" s="10"/>
      <c r="Q202" s="10"/>
      <c r="R202" s="10"/>
      <c r="S202" s="10"/>
      <c r="T202" s="10"/>
      <c r="U202" s="10"/>
      <c r="V202" s="10"/>
      <c r="W202" s="10"/>
      <c r="X202" s="10"/>
      <c r="Y202" s="10"/>
      <c r="Z202" s="10"/>
      <c r="AA202" s="10"/>
      <c r="AB202" s="10"/>
      <c r="AC202" s="10"/>
      <c r="AD202" s="10"/>
      <c r="AE202" s="10"/>
      <c r="AF202" s="10"/>
    </row>
    <row r="203">
      <c r="A203" s="7"/>
      <c r="B203" s="8">
        <v>18.0</v>
      </c>
      <c r="C203" s="8">
        <v>4.0</v>
      </c>
      <c r="D203" s="8" t="s">
        <v>536</v>
      </c>
      <c r="E203" s="7">
        <v>1.0</v>
      </c>
      <c r="F203" s="7"/>
      <c r="G203" s="7" t="s">
        <v>312</v>
      </c>
      <c r="H203" s="7" t="s">
        <v>313</v>
      </c>
      <c r="I203" s="10"/>
      <c r="J203" s="11"/>
      <c r="K203" s="12"/>
      <c r="L203" s="12"/>
      <c r="M203" s="10"/>
      <c r="N203" s="10"/>
      <c r="O203" s="10"/>
      <c r="P203" s="10"/>
      <c r="Q203" s="10"/>
      <c r="R203" s="10"/>
      <c r="S203" s="10"/>
      <c r="T203" s="10"/>
      <c r="U203" s="10"/>
      <c r="V203" s="10"/>
      <c r="W203" s="10"/>
      <c r="X203" s="10"/>
      <c r="Y203" s="10"/>
      <c r="Z203" s="10"/>
      <c r="AA203" s="10"/>
      <c r="AB203" s="10"/>
      <c r="AC203" s="10"/>
      <c r="AD203" s="10"/>
      <c r="AE203" s="10"/>
      <c r="AF203" s="10"/>
    </row>
    <row r="204">
      <c r="A204" s="7"/>
      <c r="B204" s="8">
        <v>18.0</v>
      </c>
      <c r="C204" s="8">
        <v>5.0</v>
      </c>
      <c r="D204" s="8" t="s">
        <v>537</v>
      </c>
      <c r="E204" s="7">
        <v>1.0</v>
      </c>
      <c r="F204" s="7"/>
      <c r="G204" s="7" t="s">
        <v>312</v>
      </c>
      <c r="H204" s="7" t="s">
        <v>313</v>
      </c>
      <c r="I204" s="10"/>
      <c r="J204" s="11"/>
      <c r="K204" s="12"/>
      <c r="L204" s="12"/>
      <c r="M204" s="10"/>
      <c r="N204" s="10"/>
      <c r="O204" s="10"/>
      <c r="P204" s="10"/>
      <c r="Q204" s="10"/>
      <c r="R204" s="10"/>
      <c r="S204" s="10"/>
      <c r="T204" s="10"/>
      <c r="U204" s="10"/>
      <c r="V204" s="10"/>
      <c r="W204" s="10"/>
      <c r="X204" s="10"/>
      <c r="Y204" s="10"/>
      <c r="Z204" s="10"/>
      <c r="AA204" s="10"/>
      <c r="AB204" s="10"/>
      <c r="AC204" s="10"/>
      <c r="AD204" s="10"/>
      <c r="AE204" s="10"/>
      <c r="AF204" s="10"/>
    </row>
    <row r="205">
      <c r="A205" s="7"/>
      <c r="B205" s="8">
        <v>18.0</v>
      </c>
      <c r="C205" s="8">
        <v>6.0</v>
      </c>
      <c r="D205" s="8" t="s">
        <v>538</v>
      </c>
      <c r="E205" s="7">
        <v>0.0</v>
      </c>
      <c r="F205" s="7"/>
      <c r="G205" s="7" t="s">
        <v>312</v>
      </c>
      <c r="H205" s="7" t="s">
        <v>313</v>
      </c>
      <c r="I205" s="10"/>
      <c r="J205" s="11"/>
      <c r="K205" s="12"/>
      <c r="L205" s="12"/>
      <c r="M205" s="10"/>
      <c r="N205" s="10"/>
      <c r="O205" s="10"/>
      <c r="P205" s="10"/>
      <c r="Q205" s="10"/>
      <c r="R205" s="10"/>
      <c r="S205" s="10"/>
      <c r="T205" s="10"/>
      <c r="U205" s="10"/>
      <c r="V205" s="10"/>
      <c r="W205" s="10"/>
      <c r="X205" s="10"/>
      <c r="Y205" s="10"/>
      <c r="Z205" s="10"/>
      <c r="AA205" s="10"/>
      <c r="AB205" s="10"/>
      <c r="AC205" s="10"/>
      <c r="AD205" s="10"/>
      <c r="AE205" s="10"/>
      <c r="AF205" s="10"/>
    </row>
    <row r="206">
      <c r="A206" s="10"/>
      <c r="B206" s="12"/>
      <c r="C206" s="12"/>
      <c r="D206" s="12"/>
      <c r="E206" s="10"/>
      <c r="F206" s="10"/>
      <c r="G206" s="10"/>
      <c r="H206" s="10"/>
      <c r="I206" s="10"/>
      <c r="J206" s="11"/>
      <c r="K206" s="12"/>
      <c r="L206" s="12"/>
      <c r="M206" s="10"/>
      <c r="N206" s="10"/>
      <c r="O206" s="10"/>
      <c r="P206" s="10"/>
      <c r="Q206" s="10"/>
      <c r="R206" s="10"/>
      <c r="S206" s="10"/>
      <c r="T206" s="10"/>
      <c r="U206" s="10"/>
      <c r="V206" s="10"/>
      <c r="W206" s="10"/>
      <c r="X206" s="10"/>
      <c r="Y206" s="10"/>
      <c r="Z206" s="10"/>
      <c r="AA206" s="10"/>
      <c r="AB206" s="10"/>
      <c r="AC206" s="10"/>
      <c r="AD206" s="10"/>
      <c r="AE206" s="10"/>
      <c r="AF206" s="10"/>
    </row>
    <row r="207">
      <c r="A207" s="7"/>
      <c r="B207" s="8">
        <v>19.0</v>
      </c>
      <c r="C207" s="8">
        <v>1.0</v>
      </c>
      <c r="D207" s="8" t="s">
        <v>539</v>
      </c>
      <c r="E207" s="7">
        <v>0.0</v>
      </c>
      <c r="F207" s="7"/>
      <c r="G207" s="7" t="s">
        <v>312</v>
      </c>
      <c r="H207" s="7" t="s">
        <v>313</v>
      </c>
      <c r="I207" s="10"/>
      <c r="J207" s="9" t="s">
        <v>540</v>
      </c>
      <c r="K207" s="12"/>
      <c r="L207" s="12"/>
      <c r="M207" s="10"/>
      <c r="N207" s="10"/>
      <c r="O207" s="10"/>
      <c r="P207" s="10"/>
      <c r="Q207" s="10"/>
      <c r="R207" s="10"/>
      <c r="S207" s="10"/>
      <c r="T207" s="10"/>
      <c r="U207" s="10"/>
      <c r="V207" s="10"/>
      <c r="W207" s="10"/>
      <c r="X207" s="10"/>
      <c r="Y207" s="10"/>
      <c r="Z207" s="10"/>
      <c r="AA207" s="10"/>
      <c r="AB207" s="10"/>
      <c r="AC207" s="10"/>
      <c r="AD207" s="10"/>
      <c r="AE207" s="10"/>
      <c r="AF207" s="10"/>
    </row>
    <row r="208">
      <c r="A208" s="7"/>
      <c r="B208" s="8">
        <v>19.0</v>
      </c>
      <c r="C208" s="8">
        <v>2.0</v>
      </c>
      <c r="D208" s="8" t="s">
        <v>541</v>
      </c>
      <c r="E208" s="7">
        <v>1.0</v>
      </c>
      <c r="F208" s="7"/>
      <c r="G208" s="7" t="s">
        <v>312</v>
      </c>
      <c r="H208" s="7" t="s">
        <v>313</v>
      </c>
      <c r="I208" s="10"/>
      <c r="J208" s="11"/>
      <c r="K208" s="12"/>
      <c r="L208" s="12"/>
      <c r="M208" s="10"/>
      <c r="N208" s="10"/>
      <c r="O208" s="10"/>
      <c r="P208" s="10"/>
      <c r="Q208" s="10"/>
      <c r="R208" s="10"/>
      <c r="S208" s="10"/>
      <c r="T208" s="10"/>
      <c r="U208" s="10"/>
      <c r="V208" s="10"/>
      <c r="W208" s="10"/>
      <c r="X208" s="10"/>
      <c r="Y208" s="10"/>
      <c r="Z208" s="10"/>
      <c r="AA208" s="10"/>
      <c r="AB208" s="10"/>
      <c r="AC208" s="10"/>
      <c r="AD208" s="10"/>
      <c r="AE208" s="10"/>
      <c r="AF208" s="10"/>
    </row>
    <row r="209">
      <c r="A209" s="7"/>
      <c r="B209" s="8">
        <v>19.0</v>
      </c>
      <c r="C209" s="8">
        <v>3.0</v>
      </c>
      <c r="D209" s="8" t="s">
        <v>542</v>
      </c>
      <c r="E209" s="7">
        <v>1.0</v>
      </c>
      <c r="F209" s="7"/>
      <c r="G209" s="7" t="s">
        <v>312</v>
      </c>
      <c r="H209" s="7" t="s">
        <v>313</v>
      </c>
      <c r="I209" s="10"/>
      <c r="J209" s="11"/>
      <c r="K209" s="12"/>
      <c r="L209" s="12"/>
      <c r="M209" s="10"/>
      <c r="N209" s="10"/>
      <c r="O209" s="10"/>
      <c r="P209" s="10"/>
      <c r="Q209" s="10"/>
      <c r="R209" s="10"/>
      <c r="S209" s="10"/>
      <c r="T209" s="10"/>
      <c r="U209" s="10"/>
      <c r="V209" s="10"/>
      <c r="W209" s="10"/>
      <c r="X209" s="10"/>
      <c r="Y209" s="10"/>
      <c r="Z209" s="10"/>
      <c r="AA209" s="10"/>
      <c r="AB209" s="10"/>
      <c r="AC209" s="10"/>
      <c r="AD209" s="10"/>
      <c r="AE209" s="10"/>
      <c r="AF209" s="10"/>
    </row>
    <row r="210">
      <c r="A210" s="7"/>
      <c r="B210" s="8">
        <v>19.0</v>
      </c>
      <c r="C210" s="8">
        <v>4.0</v>
      </c>
      <c r="D210" s="8" t="s">
        <v>543</v>
      </c>
      <c r="E210" s="7">
        <v>1.0</v>
      </c>
      <c r="F210" s="7"/>
      <c r="G210" s="7" t="s">
        <v>312</v>
      </c>
      <c r="H210" s="7" t="s">
        <v>313</v>
      </c>
      <c r="I210" s="10"/>
      <c r="J210" s="11"/>
      <c r="K210" s="12"/>
      <c r="L210" s="12"/>
      <c r="M210" s="10"/>
      <c r="N210" s="10"/>
      <c r="O210" s="10"/>
      <c r="P210" s="10"/>
      <c r="Q210" s="10"/>
      <c r="R210" s="10"/>
      <c r="S210" s="10"/>
      <c r="T210" s="10"/>
      <c r="U210" s="10"/>
      <c r="V210" s="10"/>
      <c r="W210" s="10"/>
      <c r="X210" s="10"/>
      <c r="Y210" s="10"/>
      <c r="Z210" s="10"/>
      <c r="AA210" s="10"/>
      <c r="AB210" s="10"/>
      <c r="AC210" s="10"/>
      <c r="AD210" s="10"/>
      <c r="AE210" s="10"/>
      <c r="AF210" s="10"/>
    </row>
    <row r="211">
      <c r="A211" s="7"/>
      <c r="B211" s="8">
        <v>19.0</v>
      </c>
      <c r="C211" s="8">
        <v>5.0</v>
      </c>
      <c r="D211" s="8" t="s">
        <v>544</v>
      </c>
      <c r="E211" s="7">
        <v>1.0</v>
      </c>
      <c r="F211" s="7"/>
      <c r="G211" s="7" t="s">
        <v>312</v>
      </c>
      <c r="H211" s="7" t="s">
        <v>313</v>
      </c>
      <c r="I211" s="10"/>
      <c r="J211" s="11"/>
      <c r="K211" s="12"/>
      <c r="L211" s="12"/>
      <c r="M211" s="10"/>
      <c r="N211" s="10"/>
      <c r="O211" s="10"/>
      <c r="P211" s="10"/>
      <c r="Q211" s="10"/>
      <c r="R211" s="10"/>
      <c r="S211" s="10"/>
      <c r="T211" s="10"/>
      <c r="U211" s="10"/>
      <c r="V211" s="10"/>
      <c r="W211" s="10"/>
      <c r="X211" s="10"/>
      <c r="Y211" s="10"/>
      <c r="Z211" s="10"/>
      <c r="AA211" s="10"/>
      <c r="AB211" s="10"/>
      <c r="AC211" s="10"/>
      <c r="AD211" s="10"/>
      <c r="AE211" s="10"/>
      <c r="AF211" s="10"/>
    </row>
    <row r="212">
      <c r="A212" s="7"/>
      <c r="B212" s="8">
        <v>19.0</v>
      </c>
      <c r="C212" s="8">
        <v>6.0</v>
      </c>
      <c r="D212" s="8" t="s">
        <v>545</v>
      </c>
      <c r="E212" s="7">
        <v>0.0</v>
      </c>
      <c r="F212" s="7"/>
      <c r="G212" s="7" t="s">
        <v>312</v>
      </c>
      <c r="H212" s="7" t="s">
        <v>313</v>
      </c>
      <c r="I212" s="10"/>
      <c r="J212" s="11"/>
      <c r="K212" s="12"/>
      <c r="L212" s="12"/>
      <c r="M212" s="10"/>
      <c r="N212" s="10"/>
      <c r="O212" s="10"/>
      <c r="P212" s="10"/>
      <c r="Q212" s="10"/>
      <c r="R212" s="10"/>
      <c r="S212" s="10"/>
      <c r="T212" s="10"/>
      <c r="U212" s="10"/>
      <c r="V212" s="10"/>
      <c r="W212" s="10"/>
      <c r="X212" s="10"/>
      <c r="Y212" s="10"/>
      <c r="Z212" s="10"/>
      <c r="AA212" s="10"/>
      <c r="AB212" s="10"/>
      <c r="AC212" s="10"/>
      <c r="AD212" s="10"/>
      <c r="AE212" s="10"/>
      <c r="AF212" s="10"/>
    </row>
    <row r="213">
      <c r="A213" s="10"/>
      <c r="B213" s="12"/>
      <c r="C213" s="12"/>
      <c r="D213" s="12"/>
      <c r="E213" s="10"/>
      <c r="F213" s="10"/>
      <c r="G213" s="10"/>
      <c r="H213" s="10"/>
      <c r="I213" s="10"/>
      <c r="J213" s="11"/>
      <c r="K213" s="12"/>
      <c r="L213" s="12"/>
      <c r="M213" s="10"/>
      <c r="N213" s="10"/>
      <c r="O213" s="10"/>
      <c r="P213" s="10"/>
      <c r="Q213" s="10"/>
      <c r="R213" s="10"/>
      <c r="S213" s="10"/>
      <c r="T213" s="10"/>
      <c r="U213" s="10"/>
      <c r="V213" s="10"/>
      <c r="W213" s="10"/>
      <c r="X213" s="10"/>
      <c r="Y213" s="10"/>
      <c r="Z213" s="10"/>
      <c r="AA213" s="10"/>
      <c r="AB213" s="10"/>
      <c r="AC213" s="10"/>
      <c r="AD213" s="10"/>
      <c r="AE213" s="10"/>
      <c r="AF213" s="10"/>
    </row>
    <row r="214">
      <c r="A214" s="7"/>
      <c r="B214" s="8">
        <v>20.0</v>
      </c>
      <c r="C214" s="8">
        <v>1.0</v>
      </c>
      <c r="D214" s="8" t="s">
        <v>546</v>
      </c>
      <c r="E214" s="7">
        <v>0.0</v>
      </c>
      <c r="F214" s="7"/>
      <c r="G214" s="7" t="s">
        <v>312</v>
      </c>
      <c r="H214" s="7" t="s">
        <v>313</v>
      </c>
      <c r="I214" s="10"/>
      <c r="J214" s="9" t="s">
        <v>547</v>
      </c>
      <c r="K214" s="8" t="s">
        <v>548</v>
      </c>
      <c r="L214" s="12"/>
      <c r="M214" s="10"/>
      <c r="N214" s="10"/>
      <c r="O214" s="10"/>
      <c r="P214" s="10"/>
      <c r="Q214" s="10"/>
      <c r="R214" s="10"/>
      <c r="S214" s="10"/>
      <c r="T214" s="10"/>
      <c r="U214" s="10"/>
      <c r="V214" s="10"/>
      <c r="W214" s="10"/>
      <c r="X214" s="10"/>
      <c r="Y214" s="10"/>
      <c r="Z214" s="10"/>
      <c r="AA214" s="10"/>
      <c r="AB214" s="10"/>
      <c r="AC214" s="10"/>
      <c r="AD214" s="10"/>
      <c r="AE214" s="10"/>
      <c r="AF214" s="10"/>
    </row>
    <row r="215">
      <c r="A215" s="7"/>
      <c r="B215" s="8">
        <v>20.0</v>
      </c>
      <c r="C215" s="8">
        <v>2.0</v>
      </c>
      <c r="D215" s="8" t="s">
        <v>549</v>
      </c>
      <c r="E215" s="7">
        <v>0.0</v>
      </c>
      <c r="F215" s="7"/>
      <c r="G215" s="7" t="s">
        <v>312</v>
      </c>
      <c r="H215" s="7" t="s">
        <v>313</v>
      </c>
      <c r="I215" s="10"/>
      <c r="J215" s="11"/>
      <c r="K215" s="12"/>
      <c r="L215" s="12"/>
      <c r="M215" s="10"/>
      <c r="N215" s="10"/>
      <c r="O215" s="10"/>
      <c r="P215" s="10"/>
      <c r="Q215" s="10"/>
      <c r="R215" s="10"/>
      <c r="S215" s="10"/>
      <c r="T215" s="10"/>
      <c r="U215" s="10"/>
      <c r="V215" s="10"/>
      <c r="W215" s="10"/>
      <c r="X215" s="10"/>
      <c r="Y215" s="10"/>
      <c r="Z215" s="10"/>
      <c r="AA215" s="10"/>
      <c r="AB215" s="10"/>
      <c r="AC215" s="10"/>
      <c r="AD215" s="10"/>
      <c r="AE215" s="10"/>
      <c r="AF215" s="10"/>
    </row>
    <row r="216">
      <c r="A216" s="7"/>
      <c r="B216" s="8">
        <v>20.0</v>
      </c>
      <c r="C216" s="8">
        <v>3.0</v>
      </c>
      <c r="D216" s="8" t="s">
        <v>550</v>
      </c>
      <c r="E216" s="7">
        <v>1.0</v>
      </c>
      <c r="F216" s="7"/>
      <c r="G216" s="7" t="s">
        <v>312</v>
      </c>
      <c r="H216" s="7" t="s">
        <v>313</v>
      </c>
      <c r="I216" s="10"/>
      <c r="J216" s="11"/>
      <c r="K216" s="12"/>
      <c r="L216" s="12"/>
      <c r="M216" s="10"/>
      <c r="N216" s="10"/>
      <c r="O216" s="10"/>
      <c r="P216" s="10"/>
      <c r="Q216" s="10"/>
      <c r="R216" s="10"/>
      <c r="S216" s="10"/>
      <c r="T216" s="10"/>
      <c r="U216" s="10"/>
      <c r="V216" s="10"/>
      <c r="W216" s="10"/>
      <c r="X216" s="10"/>
      <c r="Y216" s="10"/>
      <c r="Z216" s="10"/>
      <c r="AA216" s="10"/>
      <c r="AB216" s="10"/>
      <c r="AC216" s="10"/>
      <c r="AD216" s="10"/>
      <c r="AE216" s="10"/>
      <c r="AF216" s="10"/>
    </row>
    <row r="217">
      <c r="A217" s="10"/>
      <c r="B217" s="12"/>
      <c r="C217" s="12"/>
      <c r="D217" s="12"/>
      <c r="E217" s="10"/>
      <c r="F217" s="10"/>
      <c r="G217" s="10"/>
      <c r="H217" s="10"/>
      <c r="I217" s="10"/>
      <c r="J217" s="11"/>
      <c r="K217" s="12"/>
      <c r="L217" s="12"/>
      <c r="M217" s="10"/>
      <c r="N217" s="10"/>
      <c r="O217" s="10"/>
      <c r="P217" s="10"/>
      <c r="Q217" s="10"/>
      <c r="R217" s="10"/>
      <c r="S217" s="10"/>
      <c r="T217" s="10"/>
      <c r="U217" s="10"/>
      <c r="V217" s="10"/>
      <c r="W217" s="10"/>
      <c r="X217" s="10"/>
      <c r="Y217" s="10"/>
      <c r="Z217" s="10"/>
      <c r="AA217" s="10"/>
      <c r="AB217" s="10"/>
      <c r="AC217" s="10"/>
      <c r="AD217" s="10"/>
      <c r="AE217" s="10"/>
      <c r="AF217" s="10"/>
    </row>
    <row r="218">
      <c r="A218" s="7"/>
      <c r="B218" s="8">
        <v>21.0</v>
      </c>
      <c r="C218" s="8">
        <v>1.0</v>
      </c>
      <c r="D218" s="8" t="s">
        <v>551</v>
      </c>
      <c r="E218" s="7">
        <v>1.0</v>
      </c>
      <c r="F218" s="7"/>
      <c r="G218" s="7" t="s">
        <v>312</v>
      </c>
      <c r="H218" s="7" t="s">
        <v>313</v>
      </c>
      <c r="I218" s="10"/>
      <c r="J218" s="9" t="s">
        <v>552</v>
      </c>
      <c r="K218" s="12"/>
      <c r="L218" s="12"/>
      <c r="M218" s="10"/>
      <c r="N218" s="10"/>
      <c r="O218" s="10"/>
      <c r="P218" s="10"/>
      <c r="Q218" s="10"/>
      <c r="R218" s="10"/>
      <c r="S218" s="10"/>
      <c r="T218" s="10"/>
      <c r="U218" s="10"/>
      <c r="V218" s="10"/>
      <c r="W218" s="10"/>
      <c r="X218" s="10"/>
      <c r="Y218" s="10"/>
      <c r="Z218" s="10"/>
      <c r="AA218" s="10"/>
      <c r="AB218" s="10"/>
      <c r="AC218" s="10"/>
      <c r="AD218" s="10"/>
      <c r="AE218" s="10"/>
      <c r="AF218" s="10"/>
    </row>
    <row r="219">
      <c r="A219" s="7"/>
      <c r="B219" s="8">
        <v>21.0</v>
      </c>
      <c r="C219" s="8">
        <v>2.0</v>
      </c>
      <c r="D219" s="8" t="s">
        <v>553</v>
      </c>
      <c r="E219" s="7">
        <v>1.0</v>
      </c>
      <c r="F219" s="7"/>
      <c r="G219" s="7" t="s">
        <v>312</v>
      </c>
      <c r="H219" s="7" t="s">
        <v>313</v>
      </c>
      <c r="I219" s="10"/>
      <c r="J219" s="11"/>
      <c r="K219" s="12"/>
      <c r="L219" s="12"/>
      <c r="M219" s="10"/>
      <c r="N219" s="10"/>
      <c r="O219" s="10"/>
      <c r="P219" s="10"/>
      <c r="Q219" s="10"/>
      <c r="R219" s="10"/>
      <c r="S219" s="10"/>
      <c r="T219" s="10"/>
      <c r="U219" s="10"/>
      <c r="V219" s="10"/>
      <c r="W219" s="10"/>
      <c r="X219" s="10"/>
      <c r="Y219" s="10"/>
      <c r="Z219" s="10"/>
      <c r="AA219" s="10"/>
      <c r="AB219" s="10"/>
      <c r="AC219" s="10"/>
      <c r="AD219" s="10"/>
      <c r="AE219" s="10"/>
      <c r="AF219" s="10"/>
    </row>
    <row r="220">
      <c r="A220" s="7"/>
      <c r="B220" s="8">
        <v>21.0</v>
      </c>
      <c r="C220" s="8">
        <v>3.0</v>
      </c>
      <c r="D220" s="8" t="s">
        <v>554</v>
      </c>
      <c r="E220" s="7">
        <v>0.0</v>
      </c>
      <c r="F220" s="7"/>
      <c r="G220" s="7" t="s">
        <v>312</v>
      </c>
      <c r="H220" s="7" t="s">
        <v>313</v>
      </c>
      <c r="I220" s="10"/>
      <c r="J220" s="11"/>
      <c r="K220" s="12"/>
      <c r="L220" s="12"/>
      <c r="M220" s="10"/>
      <c r="N220" s="10"/>
      <c r="O220" s="10"/>
      <c r="P220" s="10"/>
      <c r="Q220" s="10"/>
      <c r="R220" s="10"/>
      <c r="S220" s="10"/>
      <c r="T220" s="10"/>
      <c r="U220" s="10"/>
      <c r="V220" s="10"/>
      <c r="W220" s="10"/>
      <c r="X220" s="10"/>
      <c r="Y220" s="10"/>
      <c r="Z220" s="10"/>
      <c r="AA220" s="10"/>
      <c r="AB220" s="10"/>
      <c r="AC220" s="10"/>
      <c r="AD220" s="10"/>
      <c r="AE220" s="10"/>
      <c r="AF220" s="10"/>
    </row>
    <row r="221">
      <c r="A221" s="7"/>
      <c r="B221" s="8">
        <v>21.0</v>
      </c>
      <c r="C221" s="8">
        <v>4.0</v>
      </c>
      <c r="D221" s="8" t="s">
        <v>555</v>
      </c>
      <c r="E221" s="7">
        <v>0.0</v>
      </c>
      <c r="F221" s="7"/>
      <c r="G221" s="7" t="s">
        <v>312</v>
      </c>
      <c r="H221" s="7" t="s">
        <v>313</v>
      </c>
      <c r="I221" s="10"/>
      <c r="J221" s="11"/>
      <c r="K221" s="8" t="s">
        <v>556</v>
      </c>
      <c r="L221" s="12"/>
      <c r="M221" s="10"/>
      <c r="N221" s="10"/>
      <c r="O221" s="10"/>
      <c r="P221" s="10"/>
      <c r="Q221" s="10"/>
      <c r="R221" s="10"/>
      <c r="S221" s="10"/>
      <c r="T221" s="10"/>
      <c r="U221" s="10"/>
      <c r="V221" s="10"/>
      <c r="W221" s="10"/>
      <c r="X221" s="10"/>
      <c r="Y221" s="10"/>
      <c r="Z221" s="10"/>
      <c r="AA221" s="10"/>
      <c r="AB221" s="10"/>
      <c r="AC221" s="10"/>
      <c r="AD221" s="10"/>
      <c r="AE221" s="10"/>
      <c r="AF221" s="10"/>
    </row>
    <row r="222">
      <c r="A222" s="7"/>
      <c r="B222" s="8">
        <v>21.0</v>
      </c>
      <c r="C222" s="8">
        <v>5.0</v>
      </c>
      <c r="D222" s="8" t="s">
        <v>557</v>
      </c>
      <c r="E222" s="7">
        <v>0.0</v>
      </c>
      <c r="F222" s="7"/>
      <c r="G222" s="7" t="s">
        <v>312</v>
      </c>
      <c r="H222" s="7" t="s">
        <v>313</v>
      </c>
      <c r="I222" s="10"/>
      <c r="J222" s="11"/>
      <c r="K222" s="12"/>
      <c r="L222" s="12"/>
      <c r="M222" s="10"/>
      <c r="N222" s="10"/>
      <c r="O222" s="10"/>
      <c r="P222" s="10"/>
      <c r="Q222" s="10"/>
      <c r="R222" s="10"/>
      <c r="S222" s="10"/>
      <c r="T222" s="10"/>
      <c r="U222" s="10"/>
      <c r="V222" s="10"/>
      <c r="W222" s="10"/>
      <c r="X222" s="10"/>
      <c r="Y222" s="10"/>
      <c r="Z222" s="10"/>
      <c r="AA222" s="10"/>
      <c r="AB222" s="10"/>
      <c r="AC222" s="10"/>
      <c r="AD222" s="10"/>
      <c r="AE222" s="10"/>
      <c r="AF222" s="10"/>
    </row>
    <row r="223">
      <c r="A223" s="7"/>
      <c r="B223" s="8">
        <v>21.0</v>
      </c>
      <c r="C223" s="8">
        <v>6.0</v>
      </c>
      <c r="D223" s="8" t="s">
        <v>558</v>
      </c>
      <c r="E223" s="7">
        <v>0.0</v>
      </c>
      <c r="F223" s="7"/>
      <c r="G223" s="7" t="s">
        <v>312</v>
      </c>
      <c r="H223" s="7" t="s">
        <v>313</v>
      </c>
      <c r="I223" s="10"/>
      <c r="J223" s="11"/>
      <c r="K223" s="12"/>
      <c r="L223" s="12"/>
      <c r="M223" s="10"/>
      <c r="N223" s="10"/>
      <c r="O223" s="10"/>
      <c r="P223" s="10"/>
      <c r="Q223" s="10"/>
      <c r="R223" s="10"/>
      <c r="S223" s="10"/>
      <c r="T223" s="10"/>
      <c r="U223" s="10"/>
      <c r="V223" s="10"/>
      <c r="W223" s="10"/>
      <c r="X223" s="10"/>
      <c r="Y223" s="10"/>
      <c r="Z223" s="10"/>
      <c r="AA223" s="10"/>
      <c r="AB223" s="10"/>
      <c r="AC223" s="10"/>
      <c r="AD223" s="10"/>
      <c r="AE223" s="10"/>
      <c r="AF223" s="10"/>
    </row>
    <row r="224">
      <c r="A224" s="7"/>
      <c r="B224" s="8">
        <v>21.0</v>
      </c>
      <c r="C224" s="8">
        <v>7.0</v>
      </c>
      <c r="D224" s="8" t="s">
        <v>559</v>
      </c>
      <c r="E224" s="7">
        <v>0.0</v>
      </c>
      <c r="F224" s="7"/>
      <c r="G224" s="7" t="s">
        <v>312</v>
      </c>
      <c r="H224" s="7" t="s">
        <v>313</v>
      </c>
      <c r="I224" s="10"/>
      <c r="J224" s="11"/>
      <c r="K224" s="8" t="s">
        <v>560</v>
      </c>
      <c r="L224" s="12"/>
      <c r="M224" s="10"/>
      <c r="N224" s="10"/>
      <c r="O224" s="10"/>
      <c r="P224" s="10"/>
      <c r="Q224" s="10"/>
      <c r="R224" s="10"/>
      <c r="S224" s="10"/>
      <c r="T224" s="10"/>
      <c r="U224" s="10"/>
      <c r="V224" s="10"/>
      <c r="W224" s="10"/>
      <c r="X224" s="10"/>
      <c r="Y224" s="10"/>
      <c r="Z224" s="10"/>
      <c r="AA224" s="10"/>
      <c r="AB224" s="10"/>
      <c r="AC224" s="10"/>
      <c r="AD224" s="10"/>
      <c r="AE224" s="10"/>
      <c r="AF224" s="10"/>
    </row>
    <row r="225">
      <c r="A225" s="7"/>
      <c r="B225" s="8">
        <v>21.0</v>
      </c>
      <c r="C225" s="8">
        <v>8.0</v>
      </c>
      <c r="D225" s="8" t="s">
        <v>561</v>
      </c>
      <c r="E225" s="7">
        <v>0.0</v>
      </c>
      <c r="F225" s="7"/>
      <c r="G225" s="7" t="s">
        <v>312</v>
      </c>
      <c r="H225" s="7" t="s">
        <v>313</v>
      </c>
      <c r="I225" s="10"/>
      <c r="J225" s="11"/>
      <c r="K225" s="12"/>
      <c r="L225" s="12"/>
      <c r="M225" s="10"/>
      <c r="N225" s="10"/>
      <c r="O225" s="10"/>
      <c r="P225" s="10"/>
      <c r="Q225" s="10"/>
      <c r="R225" s="10"/>
      <c r="S225" s="10"/>
      <c r="T225" s="10"/>
      <c r="U225" s="10"/>
      <c r="V225" s="10"/>
      <c r="W225" s="10"/>
      <c r="X225" s="10"/>
      <c r="Y225" s="10"/>
      <c r="Z225" s="10"/>
      <c r="AA225" s="10"/>
      <c r="AB225" s="10"/>
      <c r="AC225" s="10"/>
      <c r="AD225" s="10"/>
      <c r="AE225" s="10"/>
      <c r="AF225" s="10"/>
    </row>
    <row r="226">
      <c r="A226" s="7"/>
      <c r="B226" s="8">
        <v>21.0</v>
      </c>
      <c r="C226" s="8">
        <v>9.0</v>
      </c>
      <c r="D226" s="8" t="s">
        <v>562</v>
      </c>
      <c r="E226" s="7">
        <v>0.0</v>
      </c>
      <c r="F226" s="7"/>
      <c r="G226" s="7" t="s">
        <v>312</v>
      </c>
      <c r="H226" s="7" t="s">
        <v>313</v>
      </c>
      <c r="I226" s="10"/>
      <c r="J226" s="11"/>
      <c r="K226" s="8" t="s">
        <v>560</v>
      </c>
      <c r="L226" s="12"/>
      <c r="M226" s="10"/>
      <c r="N226" s="10"/>
      <c r="O226" s="10"/>
      <c r="P226" s="10"/>
      <c r="Q226" s="10"/>
      <c r="R226" s="10"/>
      <c r="S226" s="10"/>
      <c r="T226" s="10"/>
      <c r="U226" s="10"/>
      <c r="V226" s="10"/>
      <c r="W226" s="10"/>
      <c r="X226" s="10"/>
      <c r="Y226" s="10"/>
      <c r="Z226" s="10"/>
      <c r="AA226" s="10"/>
      <c r="AB226" s="10"/>
      <c r="AC226" s="10"/>
      <c r="AD226" s="10"/>
      <c r="AE226" s="10"/>
      <c r="AF226" s="10"/>
    </row>
    <row r="227">
      <c r="A227" s="7"/>
      <c r="B227" s="8">
        <v>21.0</v>
      </c>
      <c r="C227" s="8">
        <v>10.0</v>
      </c>
      <c r="D227" s="8" t="s">
        <v>563</v>
      </c>
      <c r="E227" s="7">
        <v>0.0</v>
      </c>
      <c r="F227" s="7"/>
      <c r="G227" s="7" t="s">
        <v>312</v>
      </c>
      <c r="H227" s="7" t="s">
        <v>313</v>
      </c>
      <c r="I227" s="10"/>
      <c r="J227" s="11"/>
      <c r="K227" s="8" t="s">
        <v>564</v>
      </c>
      <c r="L227" s="12"/>
      <c r="M227" s="10"/>
      <c r="N227" s="10"/>
      <c r="O227" s="10"/>
      <c r="P227" s="10"/>
      <c r="Q227" s="10"/>
      <c r="R227" s="10"/>
      <c r="S227" s="10"/>
      <c r="T227" s="10"/>
      <c r="U227" s="10"/>
      <c r="V227" s="10"/>
      <c r="W227" s="10"/>
      <c r="X227" s="10"/>
      <c r="Y227" s="10"/>
      <c r="Z227" s="10"/>
      <c r="AA227" s="10"/>
      <c r="AB227" s="10"/>
      <c r="AC227" s="10"/>
      <c r="AD227" s="10"/>
      <c r="AE227" s="10"/>
      <c r="AF227" s="10"/>
    </row>
    <row r="228">
      <c r="A228" s="10"/>
      <c r="B228" s="12"/>
      <c r="C228" s="12"/>
      <c r="D228" s="12"/>
      <c r="E228" s="10"/>
      <c r="F228" s="10"/>
      <c r="G228" s="10"/>
      <c r="H228" s="10"/>
      <c r="I228" s="10"/>
      <c r="J228" s="11"/>
      <c r="K228" s="12"/>
      <c r="L228" s="12"/>
      <c r="M228" s="10"/>
      <c r="N228" s="10"/>
      <c r="O228" s="10"/>
      <c r="P228" s="10"/>
      <c r="Q228" s="10"/>
      <c r="R228" s="10"/>
      <c r="S228" s="10"/>
      <c r="T228" s="10"/>
      <c r="U228" s="10"/>
      <c r="V228" s="10"/>
      <c r="W228" s="10"/>
      <c r="X228" s="10"/>
      <c r="Y228" s="10"/>
      <c r="Z228" s="10"/>
      <c r="AA228" s="10"/>
      <c r="AB228" s="10"/>
      <c r="AC228" s="10"/>
      <c r="AD228" s="10"/>
      <c r="AE228" s="10"/>
      <c r="AF228" s="10"/>
    </row>
    <row r="229">
      <c r="A229" s="7"/>
      <c r="B229" s="8">
        <v>22.0</v>
      </c>
      <c r="C229" s="8">
        <v>1.0</v>
      </c>
      <c r="D229" s="8" t="s">
        <v>565</v>
      </c>
      <c r="E229" s="7">
        <v>0.0</v>
      </c>
      <c r="F229" s="7"/>
      <c r="G229" s="7" t="s">
        <v>312</v>
      </c>
      <c r="H229" s="7" t="s">
        <v>313</v>
      </c>
      <c r="I229" s="10"/>
      <c r="J229" s="11"/>
      <c r="K229" s="12"/>
      <c r="L229" s="12"/>
      <c r="M229" s="10"/>
      <c r="N229" s="10"/>
      <c r="O229" s="10"/>
      <c r="P229" s="10"/>
      <c r="Q229" s="10"/>
      <c r="R229" s="10"/>
      <c r="S229" s="10"/>
      <c r="T229" s="10"/>
      <c r="U229" s="10"/>
      <c r="V229" s="10"/>
      <c r="W229" s="10"/>
      <c r="X229" s="10"/>
      <c r="Y229" s="10"/>
      <c r="Z229" s="10"/>
      <c r="AA229" s="10"/>
      <c r="AB229" s="10"/>
      <c r="AC229" s="10"/>
      <c r="AD229" s="10"/>
      <c r="AE229" s="10"/>
      <c r="AF229" s="10"/>
    </row>
    <row r="230">
      <c r="A230" s="7"/>
      <c r="B230" s="8">
        <v>22.0</v>
      </c>
      <c r="C230" s="8">
        <v>2.0</v>
      </c>
      <c r="D230" s="8" t="s">
        <v>566</v>
      </c>
      <c r="E230" s="7">
        <v>0.0</v>
      </c>
      <c r="F230" s="7"/>
      <c r="G230" s="7" t="s">
        <v>312</v>
      </c>
      <c r="H230" s="7" t="s">
        <v>313</v>
      </c>
      <c r="I230" s="10"/>
      <c r="J230" s="11"/>
      <c r="K230" s="8" t="s">
        <v>567</v>
      </c>
      <c r="L230" s="12"/>
      <c r="M230" s="10"/>
      <c r="N230" s="10"/>
      <c r="O230" s="10"/>
      <c r="P230" s="10"/>
      <c r="Q230" s="10"/>
      <c r="R230" s="10"/>
      <c r="S230" s="10"/>
      <c r="T230" s="10"/>
      <c r="U230" s="10"/>
      <c r="V230" s="10"/>
      <c r="W230" s="10"/>
      <c r="X230" s="10"/>
      <c r="Y230" s="10"/>
      <c r="Z230" s="10"/>
      <c r="AA230" s="10"/>
      <c r="AB230" s="10"/>
      <c r="AC230" s="10"/>
      <c r="AD230" s="10"/>
      <c r="AE230" s="10"/>
      <c r="AF230" s="10"/>
    </row>
    <row r="231">
      <c r="A231" s="7"/>
      <c r="B231" s="8">
        <v>22.0</v>
      </c>
      <c r="C231" s="8">
        <v>3.0</v>
      </c>
      <c r="D231" s="8" t="s">
        <v>568</v>
      </c>
      <c r="E231" s="7">
        <v>0.0</v>
      </c>
      <c r="F231" s="7"/>
      <c r="G231" s="7" t="s">
        <v>312</v>
      </c>
      <c r="H231" s="7" t="s">
        <v>313</v>
      </c>
      <c r="I231" s="10"/>
      <c r="J231" s="11"/>
      <c r="K231" s="12"/>
      <c r="L231" s="12"/>
      <c r="M231" s="10"/>
      <c r="N231" s="10"/>
      <c r="O231" s="10"/>
      <c r="P231" s="10"/>
      <c r="Q231" s="10"/>
      <c r="R231" s="10"/>
      <c r="S231" s="10"/>
      <c r="T231" s="10"/>
      <c r="U231" s="10"/>
      <c r="V231" s="10"/>
      <c r="W231" s="10"/>
      <c r="X231" s="10"/>
      <c r="Y231" s="10"/>
      <c r="Z231" s="10"/>
      <c r="AA231" s="10"/>
      <c r="AB231" s="10"/>
      <c r="AC231" s="10"/>
      <c r="AD231" s="10"/>
      <c r="AE231" s="10"/>
      <c r="AF231" s="10"/>
    </row>
    <row r="232">
      <c r="A232" s="10"/>
      <c r="B232" s="12"/>
      <c r="C232" s="12"/>
      <c r="D232" s="12"/>
      <c r="E232" s="10"/>
      <c r="F232" s="10"/>
      <c r="G232" s="10"/>
      <c r="H232" s="10"/>
      <c r="I232" s="10"/>
      <c r="J232" s="11"/>
      <c r="K232" s="12"/>
      <c r="L232" s="12"/>
      <c r="M232" s="10"/>
      <c r="N232" s="10"/>
      <c r="O232" s="10"/>
      <c r="P232" s="10"/>
      <c r="Q232" s="10"/>
      <c r="R232" s="10"/>
      <c r="S232" s="10"/>
      <c r="T232" s="10"/>
      <c r="U232" s="10"/>
      <c r="V232" s="10"/>
      <c r="W232" s="10"/>
      <c r="X232" s="10"/>
      <c r="Y232" s="10"/>
      <c r="Z232" s="10"/>
      <c r="AA232" s="10"/>
      <c r="AB232" s="10"/>
      <c r="AC232" s="10"/>
      <c r="AD232" s="10"/>
      <c r="AE232" s="10"/>
      <c r="AF232" s="10"/>
    </row>
    <row r="233">
      <c r="A233" s="7"/>
      <c r="B233" s="8">
        <v>23.0</v>
      </c>
      <c r="C233" s="8">
        <v>1.0</v>
      </c>
      <c r="D233" s="8" t="s">
        <v>569</v>
      </c>
      <c r="E233" s="7">
        <v>1.0</v>
      </c>
      <c r="F233" s="7"/>
      <c r="G233" s="7" t="s">
        <v>312</v>
      </c>
      <c r="H233" s="7" t="s">
        <v>313</v>
      </c>
      <c r="I233" s="10"/>
      <c r="J233" s="9" t="s">
        <v>570</v>
      </c>
      <c r="K233" s="12"/>
      <c r="L233" s="12"/>
      <c r="M233" s="10"/>
      <c r="N233" s="10"/>
      <c r="O233" s="10"/>
      <c r="P233" s="10"/>
      <c r="Q233" s="10"/>
      <c r="R233" s="10"/>
      <c r="S233" s="10"/>
      <c r="T233" s="10"/>
      <c r="U233" s="10"/>
      <c r="V233" s="10"/>
      <c r="W233" s="10"/>
      <c r="X233" s="10"/>
      <c r="Y233" s="10"/>
      <c r="Z233" s="10"/>
      <c r="AA233" s="10"/>
      <c r="AB233" s="10"/>
      <c r="AC233" s="10"/>
      <c r="AD233" s="10"/>
      <c r="AE233" s="10"/>
      <c r="AF233" s="10"/>
    </row>
    <row r="234">
      <c r="A234" s="7"/>
      <c r="B234" s="8">
        <v>23.0</v>
      </c>
      <c r="C234" s="8">
        <v>2.0</v>
      </c>
      <c r="D234" s="8" t="s">
        <v>571</v>
      </c>
      <c r="E234" s="7">
        <v>0.0</v>
      </c>
      <c r="F234" s="7"/>
      <c r="G234" s="7" t="s">
        <v>312</v>
      </c>
      <c r="H234" s="7" t="s">
        <v>313</v>
      </c>
      <c r="I234" s="10"/>
      <c r="J234" s="9" t="s">
        <v>572</v>
      </c>
      <c r="K234" s="12"/>
      <c r="L234" s="12"/>
      <c r="M234" s="10"/>
      <c r="N234" s="10"/>
      <c r="O234" s="10"/>
      <c r="P234" s="10"/>
      <c r="Q234" s="10"/>
      <c r="R234" s="10"/>
      <c r="S234" s="10"/>
      <c r="T234" s="10"/>
      <c r="U234" s="10"/>
      <c r="V234" s="10"/>
      <c r="W234" s="10"/>
      <c r="X234" s="10"/>
      <c r="Y234" s="10"/>
      <c r="Z234" s="10"/>
      <c r="AA234" s="10"/>
      <c r="AB234" s="10"/>
      <c r="AC234" s="10"/>
      <c r="AD234" s="10"/>
      <c r="AE234" s="10"/>
      <c r="AF234" s="10"/>
    </row>
    <row r="235">
      <c r="A235" s="7"/>
      <c r="B235" s="8">
        <v>23.0</v>
      </c>
      <c r="C235" s="8">
        <v>3.0</v>
      </c>
      <c r="D235" s="8" t="s">
        <v>573</v>
      </c>
      <c r="E235" s="7">
        <v>0.0</v>
      </c>
      <c r="F235" s="7" t="s">
        <v>320</v>
      </c>
      <c r="G235" s="7" t="s">
        <v>312</v>
      </c>
      <c r="H235" s="7" t="s">
        <v>313</v>
      </c>
      <c r="I235" s="7" t="s">
        <v>366</v>
      </c>
      <c r="J235" s="9" t="s">
        <v>574</v>
      </c>
      <c r="K235" s="12"/>
      <c r="L235" s="12"/>
      <c r="M235" s="10"/>
      <c r="N235" s="10"/>
      <c r="O235" s="10"/>
      <c r="P235" s="10"/>
      <c r="Q235" s="10"/>
      <c r="R235" s="10"/>
      <c r="S235" s="10"/>
      <c r="T235" s="10"/>
      <c r="U235" s="10"/>
      <c r="V235" s="10"/>
      <c r="W235" s="10"/>
      <c r="X235" s="10"/>
      <c r="Y235" s="10"/>
      <c r="Z235" s="10"/>
      <c r="AA235" s="10"/>
      <c r="AB235" s="10"/>
      <c r="AC235" s="10"/>
      <c r="AD235" s="10"/>
      <c r="AE235" s="10"/>
      <c r="AF235" s="10"/>
    </row>
    <row r="236">
      <c r="A236" s="7"/>
      <c r="B236" s="8">
        <v>23.0</v>
      </c>
      <c r="C236" s="8">
        <v>4.0</v>
      </c>
      <c r="D236" s="8" t="s">
        <v>575</v>
      </c>
      <c r="E236" s="7">
        <v>0.0</v>
      </c>
      <c r="F236" s="7"/>
      <c r="G236" s="7" t="s">
        <v>312</v>
      </c>
      <c r="H236" s="7" t="s">
        <v>313</v>
      </c>
      <c r="I236" s="10"/>
      <c r="J236" s="11"/>
      <c r="K236" s="12"/>
      <c r="L236" s="12"/>
      <c r="M236" s="10"/>
      <c r="N236" s="10"/>
      <c r="O236" s="10"/>
      <c r="P236" s="10"/>
      <c r="Q236" s="10"/>
      <c r="R236" s="10"/>
      <c r="S236" s="10"/>
      <c r="T236" s="10"/>
      <c r="U236" s="10"/>
      <c r="V236" s="10"/>
      <c r="W236" s="10"/>
      <c r="X236" s="10"/>
      <c r="Y236" s="10"/>
      <c r="Z236" s="10"/>
      <c r="AA236" s="10"/>
      <c r="AB236" s="10"/>
      <c r="AC236" s="10"/>
      <c r="AD236" s="10"/>
      <c r="AE236" s="10"/>
      <c r="AF236" s="10"/>
    </row>
    <row r="237">
      <c r="A237" s="7"/>
      <c r="B237" s="8">
        <v>23.0</v>
      </c>
      <c r="C237" s="8">
        <v>5.0</v>
      </c>
      <c r="D237" s="8" t="s">
        <v>576</v>
      </c>
      <c r="E237" s="7">
        <v>0.0</v>
      </c>
      <c r="F237" s="7"/>
      <c r="G237" s="7" t="s">
        <v>312</v>
      </c>
      <c r="H237" s="7" t="s">
        <v>313</v>
      </c>
      <c r="I237" s="10"/>
      <c r="J237" s="11"/>
      <c r="K237" s="12"/>
      <c r="L237" s="12"/>
      <c r="M237" s="10"/>
      <c r="N237" s="10"/>
      <c r="O237" s="10"/>
      <c r="P237" s="10"/>
      <c r="Q237" s="10"/>
      <c r="R237" s="10"/>
      <c r="S237" s="10"/>
      <c r="T237" s="10"/>
      <c r="U237" s="10"/>
      <c r="V237" s="10"/>
      <c r="W237" s="10"/>
      <c r="X237" s="10"/>
      <c r="Y237" s="10"/>
      <c r="Z237" s="10"/>
      <c r="AA237" s="10"/>
      <c r="AB237" s="10"/>
      <c r="AC237" s="10"/>
      <c r="AD237" s="10"/>
      <c r="AE237" s="10"/>
      <c r="AF237" s="10"/>
    </row>
    <row r="238">
      <c r="A238" s="7"/>
      <c r="B238" s="8">
        <v>23.0</v>
      </c>
      <c r="C238" s="8">
        <v>6.0</v>
      </c>
      <c r="D238" s="8" t="s">
        <v>577</v>
      </c>
      <c r="E238" s="7">
        <v>0.0</v>
      </c>
      <c r="F238" s="7"/>
      <c r="G238" s="7" t="s">
        <v>312</v>
      </c>
      <c r="H238" s="7" t="s">
        <v>313</v>
      </c>
      <c r="I238" s="10"/>
      <c r="J238" s="11"/>
      <c r="K238" s="12"/>
      <c r="L238" s="12"/>
      <c r="M238" s="10"/>
      <c r="N238" s="10"/>
      <c r="O238" s="10"/>
      <c r="P238" s="10"/>
      <c r="Q238" s="10"/>
      <c r="R238" s="10"/>
      <c r="S238" s="10"/>
      <c r="T238" s="10"/>
      <c r="U238" s="10"/>
      <c r="V238" s="10"/>
      <c r="W238" s="10"/>
      <c r="X238" s="10"/>
      <c r="Y238" s="10"/>
      <c r="Z238" s="10"/>
      <c r="AA238" s="10"/>
      <c r="AB238" s="10"/>
      <c r="AC238" s="10"/>
      <c r="AD238" s="10"/>
      <c r="AE238" s="10"/>
      <c r="AF238" s="10"/>
    </row>
    <row r="239">
      <c r="A239" s="7"/>
      <c r="B239" s="8">
        <v>23.0</v>
      </c>
      <c r="C239" s="8">
        <v>7.0</v>
      </c>
      <c r="D239" s="8" t="s">
        <v>578</v>
      </c>
      <c r="E239" s="7">
        <v>0.0</v>
      </c>
      <c r="F239" s="7"/>
      <c r="G239" s="7" t="s">
        <v>312</v>
      </c>
      <c r="H239" s="7" t="s">
        <v>313</v>
      </c>
      <c r="I239" s="10"/>
      <c r="J239" s="9" t="s">
        <v>579</v>
      </c>
      <c r="K239" s="12"/>
      <c r="L239" s="12"/>
      <c r="M239" s="10"/>
      <c r="N239" s="10"/>
      <c r="O239" s="10"/>
      <c r="P239" s="10"/>
      <c r="Q239" s="10"/>
      <c r="R239" s="10"/>
      <c r="S239" s="10"/>
      <c r="T239" s="10"/>
      <c r="U239" s="10"/>
      <c r="V239" s="10"/>
      <c r="W239" s="10"/>
      <c r="X239" s="10"/>
      <c r="Y239" s="10"/>
      <c r="Z239" s="10"/>
      <c r="AA239" s="10"/>
      <c r="AB239" s="10"/>
      <c r="AC239" s="10"/>
      <c r="AD239" s="10"/>
      <c r="AE239" s="10"/>
      <c r="AF239" s="10"/>
    </row>
    <row r="240">
      <c r="A240" s="7"/>
      <c r="B240" s="8">
        <v>23.0</v>
      </c>
      <c r="C240" s="8">
        <v>8.0</v>
      </c>
      <c r="D240" s="8" t="s">
        <v>580</v>
      </c>
      <c r="E240" s="7">
        <v>0.0</v>
      </c>
      <c r="F240" s="7"/>
      <c r="G240" s="7" t="s">
        <v>312</v>
      </c>
      <c r="H240" s="7" t="s">
        <v>313</v>
      </c>
      <c r="I240" s="10"/>
      <c r="J240" s="11"/>
      <c r="K240" s="12"/>
      <c r="L240" s="12"/>
      <c r="M240" s="10"/>
      <c r="N240" s="10"/>
      <c r="O240" s="10"/>
      <c r="P240" s="10"/>
      <c r="Q240" s="10"/>
      <c r="R240" s="10"/>
      <c r="S240" s="10"/>
      <c r="T240" s="10"/>
      <c r="U240" s="10"/>
      <c r="V240" s="10"/>
      <c r="W240" s="10"/>
      <c r="X240" s="10"/>
      <c r="Y240" s="10"/>
      <c r="Z240" s="10"/>
      <c r="AA240" s="10"/>
      <c r="AB240" s="10"/>
      <c r="AC240" s="10"/>
      <c r="AD240" s="10"/>
      <c r="AE240" s="10"/>
      <c r="AF240" s="10"/>
    </row>
    <row r="241">
      <c r="A241" s="7"/>
      <c r="B241" s="8">
        <v>23.0</v>
      </c>
      <c r="C241" s="8">
        <v>9.0</v>
      </c>
      <c r="D241" s="8" t="s">
        <v>581</v>
      </c>
      <c r="E241" s="7">
        <v>0.0</v>
      </c>
      <c r="F241" s="7"/>
      <c r="G241" s="7" t="s">
        <v>312</v>
      </c>
      <c r="H241" s="7" t="s">
        <v>313</v>
      </c>
      <c r="I241" s="10"/>
      <c r="J241" s="11"/>
      <c r="K241" s="12"/>
      <c r="L241" s="12"/>
      <c r="M241" s="10"/>
      <c r="N241" s="10"/>
      <c r="O241" s="10"/>
      <c r="P241" s="10"/>
      <c r="Q241" s="10"/>
      <c r="R241" s="10"/>
      <c r="S241" s="10"/>
      <c r="T241" s="10"/>
      <c r="U241" s="10"/>
      <c r="V241" s="10"/>
      <c r="W241" s="10"/>
      <c r="X241" s="10"/>
      <c r="Y241" s="10"/>
      <c r="Z241" s="10"/>
      <c r="AA241" s="10"/>
      <c r="AB241" s="10"/>
      <c r="AC241" s="10"/>
      <c r="AD241" s="10"/>
      <c r="AE241" s="10"/>
      <c r="AF241" s="10"/>
    </row>
    <row r="242">
      <c r="A242" s="7"/>
      <c r="B242" s="8">
        <v>23.0</v>
      </c>
      <c r="C242" s="8">
        <v>10.0</v>
      </c>
      <c r="D242" s="8" t="s">
        <v>582</v>
      </c>
      <c r="E242" s="7">
        <v>0.0</v>
      </c>
      <c r="F242" s="7"/>
      <c r="G242" s="7" t="s">
        <v>312</v>
      </c>
      <c r="H242" s="7" t="s">
        <v>313</v>
      </c>
      <c r="I242" s="10"/>
      <c r="J242" s="11"/>
      <c r="K242" s="12"/>
      <c r="L242" s="12"/>
      <c r="M242" s="10"/>
      <c r="N242" s="10"/>
      <c r="O242" s="10"/>
      <c r="P242" s="10"/>
      <c r="Q242" s="10"/>
      <c r="R242" s="10"/>
      <c r="S242" s="10"/>
      <c r="T242" s="10"/>
      <c r="U242" s="10"/>
      <c r="V242" s="10"/>
      <c r="W242" s="10"/>
      <c r="X242" s="10"/>
      <c r="Y242" s="10"/>
      <c r="Z242" s="10"/>
      <c r="AA242" s="10"/>
      <c r="AB242" s="10"/>
      <c r="AC242" s="10"/>
      <c r="AD242" s="10"/>
      <c r="AE242" s="10"/>
      <c r="AF242" s="10"/>
    </row>
    <row r="243">
      <c r="A243" s="7"/>
      <c r="B243" s="8">
        <v>23.0</v>
      </c>
      <c r="C243" s="8">
        <v>11.0</v>
      </c>
      <c r="D243" s="8" t="s">
        <v>583</v>
      </c>
      <c r="E243" s="7">
        <v>0.0</v>
      </c>
      <c r="F243" s="7" t="s">
        <v>320</v>
      </c>
      <c r="G243" s="7" t="s">
        <v>312</v>
      </c>
      <c r="H243" s="7" t="s">
        <v>313</v>
      </c>
      <c r="I243" s="7" t="s">
        <v>320</v>
      </c>
      <c r="J243" s="9" t="s">
        <v>584</v>
      </c>
      <c r="K243" s="12"/>
      <c r="L243" s="12"/>
      <c r="M243" s="10"/>
      <c r="N243" s="10"/>
      <c r="O243" s="10"/>
      <c r="P243" s="10"/>
      <c r="Q243" s="10"/>
      <c r="R243" s="10"/>
      <c r="S243" s="10"/>
      <c r="T243" s="10"/>
      <c r="U243" s="10"/>
      <c r="V243" s="10"/>
      <c r="W243" s="10"/>
      <c r="X243" s="10"/>
      <c r="Y243" s="10"/>
      <c r="Z243" s="10"/>
      <c r="AA243" s="10"/>
      <c r="AB243" s="10"/>
      <c r="AC243" s="10"/>
      <c r="AD243" s="10"/>
      <c r="AE243" s="10"/>
      <c r="AF243" s="10"/>
    </row>
    <row r="244">
      <c r="A244" s="7"/>
      <c r="B244" s="8">
        <v>23.0</v>
      </c>
      <c r="C244" s="8">
        <v>12.0</v>
      </c>
      <c r="D244" s="8" t="s">
        <v>585</v>
      </c>
      <c r="E244" s="7">
        <v>0.0</v>
      </c>
      <c r="F244" s="7"/>
      <c r="G244" s="7" t="s">
        <v>312</v>
      </c>
      <c r="H244" s="7" t="s">
        <v>313</v>
      </c>
      <c r="I244" s="10"/>
      <c r="J244" s="11"/>
      <c r="K244" s="12"/>
      <c r="L244" s="12"/>
      <c r="M244" s="10"/>
      <c r="N244" s="10"/>
      <c r="O244" s="10"/>
      <c r="P244" s="10"/>
      <c r="Q244" s="10"/>
      <c r="R244" s="10"/>
      <c r="S244" s="10"/>
      <c r="T244" s="10"/>
      <c r="U244" s="10"/>
      <c r="V244" s="10"/>
      <c r="W244" s="10"/>
      <c r="X244" s="10"/>
      <c r="Y244" s="10"/>
      <c r="Z244" s="10"/>
      <c r="AA244" s="10"/>
      <c r="AB244" s="10"/>
      <c r="AC244" s="10"/>
      <c r="AD244" s="10"/>
      <c r="AE244" s="10"/>
      <c r="AF244" s="10"/>
    </row>
    <row r="245">
      <c r="A245" s="7"/>
      <c r="B245" s="8">
        <v>23.0</v>
      </c>
      <c r="C245" s="8">
        <v>13.0</v>
      </c>
      <c r="D245" s="8" t="s">
        <v>586</v>
      </c>
      <c r="E245" s="7">
        <v>0.0</v>
      </c>
      <c r="F245" s="7"/>
      <c r="G245" s="7" t="s">
        <v>312</v>
      </c>
      <c r="H245" s="7" t="s">
        <v>313</v>
      </c>
      <c r="I245" s="10"/>
      <c r="J245" s="11"/>
      <c r="K245" s="12"/>
      <c r="L245" s="12"/>
      <c r="M245" s="10"/>
      <c r="N245" s="10"/>
      <c r="O245" s="10"/>
      <c r="P245" s="10"/>
      <c r="Q245" s="10"/>
      <c r="R245" s="10"/>
      <c r="S245" s="10"/>
      <c r="T245" s="10"/>
      <c r="U245" s="10"/>
      <c r="V245" s="10"/>
      <c r="W245" s="10"/>
      <c r="X245" s="10"/>
      <c r="Y245" s="10"/>
      <c r="Z245" s="10"/>
      <c r="AA245" s="10"/>
      <c r="AB245" s="10"/>
      <c r="AC245" s="10"/>
      <c r="AD245" s="10"/>
      <c r="AE245" s="10"/>
      <c r="AF245" s="10"/>
    </row>
    <row r="246">
      <c r="A246" s="7"/>
      <c r="B246" s="8">
        <v>23.0</v>
      </c>
      <c r="C246" s="8">
        <v>14.0</v>
      </c>
      <c r="D246" s="8" t="s">
        <v>587</v>
      </c>
      <c r="E246" s="7">
        <v>0.0</v>
      </c>
      <c r="F246" s="7"/>
      <c r="G246" s="7" t="s">
        <v>312</v>
      </c>
      <c r="H246" s="7" t="s">
        <v>313</v>
      </c>
      <c r="I246" s="10"/>
      <c r="J246" s="11"/>
      <c r="K246" s="12"/>
      <c r="L246" s="12"/>
      <c r="M246" s="10"/>
      <c r="N246" s="10"/>
      <c r="O246" s="10"/>
      <c r="P246" s="10"/>
      <c r="Q246" s="10"/>
      <c r="R246" s="10"/>
      <c r="S246" s="10"/>
      <c r="T246" s="10"/>
      <c r="U246" s="10"/>
      <c r="V246" s="10"/>
      <c r="W246" s="10"/>
      <c r="X246" s="10"/>
      <c r="Y246" s="10"/>
      <c r="Z246" s="10"/>
      <c r="AA246" s="10"/>
      <c r="AB246" s="10"/>
      <c r="AC246" s="10"/>
      <c r="AD246" s="10"/>
      <c r="AE246" s="10"/>
      <c r="AF246" s="10"/>
    </row>
    <row r="247">
      <c r="A247" s="7"/>
      <c r="B247" s="8">
        <v>23.0</v>
      </c>
      <c r="C247" s="8">
        <v>15.0</v>
      </c>
      <c r="D247" s="8" t="s">
        <v>588</v>
      </c>
      <c r="E247" s="7">
        <v>0.0</v>
      </c>
      <c r="F247" s="7"/>
      <c r="G247" s="7" t="s">
        <v>312</v>
      </c>
      <c r="H247" s="7" t="s">
        <v>313</v>
      </c>
      <c r="I247" s="10"/>
      <c r="J247" s="11"/>
      <c r="K247" s="12"/>
      <c r="L247" s="12"/>
      <c r="M247" s="10"/>
      <c r="N247" s="10"/>
      <c r="O247" s="10"/>
      <c r="P247" s="10"/>
      <c r="Q247" s="10"/>
      <c r="R247" s="10"/>
      <c r="S247" s="10"/>
      <c r="T247" s="10"/>
      <c r="U247" s="10"/>
      <c r="V247" s="10"/>
      <c r="W247" s="10"/>
      <c r="X247" s="10"/>
      <c r="Y247" s="10"/>
      <c r="Z247" s="10"/>
      <c r="AA247" s="10"/>
      <c r="AB247" s="10"/>
      <c r="AC247" s="10"/>
      <c r="AD247" s="10"/>
      <c r="AE247" s="10"/>
      <c r="AF247" s="10"/>
    </row>
    <row r="248">
      <c r="A248" s="7"/>
      <c r="B248" s="8">
        <v>23.0</v>
      </c>
      <c r="C248" s="8">
        <v>16.0</v>
      </c>
      <c r="D248" s="8" t="s">
        <v>589</v>
      </c>
      <c r="E248" s="7">
        <v>0.0</v>
      </c>
      <c r="F248" s="7"/>
      <c r="G248" s="7" t="s">
        <v>312</v>
      </c>
      <c r="H248" s="7" t="s">
        <v>313</v>
      </c>
      <c r="I248" s="10"/>
      <c r="J248" s="11"/>
      <c r="K248" s="12"/>
      <c r="L248" s="12"/>
      <c r="M248" s="10"/>
      <c r="N248" s="10"/>
      <c r="O248" s="10"/>
      <c r="P248" s="10"/>
      <c r="Q248" s="10"/>
      <c r="R248" s="10"/>
      <c r="S248" s="10"/>
      <c r="T248" s="10"/>
      <c r="U248" s="10"/>
      <c r="V248" s="10"/>
      <c r="W248" s="10"/>
      <c r="X248" s="10"/>
      <c r="Y248" s="10"/>
      <c r="Z248" s="10"/>
      <c r="AA248" s="10"/>
      <c r="AB248" s="10"/>
      <c r="AC248" s="10"/>
      <c r="AD248" s="10"/>
      <c r="AE248" s="10"/>
      <c r="AF248" s="10"/>
    </row>
    <row r="249">
      <c r="A249" s="7"/>
      <c r="B249" s="8">
        <v>23.0</v>
      </c>
      <c r="C249" s="8">
        <v>17.0</v>
      </c>
      <c r="D249" s="8" t="s">
        <v>590</v>
      </c>
      <c r="E249" s="7">
        <v>0.0</v>
      </c>
      <c r="F249" s="7"/>
      <c r="G249" s="7" t="s">
        <v>312</v>
      </c>
      <c r="H249" s="7" t="s">
        <v>313</v>
      </c>
      <c r="I249" s="10"/>
      <c r="J249" s="11"/>
      <c r="K249" s="12"/>
      <c r="L249" s="12"/>
      <c r="M249" s="10"/>
      <c r="N249" s="10"/>
      <c r="O249" s="10"/>
      <c r="P249" s="10"/>
      <c r="Q249" s="10"/>
      <c r="R249" s="10"/>
      <c r="S249" s="10"/>
      <c r="T249" s="10"/>
      <c r="U249" s="10"/>
      <c r="V249" s="10"/>
      <c r="W249" s="10"/>
      <c r="X249" s="10"/>
      <c r="Y249" s="10"/>
      <c r="Z249" s="10"/>
      <c r="AA249" s="10"/>
      <c r="AB249" s="10"/>
      <c r="AC249" s="10"/>
      <c r="AD249" s="10"/>
      <c r="AE249" s="10"/>
      <c r="AF249" s="10"/>
    </row>
    <row r="250">
      <c r="A250" s="7"/>
      <c r="B250" s="8">
        <v>23.0</v>
      </c>
      <c r="C250" s="8">
        <v>18.0</v>
      </c>
      <c r="D250" s="8" t="s">
        <v>591</v>
      </c>
      <c r="E250" s="7">
        <v>0.0</v>
      </c>
      <c r="F250" s="7" t="s">
        <v>320</v>
      </c>
      <c r="G250" s="7" t="s">
        <v>312</v>
      </c>
      <c r="H250" s="7" t="s">
        <v>313</v>
      </c>
      <c r="I250" s="7" t="s">
        <v>320</v>
      </c>
      <c r="J250" s="9" t="s">
        <v>592</v>
      </c>
      <c r="K250" s="12"/>
      <c r="L250" s="12"/>
      <c r="M250" s="10"/>
      <c r="N250" s="10"/>
      <c r="O250" s="10"/>
      <c r="P250" s="10"/>
      <c r="Q250" s="10"/>
      <c r="R250" s="10"/>
      <c r="S250" s="10"/>
      <c r="T250" s="10"/>
      <c r="U250" s="10"/>
      <c r="V250" s="10"/>
      <c r="W250" s="10"/>
      <c r="X250" s="10"/>
      <c r="Y250" s="10"/>
      <c r="Z250" s="10"/>
      <c r="AA250" s="10"/>
      <c r="AB250" s="10"/>
      <c r="AC250" s="10"/>
      <c r="AD250" s="10"/>
      <c r="AE250" s="10"/>
      <c r="AF250" s="10"/>
    </row>
    <row r="251">
      <c r="A251" s="7"/>
      <c r="B251" s="8">
        <v>23.0</v>
      </c>
      <c r="C251" s="8">
        <v>19.0</v>
      </c>
      <c r="D251" s="8" t="s">
        <v>593</v>
      </c>
      <c r="E251" s="7">
        <v>0.0</v>
      </c>
      <c r="F251" s="7"/>
      <c r="G251" s="7" t="s">
        <v>312</v>
      </c>
      <c r="H251" s="7" t="s">
        <v>313</v>
      </c>
      <c r="I251" s="10"/>
      <c r="J251" s="11"/>
      <c r="K251" s="12"/>
      <c r="L251" s="12"/>
      <c r="M251" s="10"/>
      <c r="N251" s="10"/>
      <c r="O251" s="10"/>
      <c r="P251" s="10"/>
      <c r="Q251" s="10"/>
      <c r="R251" s="10"/>
      <c r="S251" s="10"/>
      <c r="T251" s="10"/>
      <c r="U251" s="10"/>
      <c r="V251" s="10"/>
      <c r="W251" s="10"/>
      <c r="X251" s="10"/>
      <c r="Y251" s="10"/>
      <c r="Z251" s="10"/>
      <c r="AA251" s="10"/>
      <c r="AB251" s="10"/>
      <c r="AC251" s="10"/>
      <c r="AD251" s="10"/>
      <c r="AE251" s="10"/>
      <c r="AF251" s="10"/>
    </row>
    <row r="252">
      <c r="A252" s="7"/>
      <c r="B252" s="8">
        <v>23.0</v>
      </c>
      <c r="C252" s="8">
        <v>20.0</v>
      </c>
      <c r="D252" s="8" t="s">
        <v>594</v>
      </c>
      <c r="E252" s="7">
        <v>0.0</v>
      </c>
      <c r="F252" s="7"/>
      <c r="G252" s="7" t="s">
        <v>312</v>
      </c>
      <c r="H252" s="7" t="s">
        <v>313</v>
      </c>
      <c r="I252" s="10"/>
      <c r="J252" s="11"/>
      <c r="K252" s="12"/>
      <c r="L252" s="12"/>
      <c r="M252" s="10"/>
      <c r="N252" s="10"/>
      <c r="O252" s="10"/>
      <c r="P252" s="10"/>
      <c r="Q252" s="10"/>
      <c r="R252" s="10"/>
      <c r="S252" s="10"/>
      <c r="T252" s="10"/>
      <c r="U252" s="10"/>
      <c r="V252" s="10"/>
      <c r="W252" s="10"/>
      <c r="X252" s="10"/>
      <c r="Y252" s="10"/>
      <c r="Z252" s="10"/>
      <c r="AA252" s="10"/>
      <c r="AB252" s="10"/>
      <c r="AC252" s="10"/>
      <c r="AD252" s="10"/>
      <c r="AE252" s="10"/>
      <c r="AF252" s="10"/>
    </row>
    <row r="253">
      <c r="A253" s="7"/>
      <c r="B253" s="8">
        <v>23.0</v>
      </c>
      <c r="C253" s="8">
        <v>21.0</v>
      </c>
      <c r="D253" s="8" t="s">
        <v>595</v>
      </c>
      <c r="E253" s="7">
        <v>0.0</v>
      </c>
      <c r="F253" s="7" t="s">
        <v>320</v>
      </c>
      <c r="G253" s="7" t="s">
        <v>312</v>
      </c>
      <c r="H253" s="7" t="s">
        <v>313</v>
      </c>
      <c r="I253" s="7" t="s">
        <v>320</v>
      </c>
      <c r="J253" s="9" t="s">
        <v>596</v>
      </c>
      <c r="K253" s="12"/>
      <c r="L253" s="12"/>
      <c r="M253" s="10"/>
      <c r="N253" s="10"/>
      <c r="O253" s="10"/>
      <c r="P253" s="10"/>
      <c r="Q253" s="10"/>
      <c r="R253" s="10"/>
      <c r="S253" s="10"/>
      <c r="T253" s="10"/>
      <c r="U253" s="10"/>
      <c r="V253" s="10"/>
      <c r="W253" s="10"/>
      <c r="X253" s="10"/>
      <c r="Y253" s="10"/>
      <c r="Z253" s="10"/>
      <c r="AA253" s="10"/>
      <c r="AB253" s="10"/>
      <c r="AC253" s="10"/>
      <c r="AD253" s="10"/>
      <c r="AE253" s="10"/>
      <c r="AF253" s="10"/>
    </row>
    <row r="254">
      <c r="A254" s="10"/>
      <c r="B254" s="12"/>
      <c r="C254" s="12"/>
      <c r="D254" s="12"/>
      <c r="E254" s="10"/>
      <c r="F254" s="10"/>
      <c r="G254" s="10"/>
      <c r="H254" s="10"/>
      <c r="I254" s="10"/>
      <c r="J254" s="11"/>
      <c r="K254" s="12"/>
      <c r="L254" s="12"/>
      <c r="M254" s="10"/>
      <c r="N254" s="10"/>
      <c r="O254" s="10"/>
      <c r="P254" s="10"/>
      <c r="Q254" s="10"/>
      <c r="R254" s="10"/>
      <c r="S254" s="10"/>
      <c r="T254" s="10"/>
      <c r="U254" s="10"/>
      <c r="V254" s="10"/>
      <c r="W254" s="10"/>
      <c r="X254" s="10"/>
      <c r="Y254" s="10"/>
      <c r="Z254" s="10"/>
      <c r="AA254" s="10"/>
      <c r="AB254" s="10"/>
      <c r="AC254" s="10"/>
      <c r="AD254" s="10"/>
      <c r="AE254" s="10"/>
      <c r="AF254" s="10"/>
    </row>
    <row r="255">
      <c r="A255" s="7"/>
      <c r="B255" s="8">
        <v>24.0</v>
      </c>
      <c r="C255" s="8">
        <v>1.0</v>
      </c>
      <c r="D255" s="8" t="s">
        <v>597</v>
      </c>
      <c r="E255" s="7">
        <v>1.0</v>
      </c>
      <c r="F255" s="7"/>
      <c r="G255" s="7" t="s">
        <v>312</v>
      </c>
      <c r="H255" s="7" t="s">
        <v>313</v>
      </c>
      <c r="I255" s="10"/>
      <c r="J255" s="9" t="s">
        <v>598</v>
      </c>
      <c r="K255" s="12"/>
      <c r="L255" s="12"/>
      <c r="M255" s="10"/>
      <c r="N255" s="10"/>
      <c r="O255" s="10"/>
      <c r="P255" s="10"/>
      <c r="Q255" s="10"/>
      <c r="R255" s="10"/>
      <c r="S255" s="10"/>
      <c r="T255" s="10"/>
      <c r="U255" s="10"/>
      <c r="V255" s="10"/>
      <c r="W255" s="10"/>
      <c r="X255" s="10"/>
      <c r="Y255" s="10"/>
      <c r="Z255" s="10"/>
      <c r="AA255" s="10"/>
      <c r="AB255" s="10"/>
      <c r="AC255" s="10"/>
      <c r="AD255" s="10"/>
      <c r="AE255" s="10"/>
      <c r="AF255" s="10"/>
    </row>
    <row r="256">
      <c r="A256" s="7"/>
      <c r="B256" s="8">
        <v>24.0</v>
      </c>
      <c r="C256" s="8">
        <v>2.0</v>
      </c>
      <c r="D256" s="8" t="s">
        <v>599</v>
      </c>
      <c r="E256" s="7">
        <v>1.0</v>
      </c>
      <c r="F256" s="7"/>
      <c r="G256" s="7" t="s">
        <v>312</v>
      </c>
      <c r="H256" s="7" t="s">
        <v>313</v>
      </c>
      <c r="I256" s="10"/>
      <c r="J256" s="11"/>
      <c r="K256" s="12"/>
      <c r="L256" s="12"/>
      <c r="M256" s="10"/>
      <c r="N256" s="10"/>
      <c r="O256" s="10"/>
      <c r="P256" s="10"/>
      <c r="Q256" s="10"/>
      <c r="R256" s="10"/>
      <c r="S256" s="10"/>
      <c r="T256" s="10"/>
      <c r="U256" s="10"/>
      <c r="V256" s="10"/>
      <c r="W256" s="10"/>
      <c r="X256" s="10"/>
      <c r="Y256" s="10"/>
      <c r="Z256" s="10"/>
      <c r="AA256" s="10"/>
      <c r="AB256" s="10"/>
      <c r="AC256" s="10"/>
      <c r="AD256" s="10"/>
      <c r="AE256" s="10"/>
      <c r="AF256" s="10"/>
    </row>
    <row r="257">
      <c r="A257" s="7"/>
      <c r="B257" s="8">
        <v>24.0</v>
      </c>
      <c r="C257" s="8">
        <v>3.0</v>
      </c>
      <c r="D257" s="8" t="s">
        <v>600</v>
      </c>
      <c r="E257" s="7">
        <v>0.0</v>
      </c>
      <c r="F257" s="7"/>
      <c r="G257" s="7" t="s">
        <v>312</v>
      </c>
      <c r="H257" s="7" t="s">
        <v>313</v>
      </c>
      <c r="I257" s="10"/>
      <c r="J257" s="11"/>
      <c r="K257" s="12"/>
      <c r="L257" s="12"/>
      <c r="M257" s="10"/>
      <c r="N257" s="10"/>
      <c r="O257" s="10"/>
      <c r="P257" s="10"/>
      <c r="Q257" s="10"/>
      <c r="R257" s="10"/>
      <c r="S257" s="10"/>
      <c r="T257" s="10"/>
      <c r="U257" s="10"/>
      <c r="V257" s="10"/>
      <c r="W257" s="10"/>
      <c r="X257" s="10"/>
      <c r="Y257" s="10"/>
      <c r="Z257" s="10"/>
      <c r="AA257" s="10"/>
      <c r="AB257" s="10"/>
      <c r="AC257" s="10"/>
      <c r="AD257" s="10"/>
      <c r="AE257" s="10"/>
      <c r="AF257" s="10"/>
    </row>
    <row r="258">
      <c r="A258" s="7"/>
      <c r="B258" s="8">
        <v>24.0</v>
      </c>
      <c r="C258" s="8">
        <v>4.0</v>
      </c>
      <c r="D258" s="8" t="s">
        <v>601</v>
      </c>
      <c r="E258" s="7">
        <v>0.0</v>
      </c>
      <c r="F258" s="7"/>
      <c r="G258" s="7" t="s">
        <v>312</v>
      </c>
      <c r="H258" s="7" t="s">
        <v>313</v>
      </c>
      <c r="I258" s="10"/>
      <c r="J258" s="11"/>
      <c r="K258" s="12"/>
      <c r="L258" s="12"/>
      <c r="M258" s="10"/>
      <c r="N258" s="10"/>
      <c r="O258" s="10"/>
      <c r="P258" s="10"/>
      <c r="Q258" s="10"/>
      <c r="R258" s="10"/>
      <c r="S258" s="10"/>
      <c r="T258" s="10"/>
      <c r="U258" s="10"/>
      <c r="V258" s="10"/>
      <c r="W258" s="10"/>
      <c r="X258" s="10"/>
      <c r="Y258" s="10"/>
      <c r="Z258" s="10"/>
      <c r="AA258" s="10"/>
      <c r="AB258" s="10"/>
      <c r="AC258" s="10"/>
      <c r="AD258" s="10"/>
      <c r="AE258" s="10"/>
      <c r="AF258" s="10"/>
    </row>
    <row r="259">
      <c r="A259" s="7"/>
      <c r="B259" s="8">
        <v>24.0</v>
      </c>
      <c r="C259" s="8">
        <v>5.0</v>
      </c>
      <c r="D259" s="8" t="s">
        <v>602</v>
      </c>
      <c r="E259" s="7">
        <v>0.0</v>
      </c>
      <c r="F259" s="7"/>
      <c r="G259" s="7" t="s">
        <v>312</v>
      </c>
      <c r="H259" s="7" t="s">
        <v>313</v>
      </c>
      <c r="I259" s="10"/>
      <c r="J259" s="11"/>
      <c r="K259" s="12"/>
      <c r="L259" s="12"/>
      <c r="M259" s="10"/>
      <c r="N259" s="10"/>
      <c r="O259" s="10"/>
      <c r="P259" s="10"/>
      <c r="Q259" s="10"/>
      <c r="R259" s="10"/>
      <c r="S259" s="10"/>
      <c r="T259" s="10"/>
      <c r="U259" s="10"/>
      <c r="V259" s="10"/>
      <c r="W259" s="10"/>
      <c r="X259" s="10"/>
      <c r="Y259" s="10"/>
      <c r="Z259" s="10"/>
      <c r="AA259" s="10"/>
      <c r="AB259" s="10"/>
      <c r="AC259" s="10"/>
      <c r="AD259" s="10"/>
      <c r="AE259" s="10"/>
      <c r="AF259" s="10"/>
    </row>
    <row r="260">
      <c r="A260" s="7"/>
      <c r="B260" s="8">
        <v>24.0</v>
      </c>
      <c r="C260" s="8">
        <v>6.0</v>
      </c>
      <c r="D260" s="8" t="s">
        <v>603</v>
      </c>
      <c r="E260" s="7">
        <v>1.0</v>
      </c>
      <c r="F260" s="7" t="s">
        <v>320</v>
      </c>
      <c r="G260" s="7" t="s">
        <v>312</v>
      </c>
      <c r="H260" s="7" t="s">
        <v>313</v>
      </c>
      <c r="I260" s="7" t="s">
        <v>366</v>
      </c>
      <c r="J260" s="9" t="s">
        <v>604</v>
      </c>
      <c r="K260" s="12"/>
      <c r="L260" s="12"/>
      <c r="M260" s="10"/>
      <c r="N260" s="10"/>
      <c r="O260" s="10"/>
      <c r="P260" s="10"/>
      <c r="Q260" s="10"/>
      <c r="R260" s="10"/>
      <c r="S260" s="10"/>
      <c r="T260" s="10"/>
      <c r="U260" s="10"/>
      <c r="V260" s="10"/>
      <c r="W260" s="10"/>
      <c r="X260" s="10"/>
      <c r="Y260" s="10"/>
      <c r="Z260" s="10"/>
      <c r="AA260" s="10"/>
      <c r="AB260" s="10"/>
      <c r="AC260" s="10"/>
      <c r="AD260" s="10"/>
      <c r="AE260" s="10"/>
      <c r="AF260" s="10"/>
    </row>
    <row r="261">
      <c r="A261" s="7"/>
      <c r="B261" s="8">
        <v>24.0</v>
      </c>
      <c r="C261" s="8">
        <v>7.0</v>
      </c>
      <c r="D261" s="8" t="s">
        <v>605</v>
      </c>
      <c r="E261" s="7">
        <v>0.0</v>
      </c>
      <c r="F261" s="7" t="s">
        <v>320</v>
      </c>
      <c r="G261" s="7" t="s">
        <v>312</v>
      </c>
      <c r="H261" s="7" t="s">
        <v>313</v>
      </c>
      <c r="I261" s="7" t="s">
        <v>366</v>
      </c>
      <c r="J261" s="9" t="s">
        <v>606</v>
      </c>
      <c r="K261" s="12"/>
      <c r="L261" s="12"/>
      <c r="M261" s="10"/>
      <c r="N261" s="10"/>
      <c r="O261" s="10"/>
      <c r="P261" s="10"/>
      <c r="Q261" s="10"/>
      <c r="R261" s="10"/>
      <c r="S261" s="10"/>
      <c r="T261" s="10"/>
      <c r="U261" s="10"/>
      <c r="V261" s="10"/>
      <c r="W261" s="10"/>
      <c r="X261" s="10"/>
      <c r="Y261" s="10"/>
      <c r="Z261" s="10"/>
      <c r="AA261" s="10"/>
      <c r="AB261" s="10"/>
      <c r="AC261" s="10"/>
      <c r="AD261" s="10"/>
      <c r="AE261" s="10"/>
      <c r="AF261" s="10"/>
    </row>
    <row r="262">
      <c r="A262" s="7"/>
      <c r="B262" s="8">
        <v>24.0</v>
      </c>
      <c r="C262" s="8">
        <v>8.0</v>
      </c>
      <c r="D262" s="8" t="s">
        <v>607</v>
      </c>
      <c r="E262" s="7">
        <v>1.0</v>
      </c>
      <c r="F262" s="7" t="s">
        <v>320</v>
      </c>
      <c r="G262" s="7" t="s">
        <v>312</v>
      </c>
      <c r="H262" s="7" t="s">
        <v>313</v>
      </c>
      <c r="I262" s="7" t="s">
        <v>366</v>
      </c>
      <c r="J262" s="9" t="s">
        <v>608</v>
      </c>
      <c r="K262" s="12"/>
      <c r="L262" s="12"/>
      <c r="M262" s="10"/>
      <c r="N262" s="10"/>
      <c r="O262" s="10"/>
      <c r="P262" s="10"/>
      <c r="Q262" s="10"/>
      <c r="R262" s="10"/>
      <c r="S262" s="10"/>
      <c r="T262" s="10"/>
      <c r="U262" s="10"/>
      <c r="V262" s="10"/>
      <c r="W262" s="10"/>
      <c r="X262" s="10"/>
      <c r="Y262" s="10"/>
      <c r="Z262" s="10"/>
      <c r="AA262" s="10"/>
      <c r="AB262" s="10"/>
      <c r="AC262" s="10"/>
      <c r="AD262" s="10"/>
      <c r="AE262" s="10"/>
      <c r="AF262" s="10"/>
    </row>
    <row r="263">
      <c r="A263" s="7"/>
      <c r="B263" s="8">
        <v>24.0</v>
      </c>
      <c r="C263" s="8">
        <v>9.0</v>
      </c>
      <c r="D263" s="8" t="s">
        <v>609</v>
      </c>
      <c r="E263" s="7">
        <v>0.0</v>
      </c>
      <c r="F263" s="7" t="s">
        <v>320</v>
      </c>
      <c r="G263" s="7" t="s">
        <v>312</v>
      </c>
      <c r="H263" s="7" t="s">
        <v>313</v>
      </c>
      <c r="I263" s="7" t="s">
        <v>366</v>
      </c>
      <c r="J263" s="9" t="s">
        <v>610</v>
      </c>
      <c r="K263" s="12"/>
      <c r="L263" s="12"/>
      <c r="M263" s="10"/>
      <c r="N263" s="10"/>
      <c r="O263" s="10"/>
      <c r="P263" s="10"/>
      <c r="Q263" s="10"/>
      <c r="R263" s="10"/>
      <c r="S263" s="10"/>
      <c r="T263" s="10"/>
      <c r="U263" s="10"/>
      <c r="V263" s="10"/>
      <c r="W263" s="10"/>
      <c r="X263" s="10"/>
      <c r="Y263" s="10"/>
      <c r="Z263" s="10"/>
      <c r="AA263" s="10"/>
      <c r="AB263" s="10"/>
      <c r="AC263" s="10"/>
      <c r="AD263" s="10"/>
      <c r="AE263" s="10"/>
      <c r="AF263" s="10"/>
    </row>
    <row r="264">
      <c r="A264" s="7"/>
      <c r="B264" s="8">
        <v>24.0</v>
      </c>
      <c r="C264" s="8">
        <v>10.0</v>
      </c>
      <c r="D264" s="8" t="s">
        <v>611</v>
      </c>
      <c r="E264" s="7">
        <v>0.0</v>
      </c>
      <c r="F264" s="7"/>
      <c r="G264" s="7" t="s">
        <v>312</v>
      </c>
      <c r="H264" s="7" t="s">
        <v>313</v>
      </c>
      <c r="I264" s="10"/>
      <c r="J264" s="11"/>
      <c r="K264" s="12"/>
      <c r="L264" s="12"/>
      <c r="M264" s="10"/>
      <c r="N264" s="10"/>
      <c r="O264" s="10"/>
      <c r="P264" s="10"/>
      <c r="Q264" s="10"/>
      <c r="R264" s="10"/>
      <c r="S264" s="10"/>
      <c r="T264" s="10"/>
      <c r="U264" s="10"/>
      <c r="V264" s="10"/>
      <c r="W264" s="10"/>
      <c r="X264" s="10"/>
      <c r="Y264" s="10"/>
      <c r="Z264" s="10"/>
      <c r="AA264" s="10"/>
      <c r="AB264" s="10"/>
      <c r="AC264" s="10"/>
      <c r="AD264" s="10"/>
      <c r="AE264" s="10"/>
      <c r="AF264" s="10"/>
    </row>
    <row r="265">
      <c r="A265" s="10"/>
      <c r="B265" s="12"/>
      <c r="C265" s="12"/>
      <c r="D265" s="12"/>
      <c r="E265" s="10"/>
      <c r="F265" s="10"/>
      <c r="G265" s="10"/>
      <c r="H265" s="10"/>
      <c r="I265" s="10"/>
      <c r="J265" s="11"/>
      <c r="K265" s="12"/>
      <c r="L265" s="12"/>
      <c r="M265" s="10"/>
      <c r="N265" s="10"/>
      <c r="O265" s="10"/>
      <c r="P265" s="10"/>
      <c r="Q265" s="10"/>
      <c r="R265" s="10"/>
      <c r="S265" s="10"/>
      <c r="T265" s="10"/>
      <c r="U265" s="10"/>
      <c r="V265" s="10"/>
      <c r="W265" s="10"/>
      <c r="X265" s="10"/>
      <c r="Y265" s="10"/>
      <c r="Z265" s="10"/>
      <c r="AA265" s="10"/>
      <c r="AB265" s="10"/>
      <c r="AC265" s="10"/>
      <c r="AD265" s="10"/>
      <c r="AE265" s="10"/>
      <c r="AF265" s="10"/>
    </row>
    <row r="266">
      <c r="A266" s="7"/>
      <c r="B266" s="8">
        <v>25.0</v>
      </c>
      <c r="C266" s="8">
        <v>1.0</v>
      </c>
      <c r="D266" s="8" t="s">
        <v>612</v>
      </c>
      <c r="E266" s="7">
        <v>1.0</v>
      </c>
      <c r="F266" s="7"/>
      <c r="G266" s="7" t="s">
        <v>312</v>
      </c>
      <c r="H266" s="7" t="s">
        <v>313</v>
      </c>
      <c r="I266" s="10"/>
      <c r="J266" s="9" t="s">
        <v>613</v>
      </c>
      <c r="K266" s="12"/>
      <c r="L266" s="12"/>
      <c r="M266" s="10"/>
      <c r="N266" s="10"/>
      <c r="O266" s="10"/>
      <c r="P266" s="10"/>
      <c r="Q266" s="10"/>
      <c r="R266" s="10"/>
      <c r="S266" s="10"/>
      <c r="T266" s="10"/>
      <c r="U266" s="10"/>
      <c r="V266" s="10"/>
      <c r="W266" s="10"/>
      <c r="X266" s="10"/>
      <c r="Y266" s="10"/>
      <c r="Z266" s="10"/>
      <c r="AA266" s="10"/>
      <c r="AB266" s="10"/>
      <c r="AC266" s="10"/>
      <c r="AD266" s="10"/>
      <c r="AE266" s="10"/>
      <c r="AF266" s="10"/>
    </row>
    <row r="267">
      <c r="A267" s="7"/>
      <c r="B267" s="8">
        <v>25.0</v>
      </c>
      <c r="C267" s="8">
        <v>2.0</v>
      </c>
      <c r="D267" s="8" t="s">
        <v>614</v>
      </c>
      <c r="E267" s="7">
        <v>0.0</v>
      </c>
      <c r="F267" s="7" t="s">
        <v>320</v>
      </c>
      <c r="G267" s="7" t="s">
        <v>312</v>
      </c>
      <c r="H267" s="7" t="s">
        <v>313</v>
      </c>
      <c r="I267" s="10"/>
      <c r="J267" s="9" t="s">
        <v>615</v>
      </c>
      <c r="K267" s="12"/>
      <c r="L267" s="12"/>
      <c r="M267" s="10"/>
      <c r="N267" s="10"/>
      <c r="O267" s="10"/>
      <c r="P267" s="10"/>
      <c r="Q267" s="10"/>
      <c r="R267" s="10"/>
      <c r="S267" s="10"/>
      <c r="T267" s="10"/>
      <c r="U267" s="10"/>
      <c r="V267" s="10"/>
      <c r="W267" s="10"/>
      <c r="X267" s="10"/>
      <c r="Y267" s="10"/>
      <c r="Z267" s="10"/>
      <c r="AA267" s="10"/>
      <c r="AB267" s="10"/>
      <c r="AC267" s="10"/>
      <c r="AD267" s="10"/>
      <c r="AE267" s="10"/>
      <c r="AF267" s="10"/>
    </row>
    <row r="268">
      <c r="A268" s="7"/>
      <c r="B268" s="8">
        <v>25.0</v>
      </c>
      <c r="C268" s="8">
        <v>3.0</v>
      </c>
      <c r="D268" s="8" t="s">
        <v>616</v>
      </c>
      <c r="E268" s="7">
        <v>0.0</v>
      </c>
      <c r="F268" s="7"/>
      <c r="G268" s="7" t="s">
        <v>312</v>
      </c>
      <c r="H268" s="7" t="s">
        <v>313</v>
      </c>
      <c r="I268" s="10"/>
      <c r="J268" s="11"/>
      <c r="K268" s="12"/>
      <c r="L268" s="15" t="s">
        <v>617</v>
      </c>
      <c r="M268" s="10"/>
      <c r="N268" s="10"/>
      <c r="O268" s="10"/>
      <c r="P268" s="10"/>
      <c r="Q268" s="10"/>
      <c r="R268" s="10"/>
      <c r="S268" s="10"/>
      <c r="T268" s="10"/>
      <c r="U268" s="10"/>
      <c r="V268" s="10"/>
      <c r="W268" s="10"/>
      <c r="X268" s="10"/>
      <c r="Y268" s="10"/>
      <c r="Z268" s="10"/>
      <c r="AA268" s="10"/>
      <c r="AB268" s="10"/>
      <c r="AC268" s="10"/>
      <c r="AD268" s="10"/>
      <c r="AE268" s="10"/>
      <c r="AF268" s="10"/>
    </row>
    <row r="269">
      <c r="A269" s="10"/>
      <c r="B269" s="12"/>
      <c r="C269" s="12"/>
      <c r="D269" s="12"/>
      <c r="E269" s="10"/>
      <c r="F269" s="10"/>
      <c r="G269" s="10"/>
      <c r="H269" s="10"/>
      <c r="I269" s="10"/>
      <c r="J269" s="11"/>
      <c r="K269" s="12"/>
      <c r="L269" s="12"/>
      <c r="M269" s="10"/>
      <c r="N269" s="10"/>
      <c r="O269" s="10"/>
      <c r="P269" s="10"/>
      <c r="Q269" s="10"/>
      <c r="R269" s="10"/>
      <c r="S269" s="10"/>
      <c r="T269" s="10"/>
      <c r="U269" s="10"/>
      <c r="V269" s="10"/>
      <c r="W269" s="10"/>
      <c r="X269" s="10"/>
      <c r="Y269" s="10"/>
      <c r="Z269" s="10"/>
      <c r="AA269" s="10"/>
      <c r="AB269" s="10"/>
      <c r="AC269" s="10"/>
      <c r="AD269" s="10"/>
      <c r="AE269" s="10"/>
      <c r="AF269" s="10"/>
    </row>
    <row r="270">
      <c r="A270" s="7"/>
      <c r="B270" s="8">
        <v>26.0</v>
      </c>
      <c r="C270" s="8">
        <v>1.0</v>
      </c>
      <c r="D270" s="8" t="s">
        <v>618</v>
      </c>
      <c r="E270" s="7">
        <v>1.0</v>
      </c>
      <c r="F270" s="7"/>
      <c r="G270" s="7" t="s">
        <v>312</v>
      </c>
      <c r="H270" s="7" t="s">
        <v>313</v>
      </c>
      <c r="I270" s="10"/>
      <c r="J270" s="11"/>
      <c r="K270" s="12"/>
      <c r="L270" s="12"/>
      <c r="M270" s="10"/>
      <c r="N270" s="10"/>
      <c r="O270" s="10"/>
      <c r="P270" s="10"/>
      <c r="Q270" s="10"/>
      <c r="R270" s="10"/>
      <c r="S270" s="10"/>
      <c r="T270" s="10"/>
      <c r="U270" s="10"/>
      <c r="V270" s="10"/>
      <c r="W270" s="10"/>
      <c r="X270" s="10"/>
      <c r="Y270" s="10"/>
      <c r="Z270" s="10"/>
      <c r="AA270" s="10"/>
      <c r="AB270" s="10"/>
      <c r="AC270" s="10"/>
      <c r="AD270" s="10"/>
      <c r="AE270" s="10"/>
      <c r="AF270" s="10"/>
    </row>
    <row r="271">
      <c r="A271" s="7"/>
      <c r="B271" s="8">
        <v>26.0</v>
      </c>
      <c r="C271" s="8">
        <v>2.0</v>
      </c>
      <c r="D271" s="8" t="s">
        <v>619</v>
      </c>
      <c r="E271" s="7">
        <v>0.0</v>
      </c>
      <c r="F271" s="7"/>
      <c r="G271" s="7" t="s">
        <v>312</v>
      </c>
      <c r="H271" s="7" t="s">
        <v>313</v>
      </c>
      <c r="I271" s="10"/>
      <c r="J271" s="11"/>
      <c r="K271" s="12"/>
      <c r="L271" s="12"/>
      <c r="M271" s="10"/>
      <c r="N271" s="10"/>
      <c r="O271" s="10"/>
      <c r="P271" s="10"/>
      <c r="Q271" s="10"/>
      <c r="R271" s="10"/>
      <c r="S271" s="10"/>
      <c r="T271" s="10"/>
      <c r="U271" s="10"/>
      <c r="V271" s="10"/>
      <c r="W271" s="10"/>
      <c r="X271" s="10"/>
      <c r="Y271" s="10"/>
      <c r="Z271" s="10"/>
      <c r="AA271" s="10"/>
      <c r="AB271" s="10"/>
      <c r="AC271" s="10"/>
      <c r="AD271" s="10"/>
      <c r="AE271" s="10"/>
      <c r="AF271" s="10"/>
    </row>
    <row r="272">
      <c r="A272" s="7"/>
      <c r="B272" s="8">
        <v>26.0</v>
      </c>
      <c r="C272" s="8">
        <v>3.0</v>
      </c>
      <c r="D272" s="8" t="s">
        <v>620</v>
      </c>
      <c r="E272" s="7">
        <v>0.0</v>
      </c>
      <c r="F272" s="7"/>
      <c r="G272" s="7" t="s">
        <v>312</v>
      </c>
      <c r="H272" s="7" t="s">
        <v>313</v>
      </c>
      <c r="I272" s="10"/>
      <c r="J272" s="11"/>
      <c r="K272" s="12"/>
      <c r="L272" s="12"/>
      <c r="M272" s="10"/>
      <c r="N272" s="10"/>
      <c r="O272" s="10"/>
      <c r="P272" s="10"/>
      <c r="Q272" s="10"/>
      <c r="R272" s="10"/>
      <c r="S272" s="10"/>
      <c r="T272" s="10"/>
      <c r="U272" s="10"/>
      <c r="V272" s="10"/>
      <c r="W272" s="10"/>
      <c r="X272" s="10"/>
      <c r="Y272" s="10"/>
      <c r="Z272" s="10"/>
      <c r="AA272" s="10"/>
      <c r="AB272" s="10"/>
      <c r="AC272" s="10"/>
      <c r="AD272" s="10"/>
      <c r="AE272" s="10"/>
      <c r="AF272" s="10"/>
    </row>
    <row r="273">
      <c r="A273" s="10"/>
      <c r="B273" s="12"/>
      <c r="C273" s="12"/>
      <c r="D273" s="12"/>
      <c r="E273" s="10"/>
      <c r="F273" s="10"/>
      <c r="G273" s="10"/>
      <c r="H273" s="10"/>
      <c r="I273" s="10"/>
      <c r="J273" s="11"/>
      <c r="K273" s="12"/>
      <c r="L273" s="12"/>
      <c r="M273" s="10"/>
      <c r="N273" s="10"/>
      <c r="O273" s="10"/>
      <c r="P273" s="10"/>
      <c r="Q273" s="10"/>
      <c r="R273" s="10"/>
      <c r="S273" s="10"/>
      <c r="T273" s="10"/>
      <c r="U273" s="10"/>
      <c r="V273" s="10"/>
      <c r="W273" s="10"/>
      <c r="X273" s="10"/>
      <c r="Y273" s="10"/>
      <c r="Z273" s="10"/>
      <c r="AA273" s="10"/>
      <c r="AB273" s="10"/>
      <c r="AC273" s="10"/>
      <c r="AD273" s="10"/>
      <c r="AE273" s="10"/>
      <c r="AF273" s="10"/>
    </row>
    <row r="274">
      <c r="A274" s="7"/>
      <c r="B274" s="8">
        <v>27.0</v>
      </c>
      <c r="C274" s="8">
        <v>1.0</v>
      </c>
      <c r="D274" s="8" t="s">
        <v>621</v>
      </c>
      <c r="E274" s="7">
        <v>1.0</v>
      </c>
      <c r="F274" s="7"/>
      <c r="G274" s="7" t="s">
        <v>312</v>
      </c>
      <c r="H274" s="7" t="s">
        <v>313</v>
      </c>
      <c r="I274" s="10"/>
      <c r="J274" s="9" t="s">
        <v>622</v>
      </c>
      <c r="K274" s="12"/>
      <c r="L274" s="12"/>
      <c r="M274" s="10"/>
      <c r="N274" s="10"/>
      <c r="O274" s="10"/>
      <c r="P274" s="10"/>
      <c r="Q274" s="10"/>
      <c r="R274" s="10"/>
      <c r="S274" s="10"/>
      <c r="T274" s="10"/>
      <c r="U274" s="10"/>
      <c r="V274" s="10"/>
      <c r="W274" s="10"/>
      <c r="X274" s="10"/>
      <c r="Y274" s="10"/>
      <c r="Z274" s="10"/>
      <c r="AA274" s="10"/>
      <c r="AB274" s="10"/>
      <c r="AC274" s="10"/>
      <c r="AD274" s="10"/>
      <c r="AE274" s="10"/>
      <c r="AF274" s="10"/>
    </row>
    <row r="275">
      <c r="A275" s="7"/>
      <c r="B275" s="8">
        <v>27.0</v>
      </c>
      <c r="C275" s="8">
        <v>2.0</v>
      </c>
      <c r="D275" s="8" t="s">
        <v>623</v>
      </c>
      <c r="E275" s="7">
        <v>0.0</v>
      </c>
      <c r="F275" s="7"/>
      <c r="G275" s="7" t="s">
        <v>312</v>
      </c>
      <c r="H275" s="7" t="s">
        <v>313</v>
      </c>
      <c r="I275" s="10"/>
      <c r="J275" s="11"/>
      <c r="K275" s="12"/>
      <c r="L275" s="12"/>
      <c r="M275" s="10"/>
      <c r="N275" s="10"/>
      <c r="O275" s="10"/>
      <c r="P275" s="10"/>
      <c r="Q275" s="10"/>
      <c r="R275" s="10"/>
      <c r="S275" s="10"/>
      <c r="T275" s="10"/>
      <c r="U275" s="10"/>
      <c r="V275" s="10"/>
      <c r="W275" s="10"/>
      <c r="X275" s="10"/>
      <c r="Y275" s="10"/>
      <c r="Z275" s="10"/>
      <c r="AA275" s="10"/>
      <c r="AB275" s="10"/>
      <c r="AC275" s="10"/>
      <c r="AD275" s="10"/>
      <c r="AE275" s="10"/>
      <c r="AF275" s="10"/>
    </row>
    <row r="276">
      <c r="A276" s="7"/>
      <c r="B276" s="8">
        <v>27.0</v>
      </c>
      <c r="C276" s="8">
        <v>3.0</v>
      </c>
      <c r="D276" s="8" t="s">
        <v>624</v>
      </c>
      <c r="E276" s="7">
        <v>0.0</v>
      </c>
      <c r="F276" s="7" t="s">
        <v>320</v>
      </c>
      <c r="G276" s="7" t="s">
        <v>312</v>
      </c>
      <c r="H276" s="7" t="s">
        <v>313</v>
      </c>
      <c r="I276" s="7" t="s">
        <v>320</v>
      </c>
      <c r="J276" s="9" t="s">
        <v>625</v>
      </c>
      <c r="K276" s="12"/>
      <c r="L276" s="12"/>
      <c r="M276" s="10"/>
      <c r="N276" s="10"/>
      <c r="O276" s="10"/>
      <c r="P276" s="10"/>
      <c r="Q276" s="10"/>
      <c r="R276" s="10"/>
      <c r="S276" s="10"/>
      <c r="T276" s="10"/>
      <c r="U276" s="10"/>
      <c r="V276" s="10"/>
      <c r="W276" s="10"/>
      <c r="X276" s="10"/>
      <c r="Y276" s="10"/>
      <c r="Z276" s="10"/>
      <c r="AA276" s="10"/>
      <c r="AB276" s="10"/>
      <c r="AC276" s="10"/>
      <c r="AD276" s="10"/>
      <c r="AE276" s="10"/>
      <c r="AF276" s="10"/>
    </row>
    <row r="277">
      <c r="A277" s="7"/>
      <c r="B277" s="8">
        <v>27.0</v>
      </c>
      <c r="C277" s="8">
        <v>4.0</v>
      </c>
      <c r="D277" s="8" t="s">
        <v>626</v>
      </c>
      <c r="E277" s="7">
        <v>0.0</v>
      </c>
      <c r="F277" s="7"/>
      <c r="G277" s="7" t="s">
        <v>312</v>
      </c>
      <c r="H277" s="7" t="s">
        <v>313</v>
      </c>
      <c r="I277" s="10"/>
      <c r="J277" s="11"/>
      <c r="K277" s="12"/>
      <c r="L277" s="12"/>
      <c r="M277" s="10"/>
      <c r="N277" s="10"/>
      <c r="O277" s="10"/>
      <c r="P277" s="10"/>
      <c r="Q277" s="10"/>
      <c r="R277" s="10"/>
      <c r="S277" s="10"/>
      <c r="T277" s="10"/>
      <c r="U277" s="10"/>
      <c r="V277" s="10"/>
      <c r="W277" s="10"/>
      <c r="X277" s="10"/>
      <c r="Y277" s="10"/>
      <c r="Z277" s="10"/>
      <c r="AA277" s="10"/>
      <c r="AB277" s="10"/>
      <c r="AC277" s="10"/>
      <c r="AD277" s="10"/>
      <c r="AE277" s="10"/>
      <c r="AF277" s="10"/>
    </row>
    <row r="278">
      <c r="A278" s="7"/>
      <c r="B278" s="8">
        <v>27.0</v>
      </c>
      <c r="C278" s="8">
        <v>5.0</v>
      </c>
      <c r="D278" s="8" t="s">
        <v>627</v>
      </c>
      <c r="E278" s="7">
        <v>0.0</v>
      </c>
      <c r="F278" s="7"/>
      <c r="G278" s="7" t="s">
        <v>312</v>
      </c>
      <c r="H278" s="7" t="s">
        <v>313</v>
      </c>
      <c r="I278" s="10"/>
      <c r="J278" s="11"/>
      <c r="K278" s="12"/>
      <c r="L278" s="12"/>
      <c r="M278" s="10"/>
      <c r="N278" s="10"/>
      <c r="O278" s="10"/>
      <c r="P278" s="10"/>
      <c r="Q278" s="10"/>
      <c r="R278" s="10"/>
      <c r="S278" s="10"/>
      <c r="T278" s="10"/>
      <c r="U278" s="10"/>
      <c r="V278" s="10"/>
      <c r="W278" s="10"/>
      <c r="X278" s="10"/>
      <c r="Y278" s="10"/>
      <c r="Z278" s="10"/>
      <c r="AA278" s="10"/>
      <c r="AB278" s="10"/>
      <c r="AC278" s="10"/>
      <c r="AD278" s="10"/>
      <c r="AE278" s="10"/>
      <c r="AF278" s="10"/>
    </row>
    <row r="279">
      <c r="A279" s="7"/>
      <c r="B279" s="8">
        <v>27.0</v>
      </c>
      <c r="C279" s="8">
        <v>6.0</v>
      </c>
      <c r="D279" s="8" t="s">
        <v>628</v>
      </c>
      <c r="E279" s="7">
        <v>1.0</v>
      </c>
      <c r="F279" s="7" t="s">
        <v>320</v>
      </c>
      <c r="G279" s="7" t="s">
        <v>312</v>
      </c>
      <c r="H279" s="7" t="s">
        <v>313</v>
      </c>
      <c r="I279" s="7" t="s">
        <v>366</v>
      </c>
      <c r="J279" s="9" t="s">
        <v>629</v>
      </c>
      <c r="K279" s="12"/>
      <c r="L279" s="12"/>
      <c r="M279" s="10"/>
      <c r="N279" s="10"/>
      <c r="O279" s="10"/>
      <c r="P279" s="10"/>
      <c r="Q279" s="10"/>
      <c r="R279" s="10"/>
      <c r="S279" s="10"/>
      <c r="T279" s="10"/>
      <c r="U279" s="10"/>
      <c r="V279" s="10"/>
      <c r="W279" s="10"/>
      <c r="X279" s="10"/>
      <c r="Y279" s="10"/>
      <c r="Z279" s="10"/>
      <c r="AA279" s="10"/>
      <c r="AB279" s="10"/>
      <c r="AC279" s="10"/>
      <c r="AD279" s="10"/>
      <c r="AE279" s="10"/>
      <c r="AF279" s="10"/>
    </row>
    <row r="280">
      <c r="A280" s="7"/>
      <c r="B280" s="8">
        <v>27.0</v>
      </c>
      <c r="C280" s="8">
        <v>7.0</v>
      </c>
      <c r="D280" s="8" t="s">
        <v>630</v>
      </c>
      <c r="E280" s="7">
        <v>0.0</v>
      </c>
      <c r="F280" s="7"/>
      <c r="G280" s="7" t="s">
        <v>312</v>
      </c>
      <c r="H280" s="7" t="s">
        <v>313</v>
      </c>
      <c r="I280" s="10"/>
      <c r="J280" s="11"/>
      <c r="K280" s="12"/>
      <c r="L280" s="12"/>
      <c r="M280" s="10"/>
      <c r="N280" s="10"/>
      <c r="O280" s="10"/>
      <c r="P280" s="10"/>
      <c r="Q280" s="10"/>
      <c r="R280" s="10"/>
      <c r="S280" s="10"/>
      <c r="T280" s="10"/>
      <c r="U280" s="10"/>
      <c r="V280" s="10"/>
      <c r="W280" s="10"/>
      <c r="X280" s="10"/>
      <c r="Y280" s="10"/>
      <c r="Z280" s="10"/>
      <c r="AA280" s="10"/>
      <c r="AB280" s="10"/>
      <c r="AC280" s="10"/>
      <c r="AD280" s="10"/>
      <c r="AE280" s="10"/>
      <c r="AF280" s="10"/>
    </row>
    <row r="281">
      <c r="A281" s="7"/>
      <c r="B281" s="8">
        <v>27.0</v>
      </c>
      <c r="C281" s="8">
        <v>8.0</v>
      </c>
      <c r="D281" s="8" t="s">
        <v>631</v>
      </c>
      <c r="E281" s="7">
        <v>0.0</v>
      </c>
      <c r="F281" s="7"/>
      <c r="G281" s="7" t="s">
        <v>312</v>
      </c>
      <c r="H281" s="7" t="s">
        <v>313</v>
      </c>
      <c r="I281" s="10"/>
      <c r="J281" s="11"/>
      <c r="K281" s="8" t="s">
        <v>632</v>
      </c>
      <c r="L281" s="12"/>
      <c r="M281" s="10"/>
      <c r="N281" s="10"/>
      <c r="O281" s="10"/>
      <c r="P281" s="10"/>
      <c r="Q281" s="10"/>
      <c r="R281" s="10"/>
      <c r="S281" s="10"/>
      <c r="T281" s="10"/>
      <c r="U281" s="10"/>
      <c r="V281" s="10"/>
      <c r="W281" s="10"/>
      <c r="X281" s="10"/>
      <c r="Y281" s="10"/>
      <c r="Z281" s="10"/>
      <c r="AA281" s="10"/>
      <c r="AB281" s="10"/>
      <c r="AC281" s="10"/>
      <c r="AD281" s="10"/>
      <c r="AE281" s="10"/>
      <c r="AF281" s="10"/>
    </row>
    <row r="282">
      <c r="A282" s="7"/>
      <c r="B282" s="8">
        <v>27.0</v>
      </c>
      <c r="C282" s="8">
        <v>9.0</v>
      </c>
      <c r="D282" s="8" t="s">
        <v>633</v>
      </c>
      <c r="E282" s="7">
        <v>0.0</v>
      </c>
      <c r="F282" s="7"/>
      <c r="G282" s="7" t="s">
        <v>312</v>
      </c>
      <c r="H282" s="7" t="s">
        <v>313</v>
      </c>
      <c r="I282" s="10"/>
      <c r="J282" s="11"/>
      <c r="K282" s="8" t="s">
        <v>634</v>
      </c>
      <c r="L282" s="12"/>
      <c r="M282" s="10"/>
      <c r="N282" s="10"/>
      <c r="O282" s="10"/>
      <c r="P282" s="10"/>
      <c r="Q282" s="10"/>
      <c r="R282" s="10"/>
      <c r="S282" s="10"/>
      <c r="T282" s="10"/>
      <c r="U282" s="10"/>
      <c r="V282" s="10"/>
      <c r="W282" s="10"/>
      <c r="X282" s="10"/>
      <c r="Y282" s="10"/>
      <c r="Z282" s="10"/>
      <c r="AA282" s="10"/>
      <c r="AB282" s="10"/>
      <c r="AC282" s="10"/>
      <c r="AD282" s="10"/>
      <c r="AE282" s="10"/>
      <c r="AF282" s="10"/>
    </row>
    <row r="283">
      <c r="A283" s="7"/>
      <c r="B283" s="8">
        <v>27.0</v>
      </c>
      <c r="C283" s="8">
        <v>10.0</v>
      </c>
      <c r="D283" s="8" t="s">
        <v>635</v>
      </c>
      <c r="E283" s="7">
        <v>0.0</v>
      </c>
      <c r="F283" s="7"/>
      <c r="G283" s="7" t="s">
        <v>312</v>
      </c>
      <c r="H283" s="7" t="s">
        <v>313</v>
      </c>
      <c r="I283" s="10"/>
      <c r="J283" s="11"/>
      <c r="K283" s="8" t="s">
        <v>634</v>
      </c>
      <c r="L283" s="12"/>
      <c r="M283" s="10"/>
      <c r="N283" s="10"/>
      <c r="O283" s="10"/>
      <c r="P283" s="10"/>
      <c r="Q283" s="10"/>
      <c r="R283" s="10"/>
      <c r="S283" s="10"/>
      <c r="T283" s="10"/>
      <c r="U283" s="10"/>
      <c r="V283" s="10"/>
      <c r="W283" s="10"/>
      <c r="X283" s="10"/>
      <c r="Y283" s="10"/>
      <c r="Z283" s="10"/>
      <c r="AA283" s="10"/>
      <c r="AB283" s="10"/>
      <c r="AC283" s="10"/>
      <c r="AD283" s="10"/>
      <c r="AE283" s="10"/>
      <c r="AF283" s="10"/>
    </row>
    <row r="284">
      <c r="A284" s="10"/>
      <c r="B284" s="12"/>
      <c r="C284" s="12"/>
      <c r="D284" s="12"/>
      <c r="E284" s="10"/>
      <c r="F284" s="10"/>
      <c r="G284" s="10"/>
      <c r="H284" s="10"/>
      <c r="I284" s="10"/>
      <c r="J284" s="11"/>
      <c r="K284" s="12"/>
      <c r="L284" s="12"/>
      <c r="M284" s="10"/>
      <c r="N284" s="10"/>
      <c r="O284" s="10"/>
      <c r="P284" s="10"/>
      <c r="Q284" s="10"/>
      <c r="R284" s="10"/>
      <c r="S284" s="10"/>
      <c r="T284" s="10"/>
      <c r="U284" s="10"/>
      <c r="V284" s="10"/>
      <c r="W284" s="10"/>
      <c r="X284" s="10"/>
      <c r="Y284" s="10"/>
      <c r="Z284" s="10"/>
      <c r="AA284" s="10"/>
      <c r="AB284" s="10"/>
      <c r="AC284" s="10"/>
      <c r="AD284" s="10"/>
      <c r="AE284" s="10"/>
      <c r="AF284" s="10"/>
    </row>
    <row r="285">
      <c r="A285" s="7"/>
      <c r="B285" s="8">
        <v>28.0</v>
      </c>
      <c r="C285" s="8">
        <v>1.0</v>
      </c>
      <c r="D285" s="8" t="s">
        <v>636</v>
      </c>
      <c r="E285" s="7">
        <v>1.0</v>
      </c>
      <c r="F285" s="7"/>
      <c r="G285" s="7" t="s">
        <v>312</v>
      </c>
      <c r="H285" s="7" t="s">
        <v>313</v>
      </c>
      <c r="I285" s="10"/>
      <c r="J285" s="9" t="s">
        <v>637</v>
      </c>
      <c r="K285" s="12"/>
      <c r="L285" s="12"/>
      <c r="M285" s="10"/>
      <c r="N285" s="10"/>
      <c r="O285" s="10"/>
      <c r="P285" s="10"/>
      <c r="Q285" s="10"/>
      <c r="R285" s="10"/>
      <c r="S285" s="10"/>
      <c r="T285" s="10"/>
      <c r="U285" s="10"/>
      <c r="V285" s="10"/>
      <c r="W285" s="10"/>
      <c r="X285" s="10"/>
      <c r="Y285" s="10"/>
      <c r="Z285" s="10"/>
      <c r="AA285" s="10"/>
      <c r="AB285" s="10"/>
      <c r="AC285" s="10"/>
      <c r="AD285" s="10"/>
      <c r="AE285" s="10"/>
      <c r="AF285" s="10"/>
    </row>
    <row r="286">
      <c r="A286" s="7"/>
      <c r="B286" s="8">
        <v>28.0</v>
      </c>
      <c r="C286" s="8">
        <v>2.0</v>
      </c>
      <c r="D286" s="8" t="s">
        <v>638</v>
      </c>
      <c r="E286" s="7">
        <v>1.0</v>
      </c>
      <c r="F286" s="7"/>
      <c r="G286" s="7" t="s">
        <v>312</v>
      </c>
      <c r="H286" s="7" t="s">
        <v>313</v>
      </c>
      <c r="I286" s="10"/>
      <c r="J286" s="9" t="s">
        <v>639</v>
      </c>
      <c r="K286" s="12"/>
      <c r="L286" s="12"/>
      <c r="M286" s="10"/>
      <c r="N286" s="10"/>
      <c r="O286" s="10"/>
      <c r="P286" s="10"/>
      <c r="Q286" s="10"/>
      <c r="R286" s="10"/>
      <c r="S286" s="10"/>
      <c r="T286" s="10"/>
      <c r="U286" s="10"/>
      <c r="V286" s="10"/>
      <c r="W286" s="10"/>
      <c r="X286" s="10"/>
      <c r="Y286" s="10"/>
      <c r="Z286" s="10"/>
      <c r="AA286" s="10"/>
      <c r="AB286" s="10"/>
      <c r="AC286" s="10"/>
      <c r="AD286" s="10"/>
      <c r="AE286" s="10"/>
      <c r="AF286" s="10"/>
    </row>
    <row r="287">
      <c r="A287" s="7"/>
      <c r="B287" s="8">
        <v>28.0</v>
      </c>
      <c r="C287" s="8">
        <v>3.0</v>
      </c>
      <c r="D287" s="8" t="s">
        <v>640</v>
      </c>
      <c r="E287" s="7">
        <v>1.0</v>
      </c>
      <c r="F287" s="7"/>
      <c r="G287" s="7" t="s">
        <v>312</v>
      </c>
      <c r="H287" s="7" t="s">
        <v>313</v>
      </c>
      <c r="I287" s="10"/>
      <c r="J287" s="11"/>
      <c r="K287" s="12"/>
      <c r="L287" s="12"/>
      <c r="M287" s="10"/>
      <c r="N287" s="10"/>
      <c r="O287" s="10"/>
      <c r="P287" s="10"/>
      <c r="Q287" s="10"/>
      <c r="R287" s="10"/>
      <c r="S287" s="10"/>
      <c r="T287" s="10"/>
      <c r="U287" s="10"/>
      <c r="V287" s="10"/>
      <c r="W287" s="10"/>
      <c r="X287" s="10"/>
      <c r="Y287" s="10"/>
      <c r="Z287" s="10"/>
      <c r="AA287" s="10"/>
      <c r="AB287" s="10"/>
      <c r="AC287" s="10"/>
      <c r="AD287" s="10"/>
      <c r="AE287" s="10"/>
      <c r="AF287" s="10"/>
    </row>
    <row r="288">
      <c r="A288" s="7"/>
      <c r="B288" s="8">
        <v>28.0</v>
      </c>
      <c r="C288" s="8">
        <v>4.0</v>
      </c>
      <c r="D288" s="8" t="s">
        <v>641</v>
      </c>
      <c r="E288" s="7">
        <v>1.0</v>
      </c>
      <c r="F288" s="7"/>
      <c r="G288" s="7" t="s">
        <v>312</v>
      </c>
      <c r="H288" s="7" t="s">
        <v>313</v>
      </c>
      <c r="I288" s="10"/>
      <c r="J288" s="11"/>
      <c r="K288" s="12"/>
      <c r="L288" s="12"/>
      <c r="M288" s="10"/>
      <c r="N288" s="10"/>
      <c r="O288" s="10"/>
      <c r="P288" s="10"/>
      <c r="Q288" s="10"/>
      <c r="R288" s="10"/>
      <c r="S288" s="10"/>
      <c r="T288" s="10"/>
      <c r="U288" s="10"/>
      <c r="V288" s="10"/>
      <c r="W288" s="10"/>
      <c r="X288" s="10"/>
      <c r="Y288" s="10"/>
      <c r="Z288" s="10"/>
      <c r="AA288" s="10"/>
      <c r="AB288" s="10"/>
      <c r="AC288" s="10"/>
      <c r="AD288" s="10"/>
      <c r="AE288" s="10"/>
      <c r="AF288" s="10"/>
    </row>
    <row r="289">
      <c r="A289" s="7"/>
      <c r="B289" s="8">
        <v>28.0</v>
      </c>
      <c r="C289" s="8">
        <v>5.0</v>
      </c>
      <c r="D289" s="8" t="s">
        <v>642</v>
      </c>
      <c r="E289" s="7">
        <v>0.0</v>
      </c>
      <c r="F289" s="7"/>
      <c r="G289" s="7" t="s">
        <v>312</v>
      </c>
      <c r="H289" s="7" t="s">
        <v>313</v>
      </c>
      <c r="I289" s="10"/>
      <c r="J289" s="11"/>
      <c r="K289" s="8" t="s">
        <v>643</v>
      </c>
      <c r="L289" s="12"/>
      <c r="M289" s="10"/>
      <c r="N289" s="10"/>
      <c r="O289" s="10"/>
      <c r="P289" s="10"/>
      <c r="Q289" s="10"/>
      <c r="R289" s="10"/>
      <c r="S289" s="10"/>
      <c r="T289" s="10"/>
      <c r="U289" s="10"/>
      <c r="V289" s="10"/>
      <c r="W289" s="10"/>
      <c r="X289" s="10"/>
      <c r="Y289" s="10"/>
      <c r="Z289" s="10"/>
      <c r="AA289" s="10"/>
      <c r="AB289" s="10"/>
      <c r="AC289" s="10"/>
      <c r="AD289" s="10"/>
      <c r="AE289" s="10"/>
      <c r="AF289" s="10"/>
    </row>
    <row r="290">
      <c r="A290" s="7"/>
      <c r="B290" s="8">
        <v>28.0</v>
      </c>
      <c r="C290" s="8">
        <v>6.0</v>
      </c>
      <c r="D290" s="8" t="s">
        <v>644</v>
      </c>
      <c r="E290" s="7">
        <v>0.0</v>
      </c>
      <c r="F290" s="7"/>
      <c r="G290" s="7" t="s">
        <v>312</v>
      </c>
      <c r="H290" s="7" t="s">
        <v>313</v>
      </c>
      <c r="I290" s="10"/>
      <c r="J290" s="11"/>
      <c r="K290" s="8" t="s">
        <v>645</v>
      </c>
      <c r="L290" s="12"/>
      <c r="M290" s="10"/>
      <c r="N290" s="10"/>
      <c r="O290" s="10"/>
      <c r="P290" s="10"/>
      <c r="Q290" s="10"/>
      <c r="R290" s="10"/>
      <c r="S290" s="10"/>
      <c r="T290" s="10"/>
      <c r="U290" s="10"/>
      <c r="V290" s="10"/>
      <c r="W290" s="10"/>
      <c r="X290" s="10"/>
      <c r="Y290" s="10"/>
      <c r="Z290" s="10"/>
      <c r="AA290" s="10"/>
      <c r="AB290" s="10"/>
      <c r="AC290" s="10"/>
      <c r="AD290" s="10"/>
      <c r="AE290" s="10"/>
      <c r="AF290" s="10"/>
    </row>
    <row r="291">
      <c r="A291" s="7"/>
      <c r="B291" s="8">
        <v>28.0</v>
      </c>
      <c r="C291" s="8">
        <v>7.0</v>
      </c>
      <c r="D291" s="8" t="s">
        <v>646</v>
      </c>
      <c r="E291" s="7">
        <v>0.0</v>
      </c>
      <c r="F291" s="7"/>
      <c r="G291" s="7" t="s">
        <v>312</v>
      </c>
      <c r="H291" s="7" t="s">
        <v>313</v>
      </c>
      <c r="I291" s="10"/>
      <c r="J291" s="11"/>
      <c r="K291" s="8" t="s">
        <v>647</v>
      </c>
      <c r="L291" s="12"/>
      <c r="M291" s="10"/>
      <c r="N291" s="10"/>
      <c r="O291" s="10"/>
      <c r="P291" s="10"/>
      <c r="Q291" s="10"/>
      <c r="R291" s="10"/>
      <c r="S291" s="10"/>
      <c r="T291" s="10"/>
      <c r="U291" s="10"/>
      <c r="V291" s="10"/>
      <c r="W291" s="10"/>
      <c r="X291" s="10"/>
      <c r="Y291" s="10"/>
      <c r="Z291" s="10"/>
      <c r="AA291" s="10"/>
      <c r="AB291" s="10"/>
      <c r="AC291" s="10"/>
      <c r="AD291" s="10"/>
      <c r="AE291" s="10"/>
      <c r="AF291" s="10"/>
    </row>
    <row r="292">
      <c r="A292" s="7"/>
      <c r="B292" s="8">
        <v>28.0</v>
      </c>
      <c r="C292" s="8">
        <v>8.0</v>
      </c>
      <c r="D292" s="8" t="s">
        <v>648</v>
      </c>
      <c r="E292" s="7">
        <v>0.0</v>
      </c>
      <c r="F292" s="7"/>
      <c r="G292" s="7" t="s">
        <v>312</v>
      </c>
      <c r="H292" s="7" t="s">
        <v>313</v>
      </c>
      <c r="I292" s="10"/>
      <c r="J292" s="11"/>
      <c r="K292" s="8" t="s">
        <v>649</v>
      </c>
      <c r="L292" s="12"/>
      <c r="M292" s="10"/>
      <c r="N292" s="10"/>
      <c r="O292" s="10"/>
      <c r="P292" s="10"/>
      <c r="Q292" s="10"/>
      <c r="R292" s="10"/>
      <c r="S292" s="10"/>
      <c r="T292" s="10"/>
      <c r="U292" s="10"/>
      <c r="V292" s="10"/>
      <c r="W292" s="10"/>
      <c r="X292" s="10"/>
      <c r="Y292" s="10"/>
      <c r="Z292" s="10"/>
      <c r="AA292" s="10"/>
      <c r="AB292" s="10"/>
      <c r="AC292" s="10"/>
      <c r="AD292" s="10"/>
      <c r="AE292" s="10"/>
      <c r="AF292" s="10"/>
    </row>
    <row r="293">
      <c r="A293" s="7"/>
      <c r="B293" s="8">
        <v>28.0</v>
      </c>
      <c r="C293" s="8">
        <v>9.0</v>
      </c>
      <c r="D293" s="8" t="s">
        <v>650</v>
      </c>
      <c r="E293" s="7">
        <v>0.0</v>
      </c>
      <c r="F293" s="7"/>
      <c r="G293" s="7" t="s">
        <v>312</v>
      </c>
      <c r="H293" s="7" t="s">
        <v>313</v>
      </c>
      <c r="I293" s="10"/>
      <c r="J293" s="11"/>
      <c r="K293" s="12"/>
      <c r="L293" s="12"/>
      <c r="M293" s="10"/>
      <c r="N293" s="10"/>
      <c r="O293" s="10"/>
      <c r="P293" s="10"/>
      <c r="Q293" s="10"/>
      <c r="R293" s="10"/>
      <c r="S293" s="10"/>
      <c r="T293" s="10"/>
      <c r="U293" s="10"/>
      <c r="V293" s="10"/>
      <c r="W293" s="10"/>
      <c r="X293" s="10"/>
      <c r="Y293" s="10"/>
      <c r="Z293" s="10"/>
      <c r="AA293" s="10"/>
      <c r="AB293" s="10"/>
      <c r="AC293" s="10"/>
      <c r="AD293" s="10"/>
      <c r="AE293" s="10"/>
      <c r="AF293" s="10"/>
    </row>
    <row r="294">
      <c r="A294" s="7"/>
      <c r="B294" s="8">
        <v>28.0</v>
      </c>
      <c r="C294" s="8">
        <v>10.0</v>
      </c>
      <c r="D294" s="8" t="s">
        <v>651</v>
      </c>
      <c r="E294" s="7">
        <v>0.0</v>
      </c>
      <c r="F294" s="7"/>
      <c r="G294" s="7" t="s">
        <v>312</v>
      </c>
      <c r="H294" s="7" t="s">
        <v>313</v>
      </c>
      <c r="I294" s="10"/>
      <c r="J294" s="11"/>
      <c r="K294" s="12"/>
      <c r="L294" s="12"/>
      <c r="M294" s="10"/>
      <c r="N294" s="10"/>
      <c r="O294" s="10"/>
      <c r="P294" s="10"/>
      <c r="Q294" s="10"/>
      <c r="R294" s="10"/>
      <c r="S294" s="10"/>
      <c r="T294" s="10"/>
      <c r="U294" s="10"/>
      <c r="V294" s="10"/>
      <c r="W294" s="10"/>
      <c r="X294" s="10"/>
      <c r="Y294" s="10"/>
      <c r="Z294" s="10"/>
      <c r="AA294" s="10"/>
      <c r="AB294" s="10"/>
      <c r="AC294" s="10"/>
      <c r="AD294" s="10"/>
      <c r="AE294" s="10"/>
      <c r="AF294" s="10"/>
    </row>
    <row r="295">
      <c r="A295" s="7"/>
      <c r="B295" s="8">
        <v>28.0</v>
      </c>
      <c r="C295" s="8">
        <v>11.0</v>
      </c>
      <c r="D295" s="8" t="s">
        <v>652</v>
      </c>
      <c r="E295" s="7">
        <v>0.0</v>
      </c>
      <c r="F295" s="7"/>
      <c r="G295" s="7" t="s">
        <v>312</v>
      </c>
      <c r="H295" s="7" t="s">
        <v>313</v>
      </c>
      <c r="I295" s="10"/>
      <c r="J295" s="11"/>
      <c r="K295" s="12"/>
      <c r="L295" s="12"/>
      <c r="M295" s="10"/>
      <c r="N295" s="10"/>
      <c r="O295" s="10"/>
      <c r="P295" s="10"/>
      <c r="Q295" s="10"/>
      <c r="R295" s="10"/>
      <c r="S295" s="10"/>
      <c r="T295" s="10"/>
      <c r="U295" s="10"/>
      <c r="V295" s="10"/>
      <c r="W295" s="10"/>
      <c r="X295" s="10"/>
      <c r="Y295" s="10"/>
      <c r="Z295" s="10"/>
      <c r="AA295" s="10"/>
      <c r="AB295" s="10"/>
      <c r="AC295" s="10"/>
      <c r="AD295" s="10"/>
      <c r="AE295" s="10"/>
      <c r="AF295" s="10"/>
    </row>
    <row r="296">
      <c r="A296" s="7"/>
      <c r="B296" s="8">
        <v>28.0</v>
      </c>
      <c r="C296" s="8">
        <v>12.0</v>
      </c>
      <c r="D296" s="8" t="s">
        <v>653</v>
      </c>
      <c r="E296" s="7">
        <v>0.0</v>
      </c>
      <c r="F296" s="7"/>
      <c r="G296" s="7" t="s">
        <v>312</v>
      </c>
      <c r="H296" s="7" t="s">
        <v>313</v>
      </c>
      <c r="I296" s="10"/>
      <c r="J296" s="11"/>
      <c r="K296" s="8" t="s">
        <v>654</v>
      </c>
      <c r="L296" s="12"/>
      <c r="M296" s="10"/>
      <c r="N296" s="10"/>
      <c r="O296" s="10"/>
      <c r="P296" s="10"/>
      <c r="Q296" s="10"/>
      <c r="R296" s="10"/>
      <c r="S296" s="10"/>
      <c r="T296" s="10"/>
      <c r="U296" s="10"/>
      <c r="V296" s="10"/>
      <c r="W296" s="10"/>
      <c r="X296" s="10"/>
      <c r="Y296" s="10"/>
      <c r="Z296" s="10"/>
      <c r="AA296" s="10"/>
      <c r="AB296" s="10"/>
      <c r="AC296" s="10"/>
      <c r="AD296" s="10"/>
      <c r="AE296" s="10"/>
      <c r="AF296" s="10"/>
    </row>
    <row r="297">
      <c r="A297" s="7"/>
      <c r="B297" s="8">
        <v>28.0</v>
      </c>
      <c r="C297" s="8">
        <v>13.0</v>
      </c>
      <c r="D297" s="8" t="s">
        <v>655</v>
      </c>
      <c r="E297" s="7">
        <v>0.0</v>
      </c>
      <c r="F297" s="7"/>
      <c r="G297" s="7" t="s">
        <v>312</v>
      </c>
      <c r="H297" s="7" t="s">
        <v>313</v>
      </c>
      <c r="I297" s="10"/>
      <c r="J297" s="11"/>
      <c r="K297" s="8" t="s">
        <v>656</v>
      </c>
      <c r="L297" s="12"/>
      <c r="M297" s="10"/>
      <c r="N297" s="10"/>
      <c r="O297" s="10"/>
      <c r="P297" s="10"/>
      <c r="Q297" s="10"/>
      <c r="R297" s="10"/>
      <c r="S297" s="10"/>
      <c r="T297" s="10"/>
      <c r="U297" s="10"/>
      <c r="V297" s="10"/>
      <c r="W297" s="10"/>
      <c r="X297" s="10"/>
      <c r="Y297" s="10"/>
      <c r="Z297" s="10"/>
      <c r="AA297" s="10"/>
      <c r="AB297" s="10"/>
      <c r="AC297" s="10"/>
      <c r="AD297" s="10"/>
      <c r="AE297" s="10"/>
      <c r="AF297" s="10"/>
    </row>
    <row r="298">
      <c r="A298" s="7"/>
      <c r="B298" s="8">
        <v>28.0</v>
      </c>
      <c r="C298" s="8">
        <v>14.0</v>
      </c>
      <c r="D298" s="8" t="s">
        <v>657</v>
      </c>
      <c r="E298" s="7">
        <v>0.0</v>
      </c>
      <c r="F298" s="7"/>
      <c r="G298" s="7" t="s">
        <v>312</v>
      </c>
      <c r="H298" s="7" t="s">
        <v>313</v>
      </c>
      <c r="I298" s="10"/>
      <c r="J298" s="11"/>
      <c r="K298" s="8" t="s">
        <v>658</v>
      </c>
      <c r="L298" s="12"/>
      <c r="M298" s="10"/>
      <c r="N298" s="10"/>
      <c r="O298" s="10"/>
      <c r="P298" s="10"/>
      <c r="Q298" s="10"/>
      <c r="R298" s="10"/>
      <c r="S298" s="10"/>
      <c r="T298" s="10"/>
      <c r="U298" s="10"/>
      <c r="V298" s="10"/>
      <c r="W298" s="10"/>
      <c r="X298" s="10"/>
      <c r="Y298" s="10"/>
      <c r="Z298" s="10"/>
      <c r="AA298" s="10"/>
      <c r="AB298" s="10"/>
      <c r="AC298" s="10"/>
      <c r="AD298" s="10"/>
      <c r="AE298" s="10"/>
      <c r="AF298" s="10"/>
    </row>
    <row r="299">
      <c r="A299" s="7"/>
      <c r="B299" s="8">
        <v>28.0</v>
      </c>
      <c r="C299" s="8">
        <v>15.0</v>
      </c>
      <c r="D299" s="8" t="s">
        <v>659</v>
      </c>
      <c r="E299" s="7">
        <v>0.0</v>
      </c>
      <c r="F299" s="7"/>
      <c r="G299" s="7" t="s">
        <v>312</v>
      </c>
      <c r="H299" s="7" t="s">
        <v>313</v>
      </c>
      <c r="I299" s="10"/>
      <c r="J299" s="11"/>
      <c r="K299" s="8" t="s">
        <v>660</v>
      </c>
      <c r="L299" s="12"/>
      <c r="M299" s="10"/>
      <c r="N299" s="10"/>
      <c r="O299" s="10"/>
      <c r="P299" s="10"/>
      <c r="Q299" s="10"/>
      <c r="R299" s="10"/>
      <c r="S299" s="10"/>
      <c r="T299" s="10"/>
      <c r="U299" s="10"/>
      <c r="V299" s="10"/>
      <c r="W299" s="10"/>
      <c r="X299" s="10"/>
      <c r="Y299" s="10"/>
      <c r="Z299" s="10"/>
      <c r="AA299" s="10"/>
      <c r="AB299" s="10"/>
      <c r="AC299" s="10"/>
      <c r="AD299" s="10"/>
      <c r="AE299" s="10"/>
      <c r="AF299" s="10"/>
    </row>
    <row r="300">
      <c r="A300" s="7"/>
      <c r="B300" s="8">
        <v>28.0</v>
      </c>
      <c r="C300" s="8">
        <v>16.0</v>
      </c>
      <c r="D300" s="8" t="s">
        <v>661</v>
      </c>
      <c r="E300" s="7">
        <v>0.0</v>
      </c>
      <c r="F300" s="7"/>
      <c r="G300" s="7" t="s">
        <v>312</v>
      </c>
      <c r="H300" s="7" t="s">
        <v>313</v>
      </c>
      <c r="I300" s="10"/>
      <c r="J300" s="11"/>
      <c r="K300" s="12"/>
      <c r="L300" s="12"/>
      <c r="M300" s="10"/>
      <c r="N300" s="10"/>
      <c r="O300" s="10"/>
      <c r="P300" s="10"/>
      <c r="Q300" s="10"/>
      <c r="R300" s="10"/>
      <c r="S300" s="10"/>
      <c r="T300" s="10"/>
      <c r="U300" s="10"/>
      <c r="V300" s="10"/>
      <c r="W300" s="10"/>
      <c r="X300" s="10"/>
      <c r="Y300" s="10"/>
      <c r="Z300" s="10"/>
      <c r="AA300" s="10"/>
      <c r="AB300" s="10"/>
      <c r="AC300" s="10"/>
      <c r="AD300" s="10"/>
      <c r="AE300" s="10"/>
      <c r="AF300" s="10"/>
    </row>
    <row r="301">
      <c r="A301" s="7"/>
      <c r="B301" s="8">
        <v>28.0</v>
      </c>
      <c r="C301" s="8">
        <v>17.0</v>
      </c>
      <c r="D301" s="8" t="s">
        <v>662</v>
      </c>
      <c r="E301" s="7">
        <v>0.0</v>
      </c>
      <c r="F301" s="7"/>
      <c r="G301" s="7" t="s">
        <v>312</v>
      </c>
      <c r="H301" s="7" t="s">
        <v>313</v>
      </c>
      <c r="I301" s="10"/>
      <c r="J301" s="11"/>
      <c r="K301" s="12"/>
      <c r="L301" s="12"/>
      <c r="M301" s="10"/>
      <c r="N301" s="10"/>
      <c r="O301" s="10"/>
      <c r="P301" s="10"/>
      <c r="Q301" s="10"/>
      <c r="R301" s="10"/>
      <c r="S301" s="10"/>
      <c r="T301" s="10"/>
      <c r="U301" s="10"/>
      <c r="V301" s="10"/>
      <c r="W301" s="10"/>
      <c r="X301" s="10"/>
      <c r="Y301" s="10"/>
      <c r="Z301" s="10"/>
      <c r="AA301" s="10"/>
      <c r="AB301" s="10"/>
      <c r="AC301" s="10"/>
      <c r="AD301" s="10"/>
      <c r="AE301" s="10"/>
      <c r="AF301" s="10"/>
    </row>
    <row r="302">
      <c r="A302" s="7"/>
      <c r="B302" s="8">
        <v>28.0</v>
      </c>
      <c r="C302" s="8">
        <v>18.0</v>
      </c>
      <c r="D302" s="8" t="s">
        <v>663</v>
      </c>
      <c r="E302" s="7">
        <v>0.0</v>
      </c>
      <c r="F302" s="7"/>
      <c r="G302" s="7" t="s">
        <v>312</v>
      </c>
      <c r="H302" s="7" t="s">
        <v>313</v>
      </c>
      <c r="I302" s="10"/>
      <c r="J302" s="11"/>
      <c r="K302" s="8" t="s">
        <v>654</v>
      </c>
      <c r="L302" s="12"/>
      <c r="M302" s="10"/>
      <c r="N302" s="10"/>
      <c r="O302" s="10"/>
      <c r="P302" s="10"/>
      <c r="Q302" s="10"/>
      <c r="R302" s="10"/>
      <c r="S302" s="10"/>
      <c r="T302" s="10"/>
      <c r="U302" s="10"/>
      <c r="V302" s="10"/>
      <c r="W302" s="10"/>
      <c r="X302" s="10"/>
      <c r="Y302" s="10"/>
      <c r="Z302" s="10"/>
      <c r="AA302" s="10"/>
      <c r="AB302" s="10"/>
      <c r="AC302" s="10"/>
      <c r="AD302" s="10"/>
      <c r="AE302" s="10"/>
      <c r="AF302" s="10"/>
    </row>
    <row r="303">
      <c r="A303" s="7"/>
      <c r="B303" s="8">
        <v>28.0</v>
      </c>
      <c r="C303" s="8">
        <v>19.0</v>
      </c>
      <c r="D303" s="8" t="s">
        <v>664</v>
      </c>
      <c r="E303" s="7">
        <v>0.0</v>
      </c>
      <c r="F303" s="7"/>
      <c r="G303" s="7" t="s">
        <v>312</v>
      </c>
      <c r="H303" s="7" t="s">
        <v>313</v>
      </c>
      <c r="I303" s="10"/>
      <c r="J303" s="11"/>
      <c r="K303" s="8" t="s">
        <v>656</v>
      </c>
      <c r="L303" s="12"/>
      <c r="M303" s="10"/>
      <c r="N303" s="10"/>
      <c r="O303" s="10"/>
      <c r="P303" s="10"/>
      <c r="Q303" s="10"/>
      <c r="R303" s="10"/>
      <c r="S303" s="10"/>
      <c r="T303" s="10"/>
      <c r="U303" s="10"/>
      <c r="V303" s="10"/>
      <c r="W303" s="10"/>
      <c r="X303" s="10"/>
      <c r="Y303" s="10"/>
      <c r="Z303" s="10"/>
      <c r="AA303" s="10"/>
      <c r="AB303" s="10"/>
      <c r="AC303" s="10"/>
      <c r="AD303" s="10"/>
      <c r="AE303" s="10"/>
      <c r="AF303" s="10"/>
    </row>
    <row r="304">
      <c r="A304" s="7"/>
      <c r="B304" s="8">
        <v>28.0</v>
      </c>
      <c r="C304" s="8">
        <v>20.0</v>
      </c>
      <c r="D304" s="8" t="s">
        <v>665</v>
      </c>
      <c r="E304" s="7">
        <v>0.0</v>
      </c>
      <c r="F304" s="7"/>
      <c r="G304" s="7" t="s">
        <v>312</v>
      </c>
      <c r="H304" s="7" t="s">
        <v>313</v>
      </c>
      <c r="I304" s="10"/>
      <c r="J304" s="11"/>
      <c r="K304" s="8" t="s">
        <v>658</v>
      </c>
      <c r="L304" s="12"/>
      <c r="M304" s="10"/>
      <c r="N304" s="10"/>
      <c r="O304" s="10"/>
      <c r="P304" s="10"/>
      <c r="Q304" s="10"/>
      <c r="R304" s="10"/>
      <c r="S304" s="10"/>
      <c r="T304" s="10"/>
      <c r="U304" s="10"/>
      <c r="V304" s="10"/>
      <c r="W304" s="10"/>
      <c r="X304" s="10"/>
      <c r="Y304" s="10"/>
      <c r="Z304" s="10"/>
      <c r="AA304" s="10"/>
      <c r="AB304" s="10"/>
      <c r="AC304" s="10"/>
      <c r="AD304" s="10"/>
      <c r="AE304" s="10"/>
      <c r="AF304" s="10"/>
    </row>
    <row r="305">
      <c r="A305" s="7"/>
      <c r="B305" s="8">
        <v>28.0</v>
      </c>
      <c r="C305" s="8">
        <v>21.0</v>
      </c>
      <c r="D305" s="8" t="s">
        <v>666</v>
      </c>
      <c r="E305" s="7">
        <v>0.0</v>
      </c>
      <c r="F305" s="7"/>
      <c r="G305" s="7" t="s">
        <v>312</v>
      </c>
      <c r="H305" s="7" t="s">
        <v>313</v>
      </c>
      <c r="I305" s="10"/>
      <c r="J305" s="11"/>
      <c r="K305" s="8" t="s">
        <v>660</v>
      </c>
      <c r="L305" s="12"/>
      <c r="M305" s="10"/>
      <c r="N305" s="10"/>
      <c r="O305" s="10"/>
      <c r="P305" s="10"/>
      <c r="Q305" s="10"/>
      <c r="R305" s="10"/>
      <c r="S305" s="10"/>
      <c r="T305" s="10"/>
      <c r="U305" s="10"/>
      <c r="V305" s="10"/>
      <c r="W305" s="10"/>
      <c r="X305" s="10"/>
      <c r="Y305" s="10"/>
      <c r="Z305" s="10"/>
      <c r="AA305" s="10"/>
      <c r="AB305" s="10"/>
      <c r="AC305" s="10"/>
      <c r="AD305" s="10"/>
      <c r="AE305" s="10"/>
      <c r="AF305" s="10"/>
    </row>
    <row r="306">
      <c r="A306" s="7"/>
      <c r="B306" s="8">
        <v>28.0</v>
      </c>
      <c r="C306" s="8">
        <v>22.0</v>
      </c>
      <c r="D306" s="8" t="s">
        <v>667</v>
      </c>
      <c r="E306" s="7">
        <v>0.0</v>
      </c>
      <c r="F306" s="7"/>
      <c r="G306" s="7" t="s">
        <v>312</v>
      </c>
      <c r="H306" s="7" t="s">
        <v>313</v>
      </c>
      <c r="I306" s="10"/>
      <c r="J306" s="11"/>
      <c r="K306" s="12"/>
      <c r="L306" s="12"/>
      <c r="M306" s="10"/>
      <c r="N306" s="10"/>
      <c r="O306" s="10"/>
      <c r="P306" s="10"/>
      <c r="Q306" s="10"/>
      <c r="R306" s="10"/>
      <c r="S306" s="10"/>
      <c r="T306" s="10"/>
      <c r="U306" s="10"/>
      <c r="V306" s="10"/>
      <c r="W306" s="10"/>
      <c r="X306" s="10"/>
      <c r="Y306" s="10"/>
      <c r="Z306" s="10"/>
      <c r="AA306" s="10"/>
      <c r="AB306" s="10"/>
      <c r="AC306" s="10"/>
      <c r="AD306" s="10"/>
      <c r="AE306" s="10"/>
      <c r="AF306" s="10"/>
    </row>
    <row r="307">
      <c r="A307" s="7"/>
      <c r="B307" s="8">
        <v>28.0</v>
      </c>
      <c r="C307" s="8">
        <v>23.0</v>
      </c>
      <c r="D307" s="8" t="s">
        <v>668</v>
      </c>
      <c r="E307" s="7">
        <v>0.0</v>
      </c>
      <c r="F307" s="7"/>
      <c r="G307" s="7" t="s">
        <v>312</v>
      </c>
      <c r="H307" s="7" t="s">
        <v>313</v>
      </c>
      <c r="I307" s="10"/>
      <c r="J307" s="11"/>
      <c r="K307" s="8" t="s">
        <v>669</v>
      </c>
      <c r="L307" s="12"/>
      <c r="M307" s="10"/>
      <c r="N307" s="10"/>
      <c r="O307" s="10"/>
      <c r="P307" s="10"/>
      <c r="Q307" s="10"/>
      <c r="R307" s="10"/>
      <c r="S307" s="10"/>
      <c r="T307" s="10"/>
      <c r="U307" s="10"/>
      <c r="V307" s="10"/>
      <c r="W307" s="10"/>
      <c r="X307" s="10"/>
      <c r="Y307" s="10"/>
      <c r="Z307" s="10"/>
      <c r="AA307" s="10"/>
      <c r="AB307" s="10"/>
      <c r="AC307" s="10"/>
      <c r="AD307" s="10"/>
      <c r="AE307" s="10"/>
      <c r="AF307" s="10"/>
    </row>
    <row r="308">
      <c r="A308" s="7"/>
      <c r="B308" s="8">
        <v>28.0</v>
      </c>
      <c r="C308" s="8">
        <v>24.0</v>
      </c>
      <c r="D308" s="8" t="s">
        <v>670</v>
      </c>
      <c r="E308" s="7">
        <v>0.0</v>
      </c>
      <c r="F308" s="7"/>
      <c r="G308" s="7" t="s">
        <v>312</v>
      </c>
      <c r="H308" s="7" t="s">
        <v>313</v>
      </c>
      <c r="I308" s="10"/>
      <c r="J308" s="11"/>
      <c r="K308" s="8" t="s">
        <v>656</v>
      </c>
      <c r="L308" s="12"/>
      <c r="M308" s="10"/>
      <c r="N308" s="10"/>
      <c r="O308" s="10"/>
      <c r="P308" s="10"/>
      <c r="Q308" s="10"/>
      <c r="R308" s="10"/>
      <c r="S308" s="10"/>
      <c r="T308" s="10"/>
      <c r="U308" s="10"/>
      <c r="V308" s="10"/>
      <c r="W308" s="10"/>
      <c r="X308" s="10"/>
      <c r="Y308" s="10"/>
      <c r="Z308" s="10"/>
      <c r="AA308" s="10"/>
      <c r="AB308" s="10"/>
      <c r="AC308" s="10"/>
      <c r="AD308" s="10"/>
      <c r="AE308" s="10"/>
      <c r="AF308" s="10"/>
    </row>
    <row r="309">
      <c r="A309" s="7"/>
      <c r="B309" s="8">
        <v>28.0</v>
      </c>
      <c r="C309" s="8">
        <v>25.0</v>
      </c>
      <c r="D309" s="8" t="s">
        <v>671</v>
      </c>
      <c r="E309" s="7">
        <v>0.0</v>
      </c>
      <c r="F309" s="7"/>
      <c r="G309" s="7" t="s">
        <v>312</v>
      </c>
      <c r="H309" s="7" t="s">
        <v>313</v>
      </c>
      <c r="I309" s="10"/>
      <c r="J309" s="11"/>
      <c r="K309" s="8" t="s">
        <v>658</v>
      </c>
      <c r="L309" s="12"/>
      <c r="M309" s="10"/>
      <c r="N309" s="10"/>
      <c r="O309" s="10"/>
      <c r="P309" s="10"/>
      <c r="Q309" s="10"/>
      <c r="R309" s="10"/>
      <c r="S309" s="10"/>
      <c r="T309" s="10"/>
      <c r="U309" s="10"/>
      <c r="V309" s="10"/>
      <c r="W309" s="10"/>
      <c r="X309" s="10"/>
      <c r="Y309" s="10"/>
      <c r="Z309" s="10"/>
      <c r="AA309" s="10"/>
      <c r="AB309" s="10"/>
      <c r="AC309" s="10"/>
      <c r="AD309" s="10"/>
      <c r="AE309" s="10"/>
      <c r="AF309" s="10"/>
    </row>
    <row r="310">
      <c r="A310" s="7"/>
      <c r="B310" s="8">
        <v>28.0</v>
      </c>
      <c r="C310" s="8">
        <v>26.0</v>
      </c>
      <c r="D310" s="8" t="s">
        <v>672</v>
      </c>
      <c r="E310" s="7">
        <v>0.0</v>
      </c>
      <c r="F310" s="7"/>
      <c r="G310" s="7" t="s">
        <v>312</v>
      </c>
      <c r="H310" s="7" t="s">
        <v>313</v>
      </c>
      <c r="I310" s="10"/>
      <c r="J310" s="11"/>
      <c r="K310" s="8" t="s">
        <v>660</v>
      </c>
      <c r="L310" s="12"/>
      <c r="M310" s="10"/>
      <c r="N310" s="10"/>
      <c r="O310" s="10"/>
      <c r="P310" s="10"/>
      <c r="Q310" s="10"/>
      <c r="R310" s="10"/>
      <c r="S310" s="10"/>
      <c r="T310" s="10"/>
      <c r="U310" s="10"/>
      <c r="V310" s="10"/>
      <c r="W310" s="10"/>
      <c r="X310" s="10"/>
      <c r="Y310" s="10"/>
      <c r="Z310" s="10"/>
      <c r="AA310" s="10"/>
      <c r="AB310" s="10"/>
      <c r="AC310" s="10"/>
      <c r="AD310" s="10"/>
      <c r="AE310" s="10"/>
      <c r="AF310" s="10"/>
    </row>
    <row r="311">
      <c r="A311" s="7"/>
      <c r="B311" s="8">
        <v>28.0</v>
      </c>
      <c r="C311" s="8">
        <v>27.0</v>
      </c>
      <c r="D311" s="8" t="s">
        <v>673</v>
      </c>
      <c r="E311" s="7">
        <v>0.0</v>
      </c>
      <c r="F311" s="7"/>
      <c r="G311" s="7" t="s">
        <v>312</v>
      </c>
      <c r="H311" s="7" t="s">
        <v>313</v>
      </c>
      <c r="I311" s="10"/>
      <c r="J311" s="11"/>
      <c r="K311" s="8" t="s">
        <v>669</v>
      </c>
      <c r="L311" s="12"/>
      <c r="M311" s="10"/>
      <c r="N311" s="10"/>
      <c r="O311" s="10"/>
      <c r="P311" s="10"/>
      <c r="Q311" s="10"/>
      <c r="R311" s="10"/>
      <c r="S311" s="10"/>
      <c r="T311" s="10"/>
      <c r="U311" s="10"/>
      <c r="V311" s="10"/>
      <c r="W311" s="10"/>
      <c r="X311" s="10"/>
      <c r="Y311" s="10"/>
      <c r="Z311" s="10"/>
      <c r="AA311" s="10"/>
      <c r="AB311" s="10"/>
      <c r="AC311" s="10"/>
      <c r="AD311" s="10"/>
      <c r="AE311" s="10"/>
      <c r="AF311" s="10"/>
    </row>
    <row r="312">
      <c r="A312" s="7"/>
      <c r="B312" s="8">
        <v>28.0</v>
      </c>
      <c r="C312" s="8">
        <v>28.0</v>
      </c>
      <c r="D312" s="8" t="s">
        <v>674</v>
      </c>
      <c r="E312" s="7">
        <v>0.0</v>
      </c>
      <c r="F312" s="7"/>
      <c r="G312" s="7" t="s">
        <v>312</v>
      </c>
      <c r="H312" s="7" t="s">
        <v>313</v>
      </c>
      <c r="I312" s="10"/>
      <c r="J312" s="11"/>
      <c r="K312" s="8" t="s">
        <v>656</v>
      </c>
      <c r="L312" s="12"/>
      <c r="M312" s="10"/>
      <c r="N312" s="10"/>
      <c r="O312" s="10"/>
      <c r="P312" s="10"/>
      <c r="Q312" s="10"/>
      <c r="R312" s="10"/>
      <c r="S312" s="10"/>
      <c r="T312" s="10"/>
      <c r="U312" s="10"/>
      <c r="V312" s="10"/>
      <c r="W312" s="10"/>
      <c r="X312" s="10"/>
      <c r="Y312" s="10"/>
      <c r="Z312" s="10"/>
      <c r="AA312" s="10"/>
      <c r="AB312" s="10"/>
      <c r="AC312" s="10"/>
      <c r="AD312" s="10"/>
      <c r="AE312" s="10"/>
      <c r="AF312" s="10"/>
    </row>
    <row r="313">
      <c r="A313" s="7"/>
      <c r="B313" s="8">
        <v>28.0</v>
      </c>
      <c r="C313" s="8">
        <v>29.0</v>
      </c>
      <c r="D313" s="8" t="s">
        <v>675</v>
      </c>
      <c r="E313" s="7">
        <v>0.0</v>
      </c>
      <c r="F313" s="7"/>
      <c r="G313" s="7" t="s">
        <v>312</v>
      </c>
      <c r="H313" s="7" t="s">
        <v>313</v>
      </c>
      <c r="I313" s="10"/>
      <c r="J313" s="11"/>
      <c r="K313" s="8" t="s">
        <v>658</v>
      </c>
      <c r="L313" s="12"/>
      <c r="M313" s="10"/>
      <c r="N313" s="10"/>
      <c r="O313" s="10"/>
      <c r="P313" s="10"/>
      <c r="Q313" s="10"/>
      <c r="R313" s="10"/>
      <c r="S313" s="10"/>
      <c r="T313" s="10"/>
      <c r="U313" s="10"/>
      <c r="V313" s="10"/>
      <c r="W313" s="10"/>
      <c r="X313" s="10"/>
      <c r="Y313" s="10"/>
      <c r="Z313" s="10"/>
      <c r="AA313" s="10"/>
      <c r="AB313" s="10"/>
      <c r="AC313" s="10"/>
      <c r="AD313" s="10"/>
      <c r="AE313" s="10"/>
      <c r="AF313" s="10"/>
    </row>
    <row r="314">
      <c r="A314" s="7"/>
      <c r="B314" s="8">
        <v>28.0</v>
      </c>
      <c r="C314" s="8">
        <v>30.0</v>
      </c>
      <c r="D314" s="8" t="s">
        <v>676</v>
      </c>
      <c r="E314" s="7">
        <v>0.0</v>
      </c>
      <c r="F314" s="7"/>
      <c r="G314" s="7" t="s">
        <v>312</v>
      </c>
      <c r="H314" s="7" t="s">
        <v>313</v>
      </c>
      <c r="I314" s="10"/>
      <c r="J314" s="11"/>
      <c r="K314" s="8" t="s">
        <v>660</v>
      </c>
      <c r="L314" s="12"/>
      <c r="M314" s="10"/>
      <c r="N314" s="10"/>
      <c r="O314" s="10"/>
      <c r="P314" s="10"/>
      <c r="Q314" s="10"/>
      <c r="R314" s="10"/>
      <c r="S314" s="10"/>
      <c r="T314" s="10"/>
      <c r="U314" s="10"/>
      <c r="V314" s="10"/>
      <c r="W314" s="10"/>
      <c r="X314" s="10"/>
      <c r="Y314" s="10"/>
      <c r="Z314" s="10"/>
      <c r="AA314" s="10"/>
      <c r="AB314" s="10"/>
      <c r="AC314" s="10"/>
      <c r="AD314" s="10"/>
      <c r="AE314" s="10"/>
      <c r="AF314" s="10"/>
    </row>
    <row r="315">
      <c r="A315" s="7"/>
      <c r="B315" s="8">
        <v>28.0</v>
      </c>
      <c r="C315" s="8">
        <v>31.0</v>
      </c>
      <c r="D315" s="8" t="s">
        <v>677</v>
      </c>
      <c r="E315" s="7">
        <v>0.0</v>
      </c>
      <c r="F315" s="7"/>
      <c r="G315" s="7" t="s">
        <v>312</v>
      </c>
      <c r="H315" s="7" t="s">
        <v>313</v>
      </c>
      <c r="I315" s="10"/>
      <c r="J315" s="11"/>
      <c r="K315" s="8" t="s">
        <v>678</v>
      </c>
      <c r="L315" s="12"/>
      <c r="M315" s="10"/>
      <c r="N315" s="10"/>
      <c r="O315" s="10"/>
      <c r="P315" s="10"/>
      <c r="Q315" s="10"/>
      <c r="R315" s="10"/>
      <c r="S315" s="10"/>
      <c r="T315" s="10"/>
      <c r="U315" s="10"/>
      <c r="V315" s="10"/>
      <c r="W315" s="10"/>
      <c r="X315" s="10"/>
      <c r="Y315" s="10"/>
      <c r="Z315" s="10"/>
      <c r="AA315" s="10"/>
      <c r="AB315" s="10"/>
      <c r="AC315" s="10"/>
      <c r="AD315" s="10"/>
      <c r="AE315" s="10"/>
      <c r="AF315" s="10"/>
    </row>
    <row r="316">
      <c r="A316" s="7"/>
      <c r="B316" s="8">
        <v>28.0</v>
      </c>
      <c r="C316" s="8">
        <v>32.0</v>
      </c>
      <c r="D316" s="8" t="s">
        <v>679</v>
      </c>
      <c r="E316" s="7">
        <v>0.0</v>
      </c>
      <c r="F316" s="7"/>
      <c r="G316" s="7" t="s">
        <v>312</v>
      </c>
      <c r="H316" s="7" t="s">
        <v>313</v>
      </c>
      <c r="I316" s="10"/>
      <c r="J316" s="11"/>
      <c r="K316" s="8" t="s">
        <v>680</v>
      </c>
      <c r="L316" s="12"/>
      <c r="M316" s="10"/>
      <c r="N316" s="10"/>
      <c r="O316" s="10"/>
      <c r="P316" s="10"/>
      <c r="Q316" s="10"/>
      <c r="R316" s="10"/>
      <c r="S316" s="10"/>
      <c r="T316" s="10"/>
      <c r="U316" s="10"/>
      <c r="V316" s="10"/>
      <c r="W316" s="10"/>
      <c r="X316" s="10"/>
      <c r="Y316" s="10"/>
      <c r="Z316" s="10"/>
      <c r="AA316" s="10"/>
      <c r="AB316" s="10"/>
      <c r="AC316" s="10"/>
      <c r="AD316" s="10"/>
      <c r="AE316" s="10"/>
      <c r="AF316" s="10"/>
    </row>
    <row r="317">
      <c r="A317" s="7"/>
      <c r="B317" s="8">
        <v>28.0</v>
      </c>
      <c r="C317" s="8">
        <v>33.0</v>
      </c>
      <c r="D317" s="8" t="s">
        <v>681</v>
      </c>
      <c r="E317" s="7">
        <v>0.0</v>
      </c>
      <c r="F317" s="7"/>
      <c r="G317" s="7" t="s">
        <v>312</v>
      </c>
      <c r="H317" s="7" t="s">
        <v>313</v>
      </c>
      <c r="I317" s="10"/>
      <c r="J317" s="11"/>
      <c r="K317" s="8" t="s">
        <v>682</v>
      </c>
      <c r="L317" s="12"/>
      <c r="M317" s="10"/>
      <c r="N317" s="10"/>
      <c r="O317" s="10"/>
      <c r="P317" s="10"/>
      <c r="Q317" s="10"/>
      <c r="R317" s="10"/>
      <c r="S317" s="10"/>
      <c r="T317" s="10"/>
      <c r="U317" s="10"/>
      <c r="V317" s="10"/>
      <c r="W317" s="10"/>
      <c r="X317" s="10"/>
      <c r="Y317" s="10"/>
      <c r="Z317" s="10"/>
      <c r="AA317" s="10"/>
      <c r="AB317" s="10"/>
      <c r="AC317" s="10"/>
      <c r="AD317" s="10"/>
      <c r="AE317" s="10"/>
      <c r="AF317" s="10"/>
    </row>
    <row r="318">
      <c r="A318" s="7"/>
      <c r="B318" s="8">
        <v>28.0</v>
      </c>
      <c r="C318" s="8">
        <v>34.0</v>
      </c>
      <c r="D318" s="8" t="s">
        <v>683</v>
      </c>
      <c r="E318" s="7">
        <v>0.0</v>
      </c>
      <c r="F318" s="7"/>
      <c r="G318" s="7" t="s">
        <v>312</v>
      </c>
      <c r="H318" s="7" t="s">
        <v>313</v>
      </c>
      <c r="I318" s="10"/>
      <c r="J318" s="11"/>
      <c r="K318" s="12"/>
      <c r="L318" s="12"/>
      <c r="M318" s="10"/>
      <c r="N318" s="10"/>
      <c r="O318" s="10"/>
      <c r="P318" s="10"/>
      <c r="Q318" s="10"/>
      <c r="R318" s="10"/>
      <c r="S318" s="10"/>
      <c r="T318" s="10"/>
      <c r="U318" s="10"/>
      <c r="V318" s="10"/>
      <c r="W318" s="10"/>
      <c r="X318" s="10"/>
      <c r="Y318" s="10"/>
      <c r="Z318" s="10"/>
      <c r="AA318" s="10"/>
      <c r="AB318" s="10"/>
      <c r="AC318" s="10"/>
      <c r="AD318" s="10"/>
      <c r="AE318" s="10"/>
      <c r="AF318" s="10"/>
    </row>
    <row r="319">
      <c r="A319" s="7"/>
      <c r="B319" s="8">
        <v>28.0</v>
      </c>
      <c r="C319" s="8">
        <v>35.0</v>
      </c>
      <c r="D319" s="8" t="s">
        <v>684</v>
      </c>
      <c r="E319" s="7">
        <v>0.0</v>
      </c>
      <c r="F319" s="7"/>
      <c r="G319" s="7" t="s">
        <v>312</v>
      </c>
      <c r="H319" s="7" t="s">
        <v>313</v>
      </c>
      <c r="I319" s="10"/>
      <c r="J319" s="11"/>
      <c r="K319" s="12"/>
      <c r="L319" s="12"/>
      <c r="M319" s="10"/>
      <c r="N319" s="10"/>
      <c r="O319" s="10"/>
      <c r="P319" s="10"/>
      <c r="Q319" s="10"/>
      <c r="R319" s="10"/>
      <c r="S319" s="10"/>
      <c r="T319" s="10"/>
      <c r="U319" s="10"/>
      <c r="V319" s="10"/>
      <c r="W319" s="10"/>
      <c r="X319" s="10"/>
      <c r="Y319" s="10"/>
      <c r="Z319" s="10"/>
      <c r="AA319" s="10"/>
      <c r="AB319" s="10"/>
      <c r="AC319" s="10"/>
      <c r="AD319" s="10"/>
      <c r="AE319" s="10"/>
      <c r="AF319" s="10"/>
    </row>
    <row r="320">
      <c r="A320" s="7"/>
      <c r="B320" s="8">
        <v>28.0</v>
      </c>
      <c r="C320" s="8">
        <v>36.0</v>
      </c>
      <c r="D320" s="8" t="s">
        <v>685</v>
      </c>
      <c r="E320" s="7">
        <v>0.0</v>
      </c>
      <c r="F320" s="7"/>
      <c r="G320" s="7" t="s">
        <v>312</v>
      </c>
      <c r="H320" s="7" t="s">
        <v>313</v>
      </c>
      <c r="I320" s="10"/>
      <c r="J320" s="11"/>
      <c r="K320" s="8" t="s">
        <v>686</v>
      </c>
      <c r="L320" s="12"/>
      <c r="M320" s="10"/>
      <c r="N320" s="10"/>
      <c r="O320" s="10"/>
      <c r="P320" s="10"/>
      <c r="Q320" s="10"/>
      <c r="R320" s="10"/>
      <c r="S320" s="10"/>
      <c r="T320" s="10"/>
      <c r="U320" s="10"/>
      <c r="V320" s="10"/>
      <c r="W320" s="10"/>
      <c r="X320" s="10"/>
      <c r="Y320" s="10"/>
      <c r="Z320" s="10"/>
      <c r="AA320" s="10"/>
      <c r="AB320" s="10"/>
      <c r="AC320" s="10"/>
      <c r="AD320" s="10"/>
      <c r="AE320" s="10"/>
      <c r="AF320" s="10"/>
    </row>
    <row r="321">
      <c r="A321" s="10"/>
      <c r="B321" s="12"/>
      <c r="C321" s="12"/>
      <c r="D321" s="12"/>
      <c r="E321" s="10"/>
      <c r="F321" s="10"/>
      <c r="G321" s="10"/>
      <c r="H321" s="10"/>
      <c r="I321" s="10"/>
      <c r="J321" s="11"/>
      <c r="K321" s="12"/>
      <c r="L321" s="12"/>
      <c r="M321" s="10"/>
      <c r="N321" s="10"/>
      <c r="O321" s="10"/>
      <c r="P321" s="10"/>
      <c r="Q321" s="10"/>
      <c r="R321" s="10"/>
      <c r="S321" s="10"/>
      <c r="T321" s="10"/>
      <c r="U321" s="10"/>
      <c r="V321" s="10"/>
      <c r="W321" s="10"/>
      <c r="X321" s="10"/>
      <c r="Y321" s="10"/>
      <c r="Z321" s="10"/>
      <c r="AA321" s="10"/>
      <c r="AB321" s="10"/>
      <c r="AC321" s="10"/>
      <c r="AD321" s="10"/>
      <c r="AE321" s="10"/>
      <c r="AF321" s="10"/>
    </row>
    <row r="322">
      <c r="A322" s="7"/>
      <c r="B322" s="8">
        <v>29.0</v>
      </c>
      <c r="C322" s="8">
        <v>1.0</v>
      </c>
      <c r="D322" s="8" t="s">
        <v>687</v>
      </c>
      <c r="E322" s="7">
        <v>1.0</v>
      </c>
      <c r="F322" s="7"/>
      <c r="G322" s="7" t="s">
        <v>312</v>
      </c>
      <c r="H322" s="7" t="s">
        <v>313</v>
      </c>
      <c r="I322" s="10"/>
      <c r="J322" s="9" t="s">
        <v>688</v>
      </c>
      <c r="K322" s="12"/>
      <c r="L322" s="12"/>
      <c r="M322" s="10"/>
      <c r="N322" s="10"/>
      <c r="O322" s="10"/>
      <c r="P322" s="10"/>
      <c r="Q322" s="10"/>
      <c r="R322" s="10"/>
      <c r="S322" s="10"/>
      <c r="T322" s="10"/>
      <c r="U322" s="10"/>
      <c r="V322" s="10"/>
      <c r="W322" s="10"/>
      <c r="X322" s="10"/>
      <c r="Y322" s="10"/>
      <c r="Z322" s="10"/>
      <c r="AA322" s="10"/>
      <c r="AB322" s="10"/>
      <c r="AC322" s="10"/>
      <c r="AD322" s="10"/>
      <c r="AE322" s="10"/>
      <c r="AF322" s="10"/>
    </row>
    <row r="323">
      <c r="A323" s="7"/>
      <c r="B323" s="8">
        <v>29.0</v>
      </c>
      <c r="C323" s="8">
        <v>2.0</v>
      </c>
      <c r="D323" s="8" t="s">
        <v>689</v>
      </c>
      <c r="E323" s="7">
        <v>0.0</v>
      </c>
      <c r="F323" s="7"/>
      <c r="G323" s="7" t="s">
        <v>312</v>
      </c>
      <c r="H323" s="7" t="s">
        <v>313</v>
      </c>
      <c r="I323" s="10"/>
      <c r="J323" s="11"/>
      <c r="K323" s="12"/>
      <c r="L323" s="12"/>
      <c r="M323" s="10"/>
      <c r="N323" s="10"/>
      <c r="O323" s="10"/>
      <c r="P323" s="10"/>
      <c r="Q323" s="10"/>
      <c r="R323" s="10"/>
      <c r="S323" s="10"/>
      <c r="T323" s="10"/>
      <c r="U323" s="10"/>
      <c r="V323" s="10"/>
      <c r="W323" s="10"/>
      <c r="X323" s="10"/>
      <c r="Y323" s="10"/>
      <c r="Z323" s="10"/>
      <c r="AA323" s="10"/>
      <c r="AB323" s="10"/>
      <c r="AC323" s="10"/>
      <c r="AD323" s="10"/>
      <c r="AE323" s="10"/>
      <c r="AF323" s="10"/>
    </row>
    <row r="324">
      <c r="A324" s="7"/>
      <c r="B324" s="8">
        <v>29.0</v>
      </c>
      <c r="C324" s="8">
        <v>3.0</v>
      </c>
      <c r="D324" s="8" t="s">
        <v>690</v>
      </c>
      <c r="E324" s="7">
        <v>0.0</v>
      </c>
      <c r="F324" s="7"/>
      <c r="G324" s="7" t="s">
        <v>312</v>
      </c>
      <c r="H324" s="7" t="s">
        <v>313</v>
      </c>
      <c r="I324" s="10"/>
      <c r="J324" s="11"/>
      <c r="K324" s="12"/>
      <c r="L324" s="12"/>
      <c r="M324" s="10"/>
      <c r="N324" s="10"/>
      <c r="O324" s="10"/>
      <c r="P324" s="10"/>
      <c r="Q324" s="10"/>
      <c r="R324" s="10"/>
      <c r="S324" s="10"/>
      <c r="T324" s="10"/>
      <c r="U324" s="10"/>
      <c r="V324" s="10"/>
      <c r="W324" s="10"/>
      <c r="X324" s="10"/>
      <c r="Y324" s="10"/>
      <c r="Z324" s="10"/>
      <c r="AA324" s="10"/>
      <c r="AB324" s="10"/>
      <c r="AC324" s="10"/>
      <c r="AD324" s="10"/>
      <c r="AE324" s="10"/>
      <c r="AF324" s="10"/>
    </row>
    <row r="325">
      <c r="A325" s="7"/>
      <c r="B325" s="8">
        <v>29.0</v>
      </c>
      <c r="C325" s="8">
        <v>4.0</v>
      </c>
      <c r="D325" s="8" t="s">
        <v>691</v>
      </c>
      <c r="E325" s="7">
        <v>0.0</v>
      </c>
      <c r="F325" s="7"/>
      <c r="G325" s="7" t="s">
        <v>312</v>
      </c>
      <c r="H325" s="7" t="s">
        <v>313</v>
      </c>
      <c r="I325" s="10"/>
      <c r="J325" s="11"/>
      <c r="K325" s="12"/>
      <c r="L325" s="12"/>
      <c r="M325" s="10"/>
      <c r="N325" s="10"/>
      <c r="O325" s="10"/>
      <c r="P325" s="10"/>
      <c r="Q325" s="10"/>
      <c r="R325" s="10"/>
      <c r="S325" s="10"/>
      <c r="T325" s="10"/>
      <c r="U325" s="10"/>
      <c r="V325" s="10"/>
      <c r="W325" s="10"/>
      <c r="X325" s="10"/>
      <c r="Y325" s="10"/>
      <c r="Z325" s="10"/>
      <c r="AA325" s="10"/>
      <c r="AB325" s="10"/>
      <c r="AC325" s="10"/>
      <c r="AD325" s="10"/>
      <c r="AE325" s="10"/>
      <c r="AF325" s="10"/>
    </row>
    <row r="326">
      <c r="A326" s="7"/>
      <c r="B326" s="8">
        <v>29.0</v>
      </c>
      <c r="C326" s="8">
        <v>5.0</v>
      </c>
      <c r="D326" s="8" t="s">
        <v>692</v>
      </c>
      <c r="E326" s="7">
        <v>0.0</v>
      </c>
      <c r="F326" s="7"/>
      <c r="G326" s="7" t="s">
        <v>312</v>
      </c>
      <c r="H326" s="7" t="s">
        <v>313</v>
      </c>
      <c r="I326" s="10"/>
      <c r="J326" s="11"/>
      <c r="K326" s="12"/>
      <c r="L326" s="12"/>
      <c r="M326" s="10"/>
      <c r="N326" s="10"/>
      <c r="O326" s="10"/>
      <c r="P326" s="10"/>
      <c r="Q326" s="10"/>
      <c r="R326" s="10"/>
      <c r="S326" s="10"/>
      <c r="T326" s="10"/>
      <c r="U326" s="10"/>
      <c r="V326" s="10"/>
      <c r="W326" s="10"/>
      <c r="X326" s="10"/>
      <c r="Y326" s="10"/>
      <c r="Z326" s="10"/>
      <c r="AA326" s="10"/>
      <c r="AB326" s="10"/>
      <c r="AC326" s="10"/>
      <c r="AD326" s="10"/>
      <c r="AE326" s="10"/>
      <c r="AF326" s="10"/>
    </row>
    <row r="327">
      <c r="A327" s="7"/>
      <c r="B327" s="8">
        <v>29.0</v>
      </c>
      <c r="C327" s="8">
        <v>6.0</v>
      </c>
      <c r="D327" s="8" t="s">
        <v>693</v>
      </c>
      <c r="E327" s="7">
        <v>0.0</v>
      </c>
      <c r="F327" s="7"/>
      <c r="G327" s="7" t="s">
        <v>312</v>
      </c>
      <c r="H327" s="7" t="s">
        <v>313</v>
      </c>
      <c r="I327" s="10"/>
      <c r="J327" s="11"/>
      <c r="K327" s="12"/>
      <c r="L327" s="15" t="s">
        <v>694</v>
      </c>
      <c r="M327" s="10"/>
      <c r="N327" s="10"/>
      <c r="O327" s="10"/>
      <c r="P327" s="10"/>
      <c r="Q327" s="10"/>
      <c r="R327" s="10"/>
      <c r="S327" s="10"/>
      <c r="T327" s="10"/>
      <c r="U327" s="10"/>
      <c r="V327" s="10"/>
      <c r="W327" s="10"/>
      <c r="X327" s="10"/>
      <c r="Y327" s="10"/>
      <c r="Z327" s="10"/>
      <c r="AA327" s="10"/>
      <c r="AB327" s="10"/>
      <c r="AC327" s="10"/>
      <c r="AD327" s="10"/>
      <c r="AE327" s="10"/>
      <c r="AF327" s="10"/>
    </row>
    <row r="328">
      <c r="A328" s="7"/>
      <c r="B328" s="8">
        <v>29.0</v>
      </c>
      <c r="C328" s="8">
        <v>7.0</v>
      </c>
      <c r="D328" s="8" t="s">
        <v>695</v>
      </c>
      <c r="E328" s="7">
        <v>0.0</v>
      </c>
      <c r="F328" s="7"/>
      <c r="G328" s="7" t="s">
        <v>312</v>
      </c>
      <c r="H328" s="7" t="s">
        <v>313</v>
      </c>
      <c r="I328" s="10"/>
      <c r="J328" s="11"/>
      <c r="K328" s="8" t="s">
        <v>696</v>
      </c>
      <c r="L328" s="12"/>
      <c r="M328" s="10"/>
      <c r="N328" s="10"/>
      <c r="O328" s="10"/>
      <c r="P328" s="10"/>
      <c r="Q328" s="10"/>
      <c r="R328" s="10"/>
      <c r="S328" s="10"/>
      <c r="T328" s="10"/>
      <c r="U328" s="10"/>
      <c r="V328" s="10"/>
      <c r="W328" s="10"/>
      <c r="X328" s="10"/>
      <c r="Y328" s="10"/>
      <c r="Z328" s="10"/>
      <c r="AA328" s="10"/>
      <c r="AB328" s="10"/>
      <c r="AC328" s="10"/>
      <c r="AD328" s="10"/>
      <c r="AE328" s="10"/>
      <c r="AF328" s="10"/>
    </row>
    <row r="329">
      <c r="A329" s="7"/>
      <c r="B329" s="8">
        <v>29.0</v>
      </c>
      <c r="C329" s="8">
        <v>8.0</v>
      </c>
      <c r="D329" s="8" t="s">
        <v>697</v>
      </c>
      <c r="E329" s="7">
        <v>0.0</v>
      </c>
      <c r="F329" s="7"/>
      <c r="G329" s="7" t="s">
        <v>312</v>
      </c>
      <c r="H329" s="7" t="s">
        <v>313</v>
      </c>
      <c r="I329" s="10"/>
      <c r="J329" s="11"/>
      <c r="K329" s="8" t="s">
        <v>698</v>
      </c>
      <c r="L329" s="12"/>
      <c r="M329" s="10"/>
      <c r="N329" s="10"/>
      <c r="O329" s="10"/>
      <c r="P329" s="10"/>
      <c r="Q329" s="10"/>
      <c r="R329" s="10"/>
      <c r="S329" s="10"/>
      <c r="T329" s="10"/>
      <c r="U329" s="10"/>
      <c r="V329" s="10"/>
      <c r="W329" s="10"/>
      <c r="X329" s="10"/>
      <c r="Y329" s="10"/>
      <c r="Z329" s="10"/>
      <c r="AA329" s="10"/>
      <c r="AB329" s="10"/>
      <c r="AC329" s="10"/>
      <c r="AD329" s="10"/>
      <c r="AE329" s="10"/>
      <c r="AF329" s="10"/>
    </row>
    <row r="330">
      <c r="A330" s="7"/>
      <c r="B330" s="8">
        <v>29.0</v>
      </c>
      <c r="C330" s="8">
        <v>9.0</v>
      </c>
      <c r="D330" s="8" t="s">
        <v>699</v>
      </c>
      <c r="E330" s="7">
        <v>0.0</v>
      </c>
      <c r="F330" s="7"/>
      <c r="G330" s="7" t="s">
        <v>312</v>
      </c>
      <c r="H330" s="7" t="s">
        <v>313</v>
      </c>
      <c r="I330" s="10"/>
      <c r="J330" s="11"/>
      <c r="K330" s="8"/>
      <c r="L330" s="12"/>
      <c r="M330" s="10"/>
      <c r="N330" s="10"/>
      <c r="O330" s="10"/>
      <c r="P330" s="10"/>
      <c r="Q330" s="10"/>
      <c r="R330" s="10"/>
      <c r="S330" s="10"/>
      <c r="T330" s="10"/>
      <c r="U330" s="10"/>
      <c r="V330" s="10"/>
      <c r="W330" s="10"/>
      <c r="X330" s="10"/>
      <c r="Y330" s="10"/>
      <c r="Z330" s="10"/>
      <c r="AA330" s="10"/>
      <c r="AB330" s="10"/>
      <c r="AC330" s="10"/>
      <c r="AD330" s="10"/>
      <c r="AE330" s="10"/>
      <c r="AF330" s="10"/>
    </row>
    <row r="331">
      <c r="A331" s="7"/>
      <c r="B331" s="8">
        <v>29.0</v>
      </c>
      <c r="C331" s="8">
        <v>10.0</v>
      </c>
      <c r="D331" s="8" t="s">
        <v>700</v>
      </c>
      <c r="E331" s="7">
        <v>0.0</v>
      </c>
      <c r="F331" s="7"/>
      <c r="G331" s="7" t="s">
        <v>312</v>
      </c>
      <c r="H331" s="7" t="s">
        <v>313</v>
      </c>
      <c r="I331" s="10"/>
      <c r="J331" s="11"/>
      <c r="K331" s="12"/>
      <c r="L331" s="12"/>
      <c r="M331" s="10"/>
      <c r="N331" s="10"/>
      <c r="O331" s="10"/>
      <c r="P331" s="10"/>
      <c r="Q331" s="10"/>
      <c r="R331" s="10"/>
      <c r="S331" s="10"/>
      <c r="T331" s="10"/>
      <c r="U331" s="10"/>
      <c r="V331" s="10"/>
      <c r="W331" s="10"/>
      <c r="X331" s="10"/>
      <c r="Y331" s="10"/>
      <c r="Z331" s="10"/>
      <c r="AA331" s="10"/>
      <c r="AB331" s="10"/>
      <c r="AC331" s="10"/>
      <c r="AD331" s="10"/>
      <c r="AE331" s="10"/>
      <c r="AF331" s="10"/>
    </row>
    <row r="332">
      <c r="A332" s="7"/>
      <c r="B332" s="8">
        <v>29.0</v>
      </c>
      <c r="C332" s="8">
        <v>11.0</v>
      </c>
      <c r="D332" s="8" t="s">
        <v>701</v>
      </c>
      <c r="E332" s="7">
        <v>0.0</v>
      </c>
      <c r="F332" s="7"/>
      <c r="G332" s="7" t="s">
        <v>312</v>
      </c>
      <c r="H332" s="7" t="s">
        <v>313</v>
      </c>
      <c r="I332" s="10"/>
      <c r="J332" s="11"/>
      <c r="K332" s="12"/>
      <c r="L332" s="15" t="s">
        <v>694</v>
      </c>
      <c r="M332" s="10"/>
      <c r="N332" s="10"/>
      <c r="O332" s="10"/>
      <c r="P332" s="10"/>
      <c r="Q332" s="10"/>
      <c r="R332" s="10"/>
      <c r="S332" s="10"/>
      <c r="T332" s="10"/>
      <c r="U332" s="10"/>
      <c r="V332" s="10"/>
      <c r="W332" s="10"/>
      <c r="X332" s="10"/>
      <c r="Y332" s="10"/>
      <c r="Z332" s="10"/>
      <c r="AA332" s="10"/>
      <c r="AB332" s="10"/>
      <c r="AC332" s="10"/>
      <c r="AD332" s="10"/>
      <c r="AE332" s="10"/>
      <c r="AF332" s="10"/>
    </row>
    <row r="333">
      <c r="A333" s="7"/>
      <c r="B333" s="8">
        <v>29.0</v>
      </c>
      <c r="C333" s="8">
        <v>12.0</v>
      </c>
      <c r="D333" s="8" t="s">
        <v>702</v>
      </c>
      <c r="E333" s="7">
        <v>0.0</v>
      </c>
      <c r="F333" s="7"/>
      <c r="G333" s="7" t="s">
        <v>312</v>
      </c>
      <c r="H333" s="7" t="s">
        <v>313</v>
      </c>
      <c r="I333" s="10"/>
      <c r="J333" s="11"/>
      <c r="K333" s="8" t="s">
        <v>703</v>
      </c>
      <c r="L333" s="12"/>
      <c r="M333" s="10"/>
      <c r="N333" s="10"/>
      <c r="O333" s="10"/>
      <c r="P333" s="10"/>
      <c r="Q333" s="10"/>
      <c r="R333" s="10"/>
      <c r="S333" s="10"/>
      <c r="T333" s="10"/>
      <c r="U333" s="10"/>
      <c r="V333" s="10"/>
      <c r="W333" s="10"/>
      <c r="X333" s="10"/>
      <c r="Y333" s="10"/>
      <c r="Z333" s="10"/>
      <c r="AA333" s="10"/>
      <c r="AB333" s="10"/>
      <c r="AC333" s="10"/>
      <c r="AD333" s="10"/>
      <c r="AE333" s="10"/>
      <c r="AF333" s="10"/>
    </row>
    <row r="334">
      <c r="A334" s="7"/>
      <c r="B334" s="8">
        <v>29.0</v>
      </c>
      <c r="C334" s="8">
        <v>13.0</v>
      </c>
      <c r="D334" s="8" t="s">
        <v>704</v>
      </c>
      <c r="E334" s="7">
        <v>0.0</v>
      </c>
      <c r="F334" s="7"/>
      <c r="G334" s="7" t="s">
        <v>312</v>
      </c>
      <c r="H334" s="7" t="s">
        <v>313</v>
      </c>
      <c r="I334" s="10"/>
      <c r="J334" s="11"/>
      <c r="K334" s="12"/>
      <c r="L334" s="12"/>
      <c r="M334" s="10"/>
      <c r="N334" s="10"/>
      <c r="O334" s="10"/>
      <c r="P334" s="10"/>
      <c r="Q334" s="10"/>
      <c r="R334" s="10"/>
      <c r="S334" s="10"/>
      <c r="T334" s="10"/>
      <c r="U334" s="10"/>
      <c r="V334" s="10"/>
      <c r="W334" s="10"/>
      <c r="X334" s="10"/>
      <c r="Y334" s="10"/>
      <c r="Z334" s="10"/>
      <c r="AA334" s="10"/>
      <c r="AB334" s="10"/>
      <c r="AC334" s="10"/>
      <c r="AD334" s="10"/>
      <c r="AE334" s="10"/>
      <c r="AF334" s="10"/>
    </row>
    <row r="335">
      <c r="A335" s="7"/>
      <c r="B335" s="8">
        <v>29.0</v>
      </c>
      <c r="C335" s="8">
        <v>14.0</v>
      </c>
      <c r="D335" s="8" t="s">
        <v>705</v>
      </c>
      <c r="E335" s="7">
        <v>0.0</v>
      </c>
      <c r="F335" s="7"/>
      <c r="G335" s="7" t="s">
        <v>312</v>
      </c>
      <c r="H335" s="7" t="s">
        <v>313</v>
      </c>
      <c r="I335" s="10"/>
      <c r="J335" s="11"/>
      <c r="K335" s="12"/>
      <c r="L335" s="12"/>
      <c r="M335" s="10"/>
      <c r="N335" s="10"/>
      <c r="O335" s="10"/>
      <c r="P335" s="10"/>
      <c r="Q335" s="10"/>
      <c r="R335" s="10"/>
      <c r="S335" s="10"/>
      <c r="T335" s="10"/>
      <c r="U335" s="10"/>
      <c r="V335" s="10"/>
      <c r="W335" s="10"/>
      <c r="X335" s="10"/>
      <c r="Y335" s="10"/>
      <c r="Z335" s="10"/>
      <c r="AA335" s="10"/>
      <c r="AB335" s="10"/>
      <c r="AC335" s="10"/>
      <c r="AD335" s="10"/>
      <c r="AE335" s="10"/>
      <c r="AF335" s="10"/>
    </row>
    <row r="336">
      <c r="A336" s="7"/>
      <c r="B336" s="8">
        <v>29.0</v>
      </c>
      <c r="C336" s="8">
        <v>15.0</v>
      </c>
      <c r="D336" s="8" t="s">
        <v>706</v>
      </c>
      <c r="E336" s="7">
        <v>0.0</v>
      </c>
      <c r="F336" s="7"/>
      <c r="G336" s="7" t="s">
        <v>312</v>
      </c>
      <c r="H336" s="7" t="s">
        <v>313</v>
      </c>
      <c r="I336" s="10"/>
      <c r="J336" s="11"/>
      <c r="K336" s="12"/>
      <c r="L336" s="12"/>
      <c r="M336" s="10"/>
      <c r="N336" s="10"/>
      <c r="O336" s="10"/>
      <c r="P336" s="10"/>
      <c r="Q336" s="10"/>
      <c r="R336" s="10"/>
      <c r="S336" s="10"/>
      <c r="T336" s="10"/>
      <c r="U336" s="10"/>
      <c r="V336" s="10"/>
      <c r="W336" s="10"/>
      <c r="X336" s="10"/>
      <c r="Y336" s="10"/>
      <c r="Z336" s="10"/>
      <c r="AA336" s="10"/>
      <c r="AB336" s="10"/>
      <c r="AC336" s="10"/>
      <c r="AD336" s="10"/>
      <c r="AE336" s="10"/>
      <c r="AF336" s="10"/>
    </row>
    <row r="337">
      <c r="A337" s="7"/>
      <c r="B337" s="8">
        <v>29.0</v>
      </c>
      <c r="C337" s="8">
        <v>16.0</v>
      </c>
      <c r="D337" s="8" t="s">
        <v>707</v>
      </c>
      <c r="E337" s="7">
        <v>0.0</v>
      </c>
      <c r="F337" s="7"/>
      <c r="G337" s="7" t="s">
        <v>312</v>
      </c>
      <c r="H337" s="7" t="s">
        <v>313</v>
      </c>
      <c r="I337" s="10"/>
      <c r="J337" s="11"/>
      <c r="K337" s="12"/>
      <c r="L337" s="12"/>
      <c r="M337" s="10"/>
      <c r="N337" s="10"/>
      <c r="O337" s="10"/>
      <c r="P337" s="10"/>
      <c r="Q337" s="10"/>
      <c r="R337" s="10"/>
      <c r="S337" s="10"/>
      <c r="T337" s="10"/>
      <c r="U337" s="10"/>
      <c r="V337" s="10"/>
      <c r="W337" s="10"/>
      <c r="X337" s="10"/>
      <c r="Y337" s="10"/>
      <c r="Z337" s="10"/>
      <c r="AA337" s="10"/>
      <c r="AB337" s="10"/>
      <c r="AC337" s="10"/>
      <c r="AD337" s="10"/>
      <c r="AE337" s="10"/>
      <c r="AF337" s="10"/>
    </row>
    <row r="338">
      <c r="A338" s="7"/>
      <c r="B338" s="8">
        <v>29.0</v>
      </c>
      <c r="C338" s="8">
        <v>17.0</v>
      </c>
      <c r="D338" s="8" t="s">
        <v>708</v>
      </c>
      <c r="E338" s="7">
        <v>0.0</v>
      </c>
      <c r="F338" s="7"/>
      <c r="G338" s="7" t="s">
        <v>312</v>
      </c>
      <c r="H338" s="7" t="s">
        <v>313</v>
      </c>
      <c r="I338" s="10"/>
      <c r="J338" s="11"/>
      <c r="K338" s="12"/>
      <c r="L338" s="12"/>
      <c r="M338" s="10"/>
      <c r="N338" s="10"/>
      <c r="O338" s="10"/>
      <c r="P338" s="10"/>
      <c r="Q338" s="10"/>
      <c r="R338" s="10"/>
      <c r="S338" s="10"/>
      <c r="T338" s="10"/>
      <c r="U338" s="10"/>
      <c r="V338" s="10"/>
      <c r="W338" s="10"/>
      <c r="X338" s="10"/>
      <c r="Y338" s="10"/>
      <c r="Z338" s="10"/>
      <c r="AA338" s="10"/>
      <c r="AB338" s="10"/>
      <c r="AC338" s="10"/>
      <c r="AD338" s="10"/>
      <c r="AE338" s="10"/>
      <c r="AF338" s="10"/>
    </row>
    <row r="339">
      <c r="A339" s="7"/>
      <c r="B339" s="8">
        <v>29.0</v>
      </c>
      <c r="C339" s="8">
        <v>18.0</v>
      </c>
      <c r="D339" s="8" t="s">
        <v>709</v>
      </c>
      <c r="E339" s="7">
        <v>0.0</v>
      </c>
      <c r="F339" s="7"/>
      <c r="G339" s="7" t="s">
        <v>312</v>
      </c>
      <c r="H339" s="7" t="s">
        <v>313</v>
      </c>
      <c r="I339" s="10"/>
      <c r="J339" s="11"/>
      <c r="K339" s="12"/>
      <c r="L339" s="12"/>
      <c r="M339" s="10"/>
      <c r="N339" s="10"/>
      <c r="O339" s="10"/>
      <c r="P339" s="10"/>
      <c r="Q339" s="10"/>
      <c r="R339" s="10"/>
      <c r="S339" s="10"/>
      <c r="T339" s="10"/>
      <c r="U339" s="10"/>
      <c r="V339" s="10"/>
      <c r="W339" s="10"/>
      <c r="X339" s="10"/>
      <c r="Y339" s="10"/>
      <c r="Z339" s="10"/>
      <c r="AA339" s="10"/>
      <c r="AB339" s="10"/>
      <c r="AC339" s="10"/>
      <c r="AD339" s="10"/>
      <c r="AE339" s="10"/>
      <c r="AF339" s="10"/>
    </row>
    <row r="340">
      <c r="A340" s="7"/>
      <c r="B340" s="8">
        <v>29.0</v>
      </c>
      <c r="C340" s="8">
        <v>19.0</v>
      </c>
      <c r="D340" s="8" t="s">
        <v>710</v>
      </c>
      <c r="E340" s="7">
        <v>0.0</v>
      </c>
      <c r="F340" s="7"/>
      <c r="G340" s="7" t="s">
        <v>312</v>
      </c>
      <c r="H340" s="7" t="s">
        <v>313</v>
      </c>
      <c r="I340" s="10"/>
      <c r="J340" s="11"/>
      <c r="K340" s="8" t="s">
        <v>711</v>
      </c>
      <c r="L340" s="12"/>
      <c r="M340" s="10"/>
      <c r="N340" s="10"/>
      <c r="O340" s="10"/>
      <c r="P340" s="10"/>
      <c r="Q340" s="10"/>
      <c r="R340" s="10"/>
      <c r="S340" s="10"/>
      <c r="T340" s="10"/>
      <c r="U340" s="10"/>
      <c r="V340" s="10"/>
      <c r="W340" s="10"/>
      <c r="X340" s="10"/>
      <c r="Y340" s="10"/>
      <c r="Z340" s="10"/>
      <c r="AA340" s="10"/>
      <c r="AB340" s="10"/>
      <c r="AC340" s="10"/>
      <c r="AD340" s="10"/>
      <c r="AE340" s="10"/>
      <c r="AF340" s="10"/>
    </row>
    <row r="341">
      <c r="A341" s="7"/>
      <c r="B341" s="8">
        <v>29.0</v>
      </c>
      <c r="C341" s="8">
        <v>20.0</v>
      </c>
      <c r="D341" s="8" t="s">
        <v>712</v>
      </c>
      <c r="E341" s="7">
        <v>0.0</v>
      </c>
      <c r="F341" s="7"/>
      <c r="G341" s="7" t="s">
        <v>312</v>
      </c>
      <c r="H341" s="7" t="s">
        <v>313</v>
      </c>
      <c r="I341" s="10"/>
      <c r="J341" s="11"/>
      <c r="K341" s="12"/>
      <c r="L341" s="12"/>
      <c r="M341" s="10"/>
      <c r="N341" s="10"/>
      <c r="O341" s="10"/>
      <c r="P341" s="10"/>
      <c r="Q341" s="10"/>
      <c r="R341" s="10"/>
      <c r="S341" s="10"/>
      <c r="T341" s="10"/>
      <c r="U341" s="10"/>
      <c r="V341" s="10"/>
      <c r="W341" s="10"/>
      <c r="X341" s="10"/>
      <c r="Y341" s="10"/>
      <c r="Z341" s="10"/>
      <c r="AA341" s="10"/>
      <c r="AB341" s="10"/>
      <c r="AC341" s="10"/>
      <c r="AD341" s="10"/>
      <c r="AE341" s="10"/>
      <c r="AF341" s="10"/>
    </row>
    <row r="342">
      <c r="A342" s="7"/>
      <c r="B342" s="8">
        <v>29.0</v>
      </c>
      <c r="C342" s="8">
        <v>21.0</v>
      </c>
      <c r="D342" s="8" t="s">
        <v>713</v>
      </c>
      <c r="E342" s="7">
        <v>0.0</v>
      </c>
      <c r="F342" s="7"/>
      <c r="G342" s="7" t="s">
        <v>312</v>
      </c>
      <c r="H342" s="7" t="s">
        <v>313</v>
      </c>
      <c r="I342" s="10"/>
      <c r="J342" s="11"/>
      <c r="K342" s="12"/>
      <c r="L342" s="12"/>
      <c r="M342" s="10"/>
      <c r="N342" s="10"/>
      <c r="O342" s="10"/>
      <c r="P342" s="10"/>
      <c r="Q342" s="10"/>
      <c r="R342" s="10"/>
      <c r="S342" s="10"/>
      <c r="T342" s="10"/>
      <c r="U342" s="10"/>
      <c r="V342" s="10"/>
      <c r="W342" s="10"/>
      <c r="X342" s="10"/>
      <c r="Y342" s="10"/>
      <c r="Z342" s="10"/>
      <c r="AA342" s="10"/>
      <c r="AB342" s="10"/>
      <c r="AC342" s="10"/>
      <c r="AD342" s="10"/>
      <c r="AE342" s="10"/>
      <c r="AF342" s="10"/>
    </row>
    <row r="343">
      <c r="A343" s="10"/>
      <c r="B343" s="12"/>
      <c r="C343" s="12"/>
      <c r="D343" s="12"/>
      <c r="E343" s="10"/>
      <c r="F343" s="10"/>
      <c r="G343" s="10"/>
      <c r="H343" s="10"/>
      <c r="I343" s="10"/>
      <c r="J343" s="11"/>
      <c r="K343" s="12"/>
      <c r="L343" s="12"/>
      <c r="M343" s="10"/>
      <c r="N343" s="10"/>
      <c r="O343" s="10"/>
      <c r="P343" s="10"/>
      <c r="Q343" s="10"/>
      <c r="R343" s="10"/>
      <c r="S343" s="10"/>
      <c r="T343" s="10"/>
      <c r="U343" s="10"/>
      <c r="V343" s="10"/>
      <c r="W343" s="10"/>
      <c r="X343" s="10"/>
      <c r="Y343" s="10"/>
      <c r="Z343" s="10"/>
      <c r="AA343" s="10"/>
      <c r="AB343" s="10"/>
      <c r="AC343" s="10"/>
      <c r="AD343" s="10"/>
      <c r="AE343" s="10"/>
      <c r="AF343" s="10"/>
    </row>
    <row r="344">
      <c r="A344" s="7"/>
      <c r="B344" s="8">
        <v>30.0</v>
      </c>
      <c r="C344" s="8">
        <v>1.0</v>
      </c>
      <c r="D344" s="8" t="s">
        <v>714</v>
      </c>
      <c r="E344" s="7">
        <v>0.0</v>
      </c>
      <c r="F344" s="7"/>
      <c r="G344" s="7" t="s">
        <v>312</v>
      </c>
      <c r="H344" s="7" t="s">
        <v>313</v>
      </c>
      <c r="I344" s="10"/>
      <c r="J344" s="9" t="s">
        <v>715</v>
      </c>
      <c r="K344" s="8" t="s">
        <v>716</v>
      </c>
      <c r="L344" s="12"/>
      <c r="M344" s="10"/>
      <c r="N344" s="10"/>
      <c r="O344" s="10"/>
      <c r="P344" s="10"/>
      <c r="Q344" s="10"/>
      <c r="R344" s="10"/>
      <c r="S344" s="10"/>
      <c r="T344" s="10"/>
      <c r="U344" s="10"/>
      <c r="V344" s="10"/>
      <c r="W344" s="10"/>
      <c r="X344" s="10"/>
      <c r="Y344" s="10"/>
      <c r="Z344" s="10"/>
      <c r="AA344" s="10"/>
      <c r="AB344" s="10"/>
      <c r="AC344" s="10"/>
      <c r="AD344" s="10"/>
      <c r="AE344" s="10"/>
      <c r="AF344" s="10"/>
    </row>
    <row r="345">
      <c r="A345" s="7"/>
      <c r="B345" s="8">
        <v>30.0</v>
      </c>
      <c r="C345" s="8">
        <v>2.0</v>
      </c>
      <c r="D345" s="8" t="s">
        <v>717</v>
      </c>
      <c r="E345" s="7">
        <v>0.0</v>
      </c>
      <c r="F345" s="7"/>
      <c r="G345" s="7" t="s">
        <v>312</v>
      </c>
      <c r="H345" s="7" t="s">
        <v>313</v>
      </c>
      <c r="I345" s="10"/>
      <c r="J345" s="11"/>
      <c r="K345" s="12"/>
      <c r="L345" s="12"/>
      <c r="M345" s="10"/>
      <c r="N345" s="10"/>
      <c r="O345" s="10"/>
      <c r="P345" s="10"/>
      <c r="Q345" s="10"/>
      <c r="R345" s="10"/>
      <c r="S345" s="10"/>
      <c r="T345" s="10"/>
      <c r="U345" s="10"/>
      <c r="V345" s="10"/>
      <c r="W345" s="10"/>
      <c r="X345" s="10"/>
      <c r="Y345" s="10"/>
      <c r="Z345" s="10"/>
      <c r="AA345" s="10"/>
      <c r="AB345" s="10"/>
      <c r="AC345" s="10"/>
      <c r="AD345" s="10"/>
      <c r="AE345" s="10"/>
      <c r="AF345" s="10"/>
    </row>
    <row r="346">
      <c r="A346" s="7"/>
      <c r="B346" s="8">
        <v>30.0</v>
      </c>
      <c r="C346" s="8">
        <v>3.0</v>
      </c>
      <c r="D346" s="8" t="s">
        <v>718</v>
      </c>
      <c r="E346" s="7">
        <v>0.0</v>
      </c>
      <c r="F346" s="7"/>
      <c r="G346" s="7" t="s">
        <v>312</v>
      </c>
      <c r="H346" s="7" t="s">
        <v>313</v>
      </c>
      <c r="I346" s="10"/>
      <c r="J346" s="11"/>
      <c r="K346" s="12"/>
      <c r="L346" s="12"/>
      <c r="M346" s="10"/>
      <c r="N346" s="10"/>
      <c r="O346" s="10"/>
      <c r="P346" s="10"/>
      <c r="Q346" s="10"/>
      <c r="R346" s="10"/>
      <c r="S346" s="10"/>
      <c r="T346" s="10"/>
      <c r="U346" s="10"/>
      <c r="V346" s="10"/>
      <c r="W346" s="10"/>
      <c r="X346" s="10"/>
      <c r="Y346" s="10"/>
      <c r="Z346" s="10"/>
      <c r="AA346" s="10"/>
      <c r="AB346" s="10"/>
      <c r="AC346" s="10"/>
      <c r="AD346" s="10"/>
      <c r="AE346" s="10"/>
      <c r="AF346" s="10"/>
    </row>
    <row r="347">
      <c r="A347" s="7"/>
      <c r="B347" s="8">
        <v>30.0</v>
      </c>
      <c r="C347" s="8">
        <v>4.0</v>
      </c>
      <c r="D347" s="8" t="s">
        <v>719</v>
      </c>
      <c r="E347" s="7">
        <v>1.0</v>
      </c>
      <c r="F347" s="7"/>
      <c r="G347" s="7" t="s">
        <v>312</v>
      </c>
      <c r="H347" s="7" t="s">
        <v>313</v>
      </c>
      <c r="I347" s="10"/>
      <c r="J347" s="11"/>
      <c r="K347" s="12"/>
      <c r="L347" s="12"/>
      <c r="M347" s="10"/>
      <c r="N347" s="10"/>
      <c r="O347" s="10"/>
      <c r="P347" s="10"/>
      <c r="Q347" s="10"/>
      <c r="R347" s="10"/>
      <c r="S347" s="10"/>
      <c r="T347" s="10"/>
      <c r="U347" s="10"/>
      <c r="V347" s="10"/>
      <c r="W347" s="10"/>
      <c r="X347" s="10"/>
      <c r="Y347" s="10"/>
      <c r="Z347" s="10"/>
      <c r="AA347" s="10"/>
      <c r="AB347" s="10"/>
      <c r="AC347" s="10"/>
      <c r="AD347" s="10"/>
      <c r="AE347" s="10"/>
      <c r="AF347" s="10"/>
    </row>
    <row r="348">
      <c r="A348" s="7"/>
      <c r="B348" s="8">
        <v>30.0</v>
      </c>
      <c r="C348" s="8">
        <v>5.0</v>
      </c>
      <c r="D348" s="8" t="s">
        <v>720</v>
      </c>
      <c r="E348" s="7">
        <v>0.0</v>
      </c>
      <c r="F348" s="7"/>
      <c r="G348" s="7" t="s">
        <v>312</v>
      </c>
      <c r="H348" s="7" t="s">
        <v>313</v>
      </c>
      <c r="I348" s="10"/>
      <c r="J348" s="11"/>
      <c r="K348" s="8" t="s">
        <v>721</v>
      </c>
      <c r="L348" s="12"/>
      <c r="M348" s="10"/>
      <c r="N348" s="10"/>
      <c r="O348" s="10"/>
      <c r="P348" s="10"/>
      <c r="Q348" s="10"/>
      <c r="R348" s="10"/>
      <c r="S348" s="10"/>
      <c r="T348" s="10"/>
      <c r="U348" s="10"/>
      <c r="V348" s="10"/>
      <c r="W348" s="10"/>
      <c r="X348" s="10"/>
      <c r="Y348" s="10"/>
      <c r="Z348" s="10"/>
      <c r="AA348" s="10"/>
      <c r="AB348" s="10"/>
      <c r="AC348" s="10"/>
      <c r="AD348" s="10"/>
      <c r="AE348" s="10"/>
      <c r="AF348" s="10"/>
    </row>
    <row r="349">
      <c r="A349" s="7"/>
      <c r="B349" s="8">
        <v>30.0</v>
      </c>
      <c r="C349" s="8">
        <v>6.0</v>
      </c>
      <c r="D349" s="8" t="s">
        <v>722</v>
      </c>
      <c r="E349" s="7">
        <v>0.0</v>
      </c>
      <c r="F349" s="7"/>
      <c r="G349" s="7" t="s">
        <v>312</v>
      </c>
      <c r="H349" s="7" t="s">
        <v>313</v>
      </c>
      <c r="I349" s="10"/>
      <c r="J349" s="11"/>
      <c r="K349" s="8" t="s">
        <v>723</v>
      </c>
      <c r="L349" s="12"/>
      <c r="M349" s="10"/>
      <c r="N349" s="10"/>
      <c r="O349" s="10"/>
      <c r="P349" s="10"/>
      <c r="Q349" s="10"/>
      <c r="R349" s="10"/>
      <c r="S349" s="10"/>
      <c r="T349" s="10"/>
      <c r="U349" s="10"/>
      <c r="V349" s="10"/>
      <c r="W349" s="10"/>
      <c r="X349" s="10"/>
      <c r="Y349" s="10"/>
      <c r="Z349" s="10"/>
      <c r="AA349" s="10"/>
      <c r="AB349" s="10"/>
      <c r="AC349" s="10"/>
      <c r="AD349" s="10"/>
      <c r="AE349" s="10"/>
      <c r="AF349" s="10"/>
    </row>
    <row r="350">
      <c r="A350" s="10"/>
      <c r="B350" s="12"/>
      <c r="C350" s="12"/>
      <c r="D350" s="12"/>
      <c r="E350" s="10"/>
      <c r="F350" s="10"/>
      <c r="G350" s="10"/>
      <c r="H350" s="10"/>
      <c r="I350" s="10"/>
      <c r="J350" s="11"/>
      <c r="K350" s="12"/>
      <c r="L350" s="12"/>
      <c r="M350" s="10"/>
      <c r="N350" s="10"/>
      <c r="O350" s="10"/>
      <c r="P350" s="10"/>
      <c r="Q350" s="10"/>
      <c r="R350" s="10"/>
      <c r="S350" s="10"/>
      <c r="T350" s="10"/>
      <c r="U350" s="10"/>
      <c r="V350" s="10"/>
      <c r="W350" s="10"/>
      <c r="X350" s="10"/>
      <c r="Y350" s="10"/>
      <c r="Z350" s="10"/>
      <c r="AA350" s="10"/>
      <c r="AB350" s="10"/>
      <c r="AC350" s="10"/>
      <c r="AD350" s="10"/>
      <c r="AE350" s="10"/>
      <c r="AF350" s="10"/>
    </row>
    <row r="351">
      <c r="A351" s="7"/>
      <c r="B351" s="8">
        <v>31.0</v>
      </c>
      <c r="C351" s="8">
        <v>1.0</v>
      </c>
      <c r="D351" s="8" t="s">
        <v>724</v>
      </c>
      <c r="E351" s="7">
        <v>1.0</v>
      </c>
      <c r="F351" s="7"/>
      <c r="G351" s="7" t="s">
        <v>312</v>
      </c>
      <c r="H351" s="7" t="s">
        <v>313</v>
      </c>
      <c r="I351" s="10"/>
      <c r="J351" s="9" t="s">
        <v>725</v>
      </c>
      <c r="K351" s="12"/>
      <c r="L351" s="12"/>
      <c r="M351" s="10"/>
      <c r="N351" s="10"/>
      <c r="O351" s="10"/>
      <c r="P351" s="10"/>
      <c r="Q351" s="10"/>
      <c r="R351" s="10"/>
      <c r="S351" s="10"/>
      <c r="T351" s="10"/>
      <c r="U351" s="10"/>
      <c r="V351" s="10"/>
      <c r="W351" s="10"/>
      <c r="X351" s="10"/>
      <c r="Y351" s="10"/>
      <c r="Z351" s="10"/>
      <c r="AA351" s="10"/>
      <c r="AB351" s="10"/>
      <c r="AC351" s="10"/>
      <c r="AD351" s="10"/>
      <c r="AE351" s="10"/>
      <c r="AF351" s="10"/>
    </row>
    <row r="352">
      <c r="A352" s="7"/>
      <c r="B352" s="8">
        <v>31.0</v>
      </c>
      <c r="C352" s="8">
        <v>2.0</v>
      </c>
      <c r="D352" s="17" t="s">
        <v>726</v>
      </c>
      <c r="E352" s="7">
        <v>0.0</v>
      </c>
      <c r="F352" s="7"/>
      <c r="G352" s="7" t="s">
        <v>312</v>
      </c>
      <c r="H352" s="7" t="s">
        <v>313</v>
      </c>
      <c r="I352" s="10"/>
      <c r="J352" s="11"/>
      <c r="K352" s="8" t="s">
        <v>727</v>
      </c>
      <c r="L352" s="12"/>
      <c r="M352" s="10"/>
      <c r="N352" s="10"/>
      <c r="O352" s="10"/>
      <c r="P352" s="10"/>
      <c r="Q352" s="10"/>
      <c r="R352" s="10"/>
      <c r="S352" s="10"/>
      <c r="T352" s="10"/>
      <c r="U352" s="10"/>
      <c r="V352" s="10"/>
      <c r="W352" s="10"/>
      <c r="X352" s="10"/>
      <c r="Y352" s="10"/>
      <c r="Z352" s="10"/>
      <c r="AA352" s="10"/>
      <c r="AB352" s="10"/>
      <c r="AC352" s="10"/>
      <c r="AD352" s="10"/>
      <c r="AE352" s="10"/>
      <c r="AF352" s="10"/>
    </row>
    <row r="353">
      <c r="A353" s="7"/>
      <c r="B353" s="8">
        <v>31.0</v>
      </c>
      <c r="C353" s="8">
        <v>3.0</v>
      </c>
      <c r="D353" s="8" t="s">
        <v>728</v>
      </c>
      <c r="E353" s="7">
        <v>0.0</v>
      </c>
      <c r="F353" s="7"/>
      <c r="G353" s="7" t="s">
        <v>312</v>
      </c>
      <c r="H353" s="7" t="s">
        <v>313</v>
      </c>
      <c r="I353" s="10"/>
      <c r="J353" s="11"/>
      <c r="K353" s="8" t="s">
        <v>729</v>
      </c>
      <c r="L353" s="12"/>
      <c r="M353" s="10"/>
      <c r="N353" s="10"/>
      <c r="O353" s="10"/>
      <c r="P353" s="10"/>
      <c r="Q353" s="10"/>
      <c r="R353" s="10"/>
      <c r="S353" s="10"/>
      <c r="T353" s="10"/>
      <c r="U353" s="10"/>
      <c r="V353" s="10"/>
      <c r="W353" s="10"/>
      <c r="X353" s="10"/>
      <c r="Y353" s="10"/>
      <c r="Z353" s="10"/>
      <c r="AA353" s="10"/>
      <c r="AB353" s="10"/>
      <c r="AC353" s="10"/>
      <c r="AD353" s="10"/>
      <c r="AE353" s="10"/>
      <c r="AF353" s="10"/>
    </row>
    <row r="354">
      <c r="A354" s="10"/>
      <c r="B354" s="12"/>
      <c r="C354" s="12"/>
      <c r="D354" s="12"/>
      <c r="E354" s="10"/>
      <c r="F354" s="10"/>
      <c r="G354" s="10"/>
      <c r="H354" s="10"/>
      <c r="I354" s="10"/>
      <c r="J354" s="11"/>
      <c r="K354" s="12"/>
      <c r="L354" s="12"/>
      <c r="M354" s="10"/>
      <c r="N354" s="10"/>
      <c r="O354" s="10"/>
      <c r="P354" s="10"/>
      <c r="Q354" s="10"/>
      <c r="R354" s="10"/>
      <c r="S354" s="10"/>
      <c r="T354" s="10"/>
      <c r="U354" s="10"/>
      <c r="V354" s="10"/>
      <c r="W354" s="10"/>
      <c r="X354" s="10"/>
      <c r="Y354" s="10"/>
      <c r="Z354" s="10"/>
      <c r="AA354" s="10"/>
      <c r="AB354" s="10"/>
      <c r="AC354" s="10"/>
      <c r="AD354" s="10"/>
      <c r="AE354" s="10"/>
      <c r="AF354" s="10"/>
    </row>
    <row r="355">
      <c r="A355" s="7"/>
      <c r="B355" s="8">
        <v>32.0</v>
      </c>
      <c r="C355" s="8">
        <v>1.0</v>
      </c>
      <c r="D355" s="8" t="s">
        <v>730</v>
      </c>
      <c r="E355" s="7">
        <v>1.0</v>
      </c>
      <c r="F355" s="7"/>
      <c r="G355" s="7" t="s">
        <v>312</v>
      </c>
      <c r="H355" s="7" t="s">
        <v>313</v>
      </c>
      <c r="I355" s="10"/>
      <c r="J355" s="9" t="s">
        <v>731</v>
      </c>
      <c r="K355" s="12"/>
      <c r="L355" s="12"/>
      <c r="M355" s="10"/>
      <c r="N355" s="10"/>
      <c r="O355" s="10"/>
      <c r="P355" s="10"/>
      <c r="Q355" s="10"/>
      <c r="R355" s="10"/>
      <c r="S355" s="10"/>
      <c r="T355" s="10"/>
      <c r="U355" s="10"/>
      <c r="V355" s="10"/>
      <c r="W355" s="10"/>
      <c r="X355" s="10"/>
      <c r="Y355" s="10"/>
      <c r="Z355" s="10"/>
      <c r="AA355" s="10"/>
      <c r="AB355" s="10"/>
      <c r="AC355" s="10"/>
      <c r="AD355" s="10"/>
      <c r="AE355" s="10"/>
      <c r="AF355" s="10"/>
    </row>
    <row r="356">
      <c r="A356" s="7"/>
      <c r="B356" s="8">
        <v>32.0</v>
      </c>
      <c r="C356" s="8">
        <v>2.0</v>
      </c>
      <c r="D356" s="8" t="s">
        <v>732</v>
      </c>
      <c r="E356" s="7">
        <v>1.0</v>
      </c>
      <c r="F356" s="7"/>
      <c r="G356" s="7" t="s">
        <v>312</v>
      </c>
      <c r="H356" s="7" t="s">
        <v>313</v>
      </c>
      <c r="I356" s="10"/>
      <c r="J356" s="9" t="s">
        <v>733</v>
      </c>
      <c r="K356" s="12"/>
      <c r="L356" s="12"/>
      <c r="M356" s="10"/>
      <c r="N356" s="10"/>
      <c r="O356" s="10"/>
      <c r="P356" s="10"/>
      <c r="Q356" s="10"/>
      <c r="R356" s="10"/>
      <c r="S356" s="10"/>
      <c r="T356" s="10"/>
      <c r="U356" s="10"/>
      <c r="V356" s="10"/>
      <c r="W356" s="10"/>
      <c r="X356" s="10"/>
      <c r="Y356" s="10"/>
      <c r="Z356" s="10"/>
      <c r="AA356" s="10"/>
      <c r="AB356" s="10"/>
      <c r="AC356" s="10"/>
      <c r="AD356" s="10"/>
      <c r="AE356" s="10"/>
      <c r="AF356" s="10"/>
    </row>
    <row r="357">
      <c r="A357" s="7"/>
      <c r="B357" s="8">
        <v>32.0</v>
      </c>
      <c r="C357" s="8">
        <v>3.0</v>
      </c>
      <c r="D357" s="8" t="s">
        <v>734</v>
      </c>
      <c r="E357" s="7">
        <v>0.0</v>
      </c>
      <c r="F357" s="7"/>
      <c r="G357" s="7" t="s">
        <v>312</v>
      </c>
      <c r="H357" s="7" t="s">
        <v>313</v>
      </c>
      <c r="I357" s="10"/>
      <c r="J357" s="11"/>
      <c r="K357" s="12"/>
      <c r="L357" s="12"/>
      <c r="M357" s="10"/>
      <c r="N357" s="10"/>
      <c r="O357" s="10"/>
      <c r="P357" s="10"/>
      <c r="Q357" s="10"/>
      <c r="R357" s="10"/>
      <c r="S357" s="10"/>
      <c r="T357" s="10"/>
      <c r="U357" s="10"/>
      <c r="V357" s="10"/>
      <c r="W357" s="10"/>
      <c r="X357" s="10"/>
      <c r="Y357" s="10"/>
      <c r="Z357" s="10"/>
      <c r="AA357" s="10"/>
      <c r="AB357" s="10"/>
      <c r="AC357" s="10"/>
      <c r="AD357" s="10"/>
      <c r="AE357" s="10"/>
      <c r="AF357" s="10"/>
    </row>
    <row r="358">
      <c r="A358" s="10"/>
      <c r="B358" s="12"/>
      <c r="C358" s="12"/>
      <c r="D358" s="12"/>
      <c r="E358" s="10"/>
      <c r="F358" s="10"/>
      <c r="G358" s="10"/>
      <c r="H358" s="10"/>
      <c r="I358" s="10"/>
      <c r="J358" s="11"/>
      <c r="K358" s="12"/>
      <c r="L358" s="12"/>
      <c r="M358" s="10"/>
      <c r="N358" s="10"/>
      <c r="O358" s="10"/>
      <c r="P358" s="10"/>
      <c r="Q358" s="10"/>
      <c r="R358" s="10"/>
      <c r="S358" s="10"/>
      <c r="T358" s="10"/>
      <c r="U358" s="10"/>
      <c r="V358" s="10"/>
      <c r="W358" s="10"/>
      <c r="X358" s="10"/>
      <c r="Y358" s="10"/>
      <c r="Z358" s="10"/>
      <c r="AA358" s="10"/>
      <c r="AB358" s="10"/>
      <c r="AC358" s="10"/>
      <c r="AD358" s="10"/>
      <c r="AE358" s="10"/>
      <c r="AF358" s="10"/>
    </row>
    <row r="359">
      <c r="A359" s="7"/>
      <c r="B359" s="8">
        <v>33.0</v>
      </c>
      <c r="C359" s="8">
        <v>1.0</v>
      </c>
      <c r="D359" s="8" t="s">
        <v>735</v>
      </c>
      <c r="E359" s="7">
        <v>0.0</v>
      </c>
      <c r="F359" s="7"/>
      <c r="G359" s="7" t="s">
        <v>312</v>
      </c>
      <c r="H359" s="7" t="s">
        <v>313</v>
      </c>
      <c r="I359" s="10"/>
      <c r="J359" s="9" t="s">
        <v>736</v>
      </c>
      <c r="K359" s="12"/>
      <c r="L359" s="12"/>
      <c r="M359" s="10"/>
      <c r="N359" s="10"/>
      <c r="O359" s="10"/>
      <c r="P359" s="10"/>
      <c r="Q359" s="10"/>
      <c r="R359" s="10"/>
      <c r="S359" s="10"/>
      <c r="T359" s="10"/>
      <c r="U359" s="10"/>
      <c r="V359" s="10"/>
      <c r="W359" s="10"/>
      <c r="X359" s="10"/>
      <c r="Y359" s="10"/>
      <c r="Z359" s="10"/>
      <c r="AA359" s="10"/>
      <c r="AB359" s="10"/>
      <c r="AC359" s="10"/>
      <c r="AD359" s="10"/>
      <c r="AE359" s="10"/>
      <c r="AF359" s="10"/>
    </row>
    <row r="360">
      <c r="A360" s="7"/>
      <c r="B360" s="8">
        <v>33.0</v>
      </c>
      <c r="C360" s="8">
        <v>2.0</v>
      </c>
      <c r="D360" s="8" t="s">
        <v>737</v>
      </c>
      <c r="E360" s="7">
        <v>0.0</v>
      </c>
      <c r="F360" s="7"/>
      <c r="G360" s="7" t="s">
        <v>312</v>
      </c>
      <c r="H360" s="7" t="s">
        <v>313</v>
      </c>
      <c r="I360" s="10"/>
      <c r="J360" s="11"/>
      <c r="K360" s="12"/>
      <c r="L360" s="12"/>
      <c r="M360" s="10"/>
      <c r="N360" s="10"/>
      <c r="O360" s="10"/>
      <c r="P360" s="10"/>
      <c r="Q360" s="10"/>
      <c r="R360" s="10"/>
      <c r="S360" s="10"/>
      <c r="T360" s="10"/>
      <c r="U360" s="10"/>
      <c r="V360" s="10"/>
      <c r="W360" s="10"/>
      <c r="X360" s="10"/>
      <c r="Y360" s="10"/>
      <c r="Z360" s="10"/>
      <c r="AA360" s="10"/>
      <c r="AB360" s="10"/>
      <c r="AC360" s="10"/>
      <c r="AD360" s="10"/>
      <c r="AE360" s="10"/>
      <c r="AF360" s="10"/>
    </row>
    <row r="361">
      <c r="A361" s="7"/>
      <c r="B361" s="8">
        <v>33.0</v>
      </c>
      <c r="C361" s="8">
        <v>3.0</v>
      </c>
      <c r="D361" s="8" t="s">
        <v>738</v>
      </c>
      <c r="E361" s="7">
        <v>1.0</v>
      </c>
      <c r="F361" s="7"/>
      <c r="G361" s="7" t="s">
        <v>312</v>
      </c>
      <c r="H361" s="7" t="s">
        <v>313</v>
      </c>
      <c r="I361" s="10"/>
      <c r="J361" s="11"/>
      <c r="K361" s="8" t="s">
        <v>739</v>
      </c>
      <c r="L361" s="12"/>
      <c r="M361" s="10"/>
      <c r="N361" s="10"/>
      <c r="O361" s="10"/>
      <c r="P361" s="10"/>
      <c r="Q361" s="10"/>
      <c r="R361" s="10"/>
      <c r="S361" s="10"/>
      <c r="T361" s="10"/>
      <c r="U361" s="10"/>
      <c r="V361" s="10"/>
      <c r="W361" s="10"/>
      <c r="X361" s="10"/>
      <c r="Y361" s="10"/>
      <c r="Z361" s="10"/>
      <c r="AA361" s="10"/>
      <c r="AB361" s="10"/>
      <c r="AC361" s="10"/>
      <c r="AD361" s="10"/>
      <c r="AE361" s="10"/>
      <c r="AF361" s="10"/>
    </row>
    <row r="362">
      <c r="A362" s="7"/>
      <c r="B362" s="8">
        <v>33.0</v>
      </c>
      <c r="C362" s="8">
        <v>4.0</v>
      </c>
      <c r="D362" s="8" t="s">
        <v>740</v>
      </c>
      <c r="E362" s="7">
        <v>0.0</v>
      </c>
      <c r="F362" s="7"/>
      <c r="G362" s="7" t="s">
        <v>312</v>
      </c>
      <c r="H362" s="7" t="s">
        <v>313</v>
      </c>
      <c r="I362" s="10"/>
      <c r="J362" s="11"/>
      <c r="K362" s="12"/>
      <c r="L362" s="12"/>
      <c r="M362" s="10"/>
      <c r="N362" s="10"/>
      <c r="O362" s="10"/>
      <c r="P362" s="10"/>
      <c r="Q362" s="10"/>
      <c r="R362" s="10"/>
      <c r="S362" s="10"/>
      <c r="T362" s="10"/>
      <c r="U362" s="10"/>
      <c r="V362" s="10"/>
      <c r="W362" s="10"/>
      <c r="X362" s="10"/>
      <c r="Y362" s="10"/>
      <c r="Z362" s="10"/>
      <c r="AA362" s="10"/>
      <c r="AB362" s="10"/>
      <c r="AC362" s="10"/>
      <c r="AD362" s="10"/>
      <c r="AE362" s="10"/>
      <c r="AF362" s="10"/>
    </row>
    <row r="363">
      <c r="A363" s="7"/>
      <c r="B363" s="8">
        <v>33.0</v>
      </c>
      <c r="C363" s="8">
        <v>5.0</v>
      </c>
      <c r="D363" s="8" t="s">
        <v>741</v>
      </c>
      <c r="E363" s="7">
        <v>1.0</v>
      </c>
      <c r="F363" s="7"/>
      <c r="G363" s="7" t="s">
        <v>312</v>
      </c>
      <c r="H363" s="7" t="s">
        <v>313</v>
      </c>
      <c r="I363" s="10"/>
      <c r="J363" s="11"/>
      <c r="K363" s="8" t="s">
        <v>739</v>
      </c>
      <c r="L363" s="12"/>
      <c r="M363" s="10"/>
      <c r="N363" s="10"/>
      <c r="O363" s="10"/>
      <c r="P363" s="10"/>
      <c r="Q363" s="10"/>
      <c r="R363" s="10"/>
      <c r="S363" s="10"/>
      <c r="T363" s="10"/>
      <c r="U363" s="10"/>
      <c r="V363" s="10"/>
      <c r="W363" s="10"/>
      <c r="X363" s="10"/>
      <c r="Y363" s="10"/>
      <c r="Z363" s="10"/>
      <c r="AA363" s="10"/>
      <c r="AB363" s="10"/>
      <c r="AC363" s="10"/>
      <c r="AD363" s="10"/>
      <c r="AE363" s="10"/>
      <c r="AF363" s="10"/>
    </row>
    <row r="364">
      <c r="A364" s="7"/>
      <c r="B364" s="8">
        <v>33.0</v>
      </c>
      <c r="C364" s="8">
        <v>6.0</v>
      </c>
      <c r="D364" s="8" t="s">
        <v>742</v>
      </c>
      <c r="E364" s="7">
        <v>0.0</v>
      </c>
      <c r="F364" s="7"/>
      <c r="G364" s="7" t="s">
        <v>312</v>
      </c>
      <c r="H364" s="7" t="s">
        <v>313</v>
      </c>
      <c r="I364" s="10"/>
      <c r="J364" s="11"/>
      <c r="K364" s="12"/>
      <c r="L364" s="12"/>
      <c r="M364" s="10"/>
      <c r="N364" s="10"/>
      <c r="O364" s="10"/>
      <c r="P364" s="10"/>
      <c r="Q364" s="10"/>
      <c r="R364" s="10"/>
      <c r="S364" s="10"/>
      <c r="T364" s="10"/>
      <c r="U364" s="10"/>
      <c r="V364" s="10"/>
      <c r="W364" s="10"/>
      <c r="X364" s="10"/>
      <c r="Y364" s="10"/>
      <c r="Z364" s="10"/>
      <c r="AA364" s="10"/>
      <c r="AB364" s="10"/>
      <c r="AC364" s="10"/>
      <c r="AD364" s="10"/>
      <c r="AE364" s="10"/>
      <c r="AF364" s="10"/>
    </row>
    <row r="365">
      <c r="A365" s="10"/>
      <c r="B365" s="12"/>
      <c r="C365" s="12"/>
      <c r="D365" s="12"/>
      <c r="E365" s="10"/>
      <c r="F365" s="10"/>
      <c r="G365" s="10"/>
      <c r="H365" s="10"/>
      <c r="I365" s="10"/>
      <c r="J365" s="11"/>
      <c r="K365" s="12"/>
      <c r="L365" s="12"/>
      <c r="M365" s="10"/>
      <c r="N365" s="10"/>
      <c r="O365" s="10"/>
      <c r="P365" s="10"/>
      <c r="Q365" s="10"/>
      <c r="R365" s="10"/>
      <c r="S365" s="10"/>
      <c r="T365" s="10"/>
      <c r="U365" s="10"/>
      <c r="V365" s="10"/>
      <c r="W365" s="10"/>
      <c r="X365" s="10"/>
      <c r="Y365" s="10"/>
      <c r="Z365" s="10"/>
      <c r="AA365" s="10"/>
      <c r="AB365" s="10"/>
      <c r="AC365" s="10"/>
      <c r="AD365" s="10"/>
      <c r="AE365" s="10"/>
      <c r="AF365" s="10"/>
    </row>
    <row r="366">
      <c r="A366" s="7"/>
      <c r="B366" s="8">
        <v>34.0</v>
      </c>
      <c r="C366" s="8">
        <v>1.0</v>
      </c>
      <c r="D366" s="8" t="s">
        <v>743</v>
      </c>
      <c r="E366" s="7">
        <v>0.0</v>
      </c>
      <c r="F366" s="18" t="s">
        <v>320</v>
      </c>
      <c r="G366" s="7" t="s">
        <v>312</v>
      </c>
      <c r="H366" s="7" t="s">
        <v>313</v>
      </c>
      <c r="I366" s="7" t="s">
        <v>366</v>
      </c>
      <c r="J366" s="9" t="s">
        <v>744</v>
      </c>
      <c r="K366" s="12"/>
      <c r="L366" s="12"/>
      <c r="M366" s="10"/>
      <c r="N366" s="10"/>
      <c r="O366" s="10"/>
      <c r="P366" s="10"/>
      <c r="Q366" s="10"/>
      <c r="R366" s="10"/>
      <c r="S366" s="10"/>
      <c r="T366" s="10"/>
      <c r="U366" s="10"/>
      <c r="V366" s="10"/>
      <c r="W366" s="10"/>
      <c r="X366" s="10"/>
      <c r="Y366" s="10"/>
      <c r="Z366" s="10"/>
      <c r="AA366" s="10"/>
      <c r="AB366" s="10"/>
      <c r="AC366" s="10"/>
      <c r="AD366" s="10"/>
      <c r="AE366" s="10"/>
      <c r="AF366" s="10"/>
    </row>
    <row r="367">
      <c r="A367" s="7"/>
      <c r="B367" s="8">
        <v>34.0</v>
      </c>
      <c r="C367" s="8">
        <v>2.0</v>
      </c>
      <c r="D367" s="8" t="s">
        <v>745</v>
      </c>
      <c r="E367" s="7">
        <v>0.0</v>
      </c>
      <c r="F367" s="7"/>
      <c r="G367" s="7" t="s">
        <v>312</v>
      </c>
      <c r="H367" s="7" t="s">
        <v>313</v>
      </c>
      <c r="I367" s="7" t="s">
        <v>366</v>
      </c>
      <c r="J367" s="16" t="s">
        <v>746</v>
      </c>
      <c r="K367" s="12"/>
      <c r="L367" s="12"/>
      <c r="M367" s="10"/>
      <c r="N367" s="10"/>
      <c r="O367" s="10"/>
      <c r="P367" s="10"/>
      <c r="Q367" s="10"/>
      <c r="R367" s="10"/>
      <c r="S367" s="10"/>
      <c r="T367" s="10"/>
      <c r="U367" s="10"/>
      <c r="V367" s="10"/>
      <c r="W367" s="10"/>
      <c r="X367" s="10"/>
      <c r="Y367" s="10"/>
      <c r="Z367" s="10"/>
      <c r="AA367" s="10"/>
      <c r="AB367" s="10"/>
      <c r="AC367" s="10"/>
      <c r="AD367" s="10"/>
      <c r="AE367" s="10"/>
      <c r="AF367" s="10"/>
    </row>
    <row r="368">
      <c r="A368" s="7"/>
      <c r="B368" s="8">
        <v>34.0</v>
      </c>
      <c r="C368" s="8">
        <v>3.0</v>
      </c>
      <c r="D368" s="8" t="s">
        <v>747</v>
      </c>
      <c r="E368" s="7">
        <v>0.0</v>
      </c>
      <c r="F368" s="7"/>
      <c r="G368" s="7" t="s">
        <v>312</v>
      </c>
      <c r="H368" s="7" t="s">
        <v>313</v>
      </c>
      <c r="I368" s="10"/>
      <c r="J368" s="11"/>
      <c r="K368" s="12"/>
      <c r="L368" s="12"/>
      <c r="M368" s="10"/>
      <c r="N368" s="10"/>
      <c r="O368" s="10"/>
      <c r="P368" s="10"/>
      <c r="Q368" s="10"/>
      <c r="R368" s="10"/>
      <c r="S368" s="10"/>
      <c r="T368" s="10"/>
      <c r="U368" s="10"/>
      <c r="V368" s="10"/>
      <c r="W368" s="10"/>
      <c r="X368" s="10"/>
      <c r="Y368" s="10"/>
      <c r="Z368" s="10"/>
      <c r="AA368" s="10"/>
      <c r="AB368" s="10"/>
      <c r="AC368" s="10"/>
      <c r="AD368" s="10"/>
      <c r="AE368" s="10"/>
      <c r="AF368" s="10"/>
    </row>
    <row r="369">
      <c r="A369" s="7"/>
      <c r="B369" s="8">
        <v>34.0</v>
      </c>
      <c r="C369" s="8">
        <v>4.0</v>
      </c>
      <c r="D369" s="8" t="s">
        <v>748</v>
      </c>
      <c r="E369" s="7">
        <v>1.0</v>
      </c>
      <c r="F369" s="7"/>
      <c r="G369" s="7" t="s">
        <v>312</v>
      </c>
      <c r="H369" s="7" t="s">
        <v>313</v>
      </c>
      <c r="I369" s="10"/>
      <c r="J369" s="9" t="s">
        <v>749</v>
      </c>
      <c r="K369" s="12"/>
      <c r="L369" s="12"/>
      <c r="M369" s="10"/>
      <c r="N369" s="10"/>
      <c r="O369" s="10"/>
      <c r="P369" s="10"/>
      <c r="Q369" s="10"/>
      <c r="R369" s="10"/>
      <c r="S369" s="10"/>
      <c r="T369" s="10"/>
      <c r="U369" s="10"/>
      <c r="V369" s="10"/>
      <c r="W369" s="10"/>
      <c r="X369" s="10"/>
      <c r="Y369" s="10"/>
      <c r="Z369" s="10"/>
      <c r="AA369" s="10"/>
      <c r="AB369" s="10"/>
      <c r="AC369" s="10"/>
      <c r="AD369" s="10"/>
      <c r="AE369" s="10"/>
      <c r="AF369" s="10"/>
    </row>
    <row r="370">
      <c r="A370" s="7"/>
      <c r="B370" s="8">
        <v>34.0</v>
      </c>
      <c r="C370" s="8">
        <v>5.0</v>
      </c>
      <c r="D370" s="8" t="s">
        <v>750</v>
      </c>
      <c r="E370" s="7">
        <v>0.0</v>
      </c>
      <c r="F370" s="7"/>
      <c r="G370" s="7" t="s">
        <v>312</v>
      </c>
      <c r="H370" s="7" t="s">
        <v>313</v>
      </c>
      <c r="I370" s="10"/>
      <c r="J370" s="11"/>
      <c r="K370" s="8" t="s">
        <v>632</v>
      </c>
      <c r="L370" s="12"/>
      <c r="M370" s="10"/>
      <c r="N370" s="10"/>
      <c r="O370" s="10"/>
      <c r="P370" s="10"/>
      <c r="Q370" s="10"/>
      <c r="R370" s="10"/>
      <c r="S370" s="10"/>
      <c r="T370" s="10"/>
      <c r="U370" s="10"/>
      <c r="V370" s="10"/>
      <c r="W370" s="10"/>
      <c r="X370" s="10"/>
      <c r="Y370" s="10"/>
      <c r="Z370" s="10"/>
      <c r="AA370" s="10"/>
      <c r="AB370" s="10"/>
      <c r="AC370" s="10"/>
      <c r="AD370" s="10"/>
      <c r="AE370" s="10"/>
      <c r="AF370" s="10"/>
    </row>
    <row r="371">
      <c r="A371" s="7"/>
      <c r="B371" s="8">
        <v>34.0</v>
      </c>
      <c r="C371" s="8">
        <v>6.0</v>
      </c>
      <c r="D371" s="8" t="s">
        <v>751</v>
      </c>
      <c r="E371" s="7">
        <v>0.0</v>
      </c>
      <c r="F371" s="7"/>
      <c r="G371" s="7" t="s">
        <v>312</v>
      </c>
      <c r="H371" s="7" t="s">
        <v>313</v>
      </c>
      <c r="I371" s="10"/>
      <c r="J371" s="11"/>
      <c r="K371" s="12"/>
      <c r="L371" s="12"/>
      <c r="M371" s="10"/>
      <c r="N371" s="10"/>
      <c r="O371" s="10"/>
      <c r="P371" s="10"/>
      <c r="Q371" s="10"/>
      <c r="R371" s="10"/>
      <c r="S371" s="10"/>
      <c r="T371" s="10"/>
      <c r="U371" s="10"/>
      <c r="V371" s="10"/>
      <c r="W371" s="10"/>
      <c r="X371" s="10"/>
      <c r="Y371" s="10"/>
      <c r="Z371" s="10"/>
      <c r="AA371" s="10"/>
      <c r="AB371" s="10"/>
      <c r="AC371" s="10"/>
      <c r="AD371" s="10"/>
      <c r="AE371" s="10"/>
      <c r="AF371" s="10"/>
    </row>
    <row r="372">
      <c r="A372" s="10"/>
      <c r="B372" s="12"/>
      <c r="C372" s="12"/>
      <c r="D372" s="12"/>
      <c r="E372" s="10"/>
      <c r="F372" s="10"/>
      <c r="G372" s="10"/>
      <c r="H372" s="10"/>
      <c r="I372" s="10"/>
      <c r="J372" s="11"/>
      <c r="K372" s="12"/>
      <c r="L372" s="12"/>
      <c r="M372" s="10"/>
      <c r="N372" s="10"/>
      <c r="O372" s="10"/>
      <c r="P372" s="10"/>
      <c r="Q372" s="10"/>
      <c r="R372" s="10"/>
      <c r="S372" s="10"/>
      <c r="T372" s="10"/>
      <c r="U372" s="10"/>
      <c r="V372" s="10"/>
      <c r="W372" s="10"/>
      <c r="X372" s="10"/>
      <c r="Y372" s="10"/>
      <c r="Z372" s="10"/>
      <c r="AA372" s="10"/>
      <c r="AB372" s="10"/>
      <c r="AC372" s="10"/>
      <c r="AD372" s="10"/>
      <c r="AE372" s="10"/>
      <c r="AF372" s="10"/>
    </row>
    <row r="373">
      <c r="A373" s="7"/>
      <c r="B373" s="8">
        <v>35.0</v>
      </c>
      <c r="C373" s="8">
        <v>1.0</v>
      </c>
      <c r="D373" s="8" t="s">
        <v>752</v>
      </c>
      <c r="E373" s="7">
        <v>0.0</v>
      </c>
      <c r="F373" s="7"/>
      <c r="G373" s="7" t="s">
        <v>312</v>
      </c>
      <c r="H373" s="7" t="s">
        <v>313</v>
      </c>
      <c r="I373" s="10"/>
      <c r="J373" s="9" t="s">
        <v>753</v>
      </c>
      <c r="K373" s="8" t="s">
        <v>754</v>
      </c>
      <c r="L373" s="12"/>
      <c r="M373" s="10"/>
      <c r="N373" s="10"/>
      <c r="O373" s="10"/>
      <c r="P373" s="10"/>
      <c r="Q373" s="10"/>
      <c r="R373" s="10"/>
      <c r="S373" s="10"/>
      <c r="T373" s="10"/>
      <c r="U373" s="10"/>
      <c r="V373" s="10"/>
      <c r="W373" s="10"/>
      <c r="X373" s="10"/>
      <c r="Y373" s="10"/>
      <c r="Z373" s="10"/>
      <c r="AA373" s="10"/>
      <c r="AB373" s="10"/>
      <c r="AC373" s="10"/>
      <c r="AD373" s="10"/>
      <c r="AE373" s="10"/>
      <c r="AF373" s="10"/>
    </row>
    <row r="374">
      <c r="A374" s="7"/>
      <c r="B374" s="8">
        <v>35.0</v>
      </c>
      <c r="C374" s="8">
        <v>2.0</v>
      </c>
      <c r="D374" s="8" t="s">
        <v>755</v>
      </c>
      <c r="E374" s="7">
        <v>0.0</v>
      </c>
      <c r="F374" s="7"/>
      <c r="G374" s="7" t="s">
        <v>312</v>
      </c>
      <c r="H374" s="7" t="s">
        <v>313</v>
      </c>
      <c r="I374" s="10"/>
      <c r="J374" s="11"/>
      <c r="K374" s="12"/>
      <c r="L374" s="12"/>
      <c r="M374" s="10"/>
      <c r="N374" s="10"/>
      <c r="O374" s="10"/>
      <c r="P374" s="10"/>
      <c r="Q374" s="10"/>
      <c r="R374" s="10"/>
      <c r="S374" s="10"/>
      <c r="T374" s="10"/>
      <c r="U374" s="10"/>
      <c r="V374" s="10"/>
      <c r="W374" s="10"/>
      <c r="X374" s="10"/>
      <c r="Y374" s="10"/>
      <c r="Z374" s="10"/>
      <c r="AA374" s="10"/>
      <c r="AB374" s="10"/>
      <c r="AC374" s="10"/>
      <c r="AD374" s="10"/>
      <c r="AE374" s="10"/>
      <c r="AF374" s="10"/>
    </row>
    <row r="375">
      <c r="A375" s="7"/>
      <c r="B375" s="8">
        <v>35.0</v>
      </c>
      <c r="C375" s="8">
        <v>3.0</v>
      </c>
      <c r="D375" s="8" t="s">
        <v>756</v>
      </c>
      <c r="E375" s="7">
        <v>1.0</v>
      </c>
      <c r="F375" s="7"/>
      <c r="G375" s="7" t="s">
        <v>312</v>
      </c>
      <c r="H375" s="7" t="s">
        <v>313</v>
      </c>
      <c r="I375" s="10"/>
      <c r="J375" s="11"/>
      <c r="K375" s="8" t="s">
        <v>757</v>
      </c>
      <c r="L375" s="12"/>
      <c r="M375" s="10"/>
      <c r="N375" s="10"/>
      <c r="O375" s="10"/>
      <c r="P375" s="10"/>
      <c r="Q375" s="10"/>
      <c r="R375" s="10"/>
      <c r="S375" s="10"/>
      <c r="T375" s="10"/>
      <c r="U375" s="10"/>
      <c r="V375" s="10"/>
      <c r="W375" s="10"/>
      <c r="X375" s="10"/>
      <c r="Y375" s="10"/>
      <c r="Z375" s="10"/>
      <c r="AA375" s="10"/>
      <c r="AB375" s="10"/>
      <c r="AC375" s="10"/>
      <c r="AD375" s="10"/>
      <c r="AE375" s="10"/>
      <c r="AF375" s="10"/>
    </row>
    <row r="376">
      <c r="A376" s="10"/>
      <c r="B376" s="12"/>
      <c r="C376" s="12"/>
      <c r="D376" s="12"/>
      <c r="E376" s="10"/>
      <c r="F376" s="10"/>
      <c r="G376" s="10"/>
      <c r="H376" s="10"/>
      <c r="I376" s="10"/>
      <c r="J376" s="11"/>
      <c r="K376" s="12"/>
      <c r="L376" s="12"/>
      <c r="M376" s="10"/>
      <c r="N376" s="10"/>
      <c r="O376" s="10"/>
      <c r="P376" s="10"/>
      <c r="Q376" s="10"/>
      <c r="R376" s="10"/>
      <c r="S376" s="10"/>
      <c r="T376" s="10"/>
      <c r="U376" s="10"/>
      <c r="V376" s="10"/>
      <c r="W376" s="10"/>
      <c r="X376" s="10"/>
      <c r="Y376" s="10"/>
      <c r="Z376" s="10"/>
      <c r="AA376" s="10"/>
      <c r="AB376" s="10"/>
      <c r="AC376" s="10"/>
      <c r="AD376" s="10"/>
      <c r="AE376" s="10"/>
      <c r="AF376" s="10"/>
    </row>
    <row r="377">
      <c r="A377" s="7"/>
      <c r="B377" s="8">
        <v>36.0</v>
      </c>
      <c r="C377" s="8">
        <v>1.0</v>
      </c>
      <c r="D377" s="8" t="s">
        <v>758</v>
      </c>
      <c r="E377" s="7">
        <v>0.0</v>
      </c>
      <c r="F377" s="7"/>
      <c r="G377" s="7" t="s">
        <v>312</v>
      </c>
      <c r="H377" s="7" t="s">
        <v>313</v>
      </c>
      <c r="I377" s="10"/>
      <c r="J377" s="9" t="s">
        <v>759</v>
      </c>
      <c r="K377" s="12"/>
      <c r="L377" s="12"/>
      <c r="M377" s="10"/>
      <c r="N377" s="10"/>
      <c r="O377" s="10"/>
      <c r="P377" s="10"/>
      <c r="Q377" s="10"/>
      <c r="R377" s="10"/>
      <c r="S377" s="10"/>
      <c r="T377" s="10"/>
      <c r="U377" s="10"/>
      <c r="V377" s="10"/>
      <c r="W377" s="10"/>
      <c r="X377" s="10"/>
      <c r="Y377" s="10"/>
      <c r="Z377" s="10"/>
      <c r="AA377" s="10"/>
      <c r="AB377" s="10"/>
      <c r="AC377" s="10"/>
      <c r="AD377" s="10"/>
      <c r="AE377" s="10"/>
      <c r="AF377" s="10"/>
    </row>
    <row r="378">
      <c r="A378" s="7"/>
      <c r="B378" s="8">
        <v>36.0</v>
      </c>
      <c r="C378" s="8">
        <v>2.0</v>
      </c>
      <c r="D378" s="8" t="s">
        <v>760</v>
      </c>
      <c r="E378" s="7">
        <v>1.0</v>
      </c>
      <c r="F378" s="7"/>
      <c r="G378" s="7" t="s">
        <v>312</v>
      </c>
      <c r="H378" s="7" t="s">
        <v>313</v>
      </c>
      <c r="I378" s="10"/>
      <c r="J378" s="11"/>
      <c r="K378" s="12"/>
      <c r="L378" s="12"/>
      <c r="M378" s="10"/>
      <c r="N378" s="10"/>
      <c r="O378" s="10"/>
      <c r="P378" s="10"/>
      <c r="Q378" s="10"/>
      <c r="R378" s="10"/>
      <c r="S378" s="10"/>
      <c r="T378" s="10"/>
      <c r="U378" s="10"/>
      <c r="V378" s="10"/>
      <c r="W378" s="10"/>
      <c r="X378" s="10"/>
      <c r="Y378" s="10"/>
      <c r="Z378" s="10"/>
      <c r="AA378" s="10"/>
      <c r="AB378" s="10"/>
      <c r="AC378" s="10"/>
      <c r="AD378" s="10"/>
      <c r="AE378" s="10"/>
      <c r="AF378" s="10"/>
    </row>
    <row r="379">
      <c r="A379" s="7"/>
      <c r="B379" s="8">
        <v>36.0</v>
      </c>
      <c r="C379" s="8">
        <v>3.0</v>
      </c>
      <c r="D379" s="8" t="s">
        <v>761</v>
      </c>
      <c r="E379" s="7">
        <v>1.0</v>
      </c>
      <c r="F379" s="7"/>
      <c r="G379" s="7" t="s">
        <v>312</v>
      </c>
      <c r="H379" s="7" t="s">
        <v>313</v>
      </c>
      <c r="I379" s="10"/>
      <c r="J379" s="11"/>
      <c r="K379" s="12"/>
      <c r="L379" s="12"/>
      <c r="M379" s="10"/>
      <c r="N379" s="10"/>
      <c r="O379" s="10"/>
      <c r="P379" s="10"/>
      <c r="Q379" s="10"/>
      <c r="R379" s="10"/>
      <c r="S379" s="10"/>
      <c r="T379" s="10"/>
      <c r="U379" s="10"/>
      <c r="V379" s="10"/>
      <c r="W379" s="10"/>
      <c r="X379" s="10"/>
      <c r="Y379" s="10"/>
      <c r="Z379" s="10"/>
      <c r="AA379" s="10"/>
      <c r="AB379" s="10"/>
      <c r="AC379" s="10"/>
      <c r="AD379" s="10"/>
      <c r="AE379" s="10"/>
      <c r="AF379" s="10"/>
    </row>
    <row r="380">
      <c r="A380" s="7"/>
      <c r="B380" s="8">
        <v>36.0</v>
      </c>
      <c r="C380" s="8">
        <v>4.0</v>
      </c>
      <c r="D380" s="8" t="s">
        <v>762</v>
      </c>
      <c r="E380" s="7">
        <v>0.0</v>
      </c>
      <c r="F380" s="7"/>
      <c r="G380" s="7" t="s">
        <v>312</v>
      </c>
      <c r="H380" s="7" t="s">
        <v>313</v>
      </c>
      <c r="I380" s="10"/>
      <c r="J380" s="11"/>
      <c r="K380" s="8" t="s">
        <v>763</v>
      </c>
      <c r="L380" s="12"/>
      <c r="M380" s="10"/>
      <c r="N380" s="10"/>
      <c r="O380" s="10"/>
      <c r="P380" s="10"/>
      <c r="Q380" s="10"/>
      <c r="R380" s="10"/>
      <c r="S380" s="10"/>
      <c r="T380" s="10"/>
      <c r="U380" s="10"/>
      <c r="V380" s="10"/>
      <c r="W380" s="10"/>
      <c r="X380" s="10"/>
      <c r="Y380" s="10"/>
      <c r="Z380" s="10"/>
      <c r="AA380" s="10"/>
      <c r="AB380" s="10"/>
      <c r="AC380" s="10"/>
      <c r="AD380" s="10"/>
      <c r="AE380" s="10"/>
      <c r="AF380" s="10"/>
    </row>
    <row r="381">
      <c r="A381" s="7"/>
      <c r="B381" s="8">
        <v>36.0</v>
      </c>
      <c r="C381" s="8">
        <v>5.0</v>
      </c>
      <c r="D381" s="8" t="s">
        <v>764</v>
      </c>
      <c r="E381" s="7">
        <v>1.0</v>
      </c>
      <c r="F381" s="7"/>
      <c r="G381" s="7" t="s">
        <v>312</v>
      </c>
      <c r="H381" s="7" t="s">
        <v>313</v>
      </c>
      <c r="I381" s="10"/>
      <c r="J381" s="11"/>
      <c r="K381" s="12"/>
      <c r="L381" s="12"/>
      <c r="M381" s="10"/>
      <c r="N381" s="10"/>
      <c r="O381" s="10"/>
      <c r="P381" s="10"/>
      <c r="Q381" s="10"/>
      <c r="R381" s="10"/>
      <c r="S381" s="10"/>
      <c r="T381" s="10"/>
      <c r="U381" s="10"/>
      <c r="V381" s="10"/>
      <c r="W381" s="10"/>
      <c r="X381" s="10"/>
      <c r="Y381" s="10"/>
      <c r="Z381" s="10"/>
      <c r="AA381" s="10"/>
      <c r="AB381" s="10"/>
      <c r="AC381" s="10"/>
      <c r="AD381" s="10"/>
      <c r="AE381" s="10"/>
      <c r="AF381" s="10"/>
    </row>
    <row r="382">
      <c r="A382" s="7"/>
      <c r="B382" s="8">
        <v>36.0</v>
      </c>
      <c r="C382" s="8">
        <v>6.0</v>
      </c>
      <c r="D382" s="8" t="s">
        <v>765</v>
      </c>
      <c r="E382" s="7">
        <v>1.0</v>
      </c>
      <c r="F382" s="7"/>
      <c r="G382" s="7" t="s">
        <v>312</v>
      </c>
      <c r="H382" s="7" t="s">
        <v>313</v>
      </c>
      <c r="I382" s="10"/>
      <c r="J382" s="11"/>
      <c r="K382" s="12"/>
      <c r="L382" s="12"/>
      <c r="M382" s="10"/>
      <c r="N382" s="10"/>
      <c r="O382" s="10"/>
      <c r="P382" s="10"/>
      <c r="Q382" s="10"/>
      <c r="R382" s="10"/>
      <c r="S382" s="10"/>
      <c r="T382" s="10"/>
      <c r="U382" s="10"/>
      <c r="V382" s="10"/>
      <c r="W382" s="10"/>
      <c r="X382" s="10"/>
      <c r="Y382" s="10"/>
      <c r="Z382" s="10"/>
      <c r="AA382" s="10"/>
      <c r="AB382" s="10"/>
      <c r="AC382" s="10"/>
      <c r="AD382" s="10"/>
      <c r="AE382" s="10"/>
      <c r="AF382" s="10"/>
    </row>
    <row r="383">
      <c r="A383" s="7"/>
      <c r="B383" s="8">
        <v>36.0</v>
      </c>
      <c r="C383" s="8">
        <v>7.0</v>
      </c>
      <c r="D383" s="8" t="s">
        <v>766</v>
      </c>
      <c r="E383" s="7">
        <v>0.0</v>
      </c>
      <c r="F383" s="7"/>
      <c r="G383" s="7" t="s">
        <v>312</v>
      </c>
      <c r="H383" s="7" t="s">
        <v>313</v>
      </c>
      <c r="I383" s="10"/>
      <c r="J383" s="11"/>
      <c r="K383" s="12"/>
      <c r="L383" s="12"/>
      <c r="M383" s="10"/>
      <c r="N383" s="10"/>
      <c r="O383" s="10"/>
      <c r="P383" s="10"/>
      <c r="Q383" s="10"/>
      <c r="R383" s="10"/>
      <c r="S383" s="10"/>
      <c r="T383" s="10"/>
      <c r="U383" s="10"/>
      <c r="V383" s="10"/>
      <c r="W383" s="10"/>
      <c r="X383" s="10"/>
      <c r="Y383" s="10"/>
      <c r="Z383" s="10"/>
      <c r="AA383" s="10"/>
      <c r="AB383" s="10"/>
      <c r="AC383" s="10"/>
      <c r="AD383" s="10"/>
      <c r="AE383" s="10"/>
      <c r="AF383" s="10"/>
    </row>
    <row r="384">
      <c r="A384" s="7"/>
      <c r="B384" s="8">
        <v>36.0</v>
      </c>
      <c r="C384" s="8">
        <v>8.0</v>
      </c>
      <c r="D384" s="8" t="s">
        <v>767</v>
      </c>
      <c r="E384" s="7">
        <v>0.0</v>
      </c>
      <c r="F384" s="7"/>
      <c r="G384" s="7" t="s">
        <v>312</v>
      </c>
      <c r="H384" s="7" t="s">
        <v>313</v>
      </c>
      <c r="I384" s="10"/>
      <c r="J384" s="11"/>
      <c r="K384" s="12"/>
      <c r="L384" s="12"/>
      <c r="M384" s="10"/>
      <c r="N384" s="10"/>
      <c r="O384" s="10"/>
      <c r="P384" s="10"/>
      <c r="Q384" s="10"/>
      <c r="R384" s="10"/>
      <c r="S384" s="10"/>
      <c r="T384" s="10"/>
      <c r="U384" s="10"/>
      <c r="V384" s="10"/>
      <c r="W384" s="10"/>
      <c r="X384" s="10"/>
      <c r="Y384" s="10"/>
      <c r="Z384" s="10"/>
      <c r="AA384" s="10"/>
      <c r="AB384" s="10"/>
      <c r="AC384" s="10"/>
      <c r="AD384" s="10"/>
      <c r="AE384" s="10"/>
      <c r="AF384" s="10"/>
    </row>
    <row r="385">
      <c r="A385" s="7"/>
      <c r="B385" s="8">
        <v>36.0</v>
      </c>
      <c r="C385" s="8">
        <v>9.0</v>
      </c>
      <c r="D385" s="8" t="s">
        <v>768</v>
      </c>
      <c r="E385" s="7">
        <v>0.0</v>
      </c>
      <c r="F385" s="7"/>
      <c r="G385" s="7" t="s">
        <v>312</v>
      </c>
      <c r="H385" s="7" t="s">
        <v>313</v>
      </c>
      <c r="I385" s="10"/>
      <c r="J385" s="11"/>
      <c r="K385" s="12"/>
      <c r="L385" s="12"/>
      <c r="M385" s="10"/>
      <c r="N385" s="10"/>
      <c r="O385" s="10"/>
      <c r="P385" s="10"/>
      <c r="Q385" s="10"/>
      <c r="R385" s="10"/>
      <c r="S385" s="10"/>
      <c r="T385" s="10"/>
      <c r="U385" s="10"/>
      <c r="V385" s="10"/>
      <c r="W385" s="10"/>
      <c r="X385" s="10"/>
      <c r="Y385" s="10"/>
      <c r="Z385" s="10"/>
      <c r="AA385" s="10"/>
      <c r="AB385" s="10"/>
      <c r="AC385" s="10"/>
      <c r="AD385" s="10"/>
      <c r="AE385" s="10"/>
      <c r="AF385" s="10"/>
    </row>
    <row r="386">
      <c r="A386" s="7"/>
      <c r="B386" s="8">
        <v>36.0</v>
      </c>
      <c r="C386" s="8">
        <v>10.0</v>
      </c>
      <c r="D386" s="8" t="s">
        <v>769</v>
      </c>
      <c r="E386" s="7">
        <v>0.0</v>
      </c>
      <c r="F386" s="7"/>
      <c r="G386" s="7" t="s">
        <v>312</v>
      </c>
      <c r="H386" s="7" t="s">
        <v>313</v>
      </c>
      <c r="I386" s="10"/>
      <c r="J386" s="11"/>
      <c r="K386" s="12"/>
      <c r="L386" s="12"/>
      <c r="M386" s="10"/>
      <c r="N386" s="10"/>
      <c r="O386" s="10"/>
      <c r="P386" s="10"/>
      <c r="Q386" s="10"/>
      <c r="R386" s="10"/>
      <c r="S386" s="10"/>
      <c r="T386" s="10"/>
      <c r="U386" s="10"/>
      <c r="V386" s="10"/>
      <c r="W386" s="10"/>
      <c r="X386" s="10"/>
      <c r="Y386" s="10"/>
      <c r="Z386" s="10"/>
      <c r="AA386" s="10"/>
      <c r="AB386" s="10"/>
      <c r="AC386" s="10"/>
      <c r="AD386" s="10"/>
      <c r="AE386" s="10"/>
      <c r="AF386" s="10"/>
    </row>
    <row r="387">
      <c r="A387" s="10"/>
      <c r="B387" s="12"/>
      <c r="C387" s="12"/>
      <c r="D387" s="12"/>
      <c r="E387" s="10"/>
      <c r="F387" s="10"/>
      <c r="G387" s="10"/>
      <c r="H387" s="10"/>
      <c r="I387" s="10"/>
      <c r="J387" s="11"/>
      <c r="K387" s="12"/>
      <c r="L387" s="12"/>
      <c r="M387" s="10"/>
      <c r="N387" s="10"/>
      <c r="O387" s="10"/>
      <c r="P387" s="10"/>
      <c r="Q387" s="10"/>
      <c r="R387" s="10"/>
      <c r="S387" s="10"/>
      <c r="T387" s="10"/>
      <c r="U387" s="10"/>
      <c r="V387" s="10"/>
      <c r="W387" s="10"/>
      <c r="X387" s="10"/>
      <c r="Y387" s="10"/>
      <c r="Z387" s="10"/>
      <c r="AA387" s="10"/>
      <c r="AB387" s="10"/>
      <c r="AC387" s="10"/>
      <c r="AD387" s="10"/>
      <c r="AE387" s="10"/>
      <c r="AF387" s="10"/>
    </row>
    <row r="388">
      <c r="A388" s="7"/>
      <c r="B388" s="8">
        <v>37.0</v>
      </c>
      <c r="C388" s="8">
        <v>1.0</v>
      </c>
      <c r="D388" s="8" t="s">
        <v>770</v>
      </c>
      <c r="E388" s="7">
        <v>0.0</v>
      </c>
      <c r="F388" s="7"/>
      <c r="G388" s="7" t="s">
        <v>312</v>
      </c>
      <c r="H388" s="7" t="s">
        <v>313</v>
      </c>
      <c r="I388" s="10"/>
      <c r="J388" s="9" t="s">
        <v>771</v>
      </c>
      <c r="K388" s="12"/>
      <c r="L388" s="8" t="s">
        <v>772</v>
      </c>
      <c r="M388" s="10"/>
      <c r="N388" s="10"/>
      <c r="O388" s="10"/>
      <c r="P388" s="10"/>
      <c r="Q388" s="10"/>
      <c r="R388" s="10"/>
      <c r="S388" s="10"/>
      <c r="T388" s="10"/>
      <c r="U388" s="10"/>
      <c r="V388" s="10"/>
      <c r="W388" s="10"/>
      <c r="X388" s="10"/>
      <c r="Y388" s="10"/>
      <c r="Z388" s="10"/>
      <c r="AA388" s="10"/>
      <c r="AB388" s="10"/>
      <c r="AC388" s="10"/>
      <c r="AD388" s="10"/>
      <c r="AE388" s="10"/>
      <c r="AF388" s="10"/>
    </row>
    <row r="389">
      <c r="A389" s="7"/>
      <c r="B389" s="8">
        <v>37.0</v>
      </c>
      <c r="C389" s="8">
        <v>2.0</v>
      </c>
      <c r="D389" s="8" t="s">
        <v>773</v>
      </c>
      <c r="E389" s="7">
        <v>0.0</v>
      </c>
      <c r="F389" s="7"/>
      <c r="G389" s="7" t="s">
        <v>312</v>
      </c>
      <c r="H389" s="7" t="s">
        <v>313</v>
      </c>
      <c r="I389" s="10"/>
      <c r="J389" s="9" t="s">
        <v>774</v>
      </c>
      <c r="K389" s="12"/>
      <c r="L389" s="12"/>
      <c r="M389" s="10"/>
      <c r="N389" s="10"/>
      <c r="O389" s="10"/>
      <c r="P389" s="10"/>
      <c r="Q389" s="10"/>
      <c r="R389" s="10"/>
      <c r="S389" s="10"/>
      <c r="T389" s="10"/>
      <c r="U389" s="10"/>
      <c r="V389" s="10"/>
      <c r="W389" s="10"/>
      <c r="X389" s="10"/>
      <c r="Y389" s="10"/>
      <c r="Z389" s="10"/>
      <c r="AA389" s="10"/>
      <c r="AB389" s="10"/>
      <c r="AC389" s="10"/>
      <c r="AD389" s="10"/>
      <c r="AE389" s="10"/>
      <c r="AF389" s="10"/>
    </row>
    <row r="390">
      <c r="A390" s="7"/>
      <c r="B390" s="8">
        <v>37.0</v>
      </c>
      <c r="C390" s="8">
        <v>3.0</v>
      </c>
      <c r="D390" s="8" t="s">
        <v>775</v>
      </c>
      <c r="E390" s="7">
        <v>0.0</v>
      </c>
      <c r="F390" s="7"/>
      <c r="G390" s="7" t="s">
        <v>312</v>
      </c>
      <c r="H390" s="7" t="s">
        <v>313</v>
      </c>
      <c r="I390" s="10"/>
      <c r="J390" s="11"/>
      <c r="K390" s="12"/>
      <c r="L390" s="12"/>
      <c r="M390" s="10"/>
      <c r="N390" s="10"/>
      <c r="O390" s="10"/>
      <c r="P390" s="10"/>
      <c r="Q390" s="10"/>
      <c r="R390" s="10"/>
      <c r="S390" s="10"/>
      <c r="T390" s="10"/>
      <c r="U390" s="10"/>
      <c r="V390" s="10"/>
      <c r="W390" s="10"/>
      <c r="X390" s="10"/>
      <c r="Y390" s="10"/>
      <c r="Z390" s="10"/>
      <c r="AA390" s="10"/>
      <c r="AB390" s="10"/>
      <c r="AC390" s="10"/>
      <c r="AD390" s="10"/>
      <c r="AE390" s="10"/>
      <c r="AF390" s="10"/>
    </row>
    <row r="391">
      <c r="A391" s="7"/>
      <c r="B391" s="8">
        <v>37.0</v>
      </c>
      <c r="C391" s="8">
        <v>4.0</v>
      </c>
      <c r="D391" s="8" t="s">
        <v>776</v>
      </c>
      <c r="E391" s="7">
        <v>0.0</v>
      </c>
      <c r="F391" s="7"/>
      <c r="G391" s="7" t="s">
        <v>312</v>
      </c>
      <c r="H391" s="7" t="s">
        <v>313</v>
      </c>
      <c r="I391" s="10"/>
      <c r="J391" s="11"/>
      <c r="K391" s="12"/>
      <c r="L391" s="12"/>
      <c r="M391" s="10"/>
      <c r="N391" s="10"/>
      <c r="O391" s="10"/>
      <c r="P391" s="10"/>
      <c r="Q391" s="10"/>
      <c r="R391" s="10"/>
      <c r="S391" s="10"/>
      <c r="T391" s="10"/>
      <c r="U391" s="10"/>
      <c r="V391" s="10"/>
      <c r="W391" s="10"/>
      <c r="X391" s="10"/>
      <c r="Y391" s="10"/>
      <c r="Z391" s="10"/>
      <c r="AA391" s="10"/>
      <c r="AB391" s="10"/>
      <c r="AC391" s="10"/>
      <c r="AD391" s="10"/>
      <c r="AE391" s="10"/>
      <c r="AF391" s="10"/>
    </row>
    <row r="392">
      <c r="A392" s="7"/>
      <c r="B392" s="8">
        <v>37.0</v>
      </c>
      <c r="C392" s="8">
        <v>5.0</v>
      </c>
      <c r="D392" s="8" t="s">
        <v>777</v>
      </c>
      <c r="E392" s="7">
        <v>1.0</v>
      </c>
      <c r="F392" s="7"/>
      <c r="G392" s="7" t="s">
        <v>312</v>
      </c>
      <c r="H392" s="7" t="s">
        <v>313</v>
      </c>
      <c r="I392" s="10"/>
      <c r="J392" s="11"/>
      <c r="K392" s="12"/>
      <c r="L392" s="12"/>
      <c r="M392" s="10"/>
      <c r="N392" s="10"/>
      <c r="O392" s="10"/>
      <c r="P392" s="10"/>
      <c r="Q392" s="10"/>
      <c r="R392" s="10"/>
      <c r="S392" s="10"/>
      <c r="T392" s="10"/>
      <c r="U392" s="10"/>
      <c r="V392" s="10"/>
      <c r="W392" s="10"/>
      <c r="X392" s="10"/>
      <c r="Y392" s="10"/>
      <c r="Z392" s="10"/>
      <c r="AA392" s="10"/>
      <c r="AB392" s="10"/>
      <c r="AC392" s="10"/>
      <c r="AD392" s="10"/>
      <c r="AE392" s="10"/>
      <c r="AF392" s="10"/>
    </row>
    <row r="393">
      <c r="A393" s="7"/>
      <c r="B393" s="8">
        <v>37.0</v>
      </c>
      <c r="C393" s="8">
        <v>6.0</v>
      </c>
      <c r="D393" s="8" t="s">
        <v>778</v>
      </c>
      <c r="E393" s="7">
        <v>1.0</v>
      </c>
      <c r="F393" s="7"/>
      <c r="G393" s="7" t="s">
        <v>312</v>
      </c>
      <c r="H393" s="7" t="s">
        <v>313</v>
      </c>
      <c r="I393" s="10"/>
      <c r="J393" s="11"/>
      <c r="K393" s="12"/>
      <c r="L393" s="12"/>
      <c r="M393" s="10"/>
      <c r="N393" s="10"/>
      <c r="O393" s="10"/>
      <c r="P393" s="10"/>
      <c r="Q393" s="10"/>
      <c r="R393" s="10"/>
      <c r="S393" s="10"/>
      <c r="T393" s="10"/>
      <c r="U393" s="10"/>
      <c r="V393" s="10"/>
      <c r="W393" s="10"/>
      <c r="X393" s="10"/>
      <c r="Y393" s="10"/>
      <c r="Z393" s="10"/>
      <c r="AA393" s="10"/>
      <c r="AB393" s="10"/>
      <c r="AC393" s="10"/>
      <c r="AD393" s="10"/>
      <c r="AE393" s="10"/>
      <c r="AF393" s="10"/>
    </row>
    <row r="394">
      <c r="A394" s="7"/>
      <c r="B394" s="8">
        <v>37.0</v>
      </c>
      <c r="C394" s="8">
        <v>7.0</v>
      </c>
      <c r="D394" s="8" t="s">
        <v>779</v>
      </c>
      <c r="E394" s="7">
        <v>0.0</v>
      </c>
      <c r="F394" s="7"/>
      <c r="G394" s="7" t="s">
        <v>312</v>
      </c>
      <c r="H394" s="7" t="s">
        <v>313</v>
      </c>
      <c r="I394" s="10"/>
      <c r="J394" s="19"/>
      <c r="K394" s="12"/>
      <c r="L394" s="15" t="s">
        <v>780</v>
      </c>
      <c r="M394" s="10"/>
      <c r="N394" s="10"/>
      <c r="O394" s="10"/>
      <c r="P394" s="10"/>
      <c r="Q394" s="10"/>
      <c r="R394" s="10"/>
      <c r="S394" s="10"/>
      <c r="T394" s="10"/>
      <c r="U394" s="10"/>
      <c r="V394" s="10"/>
      <c r="W394" s="10"/>
      <c r="X394" s="10"/>
      <c r="Y394" s="10"/>
      <c r="Z394" s="10"/>
      <c r="AA394" s="10"/>
      <c r="AB394" s="10"/>
      <c r="AC394" s="10"/>
      <c r="AD394" s="10"/>
      <c r="AE394" s="10"/>
      <c r="AF394" s="10"/>
    </row>
    <row r="395">
      <c r="A395" s="7"/>
      <c r="B395" s="8">
        <v>37.0</v>
      </c>
      <c r="C395" s="8">
        <v>8.0</v>
      </c>
      <c r="D395" s="8" t="s">
        <v>781</v>
      </c>
      <c r="E395" s="7">
        <v>0.0</v>
      </c>
      <c r="F395" s="7"/>
      <c r="G395" s="7" t="s">
        <v>312</v>
      </c>
      <c r="H395" s="7" t="s">
        <v>313</v>
      </c>
      <c r="I395" s="10"/>
      <c r="J395" s="11"/>
      <c r="K395" s="12"/>
      <c r="L395" s="12"/>
      <c r="M395" s="10"/>
      <c r="N395" s="10"/>
      <c r="O395" s="10"/>
      <c r="P395" s="10"/>
      <c r="Q395" s="10"/>
      <c r="R395" s="10"/>
      <c r="S395" s="10"/>
      <c r="T395" s="10"/>
      <c r="U395" s="10"/>
      <c r="V395" s="10"/>
      <c r="W395" s="10"/>
      <c r="X395" s="10"/>
      <c r="Y395" s="10"/>
      <c r="Z395" s="10"/>
      <c r="AA395" s="10"/>
      <c r="AB395" s="10"/>
      <c r="AC395" s="10"/>
      <c r="AD395" s="10"/>
      <c r="AE395" s="10"/>
      <c r="AF395" s="10"/>
    </row>
    <row r="396">
      <c r="A396" s="7"/>
      <c r="B396" s="8">
        <v>37.0</v>
      </c>
      <c r="C396" s="8">
        <v>9.0</v>
      </c>
      <c r="D396" s="8" t="s">
        <v>782</v>
      </c>
      <c r="E396" s="7">
        <v>1.0</v>
      </c>
      <c r="F396" s="7" t="s">
        <v>320</v>
      </c>
      <c r="G396" s="7" t="s">
        <v>312</v>
      </c>
      <c r="H396" s="7" t="s">
        <v>313</v>
      </c>
      <c r="I396" s="7" t="s">
        <v>366</v>
      </c>
      <c r="J396" s="9" t="s">
        <v>783</v>
      </c>
      <c r="K396" s="12"/>
      <c r="L396" s="15" t="s">
        <v>784</v>
      </c>
      <c r="M396" s="10"/>
      <c r="N396" s="10"/>
      <c r="O396" s="10"/>
      <c r="P396" s="10"/>
      <c r="Q396" s="10"/>
      <c r="R396" s="10"/>
      <c r="S396" s="10"/>
      <c r="T396" s="10"/>
      <c r="U396" s="10"/>
      <c r="V396" s="10"/>
      <c r="W396" s="10"/>
      <c r="X396" s="10"/>
      <c r="Y396" s="10"/>
      <c r="Z396" s="10"/>
      <c r="AA396" s="10"/>
      <c r="AB396" s="10"/>
      <c r="AC396" s="10"/>
      <c r="AD396" s="10"/>
      <c r="AE396" s="10"/>
      <c r="AF396" s="10"/>
    </row>
    <row r="397">
      <c r="A397" s="7"/>
      <c r="B397" s="8">
        <v>37.0</v>
      </c>
      <c r="C397" s="8">
        <v>10.0</v>
      </c>
      <c r="D397" s="8" t="s">
        <v>785</v>
      </c>
      <c r="E397" s="7">
        <v>1.0</v>
      </c>
      <c r="F397" s="7" t="s">
        <v>320</v>
      </c>
      <c r="G397" s="7" t="s">
        <v>312</v>
      </c>
      <c r="H397" s="7" t="s">
        <v>313</v>
      </c>
      <c r="I397" s="7" t="s">
        <v>366</v>
      </c>
      <c r="J397" s="9" t="s">
        <v>783</v>
      </c>
      <c r="K397" s="12"/>
      <c r="L397" s="15" t="s">
        <v>784</v>
      </c>
      <c r="M397" s="10"/>
      <c r="N397" s="10"/>
      <c r="O397" s="10"/>
      <c r="P397" s="10"/>
      <c r="Q397" s="10"/>
      <c r="R397" s="10"/>
      <c r="S397" s="10"/>
      <c r="T397" s="10"/>
      <c r="U397" s="10"/>
      <c r="V397" s="10"/>
      <c r="W397" s="10"/>
      <c r="X397" s="10"/>
      <c r="Y397" s="10"/>
      <c r="Z397" s="10"/>
      <c r="AA397" s="10"/>
      <c r="AB397" s="10"/>
      <c r="AC397" s="10"/>
      <c r="AD397" s="10"/>
      <c r="AE397" s="10"/>
      <c r="AF397" s="10"/>
    </row>
    <row r="398">
      <c r="A398" s="10"/>
      <c r="B398" s="12"/>
      <c r="C398" s="12"/>
      <c r="D398" s="12"/>
      <c r="E398" s="10"/>
      <c r="F398" s="10"/>
      <c r="G398" s="10"/>
      <c r="H398" s="10"/>
      <c r="I398" s="10"/>
      <c r="J398" s="11"/>
      <c r="K398" s="12"/>
      <c r="L398" s="12"/>
      <c r="M398" s="10"/>
      <c r="N398" s="10"/>
      <c r="O398" s="10"/>
      <c r="P398" s="10"/>
      <c r="Q398" s="10"/>
      <c r="R398" s="10"/>
      <c r="S398" s="10"/>
      <c r="T398" s="10"/>
      <c r="U398" s="10"/>
      <c r="V398" s="10"/>
      <c r="W398" s="10"/>
      <c r="X398" s="10"/>
      <c r="Y398" s="10"/>
      <c r="Z398" s="10"/>
      <c r="AA398" s="10"/>
      <c r="AB398" s="10"/>
      <c r="AC398" s="10"/>
      <c r="AD398" s="10"/>
      <c r="AE398" s="10"/>
      <c r="AF398" s="10"/>
    </row>
    <row r="399">
      <c r="A399" s="7"/>
      <c r="B399" s="8">
        <v>38.0</v>
      </c>
      <c r="C399" s="8">
        <v>1.0</v>
      </c>
      <c r="D399" s="8" t="s">
        <v>786</v>
      </c>
      <c r="E399" s="7">
        <v>0.0</v>
      </c>
      <c r="F399" s="7"/>
      <c r="G399" s="7" t="s">
        <v>312</v>
      </c>
      <c r="H399" s="10"/>
      <c r="I399" s="10"/>
      <c r="J399" s="9" t="s">
        <v>787</v>
      </c>
      <c r="K399" s="12"/>
      <c r="L399" s="12"/>
      <c r="M399" s="10"/>
      <c r="N399" s="10"/>
      <c r="O399" s="10"/>
      <c r="P399" s="10"/>
      <c r="Q399" s="10"/>
      <c r="R399" s="10"/>
      <c r="S399" s="10"/>
      <c r="T399" s="10"/>
      <c r="U399" s="10"/>
      <c r="V399" s="10"/>
      <c r="W399" s="10"/>
      <c r="X399" s="10"/>
      <c r="Y399" s="10"/>
      <c r="Z399" s="10"/>
      <c r="AA399" s="10"/>
      <c r="AB399" s="10"/>
      <c r="AC399" s="10"/>
      <c r="AD399" s="10"/>
      <c r="AE399" s="10"/>
      <c r="AF399" s="10"/>
    </row>
    <row r="400">
      <c r="A400" s="7"/>
      <c r="B400" s="8">
        <v>38.0</v>
      </c>
      <c r="C400" s="8">
        <v>2.0</v>
      </c>
      <c r="D400" s="8" t="s">
        <v>788</v>
      </c>
      <c r="E400" s="7">
        <v>0.0</v>
      </c>
      <c r="F400" s="7"/>
      <c r="G400" s="7" t="s">
        <v>312</v>
      </c>
      <c r="H400" s="7" t="s">
        <v>313</v>
      </c>
      <c r="I400" s="7" t="s">
        <v>366</v>
      </c>
      <c r="J400" s="9" t="s">
        <v>789</v>
      </c>
      <c r="K400" s="12"/>
      <c r="L400" s="12"/>
      <c r="M400" s="10"/>
      <c r="N400" s="10"/>
      <c r="O400" s="10"/>
      <c r="P400" s="10"/>
      <c r="Q400" s="10"/>
      <c r="R400" s="10"/>
      <c r="S400" s="10"/>
      <c r="T400" s="10"/>
      <c r="U400" s="10"/>
      <c r="V400" s="10"/>
      <c r="W400" s="10"/>
      <c r="X400" s="10"/>
      <c r="Y400" s="10"/>
      <c r="Z400" s="10"/>
      <c r="AA400" s="10"/>
      <c r="AB400" s="10"/>
      <c r="AC400" s="10"/>
      <c r="AD400" s="10"/>
      <c r="AE400" s="10"/>
      <c r="AF400" s="10"/>
    </row>
    <row r="401">
      <c r="A401" s="7"/>
      <c r="B401" s="8">
        <v>38.0</v>
      </c>
      <c r="C401" s="8">
        <v>3.0</v>
      </c>
      <c r="D401" s="8" t="s">
        <v>790</v>
      </c>
      <c r="E401" s="7">
        <v>1.0</v>
      </c>
      <c r="F401" s="7"/>
      <c r="G401" s="7" t="s">
        <v>312</v>
      </c>
      <c r="H401" s="7" t="s">
        <v>313</v>
      </c>
      <c r="I401" s="10"/>
      <c r="J401" s="11"/>
      <c r="K401" s="12"/>
      <c r="L401" s="12"/>
      <c r="M401" s="10"/>
      <c r="N401" s="10"/>
      <c r="O401" s="10"/>
      <c r="P401" s="10"/>
      <c r="Q401" s="10"/>
      <c r="R401" s="10"/>
      <c r="S401" s="10"/>
      <c r="T401" s="10"/>
      <c r="U401" s="10"/>
      <c r="V401" s="10"/>
      <c r="W401" s="10"/>
      <c r="X401" s="10"/>
      <c r="Y401" s="10"/>
      <c r="Z401" s="10"/>
      <c r="AA401" s="10"/>
      <c r="AB401" s="10"/>
      <c r="AC401" s="10"/>
      <c r="AD401" s="10"/>
      <c r="AE401" s="10"/>
      <c r="AF401" s="10"/>
    </row>
    <row r="402">
      <c r="A402" s="7"/>
      <c r="B402" s="8">
        <v>38.0</v>
      </c>
      <c r="C402" s="8">
        <v>4.0</v>
      </c>
      <c r="D402" s="8" t="s">
        <v>791</v>
      </c>
      <c r="E402" s="7">
        <v>0.0</v>
      </c>
      <c r="F402" s="7"/>
      <c r="G402" s="7" t="s">
        <v>312</v>
      </c>
      <c r="H402" s="7" t="s">
        <v>313</v>
      </c>
      <c r="I402" s="10"/>
      <c r="J402" s="11"/>
      <c r="K402" s="12"/>
      <c r="L402" s="12"/>
      <c r="M402" s="10"/>
      <c r="N402" s="10"/>
      <c r="O402" s="10"/>
      <c r="P402" s="10"/>
      <c r="Q402" s="10"/>
      <c r="R402" s="10"/>
      <c r="S402" s="10"/>
      <c r="T402" s="10"/>
      <c r="U402" s="10"/>
      <c r="V402" s="10"/>
      <c r="W402" s="10"/>
      <c r="X402" s="10"/>
      <c r="Y402" s="10"/>
      <c r="Z402" s="10"/>
      <c r="AA402" s="10"/>
      <c r="AB402" s="10"/>
      <c r="AC402" s="10"/>
      <c r="AD402" s="10"/>
      <c r="AE402" s="10"/>
      <c r="AF402" s="10"/>
    </row>
    <row r="403">
      <c r="A403" s="7"/>
      <c r="B403" s="8">
        <v>38.0</v>
      </c>
      <c r="C403" s="8">
        <v>5.0</v>
      </c>
      <c r="D403" s="8" t="s">
        <v>792</v>
      </c>
      <c r="E403" s="7">
        <v>0.0</v>
      </c>
      <c r="F403" s="7"/>
      <c r="G403" s="7" t="s">
        <v>312</v>
      </c>
      <c r="H403" s="7" t="s">
        <v>313</v>
      </c>
      <c r="I403" s="7" t="s">
        <v>366</v>
      </c>
      <c r="J403" s="16" t="s">
        <v>793</v>
      </c>
      <c r="K403" s="12"/>
      <c r="L403" s="12"/>
      <c r="M403" s="10"/>
      <c r="N403" s="10"/>
      <c r="O403" s="10"/>
      <c r="P403" s="10"/>
      <c r="Q403" s="10"/>
      <c r="R403" s="10"/>
      <c r="S403" s="10"/>
      <c r="T403" s="10"/>
      <c r="U403" s="10"/>
      <c r="V403" s="10"/>
      <c r="W403" s="10"/>
      <c r="X403" s="10"/>
      <c r="Y403" s="10"/>
      <c r="Z403" s="10"/>
      <c r="AA403" s="10"/>
      <c r="AB403" s="10"/>
      <c r="AC403" s="10"/>
      <c r="AD403" s="10"/>
      <c r="AE403" s="10"/>
      <c r="AF403" s="10"/>
    </row>
    <row r="404">
      <c r="A404" s="7"/>
      <c r="B404" s="8">
        <v>38.0</v>
      </c>
      <c r="C404" s="8">
        <v>6.0</v>
      </c>
      <c r="D404" s="8" t="s">
        <v>794</v>
      </c>
      <c r="E404" s="7">
        <v>1.0</v>
      </c>
      <c r="F404" s="7"/>
      <c r="G404" s="7" t="s">
        <v>312</v>
      </c>
      <c r="H404" s="7" t="s">
        <v>313</v>
      </c>
      <c r="I404" s="10"/>
      <c r="J404" s="11"/>
      <c r="K404" s="12"/>
      <c r="L404" s="12"/>
      <c r="M404" s="10"/>
      <c r="N404" s="10"/>
      <c r="O404" s="10"/>
      <c r="P404" s="10"/>
      <c r="Q404" s="10"/>
      <c r="R404" s="10"/>
      <c r="S404" s="10"/>
      <c r="T404" s="10"/>
      <c r="U404" s="10"/>
      <c r="V404" s="10"/>
      <c r="W404" s="10"/>
      <c r="X404" s="10"/>
      <c r="Y404" s="10"/>
      <c r="Z404" s="10"/>
      <c r="AA404" s="10"/>
      <c r="AB404" s="10"/>
      <c r="AC404" s="10"/>
      <c r="AD404" s="10"/>
      <c r="AE404" s="10"/>
      <c r="AF404" s="10"/>
    </row>
    <row r="405">
      <c r="A405" s="7"/>
      <c r="B405" s="8">
        <v>38.0</v>
      </c>
      <c r="C405" s="8">
        <v>7.0</v>
      </c>
      <c r="D405" s="8" t="s">
        <v>795</v>
      </c>
      <c r="E405" s="7">
        <v>0.0</v>
      </c>
      <c r="F405" s="7"/>
      <c r="G405" s="7" t="s">
        <v>312</v>
      </c>
      <c r="H405" s="7" t="s">
        <v>313</v>
      </c>
      <c r="I405" s="10"/>
      <c r="J405" s="11"/>
      <c r="K405" s="12"/>
      <c r="L405" s="12"/>
      <c r="M405" s="10"/>
      <c r="N405" s="10"/>
      <c r="O405" s="10"/>
      <c r="P405" s="10"/>
      <c r="Q405" s="10"/>
      <c r="R405" s="10"/>
      <c r="S405" s="10"/>
      <c r="T405" s="10"/>
      <c r="U405" s="10"/>
      <c r="V405" s="10"/>
      <c r="W405" s="10"/>
      <c r="X405" s="10"/>
      <c r="Y405" s="10"/>
      <c r="Z405" s="10"/>
      <c r="AA405" s="10"/>
      <c r="AB405" s="10"/>
      <c r="AC405" s="10"/>
      <c r="AD405" s="10"/>
      <c r="AE405" s="10"/>
      <c r="AF405" s="10"/>
    </row>
    <row r="406">
      <c r="A406" s="7"/>
      <c r="B406" s="8">
        <v>38.0</v>
      </c>
      <c r="C406" s="8">
        <v>8.0</v>
      </c>
      <c r="D406" s="8" t="s">
        <v>796</v>
      </c>
      <c r="E406" s="7">
        <v>1.0</v>
      </c>
      <c r="F406" s="7" t="s">
        <v>320</v>
      </c>
      <c r="G406" s="7" t="s">
        <v>312</v>
      </c>
      <c r="H406" s="7" t="s">
        <v>313</v>
      </c>
      <c r="I406" s="7" t="s">
        <v>366</v>
      </c>
      <c r="J406" s="11"/>
      <c r="K406" s="12"/>
      <c r="L406" s="12"/>
      <c r="M406" s="10"/>
      <c r="N406" s="10"/>
      <c r="O406" s="10"/>
      <c r="P406" s="10"/>
      <c r="Q406" s="10"/>
      <c r="R406" s="10"/>
      <c r="S406" s="10"/>
      <c r="T406" s="10"/>
      <c r="U406" s="10"/>
      <c r="V406" s="10"/>
      <c r="W406" s="10"/>
      <c r="X406" s="10"/>
      <c r="Y406" s="10"/>
      <c r="Z406" s="10"/>
      <c r="AA406" s="10"/>
      <c r="AB406" s="10"/>
      <c r="AC406" s="10"/>
      <c r="AD406" s="10"/>
      <c r="AE406" s="10"/>
      <c r="AF406" s="10"/>
    </row>
    <row r="407">
      <c r="A407" s="7"/>
      <c r="B407" s="8">
        <v>38.0</v>
      </c>
      <c r="C407" s="8">
        <v>9.0</v>
      </c>
      <c r="D407" s="8" t="s">
        <v>797</v>
      </c>
      <c r="E407" s="7">
        <v>0.0</v>
      </c>
      <c r="F407" s="7"/>
      <c r="G407" s="7" t="s">
        <v>312</v>
      </c>
      <c r="H407" s="7" t="s">
        <v>313</v>
      </c>
      <c r="I407" s="10"/>
      <c r="J407" s="11"/>
      <c r="K407" s="12"/>
      <c r="L407" s="12"/>
      <c r="M407" s="10"/>
      <c r="N407" s="10"/>
      <c r="O407" s="10"/>
      <c r="P407" s="10"/>
      <c r="Q407" s="10"/>
      <c r="R407" s="10"/>
      <c r="S407" s="10"/>
      <c r="T407" s="10"/>
      <c r="U407" s="10"/>
      <c r="V407" s="10"/>
      <c r="W407" s="10"/>
      <c r="X407" s="10"/>
      <c r="Y407" s="10"/>
      <c r="Z407" s="10"/>
      <c r="AA407" s="10"/>
      <c r="AB407" s="10"/>
      <c r="AC407" s="10"/>
      <c r="AD407" s="10"/>
      <c r="AE407" s="10"/>
      <c r="AF407" s="10"/>
    </row>
    <row r="408">
      <c r="A408" s="7"/>
      <c r="B408" s="8">
        <v>38.0</v>
      </c>
      <c r="C408" s="8">
        <v>10.0</v>
      </c>
      <c r="D408" s="8" t="s">
        <v>798</v>
      </c>
      <c r="E408" s="7">
        <v>1.0</v>
      </c>
      <c r="F408" s="7" t="s">
        <v>320</v>
      </c>
      <c r="G408" s="7" t="s">
        <v>312</v>
      </c>
      <c r="H408" s="7" t="s">
        <v>313</v>
      </c>
      <c r="I408" s="7" t="s">
        <v>366</v>
      </c>
      <c r="J408" s="11"/>
      <c r="K408" s="12"/>
      <c r="L408" s="12"/>
      <c r="M408" s="10"/>
      <c r="N408" s="10"/>
      <c r="O408" s="10"/>
      <c r="P408" s="10"/>
      <c r="Q408" s="10"/>
      <c r="R408" s="10"/>
      <c r="S408" s="10"/>
      <c r="T408" s="10"/>
      <c r="U408" s="10"/>
      <c r="V408" s="10"/>
      <c r="W408" s="10"/>
      <c r="X408" s="10"/>
      <c r="Y408" s="10"/>
      <c r="Z408" s="10"/>
      <c r="AA408" s="10"/>
      <c r="AB408" s="10"/>
      <c r="AC408" s="10"/>
      <c r="AD408" s="10"/>
      <c r="AE408" s="10"/>
      <c r="AF408" s="10"/>
    </row>
    <row r="409">
      <c r="A409" s="10"/>
      <c r="B409" s="12"/>
      <c r="C409" s="12"/>
      <c r="D409" s="12"/>
      <c r="E409" s="10"/>
      <c r="F409" s="10"/>
      <c r="G409" s="10"/>
      <c r="H409" s="10"/>
      <c r="I409" s="10"/>
      <c r="J409" s="11"/>
      <c r="K409" s="12"/>
      <c r="L409" s="12"/>
      <c r="M409" s="10"/>
      <c r="N409" s="10"/>
      <c r="O409" s="10"/>
      <c r="P409" s="10"/>
      <c r="Q409" s="10"/>
      <c r="R409" s="10"/>
      <c r="S409" s="10"/>
      <c r="T409" s="10"/>
      <c r="U409" s="10"/>
      <c r="V409" s="10"/>
      <c r="W409" s="10"/>
      <c r="X409" s="10"/>
      <c r="Y409" s="10"/>
      <c r="Z409" s="10"/>
      <c r="AA409" s="10"/>
      <c r="AB409" s="10"/>
      <c r="AC409" s="10"/>
      <c r="AD409" s="10"/>
      <c r="AE409" s="10"/>
      <c r="AF409" s="10"/>
    </row>
    <row r="410">
      <c r="A410" s="7"/>
      <c r="B410" s="8">
        <v>39.0</v>
      </c>
      <c r="C410" s="8">
        <v>1.0</v>
      </c>
      <c r="D410" s="8" t="s">
        <v>799</v>
      </c>
      <c r="E410" s="7">
        <v>0.0</v>
      </c>
      <c r="F410" s="7"/>
      <c r="G410" s="7" t="s">
        <v>312</v>
      </c>
      <c r="H410" s="7" t="s">
        <v>313</v>
      </c>
      <c r="I410" s="10"/>
      <c r="J410" s="11"/>
      <c r="K410" s="12"/>
      <c r="L410" s="12"/>
      <c r="M410" s="10"/>
      <c r="N410" s="10"/>
      <c r="O410" s="10"/>
      <c r="P410" s="10"/>
      <c r="Q410" s="10"/>
      <c r="R410" s="10"/>
      <c r="S410" s="10"/>
      <c r="T410" s="10"/>
      <c r="U410" s="10"/>
      <c r="V410" s="10"/>
      <c r="W410" s="10"/>
      <c r="X410" s="10"/>
      <c r="Y410" s="10"/>
      <c r="Z410" s="10"/>
      <c r="AA410" s="10"/>
      <c r="AB410" s="10"/>
      <c r="AC410" s="10"/>
      <c r="AD410" s="10"/>
      <c r="AE410" s="10"/>
      <c r="AF410" s="10"/>
    </row>
    <row r="411">
      <c r="A411" s="10"/>
      <c r="B411" s="12"/>
      <c r="C411" s="12"/>
      <c r="D411" s="12"/>
      <c r="E411" s="10"/>
      <c r="F411" s="10"/>
      <c r="G411" s="10"/>
      <c r="H411" s="10"/>
      <c r="I411" s="10"/>
      <c r="J411" s="11"/>
      <c r="K411" s="12"/>
      <c r="L411" s="12"/>
      <c r="M411" s="10"/>
      <c r="N411" s="10"/>
      <c r="O411" s="10"/>
      <c r="P411" s="10"/>
      <c r="Q411" s="10"/>
      <c r="R411" s="10"/>
      <c r="S411" s="10"/>
      <c r="T411" s="10"/>
      <c r="U411" s="10"/>
      <c r="V411" s="10"/>
      <c r="W411" s="10"/>
      <c r="X411" s="10"/>
      <c r="Y411" s="10"/>
      <c r="Z411" s="10"/>
      <c r="AA411" s="10"/>
      <c r="AB411" s="10"/>
      <c r="AC411" s="10"/>
      <c r="AD411" s="10"/>
      <c r="AE411" s="10"/>
      <c r="AF411" s="10"/>
    </row>
    <row r="412">
      <c r="A412" s="7"/>
      <c r="B412" s="8">
        <v>40.0</v>
      </c>
      <c r="C412" s="8">
        <v>1.0</v>
      </c>
      <c r="D412" s="8" t="s">
        <v>800</v>
      </c>
      <c r="E412" s="7">
        <v>0.0</v>
      </c>
      <c r="F412" s="7"/>
      <c r="G412" s="7" t="s">
        <v>312</v>
      </c>
      <c r="H412" s="7" t="s">
        <v>313</v>
      </c>
      <c r="I412" s="10"/>
      <c r="J412" s="11"/>
      <c r="K412" s="12"/>
      <c r="L412" s="12"/>
      <c r="M412" s="10"/>
      <c r="N412" s="10"/>
      <c r="O412" s="10"/>
      <c r="P412" s="10"/>
      <c r="Q412" s="10"/>
      <c r="R412" s="10"/>
      <c r="S412" s="10"/>
      <c r="T412" s="10"/>
      <c r="U412" s="10"/>
      <c r="V412" s="10"/>
      <c r="W412" s="10"/>
      <c r="X412" s="10"/>
      <c r="Y412" s="10"/>
      <c r="Z412" s="10"/>
      <c r="AA412" s="10"/>
      <c r="AB412" s="10"/>
      <c r="AC412" s="10"/>
      <c r="AD412" s="10"/>
      <c r="AE412" s="10"/>
      <c r="AF412" s="10"/>
    </row>
    <row r="413">
      <c r="A413" s="10"/>
      <c r="B413" s="12"/>
      <c r="C413" s="12"/>
      <c r="D413" s="12"/>
      <c r="E413" s="10"/>
      <c r="F413" s="10"/>
      <c r="G413" s="10"/>
      <c r="H413" s="10"/>
      <c r="I413" s="10"/>
      <c r="J413" s="11"/>
      <c r="K413" s="12"/>
      <c r="L413" s="12"/>
      <c r="M413" s="10"/>
      <c r="N413" s="10"/>
      <c r="O413" s="10"/>
      <c r="P413" s="10"/>
      <c r="Q413" s="10"/>
      <c r="R413" s="10"/>
      <c r="S413" s="10"/>
      <c r="T413" s="10"/>
      <c r="U413" s="10"/>
      <c r="V413" s="10"/>
      <c r="W413" s="10"/>
      <c r="X413" s="10"/>
      <c r="Y413" s="10"/>
      <c r="Z413" s="10"/>
      <c r="AA413" s="10"/>
      <c r="AB413" s="10"/>
      <c r="AC413" s="10"/>
      <c r="AD413" s="10"/>
      <c r="AE413" s="10"/>
      <c r="AF413" s="10"/>
    </row>
    <row r="414">
      <c r="A414" s="7"/>
      <c r="B414" s="8">
        <v>41.0</v>
      </c>
      <c r="C414" s="8">
        <v>1.0</v>
      </c>
      <c r="D414" s="8" t="s">
        <v>801</v>
      </c>
      <c r="E414" s="7">
        <v>0.0</v>
      </c>
      <c r="F414" s="7"/>
      <c r="G414" s="7" t="s">
        <v>312</v>
      </c>
      <c r="H414" s="7" t="s">
        <v>313</v>
      </c>
      <c r="I414" s="10"/>
      <c r="J414" s="11"/>
      <c r="K414" s="12"/>
      <c r="L414" s="12"/>
      <c r="M414" s="10"/>
      <c r="N414" s="10"/>
      <c r="O414" s="10"/>
      <c r="P414" s="10"/>
      <c r="Q414" s="10"/>
      <c r="R414" s="10"/>
      <c r="S414" s="10"/>
      <c r="T414" s="10"/>
      <c r="U414" s="10"/>
      <c r="V414" s="10"/>
      <c r="W414" s="10"/>
      <c r="X414" s="10"/>
      <c r="Y414" s="10"/>
      <c r="Z414" s="10"/>
      <c r="AA414" s="10"/>
      <c r="AB414" s="10"/>
      <c r="AC414" s="10"/>
      <c r="AD414" s="10"/>
      <c r="AE414" s="10"/>
      <c r="AF414" s="10"/>
    </row>
    <row r="415">
      <c r="A415" s="10"/>
      <c r="B415" s="12"/>
      <c r="C415" s="12"/>
      <c r="D415" s="12"/>
      <c r="E415" s="10"/>
      <c r="F415" s="10"/>
      <c r="G415" s="10"/>
      <c r="H415" s="10"/>
      <c r="I415" s="10"/>
      <c r="J415" s="11"/>
      <c r="K415" s="12"/>
      <c r="L415" s="12"/>
      <c r="M415" s="10"/>
      <c r="N415" s="10"/>
      <c r="O415" s="10"/>
      <c r="P415" s="10"/>
      <c r="Q415" s="10"/>
      <c r="R415" s="10"/>
      <c r="S415" s="10"/>
      <c r="T415" s="10"/>
      <c r="U415" s="10"/>
      <c r="V415" s="10"/>
      <c r="W415" s="10"/>
      <c r="X415" s="10"/>
      <c r="Y415" s="10"/>
      <c r="Z415" s="10"/>
      <c r="AA415" s="10"/>
      <c r="AB415" s="10"/>
      <c r="AC415" s="10"/>
      <c r="AD415" s="10"/>
      <c r="AE415" s="10"/>
      <c r="AF415" s="10"/>
    </row>
    <row r="416">
      <c r="A416" s="7"/>
      <c r="B416" s="8">
        <v>42.0</v>
      </c>
      <c r="C416" s="8">
        <v>1.0</v>
      </c>
      <c r="D416" s="8" t="s">
        <v>802</v>
      </c>
      <c r="E416" s="7">
        <v>0.0</v>
      </c>
      <c r="F416" s="7"/>
      <c r="G416" s="7" t="s">
        <v>312</v>
      </c>
      <c r="H416" s="7" t="s">
        <v>313</v>
      </c>
      <c r="I416" s="10"/>
      <c r="J416" s="11"/>
      <c r="K416" s="12"/>
      <c r="L416" s="12"/>
      <c r="M416" s="10"/>
      <c r="N416" s="10"/>
      <c r="O416" s="10"/>
      <c r="P416" s="10"/>
      <c r="Q416" s="10"/>
      <c r="R416" s="10"/>
      <c r="S416" s="10"/>
      <c r="T416" s="10"/>
      <c r="U416" s="10"/>
      <c r="V416" s="10"/>
      <c r="W416" s="10"/>
      <c r="X416" s="10"/>
      <c r="Y416" s="10"/>
      <c r="Z416" s="10"/>
      <c r="AA416" s="10"/>
      <c r="AB416" s="10"/>
      <c r="AC416" s="10"/>
      <c r="AD416" s="10"/>
      <c r="AE416" s="10"/>
      <c r="AF416" s="10"/>
    </row>
    <row r="417">
      <c r="A417" s="10"/>
      <c r="B417" s="12"/>
      <c r="C417" s="12"/>
      <c r="D417" s="12"/>
      <c r="E417" s="10"/>
      <c r="F417" s="10"/>
      <c r="G417" s="10"/>
      <c r="H417" s="10"/>
      <c r="I417" s="10"/>
      <c r="J417" s="11"/>
      <c r="K417" s="12"/>
      <c r="L417" s="12"/>
      <c r="M417" s="10"/>
      <c r="N417" s="10"/>
      <c r="O417" s="10"/>
      <c r="P417" s="10"/>
      <c r="Q417" s="10"/>
      <c r="R417" s="10"/>
      <c r="S417" s="10"/>
      <c r="T417" s="10"/>
      <c r="U417" s="10"/>
      <c r="V417" s="10"/>
      <c r="W417" s="10"/>
      <c r="X417" s="10"/>
      <c r="Y417" s="10"/>
      <c r="Z417" s="10"/>
      <c r="AA417" s="10"/>
      <c r="AB417" s="10"/>
      <c r="AC417" s="10"/>
      <c r="AD417" s="10"/>
      <c r="AE417" s="10"/>
      <c r="AF417" s="10"/>
    </row>
    <row r="418">
      <c r="A418" s="7"/>
      <c r="B418" s="8">
        <v>43.0</v>
      </c>
      <c r="C418" s="8">
        <v>1.0</v>
      </c>
      <c r="D418" s="8" t="s">
        <v>803</v>
      </c>
      <c r="E418" s="7">
        <v>0.0</v>
      </c>
      <c r="F418" s="7"/>
      <c r="G418" s="7" t="s">
        <v>312</v>
      </c>
      <c r="H418" s="7" t="s">
        <v>313</v>
      </c>
      <c r="I418" s="10"/>
      <c r="J418" s="11"/>
      <c r="K418" s="12"/>
      <c r="L418" s="12"/>
      <c r="M418" s="10"/>
      <c r="N418" s="10"/>
      <c r="O418" s="10"/>
      <c r="P418" s="10"/>
      <c r="Q418" s="10"/>
      <c r="R418" s="10"/>
      <c r="S418" s="10"/>
      <c r="T418" s="10"/>
      <c r="U418" s="10"/>
      <c r="V418" s="10"/>
      <c r="W418" s="10"/>
      <c r="X418" s="10"/>
      <c r="Y418" s="10"/>
      <c r="Z418" s="10"/>
      <c r="AA418" s="10"/>
      <c r="AB418" s="10"/>
      <c r="AC418" s="10"/>
      <c r="AD418" s="10"/>
      <c r="AE418" s="10"/>
      <c r="AF418" s="10"/>
    </row>
    <row r="419">
      <c r="A419" s="10"/>
      <c r="B419" s="12"/>
      <c r="C419" s="12"/>
      <c r="D419" s="12"/>
      <c r="E419" s="10"/>
      <c r="F419" s="10"/>
      <c r="G419" s="10"/>
      <c r="H419" s="10"/>
      <c r="I419" s="10"/>
      <c r="J419" s="11"/>
      <c r="K419" s="12"/>
      <c r="L419" s="12"/>
      <c r="M419" s="10"/>
      <c r="N419" s="10"/>
      <c r="O419" s="10"/>
      <c r="P419" s="10"/>
      <c r="Q419" s="10"/>
      <c r="R419" s="10"/>
      <c r="S419" s="10"/>
      <c r="T419" s="10"/>
      <c r="U419" s="10"/>
      <c r="V419" s="10"/>
      <c r="W419" s="10"/>
      <c r="X419" s="10"/>
      <c r="Y419" s="10"/>
      <c r="Z419" s="10"/>
      <c r="AA419" s="10"/>
      <c r="AB419" s="10"/>
      <c r="AC419" s="10"/>
      <c r="AD419" s="10"/>
      <c r="AE419" s="10"/>
      <c r="AF419" s="10"/>
    </row>
    <row r="420">
      <c r="A420" s="7"/>
      <c r="B420" s="8">
        <v>44.0</v>
      </c>
      <c r="C420" s="8">
        <v>1.0</v>
      </c>
      <c r="D420" s="8" t="s">
        <v>804</v>
      </c>
      <c r="E420" s="7">
        <v>0.0</v>
      </c>
      <c r="F420" s="7"/>
      <c r="G420" s="7" t="s">
        <v>312</v>
      </c>
      <c r="H420" s="7" t="s">
        <v>313</v>
      </c>
      <c r="I420" s="10"/>
      <c r="J420" s="11"/>
      <c r="K420" s="12"/>
      <c r="L420" s="12"/>
      <c r="M420" s="10"/>
      <c r="N420" s="10"/>
      <c r="O420" s="10"/>
      <c r="P420" s="10"/>
      <c r="Q420" s="10"/>
      <c r="R420" s="10"/>
      <c r="S420" s="10"/>
      <c r="T420" s="10"/>
      <c r="U420" s="10"/>
      <c r="V420" s="10"/>
      <c r="W420" s="10"/>
      <c r="X420" s="10"/>
      <c r="Y420" s="10"/>
      <c r="Z420" s="10"/>
      <c r="AA420" s="10"/>
      <c r="AB420" s="10"/>
      <c r="AC420" s="10"/>
      <c r="AD420" s="10"/>
      <c r="AE420" s="10"/>
      <c r="AF420" s="10"/>
    </row>
    <row r="421">
      <c r="A421" s="10"/>
      <c r="B421" s="12"/>
      <c r="C421" s="12"/>
      <c r="D421" s="12"/>
      <c r="E421" s="10"/>
      <c r="F421" s="10"/>
      <c r="G421" s="10"/>
      <c r="H421" s="10"/>
      <c r="I421" s="10"/>
      <c r="J421" s="11"/>
      <c r="K421" s="12"/>
      <c r="L421" s="12"/>
      <c r="M421" s="10"/>
      <c r="N421" s="10"/>
      <c r="O421" s="10"/>
      <c r="P421" s="10"/>
      <c r="Q421" s="10"/>
      <c r="R421" s="10"/>
      <c r="S421" s="10"/>
      <c r="T421" s="10"/>
      <c r="U421" s="10"/>
      <c r="V421" s="10"/>
      <c r="W421" s="10"/>
      <c r="X421" s="10"/>
      <c r="Y421" s="10"/>
      <c r="Z421" s="10"/>
      <c r="AA421" s="10"/>
      <c r="AB421" s="10"/>
      <c r="AC421" s="10"/>
      <c r="AD421" s="10"/>
      <c r="AE421" s="10"/>
      <c r="AF421" s="10"/>
    </row>
    <row r="422">
      <c r="A422" s="7"/>
      <c r="B422" s="8">
        <v>45.0</v>
      </c>
      <c r="C422" s="8">
        <v>1.0</v>
      </c>
      <c r="D422" s="8" t="s">
        <v>805</v>
      </c>
      <c r="E422" s="7">
        <v>0.0</v>
      </c>
      <c r="F422" s="7"/>
      <c r="G422" s="7" t="s">
        <v>312</v>
      </c>
      <c r="H422" s="7" t="s">
        <v>313</v>
      </c>
      <c r="I422" s="10"/>
      <c r="J422" s="11"/>
      <c r="K422" s="12"/>
      <c r="L422" s="12"/>
      <c r="M422" s="10"/>
      <c r="N422" s="10"/>
      <c r="O422" s="10"/>
      <c r="P422" s="10"/>
      <c r="Q422" s="10"/>
      <c r="R422" s="10"/>
      <c r="S422" s="10"/>
      <c r="T422" s="10"/>
      <c r="U422" s="10"/>
      <c r="V422" s="10"/>
      <c r="W422" s="10"/>
      <c r="X422" s="10"/>
      <c r="Y422" s="10"/>
      <c r="Z422" s="10"/>
      <c r="AA422" s="10"/>
      <c r="AB422" s="10"/>
      <c r="AC422" s="10"/>
      <c r="AD422" s="10"/>
      <c r="AE422" s="10"/>
      <c r="AF422" s="10"/>
    </row>
    <row r="423">
      <c r="A423" s="10"/>
      <c r="B423" s="12"/>
      <c r="C423" s="12"/>
      <c r="D423" s="12"/>
      <c r="E423" s="10"/>
      <c r="F423" s="10"/>
      <c r="G423" s="10"/>
      <c r="H423" s="10"/>
      <c r="I423" s="10"/>
      <c r="J423" s="11"/>
      <c r="K423" s="12"/>
      <c r="L423" s="12"/>
      <c r="M423" s="10"/>
      <c r="N423" s="10"/>
      <c r="O423" s="10"/>
      <c r="P423" s="10"/>
      <c r="Q423" s="10"/>
      <c r="R423" s="10"/>
      <c r="S423" s="10"/>
      <c r="T423" s="10"/>
      <c r="U423" s="10"/>
      <c r="V423" s="10"/>
      <c r="W423" s="10"/>
      <c r="X423" s="10"/>
      <c r="Y423" s="10"/>
      <c r="Z423" s="10"/>
      <c r="AA423" s="10"/>
      <c r="AB423" s="10"/>
      <c r="AC423" s="10"/>
      <c r="AD423" s="10"/>
      <c r="AE423" s="10"/>
      <c r="AF423" s="10"/>
    </row>
    <row r="424">
      <c r="A424" s="7"/>
      <c r="B424" s="8">
        <v>46.0</v>
      </c>
      <c r="C424" s="8">
        <v>1.0</v>
      </c>
      <c r="D424" s="8" t="s">
        <v>806</v>
      </c>
      <c r="E424" s="7">
        <v>0.0</v>
      </c>
      <c r="F424" s="7"/>
      <c r="G424" s="7" t="s">
        <v>312</v>
      </c>
      <c r="H424" s="7" t="s">
        <v>313</v>
      </c>
      <c r="I424" s="10"/>
      <c r="J424" s="9" t="s">
        <v>807</v>
      </c>
      <c r="K424" s="8" t="s">
        <v>808</v>
      </c>
      <c r="L424" s="12"/>
      <c r="M424" s="10"/>
      <c r="N424" s="10"/>
      <c r="O424" s="10"/>
      <c r="P424" s="10"/>
      <c r="Q424" s="10"/>
      <c r="R424" s="10"/>
      <c r="S424" s="10"/>
      <c r="T424" s="10"/>
      <c r="U424" s="10"/>
      <c r="V424" s="10"/>
      <c r="W424" s="10"/>
      <c r="X424" s="10"/>
      <c r="Y424" s="10"/>
      <c r="Z424" s="10"/>
      <c r="AA424" s="10"/>
      <c r="AB424" s="10"/>
      <c r="AC424" s="10"/>
      <c r="AD424" s="10"/>
      <c r="AE424" s="10"/>
      <c r="AF424" s="10"/>
    </row>
    <row r="425">
      <c r="A425" s="7"/>
      <c r="B425" s="8">
        <v>46.0</v>
      </c>
      <c r="C425" s="8">
        <v>2.0</v>
      </c>
      <c r="D425" s="8" t="s">
        <v>809</v>
      </c>
      <c r="E425" s="7">
        <v>0.0</v>
      </c>
      <c r="F425" s="7"/>
      <c r="G425" s="7" t="s">
        <v>312</v>
      </c>
      <c r="H425" s="7" t="s">
        <v>313</v>
      </c>
      <c r="I425" s="10"/>
      <c r="J425" s="9" t="s">
        <v>810</v>
      </c>
      <c r="K425" s="8" t="s">
        <v>811</v>
      </c>
      <c r="L425" s="12"/>
      <c r="M425" s="10"/>
      <c r="N425" s="10"/>
      <c r="O425" s="10"/>
      <c r="P425" s="10"/>
      <c r="Q425" s="10"/>
      <c r="R425" s="10"/>
      <c r="S425" s="10"/>
      <c r="T425" s="10"/>
      <c r="U425" s="10"/>
      <c r="V425" s="10"/>
      <c r="W425" s="10"/>
      <c r="X425" s="10"/>
      <c r="Y425" s="10"/>
      <c r="Z425" s="10"/>
      <c r="AA425" s="10"/>
      <c r="AB425" s="10"/>
      <c r="AC425" s="10"/>
      <c r="AD425" s="10"/>
      <c r="AE425" s="10"/>
      <c r="AF425" s="10"/>
    </row>
    <row r="426">
      <c r="A426" s="7"/>
      <c r="B426" s="8">
        <v>46.0</v>
      </c>
      <c r="C426" s="8">
        <v>3.0</v>
      </c>
      <c r="D426" s="8" t="s">
        <v>812</v>
      </c>
      <c r="E426" s="7">
        <v>0.0</v>
      </c>
      <c r="F426" s="7"/>
      <c r="G426" s="7" t="s">
        <v>312</v>
      </c>
      <c r="H426" s="7" t="s">
        <v>313</v>
      </c>
      <c r="I426" s="10"/>
      <c r="J426" s="11"/>
      <c r="K426" s="8" t="s">
        <v>811</v>
      </c>
      <c r="L426" s="12"/>
      <c r="M426" s="10"/>
      <c r="N426" s="10"/>
      <c r="O426" s="10"/>
      <c r="P426" s="10"/>
      <c r="Q426" s="10"/>
      <c r="R426" s="10"/>
      <c r="S426" s="10"/>
      <c r="T426" s="10"/>
      <c r="U426" s="10"/>
      <c r="V426" s="10"/>
      <c r="W426" s="10"/>
      <c r="X426" s="10"/>
      <c r="Y426" s="10"/>
      <c r="Z426" s="10"/>
      <c r="AA426" s="10"/>
      <c r="AB426" s="10"/>
      <c r="AC426" s="10"/>
      <c r="AD426" s="10"/>
      <c r="AE426" s="10"/>
      <c r="AF426" s="10"/>
    </row>
    <row r="427">
      <c r="A427" s="7"/>
      <c r="B427" s="8">
        <v>46.0</v>
      </c>
      <c r="C427" s="8">
        <v>4.0</v>
      </c>
      <c r="D427" s="8" t="s">
        <v>813</v>
      </c>
      <c r="E427" s="7">
        <v>1.0</v>
      </c>
      <c r="F427" s="7"/>
      <c r="G427" s="7" t="s">
        <v>312</v>
      </c>
      <c r="H427" s="7" t="s">
        <v>313</v>
      </c>
      <c r="I427" s="10"/>
      <c r="J427" s="11"/>
      <c r="K427" s="12"/>
      <c r="L427" s="12"/>
      <c r="M427" s="10"/>
      <c r="N427" s="10"/>
      <c r="O427" s="10"/>
      <c r="P427" s="10"/>
      <c r="Q427" s="10"/>
      <c r="R427" s="10"/>
      <c r="S427" s="10"/>
      <c r="T427" s="10"/>
      <c r="U427" s="10"/>
      <c r="V427" s="10"/>
      <c r="W427" s="10"/>
      <c r="X427" s="10"/>
      <c r="Y427" s="10"/>
      <c r="Z427" s="10"/>
      <c r="AA427" s="10"/>
      <c r="AB427" s="10"/>
      <c r="AC427" s="10"/>
      <c r="AD427" s="10"/>
      <c r="AE427" s="10"/>
      <c r="AF427" s="10"/>
    </row>
    <row r="428">
      <c r="A428" s="7"/>
      <c r="B428" s="8">
        <v>46.0</v>
      </c>
      <c r="C428" s="8">
        <v>5.0</v>
      </c>
      <c r="D428" s="8" t="s">
        <v>814</v>
      </c>
      <c r="E428" s="7">
        <v>1.0</v>
      </c>
      <c r="F428" s="7"/>
      <c r="G428" s="7" t="s">
        <v>312</v>
      </c>
      <c r="H428" s="7" t="s">
        <v>313</v>
      </c>
      <c r="I428" s="10"/>
      <c r="J428" s="11"/>
      <c r="K428" s="12"/>
      <c r="L428" s="12"/>
      <c r="M428" s="10"/>
      <c r="N428" s="10"/>
      <c r="O428" s="10"/>
      <c r="P428" s="10"/>
      <c r="Q428" s="10"/>
      <c r="R428" s="10"/>
      <c r="S428" s="10"/>
      <c r="T428" s="10"/>
      <c r="U428" s="10"/>
      <c r="V428" s="10"/>
      <c r="W428" s="10"/>
      <c r="X428" s="10"/>
      <c r="Y428" s="10"/>
      <c r="Z428" s="10"/>
      <c r="AA428" s="10"/>
      <c r="AB428" s="10"/>
      <c r="AC428" s="10"/>
      <c r="AD428" s="10"/>
      <c r="AE428" s="10"/>
      <c r="AF428" s="10"/>
    </row>
    <row r="429">
      <c r="A429" s="7"/>
      <c r="B429" s="8">
        <v>46.0</v>
      </c>
      <c r="C429" s="8">
        <v>6.0</v>
      </c>
      <c r="D429" s="8" t="s">
        <v>815</v>
      </c>
      <c r="E429" s="7">
        <v>0.0</v>
      </c>
      <c r="F429" s="7"/>
      <c r="G429" s="7" t="s">
        <v>312</v>
      </c>
      <c r="H429" s="7" t="s">
        <v>313</v>
      </c>
      <c r="I429" s="10"/>
      <c r="J429" s="11"/>
      <c r="K429" s="12"/>
      <c r="L429" s="12"/>
      <c r="M429" s="10"/>
      <c r="N429" s="10"/>
      <c r="O429" s="10"/>
      <c r="P429" s="10"/>
      <c r="Q429" s="10"/>
      <c r="R429" s="10"/>
      <c r="S429" s="10"/>
      <c r="T429" s="10"/>
      <c r="U429" s="10"/>
      <c r="V429" s="10"/>
      <c r="W429" s="10"/>
      <c r="X429" s="10"/>
      <c r="Y429" s="10"/>
      <c r="Z429" s="10"/>
      <c r="AA429" s="10"/>
      <c r="AB429" s="10"/>
      <c r="AC429" s="10"/>
      <c r="AD429" s="10"/>
      <c r="AE429" s="10"/>
      <c r="AF429" s="10"/>
    </row>
    <row r="430">
      <c r="A430" s="10"/>
      <c r="B430" s="12"/>
      <c r="C430" s="12"/>
      <c r="D430" s="12"/>
      <c r="E430" s="10"/>
      <c r="F430" s="10"/>
      <c r="G430" s="10"/>
      <c r="H430" s="10"/>
      <c r="I430" s="10"/>
      <c r="J430" s="11"/>
      <c r="K430" s="12"/>
      <c r="L430" s="12"/>
      <c r="M430" s="10"/>
      <c r="N430" s="10"/>
      <c r="O430" s="10"/>
      <c r="P430" s="10"/>
      <c r="Q430" s="10"/>
      <c r="R430" s="10"/>
      <c r="S430" s="10"/>
      <c r="T430" s="10"/>
      <c r="U430" s="10"/>
      <c r="V430" s="10"/>
      <c r="W430" s="10"/>
      <c r="X430" s="10"/>
      <c r="Y430" s="10"/>
      <c r="Z430" s="10"/>
      <c r="AA430" s="10"/>
      <c r="AB430" s="10"/>
      <c r="AC430" s="10"/>
      <c r="AD430" s="10"/>
      <c r="AE430" s="10"/>
      <c r="AF430" s="10"/>
    </row>
    <row r="431">
      <c r="A431" s="7"/>
      <c r="B431" s="8">
        <v>47.0</v>
      </c>
      <c r="C431" s="8">
        <v>1.0</v>
      </c>
      <c r="D431" s="8" t="s">
        <v>816</v>
      </c>
      <c r="E431" s="7">
        <v>0.0</v>
      </c>
      <c r="F431" s="7"/>
      <c r="G431" s="7" t="s">
        <v>312</v>
      </c>
      <c r="H431" s="7" t="s">
        <v>313</v>
      </c>
      <c r="I431" s="10"/>
      <c r="J431" s="11"/>
      <c r="K431" s="12"/>
      <c r="L431" s="12"/>
      <c r="M431" s="10"/>
      <c r="N431" s="10"/>
      <c r="O431" s="10"/>
      <c r="P431" s="10"/>
      <c r="Q431" s="10"/>
      <c r="R431" s="10"/>
      <c r="S431" s="10"/>
      <c r="T431" s="10"/>
      <c r="U431" s="10"/>
      <c r="V431" s="10"/>
      <c r="W431" s="10"/>
      <c r="X431" s="10"/>
      <c r="Y431" s="10"/>
      <c r="Z431" s="10"/>
      <c r="AA431" s="10"/>
      <c r="AB431" s="10"/>
      <c r="AC431" s="10"/>
      <c r="AD431" s="10"/>
      <c r="AE431" s="10"/>
      <c r="AF431" s="10"/>
    </row>
    <row r="432">
      <c r="A432" s="7"/>
      <c r="B432" s="8">
        <v>47.0</v>
      </c>
      <c r="C432" s="8">
        <v>2.0</v>
      </c>
      <c r="D432" s="8" t="s">
        <v>817</v>
      </c>
      <c r="E432" s="7">
        <v>0.0</v>
      </c>
      <c r="F432" s="7"/>
      <c r="G432" s="7" t="s">
        <v>312</v>
      </c>
      <c r="H432" s="7" t="s">
        <v>313</v>
      </c>
      <c r="I432" s="10"/>
      <c r="J432" s="11"/>
      <c r="K432" s="12"/>
      <c r="L432" s="12"/>
      <c r="M432" s="10"/>
      <c r="N432" s="10"/>
      <c r="O432" s="10"/>
      <c r="P432" s="10"/>
      <c r="Q432" s="10"/>
      <c r="R432" s="10"/>
      <c r="S432" s="10"/>
      <c r="T432" s="10"/>
      <c r="U432" s="10"/>
      <c r="V432" s="10"/>
      <c r="W432" s="10"/>
      <c r="X432" s="10"/>
      <c r="Y432" s="10"/>
      <c r="Z432" s="10"/>
      <c r="AA432" s="10"/>
      <c r="AB432" s="10"/>
      <c r="AC432" s="10"/>
      <c r="AD432" s="10"/>
      <c r="AE432" s="10"/>
      <c r="AF432" s="10"/>
    </row>
    <row r="433">
      <c r="A433" s="7"/>
      <c r="B433" s="8">
        <v>47.0</v>
      </c>
      <c r="C433" s="8">
        <v>3.0</v>
      </c>
      <c r="D433" s="8" t="s">
        <v>818</v>
      </c>
      <c r="E433" s="7">
        <v>0.0</v>
      </c>
      <c r="F433" s="7"/>
      <c r="G433" s="7" t="s">
        <v>312</v>
      </c>
      <c r="H433" s="7" t="s">
        <v>313</v>
      </c>
      <c r="I433" s="10"/>
      <c r="J433" s="11"/>
      <c r="K433" s="12"/>
      <c r="L433" s="12"/>
      <c r="M433" s="10"/>
      <c r="N433" s="10"/>
      <c r="O433" s="10"/>
      <c r="P433" s="10"/>
      <c r="Q433" s="10"/>
      <c r="R433" s="10"/>
      <c r="S433" s="10"/>
      <c r="T433" s="10"/>
      <c r="U433" s="10"/>
      <c r="V433" s="10"/>
      <c r="W433" s="10"/>
      <c r="X433" s="10"/>
      <c r="Y433" s="10"/>
      <c r="Z433" s="10"/>
      <c r="AA433" s="10"/>
      <c r="AB433" s="10"/>
      <c r="AC433" s="10"/>
      <c r="AD433" s="10"/>
      <c r="AE433" s="10"/>
      <c r="AF433" s="10"/>
    </row>
    <row r="434">
      <c r="A434" s="7"/>
      <c r="B434" s="8">
        <v>47.0</v>
      </c>
      <c r="C434" s="8">
        <v>4.0</v>
      </c>
      <c r="D434" s="8" t="s">
        <v>819</v>
      </c>
      <c r="E434" s="7">
        <v>0.0</v>
      </c>
      <c r="F434" s="7"/>
      <c r="G434" s="7" t="s">
        <v>312</v>
      </c>
      <c r="H434" s="7" t="s">
        <v>313</v>
      </c>
      <c r="I434" s="10"/>
      <c r="J434" s="11"/>
      <c r="K434" s="12"/>
      <c r="L434" s="12"/>
      <c r="M434" s="10"/>
      <c r="N434" s="10"/>
      <c r="O434" s="10"/>
      <c r="P434" s="10"/>
      <c r="Q434" s="10"/>
      <c r="R434" s="10"/>
      <c r="S434" s="10"/>
      <c r="T434" s="10"/>
      <c r="U434" s="10"/>
      <c r="V434" s="10"/>
      <c r="W434" s="10"/>
      <c r="X434" s="10"/>
      <c r="Y434" s="10"/>
      <c r="Z434" s="10"/>
      <c r="AA434" s="10"/>
      <c r="AB434" s="10"/>
      <c r="AC434" s="10"/>
      <c r="AD434" s="10"/>
      <c r="AE434" s="10"/>
      <c r="AF434" s="10"/>
    </row>
    <row r="435">
      <c r="A435" s="7"/>
      <c r="B435" s="8">
        <v>47.0</v>
      </c>
      <c r="C435" s="8">
        <v>5.0</v>
      </c>
      <c r="D435" s="8" t="s">
        <v>820</v>
      </c>
      <c r="E435" s="7">
        <v>0.0</v>
      </c>
      <c r="F435" s="7"/>
      <c r="G435" s="7" t="s">
        <v>312</v>
      </c>
      <c r="H435" s="7" t="s">
        <v>313</v>
      </c>
      <c r="I435" s="10"/>
      <c r="J435" s="11"/>
      <c r="K435" s="12"/>
      <c r="L435" s="12"/>
      <c r="M435" s="10"/>
      <c r="N435" s="10"/>
      <c r="O435" s="10"/>
      <c r="P435" s="10"/>
      <c r="Q435" s="10"/>
      <c r="R435" s="10"/>
      <c r="S435" s="10"/>
      <c r="T435" s="10"/>
      <c r="U435" s="10"/>
      <c r="V435" s="10"/>
      <c r="W435" s="10"/>
      <c r="X435" s="10"/>
      <c r="Y435" s="10"/>
      <c r="Z435" s="10"/>
      <c r="AA435" s="10"/>
      <c r="AB435" s="10"/>
      <c r="AC435" s="10"/>
      <c r="AD435" s="10"/>
      <c r="AE435" s="10"/>
      <c r="AF435" s="10"/>
    </row>
    <row r="436">
      <c r="A436" s="7"/>
      <c r="B436" s="8">
        <v>47.0</v>
      </c>
      <c r="C436" s="8">
        <v>6.0</v>
      </c>
      <c r="D436" s="8" t="s">
        <v>821</v>
      </c>
      <c r="E436" s="7">
        <v>0.0</v>
      </c>
      <c r="F436" s="7"/>
      <c r="G436" s="7" t="s">
        <v>312</v>
      </c>
      <c r="H436" s="7" t="s">
        <v>313</v>
      </c>
      <c r="I436" s="10"/>
      <c r="J436" s="11"/>
      <c r="K436" s="12"/>
      <c r="L436" s="12"/>
      <c r="M436" s="10"/>
      <c r="N436" s="10"/>
      <c r="O436" s="10"/>
      <c r="P436" s="10"/>
      <c r="Q436" s="10"/>
      <c r="R436" s="10"/>
      <c r="S436" s="10"/>
      <c r="T436" s="10"/>
      <c r="U436" s="10"/>
      <c r="V436" s="10"/>
      <c r="W436" s="10"/>
      <c r="X436" s="10"/>
      <c r="Y436" s="10"/>
      <c r="Z436" s="10"/>
      <c r="AA436" s="10"/>
      <c r="AB436" s="10"/>
      <c r="AC436" s="10"/>
      <c r="AD436" s="10"/>
      <c r="AE436" s="10"/>
      <c r="AF436" s="10"/>
    </row>
    <row r="437">
      <c r="A437" s="10"/>
      <c r="B437" s="12"/>
      <c r="C437" s="12"/>
      <c r="D437" s="12"/>
      <c r="E437" s="10"/>
      <c r="F437" s="10"/>
      <c r="G437" s="10"/>
      <c r="H437" s="10"/>
      <c r="I437" s="10"/>
      <c r="J437" s="11"/>
      <c r="K437" s="12"/>
      <c r="L437" s="12"/>
      <c r="M437" s="10"/>
      <c r="N437" s="10"/>
      <c r="O437" s="10"/>
      <c r="P437" s="10"/>
      <c r="Q437" s="10"/>
      <c r="R437" s="10"/>
      <c r="S437" s="10"/>
      <c r="T437" s="10"/>
      <c r="U437" s="10"/>
      <c r="V437" s="10"/>
      <c r="W437" s="10"/>
      <c r="X437" s="10"/>
      <c r="Y437" s="10"/>
      <c r="Z437" s="10"/>
      <c r="AA437" s="10"/>
      <c r="AB437" s="10"/>
      <c r="AC437" s="10"/>
      <c r="AD437" s="10"/>
      <c r="AE437" s="10"/>
      <c r="AF437" s="10"/>
    </row>
    <row r="438">
      <c r="A438" s="7"/>
      <c r="B438" s="8">
        <v>48.0</v>
      </c>
      <c r="C438" s="8">
        <v>1.0</v>
      </c>
      <c r="D438" s="8" t="s">
        <v>822</v>
      </c>
      <c r="E438" s="7">
        <v>0.0</v>
      </c>
      <c r="F438" s="7"/>
      <c r="G438" s="7" t="s">
        <v>312</v>
      </c>
      <c r="H438" s="7" t="s">
        <v>313</v>
      </c>
      <c r="I438" s="10"/>
      <c r="J438" s="9" t="s">
        <v>823</v>
      </c>
      <c r="K438" s="8" t="s">
        <v>824</v>
      </c>
      <c r="L438" s="12"/>
      <c r="M438" s="10"/>
      <c r="N438" s="10"/>
      <c r="O438" s="10"/>
      <c r="P438" s="10"/>
      <c r="Q438" s="10"/>
      <c r="R438" s="10"/>
      <c r="S438" s="10"/>
      <c r="T438" s="10"/>
      <c r="U438" s="10"/>
      <c r="V438" s="10"/>
      <c r="W438" s="10"/>
      <c r="X438" s="10"/>
      <c r="Y438" s="10"/>
      <c r="Z438" s="10"/>
      <c r="AA438" s="10"/>
      <c r="AB438" s="10"/>
      <c r="AC438" s="10"/>
      <c r="AD438" s="10"/>
      <c r="AE438" s="10"/>
      <c r="AF438" s="10"/>
    </row>
    <row r="439">
      <c r="A439" s="7"/>
      <c r="B439" s="8">
        <v>48.0</v>
      </c>
      <c r="C439" s="8">
        <v>2.0</v>
      </c>
      <c r="D439" s="8" t="s">
        <v>825</v>
      </c>
      <c r="E439" s="7">
        <v>1.0</v>
      </c>
      <c r="F439" s="7" t="s">
        <v>320</v>
      </c>
      <c r="G439" s="7" t="s">
        <v>312</v>
      </c>
      <c r="H439" s="7" t="s">
        <v>313</v>
      </c>
      <c r="I439" s="7" t="s">
        <v>366</v>
      </c>
      <c r="J439" s="9" t="s">
        <v>826</v>
      </c>
      <c r="K439" s="12"/>
      <c r="L439" s="12"/>
      <c r="M439" s="10"/>
      <c r="N439" s="10"/>
      <c r="O439" s="10"/>
      <c r="P439" s="10"/>
      <c r="Q439" s="10"/>
      <c r="R439" s="10"/>
      <c r="S439" s="10"/>
      <c r="T439" s="10"/>
      <c r="U439" s="10"/>
      <c r="V439" s="10"/>
      <c r="W439" s="10"/>
      <c r="X439" s="10"/>
      <c r="Y439" s="10"/>
      <c r="Z439" s="10"/>
      <c r="AA439" s="10"/>
      <c r="AB439" s="10"/>
      <c r="AC439" s="10"/>
      <c r="AD439" s="10"/>
      <c r="AE439" s="10"/>
      <c r="AF439" s="10"/>
    </row>
    <row r="440">
      <c r="A440" s="7"/>
      <c r="B440" s="8">
        <v>48.0</v>
      </c>
      <c r="C440" s="8">
        <v>3.0</v>
      </c>
      <c r="D440" s="8" t="s">
        <v>827</v>
      </c>
      <c r="E440" s="7">
        <v>0.0</v>
      </c>
      <c r="F440" s="7"/>
      <c r="G440" s="7" t="s">
        <v>312</v>
      </c>
      <c r="H440" s="7" t="s">
        <v>313</v>
      </c>
      <c r="I440" s="10"/>
      <c r="J440" s="11"/>
      <c r="K440" s="12"/>
      <c r="L440" s="12"/>
      <c r="M440" s="10"/>
      <c r="N440" s="10"/>
      <c r="O440" s="10"/>
      <c r="P440" s="10"/>
      <c r="Q440" s="10"/>
      <c r="R440" s="10"/>
      <c r="S440" s="10"/>
      <c r="T440" s="10"/>
      <c r="U440" s="10"/>
      <c r="V440" s="10"/>
      <c r="W440" s="10"/>
      <c r="X440" s="10"/>
      <c r="Y440" s="10"/>
      <c r="Z440" s="10"/>
      <c r="AA440" s="10"/>
      <c r="AB440" s="10"/>
      <c r="AC440" s="10"/>
      <c r="AD440" s="10"/>
      <c r="AE440" s="10"/>
      <c r="AF440" s="10"/>
    </row>
    <row r="441">
      <c r="A441" s="7"/>
      <c r="B441" s="8">
        <v>48.0</v>
      </c>
      <c r="C441" s="8">
        <v>4.0</v>
      </c>
      <c r="D441" s="8" t="s">
        <v>828</v>
      </c>
      <c r="E441" s="7">
        <v>1.0</v>
      </c>
      <c r="F441" s="7" t="s">
        <v>320</v>
      </c>
      <c r="G441" s="7" t="s">
        <v>312</v>
      </c>
      <c r="H441" s="7" t="s">
        <v>313</v>
      </c>
      <c r="I441" s="7" t="s">
        <v>366</v>
      </c>
      <c r="J441" s="9" t="s">
        <v>826</v>
      </c>
      <c r="K441" s="12"/>
      <c r="L441" s="12"/>
      <c r="M441" s="10"/>
      <c r="N441" s="10"/>
      <c r="O441" s="10"/>
      <c r="P441" s="10"/>
      <c r="Q441" s="10"/>
      <c r="R441" s="10"/>
      <c r="S441" s="10"/>
      <c r="T441" s="10"/>
      <c r="U441" s="10"/>
      <c r="V441" s="10"/>
      <c r="W441" s="10"/>
      <c r="X441" s="10"/>
      <c r="Y441" s="10"/>
      <c r="Z441" s="10"/>
      <c r="AA441" s="10"/>
      <c r="AB441" s="10"/>
      <c r="AC441" s="10"/>
      <c r="AD441" s="10"/>
      <c r="AE441" s="10"/>
      <c r="AF441" s="10"/>
    </row>
    <row r="442">
      <c r="A442" s="7"/>
      <c r="B442" s="8">
        <v>48.0</v>
      </c>
      <c r="C442" s="8">
        <v>5.0</v>
      </c>
      <c r="D442" s="8" t="s">
        <v>829</v>
      </c>
      <c r="E442" s="7">
        <v>1.0</v>
      </c>
      <c r="F442" s="7" t="s">
        <v>320</v>
      </c>
      <c r="G442" s="7" t="s">
        <v>312</v>
      </c>
      <c r="H442" s="7" t="s">
        <v>313</v>
      </c>
      <c r="I442" s="7" t="s">
        <v>366</v>
      </c>
      <c r="J442" s="9" t="s">
        <v>826</v>
      </c>
      <c r="K442" s="12"/>
      <c r="L442" s="12"/>
      <c r="M442" s="10"/>
      <c r="N442" s="10"/>
      <c r="O442" s="10"/>
      <c r="P442" s="10"/>
      <c r="Q442" s="10"/>
      <c r="R442" s="10"/>
      <c r="S442" s="10"/>
      <c r="T442" s="10"/>
      <c r="U442" s="10"/>
      <c r="V442" s="10"/>
      <c r="W442" s="10"/>
      <c r="X442" s="10"/>
      <c r="Y442" s="10"/>
      <c r="Z442" s="10"/>
      <c r="AA442" s="10"/>
      <c r="AB442" s="10"/>
      <c r="AC442" s="10"/>
      <c r="AD442" s="10"/>
      <c r="AE442" s="10"/>
      <c r="AF442" s="10"/>
    </row>
    <row r="443">
      <c r="A443" s="7"/>
      <c r="B443" s="8">
        <v>48.0</v>
      </c>
      <c r="C443" s="8">
        <v>6.0</v>
      </c>
      <c r="D443" s="8" t="s">
        <v>830</v>
      </c>
      <c r="E443" s="7">
        <v>0.0</v>
      </c>
      <c r="F443" s="7"/>
      <c r="G443" s="7" t="s">
        <v>312</v>
      </c>
      <c r="H443" s="7" t="s">
        <v>313</v>
      </c>
      <c r="I443" s="10"/>
      <c r="J443" s="11"/>
      <c r="K443" s="12"/>
      <c r="L443" s="12"/>
      <c r="M443" s="10"/>
      <c r="N443" s="10"/>
      <c r="O443" s="10"/>
      <c r="P443" s="10"/>
      <c r="Q443" s="10"/>
      <c r="R443" s="10"/>
      <c r="S443" s="10"/>
      <c r="T443" s="10"/>
      <c r="U443" s="10"/>
      <c r="V443" s="10"/>
      <c r="W443" s="10"/>
      <c r="X443" s="10"/>
      <c r="Y443" s="10"/>
      <c r="Z443" s="10"/>
      <c r="AA443" s="10"/>
      <c r="AB443" s="10"/>
      <c r="AC443" s="10"/>
      <c r="AD443" s="10"/>
      <c r="AE443" s="10"/>
      <c r="AF443" s="10"/>
    </row>
    <row r="444">
      <c r="A444" s="7"/>
      <c r="B444" s="8">
        <v>48.0</v>
      </c>
      <c r="C444" s="8">
        <v>7.0</v>
      </c>
      <c r="D444" s="8" t="s">
        <v>831</v>
      </c>
      <c r="E444" s="7">
        <v>1.0</v>
      </c>
      <c r="F444" s="7" t="s">
        <v>320</v>
      </c>
      <c r="G444" s="7" t="s">
        <v>312</v>
      </c>
      <c r="H444" s="7" t="s">
        <v>313</v>
      </c>
      <c r="I444" s="7" t="s">
        <v>366</v>
      </c>
      <c r="J444" s="9" t="s">
        <v>826</v>
      </c>
      <c r="K444" s="12"/>
      <c r="L444" s="12"/>
      <c r="M444" s="10"/>
      <c r="N444" s="10"/>
      <c r="O444" s="10"/>
      <c r="P444" s="10"/>
      <c r="Q444" s="10"/>
      <c r="R444" s="10"/>
      <c r="S444" s="10"/>
      <c r="T444" s="10"/>
      <c r="U444" s="10"/>
      <c r="V444" s="10"/>
      <c r="W444" s="10"/>
      <c r="X444" s="10"/>
      <c r="Y444" s="10"/>
      <c r="Z444" s="10"/>
      <c r="AA444" s="10"/>
      <c r="AB444" s="10"/>
      <c r="AC444" s="10"/>
      <c r="AD444" s="10"/>
      <c r="AE444" s="10"/>
      <c r="AF444" s="10"/>
    </row>
    <row r="445">
      <c r="A445" s="7"/>
      <c r="B445" s="8">
        <v>48.0</v>
      </c>
      <c r="C445" s="8">
        <v>8.0</v>
      </c>
      <c r="D445" s="8" t="s">
        <v>832</v>
      </c>
      <c r="E445" s="7">
        <v>0.0</v>
      </c>
      <c r="F445" s="7"/>
      <c r="G445" s="7" t="s">
        <v>312</v>
      </c>
      <c r="H445" s="7" t="s">
        <v>313</v>
      </c>
      <c r="I445" s="10"/>
      <c r="J445" s="11"/>
      <c r="K445" s="12"/>
      <c r="L445" s="12"/>
      <c r="M445" s="10"/>
      <c r="N445" s="10"/>
      <c r="O445" s="10"/>
      <c r="P445" s="10"/>
      <c r="Q445" s="10"/>
      <c r="R445" s="10"/>
      <c r="S445" s="10"/>
      <c r="T445" s="10"/>
      <c r="U445" s="10"/>
      <c r="V445" s="10"/>
      <c r="W445" s="10"/>
      <c r="X445" s="10"/>
      <c r="Y445" s="10"/>
      <c r="Z445" s="10"/>
      <c r="AA445" s="10"/>
      <c r="AB445" s="10"/>
      <c r="AC445" s="10"/>
      <c r="AD445" s="10"/>
      <c r="AE445" s="10"/>
      <c r="AF445" s="10"/>
    </row>
    <row r="446">
      <c r="A446" s="7"/>
      <c r="B446" s="8">
        <v>48.0</v>
      </c>
      <c r="C446" s="8">
        <v>9.0</v>
      </c>
      <c r="D446" s="8" t="s">
        <v>833</v>
      </c>
      <c r="E446" s="7">
        <v>0.0</v>
      </c>
      <c r="F446" s="7"/>
      <c r="G446" s="7" t="s">
        <v>312</v>
      </c>
      <c r="H446" s="7" t="s">
        <v>313</v>
      </c>
      <c r="I446" s="10"/>
      <c r="J446" s="11"/>
      <c r="K446" s="12"/>
      <c r="L446" s="12"/>
      <c r="M446" s="10"/>
      <c r="N446" s="10"/>
      <c r="O446" s="10"/>
      <c r="P446" s="10"/>
      <c r="Q446" s="10"/>
      <c r="R446" s="10"/>
      <c r="S446" s="10"/>
      <c r="T446" s="10"/>
      <c r="U446" s="10"/>
      <c r="V446" s="10"/>
      <c r="W446" s="10"/>
      <c r="X446" s="10"/>
      <c r="Y446" s="10"/>
      <c r="Z446" s="10"/>
      <c r="AA446" s="10"/>
      <c r="AB446" s="10"/>
      <c r="AC446" s="10"/>
      <c r="AD446" s="10"/>
      <c r="AE446" s="10"/>
      <c r="AF446" s="10"/>
    </row>
    <row r="447">
      <c r="A447" s="7"/>
      <c r="B447" s="8">
        <v>48.0</v>
      </c>
      <c r="C447" s="8">
        <v>10.0</v>
      </c>
      <c r="D447" s="8" t="s">
        <v>834</v>
      </c>
      <c r="E447" s="7">
        <v>0.0</v>
      </c>
      <c r="F447" s="7"/>
      <c r="G447" s="7" t="s">
        <v>312</v>
      </c>
      <c r="H447" s="7" t="s">
        <v>313</v>
      </c>
      <c r="I447" s="10"/>
      <c r="J447" s="11"/>
      <c r="K447" s="12"/>
      <c r="L447" s="12"/>
      <c r="M447" s="10"/>
      <c r="N447" s="10"/>
      <c r="O447" s="10"/>
      <c r="P447" s="10"/>
      <c r="Q447" s="10"/>
      <c r="R447" s="10"/>
      <c r="S447" s="10"/>
      <c r="T447" s="10"/>
      <c r="U447" s="10"/>
      <c r="V447" s="10"/>
      <c r="W447" s="10"/>
      <c r="X447" s="10"/>
      <c r="Y447" s="10"/>
      <c r="Z447" s="10"/>
      <c r="AA447" s="10"/>
      <c r="AB447" s="10"/>
      <c r="AC447" s="10"/>
      <c r="AD447" s="10"/>
      <c r="AE447" s="10"/>
      <c r="AF447" s="10"/>
    </row>
    <row r="448">
      <c r="A448" s="10"/>
      <c r="B448" s="12"/>
      <c r="C448" s="12"/>
      <c r="D448" s="12"/>
      <c r="E448" s="10"/>
      <c r="F448" s="10"/>
      <c r="G448" s="10"/>
      <c r="H448" s="10"/>
      <c r="I448" s="10"/>
      <c r="J448" s="11"/>
      <c r="K448" s="12"/>
      <c r="L448" s="12"/>
      <c r="M448" s="10"/>
      <c r="N448" s="10"/>
      <c r="O448" s="10"/>
      <c r="P448" s="10"/>
      <c r="Q448" s="10"/>
      <c r="R448" s="10"/>
      <c r="S448" s="10"/>
      <c r="T448" s="10"/>
      <c r="U448" s="10"/>
      <c r="V448" s="10"/>
      <c r="W448" s="10"/>
      <c r="X448" s="10"/>
      <c r="Y448" s="10"/>
      <c r="Z448" s="10"/>
      <c r="AA448" s="10"/>
      <c r="AB448" s="10"/>
      <c r="AC448" s="10"/>
      <c r="AD448" s="10"/>
      <c r="AE448" s="10"/>
      <c r="AF448" s="10"/>
    </row>
    <row r="449">
      <c r="A449" s="7"/>
      <c r="B449" s="8">
        <v>49.0</v>
      </c>
      <c r="C449" s="8">
        <v>1.0</v>
      </c>
      <c r="D449" s="8" t="s">
        <v>835</v>
      </c>
      <c r="E449" s="7">
        <v>0.0</v>
      </c>
      <c r="F449" s="7"/>
      <c r="G449" s="7" t="s">
        <v>312</v>
      </c>
      <c r="H449" s="7" t="s">
        <v>313</v>
      </c>
      <c r="I449" s="10"/>
      <c r="J449" s="9" t="s">
        <v>836</v>
      </c>
      <c r="K449" s="12"/>
      <c r="L449" s="12"/>
      <c r="M449" s="10"/>
      <c r="N449" s="10"/>
      <c r="O449" s="10"/>
      <c r="P449" s="10"/>
      <c r="Q449" s="10"/>
      <c r="R449" s="10"/>
      <c r="S449" s="10"/>
      <c r="T449" s="10"/>
      <c r="U449" s="10"/>
      <c r="V449" s="10"/>
      <c r="W449" s="10"/>
      <c r="X449" s="10"/>
      <c r="Y449" s="10"/>
      <c r="Z449" s="10"/>
      <c r="AA449" s="10"/>
      <c r="AB449" s="10"/>
      <c r="AC449" s="10"/>
      <c r="AD449" s="10"/>
      <c r="AE449" s="10"/>
      <c r="AF449" s="10"/>
    </row>
    <row r="450">
      <c r="A450" s="7"/>
      <c r="B450" s="8">
        <v>49.0</v>
      </c>
      <c r="C450" s="8">
        <v>2.0</v>
      </c>
      <c r="D450" s="8" t="s">
        <v>837</v>
      </c>
      <c r="E450" s="7">
        <v>0.0</v>
      </c>
      <c r="F450" s="7"/>
      <c r="G450" s="7" t="s">
        <v>312</v>
      </c>
      <c r="H450" s="7" t="s">
        <v>313</v>
      </c>
      <c r="I450" s="10"/>
      <c r="J450" s="9" t="s">
        <v>838</v>
      </c>
      <c r="K450" s="12"/>
      <c r="L450" s="12"/>
      <c r="M450" s="10"/>
      <c r="N450" s="10"/>
      <c r="O450" s="10"/>
      <c r="P450" s="10"/>
      <c r="Q450" s="10"/>
      <c r="R450" s="10"/>
      <c r="S450" s="10"/>
      <c r="T450" s="10"/>
      <c r="U450" s="10"/>
      <c r="V450" s="10"/>
      <c r="W450" s="10"/>
      <c r="X450" s="10"/>
      <c r="Y450" s="10"/>
      <c r="Z450" s="10"/>
      <c r="AA450" s="10"/>
      <c r="AB450" s="10"/>
      <c r="AC450" s="10"/>
      <c r="AD450" s="10"/>
      <c r="AE450" s="10"/>
      <c r="AF450" s="10"/>
    </row>
    <row r="451">
      <c r="A451" s="7"/>
      <c r="B451" s="8">
        <v>49.0</v>
      </c>
      <c r="C451" s="8">
        <v>3.0</v>
      </c>
      <c r="D451" s="8" t="s">
        <v>839</v>
      </c>
      <c r="E451" s="7">
        <v>0.0</v>
      </c>
      <c r="F451" s="7"/>
      <c r="G451" s="7" t="s">
        <v>312</v>
      </c>
      <c r="H451" s="7" t="s">
        <v>313</v>
      </c>
      <c r="I451" s="10"/>
      <c r="J451" s="9" t="s">
        <v>840</v>
      </c>
      <c r="K451" s="12"/>
      <c r="L451" s="12"/>
      <c r="M451" s="10"/>
      <c r="N451" s="10"/>
      <c r="O451" s="10"/>
      <c r="P451" s="10"/>
      <c r="Q451" s="10"/>
      <c r="R451" s="10"/>
      <c r="S451" s="10"/>
      <c r="T451" s="10"/>
      <c r="U451" s="10"/>
      <c r="V451" s="10"/>
      <c r="W451" s="10"/>
      <c r="X451" s="10"/>
      <c r="Y451" s="10"/>
      <c r="Z451" s="10"/>
      <c r="AA451" s="10"/>
      <c r="AB451" s="10"/>
      <c r="AC451" s="10"/>
      <c r="AD451" s="10"/>
      <c r="AE451" s="10"/>
      <c r="AF451" s="10"/>
    </row>
    <row r="452">
      <c r="A452" s="7"/>
      <c r="B452" s="8">
        <v>49.0</v>
      </c>
      <c r="C452" s="8">
        <v>4.0</v>
      </c>
      <c r="D452" s="8" t="s">
        <v>841</v>
      </c>
      <c r="E452" s="7">
        <v>0.0</v>
      </c>
      <c r="F452" s="7"/>
      <c r="G452" s="7" t="s">
        <v>312</v>
      </c>
      <c r="H452" s="7" t="s">
        <v>313</v>
      </c>
      <c r="I452" s="10"/>
      <c r="J452" s="9" t="s">
        <v>842</v>
      </c>
      <c r="K452" s="12"/>
      <c r="L452" s="12"/>
      <c r="M452" s="10"/>
      <c r="N452" s="10"/>
      <c r="O452" s="10"/>
      <c r="P452" s="10"/>
      <c r="Q452" s="10"/>
      <c r="R452" s="10"/>
      <c r="S452" s="10"/>
      <c r="T452" s="10"/>
      <c r="U452" s="10"/>
      <c r="V452" s="10"/>
      <c r="W452" s="10"/>
      <c r="X452" s="10"/>
      <c r="Y452" s="10"/>
      <c r="Z452" s="10"/>
      <c r="AA452" s="10"/>
      <c r="AB452" s="10"/>
      <c r="AC452" s="10"/>
      <c r="AD452" s="10"/>
      <c r="AE452" s="10"/>
      <c r="AF452" s="10"/>
    </row>
    <row r="453">
      <c r="A453" s="7"/>
      <c r="B453" s="8">
        <v>49.0</v>
      </c>
      <c r="C453" s="8">
        <v>5.0</v>
      </c>
      <c r="D453" s="8" t="s">
        <v>843</v>
      </c>
      <c r="E453" s="7">
        <v>0.0</v>
      </c>
      <c r="F453" s="7"/>
      <c r="G453" s="7" t="s">
        <v>312</v>
      </c>
      <c r="H453" s="7" t="s">
        <v>313</v>
      </c>
      <c r="I453" s="10"/>
      <c r="J453" s="11"/>
      <c r="K453" s="12"/>
      <c r="L453" s="12"/>
      <c r="M453" s="10"/>
      <c r="N453" s="10"/>
      <c r="O453" s="10"/>
      <c r="P453" s="10"/>
      <c r="Q453" s="10"/>
      <c r="R453" s="10"/>
      <c r="S453" s="10"/>
      <c r="T453" s="10"/>
      <c r="U453" s="10"/>
      <c r="V453" s="10"/>
      <c r="W453" s="10"/>
      <c r="X453" s="10"/>
      <c r="Y453" s="10"/>
      <c r="Z453" s="10"/>
      <c r="AA453" s="10"/>
      <c r="AB453" s="10"/>
      <c r="AC453" s="10"/>
      <c r="AD453" s="10"/>
      <c r="AE453" s="10"/>
      <c r="AF453" s="10"/>
    </row>
    <row r="454">
      <c r="A454" s="7"/>
      <c r="B454" s="8">
        <v>49.0</v>
      </c>
      <c r="C454" s="8">
        <v>6.0</v>
      </c>
      <c r="D454" s="8" t="s">
        <v>844</v>
      </c>
      <c r="E454" s="7">
        <v>0.0</v>
      </c>
      <c r="F454" s="7"/>
      <c r="G454" s="7" t="s">
        <v>312</v>
      </c>
      <c r="H454" s="7" t="s">
        <v>313</v>
      </c>
      <c r="I454" s="10"/>
      <c r="J454" s="11"/>
      <c r="K454" s="12"/>
      <c r="L454" s="12"/>
      <c r="M454" s="10"/>
      <c r="N454" s="10"/>
      <c r="O454" s="10"/>
      <c r="P454" s="10"/>
      <c r="Q454" s="10"/>
      <c r="R454" s="10"/>
      <c r="S454" s="10"/>
      <c r="T454" s="10"/>
      <c r="U454" s="10"/>
      <c r="V454" s="10"/>
      <c r="W454" s="10"/>
      <c r="X454" s="10"/>
      <c r="Y454" s="10"/>
      <c r="Z454" s="10"/>
      <c r="AA454" s="10"/>
      <c r="AB454" s="10"/>
      <c r="AC454" s="10"/>
      <c r="AD454" s="10"/>
      <c r="AE454" s="10"/>
      <c r="AF454" s="10"/>
    </row>
    <row r="455">
      <c r="A455" s="7"/>
      <c r="B455" s="8">
        <v>49.0</v>
      </c>
      <c r="C455" s="8">
        <v>7.0</v>
      </c>
      <c r="D455" s="8" t="s">
        <v>845</v>
      </c>
      <c r="E455" s="7">
        <v>0.0</v>
      </c>
      <c r="F455" s="7"/>
      <c r="G455" s="7" t="s">
        <v>312</v>
      </c>
      <c r="H455" s="7" t="s">
        <v>313</v>
      </c>
      <c r="I455" s="10"/>
      <c r="J455" s="11"/>
      <c r="K455" s="12"/>
      <c r="L455" s="12"/>
      <c r="M455" s="10"/>
      <c r="N455" s="10"/>
      <c r="O455" s="10"/>
      <c r="P455" s="10"/>
      <c r="Q455" s="10"/>
      <c r="R455" s="10"/>
      <c r="S455" s="10"/>
      <c r="T455" s="10"/>
      <c r="U455" s="10"/>
      <c r="V455" s="10"/>
      <c r="W455" s="10"/>
      <c r="X455" s="10"/>
      <c r="Y455" s="10"/>
      <c r="Z455" s="10"/>
      <c r="AA455" s="10"/>
      <c r="AB455" s="10"/>
      <c r="AC455" s="10"/>
      <c r="AD455" s="10"/>
      <c r="AE455" s="10"/>
      <c r="AF455" s="10"/>
    </row>
    <row r="456">
      <c r="A456" s="7"/>
      <c r="B456" s="8">
        <v>49.0</v>
      </c>
      <c r="C456" s="8">
        <v>8.0</v>
      </c>
      <c r="D456" s="8" t="s">
        <v>846</v>
      </c>
      <c r="E456" s="7">
        <v>0.0</v>
      </c>
      <c r="F456" s="7"/>
      <c r="G456" s="7" t="s">
        <v>312</v>
      </c>
      <c r="H456" s="7" t="s">
        <v>313</v>
      </c>
      <c r="I456" s="10"/>
      <c r="J456" s="11"/>
      <c r="K456" s="12"/>
      <c r="L456" s="12"/>
      <c r="M456" s="10"/>
      <c r="N456" s="10"/>
      <c r="O456" s="10"/>
      <c r="P456" s="10"/>
      <c r="Q456" s="10"/>
      <c r="R456" s="10"/>
      <c r="S456" s="10"/>
      <c r="T456" s="10"/>
      <c r="U456" s="10"/>
      <c r="V456" s="10"/>
      <c r="W456" s="10"/>
      <c r="X456" s="10"/>
      <c r="Y456" s="10"/>
      <c r="Z456" s="10"/>
      <c r="AA456" s="10"/>
      <c r="AB456" s="10"/>
      <c r="AC456" s="10"/>
      <c r="AD456" s="10"/>
      <c r="AE456" s="10"/>
      <c r="AF456" s="10"/>
    </row>
    <row r="457">
      <c r="A457" s="7"/>
      <c r="B457" s="8">
        <v>49.0</v>
      </c>
      <c r="C457" s="8">
        <v>9.0</v>
      </c>
      <c r="D457" s="8" t="s">
        <v>847</v>
      </c>
      <c r="E457" s="7">
        <v>2.0</v>
      </c>
      <c r="F457" s="7" t="s">
        <v>320</v>
      </c>
      <c r="G457" s="7" t="s">
        <v>312</v>
      </c>
      <c r="H457" s="7" t="s">
        <v>313</v>
      </c>
      <c r="I457" s="7" t="s">
        <v>366</v>
      </c>
      <c r="J457" s="9" t="s">
        <v>848</v>
      </c>
      <c r="K457" s="12"/>
      <c r="L457" s="12"/>
      <c r="M457" s="10"/>
      <c r="N457" s="10"/>
      <c r="O457" s="10"/>
      <c r="P457" s="10"/>
      <c r="Q457" s="10"/>
      <c r="R457" s="10"/>
      <c r="S457" s="10"/>
      <c r="T457" s="10"/>
      <c r="U457" s="10"/>
      <c r="V457" s="10"/>
      <c r="W457" s="10"/>
      <c r="X457" s="10"/>
      <c r="Y457" s="10"/>
      <c r="Z457" s="10"/>
      <c r="AA457" s="10"/>
      <c r="AB457" s="10"/>
      <c r="AC457" s="10"/>
      <c r="AD457" s="10"/>
      <c r="AE457" s="10"/>
      <c r="AF457" s="10"/>
    </row>
    <row r="458">
      <c r="A458" s="7"/>
      <c r="B458" s="8">
        <v>49.0</v>
      </c>
      <c r="C458" s="8">
        <v>10.0</v>
      </c>
      <c r="D458" s="8" t="s">
        <v>849</v>
      </c>
      <c r="E458" s="7">
        <v>2.0</v>
      </c>
      <c r="F458" s="7"/>
      <c r="G458" s="7" t="s">
        <v>312</v>
      </c>
      <c r="H458" s="7" t="s">
        <v>313</v>
      </c>
      <c r="I458" s="7" t="s">
        <v>366</v>
      </c>
      <c r="J458" s="16" t="s">
        <v>850</v>
      </c>
      <c r="K458" s="20" t="s">
        <v>851</v>
      </c>
      <c r="L458" s="12"/>
      <c r="M458" s="10"/>
      <c r="N458" s="10"/>
      <c r="O458" s="10"/>
      <c r="P458" s="10"/>
      <c r="Q458" s="10"/>
      <c r="R458" s="10"/>
      <c r="S458" s="10"/>
      <c r="T458" s="10"/>
      <c r="U458" s="10"/>
      <c r="V458" s="10"/>
      <c r="W458" s="10"/>
      <c r="X458" s="10"/>
      <c r="Y458" s="10"/>
      <c r="Z458" s="10"/>
      <c r="AA458" s="10"/>
      <c r="AB458" s="10"/>
      <c r="AC458" s="10"/>
      <c r="AD458" s="10"/>
      <c r="AE458" s="10"/>
      <c r="AF458" s="10"/>
    </row>
    <row r="459">
      <c r="A459" s="7"/>
      <c r="B459" s="8">
        <v>49.0</v>
      </c>
      <c r="C459" s="8">
        <v>11.0</v>
      </c>
      <c r="D459" s="8" t="s">
        <v>852</v>
      </c>
      <c r="E459" s="7">
        <v>0.0</v>
      </c>
      <c r="F459" s="7"/>
      <c r="G459" s="7" t="s">
        <v>312</v>
      </c>
      <c r="H459" s="7" t="s">
        <v>313</v>
      </c>
      <c r="I459" s="10"/>
      <c r="J459" s="11"/>
      <c r="K459" s="12"/>
      <c r="L459" s="12"/>
      <c r="M459" s="10"/>
      <c r="N459" s="10"/>
      <c r="O459" s="10"/>
      <c r="P459" s="10"/>
      <c r="Q459" s="10"/>
      <c r="R459" s="10"/>
      <c r="S459" s="10"/>
      <c r="T459" s="10"/>
      <c r="U459" s="10"/>
      <c r="V459" s="10"/>
      <c r="W459" s="10"/>
      <c r="X459" s="10"/>
      <c r="Y459" s="10"/>
      <c r="Z459" s="10"/>
      <c r="AA459" s="10"/>
      <c r="AB459" s="10"/>
      <c r="AC459" s="10"/>
      <c r="AD459" s="10"/>
      <c r="AE459" s="10"/>
      <c r="AF459" s="10"/>
    </row>
    <row r="460">
      <c r="A460" s="7"/>
      <c r="B460" s="8">
        <v>49.0</v>
      </c>
      <c r="C460" s="8">
        <v>12.0</v>
      </c>
      <c r="D460" s="8" t="s">
        <v>853</v>
      </c>
      <c r="E460" s="7">
        <v>0.0</v>
      </c>
      <c r="F460" s="7"/>
      <c r="G460" s="7" t="s">
        <v>312</v>
      </c>
      <c r="H460" s="7" t="s">
        <v>313</v>
      </c>
      <c r="I460" s="10"/>
      <c r="J460" s="11"/>
      <c r="K460" s="12"/>
      <c r="L460" s="12"/>
      <c r="M460" s="10"/>
      <c r="N460" s="10"/>
      <c r="O460" s="10"/>
      <c r="P460" s="10"/>
      <c r="Q460" s="10"/>
      <c r="R460" s="10"/>
      <c r="S460" s="10"/>
      <c r="T460" s="10"/>
      <c r="U460" s="10"/>
      <c r="V460" s="10"/>
      <c r="W460" s="10"/>
      <c r="X460" s="10"/>
      <c r="Y460" s="10"/>
      <c r="Z460" s="10"/>
      <c r="AA460" s="10"/>
      <c r="AB460" s="10"/>
      <c r="AC460" s="10"/>
      <c r="AD460" s="10"/>
      <c r="AE460" s="10"/>
      <c r="AF460" s="10"/>
    </row>
    <row r="461">
      <c r="A461" s="7"/>
      <c r="B461" s="8">
        <v>49.0</v>
      </c>
      <c r="C461" s="8">
        <v>13.0</v>
      </c>
      <c r="D461" s="8" t="s">
        <v>854</v>
      </c>
      <c r="E461" s="7">
        <v>0.0</v>
      </c>
      <c r="F461" s="7"/>
      <c r="G461" s="7" t="s">
        <v>312</v>
      </c>
      <c r="H461" s="7" t="s">
        <v>313</v>
      </c>
      <c r="I461" s="10"/>
      <c r="J461" s="11"/>
      <c r="K461" s="12"/>
      <c r="L461" s="12"/>
      <c r="M461" s="10"/>
      <c r="N461" s="10"/>
      <c r="O461" s="10"/>
      <c r="P461" s="10"/>
      <c r="Q461" s="10"/>
      <c r="R461" s="10"/>
      <c r="S461" s="10"/>
      <c r="T461" s="10"/>
      <c r="U461" s="10"/>
      <c r="V461" s="10"/>
      <c r="W461" s="10"/>
      <c r="X461" s="10"/>
      <c r="Y461" s="10"/>
      <c r="Z461" s="10"/>
      <c r="AA461" s="10"/>
      <c r="AB461" s="10"/>
      <c r="AC461" s="10"/>
      <c r="AD461" s="10"/>
      <c r="AE461" s="10"/>
      <c r="AF461" s="10"/>
    </row>
    <row r="462">
      <c r="A462" s="7"/>
      <c r="B462" s="8">
        <v>49.0</v>
      </c>
      <c r="C462" s="8">
        <v>14.0</v>
      </c>
      <c r="D462" s="8" t="s">
        <v>855</v>
      </c>
      <c r="E462" s="7">
        <v>0.0</v>
      </c>
      <c r="F462" s="7"/>
      <c r="G462" s="7" t="s">
        <v>312</v>
      </c>
      <c r="H462" s="7" t="s">
        <v>313</v>
      </c>
      <c r="I462" s="10"/>
      <c r="J462" s="11"/>
      <c r="K462" s="12"/>
      <c r="L462" s="12"/>
      <c r="M462" s="10"/>
      <c r="N462" s="10"/>
      <c r="O462" s="10"/>
      <c r="P462" s="10"/>
      <c r="Q462" s="10"/>
      <c r="R462" s="10"/>
      <c r="S462" s="10"/>
      <c r="T462" s="10"/>
      <c r="U462" s="10"/>
      <c r="V462" s="10"/>
      <c r="W462" s="10"/>
      <c r="X462" s="10"/>
      <c r="Y462" s="10"/>
      <c r="Z462" s="10"/>
      <c r="AA462" s="10"/>
      <c r="AB462" s="10"/>
      <c r="AC462" s="10"/>
      <c r="AD462" s="10"/>
      <c r="AE462" s="10"/>
      <c r="AF462" s="10"/>
    </row>
    <row r="463">
      <c r="A463" s="7"/>
      <c r="B463" s="8">
        <v>49.0</v>
      </c>
      <c r="C463" s="8">
        <v>15.0</v>
      </c>
      <c r="D463" s="8" t="s">
        <v>856</v>
      </c>
      <c r="E463" s="7">
        <v>0.0</v>
      </c>
      <c r="F463" s="7"/>
      <c r="G463" s="7" t="s">
        <v>312</v>
      </c>
      <c r="H463" s="7" t="s">
        <v>313</v>
      </c>
      <c r="I463" s="10"/>
      <c r="J463" s="11"/>
      <c r="K463" s="12"/>
      <c r="L463" s="12"/>
      <c r="M463" s="10"/>
      <c r="N463" s="10"/>
      <c r="O463" s="10"/>
      <c r="P463" s="10"/>
      <c r="Q463" s="10"/>
      <c r="R463" s="10"/>
      <c r="S463" s="10"/>
      <c r="T463" s="10"/>
      <c r="U463" s="10"/>
      <c r="V463" s="10"/>
      <c r="W463" s="10"/>
      <c r="X463" s="10"/>
      <c r="Y463" s="10"/>
      <c r="Z463" s="10"/>
      <c r="AA463" s="10"/>
      <c r="AB463" s="10"/>
      <c r="AC463" s="10"/>
      <c r="AD463" s="10"/>
      <c r="AE463" s="10"/>
      <c r="AF463" s="10"/>
    </row>
    <row r="464">
      <c r="A464" s="7"/>
      <c r="B464" s="8">
        <v>49.0</v>
      </c>
      <c r="C464" s="8">
        <v>16.0</v>
      </c>
      <c r="D464" s="8" t="s">
        <v>857</v>
      </c>
      <c r="E464" s="7">
        <v>0.0</v>
      </c>
      <c r="F464" s="7"/>
      <c r="G464" s="7" t="s">
        <v>312</v>
      </c>
      <c r="H464" s="7" t="s">
        <v>313</v>
      </c>
      <c r="I464" s="10"/>
      <c r="J464" s="11"/>
      <c r="K464" s="8" t="s">
        <v>858</v>
      </c>
      <c r="L464" s="12"/>
      <c r="M464" s="10"/>
      <c r="N464" s="10"/>
      <c r="O464" s="10"/>
      <c r="P464" s="10"/>
      <c r="Q464" s="10"/>
      <c r="R464" s="10"/>
      <c r="S464" s="10"/>
      <c r="T464" s="10"/>
      <c r="U464" s="10"/>
      <c r="V464" s="10"/>
      <c r="W464" s="10"/>
      <c r="X464" s="10"/>
      <c r="Y464" s="10"/>
      <c r="Z464" s="10"/>
      <c r="AA464" s="10"/>
      <c r="AB464" s="10"/>
      <c r="AC464" s="10"/>
      <c r="AD464" s="10"/>
      <c r="AE464" s="10"/>
      <c r="AF464" s="10"/>
    </row>
    <row r="465">
      <c r="A465" s="7"/>
      <c r="B465" s="8">
        <v>49.0</v>
      </c>
      <c r="C465" s="8">
        <v>17.0</v>
      </c>
      <c r="D465" s="8" t="s">
        <v>859</v>
      </c>
      <c r="E465" s="7">
        <v>0.0</v>
      </c>
      <c r="F465" s="7"/>
      <c r="G465" s="7" t="s">
        <v>312</v>
      </c>
      <c r="H465" s="7" t="s">
        <v>313</v>
      </c>
      <c r="I465" s="10"/>
      <c r="J465" s="11"/>
      <c r="K465" s="12"/>
      <c r="L465" s="12"/>
      <c r="M465" s="10"/>
      <c r="N465" s="10"/>
      <c r="O465" s="10"/>
      <c r="P465" s="10"/>
      <c r="Q465" s="10"/>
      <c r="R465" s="10"/>
      <c r="S465" s="10"/>
      <c r="T465" s="10"/>
      <c r="U465" s="10"/>
      <c r="V465" s="10"/>
      <c r="W465" s="10"/>
      <c r="X465" s="10"/>
      <c r="Y465" s="10"/>
      <c r="Z465" s="10"/>
      <c r="AA465" s="10"/>
      <c r="AB465" s="10"/>
      <c r="AC465" s="10"/>
      <c r="AD465" s="10"/>
      <c r="AE465" s="10"/>
      <c r="AF465" s="10"/>
    </row>
    <row r="466">
      <c r="A466" s="7"/>
      <c r="B466" s="8">
        <v>49.0</v>
      </c>
      <c r="C466" s="8">
        <v>18.0</v>
      </c>
      <c r="D466" s="8" t="s">
        <v>860</v>
      </c>
      <c r="E466" s="7">
        <v>0.0</v>
      </c>
      <c r="F466" s="7"/>
      <c r="G466" s="7" t="s">
        <v>312</v>
      </c>
      <c r="H466" s="7" t="s">
        <v>313</v>
      </c>
      <c r="I466" s="10"/>
      <c r="J466" s="11"/>
      <c r="K466" s="12"/>
      <c r="L466" s="12"/>
      <c r="M466" s="10"/>
      <c r="N466" s="10"/>
      <c r="O466" s="10"/>
      <c r="P466" s="10"/>
      <c r="Q466" s="10"/>
      <c r="R466" s="10"/>
      <c r="S466" s="10"/>
      <c r="T466" s="10"/>
      <c r="U466" s="10"/>
      <c r="V466" s="10"/>
      <c r="W466" s="10"/>
      <c r="X466" s="10"/>
      <c r="Y466" s="10"/>
      <c r="Z466" s="10"/>
      <c r="AA466" s="10"/>
      <c r="AB466" s="10"/>
      <c r="AC466" s="10"/>
      <c r="AD466" s="10"/>
      <c r="AE466" s="10"/>
      <c r="AF466" s="10"/>
    </row>
    <row r="467">
      <c r="A467" s="7"/>
      <c r="B467" s="8">
        <v>49.0</v>
      </c>
      <c r="C467" s="8">
        <v>19.0</v>
      </c>
      <c r="D467" s="8" t="s">
        <v>861</v>
      </c>
      <c r="E467" s="7">
        <v>0.0</v>
      </c>
      <c r="F467" s="7"/>
      <c r="G467" s="7" t="s">
        <v>312</v>
      </c>
      <c r="H467" s="7" t="s">
        <v>313</v>
      </c>
      <c r="I467" s="10"/>
      <c r="J467" s="11"/>
      <c r="K467" s="12"/>
      <c r="L467" s="12"/>
      <c r="M467" s="10"/>
      <c r="N467" s="10"/>
      <c r="O467" s="10"/>
      <c r="P467" s="10"/>
      <c r="Q467" s="10"/>
      <c r="R467" s="10"/>
      <c r="S467" s="10"/>
      <c r="T467" s="10"/>
      <c r="U467" s="10"/>
      <c r="V467" s="10"/>
      <c r="W467" s="10"/>
      <c r="X467" s="10"/>
      <c r="Y467" s="10"/>
      <c r="Z467" s="10"/>
      <c r="AA467" s="10"/>
      <c r="AB467" s="10"/>
      <c r="AC467" s="10"/>
      <c r="AD467" s="10"/>
      <c r="AE467" s="10"/>
      <c r="AF467" s="10"/>
    </row>
    <row r="468">
      <c r="A468" s="7"/>
      <c r="B468" s="8">
        <v>49.0</v>
      </c>
      <c r="C468" s="8">
        <v>20.0</v>
      </c>
      <c r="D468" s="8" t="s">
        <v>862</v>
      </c>
      <c r="E468" s="7">
        <v>0.0</v>
      </c>
      <c r="F468" s="7"/>
      <c r="G468" s="7" t="s">
        <v>312</v>
      </c>
      <c r="H468" s="7" t="s">
        <v>313</v>
      </c>
      <c r="I468" s="10"/>
      <c r="J468" s="11"/>
      <c r="K468" s="12"/>
      <c r="L468" s="12"/>
      <c r="M468" s="10"/>
      <c r="N468" s="10"/>
      <c r="O468" s="10"/>
      <c r="P468" s="10"/>
      <c r="Q468" s="10"/>
      <c r="R468" s="10"/>
      <c r="S468" s="10"/>
      <c r="T468" s="10"/>
      <c r="U468" s="10"/>
      <c r="V468" s="10"/>
      <c r="W468" s="10"/>
      <c r="X468" s="10"/>
      <c r="Y468" s="10"/>
      <c r="Z468" s="10"/>
      <c r="AA468" s="10"/>
      <c r="AB468" s="10"/>
      <c r="AC468" s="10"/>
      <c r="AD468" s="10"/>
      <c r="AE468" s="10"/>
      <c r="AF468" s="10"/>
    </row>
    <row r="469">
      <c r="A469" s="7"/>
      <c r="B469" s="8">
        <v>49.0</v>
      </c>
      <c r="C469" s="8">
        <v>21.0</v>
      </c>
      <c r="D469" s="8" t="s">
        <v>863</v>
      </c>
      <c r="E469" s="7">
        <v>0.0</v>
      </c>
      <c r="F469" s="7"/>
      <c r="G469" s="7" t="s">
        <v>312</v>
      </c>
      <c r="H469" s="7" t="s">
        <v>313</v>
      </c>
      <c r="I469" s="10"/>
      <c r="J469" s="11"/>
      <c r="K469" s="12"/>
      <c r="L469" s="12"/>
      <c r="M469" s="10"/>
      <c r="N469" s="10"/>
      <c r="O469" s="10"/>
      <c r="P469" s="10"/>
      <c r="Q469" s="10"/>
      <c r="R469" s="10"/>
      <c r="S469" s="10"/>
      <c r="T469" s="10"/>
      <c r="U469" s="10"/>
      <c r="V469" s="10"/>
      <c r="W469" s="10"/>
      <c r="X469" s="10"/>
      <c r="Y469" s="10"/>
      <c r="Z469" s="10"/>
      <c r="AA469" s="10"/>
      <c r="AB469" s="10"/>
      <c r="AC469" s="10"/>
      <c r="AD469" s="10"/>
      <c r="AE469" s="10"/>
      <c r="AF469" s="10"/>
    </row>
    <row r="470">
      <c r="A470" s="7"/>
      <c r="B470" s="8">
        <v>49.0</v>
      </c>
      <c r="C470" s="8">
        <v>22.0</v>
      </c>
      <c r="D470" s="8" t="s">
        <v>864</v>
      </c>
      <c r="E470" s="7">
        <v>0.0</v>
      </c>
      <c r="F470" s="7"/>
      <c r="G470" s="7" t="s">
        <v>312</v>
      </c>
      <c r="H470" s="7" t="s">
        <v>313</v>
      </c>
      <c r="I470" s="10"/>
      <c r="J470" s="11"/>
      <c r="K470" s="12"/>
      <c r="L470" s="12"/>
      <c r="M470" s="10"/>
      <c r="N470" s="10"/>
      <c r="O470" s="10"/>
      <c r="P470" s="10"/>
      <c r="Q470" s="10"/>
      <c r="R470" s="10"/>
      <c r="S470" s="10"/>
      <c r="T470" s="10"/>
      <c r="U470" s="10"/>
      <c r="V470" s="10"/>
      <c r="W470" s="10"/>
      <c r="X470" s="10"/>
      <c r="Y470" s="10"/>
      <c r="Z470" s="10"/>
      <c r="AA470" s="10"/>
      <c r="AB470" s="10"/>
      <c r="AC470" s="10"/>
      <c r="AD470" s="10"/>
      <c r="AE470" s="10"/>
      <c r="AF470" s="10"/>
    </row>
    <row r="471">
      <c r="A471" s="7"/>
      <c r="B471" s="8">
        <v>49.0</v>
      </c>
      <c r="C471" s="8">
        <v>23.0</v>
      </c>
      <c r="D471" s="8" t="s">
        <v>865</v>
      </c>
      <c r="E471" s="7">
        <v>0.0</v>
      </c>
      <c r="F471" s="7"/>
      <c r="G471" s="7" t="s">
        <v>312</v>
      </c>
      <c r="H471" s="7" t="s">
        <v>313</v>
      </c>
      <c r="I471" s="10"/>
      <c r="J471" s="11"/>
      <c r="K471" s="12"/>
      <c r="L471" s="12"/>
      <c r="M471" s="10"/>
      <c r="N471" s="10"/>
      <c r="O471" s="10"/>
      <c r="P471" s="10"/>
      <c r="Q471" s="10"/>
      <c r="R471" s="10"/>
      <c r="S471" s="10"/>
      <c r="T471" s="10"/>
      <c r="U471" s="10"/>
      <c r="V471" s="10"/>
      <c r="W471" s="10"/>
      <c r="X471" s="10"/>
      <c r="Y471" s="10"/>
      <c r="Z471" s="10"/>
      <c r="AA471" s="10"/>
      <c r="AB471" s="10"/>
      <c r="AC471" s="10"/>
      <c r="AD471" s="10"/>
      <c r="AE471" s="10"/>
      <c r="AF471" s="10"/>
    </row>
    <row r="472">
      <c r="A472" s="7"/>
      <c r="B472" s="8">
        <v>49.0</v>
      </c>
      <c r="C472" s="8">
        <v>24.0</v>
      </c>
      <c r="D472" s="8" t="s">
        <v>866</v>
      </c>
      <c r="E472" s="7">
        <v>0.0</v>
      </c>
      <c r="F472" s="7"/>
      <c r="G472" s="7" t="s">
        <v>312</v>
      </c>
      <c r="H472" s="7" t="s">
        <v>313</v>
      </c>
      <c r="I472" s="10"/>
      <c r="J472" s="11"/>
      <c r="K472" s="12"/>
      <c r="L472" s="12"/>
      <c r="M472" s="10"/>
      <c r="N472" s="10"/>
      <c r="O472" s="10"/>
      <c r="P472" s="10"/>
      <c r="Q472" s="10"/>
      <c r="R472" s="10"/>
      <c r="S472" s="10"/>
      <c r="T472" s="10"/>
      <c r="U472" s="10"/>
      <c r="V472" s="10"/>
      <c r="W472" s="10"/>
      <c r="X472" s="10"/>
      <c r="Y472" s="10"/>
      <c r="Z472" s="10"/>
      <c r="AA472" s="10"/>
      <c r="AB472" s="10"/>
      <c r="AC472" s="10"/>
      <c r="AD472" s="10"/>
      <c r="AE472" s="10"/>
      <c r="AF472" s="10"/>
    </row>
    <row r="473">
      <c r="A473" s="7"/>
      <c r="B473" s="8">
        <v>49.0</v>
      </c>
      <c r="C473" s="8">
        <v>25.0</v>
      </c>
      <c r="D473" s="8" t="s">
        <v>867</v>
      </c>
      <c r="E473" s="7">
        <v>0.0</v>
      </c>
      <c r="F473" s="7"/>
      <c r="G473" s="7" t="s">
        <v>312</v>
      </c>
      <c r="H473" s="7" t="s">
        <v>313</v>
      </c>
      <c r="I473" s="10"/>
      <c r="J473" s="11"/>
      <c r="K473" s="12"/>
      <c r="L473" s="12"/>
      <c r="M473" s="10"/>
      <c r="N473" s="10"/>
      <c r="O473" s="10"/>
      <c r="P473" s="10"/>
      <c r="Q473" s="10"/>
      <c r="R473" s="10"/>
      <c r="S473" s="10"/>
      <c r="T473" s="10"/>
      <c r="U473" s="10"/>
      <c r="V473" s="10"/>
      <c r="W473" s="10"/>
      <c r="X473" s="10"/>
      <c r="Y473" s="10"/>
      <c r="Z473" s="10"/>
      <c r="AA473" s="10"/>
      <c r="AB473" s="10"/>
      <c r="AC473" s="10"/>
      <c r="AD473" s="10"/>
      <c r="AE473" s="10"/>
      <c r="AF473" s="10"/>
    </row>
    <row r="474">
      <c r="A474" s="7"/>
      <c r="B474" s="8">
        <v>49.0</v>
      </c>
      <c r="C474" s="8">
        <v>26.0</v>
      </c>
      <c r="D474" s="8" t="s">
        <v>868</v>
      </c>
      <c r="E474" s="7">
        <v>0.0</v>
      </c>
      <c r="F474" s="7"/>
      <c r="G474" s="7" t="s">
        <v>312</v>
      </c>
      <c r="H474" s="7" t="s">
        <v>313</v>
      </c>
      <c r="I474" s="10"/>
      <c r="J474" s="11"/>
      <c r="K474" s="12"/>
      <c r="L474" s="12"/>
      <c r="M474" s="10"/>
      <c r="N474" s="10"/>
      <c r="O474" s="10"/>
      <c r="P474" s="10"/>
      <c r="Q474" s="10"/>
      <c r="R474" s="10"/>
      <c r="S474" s="10"/>
      <c r="T474" s="10"/>
      <c r="U474" s="10"/>
      <c r="V474" s="10"/>
      <c r="W474" s="10"/>
      <c r="X474" s="10"/>
      <c r="Y474" s="10"/>
      <c r="Z474" s="10"/>
      <c r="AA474" s="10"/>
      <c r="AB474" s="10"/>
      <c r="AC474" s="10"/>
      <c r="AD474" s="10"/>
      <c r="AE474" s="10"/>
      <c r="AF474" s="10"/>
    </row>
    <row r="475">
      <c r="A475" s="7"/>
      <c r="B475" s="8">
        <v>49.0</v>
      </c>
      <c r="C475" s="8">
        <v>27.0</v>
      </c>
      <c r="D475" s="8" t="s">
        <v>869</v>
      </c>
      <c r="E475" s="7">
        <v>0.0</v>
      </c>
      <c r="F475" s="7"/>
      <c r="G475" s="7" t="s">
        <v>312</v>
      </c>
      <c r="H475" s="7" t="s">
        <v>313</v>
      </c>
      <c r="I475" s="10"/>
      <c r="J475" s="11"/>
      <c r="K475" s="12"/>
      <c r="L475" s="12"/>
      <c r="M475" s="10"/>
      <c r="N475" s="10"/>
      <c r="O475" s="10"/>
      <c r="P475" s="10"/>
      <c r="Q475" s="10"/>
      <c r="R475" s="10"/>
      <c r="S475" s="10"/>
      <c r="T475" s="10"/>
      <c r="U475" s="10"/>
      <c r="V475" s="10"/>
      <c r="W475" s="10"/>
      <c r="X475" s="10"/>
      <c r="Y475" s="10"/>
      <c r="Z475" s="10"/>
      <c r="AA475" s="10"/>
      <c r="AB475" s="10"/>
      <c r="AC475" s="10"/>
      <c r="AD475" s="10"/>
      <c r="AE475" s="10"/>
      <c r="AF475" s="10"/>
    </row>
    <row r="476">
      <c r="A476" s="7"/>
      <c r="B476" s="8">
        <v>49.0</v>
      </c>
      <c r="C476" s="8">
        <v>28.0</v>
      </c>
      <c r="D476" s="8" t="s">
        <v>870</v>
      </c>
      <c r="E476" s="7">
        <v>1.0</v>
      </c>
      <c r="F476" s="7"/>
      <c r="G476" s="7" t="s">
        <v>312</v>
      </c>
      <c r="H476" s="7" t="s">
        <v>313</v>
      </c>
      <c r="I476" s="10"/>
      <c r="J476" s="11"/>
      <c r="K476" s="12"/>
      <c r="L476" s="12"/>
      <c r="M476" s="10"/>
      <c r="N476" s="10"/>
      <c r="O476" s="10"/>
      <c r="P476" s="10"/>
      <c r="Q476" s="10"/>
      <c r="R476" s="10"/>
      <c r="S476" s="10"/>
      <c r="T476" s="10"/>
      <c r="U476" s="10"/>
      <c r="V476" s="10"/>
      <c r="W476" s="10"/>
      <c r="X476" s="10"/>
      <c r="Y476" s="10"/>
      <c r="Z476" s="10"/>
      <c r="AA476" s="10"/>
      <c r="AB476" s="10"/>
      <c r="AC476" s="10"/>
      <c r="AD476" s="10"/>
      <c r="AE476" s="10"/>
      <c r="AF476" s="10"/>
    </row>
    <row r="477">
      <c r="A477" s="7"/>
      <c r="B477" s="8">
        <v>49.0</v>
      </c>
      <c r="C477" s="8">
        <v>29.0</v>
      </c>
      <c r="D477" s="8" t="s">
        <v>871</v>
      </c>
      <c r="E477" s="7">
        <v>0.0</v>
      </c>
      <c r="F477" s="7"/>
      <c r="G477" s="7" t="s">
        <v>312</v>
      </c>
      <c r="H477" s="7" t="s">
        <v>313</v>
      </c>
      <c r="I477" s="10"/>
      <c r="J477" s="11"/>
      <c r="K477" s="12"/>
      <c r="L477" s="12"/>
      <c r="M477" s="10"/>
      <c r="N477" s="10"/>
      <c r="O477" s="10"/>
      <c r="P477" s="10"/>
      <c r="Q477" s="10"/>
      <c r="R477" s="10"/>
      <c r="S477" s="10"/>
      <c r="T477" s="10"/>
      <c r="U477" s="10"/>
      <c r="V477" s="10"/>
      <c r="W477" s="10"/>
      <c r="X477" s="10"/>
      <c r="Y477" s="10"/>
      <c r="Z477" s="10"/>
      <c r="AA477" s="10"/>
      <c r="AB477" s="10"/>
      <c r="AC477" s="10"/>
      <c r="AD477" s="10"/>
      <c r="AE477" s="10"/>
      <c r="AF477" s="10"/>
    </row>
    <row r="478">
      <c r="A478" s="7"/>
      <c r="B478" s="8">
        <v>49.0</v>
      </c>
      <c r="C478" s="8">
        <v>30.0</v>
      </c>
      <c r="D478" s="8" t="s">
        <v>872</v>
      </c>
      <c r="E478" s="7">
        <v>0.0</v>
      </c>
      <c r="F478" s="7"/>
      <c r="G478" s="7" t="s">
        <v>312</v>
      </c>
      <c r="H478" s="7" t="s">
        <v>313</v>
      </c>
      <c r="I478" s="10"/>
      <c r="J478" s="11"/>
      <c r="K478" s="12"/>
      <c r="L478" s="12"/>
      <c r="M478" s="10"/>
      <c r="N478" s="10"/>
      <c r="O478" s="10"/>
      <c r="P478" s="10"/>
      <c r="Q478" s="10"/>
      <c r="R478" s="10"/>
      <c r="S478" s="10"/>
      <c r="T478" s="10"/>
      <c r="U478" s="10"/>
      <c r="V478" s="10"/>
      <c r="W478" s="10"/>
      <c r="X478" s="10"/>
      <c r="Y478" s="10"/>
      <c r="Z478" s="10"/>
      <c r="AA478" s="10"/>
      <c r="AB478" s="10"/>
      <c r="AC478" s="10"/>
      <c r="AD478" s="10"/>
      <c r="AE478" s="10"/>
      <c r="AF478" s="10"/>
    </row>
    <row r="479">
      <c r="A479" s="7"/>
      <c r="B479" s="8">
        <v>49.0</v>
      </c>
      <c r="C479" s="8">
        <v>31.0</v>
      </c>
      <c r="D479" s="8" t="s">
        <v>873</v>
      </c>
      <c r="E479" s="7">
        <v>1.0</v>
      </c>
      <c r="F479" s="7"/>
      <c r="G479" s="7" t="s">
        <v>312</v>
      </c>
      <c r="H479" s="7" t="s">
        <v>313</v>
      </c>
      <c r="I479" s="10"/>
      <c r="J479" s="11"/>
      <c r="K479" s="12"/>
      <c r="L479" s="12"/>
      <c r="M479" s="10"/>
      <c r="N479" s="10"/>
      <c r="O479" s="10"/>
      <c r="P479" s="10"/>
      <c r="Q479" s="10"/>
      <c r="R479" s="10"/>
      <c r="S479" s="10"/>
      <c r="T479" s="10"/>
      <c r="U479" s="10"/>
      <c r="V479" s="10"/>
      <c r="W479" s="10"/>
      <c r="X479" s="10"/>
      <c r="Y479" s="10"/>
      <c r="Z479" s="10"/>
      <c r="AA479" s="10"/>
      <c r="AB479" s="10"/>
      <c r="AC479" s="10"/>
      <c r="AD479" s="10"/>
      <c r="AE479" s="10"/>
      <c r="AF479" s="10"/>
    </row>
    <row r="480">
      <c r="A480" s="7"/>
      <c r="B480" s="8">
        <v>49.0</v>
      </c>
      <c r="C480" s="8">
        <v>32.0</v>
      </c>
      <c r="D480" s="8" t="s">
        <v>874</v>
      </c>
      <c r="E480" s="7">
        <v>0.0</v>
      </c>
      <c r="F480" s="7"/>
      <c r="G480" s="7" t="s">
        <v>312</v>
      </c>
      <c r="H480" s="7" t="s">
        <v>313</v>
      </c>
      <c r="I480" s="10"/>
      <c r="J480" s="11"/>
      <c r="K480" s="12"/>
      <c r="L480" s="12"/>
      <c r="M480" s="10"/>
      <c r="N480" s="10"/>
      <c r="O480" s="10"/>
      <c r="P480" s="10"/>
      <c r="Q480" s="10"/>
      <c r="R480" s="10"/>
      <c r="S480" s="10"/>
      <c r="T480" s="10"/>
      <c r="U480" s="10"/>
      <c r="V480" s="10"/>
      <c r="W480" s="10"/>
      <c r="X480" s="10"/>
      <c r="Y480" s="10"/>
      <c r="Z480" s="10"/>
      <c r="AA480" s="10"/>
      <c r="AB480" s="10"/>
      <c r="AC480" s="10"/>
      <c r="AD480" s="10"/>
      <c r="AE480" s="10"/>
      <c r="AF480" s="10"/>
    </row>
    <row r="481">
      <c r="A481" s="7"/>
      <c r="B481" s="8">
        <v>49.0</v>
      </c>
      <c r="C481" s="8">
        <v>33.0</v>
      </c>
      <c r="D481" s="8" t="s">
        <v>875</v>
      </c>
      <c r="E481" s="7">
        <v>0.0</v>
      </c>
      <c r="F481" s="7"/>
      <c r="G481" s="7" t="s">
        <v>312</v>
      </c>
      <c r="H481" s="7" t="s">
        <v>313</v>
      </c>
      <c r="I481" s="10"/>
      <c r="J481" s="11"/>
      <c r="K481" s="12"/>
      <c r="L481" s="12"/>
      <c r="M481" s="10"/>
      <c r="N481" s="10"/>
      <c r="O481" s="10"/>
      <c r="P481" s="10"/>
      <c r="Q481" s="10"/>
      <c r="R481" s="10"/>
      <c r="S481" s="10"/>
      <c r="T481" s="10"/>
      <c r="U481" s="10"/>
      <c r="V481" s="10"/>
      <c r="W481" s="10"/>
      <c r="X481" s="10"/>
      <c r="Y481" s="10"/>
      <c r="Z481" s="10"/>
      <c r="AA481" s="10"/>
      <c r="AB481" s="10"/>
      <c r="AC481" s="10"/>
      <c r="AD481" s="10"/>
      <c r="AE481" s="10"/>
      <c r="AF481" s="10"/>
    </row>
    <row r="482">
      <c r="A482" s="7"/>
      <c r="B482" s="8">
        <v>49.0</v>
      </c>
      <c r="C482" s="8">
        <v>34.0</v>
      </c>
      <c r="D482" s="8" t="s">
        <v>876</v>
      </c>
      <c r="E482" s="7">
        <v>0.0</v>
      </c>
      <c r="F482" s="7"/>
      <c r="G482" s="7" t="s">
        <v>312</v>
      </c>
      <c r="H482" s="7" t="s">
        <v>313</v>
      </c>
      <c r="I482" s="10"/>
      <c r="J482" s="11"/>
      <c r="K482" s="12"/>
      <c r="L482" s="12"/>
      <c r="M482" s="10"/>
      <c r="N482" s="10"/>
      <c r="O482" s="10"/>
      <c r="P482" s="10"/>
      <c r="Q482" s="10"/>
      <c r="R482" s="10"/>
      <c r="S482" s="10"/>
      <c r="T482" s="10"/>
      <c r="U482" s="10"/>
      <c r="V482" s="10"/>
      <c r="W482" s="10"/>
      <c r="X482" s="10"/>
      <c r="Y482" s="10"/>
      <c r="Z482" s="10"/>
      <c r="AA482" s="10"/>
      <c r="AB482" s="10"/>
      <c r="AC482" s="10"/>
      <c r="AD482" s="10"/>
      <c r="AE482" s="10"/>
      <c r="AF482" s="10"/>
    </row>
    <row r="483">
      <c r="A483" s="7"/>
      <c r="B483" s="8">
        <v>49.0</v>
      </c>
      <c r="C483" s="8">
        <v>35.0</v>
      </c>
      <c r="D483" s="8" t="s">
        <v>877</v>
      </c>
      <c r="E483" s="7">
        <v>0.0</v>
      </c>
      <c r="F483" s="7"/>
      <c r="G483" s="7" t="s">
        <v>312</v>
      </c>
      <c r="H483" s="7" t="s">
        <v>313</v>
      </c>
      <c r="I483" s="10"/>
      <c r="J483" s="11"/>
      <c r="K483" s="12"/>
      <c r="L483" s="12"/>
      <c r="M483" s="10"/>
      <c r="N483" s="10"/>
      <c r="O483" s="10"/>
      <c r="P483" s="10"/>
      <c r="Q483" s="10"/>
      <c r="R483" s="10"/>
      <c r="S483" s="10"/>
      <c r="T483" s="10"/>
      <c r="U483" s="10"/>
      <c r="V483" s="10"/>
      <c r="W483" s="10"/>
      <c r="X483" s="10"/>
      <c r="Y483" s="10"/>
      <c r="Z483" s="10"/>
      <c r="AA483" s="10"/>
      <c r="AB483" s="10"/>
      <c r="AC483" s="10"/>
      <c r="AD483" s="10"/>
      <c r="AE483" s="10"/>
      <c r="AF483" s="10"/>
    </row>
    <row r="484">
      <c r="A484" s="7"/>
      <c r="B484" s="8">
        <v>49.0</v>
      </c>
      <c r="C484" s="8">
        <v>36.0</v>
      </c>
      <c r="D484" s="8" t="s">
        <v>878</v>
      </c>
      <c r="E484" s="7">
        <v>2.0</v>
      </c>
      <c r="F484" s="7"/>
      <c r="G484" s="7" t="s">
        <v>312</v>
      </c>
      <c r="H484" s="7" t="s">
        <v>313</v>
      </c>
      <c r="I484" s="7" t="s">
        <v>366</v>
      </c>
      <c r="J484" s="16" t="s">
        <v>850</v>
      </c>
      <c r="K484" s="20" t="s">
        <v>851</v>
      </c>
      <c r="L484" s="12"/>
      <c r="M484" s="10"/>
      <c r="N484" s="10"/>
      <c r="O484" s="10"/>
      <c r="P484" s="10"/>
      <c r="Q484" s="10"/>
      <c r="R484" s="10"/>
      <c r="S484" s="10"/>
      <c r="T484" s="10"/>
      <c r="U484" s="10"/>
      <c r="V484" s="10"/>
      <c r="W484" s="10"/>
      <c r="X484" s="10"/>
      <c r="Y484" s="10"/>
      <c r="Z484" s="10"/>
      <c r="AA484" s="10"/>
      <c r="AB484" s="10"/>
      <c r="AC484" s="10"/>
      <c r="AD484" s="10"/>
      <c r="AE484" s="10"/>
      <c r="AF484" s="10"/>
    </row>
    <row r="485">
      <c r="A485" s="21" t="s">
        <v>50</v>
      </c>
      <c r="B485" s="12"/>
      <c r="C485" s="12"/>
      <c r="D485" s="12"/>
      <c r="E485" s="10"/>
      <c r="F485" s="10"/>
      <c r="G485" s="10"/>
      <c r="H485" s="10"/>
      <c r="I485" s="10"/>
      <c r="J485" s="11"/>
      <c r="K485" s="12"/>
      <c r="L485" s="12"/>
      <c r="M485" s="10"/>
      <c r="N485" s="10"/>
      <c r="O485" s="10"/>
      <c r="P485" s="10"/>
      <c r="Q485" s="10"/>
      <c r="R485" s="10"/>
      <c r="S485" s="10"/>
      <c r="T485" s="10"/>
      <c r="U485" s="10"/>
      <c r="V485" s="10"/>
      <c r="W485" s="10"/>
      <c r="X485" s="10"/>
      <c r="Y485" s="10"/>
      <c r="Z485" s="10"/>
      <c r="AA485" s="10"/>
      <c r="AB485" s="10"/>
      <c r="AC485" s="10"/>
      <c r="AD485" s="10"/>
      <c r="AE485" s="10"/>
      <c r="AF485" s="10"/>
    </row>
    <row r="486">
      <c r="A486" s="7"/>
      <c r="B486" s="8">
        <v>50.0</v>
      </c>
      <c r="C486" s="8">
        <v>1.0</v>
      </c>
      <c r="D486" s="8" t="s">
        <v>879</v>
      </c>
      <c r="E486" s="7">
        <v>0.0</v>
      </c>
      <c r="F486" s="7"/>
      <c r="G486" s="7" t="s">
        <v>312</v>
      </c>
      <c r="H486" s="7" t="s">
        <v>313</v>
      </c>
      <c r="I486" s="10"/>
      <c r="J486" s="9" t="s">
        <v>880</v>
      </c>
      <c r="K486" s="12"/>
      <c r="L486" s="12"/>
      <c r="M486" s="10"/>
      <c r="N486" s="10"/>
      <c r="O486" s="10"/>
      <c r="P486" s="10"/>
      <c r="Q486" s="10"/>
      <c r="R486" s="10"/>
      <c r="S486" s="10"/>
      <c r="T486" s="10"/>
      <c r="U486" s="10"/>
      <c r="V486" s="10"/>
      <c r="W486" s="10"/>
      <c r="X486" s="10"/>
      <c r="Y486" s="10"/>
      <c r="Z486" s="10"/>
      <c r="AA486" s="10"/>
      <c r="AB486" s="10"/>
      <c r="AC486" s="10"/>
      <c r="AD486" s="10"/>
      <c r="AE486" s="10"/>
      <c r="AF486" s="10"/>
    </row>
    <row r="487">
      <c r="A487" s="7"/>
      <c r="B487" s="8">
        <v>50.0</v>
      </c>
      <c r="C487" s="8">
        <v>2.0</v>
      </c>
      <c r="D487" s="8" t="s">
        <v>881</v>
      </c>
      <c r="E487" s="7">
        <v>1.0</v>
      </c>
      <c r="F487" s="7" t="s">
        <v>320</v>
      </c>
      <c r="G487" s="7" t="s">
        <v>312</v>
      </c>
      <c r="H487" s="7" t="s">
        <v>313</v>
      </c>
      <c r="I487" s="7" t="s">
        <v>366</v>
      </c>
      <c r="J487" s="9" t="s">
        <v>882</v>
      </c>
      <c r="K487" s="12"/>
      <c r="L487" s="12"/>
      <c r="M487" s="10"/>
      <c r="N487" s="10"/>
      <c r="O487" s="10"/>
      <c r="P487" s="10"/>
      <c r="Q487" s="10"/>
      <c r="R487" s="10"/>
      <c r="S487" s="10"/>
      <c r="T487" s="10"/>
      <c r="U487" s="10"/>
      <c r="V487" s="10"/>
      <c r="W487" s="10"/>
      <c r="X487" s="10"/>
      <c r="Y487" s="10"/>
      <c r="Z487" s="10"/>
      <c r="AA487" s="10"/>
      <c r="AB487" s="10"/>
      <c r="AC487" s="10"/>
      <c r="AD487" s="10"/>
      <c r="AE487" s="10"/>
      <c r="AF487" s="10"/>
    </row>
    <row r="488">
      <c r="A488" s="7"/>
      <c r="B488" s="8">
        <v>50.0</v>
      </c>
      <c r="C488" s="8">
        <v>3.0</v>
      </c>
      <c r="D488" s="8" t="s">
        <v>883</v>
      </c>
      <c r="E488" s="7">
        <v>0.0</v>
      </c>
      <c r="F488" s="7"/>
      <c r="G488" s="7" t="s">
        <v>312</v>
      </c>
      <c r="H488" s="7" t="s">
        <v>313</v>
      </c>
      <c r="I488" s="10"/>
      <c r="J488" s="11"/>
      <c r="K488" s="12"/>
      <c r="L488" s="12"/>
      <c r="M488" s="10"/>
      <c r="N488" s="10"/>
      <c r="O488" s="10"/>
      <c r="P488" s="10"/>
      <c r="Q488" s="10"/>
      <c r="R488" s="10"/>
      <c r="S488" s="10"/>
      <c r="T488" s="10"/>
      <c r="U488" s="10"/>
      <c r="V488" s="10"/>
      <c r="W488" s="10"/>
      <c r="X488" s="10"/>
      <c r="Y488" s="10"/>
      <c r="Z488" s="10"/>
      <c r="AA488" s="10"/>
      <c r="AB488" s="10"/>
      <c r="AC488" s="10"/>
      <c r="AD488" s="10"/>
      <c r="AE488" s="10"/>
      <c r="AF488" s="10"/>
    </row>
    <row r="489">
      <c r="A489" s="7"/>
      <c r="B489" s="8">
        <v>50.0</v>
      </c>
      <c r="C489" s="8">
        <v>4.0</v>
      </c>
      <c r="D489" s="8" t="s">
        <v>884</v>
      </c>
      <c r="E489" s="7">
        <v>0.0</v>
      </c>
      <c r="F489" s="7"/>
      <c r="G489" s="7" t="s">
        <v>312</v>
      </c>
      <c r="H489" s="7" t="s">
        <v>313</v>
      </c>
      <c r="I489" s="10"/>
      <c r="J489" s="11"/>
      <c r="K489" s="12"/>
      <c r="L489" s="12"/>
      <c r="M489" s="10"/>
      <c r="N489" s="10"/>
      <c r="O489" s="10"/>
      <c r="P489" s="10"/>
      <c r="Q489" s="10"/>
      <c r="R489" s="10"/>
      <c r="S489" s="10"/>
      <c r="T489" s="10"/>
      <c r="U489" s="10"/>
      <c r="V489" s="10"/>
      <c r="W489" s="10"/>
      <c r="X489" s="10"/>
      <c r="Y489" s="10"/>
      <c r="Z489" s="10"/>
      <c r="AA489" s="10"/>
      <c r="AB489" s="10"/>
      <c r="AC489" s="10"/>
      <c r="AD489" s="10"/>
      <c r="AE489" s="10"/>
      <c r="AF489" s="10"/>
    </row>
    <row r="490">
      <c r="A490" s="7"/>
      <c r="B490" s="8">
        <v>50.0</v>
      </c>
      <c r="C490" s="8">
        <v>5.0</v>
      </c>
      <c r="D490" s="8" t="s">
        <v>885</v>
      </c>
      <c r="E490" s="7">
        <v>1.0</v>
      </c>
      <c r="F490" s="7" t="s">
        <v>320</v>
      </c>
      <c r="G490" s="7" t="s">
        <v>312</v>
      </c>
      <c r="H490" s="7" t="s">
        <v>313</v>
      </c>
      <c r="I490" s="7" t="s">
        <v>366</v>
      </c>
      <c r="J490" s="9" t="s">
        <v>886</v>
      </c>
      <c r="K490" s="12"/>
      <c r="L490" s="12"/>
      <c r="M490" s="10"/>
      <c r="N490" s="10"/>
      <c r="O490" s="10"/>
      <c r="P490" s="10"/>
      <c r="Q490" s="10"/>
      <c r="R490" s="10"/>
      <c r="S490" s="10"/>
      <c r="T490" s="10"/>
      <c r="U490" s="10"/>
      <c r="V490" s="10"/>
      <c r="W490" s="10"/>
      <c r="X490" s="10"/>
      <c r="Y490" s="10"/>
      <c r="Z490" s="10"/>
      <c r="AA490" s="10"/>
      <c r="AB490" s="10"/>
      <c r="AC490" s="10"/>
      <c r="AD490" s="10"/>
      <c r="AE490" s="10"/>
      <c r="AF490" s="10"/>
    </row>
    <row r="491">
      <c r="A491" s="7"/>
      <c r="B491" s="8">
        <v>50.0</v>
      </c>
      <c r="C491" s="8">
        <v>6.0</v>
      </c>
      <c r="D491" s="8" t="s">
        <v>887</v>
      </c>
      <c r="E491" s="7">
        <v>1.0</v>
      </c>
      <c r="F491" s="7" t="s">
        <v>320</v>
      </c>
      <c r="G491" s="7" t="s">
        <v>312</v>
      </c>
      <c r="H491" s="7" t="s">
        <v>313</v>
      </c>
      <c r="I491" s="7" t="s">
        <v>366</v>
      </c>
      <c r="J491" s="9" t="s">
        <v>888</v>
      </c>
      <c r="K491" s="12"/>
      <c r="L491" s="12"/>
      <c r="M491" s="10"/>
      <c r="N491" s="10"/>
      <c r="O491" s="10"/>
      <c r="P491" s="10"/>
      <c r="Q491" s="10"/>
      <c r="R491" s="10"/>
      <c r="S491" s="10"/>
      <c r="T491" s="10"/>
      <c r="U491" s="10"/>
      <c r="V491" s="10"/>
      <c r="W491" s="10"/>
      <c r="X491" s="10"/>
      <c r="Y491" s="10"/>
      <c r="Z491" s="10"/>
      <c r="AA491" s="10"/>
      <c r="AB491" s="10"/>
      <c r="AC491" s="10"/>
      <c r="AD491" s="10"/>
      <c r="AE491" s="10"/>
      <c r="AF491" s="10"/>
    </row>
    <row r="492">
      <c r="A492" s="7"/>
      <c r="B492" s="8">
        <v>50.0</v>
      </c>
      <c r="C492" s="8">
        <v>7.0</v>
      </c>
      <c r="D492" s="8" t="s">
        <v>889</v>
      </c>
      <c r="E492" s="7">
        <v>0.0</v>
      </c>
      <c r="F492" s="7"/>
      <c r="G492" s="7" t="s">
        <v>312</v>
      </c>
      <c r="H492" s="7" t="s">
        <v>313</v>
      </c>
      <c r="I492" s="10"/>
      <c r="J492" s="11"/>
      <c r="K492" s="12"/>
      <c r="L492" s="12"/>
      <c r="M492" s="10"/>
      <c r="N492" s="10"/>
      <c r="O492" s="10"/>
      <c r="P492" s="10"/>
      <c r="Q492" s="10"/>
      <c r="R492" s="10"/>
      <c r="S492" s="10"/>
      <c r="T492" s="10"/>
      <c r="U492" s="10"/>
      <c r="V492" s="10"/>
      <c r="W492" s="10"/>
      <c r="X492" s="10"/>
      <c r="Y492" s="10"/>
      <c r="Z492" s="10"/>
      <c r="AA492" s="10"/>
      <c r="AB492" s="10"/>
      <c r="AC492" s="10"/>
      <c r="AD492" s="10"/>
      <c r="AE492" s="10"/>
      <c r="AF492" s="10"/>
    </row>
    <row r="493">
      <c r="A493" s="7"/>
      <c r="B493" s="8">
        <v>50.0</v>
      </c>
      <c r="C493" s="8">
        <v>8.0</v>
      </c>
      <c r="D493" s="8" t="s">
        <v>890</v>
      </c>
      <c r="E493" s="7">
        <v>0.0</v>
      </c>
      <c r="F493" s="7"/>
      <c r="G493" s="7" t="s">
        <v>312</v>
      </c>
      <c r="H493" s="7" t="s">
        <v>313</v>
      </c>
      <c r="I493" s="10"/>
      <c r="J493" s="11"/>
      <c r="K493" s="12"/>
      <c r="L493" s="12"/>
      <c r="M493" s="10"/>
      <c r="N493" s="10"/>
      <c r="O493" s="10"/>
      <c r="P493" s="10"/>
      <c r="Q493" s="10"/>
      <c r="R493" s="10"/>
      <c r="S493" s="10"/>
      <c r="T493" s="10"/>
      <c r="U493" s="10"/>
      <c r="V493" s="10"/>
      <c r="W493" s="10"/>
      <c r="X493" s="10"/>
      <c r="Y493" s="10"/>
      <c r="Z493" s="10"/>
      <c r="AA493" s="10"/>
      <c r="AB493" s="10"/>
      <c r="AC493" s="10"/>
      <c r="AD493" s="10"/>
      <c r="AE493" s="10"/>
      <c r="AF493" s="10"/>
    </row>
    <row r="494">
      <c r="A494" s="7"/>
      <c r="B494" s="8">
        <v>50.0</v>
      </c>
      <c r="C494" s="8">
        <v>9.0</v>
      </c>
      <c r="D494" s="8" t="s">
        <v>891</v>
      </c>
      <c r="E494" s="7">
        <v>1.0</v>
      </c>
      <c r="F494" s="7" t="s">
        <v>320</v>
      </c>
      <c r="G494" s="7" t="s">
        <v>312</v>
      </c>
      <c r="H494" s="7" t="s">
        <v>313</v>
      </c>
      <c r="I494" s="7" t="s">
        <v>366</v>
      </c>
      <c r="J494" s="9" t="s">
        <v>892</v>
      </c>
      <c r="K494" s="12"/>
      <c r="L494" s="12"/>
      <c r="M494" s="10"/>
      <c r="N494" s="10"/>
      <c r="O494" s="10"/>
      <c r="P494" s="10"/>
      <c r="Q494" s="10"/>
      <c r="R494" s="10"/>
      <c r="S494" s="10"/>
      <c r="T494" s="10"/>
      <c r="U494" s="10"/>
      <c r="V494" s="10"/>
      <c r="W494" s="10"/>
      <c r="X494" s="10"/>
      <c r="Y494" s="10"/>
      <c r="Z494" s="10"/>
      <c r="AA494" s="10"/>
      <c r="AB494" s="10"/>
      <c r="AC494" s="10"/>
      <c r="AD494" s="10"/>
      <c r="AE494" s="10"/>
      <c r="AF494" s="10"/>
    </row>
    <row r="495">
      <c r="A495" s="7"/>
      <c r="B495" s="8">
        <v>50.0</v>
      </c>
      <c r="C495" s="8">
        <v>10.0</v>
      </c>
      <c r="D495" s="8" t="s">
        <v>893</v>
      </c>
      <c r="E495" s="7">
        <v>1.0</v>
      </c>
      <c r="F495" s="7" t="s">
        <v>320</v>
      </c>
      <c r="G495" s="7" t="s">
        <v>312</v>
      </c>
      <c r="H495" s="7" t="s">
        <v>313</v>
      </c>
      <c r="I495" s="7" t="s">
        <v>366</v>
      </c>
      <c r="J495" s="9" t="s">
        <v>894</v>
      </c>
      <c r="K495" s="12"/>
      <c r="L495" s="12"/>
      <c r="M495" s="10"/>
      <c r="N495" s="10"/>
      <c r="O495" s="10"/>
      <c r="P495" s="10"/>
      <c r="Q495" s="10"/>
      <c r="R495" s="10"/>
      <c r="S495" s="10"/>
      <c r="T495" s="10"/>
      <c r="U495" s="10"/>
      <c r="V495" s="10"/>
      <c r="W495" s="10"/>
      <c r="X495" s="10"/>
      <c r="Y495" s="10"/>
      <c r="Z495" s="10"/>
      <c r="AA495" s="10"/>
      <c r="AB495" s="10"/>
      <c r="AC495" s="10"/>
      <c r="AD495" s="10"/>
      <c r="AE495" s="10"/>
      <c r="AF495" s="10"/>
    </row>
    <row r="496">
      <c r="A496" s="7"/>
      <c r="B496" s="8">
        <v>50.0</v>
      </c>
      <c r="C496" s="8">
        <v>11.0</v>
      </c>
      <c r="D496" s="8" t="s">
        <v>895</v>
      </c>
      <c r="E496" s="7">
        <v>1.0</v>
      </c>
      <c r="F496" s="7" t="s">
        <v>320</v>
      </c>
      <c r="G496" s="7" t="s">
        <v>312</v>
      </c>
      <c r="H496" s="7" t="s">
        <v>313</v>
      </c>
      <c r="I496" s="7" t="s">
        <v>366</v>
      </c>
      <c r="J496" s="9" t="s">
        <v>892</v>
      </c>
      <c r="K496" s="12"/>
      <c r="L496" s="12"/>
      <c r="M496" s="10"/>
      <c r="N496" s="10"/>
      <c r="O496" s="10"/>
      <c r="P496" s="10"/>
      <c r="Q496" s="10"/>
      <c r="R496" s="10"/>
      <c r="S496" s="10"/>
      <c r="T496" s="10"/>
      <c r="U496" s="10"/>
      <c r="V496" s="10"/>
      <c r="W496" s="10"/>
      <c r="X496" s="10"/>
      <c r="Y496" s="10"/>
      <c r="Z496" s="10"/>
      <c r="AA496" s="10"/>
      <c r="AB496" s="10"/>
      <c r="AC496" s="10"/>
      <c r="AD496" s="10"/>
      <c r="AE496" s="10"/>
      <c r="AF496" s="10"/>
    </row>
    <row r="497">
      <c r="A497" s="7"/>
      <c r="B497" s="8">
        <v>50.0</v>
      </c>
      <c r="C497" s="8">
        <v>12.0</v>
      </c>
      <c r="D497" s="8" t="s">
        <v>896</v>
      </c>
      <c r="E497" s="7">
        <v>0.0</v>
      </c>
      <c r="F497" s="7"/>
      <c r="G497" s="7" t="s">
        <v>312</v>
      </c>
      <c r="H497" s="7" t="s">
        <v>313</v>
      </c>
      <c r="I497" s="10"/>
      <c r="J497" s="11"/>
      <c r="K497" s="12"/>
      <c r="L497" s="12"/>
      <c r="M497" s="10"/>
      <c r="N497" s="10"/>
      <c r="O497" s="10"/>
      <c r="P497" s="10"/>
      <c r="Q497" s="10"/>
      <c r="R497" s="10"/>
      <c r="S497" s="10"/>
      <c r="T497" s="10"/>
      <c r="U497" s="10"/>
      <c r="V497" s="10"/>
      <c r="W497" s="10"/>
      <c r="X497" s="10"/>
      <c r="Y497" s="10"/>
      <c r="Z497" s="10"/>
      <c r="AA497" s="10"/>
      <c r="AB497" s="10"/>
      <c r="AC497" s="10"/>
      <c r="AD497" s="10"/>
      <c r="AE497" s="10"/>
      <c r="AF497" s="10"/>
    </row>
    <row r="498">
      <c r="A498" s="7"/>
      <c r="B498" s="8">
        <v>50.0</v>
      </c>
      <c r="C498" s="8">
        <v>13.0</v>
      </c>
      <c r="D498" s="8" t="s">
        <v>897</v>
      </c>
      <c r="E498" s="7">
        <v>0.0</v>
      </c>
      <c r="F498" s="7"/>
      <c r="G498" s="7" t="s">
        <v>312</v>
      </c>
      <c r="H498" s="7" t="s">
        <v>313</v>
      </c>
      <c r="I498" s="10"/>
      <c r="J498" s="11"/>
      <c r="K498" s="12"/>
      <c r="L498" s="12"/>
      <c r="M498" s="10"/>
      <c r="N498" s="10"/>
      <c r="O498" s="10"/>
      <c r="P498" s="10"/>
      <c r="Q498" s="10"/>
      <c r="R498" s="10"/>
      <c r="S498" s="10"/>
      <c r="T498" s="10"/>
      <c r="U498" s="10"/>
      <c r="V498" s="10"/>
      <c r="W498" s="10"/>
      <c r="X498" s="10"/>
      <c r="Y498" s="10"/>
      <c r="Z498" s="10"/>
      <c r="AA498" s="10"/>
      <c r="AB498" s="10"/>
      <c r="AC498" s="10"/>
      <c r="AD498" s="10"/>
      <c r="AE498" s="10"/>
      <c r="AF498" s="10"/>
    </row>
    <row r="499">
      <c r="A499" s="7"/>
      <c r="B499" s="8">
        <v>50.0</v>
      </c>
      <c r="C499" s="8">
        <v>14.0</v>
      </c>
      <c r="D499" s="8" t="s">
        <v>898</v>
      </c>
      <c r="E499" s="7">
        <v>1.0</v>
      </c>
      <c r="F499" s="7"/>
      <c r="G499" s="7" t="s">
        <v>312</v>
      </c>
      <c r="H499" s="7" t="s">
        <v>313</v>
      </c>
      <c r="I499" s="10"/>
      <c r="J499" s="11"/>
      <c r="K499" s="12"/>
      <c r="L499" s="12"/>
      <c r="M499" s="10"/>
      <c r="N499" s="10"/>
      <c r="O499" s="10"/>
      <c r="P499" s="10"/>
      <c r="Q499" s="10"/>
      <c r="R499" s="10"/>
      <c r="S499" s="10"/>
      <c r="T499" s="10"/>
      <c r="U499" s="10"/>
      <c r="V499" s="10"/>
      <c r="W499" s="10"/>
      <c r="X499" s="10"/>
      <c r="Y499" s="10"/>
      <c r="Z499" s="10"/>
      <c r="AA499" s="10"/>
      <c r="AB499" s="10"/>
      <c r="AC499" s="10"/>
      <c r="AD499" s="10"/>
      <c r="AE499" s="10"/>
      <c r="AF499" s="10"/>
    </row>
    <row r="500">
      <c r="A500" s="7"/>
      <c r="B500" s="8">
        <v>50.0</v>
      </c>
      <c r="C500" s="8">
        <v>15.0</v>
      </c>
      <c r="D500" s="8" t="s">
        <v>899</v>
      </c>
      <c r="E500" s="7">
        <v>1.0</v>
      </c>
      <c r="F500" s="7"/>
      <c r="G500" s="7" t="s">
        <v>312</v>
      </c>
      <c r="H500" s="7" t="s">
        <v>313</v>
      </c>
      <c r="I500" s="10"/>
      <c r="J500" s="11"/>
      <c r="K500" s="12"/>
      <c r="L500" s="12"/>
      <c r="M500" s="10"/>
      <c r="N500" s="10"/>
      <c r="O500" s="10"/>
      <c r="P500" s="10"/>
      <c r="Q500" s="10"/>
      <c r="R500" s="10"/>
      <c r="S500" s="10"/>
      <c r="T500" s="10"/>
      <c r="U500" s="10"/>
      <c r="V500" s="10"/>
      <c r="W500" s="10"/>
      <c r="X500" s="10"/>
      <c r="Y500" s="10"/>
      <c r="Z500" s="10"/>
      <c r="AA500" s="10"/>
      <c r="AB500" s="10"/>
      <c r="AC500" s="10"/>
      <c r="AD500" s="10"/>
      <c r="AE500" s="10"/>
      <c r="AF500" s="10"/>
    </row>
    <row r="501">
      <c r="A501" s="10"/>
      <c r="B501" s="12"/>
      <c r="C501" s="12"/>
      <c r="D501" s="12"/>
      <c r="E501" s="10"/>
      <c r="F501" s="10"/>
      <c r="G501" s="10"/>
      <c r="H501" s="10"/>
      <c r="I501" s="10"/>
      <c r="J501" s="11"/>
      <c r="K501" s="12"/>
      <c r="L501" s="12"/>
      <c r="M501" s="10"/>
      <c r="N501" s="10"/>
      <c r="O501" s="10"/>
      <c r="P501" s="10"/>
      <c r="Q501" s="10"/>
      <c r="R501" s="10"/>
      <c r="S501" s="10"/>
      <c r="T501" s="10"/>
      <c r="U501" s="10"/>
      <c r="V501" s="10"/>
      <c r="W501" s="10"/>
      <c r="X501" s="10"/>
      <c r="Y501" s="10"/>
      <c r="Z501" s="10"/>
      <c r="AA501" s="10"/>
      <c r="AB501" s="10"/>
      <c r="AC501" s="10"/>
      <c r="AD501" s="10"/>
      <c r="AE501" s="10"/>
      <c r="AF501" s="10"/>
    </row>
    <row r="502">
      <c r="A502" s="7"/>
      <c r="B502" s="8">
        <v>51.0</v>
      </c>
      <c r="C502" s="8">
        <v>1.0</v>
      </c>
      <c r="D502" s="8" t="s">
        <v>900</v>
      </c>
      <c r="E502" s="7">
        <v>1.0</v>
      </c>
      <c r="F502" s="7"/>
      <c r="G502" s="7" t="s">
        <v>312</v>
      </c>
      <c r="H502" s="7" t="s">
        <v>313</v>
      </c>
      <c r="I502" s="10"/>
      <c r="J502" s="9" t="s">
        <v>901</v>
      </c>
      <c r="K502" s="12"/>
      <c r="L502" s="12"/>
      <c r="M502" s="10"/>
      <c r="N502" s="10"/>
      <c r="O502" s="10"/>
      <c r="P502" s="10"/>
      <c r="Q502" s="10"/>
      <c r="R502" s="10"/>
      <c r="S502" s="10"/>
      <c r="T502" s="10"/>
      <c r="U502" s="10"/>
      <c r="V502" s="10"/>
      <c r="W502" s="10"/>
      <c r="X502" s="10"/>
      <c r="Y502" s="10"/>
      <c r="Z502" s="10"/>
      <c r="AA502" s="10"/>
      <c r="AB502" s="10"/>
      <c r="AC502" s="10"/>
      <c r="AD502" s="10"/>
      <c r="AE502" s="10"/>
      <c r="AF502" s="10"/>
    </row>
    <row r="503">
      <c r="A503" s="10"/>
      <c r="B503" s="12"/>
      <c r="C503" s="12"/>
      <c r="D503" s="12"/>
      <c r="E503" s="10"/>
      <c r="F503" s="10"/>
      <c r="G503" s="10"/>
      <c r="H503" s="10"/>
      <c r="I503" s="10"/>
      <c r="J503" s="11"/>
      <c r="K503" s="12"/>
      <c r="L503" s="12"/>
      <c r="M503" s="10"/>
      <c r="N503" s="10"/>
      <c r="O503" s="10"/>
      <c r="P503" s="10"/>
      <c r="Q503" s="10"/>
      <c r="R503" s="10"/>
      <c r="S503" s="10"/>
      <c r="T503" s="10"/>
      <c r="U503" s="10"/>
      <c r="V503" s="10"/>
      <c r="W503" s="10"/>
      <c r="X503" s="10"/>
      <c r="Y503" s="10"/>
      <c r="Z503" s="10"/>
      <c r="AA503" s="10"/>
      <c r="AB503" s="10"/>
      <c r="AC503" s="10"/>
      <c r="AD503" s="10"/>
      <c r="AE503" s="10"/>
      <c r="AF503" s="10"/>
    </row>
    <row r="504">
      <c r="A504" s="7"/>
      <c r="B504" s="8">
        <v>52.0</v>
      </c>
      <c r="C504" s="8">
        <v>1.0</v>
      </c>
      <c r="D504" s="8" t="s">
        <v>902</v>
      </c>
      <c r="E504" s="7">
        <v>0.0</v>
      </c>
      <c r="F504" s="7"/>
      <c r="G504" s="7" t="s">
        <v>312</v>
      </c>
      <c r="H504" s="7" t="s">
        <v>313</v>
      </c>
      <c r="I504" s="10"/>
      <c r="J504" s="11"/>
      <c r="K504" s="12"/>
      <c r="L504" s="12"/>
      <c r="M504" s="10"/>
      <c r="N504" s="10"/>
      <c r="O504" s="10"/>
      <c r="P504" s="10"/>
      <c r="Q504" s="10"/>
      <c r="R504" s="10"/>
      <c r="S504" s="10"/>
      <c r="T504" s="10"/>
      <c r="U504" s="10"/>
      <c r="V504" s="10"/>
      <c r="W504" s="10"/>
      <c r="X504" s="10"/>
      <c r="Y504" s="10"/>
      <c r="Z504" s="10"/>
      <c r="AA504" s="10"/>
      <c r="AB504" s="10"/>
      <c r="AC504" s="10"/>
      <c r="AD504" s="10"/>
      <c r="AE504" s="10"/>
      <c r="AF504" s="10"/>
    </row>
    <row r="505">
      <c r="A505" s="7"/>
      <c r="B505" s="8">
        <v>52.0</v>
      </c>
      <c r="C505" s="8">
        <v>2.0</v>
      </c>
      <c r="D505" s="8" t="s">
        <v>903</v>
      </c>
      <c r="E505" s="7">
        <v>0.0</v>
      </c>
      <c r="F505" s="7"/>
      <c r="G505" s="7" t="s">
        <v>312</v>
      </c>
      <c r="H505" s="7" t="s">
        <v>313</v>
      </c>
      <c r="I505" s="10"/>
      <c r="J505" s="11"/>
      <c r="K505" s="12"/>
      <c r="L505" s="12"/>
      <c r="M505" s="10"/>
      <c r="N505" s="10"/>
      <c r="O505" s="10"/>
      <c r="P505" s="10"/>
      <c r="Q505" s="10"/>
      <c r="R505" s="10"/>
      <c r="S505" s="10"/>
      <c r="T505" s="10"/>
      <c r="U505" s="10"/>
      <c r="V505" s="10"/>
      <c r="W505" s="10"/>
      <c r="X505" s="10"/>
      <c r="Y505" s="10"/>
      <c r="Z505" s="10"/>
      <c r="AA505" s="10"/>
      <c r="AB505" s="10"/>
      <c r="AC505" s="10"/>
      <c r="AD505" s="10"/>
      <c r="AE505" s="10"/>
      <c r="AF505" s="10"/>
    </row>
    <row r="506">
      <c r="A506" s="7"/>
      <c r="B506" s="8">
        <v>52.0</v>
      </c>
      <c r="C506" s="8">
        <v>3.0</v>
      </c>
      <c r="D506" s="8" t="s">
        <v>904</v>
      </c>
      <c r="E506" s="7">
        <v>0.0</v>
      </c>
      <c r="F506" s="7"/>
      <c r="G506" s="7" t="s">
        <v>312</v>
      </c>
      <c r="H506" s="7" t="s">
        <v>313</v>
      </c>
      <c r="I506" s="10"/>
      <c r="J506" s="11"/>
      <c r="K506" s="8" t="s">
        <v>905</v>
      </c>
      <c r="L506" s="12"/>
      <c r="M506" s="10"/>
      <c r="N506" s="10"/>
      <c r="O506" s="10"/>
      <c r="P506" s="10"/>
      <c r="Q506" s="10"/>
      <c r="R506" s="10"/>
      <c r="S506" s="10"/>
      <c r="T506" s="10"/>
      <c r="U506" s="10"/>
      <c r="V506" s="10"/>
      <c r="W506" s="10"/>
      <c r="X506" s="10"/>
      <c r="Y506" s="10"/>
      <c r="Z506" s="10"/>
      <c r="AA506" s="10"/>
      <c r="AB506" s="10"/>
      <c r="AC506" s="10"/>
      <c r="AD506" s="10"/>
      <c r="AE506" s="10"/>
      <c r="AF506" s="10"/>
    </row>
    <row r="507">
      <c r="A507" s="10"/>
      <c r="B507" s="12"/>
      <c r="C507" s="12"/>
      <c r="D507" s="12"/>
      <c r="E507" s="10"/>
      <c r="F507" s="10"/>
      <c r="G507" s="10"/>
      <c r="H507" s="10"/>
      <c r="I507" s="10"/>
      <c r="J507" s="11"/>
      <c r="K507" s="12"/>
      <c r="L507" s="12"/>
      <c r="M507" s="10"/>
      <c r="N507" s="10"/>
      <c r="O507" s="10"/>
      <c r="P507" s="10"/>
      <c r="Q507" s="10"/>
      <c r="R507" s="10"/>
      <c r="S507" s="10"/>
      <c r="T507" s="10"/>
      <c r="U507" s="10"/>
      <c r="V507" s="10"/>
      <c r="W507" s="10"/>
      <c r="X507" s="10"/>
      <c r="Y507" s="10"/>
      <c r="Z507" s="10"/>
      <c r="AA507" s="10"/>
      <c r="AB507" s="10"/>
      <c r="AC507" s="10"/>
      <c r="AD507" s="10"/>
      <c r="AE507" s="10"/>
      <c r="AF507" s="10"/>
    </row>
    <row r="508">
      <c r="A508" s="7"/>
      <c r="B508" s="8">
        <v>53.0</v>
      </c>
      <c r="C508" s="8">
        <v>1.0</v>
      </c>
      <c r="D508" s="8" t="s">
        <v>906</v>
      </c>
      <c r="E508" s="7">
        <v>0.0</v>
      </c>
      <c r="F508" s="7"/>
      <c r="G508" s="7" t="s">
        <v>312</v>
      </c>
      <c r="H508" s="7" t="s">
        <v>313</v>
      </c>
      <c r="I508" s="10"/>
      <c r="J508" s="11"/>
      <c r="K508" s="12"/>
      <c r="L508" s="12"/>
      <c r="M508" s="10"/>
      <c r="N508" s="10"/>
      <c r="O508" s="10"/>
      <c r="P508" s="10"/>
      <c r="Q508" s="10"/>
      <c r="R508" s="10"/>
      <c r="S508" s="10"/>
      <c r="T508" s="10"/>
      <c r="U508" s="10"/>
      <c r="V508" s="10"/>
      <c r="W508" s="10"/>
      <c r="X508" s="10"/>
      <c r="Y508" s="10"/>
      <c r="Z508" s="10"/>
      <c r="AA508" s="10"/>
      <c r="AB508" s="10"/>
      <c r="AC508" s="10"/>
      <c r="AD508" s="10"/>
      <c r="AE508" s="10"/>
      <c r="AF508" s="10"/>
    </row>
    <row r="509">
      <c r="A509" s="7"/>
      <c r="B509" s="8">
        <v>53.0</v>
      </c>
      <c r="C509" s="8">
        <v>2.0</v>
      </c>
      <c r="D509" s="8" t="s">
        <v>907</v>
      </c>
      <c r="E509" s="7">
        <v>0.0</v>
      </c>
      <c r="F509" s="7"/>
      <c r="G509" s="7" t="s">
        <v>312</v>
      </c>
      <c r="H509" s="7" t="s">
        <v>313</v>
      </c>
      <c r="I509" s="10"/>
      <c r="J509" s="11"/>
      <c r="K509" s="12"/>
      <c r="L509" s="12"/>
      <c r="M509" s="10"/>
      <c r="N509" s="10"/>
      <c r="O509" s="10"/>
      <c r="P509" s="10"/>
      <c r="Q509" s="10"/>
      <c r="R509" s="10"/>
      <c r="S509" s="10"/>
      <c r="T509" s="10"/>
      <c r="U509" s="10"/>
      <c r="V509" s="10"/>
      <c r="W509" s="10"/>
      <c r="X509" s="10"/>
      <c r="Y509" s="10"/>
      <c r="Z509" s="10"/>
      <c r="AA509" s="10"/>
      <c r="AB509" s="10"/>
      <c r="AC509" s="10"/>
      <c r="AD509" s="10"/>
      <c r="AE509" s="10"/>
      <c r="AF509" s="10"/>
    </row>
    <row r="510">
      <c r="A510" s="7"/>
      <c r="B510" s="8">
        <v>53.0</v>
      </c>
      <c r="C510" s="8">
        <v>3.0</v>
      </c>
      <c r="D510" s="8" t="s">
        <v>908</v>
      </c>
      <c r="E510" s="7">
        <v>0.0</v>
      </c>
      <c r="F510" s="7"/>
      <c r="G510" s="7" t="s">
        <v>312</v>
      </c>
      <c r="H510" s="7" t="s">
        <v>313</v>
      </c>
      <c r="I510" s="10"/>
      <c r="J510" s="11"/>
      <c r="K510" s="8" t="s">
        <v>909</v>
      </c>
      <c r="L510" s="12"/>
      <c r="M510" s="10"/>
      <c r="N510" s="10"/>
      <c r="O510" s="10"/>
      <c r="P510" s="10"/>
      <c r="Q510" s="10"/>
      <c r="R510" s="10"/>
      <c r="S510" s="10"/>
      <c r="T510" s="10"/>
      <c r="U510" s="10"/>
      <c r="V510" s="10"/>
      <c r="W510" s="10"/>
      <c r="X510" s="10"/>
      <c r="Y510" s="10"/>
      <c r="Z510" s="10"/>
      <c r="AA510" s="10"/>
      <c r="AB510" s="10"/>
      <c r="AC510" s="10"/>
      <c r="AD510" s="10"/>
      <c r="AE510" s="10"/>
      <c r="AF510" s="10"/>
    </row>
    <row r="511">
      <c r="A511" s="7"/>
      <c r="B511" s="8">
        <v>53.0</v>
      </c>
      <c r="C511" s="8">
        <v>4.0</v>
      </c>
      <c r="D511" s="8" t="s">
        <v>910</v>
      </c>
      <c r="E511" s="7">
        <v>0.0</v>
      </c>
      <c r="F511" s="7"/>
      <c r="G511" s="7" t="s">
        <v>312</v>
      </c>
      <c r="H511" s="7" t="s">
        <v>313</v>
      </c>
      <c r="I511" s="10"/>
      <c r="J511" s="11"/>
      <c r="K511" s="8" t="s">
        <v>911</v>
      </c>
      <c r="L511" s="12"/>
      <c r="M511" s="10"/>
      <c r="N511" s="10"/>
      <c r="O511" s="10"/>
      <c r="P511" s="10"/>
      <c r="Q511" s="10"/>
      <c r="R511" s="10"/>
      <c r="S511" s="10"/>
      <c r="T511" s="10"/>
      <c r="U511" s="10"/>
      <c r="V511" s="10"/>
      <c r="W511" s="10"/>
      <c r="X511" s="10"/>
      <c r="Y511" s="10"/>
      <c r="Z511" s="10"/>
      <c r="AA511" s="10"/>
      <c r="AB511" s="10"/>
      <c r="AC511" s="10"/>
      <c r="AD511" s="10"/>
      <c r="AE511" s="10"/>
      <c r="AF511" s="10"/>
    </row>
    <row r="512">
      <c r="A512" s="7"/>
      <c r="B512" s="8">
        <v>53.0</v>
      </c>
      <c r="C512" s="8">
        <v>5.0</v>
      </c>
      <c r="D512" s="8" t="s">
        <v>912</v>
      </c>
      <c r="E512" s="7">
        <v>0.0</v>
      </c>
      <c r="F512" s="7"/>
      <c r="G512" s="7" t="s">
        <v>312</v>
      </c>
      <c r="H512" s="7" t="s">
        <v>313</v>
      </c>
      <c r="I512" s="10"/>
      <c r="J512" s="11"/>
      <c r="K512" s="12"/>
      <c r="L512" s="12"/>
      <c r="M512" s="10"/>
      <c r="N512" s="10"/>
      <c r="O512" s="10"/>
      <c r="P512" s="10"/>
      <c r="Q512" s="10"/>
      <c r="R512" s="10"/>
      <c r="S512" s="10"/>
      <c r="T512" s="10"/>
      <c r="U512" s="10"/>
      <c r="V512" s="10"/>
      <c r="W512" s="10"/>
      <c r="X512" s="10"/>
      <c r="Y512" s="10"/>
      <c r="Z512" s="10"/>
      <c r="AA512" s="10"/>
      <c r="AB512" s="10"/>
      <c r="AC512" s="10"/>
      <c r="AD512" s="10"/>
      <c r="AE512" s="10"/>
      <c r="AF512" s="10"/>
    </row>
    <row r="513">
      <c r="A513" s="7"/>
      <c r="B513" s="8">
        <v>53.0</v>
      </c>
      <c r="C513" s="8">
        <v>6.0</v>
      </c>
      <c r="D513" s="8" t="s">
        <v>913</v>
      </c>
      <c r="E513" s="7">
        <v>0.0</v>
      </c>
      <c r="F513" s="7"/>
      <c r="G513" s="7" t="s">
        <v>312</v>
      </c>
      <c r="H513" s="7" t="s">
        <v>313</v>
      </c>
      <c r="I513" s="10"/>
      <c r="J513" s="11"/>
      <c r="K513" s="8" t="s">
        <v>914</v>
      </c>
      <c r="L513" s="12"/>
      <c r="M513" s="10"/>
      <c r="N513" s="10"/>
      <c r="O513" s="10"/>
      <c r="P513" s="10"/>
      <c r="Q513" s="10"/>
      <c r="R513" s="10"/>
      <c r="S513" s="10"/>
      <c r="T513" s="10"/>
      <c r="U513" s="10"/>
      <c r="V513" s="10"/>
      <c r="W513" s="10"/>
      <c r="X513" s="10"/>
      <c r="Y513" s="10"/>
      <c r="Z513" s="10"/>
      <c r="AA513" s="10"/>
      <c r="AB513" s="10"/>
      <c r="AC513" s="10"/>
      <c r="AD513" s="10"/>
      <c r="AE513" s="10"/>
      <c r="AF513" s="10"/>
    </row>
    <row r="514">
      <c r="A514" s="7"/>
      <c r="B514" s="8">
        <v>53.0</v>
      </c>
      <c r="C514" s="8">
        <v>7.0</v>
      </c>
      <c r="D514" s="8" t="s">
        <v>915</v>
      </c>
      <c r="E514" s="7">
        <v>0.0</v>
      </c>
      <c r="F514" s="7"/>
      <c r="G514" s="7" t="s">
        <v>312</v>
      </c>
      <c r="H514" s="7" t="s">
        <v>313</v>
      </c>
      <c r="I514" s="10"/>
      <c r="J514" s="11"/>
      <c r="K514" s="8" t="s">
        <v>916</v>
      </c>
      <c r="L514" s="12"/>
      <c r="M514" s="10"/>
      <c r="N514" s="10"/>
      <c r="O514" s="10"/>
      <c r="P514" s="10"/>
      <c r="Q514" s="10"/>
      <c r="R514" s="10"/>
      <c r="S514" s="10"/>
      <c r="T514" s="10"/>
      <c r="U514" s="10"/>
      <c r="V514" s="10"/>
      <c r="W514" s="10"/>
      <c r="X514" s="10"/>
      <c r="Y514" s="10"/>
      <c r="Z514" s="10"/>
      <c r="AA514" s="10"/>
      <c r="AB514" s="10"/>
      <c r="AC514" s="10"/>
      <c r="AD514" s="10"/>
      <c r="AE514" s="10"/>
      <c r="AF514" s="10"/>
    </row>
    <row r="515">
      <c r="A515" s="7"/>
      <c r="B515" s="8">
        <v>53.0</v>
      </c>
      <c r="C515" s="8">
        <v>8.0</v>
      </c>
      <c r="D515" s="8" t="s">
        <v>917</v>
      </c>
      <c r="E515" s="7">
        <v>0.0</v>
      </c>
      <c r="F515" s="7"/>
      <c r="G515" s="7" t="s">
        <v>312</v>
      </c>
      <c r="H515" s="7" t="s">
        <v>313</v>
      </c>
      <c r="I515" s="10"/>
      <c r="J515" s="11"/>
      <c r="K515" s="8" t="s">
        <v>914</v>
      </c>
      <c r="L515" s="12"/>
      <c r="M515" s="10"/>
      <c r="N515" s="10"/>
      <c r="O515" s="10"/>
      <c r="P515" s="10"/>
      <c r="Q515" s="10"/>
      <c r="R515" s="10"/>
      <c r="S515" s="10"/>
      <c r="T515" s="10"/>
      <c r="U515" s="10"/>
      <c r="V515" s="10"/>
      <c r="W515" s="10"/>
      <c r="X515" s="10"/>
      <c r="Y515" s="10"/>
      <c r="Z515" s="10"/>
      <c r="AA515" s="10"/>
      <c r="AB515" s="10"/>
      <c r="AC515" s="10"/>
      <c r="AD515" s="10"/>
      <c r="AE515" s="10"/>
      <c r="AF515" s="10"/>
    </row>
    <row r="516">
      <c r="A516" s="7"/>
      <c r="B516" s="8">
        <v>53.0</v>
      </c>
      <c r="C516" s="8">
        <v>9.0</v>
      </c>
      <c r="D516" s="8" t="s">
        <v>918</v>
      </c>
      <c r="E516" s="7">
        <v>0.0</v>
      </c>
      <c r="F516" s="7"/>
      <c r="G516" s="7" t="s">
        <v>312</v>
      </c>
      <c r="H516" s="7" t="s">
        <v>313</v>
      </c>
      <c r="I516" s="10"/>
      <c r="J516" s="11"/>
      <c r="K516" s="8" t="s">
        <v>916</v>
      </c>
      <c r="L516" s="12"/>
      <c r="M516" s="10"/>
      <c r="N516" s="10"/>
      <c r="O516" s="10"/>
      <c r="P516" s="10"/>
      <c r="Q516" s="10"/>
      <c r="R516" s="10"/>
      <c r="S516" s="10"/>
      <c r="T516" s="10"/>
      <c r="U516" s="10"/>
      <c r="V516" s="10"/>
      <c r="W516" s="10"/>
      <c r="X516" s="10"/>
      <c r="Y516" s="10"/>
      <c r="Z516" s="10"/>
      <c r="AA516" s="10"/>
      <c r="AB516" s="10"/>
      <c r="AC516" s="10"/>
      <c r="AD516" s="10"/>
      <c r="AE516" s="10"/>
      <c r="AF516" s="10"/>
    </row>
    <row r="517">
      <c r="A517" s="7"/>
      <c r="B517" s="8">
        <v>53.0</v>
      </c>
      <c r="C517" s="8">
        <v>10.0</v>
      </c>
      <c r="D517" s="8" t="s">
        <v>919</v>
      </c>
      <c r="E517" s="7">
        <v>0.0</v>
      </c>
      <c r="F517" s="7"/>
      <c r="G517" s="7" t="s">
        <v>312</v>
      </c>
      <c r="H517" s="7" t="s">
        <v>313</v>
      </c>
      <c r="I517" s="10"/>
      <c r="J517" s="11"/>
      <c r="K517" s="8" t="s">
        <v>920</v>
      </c>
      <c r="L517" s="12"/>
      <c r="M517" s="10"/>
      <c r="N517" s="10"/>
      <c r="O517" s="10"/>
      <c r="P517" s="10"/>
      <c r="Q517" s="10"/>
      <c r="R517" s="10"/>
      <c r="S517" s="10"/>
      <c r="T517" s="10"/>
      <c r="U517" s="10"/>
      <c r="V517" s="10"/>
      <c r="W517" s="10"/>
      <c r="X517" s="10"/>
      <c r="Y517" s="10"/>
      <c r="Z517" s="10"/>
      <c r="AA517" s="10"/>
      <c r="AB517" s="10"/>
      <c r="AC517" s="10"/>
      <c r="AD517" s="10"/>
      <c r="AE517" s="10"/>
      <c r="AF517" s="10"/>
    </row>
    <row r="518">
      <c r="A518" s="21" t="s">
        <v>54</v>
      </c>
      <c r="B518" s="12"/>
      <c r="C518" s="12"/>
      <c r="D518" s="12"/>
      <c r="E518" s="10"/>
      <c r="F518" s="10"/>
      <c r="G518" s="10"/>
      <c r="H518" s="10"/>
      <c r="I518" s="10"/>
      <c r="J518" s="11"/>
      <c r="K518" s="12"/>
      <c r="L518" s="12"/>
      <c r="M518" s="10"/>
      <c r="N518" s="10"/>
      <c r="O518" s="10"/>
      <c r="P518" s="10"/>
      <c r="Q518" s="10"/>
      <c r="R518" s="10"/>
      <c r="S518" s="10"/>
      <c r="T518" s="10"/>
      <c r="U518" s="10"/>
      <c r="V518" s="10"/>
      <c r="W518" s="10"/>
      <c r="X518" s="10"/>
      <c r="Y518" s="10"/>
      <c r="Z518" s="10"/>
      <c r="AA518" s="10"/>
      <c r="AB518" s="10"/>
      <c r="AC518" s="10"/>
      <c r="AD518" s="10"/>
      <c r="AE518" s="10"/>
      <c r="AF518" s="10"/>
    </row>
    <row r="519">
      <c r="A519" s="7"/>
      <c r="B519" s="8">
        <v>54.0</v>
      </c>
      <c r="C519" s="8">
        <v>1.0</v>
      </c>
      <c r="D519" s="8" t="s">
        <v>921</v>
      </c>
      <c r="E519" s="7">
        <v>1.0</v>
      </c>
      <c r="F519" s="7"/>
      <c r="G519" s="7" t="s">
        <v>312</v>
      </c>
      <c r="H519" s="7" t="s">
        <v>313</v>
      </c>
      <c r="I519" s="10"/>
      <c r="J519" s="9" t="s">
        <v>922</v>
      </c>
      <c r="K519" s="12"/>
      <c r="L519" s="12"/>
      <c r="M519" s="10"/>
      <c r="N519" s="10"/>
      <c r="O519" s="10"/>
      <c r="P519" s="10"/>
      <c r="Q519" s="10"/>
      <c r="R519" s="10"/>
      <c r="S519" s="10"/>
      <c r="T519" s="10"/>
      <c r="U519" s="10"/>
      <c r="V519" s="10"/>
      <c r="W519" s="10"/>
      <c r="X519" s="10"/>
      <c r="Y519" s="10"/>
      <c r="Z519" s="10"/>
      <c r="AA519" s="10"/>
      <c r="AB519" s="10"/>
      <c r="AC519" s="10"/>
      <c r="AD519" s="10"/>
      <c r="AE519" s="10"/>
      <c r="AF519" s="10"/>
    </row>
    <row r="520">
      <c r="A520" s="7"/>
      <c r="B520" s="8">
        <v>54.0</v>
      </c>
      <c r="C520" s="8">
        <v>2.0</v>
      </c>
      <c r="D520" s="8" t="s">
        <v>923</v>
      </c>
      <c r="E520" s="7">
        <v>1.0</v>
      </c>
      <c r="F520" s="7"/>
      <c r="G520" s="7" t="s">
        <v>312</v>
      </c>
      <c r="H520" s="7" t="s">
        <v>313</v>
      </c>
      <c r="I520" s="7" t="s">
        <v>366</v>
      </c>
      <c r="J520" s="9" t="s">
        <v>924</v>
      </c>
      <c r="K520" s="12"/>
      <c r="L520" s="12"/>
      <c r="M520" s="10"/>
      <c r="N520" s="10"/>
      <c r="O520" s="10"/>
      <c r="P520" s="10"/>
      <c r="Q520" s="10"/>
      <c r="R520" s="10"/>
      <c r="S520" s="10"/>
      <c r="T520" s="10"/>
      <c r="U520" s="10"/>
      <c r="V520" s="10"/>
      <c r="W520" s="10"/>
      <c r="X520" s="10"/>
      <c r="Y520" s="10"/>
      <c r="Z520" s="10"/>
      <c r="AA520" s="10"/>
      <c r="AB520" s="10"/>
      <c r="AC520" s="10"/>
      <c r="AD520" s="10"/>
      <c r="AE520" s="10"/>
      <c r="AF520" s="10"/>
    </row>
    <row r="521">
      <c r="A521" s="7"/>
      <c r="B521" s="8">
        <v>54.0</v>
      </c>
      <c r="C521" s="8">
        <v>3.0</v>
      </c>
      <c r="D521" s="8" t="s">
        <v>925</v>
      </c>
      <c r="E521" s="7">
        <v>0.0</v>
      </c>
      <c r="F521" s="7"/>
      <c r="G521" s="7" t="s">
        <v>312</v>
      </c>
      <c r="H521" s="7" t="s">
        <v>313</v>
      </c>
      <c r="I521" s="10"/>
      <c r="J521" s="11"/>
      <c r="K521" s="12"/>
      <c r="L521" s="12"/>
      <c r="M521" s="10"/>
      <c r="N521" s="10"/>
      <c r="O521" s="10"/>
      <c r="P521" s="10"/>
      <c r="Q521" s="10"/>
      <c r="R521" s="10"/>
      <c r="S521" s="10"/>
      <c r="T521" s="10"/>
      <c r="U521" s="10"/>
      <c r="V521" s="10"/>
      <c r="W521" s="10"/>
      <c r="X521" s="10"/>
      <c r="Y521" s="10"/>
      <c r="Z521" s="10"/>
      <c r="AA521" s="10"/>
      <c r="AB521" s="10"/>
      <c r="AC521" s="10"/>
      <c r="AD521" s="10"/>
      <c r="AE521" s="10"/>
      <c r="AF521" s="10"/>
    </row>
    <row r="522">
      <c r="A522" s="7"/>
      <c r="B522" s="8">
        <v>54.0</v>
      </c>
      <c r="C522" s="8">
        <v>4.0</v>
      </c>
      <c r="D522" s="8" t="s">
        <v>926</v>
      </c>
      <c r="E522" s="7">
        <v>1.0</v>
      </c>
      <c r="F522" s="7" t="s">
        <v>320</v>
      </c>
      <c r="G522" s="7" t="s">
        <v>312</v>
      </c>
      <c r="H522" s="7" t="s">
        <v>313</v>
      </c>
      <c r="I522" s="7" t="s">
        <v>366</v>
      </c>
      <c r="J522" s="9" t="s">
        <v>927</v>
      </c>
      <c r="K522" s="12"/>
      <c r="L522" s="12"/>
      <c r="M522" s="10"/>
      <c r="N522" s="10"/>
      <c r="O522" s="10"/>
      <c r="P522" s="10"/>
      <c r="Q522" s="10"/>
      <c r="R522" s="10"/>
      <c r="S522" s="10"/>
      <c r="T522" s="10"/>
      <c r="U522" s="10"/>
      <c r="V522" s="10"/>
      <c r="W522" s="10"/>
      <c r="X522" s="10"/>
      <c r="Y522" s="10"/>
      <c r="Z522" s="10"/>
      <c r="AA522" s="10"/>
      <c r="AB522" s="10"/>
      <c r="AC522" s="10"/>
      <c r="AD522" s="10"/>
      <c r="AE522" s="10"/>
      <c r="AF522" s="10"/>
    </row>
    <row r="523">
      <c r="A523" s="7"/>
      <c r="B523" s="8">
        <v>54.0</v>
      </c>
      <c r="C523" s="8">
        <v>5.0</v>
      </c>
      <c r="D523" s="8" t="s">
        <v>928</v>
      </c>
      <c r="E523" s="7">
        <v>0.0</v>
      </c>
      <c r="F523" s="7"/>
      <c r="G523" s="7" t="s">
        <v>312</v>
      </c>
      <c r="H523" s="7" t="s">
        <v>313</v>
      </c>
      <c r="I523" s="10"/>
      <c r="J523" s="11"/>
      <c r="K523" s="12"/>
      <c r="L523" s="12"/>
      <c r="M523" s="10"/>
      <c r="N523" s="10"/>
      <c r="O523" s="10"/>
      <c r="P523" s="10"/>
      <c r="Q523" s="10"/>
      <c r="R523" s="10"/>
      <c r="S523" s="10"/>
      <c r="T523" s="10"/>
      <c r="U523" s="10"/>
      <c r="V523" s="10"/>
      <c r="W523" s="10"/>
      <c r="X523" s="10"/>
      <c r="Y523" s="10"/>
      <c r="Z523" s="10"/>
      <c r="AA523" s="10"/>
      <c r="AB523" s="10"/>
      <c r="AC523" s="10"/>
      <c r="AD523" s="10"/>
      <c r="AE523" s="10"/>
      <c r="AF523" s="10"/>
    </row>
    <row r="524">
      <c r="A524" s="7"/>
      <c r="B524" s="8">
        <v>54.0</v>
      </c>
      <c r="C524" s="8">
        <v>6.0</v>
      </c>
      <c r="D524" s="8" t="s">
        <v>929</v>
      </c>
      <c r="E524" s="7">
        <v>0.0</v>
      </c>
      <c r="F524" s="7"/>
      <c r="G524" s="7" t="s">
        <v>312</v>
      </c>
      <c r="H524" s="7" t="s">
        <v>313</v>
      </c>
      <c r="I524" s="10"/>
      <c r="J524" s="9" t="s">
        <v>930</v>
      </c>
      <c r="K524" s="12"/>
      <c r="L524" s="12"/>
      <c r="M524" s="10"/>
      <c r="N524" s="10"/>
      <c r="O524" s="10"/>
      <c r="P524" s="10"/>
      <c r="Q524" s="10"/>
      <c r="R524" s="10"/>
      <c r="S524" s="10"/>
      <c r="T524" s="10"/>
      <c r="U524" s="10"/>
      <c r="V524" s="10"/>
      <c r="W524" s="10"/>
      <c r="X524" s="10"/>
      <c r="Y524" s="10"/>
      <c r="Z524" s="10"/>
      <c r="AA524" s="10"/>
      <c r="AB524" s="10"/>
      <c r="AC524" s="10"/>
      <c r="AD524" s="10"/>
      <c r="AE524" s="10"/>
      <c r="AF524" s="10"/>
    </row>
    <row r="525">
      <c r="A525" s="10"/>
      <c r="B525" s="12"/>
      <c r="C525" s="12"/>
      <c r="D525" s="12"/>
      <c r="E525" s="10"/>
      <c r="F525" s="10"/>
      <c r="G525" s="10"/>
      <c r="H525" s="10"/>
      <c r="I525" s="10"/>
      <c r="J525" s="11"/>
      <c r="K525" s="12"/>
      <c r="L525" s="12"/>
      <c r="M525" s="10"/>
      <c r="N525" s="10"/>
      <c r="O525" s="10"/>
      <c r="P525" s="10"/>
      <c r="Q525" s="10"/>
      <c r="R525" s="10"/>
      <c r="S525" s="10"/>
      <c r="T525" s="10"/>
      <c r="U525" s="10"/>
      <c r="V525" s="10"/>
      <c r="W525" s="10"/>
      <c r="X525" s="10"/>
      <c r="Y525" s="10"/>
      <c r="Z525" s="10"/>
      <c r="AA525" s="10"/>
      <c r="AB525" s="10"/>
      <c r="AC525" s="10"/>
      <c r="AD525" s="10"/>
      <c r="AE525" s="10"/>
      <c r="AF525" s="10"/>
    </row>
    <row r="526">
      <c r="A526" s="7"/>
      <c r="B526" s="8">
        <v>55.0</v>
      </c>
      <c r="C526" s="8">
        <v>1.0</v>
      </c>
      <c r="D526" s="8" t="s">
        <v>931</v>
      </c>
      <c r="E526" s="7">
        <v>1.0</v>
      </c>
      <c r="F526" s="7"/>
      <c r="G526" s="7" t="s">
        <v>312</v>
      </c>
      <c r="H526" s="7" t="s">
        <v>313</v>
      </c>
      <c r="I526" s="10"/>
      <c r="J526" s="9" t="s">
        <v>932</v>
      </c>
      <c r="K526" s="12"/>
      <c r="L526" s="12"/>
      <c r="M526" s="10"/>
      <c r="N526" s="10"/>
      <c r="O526" s="10"/>
      <c r="P526" s="10"/>
      <c r="Q526" s="10"/>
      <c r="R526" s="10"/>
      <c r="S526" s="10"/>
      <c r="T526" s="10"/>
      <c r="U526" s="10"/>
      <c r="V526" s="10"/>
      <c r="W526" s="10"/>
      <c r="X526" s="10"/>
      <c r="Y526" s="10"/>
      <c r="Z526" s="10"/>
      <c r="AA526" s="10"/>
      <c r="AB526" s="10"/>
      <c r="AC526" s="10"/>
      <c r="AD526" s="10"/>
      <c r="AE526" s="10"/>
      <c r="AF526" s="10"/>
    </row>
    <row r="527">
      <c r="A527" s="7"/>
      <c r="B527" s="8">
        <v>55.0</v>
      </c>
      <c r="C527" s="8">
        <v>2.0</v>
      </c>
      <c r="D527" s="8" t="s">
        <v>933</v>
      </c>
      <c r="E527" s="7">
        <v>1.0</v>
      </c>
      <c r="F527" s="7" t="s">
        <v>320</v>
      </c>
      <c r="G527" s="7" t="s">
        <v>312</v>
      </c>
      <c r="H527" s="7" t="s">
        <v>313</v>
      </c>
      <c r="I527" s="7" t="s">
        <v>366</v>
      </c>
      <c r="J527" s="9" t="s">
        <v>934</v>
      </c>
      <c r="K527" s="12"/>
      <c r="L527" s="12"/>
      <c r="M527" s="10"/>
      <c r="N527" s="10"/>
      <c r="O527" s="10"/>
      <c r="P527" s="10"/>
      <c r="Q527" s="10"/>
      <c r="R527" s="10"/>
      <c r="S527" s="10"/>
      <c r="T527" s="10"/>
      <c r="U527" s="10"/>
      <c r="V527" s="10"/>
      <c r="W527" s="10"/>
      <c r="X527" s="10"/>
      <c r="Y527" s="10"/>
      <c r="Z527" s="10"/>
      <c r="AA527" s="10"/>
      <c r="AB527" s="10"/>
      <c r="AC527" s="10"/>
      <c r="AD527" s="10"/>
      <c r="AE527" s="10"/>
      <c r="AF527" s="10"/>
    </row>
    <row r="528">
      <c r="A528" s="7"/>
      <c r="B528" s="8">
        <v>55.0</v>
      </c>
      <c r="C528" s="8">
        <v>3.0</v>
      </c>
      <c r="D528" s="8" t="s">
        <v>935</v>
      </c>
      <c r="E528" s="7">
        <v>0.0</v>
      </c>
      <c r="F528" s="7"/>
      <c r="G528" s="7" t="s">
        <v>312</v>
      </c>
      <c r="H528" s="7" t="s">
        <v>313</v>
      </c>
      <c r="I528" s="10"/>
      <c r="J528" s="11"/>
      <c r="K528" s="12"/>
      <c r="L528" s="12"/>
      <c r="M528" s="10"/>
      <c r="N528" s="10"/>
      <c r="O528" s="10"/>
      <c r="P528" s="10"/>
      <c r="Q528" s="10"/>
      <c r="R528" s="10"/>
      <c r="S528" s="10"/>
      <c r="T528" s="10"/>
      <c r="U528" s="10"/>
      <c r="V528" s="10"/>
      <c r="W528" s="10"/>
      <c r="X528" s="10"/>
      <c r="Y528" s="10"/>
      <c r="Z528" s="10"/>
      <c r="AA528" s="10"/>
      <c r="AB528" s="10"/>
      <c r="AC528" s="10"/>
      <c r="AD528" s="10"/>
      <c r="AE528" s="10"/>
      <c r="AF528" s="10"/>
    </row>
    <row r="529">
      <c r="A529" s="7"/>
      <c r="B529" s="8">
        <v>55.0</v>
      </c>
      <c r="C529" s="8">
        <v>4.0</v>
      </c>
      <c r="D529" s="8" t="s">
        <v>936</v>
      </c>
      <c r="E529" s="7">
        <v>0.0</v>
      </c>
      <c r="F529" s="7"/>
      <c r="G529" s="7" t="s">
        <v>312</v>
      </c>
      <c r="H529" s="7" t="s">
        <v>313</v>
      </c>
      <c r="I529" s="10"/>
      <c r="J529" s="11"/>
      <c r="K529" s="12"/>
      <c r="L529" s="12"/>
      <c r="M529" s="10"/>
      <c r="N529" s="10"/>
      <c r="O529" s="10"/>
      <c r="P529" s="10"/>
      <c r="Q529" s="10"/>
      <c r="R529" s="10"/>
      <c r="S529" s="10"/>
      <c r="T529" s="10"/>
      <c r="U529" s="10"/>
      <c r="V529" s="10"/>
      <c r="W529" s="10"/>
      <c r="X529" s="10"/>
      <c r="Y529" s="10"/>
      <c r="Z529" s="10"/>
      <c r="AA529" s="10"/>
      <c r="AB529" s="10"/>
      <c r="AC529" s="10"/>
      <c r="AD529" s="10"/>
      <c r="AE529" s="10"/>
      <c r="AF529" s="10"/>
    </row>
    <row r="530">
      <c r="A530" s="7"/>
      <c r="B530" s="8">
        <v>55.0</v>
      </c>
      <c r="C530" s="8">
        <v>5.0</v>
      </c>
      <c r="D530" s="8" t="s">
        <v>937</v>
      </c>
      <c r="E530" s="7">
        <v>1.0</v>
      </c>
      <c r="F530" s="7" t="s">
        <v>320</v>
      </c>
      <c r="G530" s="7" t="s">
        <v>312</v>
      </c>
      <c r="H530" s="7" t="s">
        <v>313</v>
      </c>
      <c r="I530" s="7" t="s">
        <v>321</v>
      </c>
      <c r="J530" s="9" t="s">
        <v>938</v>
      </c>
      <c r="K530" s="12"/>
      <c r="L530" s="12"/>
      <c r="M530" s="10"/>
      <c r="N530" s="10"/>
      <c r="O530" s="10"/>
      <c r="P530" s="10"/>
      <c r="Q530" s="10"/>
      <c r="R530" s="10"/>
      <c r="S530" s="10"/>
      <c r="T530" s="10"/>
      <c r="U530" s="10"/>
      <c r="V530" s="10"/>
      <c r="W530" s="10"/>
      <c r="X530" s="10"/>
      <c r="Y530" s="10"/>
      <c r="Z530" s="10"/>
      <c r="AA530" s="10"/>
      <c r="AB530" s="10"/>
      <c r="AC530" s="10"/>
      <c r="AD530" s="10"/>
      <c r="AE530" s="10"/>
      <c r="AF530" s="10"/>
    </row>
    <row r="531">
      <c r="A531" s="7"/>
      <c r="B531" s="8">
        <v>55.0</v>
      </c>
      <c r="C531" s="8">
        <v>6.0</v>
      </c>
      <c r="D531" s="8" t="s">
        <v>939</v>
      </c>
      <c r="E531" s="7">
        <v>0.0</v>
      </c>
      <c r="F531" s="7"/>
      <c r="G531" s="7" t="s">
        <v>312</v>
      </c>
      <c r="H531" s="7" t="s">
        <v>313</v>
      </c>
      <c r="I531" s="10"/>
      <c r="J531" s="11"/>
      <c r="K531" s="12"/>
      <c r="L531" s="12"/>
      <c r="M531" s="10"/>
      <c r="N531" s="10"/>
      <c r="O531" s="10"/>
      <c r="P531" s="10"/>
      <c r="Q531" s="10"/>
      <c r="R531" s="10"/>
      <c r="S531" s="10"/>
      <c r="T531" s="10"/>
      <c r="U531" s="10"/>
      <c r="V531" s="10"/>
      <c r="W531" s="10"/>
      <c r="X531" s="10"/>
      <c r="Y531" s="10"/>
      <c r="Z531" s="10"/>
      <c r="AA531" s="10"/>
      <c r="AB531" s="10"/>
      <c r="AC531" s="10"/>
      <c r="AD531" s="10"/>
      <c r="AE531" s="10"/>
      <c r="AF531" s="10"/>
    </row>
    <row r="532">
      <c r="A532" s="7"/>
      <c r="B532" s="8">
        <v>55.0</v>
      </c>
      <c r="C532" s="8">
        <v>7.0</v>
      </c>
      <c r="D532" s="8" t="s">
        <v>940</v>
      </c>
      <c r="E532" s="7">
        <v>0.0</v>
      </c>
      <c r="F532" s="7"/>
      <c r="G532" s="7" t="s">
        <v>312</v>
      </c>
      <c r="H532" s="7" t="s">
        <v>313</v>
      </c>
      <c r="I532" s="10"/>
      <c r="J532" s="19" t="s">
        <v>941</v>
      </c>
      <c r="K532" s="12"/>
      <c r="L532" s="12"/>
      <c r="M532" s="10"/>
      <c r="N532" s="10"/>
      <c r="O532" s="10"/>
      <c r="P532" s="10"/>
      <c r="Q532" s="10"/>
      <c r="R532" s="10"/>
      <c r="S532" s="10"/>
      <c r="T532" s="10"/>
      <c r="U532" s="10"/>
      <c r="V532" s="10"/>
      <c r="W532" s="10"/>
      <c r="X532" s="10"/>
      <c r="Y532" s="10"/>
      <c r="Z532" s="10"/>
      <c r="AA532" s="10"/>
      <c r="AB532" s="10"/>
      <c r="AC532" s="10"/>
      <c r="AD532" s="10"/>
      <c r="AE532" s="10"/>
      <c r="AF532" s="10"/>
    </row>
    <row r="533">
      <c r="A533" s="7"/>
      <c r="B533" s="8">
        <v>55.0</v>
      </c>
      <c r="C533" s="8">
        <v>8.0</v>
      </c>
      <c r="D533" s="8" t="s">
        <v>942</v>
      </c>
      <c r="E533" s="7">
        <v>1.0</v>
      </c>
      <c r="F533" s="7" t="s">
        <v>320</v>
      </c>
      <c r="G533" s="7" t="s">
        <v>312</v>
      </c>
      <c r="H533" s="7" t="s">
        <v>313</v>
      </c>
      <c r="I533" s="7" t="s">
        <v>366</v>
      </c>
      <c r="J533" s="9" t="s">
        <v>943</v>
      </c>
      <c r="K533" s="12"/>
      <c r="L533" s="12"/>
      <c r="M533" s="10"/>
      <c r="N533" s="10"/>
      <c r="O533" s="10"/>
      <c r="P533" s="10"/>
      <c r="Q533" s="10"/>
      <c r="R533" s="10"/>
      <c r="S533" s="10"/>
      <c r="T533" s="10"/>
      <c r="U533" s="10"/>
      <c r="V533" s="10"/>
      <c r="W533" s="10"/>
      <c r="X533" s="10"/>
      <c r="Y533" s="10"/>
      <c r="Z533" s="10"/>
      <c r="AA533" s="10"/>
      <c r="AB533" s="10"/>
      <c r="AC533" s="10"/>
      <c r="AD533" s="10"/>
      <c r="AE533" s="10"/>
      <c r="AF533" s="10"/>
    </row>
    <row r="534">
      <c r="A534" s="7"/>
      <c r="B534" s="8">
        <v>55.0</v>
      </c>
      <c r="C534" s="8">
        <v>9.0</v>
      </c>
      <c r="D534" s="8" t="s">
        <v>944</v>
      </c>
      <c r="E534" s="7">
        <v>0.0</v>
      </c>
      <c r="F534" s="7"/>
      <c r="G534" s="7" t="s">
        <v>312</v>
      </c>
      <c r="H534" s="7" t="s">
        <v>313</v>
      </c>
      <c r="I534" s="10"/>
      <c r="J534" s="11"/>
      <c r="K534" s="12"/>
      <c r="L534" s="12"/>
      <c r="M534" s="10"/>
      <c r="N534" s="10"/>
      <c r="O534" s="10"/>
      <c r="P534" s="10"/>
      <c r="Q534" s="10"/>
      <c r="R534" s="10"/>
      <c r="S534" s="10"/>
      <c r="T534" s="10"/>
      <c r="U534" s="10"/>
      <c r="V534" s="10"/>
      <c r="W534" s="10"/>
      <c r="X534" s="10"/>
      <c r="Y534" s="10"/>
      <c r="Z534" s="10"/>
      <c r="AA534" s="10"/>
      <c r="AB534" s="10"/>
      <c r="AC534" s="10"/>
      <c r="AD534" s="10"/>
      <c r="AE534" s="10"/>
      <c r="AF534" s="10"/>
    </row>
    <row r="535">
      <c r="A535" s="7"/>
      <c r="B535" s="8">
        <v>55.0</v>
      </c>
      <c r="C535" s="8">
        <v>10.0</v>
      </c>
      <c r="D535" s="8" t="s">
        <v>945</v>
      </c>
      <c r="E535" s="7">
        <v>2.0</v>
      </c>
      <c r="F535" s="7"/>
      <c r="G535" s="7" t="s">
        <v>312</v>
      </c>
      <c r="H535" s="7" t="s">
        <v>313</v>
      </c>
      <c r="I535" s="7" t="s">
        <v>366</v>
      </c>
      <c r="J535" s="16" t="s">
        <v>946</v>
      </c>
      <c r="K535" s="8" t="s">
        <v>947</v>
      </c>
      <c r="L535" s="12"/>
      <c r="M535" s="10"/>
      <c r="N535" s="10"/>
      <c r="O535" s="10"/>
      <c r="P535" s="10"/>
      <c r="Q535" s="10"/>
      <c r="R535" s="10"/>
      <c r="S535" s="10"/>
      <c r="T535" s="10"/>
      <c r="U535" s="10"/>
      <c r="V535" s="10"/>
      <c r="W535" s="10"/>
      <c r="X535" s="10"/>
      <c r="Y535" s="10"/>
      <c r="Z535" s="10"/>
      <c r="AA535" s="10"/>
      <c r="AB535" s="10"/>
      <c r="AC535" s="10"/>
      <c r="AD535" s="10"/>
      <c r="AE535" s="10"/>
      <c r="AF535" s="10"/>
    </row>
    <row r="536">
      <c r="A536" s="7"/>
      <c r="B536" s="8">
        <v>55.0</v>
      </c>
      <c r="C536" s="8">
        <v>11.0</v>
      </c>
      <c r="D536" s="8" t="s">
        <v>948</v>
      </c>
      <c r="E536" s="7">
        <v>1.0</v>
      </c>
      <c r="F536" s="7"/>
      <c r="G536" s="7" t="s">
        <v>312</v>
      </c>
      <c r="H536" s="7" t="s">
        <v>313</v>
      </c>
      <c r="I536" s="7" t="s">
        <v>366</v>
      </c>
      <c r="J536" s="9" t="s">
        <v>949</v>
      </c>
      <c r="K536" s="12"/>
      <c r="L536" s="12"/>
      <c r="M536" s="10"/>
      <c r="N536" s="10"/>
      <c r="O536" s="10"/>
      <c r="P536" s="10"/>
      <c r="Q536" s="10"/>
      <c r="R536" s="10"/>
      <c r="S536" s="10"/>
      <c r="T536" s="10"/>
      <c r="U536" s="10"/>
      <c r="V536" s="10"/>
      <c r="W536" s="10"/>
      <c r="X536" s="10"/>
      <c r="Y536" s="10"/>
      <c r="Z536" s="10"/>
      <c r="AA536" s="10"/>
      <c r="AB536" s="10"/>
      <c r="AC536" s="10"/>
      <c r="AD536" s="10"/>
      <c r="AE536" s="10"/>
      <c r="AF536" s="10"/>
    </row>
    <row r="537">
      <c r="A537" s="7"/>
      <c r="B537" s="8">
        <v>55.0</v>
      </c>
      <c r="C537" s="8">
        <v>12.0</v>
      </c>
      <c r="D537" s="8" t="s">
        <v>950</v>
      </c>
      <c r="E537" s="7">
        <v>0.0</v>
      </c>
      <c r="F537" s="7"/>
      <c r="G537" s="7" t="s">
        <v>312</v>
      </c>
      <c r="H537" s="7" t="s">
        <v>313</v>
      </c>
      <c r="I537" s="10"/>
      <c r="J537" s="11"/>
      <c r="K537" s="12"/>
      <c r="L537" s="12"/>
      <c r="M537" s="10"/>
      <c r="N537" s="10"/>
      <c r="O537" s="10"/>
      <c r="P537" s="10"/>
      <c r="Q537" s="10"/>
      <c r="R537" s="10"/>
      <c r="S537" s="10"/>
      <c r="T537" s="10"/>
      <c r="U537" s="10"/>
      <c r="V537" s="10"/>
      <c r="W537" s="10"/>
      <c r="X537" s="10"/>
      <c r="Y537" s="10"/>
      <c r="Z537" s="10"/>
      <c r="AA537" s="10"/>
      <c r="AB537" s="10"/>
      <c r="AC537" s="10"/>
      <c r="AD537" s="10"/>
      <c r="AE537" s="10"/>
      <c r="AF537" s="10"/>
    </row>
    <row r="538">
      <c r="A538" s="7"/>
      <c r="B538" s="8">
        <v>55.0</v>
      </c>
      <c r="C538" s="8">
        <v>13.0</v>
      </c>
      <c r="D538" s="8" t="s">
        <v>951</v>
      </c>
      <c r="E538" s="7">
        <v>1.0</v>
      </c>
      <c r="F538" s="7"/>
      <c r="G538" s="7" t="s">
        <v>312</v>
      </c>
      <c r="H538" s="7" t="s">
        <v>313</v>
      </c>
      <c r="I538" s="7" t="s">
        <v>366</v>
      </c>
      <c r="J538" s="9" t="s">
        <v>952</v>
      </c>
      <c r="K538" s="12"/>
      <c r="L538" s="12"/>
      <c r="M538" s="10"/>
      <c r="N538" s="10"/>
      <c r="O538" s="10"/>
      <c r="P538" s="10"/>
      <c r="Q538" s="10"/>
      <c r="R538" s="10"/>
      <c r="S538" s="10"/>
      <c r="T538" s="10"/>
      <c r="U538" s="10"/>
      <c r="V538" s="10"/>
      <c r="W538" s="10"/>
      <c r="X538" s="10"/>
      <c r="Y538" s="10"/>
      <c r="Z538" s="10"/>
      <c r="AA538" s="10"/>
      <c r="AB538" s="10"/>
      <c r="AC538" s="10"/>
      <c r="AD538" s="10"/>
      <c r="AE538" s="10"/>
      <c r="AF538" s="10"/>
    </row>
    <row r="539">
      <c r="A539" s="7"/>
      <c r="B539" s="8">
        <v>55.0</v>
      </c>
      <c r="C539" s="8">
        <v>14.0</v>
      </c>
      <c r="D539" s="8" t="s">
        <v>953</v>
      </c>
      <c r="E539" s="7">
        <v>1.0</v>
      </c>
      <c r="F539" s="7"/>
      <c r="G539" s="7" t="s">
        <v>312</v>
      </c>
      <c r="H539" s="7" t="s">
        <v>313</v>
      </c>
      <c r="I539" s="7" t="s">
        <v>366</v>
      </c>
      <c r="J539" s="9" t="s">
        <v>954</v>
      </c>
      <c r="K539" s="12"/>
      <c r="L539" s="12"/>
      <c r="M539" s="10"/>
      <c r="N539" s="10"/>
      <c r="O539" s="10"/>
      <c r="P539" s="10"/>
      <c r="Q539" s="10"/>
      <c r="R539" s="10"/>
      <c r="S539" s="10"/>
      <c r="T539" s="10"/>
      <c r="U539" s="10"/>
      <c r="V539" s="10"/>
      <c r="W539" s="10"/>
      <c r="X539" s="10"/>
      <c r="Y539" s="10"/>
      <c r="Z539" s="10"/>
      <c r="AA539" s="10"/>
      <c r="AB539" s="10"/>
      <c r="AC539" s="10"/>
      <c r="AD539" s="10"/>
      <c r="AE539" s="10"/>
      <c r="AF539" s="10"/>
    </row>
    <row r="540">
      <c r="A540" s="7"/>
      <c r="B540" s="8">
        <v>55.0</v>
      </c>
      <c r="C540" s="8">
        <v>15.0</v>
      </c>
      <c r="D540" s="8" t="s">
        <v>955</v>
      </c>
      <c r="E540" s="7">
        <v>2.0</v>
      </c>
      <c r="F540" s="7"/>
      <c r="G540" s="7" t="s">
        <v>312</v>
      </c>
      <c r="H540" s="7" t="s">
        <v>313</v>
      </c>
      <c r="I540" s="7" t="s">
        <v>366</v>
      </c>
      <c r="J540" s="16" t="s">
        <v>946</v>
      </c>
      <c r="K540" s="8" t="s">
        <v>956</v>
      </c>
      <c r="L540" s="12"/>
      <c r="M540" s="10"/>
      <c r="N540" s="10"/>
      <c r="O540" s="10"/>
      <c r="P540" s="10"/>
      <c r="Q540" s="10"/>
      <c r="R540" s="10"/>
      <c r="S540" s="10"/>
      <c r="T540" s="10"/>
      <c r="U540" s="10"/>
      <c r="V540" s="10"/>
      <c r="W540" s="10"/>
      <c r="X540" s="10"/>
      <c r="Y540" s="10"/>
      <c r="Z540" s="10"/>
      <c r="AA540" s="10"/>
      <c r="AB540" s="10"/>
      <c r="AC540" s="10"/>
      <c r="AD540" s="10"/>
      <c r="AE540" s="10"/>
      <c r="AF540" s="10"/>
    </row>
    <row r="541">
      <c r="A541" s="10"/>
      <c r="B541" s="12"/>
      <c r="C541" s="12"/>
      <c r="D541" s="12"/>
      <c r="E541" s="10"/>
      <c r="F541" s="10"/>
      <c r="G541" s="10"/>
      <c r="H541" s="10"/>
      <c r="I541" s="10"/>
      <c r="J541" s="11"/>
      <c r="K541" s="12"/>
      <c r="L541" s="12"/>
      <c r="M541" s="10"/>
      <c r="N541" s="10"/>
      <c r="O541" s="10"/>
      <c r="P541" s="10"/>
      <c r="Q541" s="10"/>
      <c r="R541" s="10"/>
      <c r="S541" s="10"/>
      <c r="T541" s="10"/>
      <c r="U541" s="10"/>
      <c r="V541" s="10"/>
      <c r="W541" s="10"/>
      <c r="X541" s="10"/>
      <c r="Y541" s="10"/>
      <c r="Z541" s="10"/>
      <c r="AA541" s="10"/>
      <c r="AB541" s="10"/>
      <c r="AC541" s="10"/>
      <c r="AD541" s="10"/>
      <c r="AE541" s="10"/>
      <c r="AF541" s="10"/>
    </row>
    <row r="542">
      <c r="A542" s="7"/>
      <c r="B542" s="8">
        <v>56.0</v>
      </c>
      <c r="C542" s="8">
        <v>1.0</v>
      </c>
      <c r="D542" s="8" t="s">
        <v>957</v>
      </c>
      <c r="E542" s="7">
        <v>0.0</v>
      </c>
      <c r="F542" s="7"/>
      <c r="G542" s="7" t="s">
        <v>312</v>
      </c>
      <c r="H542" s="7" t="s">
        <v>313</v>
      </c>
      <c r="I542" s="10"/>
      <c r="J542" s="11"/>
      <c r="K542" s="8" t="s">
        <v>958</v>
      </c>
      <c r="L542" s="12"/>
      <c r="M542" s="10"/>
      <c r="N542" s="10"/>
      <c r="O542" s="10"/>
      <c r="P542" s="10"/>
      <c r="Q542" s="10"/>
      <c r="R542" s="10"/>
      <c r="S542" s="10"/>
      <c r="T542" s="10"/>
      <c r="U542" s="10"/>
      <c r="V542" s="10"/>
      <c r="W542" s="10"/>
      <c r="X542" s="10"/>
      <c r="Y542" s="10"/>
      <c r="Z542" s="10"/>
      <c r="AA542" s="10"/>
      <c r="AB542" s="10"/>
      <c r="AC542" s="10"/>
      <c r="AD542" s="10"/>
      <c r="AE542" s="10"/>
      <c r="AF542" s="10"/>
    </row>
    <row r="543">
      <c r="A543" s="7"/>
      <c r="B543" s="8">
        <v>56.0</v>
      </c>
      <c r="C543" s="8">
        <v>2.0</v>
      </c>
      <c r="D543" s="8" t="s">
        <v>959</v>
      </c>
      <c r="E543" s="7">
        <v>0.0</v>
      </c>
      <c r="F543" s="7"/>
      <c r="G543" s="7" t="s">
        <v>312</v>
      </c>
      <c r="H543" s="7" t="s">
        <v>313</v>
      </c>
      <c r="I543" s="10"/>
      <c r="J543" s="11"/>
      <c r="K543" s="12"/>
      <c r="L543" s="12"/>
      <c r="M543" s="10"/>
      <c r="N543" s="10"/>
      <c r="O543" s="10"/>
      <c r="P543" s="10"/>
      <c r="Q543" s="10"/>
      <c r="R543" s="10"/>
      <c r="S543" s="10"/>
      <c r="T543" s="10"/>
      <c r="U543" s="10"/>
      <c r="V543" s="10"/>
      <c r="W543" s="10"/>
      <c r="X543" s="10"/>
      <c r="Y543" s="10"/>
      <c r="Z543" s="10"/>
      <c r="AA543" s="10"/>
      <c r="AB543" s="10"/>
      <c r="AC543" s="10"/>
      <c r="AD543" s="10"/>
      <c r="AE543" s="10"/>
      <c r="AF543" s="10"/>
    </row>
    <row r="544">
      <c r="A544" s="7"/>
      <c r="B544" s="8">
        <v>56.0</v>
      </c>
      <c r="C544" s="8">
        <v>3.0</v>
      </c>
      <c r="D544" s="8" t="s">
        <v>960</v>
      </c>
      <c r="E544" s="7">
        <v>0.0</v>
      </c>
      <c r="F544" s="7"/>
      <c r="G544" s="7" t="s">
        <v>312</v>
      </c>
      <c r="H544" s="7" t="s">
        <v>313</v>
      </c>
      <c r="I544" s="10"/>
      <c r="J544" s="11"/>
      <c r="K544" s="12"/>
      <c r="L544" s="12"/>
      <c r="M544" s="10"/>
      <c r="N544" s="10"/>
      <c r="O544" s="10"/>
      <c r="P544" s="10"/>
      <c r="Q544" s="10"/>
      <c r="R544" s="10"/>
      <c r="S544" s="10"/>
      <c r="T544" s="10"/>
      <c r="U544" s="10"/>
      <c r="V544" s="10"/>
      <c r="W544" s="10"/>
      <c r="X544" s="10"/>
      <c r="Y544" s="10"/>
      <c r="Z544" s="10"/>
      <c r="AA544" s="10"/>
      <c r="AB544" s="10"/>
      <c r="AC544" s="10"/>
      <c r="AD544" s="10"/>
      <c r="AE544" s="10"/>
      <c r="AF544" s="10"/>
    </row>
    <row r="545">
      <c r="A545" s="7"/>
      <c r="B545" s="8">
        <v>56.0</v>
      </c>
      <c r="C545" s="8">
        <v>4.0</v>
      </c>
      <c r="D545" s="8" t="s">
        <v>961</v>
      </c>
      <c r="E545" s="7">
        <v>0.0</v>
      </c>
      <c r="F545" s="7"/>
      <c r="G545" s="7" t="s">
        <v>312</v>
      </c>
      <c r="H545" s="7" t="s">
        <v>313</v>
      </c>
      <c r="I545" s="10"/>
      <c r="J545" s="11"/>
      <c r="K545" s="12"/>
      <c r="L545" s="12"/>
      <c r="M545" s="10"/>
      <c r="N545" s="10"/>
      <c r="O545" s="10"/>
      <c r="P545" s="10"/>
      <c r="Q545" s="10"/>
      <c r="R545" s="10"/>
      <c r="S545" s="10"/>
      <c r="T545" s="10"/>
      <c r="U545" s="10"/>
      <c r="V545" s="10"/>
      <c r="W545" s="10"/>
      <c r="X545" s="10"/>
      <c r="Y545" s="10"/>
      <c r="Z545" s="10"/>
      <c r="AA545" s="10"/>
      <c r="AB545" s="10"/>
      <c r="AC545" s="10"/>
      <c r="AD545" s="10"/>
      <c r="AE545" s="10"/>
      <c r="AF545" s="10"/>
    </row>
    <row r="546">
      <c r="A546" s="7"/>
      <c r="B546" s="8">
        <v>56.0</v>
      </c>
      <c r="C546" s="8">
        <v>5.0</v>
      </c>
      <c r="D546" s="8" t="s">
        <v>962</v>
      </c>
      <c r="E546" s="7">
        <v>0.0</v>
      </c>
      <c r="F546" s="7"/>
      <c r="G546" s="7" t="s">
        <v>312</v>
      </c>
      <c r="H546" s="7" t="s">
        <v>313</v>
      </c>
      <c r="I546" s="10"/>
      <c r="J546" s="11"/>
      <c r="K546" s="12"/>
      <c r="L546" s="12"/>
      <c r="M546" s="10"/>
      <c r="N546" s="10"/>
      <c r="O546" s="10"/>
      <c r="P546" s="10"/>
      <c r="Q546" s="10"/>
      <c r="R546" s="10"/>
      <c r="S546" s="10"/>
      <c r="T546" s="10"/>
      <c r="U546" s="10"/>
      <c r="V546" s="10"/>
      <c r="W546" s="10"/>
      <c r="X546" s="10"/>
      <c r="Y546" s="10"/>
      <c r="Z546" s="10"/>
      <c r="AA546" s="10"/>
      <c r="AB546" s="10"/>
      <c r="AC546" s="10"/>
      <c r="AD546" s="10"/>
      <c r="AE546" s="10"/>
      <c r="AF546" s="10"/>
    </row>
    <row r="547">
      <c r="A547" s="7"/>
      <c r="B547" s="8">
        <v>56.0</v>
      </c>
      <c r="C547" s="8">
        <v>6.0</v>
      </c>
      <c r="D547" s="8" t="s">
        <v>963</v>
      </c>
      <c r="E547" s="7">
        <v>0.0</v>
      </c>
      <c r="F547" s="7"/>
      <c r="G547" s="7" t="s">
        <v>312</v>
      </c>
      <c r="H547" s="7" t="s">
        <v>313</v>
      </c>
      <c r="I547" s="10"/>
      <c r="J547" s="11"/>
      <c r="K547" s="12"/>
      <c r="L547" s="12"/>
      <c r="M547" s="10"/>
      <c r="N547" s="10"/>
      <c r="O547" s="10"/>
      <c r="P547" s="10"/>
      <c r="Q547" s="10"/>
      <c r="R547" s="10"/>
      <c r="S547" s="10"/>
      <c r="T547" s="10"/>
      <c r="U547" s="10"/>
      <c r="V547" s="10"/>
      <c r="W547" s="10"/>
      <c r="X547" s="10"/>
      <c r="Y547" s="10"/>
      <c r="Z547" s="10"/>
      <c r="AA547" s="10"/>
      <c r="AB547" s="10"/>
      <c r="AC547" s="10"/>
      <c r="AD547" s="10"/>
      <c r="AE547" s="10"/>
      <c r="AF547" s="10"/>
    </row>
    <row r="548">
      <c r="A548" s="7"/>
      <c r="B548" s="8">
        <v>56.0</v>
      </c>
      <c r="C548" s="8">
        <v>7.0</v>
      </c>
      <c r="D548" s="8" t="s">
        <v>964</v>
      </c>
      <c r="E548" s="7">
        <v>0.0</v>
      </c>
      <c r="F548" s="7"/>
      <c r="G548" s="7" t="s">
        <v>312</v>
      </c>
      <c r="H548" s="7" t="s">
        <v>313</v>
      </c>
      <c r="I548" s="10"/>
      <c r="J548" s="11"/>
      <c r="K548" s="12"/>
      <c r="L548" s="12"/>
      <c r="M548" s="10"/>
      <c r="N548" s="10"/>
      <c r="O548" s="10"/>
      <c r="P548" s="10"/>
      <c r="Q548" s="10"/>
      <c r="R548" s="10"/>
      <c r="S548" s="10"/>
      <c r="T548" s="10"/>
      <c r="U548" s="10"/>
      <c r="V548" s="10"/>
      <c r="W548" s="10"/>
      <c r="X548" s="10"/>
      <c r="Y548" s="10"/>
      <c r="Z548" s="10"/>
      <c r="AA548" s="10"/>
      <c r="AB548" s="10"/>
      <c r="AC548" s="10"/>
      <c r="AD548" s="10"/>
      <c r="AE548" s="10"/>
      <c r="AF548" s="10"/>
    </row>
    <row r="549">
      <c r="A549" s="7"/>
      <c r="B549" s="8">
        <v>56.0</v>
      </c>
      <c r="C549" s="8">
        <v>8.0</v>
      </c>
      <c r="D549" s="8" t="s">
        <v>965</v>
      </c>
      <c r="E549" s="7">
        <v>0.0</v>
      </c>
      <c r="F549" s="7"/>
      <c r="G549" s="7" t="s">
        <v>312</v>
      </c>
      <c r="H549" s="7" t="s">
        <v>313</v>
      </c>
      <c r="I549" s="10"/>
      <c r="J549" s="11"/>
      <c r="K549" s="12"/>
      <c r="L549" s="12"/>
      <c r="M549" s="10"/>
      <c r="N549" s="10"/>
      <c r="O549" s="10"/>
      <c r="P549" s="10"/>
      <c r="Q549" s="10"/>
      <c r="R549" s="10"/>
      <c r="S549" s="10"/>
      <c r="T549" s="10"/>
      <c r="U549" s="10"/>
      <c r="V549" s="10"/>
      <c r="W549" s="10"/>
      <c r="X549" s="10"/>
      <c r="Y549" s="10"/>
      <c r="Z549" s="10"/>
      <c r="AA549" s="10"/>
      <c r="AB549" s="10"/>
      <c r="AC549" s="10"/>
      <c r="AD549" s="10"/>
      <c r="AE549" s="10"/>
      <c r="AF549" s="10"/>
    </row>
    <row r="550">
      <c r="A550" s="7"/>
      <c r="B550" s="8">
        <v>56.0</v>
      </c>
      <c r="C550" s="8">
        <v>9.0</v>
      </c>
      <c r="D550" s="8" t="s">
        <v>966</v>
      </c>
      <c r="E550" s="7">
        <v>0.0</v>
      </c>
      <c r="F550" s="7"/>
      <c r="G550" s="7" t="s">
        <v>312</v>
      </c>
      <c r="H550" s="7" t="s">
        <v>313</v>
      </c>
      <c r="I550" s="10"/>
      <c r="J550" s="11"/>
      <c r="K550" s="12"/>
      <c r="L550" s="12"/>
      <c r="M550" s="10"/>
      <c r="N550" s="10"/>
      <c r="O550" s="10"/>
      <c r="P550" s="10"/>
      <c r="Q550" s="10"/>
      <c r="R550" s="10"/>
      <c r="S550" s="10"/>
      <c r="T550" s="10"/>
      <c r="U550" s="10"/>
      <c r="V550" s="10"/>
      <c r="W550" s="10"/>
      <c r="X550" s="10"/>
      <c r="Y550" s="10"/>
      <c r="Z550" s="10"/>
      <c r="AA550" s="10"/>
      <c r="AB550" s="10"/>
      <c r="AC550" s="10"/>
      <c r="AD550" s="10"/>
      <c r="AE550" s="10"/>
      <c r="AF550" s="10"/>
    </row>
    <row r="551">
      <c r="A551" s="7"/>
      <c r="B551" s="8">
        <v>56.0</v>
      </c>
      <c r="C551" s="8">
        <v>10.0</v>
      </c>
      <c r="D551" s="8" t="s">
        <v>967</v>
      </c>
      <c r="E551" s="7">
        <v>1.0</v>
      </c>
      <c r="F551" s="7" t="s">
        <v>320</v>
      </c>
      <c r="G551" s="7" t="s">
        <v>312</v>
      </c>
      <c r="H551" s="7" t="s">
        <v>313</v>
      </c>
      <c r="I551" s="7" t="s">
        <v>366</v>
      </c>
      <c r="J551" s="9" t="s">
        <v>968</v>
      </c>
      <c r="K551" s="12"/>
      <c r="L551" s="15" t="s">
        <v>969</v>
      </c>
      <c r="M551" s="10"/>
      <c r="N551" s="10"/>
      <c r="O551" s="10"/>
      <c r="P551" s="10"/>
      <c r="Q551" s="10"/>
      <c r="R551" s="10"/>
      <c r="S551" s="10"/>
      <c r="T551" s="10"/>
      <c r="U551" s="10"/>
      <c r="V551" s="10"/>
      <c r="W551" s="10"/>
      <c r="X551" s="10"/>
      <c r="Y551" s="10"/>
      <c r="Z551" s="10"/>
      <c r="AA551" s="10"/>
      <c r="AB551" s="10"/>
      <c r="AC551" s="10"/>
      <c r="AD551" s="10"/>
      <c r="AE551" s="10"/>
      <c r="AF551" s="10"/>
    </row>
    <row r="552">
      <c r="A552" s="7"/>
      <c r="B552" s="8">
        <v>56.0</v>
      </c>
      <c r="C552" s="8">
        <v>11.0</v>
      </c>
      <c r="D552" s="8" t="s">
        <v>970</v>
      </c>
      <c r="E552" s="7">
        <v>1.0</v>
      </c>
      <c r="F552" s="7" t="s">
        <v>320</v>
      </c>
      <c r="G552" s="7" t="s">
        <v>312</v>
      </c>
      <c r="H552" s="7" t="s">
        <v>313</v>
      </c>
      <c r="I552" s="7" t="s">
        <v>366</v>
      </c>
      <c r="J552" s="9" t="s">
        <v>971</v>
      </c>
      <c r="K552" s="12"/>
      <c r="L552" s="12"/>
      <c r="M552" s="10"/>
      <c r="N552" s="10"/>
      <c r="O552" s="10"/>
      <c r="P552" s="10"/>
      <c r="Q552" s="10"/>
      <c r="R552" s="10"/>
      <c r="S552" s="10"/>
      <c r="T552" s="10"/>
      <c r="U552" s="10"/>
      <c r="V552" s="10"/>
      <c r="W552" s="10"/>
      <c r="X552" s="10"/>
      <c r="Y552" s="10"/>
      <c r="Z552" s="10"/>
      <c r="AA552" s="10"/>
      <c r="AB552" s="10"/>
      <c r="AC552" s="10"/>
      <c r="AD552" s="10"/>
      <c r="AE552" s="10"/>
      <c r="AF552" s="10"/>
    </row>
    <row r="553">
      <c r="A553" s="7"/>
      <c r="B553" s="8">
        <v>56.0</v>
      </c>
      <c r="C553" s="8">
        <v>12.0</v>
      </c>
      <c r="D553" s="8" t="s">
        <v>972</v>
      </c>
      <c r="E553" s="7">
        <v>1.0</v>
      </c>
      <c r="F553" s="7" t="s">
        <v>320</v>
      </c>
      <c r="G553" s="7" t="s">
        <v>312</v>
      </c>
      <c r="H553" s="7" t="s">
        <v>313</v>
      </c>
      <c r="I553" s="7" t="s">
        <v>366</v>
      </c>
      <c r="J553" s="9" t="s">
        <v>973</v>
      </c>
      <c r="K553" s="12"/>
      <c r="L553" s="12"/>
      <c r="M553" s="10"/>
      <c r="N553" s="10"/>
      <c r="O553" s="10"/>
      <c r="P553" s="10"/>
      <c r="Q553" s="10"/>
      <c r="R553" s="10"/>
      <c r="S553" s="10"/>
      <c r="T553" s="10"/>
      <c r="U553" s="10"/>
      <c r="V553" s="10"/>
      <c r="W553" s="10"/>
      <c r="X553" s="10"/>
      <c r="Y553" s="10"/>
      <c r="Z553" s="10"/>
      <c r="AA553" s="10"/>
      <c r="AB553" s="10"/>
      <c r="AC553" s="10"/>
      <c r="AD553" s="10"/>
      <c r="AE553" s="10"/>
      <c r="AF553" s="10"/>
    </row>
    <row r="554">
      <c r="A554" s="7"/>
      <c r="B554" s="8">
        <v>56.0</v>
      </c>
      <c r="C554" s="8">
        <v>13.0</v>
      </c>
      <c r="D554" s="8" t="s">
        <v>974</v>
      </c>
      <c r="E554" s="7">
        <v>1.0</v>
      </c>
      <c r="F554" s="7" t="s">
        <v>320</v>
      </c>
      <c r="G554" s="7" t="s">
        <v>312</v>
      </c>
      <c r="H554" s="7" t="s">
        <v>313</v>
      </c>
      <c r="I554" s="7" t="s">
        <v>366</v>
      </c>
      <c r="J554" s="9" t="s">
        <v>973</v>
      </c>
      <c r="K554" s="12"/>
      <c r="L554" s="12"/>
      <c r="M554" s="10"/>
      <c r="N554" s="10"/>
      <c r="O554" s="10"/>
      <c r="P554" s="10"/>
      <c r="Q554" s="10"/>
      <c r="R554" s="10"/>
      <c r="S554" s="10"/>
      <c r="T554" s="10"/>
      <c r="U554" s="10"/>
      <c r="V554" s="10"/>
      <c r="W554" s="10"/>
      <c r="X554" s="10"/>
      <c r="Y554" s="10"/>
      <c r="Z554" s="10"/>
      <c r="AA554" s="10"/>
      <c r="AB554" s="10"/>
      <c r="AC554" s="10"/>
      <c r="AD554" s="10"/>
      <c r="AE554" s="10"/>
      <c r="AF554" s="10"/>
    </row>
    <row r="555">
      <c r="A555" s="7"/>
      <c r="B555" s="8">
        <v>56.0</v>
      </c>
      <c r="C555" s="8">
        <v>14.0</v>
      </c>
      <c r="D555" s="8" t="s">
        <v>975</v>
      </c>
      <c r="E555" s="7">
        <v>1.0</v>
      </c>
      <c r="F555" s="7" t="s">
        <v>320</v>
      </c>
      <c r="G555" s="7" t="s">
        <v>312</v>
      </c>
      <c r="H555" s="7" t="s">
        <v>313</v>
      </c>
      <c r="I555" s="7" t="s">
        <v>366</v>
      </c>
      <c r="J555" s="9" t="s">
        <v>976</v>
      </c>
      <c r="K555" s="12"/>
      <c r="L555" s="12"/>
      <c r="M555" s="10"/>
      <c r="N555" s="10"/>
      <c r="O555" s="10"/>
      <c r="P555" s="10"/>
      <c r="Q555" s="10"/>
      <c r="R555" s="10"/>
      <c r="S555" s="10"/>
      <c r="T555" s="10"/>
      <c r="U555" s="10"/>
      <c r="V555" s="10"/>
      <c r="W555" s="10"/>
      <c r="X555" s="10"/>
      <c r="Y555" s="10"/>
      <c r="Z555" s="10"/>
      <c r="AA555" s="10"/>
      <c r="AB555" s="10"/>
      <c r="AC555" s="10"/>
      <c r="AD555" s="10"/>
      <c r="AE555" s="10"/>
      <c r="AF555" s="10"/>
    </row>
    <row r="556">
      <c r="A556" s="7"/>
      <c r="B556" s="8">
        <v>56.0</v>
      </c>
      <c r="C556" s="8">
        <v>15.0</v>
      </c>
      <c r="D556" s="8" t="s">
        <v>977</v>
      </c>
      <c r="E556" s="7">
        <v>1.0</v>
      </c>
      <c r="F556" s="7" t="s">
        <v>320</v>
      </c>
      <c r="G556" s="7" t="s">
        <v>312</v>
      </c>
      <c r="H556" s="7" t="s">
        <v>313</v>
      </c>
      <c r="I556" s="7" t="s">
        <v>366</v>
      </c>
      <c r="J556" s="9" t="s">
        <v>976</v>
      </c>
      <c r="K556" s="12"/>
      <c r="L556" s="12"/>
      <c r="M556" s="10"/>
      <c r="N556" s="10"/>
      <c r="O556" s="10"/>
      <c r="P556" s="10"/>
      <c r="Q556" s="10"/>
      <c r="R556" s="10"/>
      <c r="S556" s="10"/>
      <c r="T556" s="10"/>
      <c r="U556" s="10"/>
      <c r="V556" s="10"/>
      <c r="W556" s="10"/>
      <c r="X556" s="10"/>
      <c r="Y556" s="10"/>
      <c r="Z556" s="10"/>
      <c r="AA556" s="10"/>
      <c r="AB556" s="10"/>
      <c r="AC556" s="10"/>
      <c r="AD556" s="10"/>
      <c r="AE556" s="10"/>
      <c r="AF556" s="10"/>
    </row>
    <row r="557">
      <c r="A557" s="7"/>
      <c r="B557" s="8">
        <v>56.0</v>
      </c>
      <c r="C557" s="8">
        <v>16.0</v>
      </c>
      <c r="D557" s="8" t="s">
        <v>978</v>
      </c>
      <c r="E557" s="7">
        <v>1.0</v>
      </c>
      <c r="F557" s="7"/>
      <c r="G557" s="7" t="s">
        <v>312</v>
      </c>
      <c r="H557" s="7" t="s">
        <v>313</v>
      </c>
      <c r="I557" s="7"/>
      <c r="J557" s="9" t="s">
        <v>979</v>
      </c>
      <c r="K557" s="12"/>
      <c r="L557" s="12"/>
      <c r="M557" s="10"/>
      <c r="N557" s="10"/>
      <c r="O557" s="10"/>
      <c r="P557" s="10"/>
      <c r="Q557" s="10"/>
      <c r="R557" s="10"/>
      <c r="S557" s="10"/>
      <c r="T557" s="10"/>
      <c r="U557" s="10"/>
      <c r="V557" s="10"/>
      <c r="W557" s="10"/>
      <c r="X557" s="10"/>
      <c r="Y557" s="10"/>
      <c r="Z557" s="10"/>
      <c r="AA557" s="10"/>
      <c r="AB557" s="10"/>
      <c r="AC557" s="10"/>
      <c r="AD557" s="10"/>
      <c r="AE557" s="10"/>
      <c r="AF557" s="10"/>
    </row>
    <row r="558">
      <c r="A558" s="7"/>
      <c r="B558" s="8">
        <v>56.0</v>
      </c>
      <c r="C558" s="8">
        <v>17.0</v>
      </c>
      <c r="D558" s="8" t="s">
        <v>980</v>
      </c>
      <c r="E558" s="7">
        <v>1.0</v>
      </c>
      <c r="F558" s="7"/>
      <c r="G558" s="7" t="s">
        <v>312</v>
      </c>
      <c r="H558" s="7" t="s">
        <v>313</v>
      </c>
      <c r="I558" s="7"/>
      <c r="J558" s="9" t="s">
        <v>981</v>
      </c>
      <c r="K558" s="12"/>
      <c r="L558" s="12"/>
      <c r="M558" s="10"/>
      <c r="N558" s="10"/>
      <c r="O558" s="10"/>
      <c r="P558" s="10"/>
      <c r="Q558" s="10"/>
      <c r="R558" s="10"/>
      <c r="S558" s="10"/>
      <c r="T558" s="10"/>
      <c r="U558" s="10"/>
      <c r="V558" s="10"/>
      <c r="W558" s="10"/>
      <c r="X558" s="10"/>
      <c r="Y558" s="10"/>
      <c r="Z558" s="10"/>
      <c r="AA558" s="10"/>
      <c r="AB558" s="10"/>
      <c r="AC558" s="10"/>
      <c r="AD558" s="10"/>
      <c r="AE558" s="10"/>
      <c r="AF558" s="10"/>
    </row>
    <row r="559">
      <c r="A559" s="7"/>
      <c r="B559" s="8">
        <v>56.0</v>
      </c>
      <c r="C559" s="8">
        <v>18.0</v>
      </c>
      <c r="D559" s="8" t="s">
        <v>982</v>
      </c>
      <c r="E559" s="7">
        <v>1.0</v>
      </c>
      <c r="F559" s="7"/>
      <c r="G559" s="7" t="s">
        <v>312</v>
      </c>
      <c r="H559" s="7" t="s">
        <v>313</v>
      </c>
      <c r="I559" s="7"/>
      <c r="J559" s="9" t="s">
        <v>983</v>
      </c>
      <c r="K559" s="12"/>
      <c r="L559" s="12"/>
      <c r="M559" s="10"/>
      <c r="N559" s="10"/>
      <c r="O559" s="10"/>
      <c r="P559" s="10"/>
      <c r="Q559" s="10"/>
      <c r="R559" s="10"/>
      <c r="S559" s="10"/>
      <c r="T559" s="10"/>
      <c r="U559" s="10"/>
      <c r="V559" s="10"/>
      <c r="W559" s="10"/>
      <c r="X559" s="10"/>
      <c r="Y559" s="10"/>
      <c r="Z559" s="10"/>
      <c r="AA559" s="10"/>
      <c r="AB559" s="10"/>
      <c r="AC559" s="10"/>
      <c r="AD559" s="10"/>
      <c r="AE559" s="10"/>
      <c r="AF559" s="10"/>
    </row>
    <row r="560">
      <c r="A560" s="7"/>
      <c r="B560" s="8">
        <v>56.0</v>
      </c>
      <c r="C560" s="8">
        <v>19.0</v>
      </c>
      <c r="D560" s="8" t="s">
        <v>984</v>
      </c>
      <c r="E560" s="7">
        <v>1.0</v>
      </c>
      <c r="F560" s="7"/>
      <c r="G560" s="7" t="s">
        <v>312</v>
      </c>
      <c r="H560" s="7" t="s">
        <v>313</v>
      </c>
      <c r="I560" s="10"/>
      <c r="J560" s="11"/>
      <c r="K560" s="12"/>
      <c r="L560" s="12"/>
      <c r="M560" s="10"/>
      <c r="N560" s="10"/>
      <c r="O560" s="10"/>
      <c r="P560" s="10"/>
      <c r="Q560" s="10"/>
      <c r="R560" s="10"/>
      <c r="S560" s="10"/>
      <c r="T560" s="10"/>
      <c r="U560" s="10"/>
      <c r="V560" s="10"/>
      <c r="W560" s="10"/>
      <c r="X560" s="10"/>
      <c r="Y560" s="10"/>
      <c r="Z560" s="10"/>
      <c r="AA560" s="10"/>
      <c r="AB560" s="10"/>
      <c r="AC560" s="10"/>
      <c r="AD560" s="10"/>
      <c r="AE560" s="10"/>
      <c r="AF560" s="10"/>
    </row>
    <row r="561">
      <c r="A561" s="7"/>
      <c r="B561" s="8">
        <v>56.0</v>
      </c>
      <c r="C561" s="8">
        <v>20.0</v>
      </c>
      <c r="D561" s="8" t="s">
        <v>985</v>
      </c>
      <c r="E561" s="7">
        <v>1.0</v>
      </c>
      <c r="F561" s="7"/>
      <c r="G561" s="7" t="s">
        <v>312</v>
      </c>
      <c r="H561" s="7" t="s">
        <v>313</v>
      </c>
      <c r="I561" s="10"/>
      <c r="J561" s="11"/>
      <c r="K561" s="12"/>
      <c r="L561" s="12"/>
      <c r="M561" s="10"/>
      <c r="N561" s="10"/>
      <c r="O561" s="10"/>
      <c r="P561" s="10"/>
      <c r="Q561" s="10"/>
      <c r="R561" s="10"/>
      <c r="S561" s="10"/>
      <c r="T561" s="10"/>
      <c r="U561" s="10"/>
      <c r="V561" s="10"/>
      <c r="W561" s="10"/>
      <c r="X561" s="10"/>
      <c r="Y561" s="10"/>
      <c r="Z561" s="10"/>
      <c r="AA561" s="10"/>
      <c r="AB561" s="10"/>
      <c r="AC561" s="10"/>
      <c r="AD561" s="10"/>
      <c r="AE561" s="10"/>
      <c r="AF561" s="10"/>
    </row>
    <row r="562">
      <c r="A562" s="7"/>
      <c r="B562" s="8">
        <v>56.0</v>
      </c>
      <c r="C562" s="8">
        <v>21.0</v>
      </c>
      <c r="D562" s="8" t="s">
        <v>986</v>
      </c>
      <c r="E562" s="7">
        <v>1.0</v>
      </c>
      <c r="F562" s="7"/>
      <c r="G562" s="7" t="s">
        <v>312</v>
      </c>
      <c r="H562" s="7" t="s">
        <v>313</v>
      </c>
      <c r="I562" s="10"/>
      <c r="J562" s="11"/>
      <c r="K562" s="12"/>
      <c r="L562" s="12"/>
      <c r="M562" s="10"/>
      <c r="N562" s="10"/>
      <c r="O562" s="10"/>
      <c r="P562" s="10"/>
      <c r="Q562" s="10"/>
      <c r="R562" s="10"/>
      <c r="S562" s="10"/>
      <c r="T562" s="10"/>
      <c r="U562" s="10"/>
      <c r="V562" s="10"/>
      <c r="W562" s="10"/>
      <c r="X562" s="10"/>
      <c r="Y562" s="10"/>
      <c r="Z562" s="10"/>
      <c r="AA562" s="10"/>
      <c r="AB562" s="10"/>
      <c r="AC562" s="10"/>
      <c r="AD562" s="10"/>
      <c r="AE562" s="10"/>
      <c r="AF562" s="10"/>
    </row>
    <row r="563">
      <c r="A563" s="7"/>
      <c r="B563" s="8">
        <v>56.0</v>
      </c>
      <c r="C563" s="8">
        <v>22.0</v>
      </c>
      <c r="D563" s="8" t="s">
        <v>987</v>
      </c>
      <c r="E563" s="7">
        <v>1.0</v>
      </c>
      <c r="F563" s="7" t="s">
        <v>320</v>
      </c>
      <c r="G563" s="7" t="s">
        <v>312</v>
      </c>
      <c r="H563" s="7" t="s">
        <v>313</v>
      </c>
      <c r="I563" s="7" t="s">
        <v>366</v>
      </c>
      <c r="J563" s="9" t="s">
        <v>988</v>
      </c>
      <c r="K563" s="12"/>
      <c r="L563" s="12"/>
      <c r="M563" s="10"/>
      <c r="N563" s="10"/>
      <c r="O563" s="10"/>
      <c r="P563" s="10"/>
      <c r="Q563" s="10"/>
      <c r="R563" s="10"/>
      <c r="S563" s="10"/>
      <c r="T563" s="10"/>
      <c r="U563" s="10"/>
      <c r="V563" s="10"/>
      <c r="W563" s="10"/>
      <c r="X563" s="10"/>
      <c r="Y563" s="10"/>
      <c r="Z563" s="10"/>
      <c r="AA563" s="10"/>
      <c r="AB563" s="10"/>
      <c r="AC563" s="10"/>
      <c r="AD563" s="10"/>
      <c r="AE563" s="10"/>
      <c r="AF563" s="10"/>
    </row>
    <row r="564">
      <c r="A564" s="7"/>
      <c r="B564" s="8">
        <v>56.0</v>
      </c>
      <c r="C564" s="8">
        <v>23.0</v>
      </c>
      <c r="D564" s="8" t="s">
        <v>989</v>
      </c>
      <c r="E564" s="7">
        <v>1.0</v>
      </c>
      <c r="F564" s="7" t="s">
        <v>320</v>
      </c>
      <c r="G564" s="7" t="s">
        <v>312</v>
      </c>
      <c r="H564" s="7" t="s">
        <v>313</v>
      </c>
      <c r="I564" s="7" t="s">
        <v>366</v>
      </c>
      <c r="J564" s="9" t="s">
        <v>990</v>
      </c>
      <c r="K564" s="12"/>
      <c r="L564" s="12"/>
      <c r="M564" s="10"/>
      <c r="N564" s="10"/>
      <c r="O564" s="10"/>
      <c r="P564" s="10"/>
      <c r="Q564" s="10"/>
      <c r="R564" s="10"/>
      <c r="S564" s="10"/>
      <c r="T564" s="10"/>
      <c r="U564" s="10"/>
      <c r="V564" s="10"/>
      <c r="W564" s="10"/>
      <c r="X564" s="10"/>
      <c r="Y564" s="10"/>
      <c r="Z564" s="10"/>
      <c r="AA564" s="10"/>
      <c r="AB564" s="10"/>
      <c r="AC564" s="10"/>
      <c r="AD564" s="10"/>
      <c r="AE564" s="10"/>
      <c r="AF564" s="10"/>
    </row>
    <row r="565">
      <c r="A565" s="7"/>
      <c r="B565" s="8">
        <v>56.0</v>
      </c>
      <c r="C565" s="8">
        <v>24.0</v>
      </c>
      <c r="D565" s="8" t="s">
        <v>991</v>
      </c>
      <c r="E565" s="7">
        <v>0.0</v>
      </c>
      <c r="F565" s="7"/>
      <c r="G565" s="7" t="s">
        <v>312</v>
      </c>
      <c r="H565" s="7" t="s">
        <v>313</v>
      </c>
      <c r="I565" s="10"/>
      <c r="J565" s="11"/>
      <c r="K565" s="12"/>
      <c r="L565" s="12"/>
      <c r="M565" s="10"/>
      <c r="N565" s="10"/>
      <c r="O565" s="10"/>
      <c r="P565" s="10"/>
      <c r="Q565" s="10"/>
      <c r="R565" s="10"/>
      <c r="S565" s="10"/>
      <c r="T565" s="10"/>
      <c r="U565" s="10"/>
      <c r="V565" s="10"/>
      <c r="W565" s="10"/>
      <c r="X565" s="10"/>
      <c r="Y565" s="10"/>
      <c r="Z565" s="10"/>
      <c r="AA565" s="10"/>
      <c r="AB565" s="10"/>
      <c r="AC565" s="10"/>
      <c r="AD565" s="10"/>
      <c r="AE565" s="10"/>
      <c r="AF565" s="10"/>
    </row>
    <row r="566">
      <c r="A566" s="7"/>
      <c r="B566" s="8">
        <v>56.0</v>
      </c>
      <c r="C566" s="8">
        <v>25.0</v>
      </c>
      <c r="D566" s="8" t="s">
        <v>992</v>
      </c>
      <c r="E566" s="7">
        <v>0.0</v>
      </c>
      <c r="F566" s="7"/>
      <c r="G566" s="7" t="s">
        <v>312</v>
      </c>
      <c r="H566" s="7" t="s">
        <v>313</v>
      </c>
      <c r="I566" s="10"/>
      <c r="J566" s="11"/>
      <c r="K566" s="8" t="s">
        <v>993</v>
      </c>
      <c r="L566" s="12"/>
      <c r="M566" s="10"/>
      <c r="N566" s="10"/>
      <c r="O566" s="10"/>
      <c r="P566" s="10"/>
      <c r="Q566" s="10"/>
      <c r="R566" s="10"/>
      <c r="S566" s="10"/>
      <c r="T566" s="10"/>
      <c r="U566" s="10"/>
      <c r="V566" s="10"/>
      <c r="W566" s="10"/>
      <c r="X566" s="10"/>
      <c r="Y566" s="10"/>
      <c r="Z566" s="10"/>
      <c r="AA566" s="10"/>
      <c r="AB566" s="10"/>
      <c r="AC566" s="10"/>
      <c r="AD566" s="10"/>
      <c r="AE566" s="10"/>
      <c r="AF566" s="10"/>
    </row>
    <row r="567">
      <c r="A567" s="7"/>
      <c r="B567" s="8">
        <v>56.0</v>
      </c>
      <c r="C567" s="8">
        <v>26.0</v>
      </c>
      <c r="D567" s="8" t="s">
        <v>994</v>
      </c>
      <c r="E567" s="7">
        <v>0.0</v>
      </c>
      <c r="F567" s="7"/>
      <c r="G567" s="7" t="s">
        <v>312</v>
      </c>
      <c r="H567" s="7" t="s">
        <v>313</v>
      </c>
      <c r="I567" s="10"/>
      <c r="J567" s="11"/>
      <c r="K567" s="8" t="s">
        <v>993</v>
      </c>
      <c r="L567" s="12"/>
      <c r="M567" s="10"/>
      <c r="N567" s="10"/>
      <c r="O567" s="10"/>
      <c r="P567" s="10"/>
      <c r="Q567" s="10"/>
      <c r="R567" s="10"/>
      <c r="S567" s="10"/>
      <c r="T567" s="10"/>
      <c r="U567" s="10"/>
      <c r="V567" s="10"/>
      <c r="W567" s="10"/>
      <c r="X567" s="10"/>
      <c r="Y567" s="10"/>
      <c r="Z567" s="10"/>
      <c r="AA567" s="10"/>
      <c r="AB567" s="10"/>
      <c r="AC567" s="10"/>
      <c r="AD567" s="10"/>
      <c r="AE567" s="10"/>
      <c r="AF567" s="10"/>
    </row>
    <row r="568">
      <c r="A568" s="7"/>
      <c r="B568" s="8">
        <v>56.0</v>
      </c>
      <c r="C568" s="8">
        <v>27.0</v>
      </c>
      <c r="D568" s="8" t="s">
        <v>995</v>
      </c>
      <c r="E568" s="7">
        <v>0.0</v>
      </c>
      <c r="F568" s="7"/>
      <c r="G568" s="7" t="s">
        <v>312</v>
      </c>
      <c r="H568" s="7" t="s">
        <v>313</v>
      </c>
      <c r="I568" s="10"/>
      <c r="J568" s="11"/>
      <c r="K568" s="12"/>
      <c r="L568" s="12"/>
      <c r="M568" s="10"/>
      <c r="N568" s="10"/>
      <c r="O568" s="10"/>
      <c r="P568" s="10"/>
      <c r="Q568" s="10"/>
      <c r="R568" s="10"/>
      <c r="S568" s="10"/>
      <c r="T568" s="10"/>
      <c r="U568" s="10"/>
      <c r="V568" s="10"/>
      <c r="W568" s="10"/>
      <c r="X568" s="10"/>
      <c r="Y568" s="10"/>
      <c r="Z568" s="10"/>
      <c r="AA568" s="10"/>
      <c r="AB568" s="10"/>
      <c r="AC568" s="10"/>
      <c r="AD568" s="10"/>
      <c r="AE568" s="10"/>
      <c r="AF568" s="10"/>
    </row>
    <row r="569">
      <c r="A569" s="7"/>
      <c r="B569" s="8">
        <v>56.0</v>
      </c>
      <c r="C569" s="8">
        <v>28.0</v>
      </c>
      <c r="D569" s="8" t="s">
        <v>996</v>
      </c>
      <c r="E569" s="7">
        <v>0.0</v>
      </c>
      <c r="F569" s="7"/>
      <c r="G569" s="7" t="s">
        <v>312</v>
      </c>
      <c r="H569" s="7" t="s">
        <v>313</v>
      </c>
      <c r="I569" s="10"/>
      <c r="J569" s="11"/>
      <c r="K569" s="12"/>
      <c r="L569" s="12"/>
      <c r="M569" s="10"/>
      <c r="N569" s="10"/>
      <c r="O569" s="10"/>
      <c r="P569" s="10"/>
      <c r="Q569" s="10"/>
      <c r="R569" s="10"/>
      <c r="S569" s="10"/>
      <c r="T569" s="10"/>
      <c r="U569" s="10"/>
      <c r="V569" s="10"/>
      <c r="W569" s="10"/>
      <c r="X569" s="10"/>
      <c r="Y569" s="10"/>
      <c r="Z569" s="10"/>
      <c r="AA569" s="10"/>
      <c r="AB569" s="10"/>
      <c r="AC569" s="10"/>
      <c r="AD569" s="10"/>
      <c r="AE569" s="10"/>
      <c r="AF569" s="10"/>
    </row>
    <row r="570">
      <c r="A570" s="7"/>
      <c r="B570" s="8">
        <v>56.0</v>
      </c>
      <c r="C570" s="8">
        <v>29.0</v>
      </c>
      <c r="D570" s="8" t="s">
        <v>997</v>
      </c>
      <c r="E570" s="7">
        <v>0.0</v>
      </c>
      <c r="F570" s="7"/>
      <c r="G570" s="7" t="s">
        <v>312</v>
      </c>
      <c r="H570" s="7" t="s">
        <v>313</v>
      </c>
      <c r="I570" s="10"/>
      <c r="J570" s="11"/>
      <c r="K570" s="8" t="s">
        <v>998</v>
      </c>
      <c r="L570" s="12"/>
      <c r="M570" s="10"/>
      <c r="N570" s="10"/>
      <c r="O570" s="10"/>
      <c r="P570" s="10"/>
      <c r="Q570" s="10"/>
      <c r="R570" s="10"/>
      <c r="S570" s="10"/>
      <c r="T570" s="10"/>
      <c r="U570" s="10"/>
      <c r="V570" s="10"/>
      <c r="W570" s="10"/>
      <c r="X570" s="10"/>
      <c r="Y570" s="10"/>
      <c r="Z570" s="10"/>
      <c r="AA570" s="10"/>
      <c r="AB570" s="10"/>
      <c r="AC570" s="10"/>
      <c r="AD570" s="10"/>
      <c r="AE570" s="10"/>
      <c r="AF570" s="10"/>
    </row>
    <row r="571">
      <c r="A571" s="7"/>
      <c r="B571" s="8">
        <v>56.0</v>
      </c>
      <c r="C571" s="8">
        <v>30.0</v>
      </c>
      <c r="D571" s="8" t="s">
        <v>999</v>
      </c>
      <c r="E571" s="7">
        <v>0.0</v>
      </c>
      <c r="F571" s="7"/>
      <c r="G571" s="7" t="s">
        <v>312</v>
      </c>
      <c r="H571" s="7" t="s">
        <v>313</v>
      </c>
      <c r="I571" s="10"/>
      <c r="J571" s="11"/>
      <c r="K571" s="8" t="s">
        <v>998</v>
      </c>
      <c r="L571" s="12"/>
      <c r="M571" s="10"/>
      <c r="N571" s="10"/>
      <c r="O571" s="10"/>
      <c r="P571" s="10"/>
      <c r="Q571" s="10"/>
      <c r="R571" s="10"/>
      <c r="S571" s="10"/>
      <c r="T571" s="10"/>
      <c r="U571" s="10"/>
      <c r="V571" s="10"/>
      <c r="W571" s="10"/>
      <c r="X571" s="10"/>
      <c r="Y571" s="10"/>
      <c r="Z571" s="10"/>
      <c r="AA571" s="10"/>
      <c r="AB571" s="10"/>
      <c r="AC571" s="10"/>
      <c r="AD571" s="10"/>
      <c r="AE571" s="10"/>
      <c r="AF571" s="10"/>
    </row>
    <row r="572">
      <c r="A572" s="7"/>
      <c r="B572" s="8">
        <v>56.0</v>
      </c>
      <c r="C572" s="8">
        <v>31.0</v>
      </c>
      <c r="D572" s="8" t="s">
        <v>1000</v>
      </c>
      <c r="E572" s="7">
        <v>0.0</v>
      </c>
      <c r="F572" s="7"/>
      <c r="G572" s="7" t="s">
        <v>312</v>
      </c>
      <c r="H572" s="7" t="s">
        <v>313</v>
      </c>
      <c r="I572" s="10"/>
      <c r="J572" s="11"/>
      <c r="K572" s="12"/>
      <c r="L572" s="12"/>
      <c r="M572" s="10"/>
      <c r="N572" s="10"/>
      <c r="O572" s="10"/>
      <c r="P572" s="10"/>
      <c r="Q572" s="10"/>
      <c r="R572" s="10"/>
      <c r="S572" s="10"/>
      <c r="T572" s="10"/>
      <c r="U572" s="10"/>
      <c r="V572" s="10"/>
      <c r="W572" s="10"/>
      <c r="X572" s="10"/>
      <c r="Y572" s="10"/>
      <c r="Z572" s="10"/>
      <c r="AA572" s="10"/>
      <c r="AB572" s="10"/>
      <c r="AC572" s="10"/>
      <c r="AD572" s="10"/>
      <c r="AE572" s="10"/>
      <c r="AF572" s="10"/>
    </row>
    <row r="573">
      <c r="A573" s="7"/>
      <c r="B573" s="8">
        <v>56.0</v>
      </c>
      <c r="C573" s="8">
        <v>32.0</v>
      </c>
      <c r="D573" s="8" t="s">
        <v>1001</v>
      </c>
      <c r="E573" s="7">
        <v>0.0</v>
      </c>
      <c r="F573" s="7"/>
      <c r="G573" s="7" t="s">
        <v>312</v>
      </c>
      <c r="H573" s="7" t="s">
        <v>313</v>
      </c>
      <c r="I573" s="10"/>
      <c r="J573" s="11"/>
      <c r="K573" s="8" t="s">
        <v>1002</v>
      </c>
      <c r="L573" s="12"/>
      <c r="M573" s="10"/>
      <c r="N573" s="10"/>
      <c r="O573" s="10"/>
      <c r="P573" s="10"/>
      <c r="Q573" s="10"/>
      <c r="R573" s="10"/>
      <c r="S573" s="10"/>
      <c r="T573" s="10"/>
      <c r="U573" s="10"/>
      <c r="V573" s="10"/>
      <c r="W573" s="10"/>
      <c r="X573" s="10"/>
      <c r="Y573" s="10"/>
      <c r="Z573" s="10"/>
      <c r="AA573" s="10"/>
      <c r="AB573" s="10"/>
      <c r="AC573" s="10"/>
      <c r="AD573" s="10"/>
      <c r="AE573" s="10"/>
      <c r="AF573" s="10"/>
    </row>
    <row r="574">
      <c r="A574" s="7"/>
      <c r="B574" s="8">
        <v>56.0</v>
      </c>
      <c r="C574" s="8">
        <v>33.0</v>
      </c>
      <c r="D574" s="8" t="s">
        <v>1003</v>
      </c>
      <c r="E574" s="7">
        <v>0.0</v>
      </c>
      <c r="F574" s="7"/>
      <c r="G574" s="7" t="s">
        <v>312</v>
      </c>
      <c r="H574" s="7" t="s">
        <v>313</v>
      </c>
      <c r="I574" s="10"/>
      <c r="J574" s="11"/>
      <c r="K574" s="8" t="s">
        <v>1002</v>
      </c>
      <c r="L574" s="12"/>
      <c r="M574" s="10"/>
      <c r="N574" s="10"/>
      <c r="O574" s="10"/>
      <c r="P574" s="10"/>
      <c r="Q574" s="10"/>
      <c r="R574" s="10"/>
      <c r="S574" s="10"/>
      <c r="T574" s="10"/>
      <c r="U574" s="10"/>
      <c r="V574" s="10"/>
      <c r="W574" s="10"/>
      <c r="X574" s="10"/>
      <c r="Y574" s="10"/>
      <c r="Z574" s="10"/>
      <c r="AA574" s="10"/>
      <c r="AB574" s="10"/>
      <c r="AC574" s="10"/>
      <c r="AD574" s="10"/>
      <c r="AE574" s="10"/>
      <c r="AF574" s="10"/>
    </row>
    <row r="575">
      <c r="A575" s="7"/>
      <c r="B575" s="8">
        <v>56.0</v>
      </c>
      <c r="C575" s="8">
        <v>34.0</v>
      </c>
      <c r="D575" s="8" t="s">
        <v>1004</v>
      </c>
      <c r="E575" s="7">
        <v>0.0</v>
      </c>
      <c r="F575" s="7"/>
      <c r="G575" s="7" t="s">
        <v>312</v>
      </c>
      <c r="H575" s="7" t="s">
        <v>313</v>
      </c>
      <c r="I575" s="10"/>
      <c r="J575" s="11"/>
      <c r="K575" s="8" t="s">
        <v>1002</v>
      </c>
      <c r="L575" s="12"/>
      <c r="M575" s="10"/>
      <c r="N575" s="10"/>
      <c r="O575" s="10"/>
      <c r="P575" s="10"/>
      <c r="Q575" s="10"/>
      <c r="R575" s="10"/>
      <c r="S575" s="10"/>
      <c r="T575" s="10"/>
      <c r="U575" s="10"/>
      <c r="V575" s="10"/>
      <c r="W575" s="10"/>
      <c r="X575" s="10"/>
      <c r="Y575" s="10"/>
      <c r="Z575" s="10"/>
      <c r="AA575" s="10"/>
      <c r="AB575" s="10"/>
      <c r="AC575" s="10"/>
      <c r="AD575" s="10"/>
      <c r="AE575" s="10"/>
      <c r="AF575" s="10"/>
    </row>
    <row r="576">
      <c r="A576" s="7"/>
      <c r="B576" s="8">
        <v>56.0</v>
      </c>
      <c r="C576" s="8">
        <v>35.0</v>
      </c>
      <c r="D576" s="8" t="s">
        <v>1005</v>
      </c>
      <c r="E576" s="7">
        <v>0.0</v>
      </c>
      <c r="F576" s="7"/>
      <c r="G576" s="7" t="s">
        <v>312</v>
      </c>
      <c r="H576" s="7" t="s">
        <v>313</v>
      </c>
      <c r="I576" s="10"/>
      <c r="J576" s="11"/>
      <c r="K576" s="8" t="s">
        <v>1002</v>
      </c>
      <c r="L576" s="12"/>
      <c r="M576" s="10"/>
      <c r="N576" s="10"/>
      <c r="O576" s="10"/>
      <c r="P576" s="10"/>
      <c r="Q576" s="10"/>
      <c r="R576" s="10"/>
      <c r="S576" s="10"/>
      <c r="T576" s="10"/>
      <c r="U576" s="10"/>
      <c r="V576" s="10"/>
      <c r="W576" s="10"/>
      <c r="X576" s="10"/>
      <c r="Y576" s="10"/>
      <c r="Z576" s="10"/>
      <c r="AA576" s="10"/>
      <c r="AB576" s="10"/>
      <c r="AC576" s="10"/>
      <c r="AD576" s="10"/>
      <c r="AE576" s="10"/>
      <c r="AF576" s="10"/>
    </row>
    <row r="577">
      <c r="A577" s="7"/>
      <c r="B577" s="8">
        <v>56.0</v>
      </c>
      <c r="C577" s="8">
        <v>36.0</v>
      </c>
      <c r="D577" s="8" t="s">
        <v>1006</v>
      </c>
      <c r="E577" s="7">
        <v>0.0</v>
      </c>
      <c r="F577" s="7"/>
      <c r="G577" s="7" t="s">
        <v>312</v>
      </c>
      <c r="H577" s="7" t="s">
        <v>313</v>
      </c>
      <c r="I577" s="10"/>
      <c r="J577" s="11"/>
      <c r="K577" s="12"/>
      <c r="L577" s="12"/>
      <c r="M577" s="10"/>
      <c r="N577" s="10"/>
      <c r="O577" s="10"/>
      <c r="P577" s="10"/>
      <c r="Q577" s="10"/>
      <c r="R577" s="10"/>
      <c r="S577" s="10"/>
      <c r="T577" s="10"/>
      <c r="U577" s="10"/>
      <c r="V577" s="10"/>
      <c r="W577" s="10"/>
      <c r="X577" s="10"/>
      <c r="Y577" s="10"/>
      <c r="Z577" s="10"/>
      <c r="AA577" s="10"/>
      <c r="AB577" s="10"/>
      <c r="AC577" s="10"/>
      <c r="AD577" s="10"/>
      <c r="AE577" s="10"/>
      <c r="AF577" s="10"/>
    </row>
    <row r="578">
      <c r="A578" s="21" t="s">
        <v>57</v>
      </c>
      <c r="B578" s="12"/>
      <c r="C578" s="12"/>
      <c r="D578" s="12"/>
      <c r="E578" s="10"/>
      <c r="F578" s="10"/>
      <c r="G578" s="10"/>
      <c r="H578" s="10"/>
      <c r="I578" s="10"/>
      <c r="J578" s="11"/>
      <c r="K578" s="12"/>
      <c r="L578" s="12"/>
      <c r="M578" s="10"/>
      <c r="N578" s="10"/>
      <c r="O578" s="10"/>
      <c r="P578" s="10"/>
      <c r="Q578" s="10"/>
      <c r="R578" s="10"/>
      <c r="S578" s="10"/>
      <c r="T578" s="10"/>
      <c r="U578" s="10"/>
      <c r="V578" s="10"/>
      <c r="W578" s="10"/>
      <c r="X578" s="10"/>
      <c r="Y578" s="10"/>
      <c r="Z578" s="10"/>
      <c r="AA578" s="10"/>
      <c r="AB578" s="10"/>
      <c r="AC578" s="10"/>
      <c r="AD578" s="10"/>
      <c r="AE578" s="10"/>
      <c r="AF578" s="10"/>
    </row>
    <row r="579">
      <c r="A579" s="7"/>
      <c r="B579" s="8">
        <v>57.0</v>
      </c>
      <c r="C579" s="8">
        <v>1.0</v>
      </c>
      <c r="D579" s="8" t="s">
        <v>1007</v>
      </c>
      <c r="E579" s="7">
        <v>1.0</v>
      </c>
      <c r="F579" s="7"/>
      <c r="G579" s="7" t="s">
        <v>312</v>
      </c>
      <c r="H579" s="7" t="s">
        <v>313</v>
      </c>
      <c r="I579" s="10"/>
      <c r="J579" s="9" t="s">
        <v>1008</v>
      </c>
      <c r="K579" s="12"/>
      <c r="L579" s="12"/>
      <c r="M579" s="10"/>
      <c r="N579" s="10"/>
      <c r="O579" s="10"/>
      <c r="P579" s="10"/>
      <c r="Q579" s="10"/>
      <c r="R579" s="10"/>
      <c r="S579" s="10"/>
      <c r="T579" s="10"/>
      <c r="U579" s="10"/>
      <c r="V579" s="10"/>
      <c r="W579" s="10"/>
      <c r="X579" s="10"/>
      <c r="Y579" s="10"/>
      <c r="Z579" s="10"/>
      <c r="AA579" s="10"/>
      <c r="AB579" s="10"/>
      <c r="AC579" s="10"/>
      <c r="AD579" s="10"/>
      <c r="AE579" s="10"/>
      <c r="AF579" s="10"/>
    </row>
    <row r="580">
      <c r="A580" s="7"/>
      <c r="B580" s="8">
        <v>57.0</v>
      </c>
      <c r="C580" s="8">
        <v>2.0</v>
      </c>
      <c r="D580" s="8" t="s">
        <v>1009</v>
      </c>
      <c r="E580" s="7">
        <v>0.0</v>
      </c>
      <c r="F580" s="7" t="s">
        <v>320</v>
      </c>
      <c r="G580" s="7" t="s">
        <v>312</v>
      </c>
      <c r="H580" s="7" t="s">
        <v>313</v>
      </c>
      <c r="I580" s="7" t="s">
        <v>366</v>
      </c>
      <c r="J580" s="9" t="s">
        <v>1010</v>
      </c>
      <c r="K580" s="12"/>
      <c r="L580" s="12"/>
      <c r="M580" s="10"/>
      <c r="N580" s="10"/>
      <c r="O580" s="10"/>
      <c r="P580" s="10"/>
      <c r="Q580" s="10"/>
      <c r="R580" s="10"/>
      <c r="S580" s="10"/>
      <c r="T580" s="10"/>
      <c r="U580" s="10"/>
      <c r="V580" s="10"/>
      <c r="W580" s="10"/>
      <c r="X580" s="10"/>
      <c r="Y580" s="10"/>
      <c r="Z580" s="10"/>
      <c r="AA580" s="10"/>
      <c r="AB580" s="10"/>
      <c r="AC580" s="10"/>
      <c r="AD580" s="10"/>
      <c r="AE580" s="10"/>
      <c r="AF580" s="10"/>
    </row>
    <row r="581">
      <c r="A581" s="7"/>
      <c r="B581" s="8">
        <v>57.0</v>
      </c>
      <c r="C581" s="8">
        <v>3.0</v>
      </c>
      <c r="D581" s="8" t="s">
        <v>1011</v>
      </c>
      <c r="E581" s="7">
        <v>0.0</v>
      </c>
      <c r="F581" s="7" t="s">
        <v>320</v>
      </c>
      <c r="G581" s="7" t="s">
        <v>312</v>
      </c>
      <c r="H581" s="7" t="s">
        <v>313</v>
      </c>
      <c r="I581" s="7" t="s">
        <v>366</v>
      </c>
      <c r="J581" s="9" t="s">
        <v>1010</v>
      </c>
      <c r="K581" s="12"/>
      <c r="L581" s="12"/>
      <c r="M581" s="10"/>
      <c r="N581" s="10"/>
      <c r="O581" s="10"/>
      <c r="P581" s="10"/>
      <c r="Q581" s="10"/>
      <c r="R581" s="10"/>
      <c r="S581" s="10"/>
      <c r="T581" s="10"/>
      <c r="U581" s="10"/>
      <c r="V581" s="10"/>
      <c r="W581" s="10"/>
      <c r="X581" s="10"/>
      <c r="Y581" s="10"/>
      <c r="Z581" s="10"/>
      <c r="AA581" s="10"/>
      <c r="AB581" s="10"/>
      <c r="AC581" s="10"/>
      <c r="AD581" s="10"/>
      <c r="AE581" s="10"/>
      <c r="AF581" s="10"/>
    </row>
    <row r="582">
      <c r="A582" s="7"/>
      <c r="B582" s="8">
        <v>57.0</v>
      </c>
      <c r="C582" s="8">
        <v>4.0</v>
      </c>
      <c r="D582" s="8" t="s">
        <v>1012</v>
      </c>
      <c r="E582" s="7">
        <v>0.0</v>
      </c>
      <c r="F582" s="7" t="s">
        <v>320</v>
      </c>
      <c r="G582" s="7" t="s">
        <v>312</v>
      </c>
      <c r="H582" s="7" t="s">
        <v>313</v>
      </c>
      <c r="I582" s="7" t="s">
        <v>366</v>
      </c>
      <c r="J582" s="9" t="s">
        <v>1013</v>
      </c>
      <c r="K582" s="12"/>
      <c r="L582" s="12"/>
      <c r="M582" s="10"/>
      <c r="N582" s="10"/>
      <c r="O582" s="10"/>
      <c r="P582" s="10"/>
      <c r="Q582" s="10"/>
      <c r="R582" s="10"/>
      <c r="S582" s="10"/>
      <c r="T582" s="10"/>
      <c r="U582" s="10"/>
      <c r="V582" s="10"/>
      <c r="W582" s="10"/>
      <c r="X582" s="10"/>
      <c r="Y582" s="10"/>
      <c r="Z582" s="10"/>
      <c r="AA582" s="10"/>
      <c r="AB582" s="10"/>
      <c r="AC582" s="10"/>
      <c r="AD582" s="10"/>
      <c r="AE582" s="10"/>
      <c r="AF582" s="10"/>
    </row>
    <row r="583">
      <c r="A583" s="7"/>
      <c r="B583" s="8">
        <v>57.0</v>
      </c>
      <c r="C583" s="8">
        <v>5.0</v>
      </c>
      <c r="D583" s="8" t="s">
        <v>1014</v>
      </c>
      <c r="E583" s="7">
        <v>0.0</v>
      </c>
      <c r="F583" s="7" t="s">
        <v>320</v>
      </c>
      <c r="G583" s="7" t="s">
        <v>312</v>
      </c>
      <c r="H583" s="7" t="s">
        <v>313</v>
      </c>
      <c r="I583" s="7" t="s">
        <v>366</v>
      </c>
      <c r="J583" s="9" t="s">
        <v>1015</v>
      </c>
      <c r="K583" s="12"/>
      <c r="L583" s="12"/>
      <c r="M583" s="10"/>
      <c r="N583" s="10"/>
      <c r="O583" s="10"/>
      <c r="P583" s="10"/>
      <c r="Q583" s="10"/>
      <c r="R583" s="10"/>
      <c r="S583" s="10"/>
      <c r="T583" s="10"/>
      <c r="U583" s="10"/>
      <c r="V583" s="10"/>
      <c r="W583" s="10"/>
      <c r="X583" s="10"/>
      <c r="Y583" s="10"/>
      <c r="Z583" s="10"/>
      <c r="AA583" s="10"/>
      <c r="AB583" s="10"/>
      <c r="AC583" s="10"/>
      <c r="AD583" s="10"/>
      <c r="AE583" s="10"/>
      <c r="AF583" s="10"/>
    </row>
    <row r="584">
      <c r="A584" s="7"/>
      <c r="B584" s="8">
        <v>57.0</v>
      </c>
      <c r="C584" s="8">
        <v>6.0</v>
      </c>
      <c r="D584" s="8" t="s">
        <v>1016</v>
      </c>
      <c r="E584" s="7">
        <v>0.0</v>
      </c>
      <c r="F584" s="7" t="s">
        <v>320</v>
      </c>
      <c r="G584" s="7" t="s">
        <v>312</v>
      </c>
      <c r="H584" s="7" t="s">
        <v>313</v>
      </c>
      <c r="I584" s="7" t="s">
        <v>366</v>
      </c>
      <c r="J584" s="9" t="s">
        <v>1015</v>
      </c>
      <c r="K584" s="12"/>
      <c r="L584" s="12"/>
      <c r="M584" s="10"/>
      <c r="N584" s="10"/>
      <c r="O584" s="10"/>
      <c r="P584" s="10"/>
      <c r="Q584" s="10"/>
      <c r="R584" s="10"/>
      <c r="S584" s="10"/>
      <c r="T584" s="10"/>
      <c r="U584" s="10"/>
      <c r="V584" s="10"/>
      <c r="W584" s="10"/>
      <c r="X584" s="10"/>
      <c r="Y584" s="10"/>
      <c r="Z584" s="10"/>
      <c r="AA584" s="10"/>
      <c r="AB584" s="10"/>
      <c r="AC584" s="10"/>
      <c r="AD584" s="10"/>
      <c r="AE584" s="10"/>
      <c r="AF584" s="10"/>
    </row>
    <row r="585">
      <c r="A585" s="7"/>
      <c r="B585" s="8">
        <v>57.0</v>
      </c>
      <c r="C585" s="8">
        <v>7.0</v>
      </c>
      <c r="D585" s="8" t="s">
        <v>1017</v>
      </c>
      <c r="E585" s="7">
        <v>0.0</v>
      </c>
      <c r="F585" s="7" t="s">
        <v>320</v>
      </c>
      <c r="G585" s="7" t="s">
        <v>312</v>
      </c>
      <c r="H585" s="7" t="s">
        <v>313</v>
      </c>
      <c r="I585" s="7" t="s">
        <v>366</v>
      </c>
      <c r="J585" s="9" t="s">
        <v>1018</v>
      </c>
      <c r="K585" s="12"/>
      <c r="L585" s="12"/>
      <c r="M585" s="10"/>
      <c r="N585" s="10"/>
      <c r="O585" s="10"/>
      <c r="P585" s="10"/>
      <c r="Q585" s="10"/>
      <c r="R585" s="10"/>
      <c r="S585" s="10"/>
      <c r="T585" s="10"/>
      <c r="U585" s="10"/>
      <c r="V585" s="10"/>
      <c r="W585" s="10"/>
      <c r="X585" s="10"/>
      <c r="Y585" s="10"/>
      <c r="Z585" s="10"/>
      <c r="AA585" s="10"/>
      <c r="AB585" s="10"/>
      <c r="AC585" s="10"/>
      <c r="AD585" s="10"/>
      <c r="AE585" s="10"/>
      <c r="AF585" s="10"/>
    </row>
    <row r="586">
      <c r="A586" s="7"/>
      <c r="B586" s="8">
        <v>57.0</v>
      </c>
      <c r="C586" s="8">
        <v>8.0</v>
      </c>
      <c r="D586" s="8" t="s">
        <v>1019</v>
      </c>
      <c r="E586" s="7">
        <v>0.0</v>
      </c>
      <c r="F586" s="7" t="s">
        <v>320</v>
      </c>
      <c r="G586" s="7" t="s">
        <v>312</v>
      </c>
      <c r="H586" s="7" t="s">
        <v>313</v>
      </c>
      <c r="I586" s="7" t="s">
        <v>366</v>
      </c>
      <c r="J586" s="9" t="s">
        <v>1020</v>
      </c>
      <c r="K586" s="12"/>
      <c r="L586" s="12"/>
      <c r="M586" s="10"/>
      <c r="N586" s="10"/>
      <c r="O586" s="10"/>
      <c r="P586" s="10"/>
      <c r="Q586" s="10"/>
      <c r="R586" s="10"/>
      <c r="S586" s="10"/>
      <c r="T586" s="10"/>
      <c r="U586" s="10"/>
      <c r="V586" s="10"/>
      <c r="W586" s="10"/>
      <c r="X586" s="10"/>
      <c r="Y586" s="10"/>
      <c r="Z586" s="10"/>
      <c r="AA586" s="10"/>
      <c r="AB586" s="10"/>
      <c r="AC586" s="10"/>
      <c r="AD586" s="10"/>
      <c r="AE586" s="10"/>
      <c r="AF586" s="10"/>
    </row>
    <row r="587">
      <c r="A587" s="7"/>
      <c r="B587" s="8">
        <v>57.0</v>
      </c>
      <c r="C587" s="8">
        <v>9.0</v>
      </c>
      <c r="D587" s="8" t="s">
        <v>1021</v>
      </c>
      <c r="E587" s="7">
        <v>0.0</v>
      </c>
      <c r="F587" s="7" t="s">
        <v>320</v>
      </c>
      <c r="G587" s="7" t="s">
        <v>312</v>
      </c>
      <c r="H587" s="7" t="s">
        <v>313</v>
      </c>
      <c r="I587" s="7" t="s">
        <v>366</v>
      </c>
      <c r="J587" s="9" t="s">
        <v>1022</v>
      </c>
      <c r="K587" s="12"/>
      <c r="L587" s="12"/>
      <c r="M587" s="10"/>
      <c r="N587" s="10"/>
      <c r="O587" s="10"/>
      <c r="P587" s="10"/>
      <c r="Q587" s="10"/>
      <c r="R587" s="10"/>
      <c r="S587" s="10"/>
      <c r="T587" s="10"/>
      <c r="U587" s="10"/>
      <c r="V587" s="10"/>
      <c r="W587" s="10"/>
      <c r="X587" s="10"/>
      <c r="Y587" s="10"/>
      <c r="Z587" s="10"/>
      <c r="AA587" s="10"/>
      <c r="AB587" s="10"/>
      <c r="AC587" s="10"/>
      <c r="AD587" s="10"/>
      <c r="AE587" s="10"/>
      <c r="AF587" s="10"/>
    </row>
    <row r="588">
      <c r="A588" s="7"/>
      <c r="B588" s="8">
        <v>57.0</v>
      </c>
      <c r="C588" s="8">
        <v>10.0</v>
      </c>
      <c r="D588" s="8" t="s">
        <v>1023</v>
      </c>
      <c r="E588" s="7">
        <v>0.0</v>
      </c>
      <c r="F588" s="7" t="s">
        <v>320</v>
      </c>
      <c r="G588" s="7" t="s">
        <v>312</v>
      </c>
      <c r="H588" s="7" t="s">
        <v>313</v>
      </c>
      <c r="I588" s="7" t="s">
        <v>366</v>
      </c>
      <c r="J588" s="9" t="s">
        <v>1024</v>
      </c>
      <c r="K588" s="12"/>
      <c r="L588" s="12"/>
      <c r="M588" s="10"/>
      <c r="N588" s="10"/>
      <c r="O588" s="10"/>
      <c r="P588" s="10"/>
      <c r="Q588" s="10"/>
      <c r="R588" s="10"/>
      <c r="S588" s="10"/>
      <c r="T588" s="10"/>
      <c r="U588" s="10"/>
      <c r="V588" s="10"/>
      <c r="W588" s="10"/>
      <c r="X588" s="10"/>
      <c r="Y588" s="10"/>
      <c r="Z588" s="10"/>
      <c r="AA588" s="10"/>
      <c r="AB588" s="10"/>
      <c r="AC588" s="10"/>
      <c r="AD588" s="10"/>
      <c r="AE588" s="10"/>
      <c r="AF588" s="10"/>
    </row>
    <row r="589">
      <c r="A589" s="7"/>
      <c r="B589" s="8">
        <v>57.0</v>
      </c>
      <c r="C589" s="8">
        <v>11.0</v>
      </c>
      <c r="D589" s="8" t="s">
        <v>1025</v>
      </c>
      <c r="E589" s="7">
        <v>0.0</v>
      </c>
      <c r="F589" s="7" t="s">
        <v>320</v>
      </c>
      <c r="G589" s="7" t="s">
        <v>312</v>
      </c>
      <c r="H589" s="7" t="s">
        <v>313</v>
      </c>
      <c r="I589" s="7" t="s">
        <v>366</v>
      </c>
      <c r="J589" s="9" t="s">
        <v>1026</v>
      </c>
      <c r="K589" s="12"/>
      <c r="L589" s="12"/>
      <c r="M589" s="10"/>
      <c r="N589" s="10"/>
      <c r="O589" s="10"/>
      <c r="P589" s="10"/>
      <c r="Q589" s="10"/>
      <c r="R589" s="10"/>
      <c r="S589" s="10"/>
      <c r="T589" s="10"/>
      <c r="U589" s="10"/>
      <c r="V589" s="10"/>
      <c r="W589" s="10"/>
      <c r="X589" s="10"/>
      <c r="Y589" s="10"/>
      <c r="Z589" s="10"/>
      <c r="AA589" s="10"/>
      <c r="AB589" s="10"/>
      <c r="AC589" s="10"/>
      <c r="AD589" s="10"/>
      <c r="AE589" s="10"/>
      <c r="AF589" s="10"/>
    </row>
    <row r="590">
      <c r="A590" s="7"/>
      <c r="B590" s="8">
        <v>57.0</v>
      </c>
      <c r="C590" s="8">
        <v>12.0</v>
      </c>
      <c r="D590" s="8" t="s">
        <v>1027</v>
      </c>
      <c r="E590" s="7">
        <v>1.0</v>
      </c>
      <c r="F590" s="7"/>
      <c r="G590" s="7" t="s">
        <v>312</v>
      </c>
      <c r="H590" s="7" t="s">
        <v>313</v>
      </c>
      <c r="I590" s="7"/>
      <c r="J590" s="9" t="s">
        <v>1028</v>
      </c>
      <c r="K590" s="12"/>
      <c r="L590" s="12"/>
      <c r="M590" s="10"/>
      <c r="N590" s="10"/>
      <c r="O590" s="10"/>
      <c r="P590" s="10"/>
      <c r="Q590" s="10"/>
      <c r="R590" s="10"/>
      <c r="S590" s="10"/>
      <c r="T590" s="10"/>
      <c r="U590" s="10"/>
      <c r="V590" s="10"/>
      <c r="W590" s="10"/>
      <c r="X590" s="10"/>
      <c r="Y590" s="10"/>
      <c r="Z590" s="10"/>
      <c r="AA590" s="10"/>
      <c r="AB590" s="10"/>
      <c r="AC590" s="10"/>
      <c r="AD590" s="10"/>
      <c r="AE590" s="10"/>
      <c r="AF590" s="10"/>
    </row>
    <row r="591">
      <c r="A591" s="7"/>
      <c r="B591" s="8">
        <v>57.0</v>
      </c>
      <c r="C591" s="8">
        <v>13.0</v>
      </c>
      <c r="D591" s="8" t="s">
        <v>1029</v>
      </c>
      <c r="E591" s="7">
        <v>1.0</v>
      </c>
      <c r="F591" s="7"/>
      <c r="G591" s="7" t="s">
        <v>312</v>
      </c>
      <c r="H591" s="7" t="s">
        <v>313</v>
      </c>
      <c r="I591" s="10"/>
      <c r="J591" s="11"/>
      <c r="K591" s="12"/>
      <c r="L591" s="12"/>
      <c r="M591" s="10"/>
      <c r="N591" s="10"/>
      <c r="O591" s="10"/>
      <c r="P591" s="10"/>
      <c r="Q591" s="10"/>
      <c r="R591" s="10"/>
      <c r="S591" s="10"/>
      <c r="T591" s="10"/>
      <c r="U591" s="10"/>
      <c r="V591" s="10"/>
      <c r="W591" s="10"/>
      <c r="X591" s="10"/>
      <c r="Y591" s="10"/>
      <c r="Z591" s="10"/>
      <c r="AA591" s="10"/>
      <c r="AB591" s="10"/>
      <c r="AC591" s="10"/>
      <c r="AD591" s="10"/>
      <c r="AE591" s="10"/>
      <c r="AF591" s="10"/>
    </row>
    <row r="592">
      <c r="A592" s="7"/>
      <c r="B592" s="8">
        <v>57.0</v>
      </c>
      <c r="C592" s="8">
        <v>14.0</v>
      </c>
      <c r="D592" s="8" t="s">
        <v>1030</v>
      </c>
      <c r="E592" s="7">
        <v>1.0</v>
      </c>
      <c r="F592" s="7"/>
      <c r="G592" s="7" t="s">
        <v>312</v>
      </c>
      <c r="H592" s="7" t="s">
        <v>313</v>
      </c>
      <c r="I592" s="10"/>
      <c r="J592" s="11"/>
      <c r="K592" s="12"/>
      <c r="L592" s="12"/>
      <c r="M592" s="10"/>
      <c r="N592" s="10"/>
      <c r="O592" s="10"/>
      <c r="P592" s="10"/>
      <c r="Q592" s="10"/>
      <c r="R592" s="10"/>
      <c r="S592" s="10"/>
      <c r="T592" s="10"/>
      <c r="U592" s="10"/>
      <c r="V592" s="10"/>
      <c r="W592" s="10"/>
      <c r="X592" s="10"/>
      <c r="Y592" s="10"/>
      <c r="Z592" s="10"/>
      <c r="AA592" s="10"/>
      <c r="AB592" s="10"/>
      <c r="AC592" s="10"/>
      <c r="AD592" s="10"/>
      <c r="AE592" s="10"/>
      <c r="AF592" s="10"/>
    </row>
    <row r="593">
      <c r="A593" s="7"/>
      <c r="B593" s="8">
        <v>57.0</v>
      </c>
      <c r="C593" s="8">
        <v>15.0</v>
      </c>
      <c r="D593" s="8" t="s">
        <v>1031</v>
      </c>
      <c r="E593" s="7">
        <v>1.0</v>
      </c>
      <c r="F593" s="7"/>
      <c r="G593" s="7" t="s">
        <v>312</v>
      </c>
      <c r="H593" s="7" t="s">
        <v>313</v>
      </c>
      <c r="I593" s="10"/>
      <c r="J593" s="11"/>
      <c r="K593" s="12"/>
      <c r="L593" s="12"/>
      <c r="M593" s="10"/>
      <c r="N593" s="10"/>
      <c r="O593" s="10"/>
      <c r="P593" s="10"/>
      <c r="Q593" s="10"/>
      <c r="R593" s="10"/>
      <c r="S593" s="10"/>
      <c r="T593" s="10"/>
      <c r="U593" s="10"/>
      <c r="V593" s="10"/>
      <c r="W593" s="10"/>
      <c r="X593" s="10"/>
      <c r="Y593" s="10"/>
      <c r="Z593" s="10"/>
      <c r="AA593" s="10"/>
      <c r="AB593" s="10"/>
      <c r="AC593" s="10"/>
      <c r="AD593" s="10"/>
      <c r="AE593" s="10"/>
      <c r="AF593" s="10"/>
    </row>
    <row r="594">
      <c r="A594" s="7"/>
      <c r="B594" s="8">
        <v>57.0</v>
      </c>
      <c r="C594" s="8">
        <v>16.0</v>
      </c>
      <c r="D594" s="8" t="s">
        <v>1032</v>
      </c>
      <c r="E594" s="7">
        <v>1.0</v>
      </c>
      <c r="F594" s="7"/>
      <c r="G594" s="7" t="s">
        <v>312</v>
      </c>
      <c r="H594" s="7" t="s">
        <v>313</v>
      </c>
      <c r="I594" s="10"/>
      <c r="J594" s="11"/>
      <c r="K594" s="12"/>
      <c r="L594" s="12"/>
      <c r="M594" s="10"/>
      <c r="N594" s="10"/>
      <c r="O594" s="10"/>
      <c r="P594" s="10"/>
      <c r="Q594" s="10"/>
      <c r="R594" s="10"/>
      <c r="S594" s="10"/>
      <c r="T594" s="10"/>
      <c r="U594" s="10"/>
      <c r="V594" s="10"/>
      <c r="W594" s="10"/>
      <c r="X594" s="10"/>
      <c r="Y594" s="10"/>
      <c r="Z594" s="10"/>
      <c r="AA594" s="10"/>
      <c r="AB594" s="10"/>
      <c r="AC594" s="10"/>
      <c r="AD594" s="10"/>
      <c r="AE594" s="10"/>
      <c r="AF594" s="10"/>
    </row>
    <row r="595">
      <c r="A595" s="7"/>
      <c r="B595" s="8">
        <v>57.0</v>
      </c>
      <c r="C595" s="8">
        <v>17.0</v>
      </c>
      <c r="D595" s="8" t="s">
        <v>1033</v>
      </c>
      <c r="E595" s="7">
        <v>0.0</v>
      </c>
      <c r="F595" s="7" t="s">
        <v>320</v>
      </c>
      <c r="G595" s="7" t="s">
        <v>312</v>
      </c>
      <c r="H595" s="7" t="s">
        <v>313</v>
      </c>
      <c r="I595" s="7" t="s">
        <v>366</v>
      </c>
      <c r="J595" s="9" t="s">
        <v>1034</v>
      </c>
      <c r="K595" s="12"/>
      <c r="L595" s="12"/>
      <c r="M595" s="10"/>
      <c r="N595" s="10"/>
      <c r="O595" s="10"/>
      <c r="P595" s="10"/>
      <c r="Q595" s="10"/>
      <c r="R595" s="10"/>
      <c r="S595" s="10"/>
      <c r="T595" s="10"/>
      <c r="U595" s="10"/>
      <c r="V595" s="10"/>
      <c r="W595" s="10"/>
      <c r="X595" s="10"/>
      <c r="Y595" s="10"/>
      <c r="Z595" s="10"/>
      <c r="AA595" s="10"/>
      <c r="AB595" s="10"/>
      <c r="AC595" s="10"/>
      <c r="AD595" s="10"/>
      <c r="AE595" s="10"/>
      <c r="AF595" s="10"/>
    </row>
    <row r="596">
      <c r="A596" s="7"/>
      <c r="B596" s="8">
        <v>57.0</v>
      </c>
      <c r="C596" s="8">
        <v>18.0</v>
      </c>
      <c r="D596" s="8" t="s">
        <v>1035</v>
      </c>
      <c r="E596" s="7">
        <v>0.0</v>
      </c>
      <c r="F596" s="7" t="s">
        <v>320</v>
      </c>
      <c r="G596" s="7" t="s">
        <v>312</v>
      </c>
      <c r="H596" s="7" t="s">
        <v>313</v>
      </c>
      <c r="I596" s="7" t="s">
        <v>366</v>
      </c>
      <c r="J596" s="9" t="s">
        <v>1036</v>
      </c>
      <c r="K596" s="12"/>
      <c r="L596" s="12"/>
      <c r="M596" s="10"/>
      <c r="N596" s="10"/>
      <c r="O596" s="10"/>
      <c r="P596" s="10"/>
      <c r="Q596" s="10"/>
      <c r="R596" s="10"/>
      <c r="S596" s="10"/>
      <c r="T596" s="10"/>
      <c r="U596" s="10"/>
      <c r="V596" s="10"/>
      <c r="W596" s="10"/>
      <c r="X596" s="10"/>
      <c r="Y596" s="10"/>
      <c r="Z596" s="10"/>
      <c r="AA596" s="10"/>
      <c r="AB596" s="10"/>
      <c r="AC596" s="10"/>
      <c r="AD596" s="10"/>
      <c r="AE596" s="10"/>
      <c r="AF596" s="10"/>
    </row>
    <row r="597">
      <c r="A597" s="7"/>
      <c r="B597" s="8">
        <v>57.0</v>
      </c>
      <c r="C597" s="8">
        <v>19.0</v>
      </c>
      <c r="D597" s="8" t="s">
        <v>1037</v>
      </c>
      <c r="E597" s="7">
        <v>0.0</v>
      </c>
      <c r="F597" s="7" t="s">
        <v>320</v>
      </c>
      <c r="G597" s="7" t="s">
        <v>312</v>
      </c>
      <c r="H597" s="7" t="s">
        <v>313</v>
      </c>
      <c r="I597" s="7" t="s">
        <v>366</v>
      </c>
      <c r="J597" s="9" t="s">
        <v>1038</v>
      </c>
      <c r="K597" s="12"/>
      <c r="L597" s="12"/>
      <c r="M597" s="10"/>
      <c r="N597" s="10"/>
      <c r="O597" s="10"/>
      <c r="P597" s="10"/>
      <c r="Q597" s="10"/>
      <c r="R597" s="10"/>
      <c r="S597" s="10"/>
      <c r="T597" s="10"/>
      <c r="U597" s="10"/>
      <c r="V597" s="10"/>
      <c r="W597" s="10"/>
      <c r="X597" s="10"/>
      <c r="Y597" s="10"/>
      <c r="Z597" s="10"/>
      <c r="AA597" s="10"/>
      <c r="AB597" s="10"/>
      <c r="AC597" s="10"/>
      <c r="AD597" s="10"/>
      <c r="AE597" s="10"/>
      <c r="AF597" s="10"/>
    </row>
    <row r="598">
      <c r="A598" s="7"/>
      <c r="B598" s="8">
        <v>57.0</v>
      </c>
      <c r="C598" s="8">
        <v>20.0</v>
      </c>
      <c r="D598" s="8" t="s">
        <v>1039</v>
      </c>
      <c r="E598" s="7">
        <v>0.0</v>
      </c>
      <c r="F598" s="7" t="s">
        <v>320</v>
      </c>
      <c r="G598" s="7" t="s">
        <v>312</v>
      </c>
      <c r="H598" s="7" t="s">
        <v>313</v>
      </c>
      <c r="I598" s="7" t="s">
        <v>366</v>
      </c>
      <c r="J598" s="9" t="s">
        <v>1040</v>
      </c>
      <c r="K598" s="12"/>
      <c r="L598" s="12"/>
      <c r="M598" s="10"/>
      <c r="N598" s="10"/>
      <c r="O598" s="10"/>
      <c r="P598" s="10"/>
      <c r="Q598" s="10"/>
      <c r="R598" s="10"/>
      <c r="S598" s="10"/>
      <c r="T598" s="10"/>
      <c r="U598" s="10"/>
      <c r="V598" s="10"/>
      <c r="W598" s="10"/>
      <c r="X598" s="10"/>
      <c r="Y598" s="10"/>
      <c r="Z598" s="10"/>
      <c r="AA598" s="10"/>
      <c r="AB598" s="10"/>
      <c r="AC598" s="10"/>
      <c r="AD598" s="10"/>
      <c r="AE598" s="10"/>
      <c r="AF598" s="10"/>
    </row>
    <row r="599">
      <c r="A599" s="7"/>
      <c r="B599" s="8">
        <v>57.0</v>
      </c>
      <c r="C599" s="8">
        <v>21.0</v>
      </c>
      <c r="D599" s="8" t="s">
        <v>1041</v>
      </c>
      <c r="E599" s="7">
        <v>0.0</v>
      </c>
      <c r="F599" s="7" t="s">
        <v>320</v>
      </c>
      <c r="G599" s="7" t="s">
        <v>312</v>
      </c>
      <c r="H599" s="7" t="s">
        <v>313</v>
      </c>
      <c r="I599" s="7" t="s">
        <v>366</v>
      </c>
      <c r="J599" s="9" t="s">
        <v>1042</v>
      </c>
      <c r="K599" s="12"/>
      <c r="L599" s="12"/>
      <c r="M599" s="10"/>
      <c r="N599" s="10"/>
      <c r="O599" s="10"/>
      <c r="P599" s="10"/>
      <c r="Q599" s="10"/>
      <c r="R599" s="10"/>
      <c r="S599" s="10"/>
      <c r="T599" s="10"/>
      <c r="U599" s="10"/>
      <c r="V599" s="10"/>
      <c r="W599" s="10"/>
      <c r="X599" s="10"/>
      <c r="Y599" s="10"/>
      <c r="Z599" s="10"/>
      <c r="AA599" s="10"/>
      <c r="AB599" s="10"/>
      <c r="AC599" s="10"/>
      <c r="AD599" s="10"/>
      <c r="AE599" s="10"/>
      <c r="AF599" s="10"/>
    </row>
    <row r="600">
      <c r="A600" s="7"/>
      <c r="B600" s="8">
        <v>57.0</v>
      </c>
      <c r="C600" s="8">
        <v>22.0</v>
      </c>
      <c r="D600" s="8" t="s">
        <v>1043</v>
      </c>
      <c r="E600" s="7">
        <v>0.0</v>
      </c>
      <c r="F600" s="7"/>
      <c r="G600" s="7" t="s">
        <v>312</v>
      </c>
      <c r="H600" s="7" t="s">
        <v>313</v>
      </c>
      <c r="I600" s="10"/>
      <c r="J600" s="11"/>
      <c r="K600" s="12"/>
      <c r="L600" s="12"/>
      <c r="M600" s="10"/>
      <c r="N600" s="10"/>
      <c r="O600" s="10"/>
      <c r="P600" s="10"/>
      <c r="Q600" s="10"/>
      <c r="R600" s="10"/>
      <c r="S600" s="10"/>
      <c r="T600" s="10"/>
      <c r="U600" s="10"/>
      <c r="V600" s="10"/>
      <c r="W600" s="10"/>
      <c r="X600" s="10"/>
      <c r="Y600" s="10"/>
      <c r="Z600" s="10"/>
      <c r="AA600" s="10"/>
      <c r="AB600" s="10"/>
      <c r="AC600" s="10"/>
      <c r="AD600" s="10"/>
      <c r="AE600" s="10"/>
      <c r="AF600" s="10"/>
    </row>
    <row r="601">
      <c r="A601" s="7"/>
      <c r="B601" s="8">
        <v>57.0</v>
      </c>
      <c r="C601" s="8">
        <v>23.0</v>
      </c>
      <c r="D601" s="8" t="s">
        <v>1044</v>
      </c>
      <c r="E601" s="7">
        <v>0.0</v>
      </c>
      <c r="F601" s="7"/>
      <c r="G601" s="7" t="s">
        <v>312</v>
      </c>
      <c r="H601" s="7" t="s">
        <v>313</v>
      </c>
      <c r="I601" s="10"/>
      <c r="J601" s="11"/>
      <c r="K601" s="8" t="s">
        <v>1045</v>
      </c>
      <c r="L601" s="12"/>
      <c r="M601" s="10"/>
      <c r="N601" s="10"/>
      <c r="O601" s="10"/>
      <c r="P601" s="10"/>
      <c r="Q601" s="10"/>
      <c r="R601" s="10"/>
      <c r="S601" s="10"/>
      <c r="T601" s="10"/>
      <c r="U601" s="10"/>
      <c r="V601" s="10"/>
      <c r="W601" s="10"/>
      <c r="X601" s="10"/>
      <c r="Y601" s="10"/>
      <c r="Z601" s="10"/>
      <c r="AA601" s="10"/>
      <c r="AB601" s="10"/>
      <c r="AC601" s="10"/>
      <c r="AD601" s="10"/>
      <c r="AE601" s="10"/>
      <c r="AF601" s="10"/>
    </row>
    <row r="602">
      <c r="A602" s="7"/>
      <c r="B602" s="8">
        <v>57.0</v>
      </c>
      <c r="C602" s="8">
        <v>24.0</v>
      </c>
      <c r="D602" s="8" t="s">
        <v>1046</v>
      </c>
      <c r="E602" s="7">
        <v>0.0</v>
      </c>
      <c r="F602" s="7"/>
      <c r="G602" s="7" t="s">
        <v>312</v>
      </c>
      <c r="H602" s="7" t="s">
        <v>313</v>
      </c>
      <c r="I602" s="10"/>
      <c r="J602" s="11"/>
      <c r="K602" s="8" t="s">
        <v>1045</v>
      </c>
      <c r="L602" s="12"/>
      <c r="M602" s="10"/>
      <c r="N602" s="10"/>
      <c r="O602" s="10"/>
      <c r="P602" s="10"/>
      <c r="Q602" s="10"/>
      <c r="R602" s="10"/>
      <c r="S602" s="10"/>
      <c r="T602" s="10"/>
      <c r="U602" s="10"/>
      <c r="V602" s="10"/>
      <c r="W602" s="10"/>
      <c r="X602" s="10"/>
      <c r="Y602" s="10"/>
      <c r="Z602" s="10"/>
      <c r="AA602" s="10"/>
      <c r="AB602" s="10"/>
      <c r="AC602" s="10"/>
      <c r="AD602" s="10"/>
      <c r="AE602" s="10"/>
      <c r="AF602" s="10"/>
    </row>
    <row r="603">
      <c r="A603" s="7"/>
      <c r="B603" s="8">
        <v>57.0</v>
      </c>
      <c r="C603" s="8">
        <v>25.0</v>
      </c>
      <c r="D603" s="8" t="s">
        <v>1047</v>
      </c>
      <c r="E603" s="7">
        <v>0.0</v>
      </c>
      <c r="F603" s="7"/>
      <c r="G603" s="7" t="s">
        <v>312</v>
      </c>
      <c r="H603" s="7" t="s">
        <v>313</v>
      </c>
      <c r="I603" s="10"/>
      <c r="J603" s="11"/>
      <c r="K603" s="8" t="s">
        <v>1045</v>
      </c>
      <c r="L603" s="12"/>
      <c r="M603" s="10"/>
      <c r="N603" s="10"/>
      <c r="O603" s="10"/>
      <c r="P603" s="10"/>
      <c r="Q603" s="10"/>
      <c r="R603" s="10"/>
      <c r="S603" s="10"/>
      <c r="T603" s="10"/>
      <c r="U603" s="10"/>
      <c r="V603" s="10"/>
      <c r="W603" s="10"/>
      <c r="X603" s="10"/>
      <c r="Y603" s="10"/>
      <c r="Z603" s="10"/>
      <c r="AA603" s="10"/>
      <c r="AB603" s="10"/>
      <c r="AC603" s="10"/>
      <c r="AD603" s="10"/>
      <c r="AE603" s="10"/>
      <c r="AF603" s="10"/>
    </row>
    <row r="604">
      <c r="A604" s="7"/>
      <c r="B604" s="8">
        <v>57.0</v>
      </c>
      <c r="C604" s="8">
        <v>26.0</v>
      </c>
      <c r="D604" s="8" t="s">
        <v>1048</v>
      </c>
      <c r="E604" s="7">
        <v>1.0</v>
      </c>
      <c r="F604" s="7"/>
      <c r="G604" s="7" t="s">
        <v>312</v>
      </c>
      <c r="H604" s="7" t="s">
        <v>313</v>
      </c>
      <c r="I604" s="10"/>
      <c r="J604" s="11"/>
      <c r="K604" s="12"/>
      <c r="L604" s="12"/>
      <c r="M604" s="10"/>
      <c r="N604" s="10"/>
      <c r="O604" s="10"/>
      <c r="P604" s="10"/>
      <c r="Q604" s="10"/>
      <c r="R604" s="10"/>
      <c r="S604" s="10"/>
      <c r="T604" s="10"/>
      <c r="U604" s="10"/>
      <c r="V604" s="10"/>
      <c r="W604" s="10"/>
      <c r="X604" s="10"/>
      <c r="Y604" s="10"/>
      <c r="Z604" s="10"/>
      <c r="AA604" s="10"/>
      <c r="AB604" s="10"/>
      <c r="AC604" s="10"/>
      <c r="AD604" s="10"/>
      <c r="AE604" s="10"/>
      <c r="AF604" s="10"/>
    </row>
    <row r="605">
      <c r="A605" s="7"/>
      <c r="B605" s="8">
        <v>57.0</v>
      </c>
      <c r="C605" s="8">
        <v>27.0</v>
      </c>
      <c r="D605" s="8" t="s">
        <v>1049</v>
      </c>
      <c r="E605" s="7">
        <v>1.0</v>
      </c>
      <c r="F605" s="7"/>
      <c r="G605" s="7" t="s">
        <v>312</v>
      </c>
      <c r="H605" s="7" t="s">
        <v>313</v>
      </c>
      <c r="I605" s="10"/>
      <c r="J605" s="11"/>
      <c r="K605" s="12"/>
      <c r="L605" s="12"/>
      <c r="M605" s="10"/>
      <c r="N605" s="10"/>
      <c r="O605" s="10"/>
      <c r="P605" s="10"/>
      <c r="Q605" s="10"/>
      <c r="R605" s="10"/>
      <c r="S605" s="10"/>
      <c r="T605" s="10"/>
      <c r="U605" s="10"/>
      <c r="V605" s="10"/>
      <c r="W605" s="10"/>
      <c r="X605" s="10"/>
      <c r="Y605" s="10"/>
      <c r="Z605" s="10"/>
      <c r="AA605" s="10"/>
      <c r="AB605" s="10"/>
      <c r="AC605" s="10"/>
      <c r="AD605" s="10"/>
      <c r="AE605" s="10"/>
      <c r="AF605" s="10"/>
    </row>
    <row r="606">
      <c r="A606" s="7"/>
      <c r="B606" s="8">
        <v>57.0</v>
      </c>
      <c r="C606" s="8">
        <v>28.0</v>
      </c>
      <c r="D606" s="8" t="s">
        <v>1050</v>
      </c>
      <c r="E606" s="7">
        <v>1.0</v>
      </c>
      <c r="F606" s="7"/>
      <c r="G606" s="7" t="s">
        <v>312</v>
      </c>
      <c r="H606" s="7" t="s">
        <v>313</v>
      </c>
      <c r="I606" s="10"/>
      <c r="J606" s="11"/>
      <c r="K606" s="12"/>
      <c r="L606" s="12"/>
      <c r="M606" s="10"/>
      <c r="N606" s="10"/>
      <c r="O606" s="10"/>
      <c r="P606" s="10"/>
      <c r="Q606" s="10"/>
      <c r="R606" s="10"/>
      <c r="S606" s="10"/>
      <c r="T606" s="10"/>
      <c r="U606" s="10"/>
      <c r="V606" s="10"/>
      <c r="W606" s="10"/>
      <c r="X606" s="10"/>
      <c r="Y606" s="10"/>
      <c r="Z606" s="10"/>
      <c r="AA606" s="10"/>
      <c r="AB606" s="10"/>
      <c r="AC606" s="10"/>
      <c r="AD606" s="10"/>
      <c r="AE606" s="10"/>
      <c r="AF606" s="10"/>
    </row>
    <row r="607">
      <c r="A607" s="7"/>
      <c r="B607" s="8">
        <v>57.0</v>
      </c>
      <c r="C607" s="8">
        <v>29.0</v>
      </c>
      <c r="D607" s="8" t="s">
        <v>1051</v>
      </c>
      <c r="E607" s="7">
        <v>1.0</v>
      </c>
      <c r="F607" s="7"/>
      <c r="G607" s="7" t="s">
        <v>312</v>
      </c>
      <c r="H607" s="7" t="s">
        <v>313</v>
      </c>
      <c r="I607" s="10"/>
      <c r="J607" s="11"/>
      <c r="K607" s="12"/>
      <c r="L607" s="12"/>
      <c r="M607" s="10"/>
      <c r="N607" s="10"/>
      <c r="O607" s="10"/>
      <c r="P607" s="10"/>
      <c r="Q607" s="10"/>
      <c r="R607" s="10"/>
      <c r="S607" s="10"/>
      <c r="T607" s="10"/>
      <c r="U607" s="10"/>
      <c r="V607" s="10"/>
      <c r="W607" s="10"/>
      <c r="X607" s="10"/>
      <c r="Y607" s="10"/>
      <c r="Z607" s="10"/>
      <c r="AA607" s="10"/>
      <c r="AB607" s="10"/>
      <c r="AC607" s="10"/>
      <c r="AD607" s="10"/>
      <c r="AE607" s="10"/>
      <c r="AF607" s="10"/>
    </row>
    <row r="608">
      <c r="A608" s="7"/>
      <c r="B608" s="8">
        <v>57.0</v>
      </c>
      <c r="C608" s="8">
        <v>30.0</v>
      </c>
      <c r="D608" s="8" t="s">
        <v>1052</v>
      </c>
      <c r="E608" s="7">
        <v>1.0</v>
      </c>
      <c r="F608" s="7"/>
      <c r="G608" s="7" t="s">
        <v>312</v>
      </c>
      <c r="H608" s="7" t="s">
        <v>313</v>
      </c>
      <c r="I608" s="10"/>
      <c r="J608" s="11"/>
      <c r="K608" s="12"/>
      <c r="L608" s="12"/>
      <c r="M608" s="10"/>
      <c r="N608" s="10"/>
      <c r="O608" s="10"/>
      <c r="P608" s="10"/>
      <c r="Q608" s="10"/>
      <c r="R608" s="10"/>
      <c r="S608" s="10"/>
      <c r="T608" s="10"/>
      <c r="U608" s="10"/>
      <c r="V608" s="10"/>
      <c r="W608" s="10"/>
      <c r="X608" s="10"/>
      <c r="Y608" s="10"/>
      <c r="Z608" s="10"/>
      <c r="AA608" s="10"/>
      <c r="AB608" s="10"/>
      <c r="AC608" s="10"/>
      <c r="AD608" s="10"/>
      <c r="AE608" s="10"/>
      <c r="AF608" s="10"/>
    </row>
    <row r="609">
      <c r="A609" s="7"/>
      <c r="B609" s="8">
        <v>57.0</v>
      </c>
      <c r="C609" s="8">
        <v>31.0</v>
      </c>
      <c r="D609" s="8" t="s">
        <v>1053</v>
      </c>
      <c r="E609" s="7">
        <v>0.0</v>
      </c>
      <c r="F609" s="7"/>
      <c r="G609" s="7" t="s">
        <v>312</v>
      </c>
      <c r="H609" s="7" t="s">
        <v>313</v>
      </c>
      <c r="I609" s="10"/>
      <c r="J609" s="11"/>
      <c r="K609" s="8" t="s">
        <v>1045</v>
      </c>
      <c r="L609" s="12"/>
      <c r="M609" s="10"/>
      <c r="N609" s="10"/>
      <c r="O609" s="10"/>
      <c r="P609" s="10"/>
      <c r="Q609" s="10"/>
      <c r="R609" s="10"/>
      <c r="S609" s="10"/>
      <c r="T609" s="10"/>
      <c r="U609" s="10"/>
      <c r="V609" s="10"/>
      <c r="W609" s="10"/>
      <c r="X609" s="10"/>
      <c r="Y609" s="10"/>
      <c r="Z609" s="10"/>
      <c r="AA609" s="10"/>
      <c r="AB609" s="10"/>
      <c r="AC609" s="10"/>
      <c r="AD609" s="10"/>
      <c r="AE609" s="10"/>
      <c r="AF609" s="10"/>
    </row>
    <row r="610">
      <c r="A610" s="7"/>
      <c r="B610" s="8">
        <v>57.0</v>
      </c>
      <c r="C610" s="8">
        <v>32.0</v>
      </c>
      <c r="D610" s="8" t="s">
        <v>1054</v>
      </c>
      <c r="E610" s="7">
        <v>0.0</v>
      </c>
      <c r="F610" s="7"/>
      <c r="G610" s="7" t="s">
        <v>312</v>
      </c>
      <c r="H610" s="7" t="s">
        <v>313</v>
      </c>
      <c r="I610" s="10"/>
      <c r="J610" s="11"/>
      <c r="K610" s="8" t="s">
        <v>1045</v>
      </c>
      <c r="L610" s="12"/>
      <c r="M610" s="10"/>
      <c r="N610" s="10"/>
      <c r="O610" s="10"/>
      <c r="P610" s="10"/>
      <c r="Q610" s="10"/>
      <c r="R610" s="10"/>
      <c r="S610" s="10"/>
      <c r="T610" s="10"/>
      <c r="U610" s="10"/>
      <c r="V610" s="10"/>
      <c r="W610" s="10"/>
      <c r="X610" s="10"/>
      <c r="Y610" s="10"/>
      <c r="Z610" s="10"/>
      <c r="AA610" s="10"/>
      <c r="AB610" s="10"/>
      <c r="AC610" s="10"/>
      <c r="AD610" s="10"/>
      <c r="AE610" s="10"/>
      <c r="AF610" s="10"/>
    </row>
    <row r="611">
      <c r="A611" s="7"/>
      <c r="B611" s="8">
        <v>57.0</v>
      </c>
      <c r="C611" s="8">
        <v>33.0</v>
      </c>
      <c r="D611" s="8" t="s">
        <v>1055</v>
      </c>
      <c r="E611" s="7">
        <v>0.0</v>
      </c>
      <c r="F611" s="7"/>
      <c r="G611" s="7" t="s">
        <v>312</v>
      </c>
      <c r="H611" s="7" t="s">
        <v>313</v>
      </c>
      <c r="I611" s="10"/>
      <c r="J611" s="11"/>
      <c r="K611" s="8" t="s">
        <v>1045</v>
      </c>
      <c r="L611" s="12"/>
      <c r="M611" s="10"/>
      <c r="N611" s="10"/>
      <c r="O611" s="10"/>
      <c r="P611" s="10"/>
      <c r="Q611" s="10"/>
      <c r="R611" s="10"/>
      <c r="S611" s="10"/>
      <c r="T611" s="10"/>
      <c r="U611" s="10"/>
      <c r="V611" s="10"/>
      <c r="W611" s="10"/>
      <c r="X611" s="10"/>
      <c r="Y611" s="10"/>
      <c r="Z611" s="10"/>
      <c r="AA611" s="10"/>
      <c r="AB611" s="10"/>
      <c r="AC611" s="10"/>
      <c r="AD611" s="10"/>
      <c r="AE611" s="10"/>
      <c r="AF611" s="10"/>
    </row>
    <row r="612">
      <c r="A612" s="7"/>
      <c r="B612" s="8">
        <v>57.0</v>
      </c>
      <c r="C612" s="8">
        <v>34.0</v>
      </c>
      <c r="D612" s="8" t="s">
        <v>1056</v>
      </c>
      <c r="E612" s="7">
        <v>1.0</v>
      </c>
      <c r="F612" s="7"/>
      <c r="G612" s="7" t="s">
        <v>312</v>
      </c>
      <c r="H612" s="7" t="s">
        <v>313</v>
      </c>
      <c r="I612" s="10"/>
      <c r="J612" s="11"/>
      <c r="K612" s="12"/>
      <c r="L612" s="12"/>
      <c r="M612" s="10"/>
      <c r="N612" s="10"/>
      <c r="O612" s="10"/>
      <c r="P612" s="10"/>
      <c r="Q612" s="10"/>
      <c r="R612" s="10"/>
      <c r="S612" s="10"/>
      <c r="T612" s="10"/>
      <c r="U612" s="10"/>
      <c r="V612" s="10"/>
      <c r="W612" s="10"/>
      <c r="X612" s="10"/>
      <c r="Y612" s="10"/>
      <c r="Z612" s="10"/>
      <c r="AA612" s="10"/>
      <c r="AB612" s="10"/>
      <c r="AC612" s="10"/>
      <c r="AD612" s="10"/>
      <c r="AE612" s="10"/>
      <c r="AF612" s="10"/>
    </row>
    <row r="613">
      <c r="A613" s="7"/>
      <c r="B613" s="8">
        <v>57.0</v>
      </c>
      <c r="C613" s="8">
        <v>35.0</v>
      </c>
      <c r="D613" s="8" t="s">
        <v>1057</v>
      </c>
      <c r="E613" s="7">
        <v>1.0</v>
      </c>
      <c r="F613" s="7"/>
      <c r="G613" s="7" t="s">
        <v>312</v>
      </c>
      <c r="H613" s="7" t="s">
        <v>313</v>
      </c>
      <c r="I613" s="10"/>
      <c r="J613" s="11"/>
      <c r="K613" s="12"/>
      <c r="L613" s="12"/>
      <c r="M613" s="10"/>
      <c r="N613" s="10"/>
      <c r="O613" s="10"/>
      <c r="P613" s="10"/>
      <c r="Q613" s="10"/>
      <c r="R613" s="10"/>
      <c r="S613" s="10"/>
      <c r="T613" s="10"/>
      <c r="U613" s="10"/>
      <c r="V613" s="10"/>
      <c r="W613" s="10"/>
      <c r="X613" s="10"/>
      <c r="Y613" s="10"/>
      <c r="Z613" s="10"/>
      <c r="AA613" s="10"/>
      <c r="AB613" s="10"/>
      <c r="AC613" s="10"/>
      <c r="AD613" s="10"/>
      <c r="AE613" s="10"/>
      <c r="AF613" s="10"/>
    </row>
    <row r="614">
      <c r="A614" s="7"/>
      <c r="B614" s="8">
        <v>57.0</v>
      </c>
      <c r="C614" s="8">
        <v>36.0</v>
      </c>
      <c r="D614" s="8" t="s">
        <v>1058</v>
      </c>
      <c r="E614" s="7">
        <v>1.0</v>
      </c>
      <c r="F614" s="7"/>
      <c r="G614" s="7" t="s">
        <v>312</v>
      </c>
      <c r="H614" s="7" t="s">
        <v>313</v>
      </c>
      <c r="I614" s="10"/>
      <c r="J614" s="11"/>
      <c r="K614" s="12"/>
      <c r="L614" s="12"/>
      <c r="M614" s="10"/>
      <c r="N614" s="10"/>
      <c r="O614" s="10"/>
      <c r="P614" s="10"/>
      <c r="Q614" s="10"/>
      <c r="R614" s="10"/>
      <c r="S614" s="10"/>
      <c r="T614" s="10"/>
      <c r="U614" s="10"/>
      <c r="V614" s="10"/>
      <c r="W614" s="10"/>
      <c r="X614" s="10"/>
      <c r="Y614" s="10"/>
      <c r="Z614" s="10"/>
      <c r="AA614" s="10"/>
      <c r="AB614" s="10"/>
      <c r="AC614" s="10"/>
      <c r="AD614" s="10"/>
      <c r="AE614" s="10"/>
      <c r="AF614" s="10"/>
    </row>
    <row r="615">
      <c r="A615" s="7"/>
      <c r="B615" s="8">
        <v>57.0</v>
      </c>
      <c r="C615" s="8">
        <v>37.0</v>
      </c>
      <c r="D615" s="8" t="s">
        <v>1059</v>
      </c>
      <c r="E615" s="7">
        <v>1.0</v>
      </c>
      <c r="F615" s="7"/>
      <c r="G615" s="7" t="s">
        <v>312</v>
      </c>
      <c r="H615" s="7" t="s">
        <v>313</v>
      </c>
      <c r="I615" s="10"/>
      <c r="J615" s="11"/>
      <c r="K615" s="12"/>
      <c r="L615" s="12"/>
      <c r="M615" s="10"/>
      <c r="N615" s="10"/>
      <c r="O615" s="10"/>
      <c r="P615" s="10"/>
      <c r="Q615" s="10"/>
      <c r="R615" s="10"/>
      <c r="S615" s="10"/>
      <c r="T615" s="10"/>
      <c r="U615" s="10"/>
      <c r="V615" s="10"/>
      <c r="W615" s="10"/>
      <c r="X615" s="10"/>
      <c r="Y615" s="10"/>
      <c r="Z615" s="10"/>
      <c r="AA615" s="10"/>
      <c r="AB615" s="10"/>
      <c r="AC615" s="10"/>
      <c r="AD615" s="10"/>
      <c r="AE615" s="10"/>
      <c r="AF615" s="10"/>
    </row>
    <row r="616">
      <c r="A616" s="7"/>
      <c r="B616" s="8">
        <v>57.0</v>
      </c>
      <c r="C616" s="8">
        <v>38.0</v>
      </c>
      <c r="D616" s="8" t="s">
        <v>1060</v>
      </c>
      <c r="E616" s="7">
        <v>1.0</v>
      </c>
      <c r="F616" s="7"/>
      <c r="G616" s="7" t="s">
        <v>312</v>
      </c>
      <c r="H616" s="7" t="s">
        <v>313</v>
      </c>
      <c r="I616" s="10"/>
      <c r="J616" s="11"/>
      <c r="K616" s="12"/>
      <c r="L616" s="12"/>
      <c r="M616" s="10"/>
      <c r="N616" s="10"/>
      <c r="O616" s="10"/>
      <c r="P616" s="10"/>
      <c r="Q616" s="10"/>
      <c r="R616" s="10"/>
      <c r="S616" s="10"/>
      <c r="T616" s="10"/>
      <c r="U616" s="10"/>
      <c r="V616" s="10"/>
      <c r="W616" s="10"/>
      <c r="X616" s="10"/>
      <c r="Y616" s="10"/>
      <c r="Z616" s="10"/>
      <c r="AA616" s="10"/>
      <c r="AB616" s="10"/>
      <c r="AC616" s="10"/>
      <c r="AD616" s="10"/>
      <c r="AE616" s="10"/>
      <c r="AF616" s="10"/>
    </row>
    <row r="617">
      <c r="A617" s="7"/>
      <c r="B617" s="8">
        <v>57.0</v>
      </c>
      <c r="C617" s="8">
        <v>39.0</v>
      </c>
      <c r="D617" s="8" t="s">
        <v>1061</v>
      </c>
      <c r="E617" s="7">
        <v>0.0</v>
      </c>
      <c r="F617" s="7"/>
      <c r="G617" s="7" t="s">
        <v>312</v>
      </c>
      <c r="H617" s="7" t="s">
        <v>313</v>
      </c>
      <c r="I617" s="10"/>
      <c r="J617" s="11"/>
      <c r="K617" s="8" t="s">
        <v>1045</v>
      </c>
      <c r="L617" s="12"/>
      <c r="M617" s="10"/>
      <c r="N617" s="10"/>
      <c r="O617" s="10"/>
      <c r="P617" s="10"/>
      <c r="Q617" s="10"/>
      <c r="R617" s="10"/>
      <c r="S617" s="10"/>
      <c r="T617" s="10"/>
      <c r="U617" s="10"/>
      <c r="V617" s="10"/>
      <c r="W617" s="10"/>
      <c r="X617" s="10"/>
      <c r="Y617" s="10"/>
      <c r="Z617" s="10"/>
      <c r="AA617" s="10"/>
      <c r="AB617" s="10"/>
      <c r="AC617" s="10"/>
      <c r="AD617" s="10"/>
      <c r="AE617" s="10"/>
      <c r="AF617" s="10"/>
    </row>
    <row r="618">
      <c r="A618" s="7"/>
      <c r="B618" s="8">
        <v>57.0</v>
      </c>
      <c r="C618" s="8">
        <v>40.0</v>
      </c>
      <c r="D618" s="8" t="s">
        <v>1062</v>
      </c>
      <c r="E618" s="7">
        <v>0.0</v>
      </c>
      <c r="F618" s="7"/>
      <c r="G618" s="7" t="s">
        <v>312</v>
      </c>
      <c r="H618" s="7" t="s">
        <v>313</v>
      </c>
      <c r="I618" s="10"/>
      <c r="J618" s="11"/>
      <c r="K618" s="8" t="s">
        <v>1045</v>
      </c>
      <c r="L618" s="12"/>
      <c r="M618" s="10"/>
      <c r="N618" s="10"/>
      <c r="O618" s="10"/>
      <c r="P618" s="10"/>
      <c r="Q618" s="10"/>
      <c r="R618" s="10"/>
      <c r="S618" s="10"/>
      <c r="T618" s="10"/>
      <c r="U618" s="10"/>
      <c r="V618" s="10"/>
      <c r="W618" s="10"/>
      <c r="X618" s="10"/>
      <c r="Y618" s="10"/>
      <c r="Z618" s="10"/>
      <c r="AA618" s="10"/>
      <c r="AB618" s="10"/>
      <c r="AC618" s="10"/>
      <c r="AD618" s="10"/>
      <c r="AE618" s="10"/>
      <c r="AF618" s="10"/>
    </row>
    <row r="619">
      <c r="A619" s="7"/>
      <c r="B619" s="8">
        <v>57.0</v>
      </c>
      <c r="C619" s="8">
        <v>41.0</v>
      </c>
      <c r="D619" s="8" t="s">
        <v>1063</v>
      </c>
      <c r="E619" s="7">
        <v>1.0</v>
      </c>
      <c r="F619" s="7"/>
      <c r="G619" s="7" t="s">
        <v>312</v>
      </c>
      <c r="H619" s="7" t="s">
        <v>313</v>
      </c>
      <c r="I619" s="10"/>
      <c r="J619" s="9" t="s">
        <v>1064</v>
      </c>
      <c r="K619" s="12"/>
      <c r="L619" s="12"/>
      <c r="M619" s="10"/>
      <c r="N619" s="10"/>
      <c r="O619" s="10"/>
      <c r="P619" s="10"/>
      <c r="Q619" s="10"/>
      <c r="R619" s="10"/>
      <c r="S619" s="10"/>
      <c r="T619" s="10"/>
      <c r="U619" s="10"/>
      <c r="V619" s="10"/>
      <c r="W619" s="10"/>
      <c r="X619" s="10"/>
      <c r="Y619" s="10"/>
      <c r="Z619" s="10"/>
      <c r="AA619" s="10"/>
      <c r="AB619" s="10"/>
      <c r="AC619" s="10"/>
      <c r="AD619" s="10"/>
      <c r="AE619" s="10"/>
      <c r="AF619" s="10"/>
    </row>
    <row r="620">
      <c r="A620" s="7"/>
      <c r="B620" s="8">
        <v>57.0</v>
      </c>
      <c r="C620" s="8">
        <v>42.0</v>
      </c>
      <c r="D620" s="8" t="s">
        <v>1065</v>
      </c>
      <c r="E620" s="7">
        <v>1.0</v>
      </c>
      <c r="F620" s="7"/>
      <c r="G620" s="7" t="s">
        <v>312</v>
      </c>
      <c r="H620" s="7" t="s">
        <v>313</v>
      </c>
      <c r="I620" s="10"/>
      <c r="J620" s="11"/>
      <c r="K620" s="12"/>
      <c r="L620" s="12"/>
      <c r="M620" s="10"/>
      <c r="N620" s="10"/>
      <c r="O620" s="10"/>
      <c r="P620" s="10"/>
      <c r="Q620" s="10"/>
      <c r="R620" s="10"/>
      <c r="S620" s="10"/>
      <c r="T620" s="10"/>
      <c r="U620" s="10"/>
      <c r="V620" s="10"/>
      <c r="W620" s="10"/>
      <c r="X620" s="10"/>
      <c r="Y620" s="10"/>
      <c r="Z620" s="10"/>
      <c r="AA620" s="10"/>
      <c r="AB620" s="10"/>
      <c r="AC620" s="10"/>
      <c r="AD620" s="10"/>
      <c r="AE620" s="10"/>
      <c r="AF620" s="10"/>
    </row>
    <row r="621">
      <c r="A621" s="7"/>
      <c r="B621" s="8">
        <v>57.0</v>
      </c>
      <c r="C621" s="8">
        <v>43.0</v>
      </c>
      <c r="D621" s="8" t="s">
        <v>1066</v>
      </c>
      <c r="E621" s="7">
        <v>1.0</v>
      </c>
      <c r="F621" s="7"/>
      <c r="G621" s="7" t="s">
        <v>312</v>
      </c>
      <c r="H621" s="7" t="s">
        <v>313</v>
      </c>
      <c r="I621" s="10"/>
      <c r="J621" s="11"/>
      <c r="K621" s="12"/>
      <c r="L621" s="12"/>
      <c r="M621" s="10"/>
      <c r="N621" s="10"/>
      <c r="O621" s="10"/>
      <c r="P621" s="10"/>
      <c r="Q621" s="10"/>
      <c r="R621" s="10"/>
      <c r="S621" s="10"/>
      <c r="T621" s="10"/>
      <c r="U621" s="10"/>
      <c r="V621" s="10"/>
      <c r="W621" s="10"/>
      <c r="X621" s="10"/>
      <c r="Y621" s="10"/>
      <c r="Z621" s="10"/>
      <c r="AA621" s="10"/>
      <c r="AB621" s="10"/>
      <c r="AC621" s="10"/>
      <c r="AD621" s="10"/>
      <c r="AE621" s="10"/>
      <c r="AF621" s="10"/>
    </row>
    <row r="622">
      <c r="A622" s="7"/>
      <c r="B622" s="8">
        <v>57.0</v>
      </c>
      <c r="C622" s="8">
        <v>44.0</v>
      </c>
      <c r="D622" s="8" t="s">
        <v>1067</v>
      </c>
      <c r="E622" s="7">
        <v>1.0</v>
      </c>
      <c r="F622" s="7"/>
      <c r="G622" s="7" t="s">
        <v>312</v>
      </c>
      <c r="H622" s="7" t="s">
        <v>313</v>
      </c>
      <c r="I622" s="10"/>
      <c r="J622" s="11"/>
      <c r="K622" s="12"/>
      <c r="L622" s="12"/>
      <c r="M622" s="10"/>
      <c r="N622" s="10"/>
      <c r="O622" s="10"/>
      <c r="P622" s="10"/>
      <c r="Q622" s="10"/>
      <c r="R622" s="10"/>
      <c r="S622" s="10"/>
      <c r="T622" s="10"/>
      <c r="U622" s="10"/>
      <c r="V622" s="10"/>
      <c r="W622" s="10"/>
      <c r="X622" s="10"/>
      <c r="Y622" s="10"/>
      <c r="Z622" s="10"/>
      <c r="AA622" s="10"/>
      <c r="AB622" s="10"/>
      <c r="AC622" s="10"/>
      <c r="AD622" s="10"/>
      <c r="AE622" s="10"/>
      <c r="AF622" s="10"/>
    </row>
    <row r="623">
      <c r="A623" s="7"/>
      <c r="B623" s="8">
        <v>57.0</v>
      </c>
      <c r="C623" s="8">
        <v>45.0</v>
      </c>
      <c r="D623" s="8" t="s">
        <v>1068</v>
      </c>
      <c r="E623" s="7">
        <v>1.0</v>
      </c>
      <c r="F623" s="7"/>
      <c r="G623" s="7" t="s">
        <v>312</v>
      </c>
      <c r="H623" s="7" t="s">
        <v>313</v>
      </c>
      <c r="I623" s="10"/>
      <c r="J623" s="11"/>
      <c r="K623" s="12"/>
      <c r="L623" s="12"/>
      <c r="M623" s="10"/>
      <c r="N623" s="10"/>
      <c r="O623" s="10"/>
      <c r="P623" s="10"/>
      <c r="Q623" s="10"/>
      <c r="R623" s="10"/>
      <c r="S623" s="10"/>
      <c r="T623" s="10"/>
      <c r="U623" s="10"/>
      <c r="V623" s="10"/>
      <c r="W623" s="10"/>
      <c r="X623" s="10"/>
      <c r="Y623" s="10"/>
      <c r="Z623" s="10"/>
      <c r="AA623" s="10"/>
      <c r="AB623" s="10"/>
      <c r="AC623" s="10"/>
      <c r="AD623" s="10"/>
      <c r="AE623" s="10"/>
      <c r="AF623" s="10"/>
    </row>
    <row r="624">
      <c r="A624" s="7"/>
      <c r="B624" s="8">
        <v>57.0</v>
      </c>
      <c r="C624" s="8">
        <v>46.0</v>
      </c>
      <c r="D624" s="8" t="s">
        <v>1069</v>
      </c>
      <c r="E624" s="7">
        <v>0.0</v>
      </c>
      <c r="F624" s="7"/>
      <c r="G624" s="7" t="s">
        <v>312</v>
      </c>
      <c r="H624" s="7" t="s">
        <v>313</v>
      </c>
      <c r="I624" s="10"/>
      <c r="J624" s="11"/>
      <c r="K624" s="12"/>
      <c r="L624" s="12"/>
      <c r="M624" s="10"/>
      <c r="N624" s="10"/>
      <c r="O624" s="10"/>
      <c r="P624" s="10"/>
      <c r="Q624" s="10"/>
      <c r="R624" s="10"/>
      <c r="S624" s="10"/>
      <c r="T624" s="10"/>
      <c r="U624" s="10"/>
      <c r="V624" s="10"/>
      <c r="W624" s="10"/>
      <c r="X624" s="10"/>
      <c r="Y624" s="10"/>
      <c r="Z624" s="10"/>
      <c r="AA624" s="10"/>
      <c r="AB624" s="10"/>
      <c r="AC624" s="10"/>
      <c r="AD624" s="10"/>
      <c r="AE624" s="10"/>
      <c r="AF624" s="10"/>
    </row>
    <row r="625">
      <c r="A625" s="7"/>
      <c r="B625" s="8">
        <v>57.0</v>
      </c>
      <c r="C625" s="8">
        <v>47.0</v>
      </c>
      <c r="D625" s="8" t="s">
        <v>1070</v>
      </c>
      <c r="E625" s="7">
        <v>1.0</v>
      </c>
      <c r="F625" s="7"/>
      <c r="G625" s="7" t="s">
        <v>312</v>
      </c>
      <c r="H625" s="7" t="s">
        <v>313</v>
      </c>
      <c r="I625" s="10"/>
      <c r="J625" s="11"/>
      <c r="K625" s="12"/>
      <c r="L625" s="12"/>
      <c r="M625" s="10"/>
      <c r="N625" s="10"/>
      <c r="O625" s="10"/>
      <c r="P625" s="10"/>
      <c r="Q625" s="10"/>
      <c r="R625" s="10"/>
      <c r="S625" s="10"/>
      <c r="T625" s="10"/>
      <c r="U625" s="10"/>
      <c r="V625" s="10"/>
      <c r="W625" s="10"/>
      <c r="X625" s="10"/>
      <c r="Y625" s="10"/>
      <c r="Z625" s="10"/>
      <c r="AA625" s="10"/>
      <c r="AB625" s="10"/>
      <c r="AC625" s="10"/>
      <c r="AD625" s="10"/>
      <c r="AE625" s="10"/>
      <c r="AF625" s="10"/>
    </row>
    <row r="626">
      <c r="A626" s="7"/>
      <c r="B626" s="8">
        <v>57.0</v>
      </c>
      <c r="C626" s="8">
        <v>48.0</v>
      </c>
      <c r="D626" s="8" t="s">
        <v>1071</v>
      </c>
      <c r="E626" s="7">
        <v>1.0</v>
      </c>
      <c r="F626" s="7"/>
      <c r="G626" s="7" t="s">
        <v>312</v>
      </c>
      <c r="H626" s="7" t="s">
        <v>313</v>
      </c>
      <c r="I626" s="10"/>
      <c r="J626" s="11"/>
      <c r="K626" s="12"/>
      <c r="L626" s="12"/>
      <c r="M626" s="10"/>
      <c r="N626" s="10"/>
      <c r="O626" s="10"/>
      <c r="P626" s="10"/>
      <c r="Q626" s="10"/>
      <c r="R626" s="10"/>
      <c r="S626" s="10"/>
      <c r="T626" s="10"/>
      <c r="U626" s="10"/>
      <c r="V626" s="10"/>
      <c r="W626" s="10"/>
      <c r="X626" s="10"/>
      <c r="Y626" s="10"/>
      <c r="Z626" s="10"/>
      <c r="AA626" s="10"/>
      <c r="AB626" s="10"/>
      <c r="AC626" s="10"/>
      <c r="AD626" s="10"/>
      <c r="AE626" s="10"/>
      <c r="AF626" s="10"/>
    </row>
    <row r="627">
      <c r="A627" s="7"/>
      <c r="B627" s="8">
        <v>57.0</v>
      </c>
      <c r="C627" s="8">
        <v>49.0</v>
      </c>
      <c r="D627" s="8" t="s">
        <v>1072</v>
      </c>
      <c r="E627" s="7">
        <v>1.0</v>
      </c>
      <c r="F627" s="7"/>
      <c r="G627" s="7" t="s">
        <v>312</v>
      </c>
      <c r="H627" s="7" t="s">
        <v>313</v>
      </c>
      <c r="I627" s="10"/>
      <c r="J627" s="11"/>
      <c r="K627" s="12"/>
      <c r="L627" s="12"/>
      <c r="M627" s="10"/>
      <c r="N627" s="10"/>
      <c r="O627" s="10"/>
      <c r="P627" s="10"/>
      <c r="Q627" s="10"/>
      <c r="R627" s="10"/>
      <c r="S627" s="10"/>
      <c r="T627" s="10"/>
      <c r="U627" s="10"/>
      <c r="V627" s="10"/>
      <c r="W627" s="10"/>
      <c r="X627" s="10"/>
      <c r="Y627" s="10"/>
      <c r="Z627" s="10"/>
      <c r="AA627" s="10"/>
      <c r="AB627" s="10"/>
      <c r="AC627" s="10"/>
      <c r="AD627" s="10"/>
      <c r="AE627" s="10"/>
      <c r="AF627" s="10"/>
    </row>
    <row r="628">
      <c r="A628" s="7"/>
      <c r="B628" s="8">
        <v>57.0</v>
      </c>
      <c r="C628" s="8">
        <v>50.0</v>
      </c>
      <c r="D628" s="8" t="s">
        <v>1073</v>
      </c>
      <c r="E628" s="7">
        <v>1.0</v>
      </c>
      <c r="F628" s="7"/>
      <c r="G628" s="7" t="s">
        <v>312</v>
      </c>
      <c r="H628" s="7" t="s">
        <v>313</v>
      </c>
      <c r="I628" s="10"/>
      <c r="J628" s="11"/>
      <c r="K628" s="12"/>
      <c r="L628" s="12"/>
      <c r="M628" s="10"/>
      <c r="N628" s="10"/>
      <c r="O628" s="10"/>
      <c r="P628" s="10"/>
      <c r="Q628" s="10"/>
      <c r="R628" s="10"/>
      <c r="S628" s="10"/>
      <c r="T628" s="10"/>
      <c r="U628" s="10"/>
      <c r="V628" s="10"/>
      <c r="W628" s="10"/>
      <c r="X628" s="10"/>
      <c r="Y628" s="10"/>
      <c r="Z628" s="10"/>
      <c r="AA628" s="10"/>
      <c r="AB628" s="10"/>
      <c r="AC628" s="10"/>
      <c r="AD628" s="10"/>
      <c r="AE628" s="10"/>
      <c r="AF628" s="10"/>
    </row>
    <row r="629">
      <c r="A629" s="7"/>
      <c r="B629" s="8">
        <v>57.0</v>
      </c>
      <c r="C629" s="8">
        <v>51.0</v>
      </c>
      <c r="D629" s="8" t="s">
        <v>1074</v>
      </c>
      <c r="E629" s="7">
        <v>1.0</v>
      </c>
      <c r="F629" s="7"/>
      <c r="G629" s="7" t="s">
        <v>312</v>
      </c>
      <c r="H629" s="7" t="s">
        <v>313</v>
      </c>
      <c r="I629" s="10"/>
      <c r="J629" s="11"/>
      <c r="K629" s="12"/>
      <c r="L629" s="12"/>
      <c r="M629" s="10"/>
      <c r="N629" s="10"/>
      <c r="O629" s="10"/>
      <c r="P629" s="10"/>
      <c r="Q629" s="10"/>
      <c r="R629" s="10"/>
      <c r="S629" s="10"/>
      <c r="T629" s="10"/>
      <c r="U629" s="10"/>
      <c r="V629" s="10"/>
      <c r="W629" s="10"/>
      <c r="X629" s="10"/>
      <c r="Y629" s="10"/>
      <c r="Z629" s="10"/>
      <c r="AA629" s="10"/>
      <c r="AB629" s="10"/>
      <c r="AC629" s="10"/>
      <c r="AD629" s="10"/>
      <c r="AE629" s="10"/>
      <c r="AF629" s="10"/>
    </row>
    <row r="630">
      <c r="A630" s="7"/>
      <c r="B630" s="8">
        <v>57.0</v>
      </c>
      <c r="C630" s="8">
        <v>52.0</v>
      </c>
      <c r="D630" s="8" t="s">
        <v>1075</v>
      </c>
      <c r="E630" s="7">
        <v>1.0</v>
      </c>
      <c r="F630" s="7"/>
      <c r="G630" s="7" t="s">
        <v>312</v>
      </c>
      <c r="H630" s="7" t="s">
        <v>313</v>
      </c>
      <c r="I630" s="10"/>
      <c r="J630" s="11"/>
      <c r="K630" s="12"/>
      <c r="L630" s="12"/>
      <c r="M630" s="10"/>
      <c r="N630" s="10"/>
      <c r="O630" s="10"/>
      <c r="P630" s="10"/>
      <c r="Q630" s="10"/>
      <c r="R630" s="10"/>
      <c r="S630" s="10"/>
      <c r="T630" s="10"/>
      <c r="U630" s="10"/>
      <c r="V630" s="10"/>
      <c r="W630" s="10"/>
      <c r="X630" s="10"/>
      <c r="Y630" s="10"/>
      <c r="Z630" s="10"/>
      <c r="AA630" s="10"/>
      <c r="AB630" s="10"/>
      <c r="AC630" s="10"/>
      <c r="AD630" s="10"/>
      <c r="AE630" s="10"/>
      <c r="AF630" s="10"/>
    </row>
    <row r="631">
      <c r="A631" s="7"/>
      <c r="B631" s="8">
        <v>57.0</v>
      </c>
      <c r="C631" s="8">
        <v>53.0</v>
      </c>
      <c r="D631" s="8" t="s">
        <v>1076</v>
      </c>
      <c r="E631" s="7">
        <v>1.0</v>
      </c>
      <c r="F631" s="7"/>
      <c r="G631" s="7" t="s">
        <v>312</v>
      </c>
      <c r="H631" s="7" t="s">
        <v>313</v>
      </c>
      <c r="I631" s="10"/>
      <c r="J631" s="11"/>
      <c r="K631" s="12"/>
      <c r="L631" s="12"/>
      <c r="M631" s="10"/>
      <c r="N631" s="10"/>
      <c r="O631" s="10"/>
      <c r="P631" s="10"/>
      <c r="Q631" s="10"/>
      <c r="R631" s="10"/>
      <c r="S631" s="10"/>
      <c r="T631" s="10"/>
      <c r="U631" s="10"/>
      <c r="V631" s="10"/>
      <c r="W631" s="10"/>
      <c r="X631" s="10"/>
      <c r="Y631" s="10"/>
      <c r="Z631" s="10"/>
      <c r="AA631" s="10"/>
      <c r="AB631" s="10"/>
      <c r="AC631" s="10"/>
      <c r="AD631" s="10"/>
      <c r="AE631" s="10"/>
      <c r="AF631" s="10"/>
    </row>
    <row r="632">
      <c r="A632" s="7"/>
      <c r="B632" s="8">
        <v>57.0</v>
      </c>
      <c r="C632" s="8">
        <v>54.0</v>
      </c>
      <c r="D632" s="8" t="s">
        <v>1077</v>
      </c>
      <c r="E632" s="7">
        <v>1.0</v>
      </c>
      <c r="F632" s="7"/>
      <c r="G632" s="7" t="s">
        <v>312</v>
      </c>
      <c r="H632" s="7" t="s">
        <v>313</v>
      </c>
      <c r="I632" s="10"/>
      <c r="J632" s="11"/>
      <c r="K632" s="12"/>
      <c r="L632" s="12"/>
      <c r="M632" s="10"/>
      <c r="N632" s="10"/>
      <c r="O632" s="10"/>
      <c r="P632" s="10"/>
      <c r="Q632" s="10"/>
      <c r="R632" s="10"/>
      <c r="S632" s="10"/>
      <c r="T632" s="10"/>
      <c r="U632" s="10"/>
      <c r="V632" s="10"/>
      <c r="W632" s="10"/>
      <c r="X632" s="10"/>
      <c r="Y632" s="10"/>
      <c r="Z632" s="10"/>
      <c r="AA632" s="10"/>
      <c r="AB632" s="10"/>
      <c r="AC632" s="10"/>
      <c r="AD632" s="10"/>
      <c r="AE632" s="10"/>
      <c r="AF632" s="10"/>
    </row>
    <row r="633">
      <c r="A633" s="7"/>
      <c r="B633" s="8">
        <v>57.0</v>
      </c>
      <c r="C633" s="8">
        <v>55.0</v>
      </c>
      <c r="D633" s="8" t="s">
        <v>1078</v>
      </c>
      <c r="E633" s="7">
        <v>1.0</v>
      </c>
      <c r="F633" s="7"/>
      <c r="G633" s="7" t="s">
        <v>312</v>
      </c>
      <c r="H633" s="7" t="s">
        <v>313</v>
      </c>
      <c r="I633" s="10"/>
      <c r="J633" s="11"/>
      <c r="K633" s="12"/>
      <c r="L633" s="12"/>
      <c r="M633" s="10"/>
      <c r="N633" s="10"/>
      <c r="O633" s="10"/>
      <c r="P633" s="10"/>
      <c r="Q633" s="10"/>
      <c r="R633" s="10"/>
      <c r="S633" s="10"/>
      <c r="T633" s="10"/>
      <c r="U633" s="10"/>
      <c r="V633" s="10"/>
      <c r="W633" s="10"/>
      <c r="X633" s="10"/>
      <c r="Y633" s="10"/>
      <c r="Z633" s="10"/>
      <c r="AA633" s="10"/>
      <c r="AB633" s="10"/>
      <c r="AC633" s="10"/>
      <c r="AD633" s="10"/>
      <c r="AE633" s="10"/>
      <c r="AF633" s="10"/>
    </row>
    <row r="634">
      <c r="A634" s="7"/>
      <c r="B634" s="8">
        <v>57.0</v>
      </c>
      <c r="C634" s="8">
        <v>56.0</v>
      </c>
      <c r="D634" s="8" t="s">
        <v>1079</v>
      </c>
      <c r="E634" s="7">
        <v>1.0</v>
      </c>
      <c r="F634" s="7"/>
      <c r="G634" s="7" t="s">
        <v>312</v>
      </c>
      <c r="H634" s="7" t="s">
        <v>313</v>
      </c>
      <c r="I634" s="10"/>
      <c r="J634" s="11"/>
      <c r="K634" s="12"/>
      <c r="L634" s="12"/>
      <c r="M634" s="10"/>
      <c r="N634" s="10"/>
      <c r="O634" s="10"/>
      <c r="P634" s="10"/>
      <c r="Q634" s="10"/>
      <c r="R634" s="10"/>
      <c r="S634" s="10"/>
      <c r="T634" s="10"/>
      <c r="U634" s="10"/>
      <c r="V634" s="10"/>
      <c r="W634" s="10"/>
      <c r="X634" s="10"/>
      <c r="Y634" s="10"/>
      <c r="Z634" s="10"/>
      <c r="AA634" s="10"/>
      <c r="AB634" s="10"/>
      <c r="AC634" s="10"/>
      <c r="AD634" s="10"/>
      <c r="AE634" s="10"/>
      <c r="AF634" s="10"/>
    </row>
    <row r="635">
      <c r="A635" s="7"/>
      <c r="B635" s="8">
        <v>57.0</v>
      </c>
      <c r="C635" s="8">
        <v>57.0</v>
      </c>
      <c r="D635" s="8" t="s">
        <v>1080</v>
      </c>
      <c r="E635" s="7">
        <v>0.0</v>
      </c>
      <c r="F635" s="7"/>
      <c r="G635" s="7" t="s">
        <v>312</v>
      </c>
      <c r="H635" s="7" t="s">
        <v>313</v>
      </c>
      <c r="I635" s="10"/>
      <c r="J635" s="11"/>
      <c r="K635" s="12"/>
      <c r="L635" s="12"/>
      <c r="M635" s="10"/>
      <c r="N635" s="10"/>
      <c r="O635" s="10"/>
      <c r="P635" s="10"/>
      <c r="Q635" s="10"/>
      <c r="R635" s="10"/>
      <c r="S635" s="10"/>
      <c r="T635" s="10"/>
      <c r="U635" s="10"/>
      <c r="V635" s="10"/>
      <c r="W635" s="10"/>
      <c r="X635" s="10"/>
      <c r="Y635" s="10"/>
      <c r="Z635" s="10"/>
      <c r="AA635" s="10"/>
      <c r="AB635" s="10"/>
      <c r="AC635" s="10"/>
      <c r="AD635" s="10"/>
      <c r="AE635" s="10"/>
      <c r="AF635" s="10"/>
    </row>
    <row r="636">
      <c r="A636" s="7"/>
      <c r="B636" s="8">
        <v>57.0</v>
      </c>
      <c r="C636" s="8">
        <v>58.0</v>
      </c>
      <c r="D636" s="8" t="s">
        <v>1081</v>
      </c>
      <c r="E636" s="7">
        <v>0.0</v>
      </c>
      <c r="F636" s="7"/>
      <c r="G636" s="7" t="s">
        <v>312</v>
      </c>
      <c r="H636" s="7" t="s">
        <v>313</v>
      </c>
      <c r="I636" s="10"/>
      <c r="J636" s="11"/>
      <c r="K636" s="12"/>
      <c r="L636" s="12"/>
      <c r="M636" s="10"/>
      <c r="N636" s="10"/>
      <c r="O636" s="10"/>
      <c r="P636" s="10"/>
      <c r="Q636" s="10"/>
      <c r="R636" s="10"/>
      <c r="S636" s="10"/>
      <c r="T636" s="10"/>
      <c r="U636" s="10"/>
      <c r="V636" s="10"/>
      <c r="W636" s="10"/>
      <c r="X636" s="10"/>
      <c r="Y636" s="10"/>
      <c r="Z636" s="10"/>
      <c r="AA636" s="10"/>
      <c r="AB636" s="10"/>
      <c r="AC636" s="10"/>
      <c r="AD636" s="10"/>
      <c r="AE636" s="10"/>
      <c r="AF636" s="10"/>
    </row>
    <row r="637">
      <c r="A637" s="7"/>
      <c r="B637" s="8">
        <v>57.0</v>
      </c>
      <c r="C637" s="8">
        <v>59.0</v>
      </c>
      <c r="D637" s="8" t="s">
        <v>1082</v>
      </c>
      <c r="E637" s="7">
        <v>0.0</v>
      </c>
      <c r="F637" s="7"/>
      <c r="G637" s="7" t="s">
        <v>312</v>
      </c>
      <c r="H637" s="7" t="s">
        <v>313</v>
      </c>
      <c r="I637" s="10"/>
      <c r="J637" s="11"/>
      <c r="K637" s="12"/>
      <c r="L637" s="12"/>
      <c r="M637" s="10"/>
      <c r="N637" s="10"/>
      <c r="O637" s="10"/>
      <c r="P637" s="10"/>
      <c r="Q637" s="10"/>
      <c r="R637" s="10"/>
      <c r="S637" s="10"/>
      <c r="T637" s="10"/>
      <c r="U637" s="10"/>
      <c r="V637" s="10"/>
      <c r="W637" s="10"/>
      <c r="X637" s="10"/>
      <c r="Y637" s="10"/>
      <c r="Z637" s="10"/>
      <c r="AA637" s="10"/>
      <c r="AB637" s="10"/>
      <c r="AC637" s="10"/>
      <c r="AD637" s="10"/>
      <c r="AE637" s="10"/>
      <c r="AF637" s="10"/>
    </row>
    <row r="638">
      <c r="A638" s="7"/>
      <c r="B638" s="8">
        <v>57.0</v>
      </c>
      <c r="C638" s="8">
        <v>60.0</v>
      </c>
      <c r="D638" s="8" t="s">
        <v>1083</v>
      </c>
      <c r="E638" s="7">
        <v>0.0</v>
      </c>
      <c r="F638" s="7"/>
      <c r="G638" s="7" t="s">
        <v>312</v>
      </c>
      <c r="H638" s="7" t="s">
        <v>313</v>
      </c>
      <c r="I638" s="10"/>
      <c r="J638" s="11"/>
      <c r="K638" s="12"/>
      <c r="L638" s="12"/>
      <c r="M638" s="10"/>
      <c r="N638" s="10"/>
      <c r="O638" s="10"/>
      <c r="P638" s="10"/>
      <c r="Q638" s="10"/>
      <c r="R638" s="10"/>
      <c r="S638" s="10"/>
      <c r="T638" s="10"/>
      <c r="U638" s="10"/>
      <c r="V638" s="10"/>
      <c r="W638" s="10"/>
      <c r="X638" s="10"/>
      <c r="Y638" s="10"/>
      <c r="Z638" s="10"/>
      <c r="AA638" s="10"/>
      <c r="AB638" s="10"/>
      <c r="AC638" s="10"/>
      <c r="AD638" s="10"/>
      <c r="AE638" s="10"/>
      <c r="AF638" s="10"/>
    </row>
    <row r="639">
      <c r="A639" s="7"/>
      <c r="B639" s="8">
        <v>57.0</v>
      </c>
      <c r="C639" s="8">
        <v>61.0</v>
      </c>
      <c r="D639" s="8" t="s">
        <v>1084</v>
      </c>
      <c r="E639" s="7">
        <v>0.0</v>
      </c>
      <c r="F639" s="7"/>
      <c r="G639" s="7" t="s">
        <v>312</v>
      </c>
      <c r="H639" s="7" t="s">
        <v>313</v>
      </c>
      <c r="I639" s="10"/>
      <c r="J639" s="11"/>
      <c r="K639" s="12"/>
      <c r="L639" s="12"/>
      <c r="M639" s="10"/>
      <c r="N639" s="10"/>
      <c r="O639" s="10"/>
      <c r="P639" s="10"/>
      <c r="Q639" s="10"/>
      <c r="R639" s="10"/>
      <c r="S639" s="10"/>
      <c r="T639" s="10"/>
      <c r="U639" s="10"/>
      <c r="V639" s="10"/>
      <c r="W639" s="10"/>
      <c r="X639" s="10"/>
      <c r="Y639" s="10"/>
      <c r="Z639" s="10"/>
      <c r="AA639" s="10"/>
      <c r="AB639" s="10"/>
      <c r="AC639" s="10"/>
      <c r="AD639" s="10"/>
      <c r="AE639" s="10"/>
      <c r="AF639" s="10"/>
    </row>
    <row r="640">
      <c r="A640" s="7"/>
      <c r="B640" s="8">
        <v>57.0</v>
      </c>
      <c r="C640" s="8">
        <v>62.0</v>
      </c>
      <c r="D640" s="8" t="s">
        <v>1085</v>
      </c>
      <c r="E640" s="7">
        <v>0.0</v>
      </c>
      <c r="F640" s="7"/>
      <c r="G640" s="7" t="s">
        <v>312</v>
      </c>
      <c r="H640" s="7" t="s">
        <v>313</v>
      </c>
      <c r="I640" s="10"/>
      <c r="J640" s="11"/>
      <c r="K640" s="12"/>
      <c r="L640" s="12"/>
      <c r="M640" s="10"/>
      <c r="N640" s="10"/>
      <c r="O640" s="10"/>
      <c r="P640" s="10"/>
      <c r="Q640" s="10"/>
      <c r="R640" s="10"/>
      <c r="S640" s="10"/>
      <c r="T640" s="10"/>
      <c r="U640" s="10"/>
      <c r="V640" s="10"/>
      <c r="W640" s="10"/>
      <c r="X640" s="10"/>
      <c r="Y640" s="10"/>
      <c r="Z640" s="10"/>
      <c r="AA640" s="10"/>
      <c r="AB640" s="10"/>
      <c r="AC640" s="10"/>
      <c r="AD640" s="10"/>
      <c r="AE640" s="10"/>
      <c r="AF640" s="10"/>
    </row>
    <row r="641">
      <c r="A641" s="7"/>
      <c r="B641" s="8">
        <v>57.0</v>
      </c>
      <c r="C641" s="8">
        <v>63.0</v>
      </c>
      <c r="D641" s="8" t="s">
        <v>1086</v>
      </c>
      <c r="E641" s="7">
        <v>0.0</v>
      </c>
      <c r="F641" s="7"/>
      <c r="G641" s="7" t="s">
        <v>312</v>
      </c>
      <c r="H641" s="7" t="s">
        <v>313</v>
      </c>
      <c r="I641" s="10"/>
      <c r="J641" s="11"/>
      <c r="K641" s="12"/>
      <c r="L641" s="12"/>
      <c r="M641" s="10"/>
      <c r="N641" s="10"/>
      <c r="O641" s="10"/>
      <c r="P641" s="10"/>
      <c r="Q641" s="10"/>
      <c r="R641" s="10"/>
      <c r="S641" s="10"/>
      <c r="T641" s="10"/>
      <c r="U641" s="10"/>
      <c r="V641" s="10"/>
      <c r="W641" s="10"/>
      <c r="X641" s="10"/>
      <c r="Y641" s="10"/>
      <c r="Z641" s="10"/>
      <c r="AA641" s="10"/>
      <c r="AB641" s="10"/>
      <c r="AC641" s="10"/>
      <c r="AD641" s="10"/>
      <c r="AE641" s="10"/>
      <c r="AF641" s="10"/>
    </row>
    <row r="642">
      <c r="A642" s="7"/>
      <c r="B642" s="8">
        <v>57.0</v>
      </c>
      <c r="C642" s="8">
        <v>64.0</v>
      </c>
      <c r="D642" s="8" t="s">
        <v>1087</v>
      </c>
      <c r="E642" s="7">
        <v>0.0</v>
      </c>
      <c r="F642" s="7"/>
      <c r="G642" s="7" t="s">
        <v>312</v>
      </c>
      <c r="H642" s="7" t="s">
        <v>313</v>
      </c>
      <c r="I642" s="10"/>
      <c r="J642" s="11"/>
      <c r="K642" s="12"/>
      <c r="L642" s="12"/>
      <c r="M642" s="10"/>
      <c r="N642" s="10"/>
      <c r="O642" s="10"/>
      <c r="P642" s="10"/>
      <c r="Q642" s="10"/>
      <c r="R642" s="10"/>
      <c r="S642" s="10"/>
      <c r="T642" s="10"/>
      <c r="U642" s="10"/>
      <c r="V642" s="10"/>
      <c r="W642" s="10"/>
      <c r="X642" s="10"/>
      <c r="Y642" s="10"/>
      <c r="Z642" s="10"/>
      <c r="AA642" s="10"/>
      <c r="AB642" s="10"/>
      <c r="AC642" s="10"/>
      <c r="AD642" s="10"/>
      <c r="AE642" s="10"/>
      <c r="AF642" s="10"/>
    </row>
    <row r="643">
      <c r="A643" s="7"/>
      <c r="B643" s="8">
        <v>57.0</v>
      </c>
      <c r="C643" s="8">
        <v>65.0</v>
      </c>
      <c r="D643" s="8" t="s">
        <v>1088</v>
      </c>
      <c r="E643" s="7">
        <v>0.0</v>
      </c>
      <c r="F643" s="7"/>
      <c r="G643" s="7" t="s">
        <v>312</v>
      </c>
      <c r="H643" s="7" t="s">
        <v>313</v>
      </c>
      <c r="I643" s="10"/>
      <c r="J643" s="11"/>
      <c r="K643" s="12"/>
      <c r="L643" s="12"/>
      <c r="M643" s="10"/>
      <c r="N643" s="10"/>
      <c r="O643" s="10"/>
      <c r="P643" s="10"/>
      <c r="Q643" s="10"/>
      <c r="R643" s="10"/>
      <c r="S643" s="10"/>
      <c r="T643" s="10"/>
      <c r="U643" s="10"/>
      <c r="V643" s="10"/>
      <c r="W643" s="10"/>
      <c r="X643" s="10"/>
      <c r="Y643" s="10"/>
      <c r="Z643" s="10"/>
      <c r="AA643" s="10"/>
      <c r="AB643" s="10"/>
      <c r="AC643" s="10"/>
      <c r="AD643" s="10"/>
      <c r="AE643" s="10"/>
      <c r="AF643" s="10"/>
    </row>
    <row r="644">
      <c r="A644" s="7"/>
      <c r="B644" s="8">
        <v>57.0</v>
      </c>
      <c r="C644" s="8">
        <v>66.0</v>
      </c>
      <c r="D644" s="8" t="s">
        <v>1089</v>
      </c>
      <c r="E644" s="7">
        <v>0.0</v>
      </c>
      <c r="F644" s="7"/>
      <c r="G644" s="7" t="s">
        <v>312</v>
      </c>
      <c r="H644" s="7" t="s">
        <v>313</v>
      </c>
      <c r="I644" s="10"/>
      <c r="J644" s="11"/>
      <c r="K644" s="12"/>
      <c r="L644" s="12"/>
      <c r="M644" s="10"/>
      <c r="N644" s="10"/>
      <c r="O644" s="10"/>
      <c r="P644" s="10"/>
      <c r="Q644" s="10"/>
      <c r="R644" s="10"/>
      <c r="S644" s="10"/>
      <c r="T644" s="10"/>
      <c r="U644" s="10"/>
      <c r="V644" s="10"/>
      <c r="W644" s="10"/>
      <c r="X644" s="10"/>
      <c r="Y644" s="10"/>
      <c r="Z644" s="10"/>
      <c r="AA644" s="10"/>
      <c r="AB644" s="10"/>
      <c r="AC644" s="10"/>
      <c r="AD644" s="10"/>
      <c r="AE644" s="10"/>
      <c r="AF644" s="10"/>
    </row>
    <row r="645">
      <c r="A645" s="10"/>
      <c r="B645" s="12"/>
      <c r="C645" s="12"/>
      <c r="D645" s="12"/>
      <c r="E645" s="10"/>
      <c r="F645" s="10"/>
      <c r="G645" s="10"/>
      <c r="H645" s="10"/>
      <c r="I645" s="10"/>
      <c r="J645" s="11"/>
      <c r="K645" s="12"/>
      <c r="L645" s="12"/>
      <c r="M645" s="10"/>
      <c r="N645" s="10"/>
      <c r="O645" s="10"/>
      <c r="P645" s="10"/>
      <c r="Q645" s="10"/>
      <c r="R645" s="10"/>
      <c r="S645" s="10"/>
      <c r="T645" s="10"/>
      <c r="U645" s="10"/>
      <c r="V645" s="10"/>
      <c r="W645" s="10"/>
      <c r="X645" s="10"/>
      <c r="Y645" s="10"/>
      <c r="Z645" s="10"/>
      <c r="AA645" s="10"/>
      <c r="AB645" s="10"/>
      <c r="AC645" s="10"/>
      <c r="AD645" s="10"/>
      <c r="AE645" s="10"/>
      <c r="AF645" s="10"/>
    </row>
    <row r="646">
      <c r="A646" s="7"/>
      <c r="B646" s="8">
        <v>58.0</v>
      </c>
      <c r="C646" s="8">
        <v>1.0</v>
      </c>
      <c r="D646" s="8" t="s">
        <v>1090</v>
      </c>
      <c r="E646" s="7">
        <v>1.0</v>
      </c>
      <c r="F646" s="7"/>
      <c r="G646" s="7" t="s">
        <v>312</v>
      </c>
      <c r="H646" s="7" t="s">
        <v>313</v>
      </c>
      <c r="I646" s="10"/>
      <c r="J646" s="9" t="s">
        <v>1091</v>
      </c>
      <c r="K646" s="12"/>
      <c r="L646" s="15" t="s">
        <v>1092</v>
      </c>
      <c r="M646" s="10"/>
      <c r="N646" s="10"/>
      <c r="O646" s="10"/>
      <c r="P646" s="10"/>
      <c r="Q646" s="10"/>
      <c r="R646" s="10"/>
      <c r="S646" s="10"/>
      <c r="T646" s="10"/>
      <c r="U646" s="10"/>
      <c r="V646" s="10"/>
      <c r="W646" s="10"/>
      <c r="X646" s="10"/>
      <c r="Y646" s="10"/>
      <c r="Z646" s="10"/>
      <c r="AA646" s="10"/>
      <c r="AB646" s="10"/>
      <c r="AC646" s="10"/>
      <c r="AD646" s="10"/>
      <c r="AE646" s="10"/>
      <c r="AF646" s="10"/>
    </row>
    <row r="647">
      <c r="A647" s="7"/>
      <c r="B647" s="8">
        <v>58.0</v>
      </c>
      <c r="C647" s="8">
        <v>2.0</v>
      </c>
      <c r="D647" s="8" t="s">
        <v>1093</v>
      </c>
      <c r="E647" s="7">
        <v>0.0</v>
      </c>
      <c r="F647" s="7"/>
      <c r="G647" s="7" t="s">
        <v>312</v>
      </c>
      <c r="H647" s="7" t="s">
        <v>313</v>
      </c>
      <c r="I647" s="10"/>
      <c r="J647" s="11"/>
      <c r="K647" s="12"/>
      <c r="L647" s="12"/>
      <c r="M647" s="10"/>
      <c r="N647" s="10"/>
      <c r="O647" s="10"/>
      <c r="P647" s="10"/>
      <c r="Q647" s="10"/>
      <c r="R647" s="10"/>
      <c r="S647" s="10"/>
      <c r="T647" s="10"/>
      <c r="U647" s="10"/>
      <c r="V647" s="10"/>
      <c r="W647" s="10"/>
      <c r="X647" s="10"/>
      <c r="Y647" s="10"/>
      <c r="Z647" s="10"/>
      <c r="AA647" s="10"/>
      <c r="AB647" s="10"/>
      <c r="AC647" s="10"/>
      <c r="AD647" s="10"/>
      <c r="AE647" s="10"/>
      <c r="AF647" s="10"/>
    </row>
    <row r="648">
      <c r="A648" s="7"/>
      <c r="B648" s="8">
        <v>58.0</v>
      </c>
      <c r="C648" s="8">
        <v>3.0</v>
      </c>
      <c r="D648" s="8" t="s">
        <v>1094</v>
      </c>
      <c r="E648" s="7">
        <v>1.0</v>
      </c>
      <c r="F648" s="7" t="s">
        <v>320</v>
      </c>
      <c r="G648" s="7" t="s">
        <v>312</v>
      </c>
      <c r="H648" s="7" t="s">
        <v>313</v>
      </c>
      <c r="I648" s="7" t="s">
        <v>366</v>
      </c>
      <c r="J648" s="9" t="s">
        <v>1095</v>
      </c>
      <c r="K648" s="12"/>
      <c r="L648" s="12"/>
      <c r="M648" s="10"/>
      <c r="N648" s="10"/>
      <c r="O648" s="10"/>
      <c r="P648" s="10"/>
      <c r="Q648" s="10"/>
      <c r="R648" s="10"/>
      <c r="S648" s="10"/>
      <c r="T648" s="10"/>
      <c r="U648" s="10"/>
      <c r="V648" s="10"/>
      <c r="W648" s="10"/>
      <c r="X648" s="10"/>
      <c r="Y648" s="10"/>
      <c r="Z648" s="10"/>
      <c r="AA648" s="10"/>
      <c r="AB648" s="10"/>
      <c r="AC648" s="10"/>
      <c r="AD648" s="10"/>
      <c r="AE648" s="10"/>
      <c r="AF648" s="10"/>
    </row>
    <row r="649">
      <c r="A649" s="7"/>
      <c r="B649" s="8">
        <v>58.0</v>
      </c>
      <c r="C649" s="8">
        <v>4.0</v>
      </c>
      <c r="D649" s="8" t="s">
        <v>1096</v>
      </c>
      <c r="E649" s="7">
        <v>0.0</v>
      </c>
      <c r="F649" s="7"/>
      <c r="G649" s="7" t="s">
        <v>312</v>
      </c>
      <c r="H649" s="7" t="s">
        <v>313</v>
      </c>
      <c r="I649" s="10"/>
      <c r="J649" s="11"/>
      <c r="K649" s="12"/>
      <c r="L649" s="12"/>
      <c r="M649" s="10"/>
      <c r="N649" s="10"/>
      <c r="O649" s="10"/>
      <c r="P649" s="10"/>
      <c r="Q649" s="10"/>
      <c r="R649" s="10"/>
      <c r="S649" s="10"/>
      <c r="T649" s="10"/>
      <c r="U649" s="10"/>
      <c r="V649" s="10"/>
      <c r="W649" s="10"/>
      <c r="X649" s="10"/>
      <c r="Y649" s="10"/>
      <c r="Z649" s="10"/>
      <c r="AA649" s="10"/>
      <c r="AB649" s="10"/>
      <c r="AC649" s="10"/>
      <c r="AD649" s="10"/>
      <c r="AE649" s="10"/>
      <c r="AF649" s="10"/>
    </row>
    <row r="650">
      <c r="A650" s="7"/>
      <c r="B650" s="8">
        <v>58.0</v>
      </c>
      <c r="C650" s="8">
        <v>5.0</v>
      </c>
      <c r="D650" s="8" t="s">
        <v>1097</v>
      </c>
      <c r="E650" s="7">
        <v>0.0</v>
      </c>
      <c r="F650" s="7"/>
      <c r="G650" s="7" t="s">
        <v>312</v>
      </c>
      <c r="H650" s="7" t="s">
        <v>313</v>
      </c>
      <c r="I650" s="10"/>
      <c r="J650" s="11"/>
      <c r="K650" s="8" t="s">
        <v>1098</v>
      </c>
      <c r="L650" s="12"/>
      <c r="M650" s="10"/>
      <c r="N650" s="10"/>
      <c r="O650" s="10"/>
      <c r="P650" s="10"/>
      <c r="Q650" s="10"/>
      <c r="R650" s="10"/>
      <c r="S650" s="10"/>
      <c r="T650" s="10"/>
      <c r="U650" s="10"/>
      <c r="V650" s="10"/>
      <c r="W650" s="10"/>
      <c r="X650" s="10"/>
      <c r="Y650" s="10"/>
      <c r="Z650" s="10"/>
      <c r="AA650" s="10"/>
      <c r="AB650" s="10"/>
      <c r="AC650" s="10"/>
      <c r="AD650" s="10"/>
      <c r="AE650" s="10"/>
      <c r="AF650" s="10"/>
    </row>
    <row r="651">
      <c r="A651" s="7"/>
      <c r="B651" s="8">
        <v>58.0</v>
      </c>
      <c r="C651" s="8">
        <v>6.0</v>
      </c>
      <c r="D651" s="8" t="s">
        <v>1099</v>
      </c>
      <c r="E651" s="7">
        <v>0.0</v>
      </c>
      <c r="F651" s="7"/>
      <c r="G651" s="7" t="s">
        <v>312</v>
      </c>
      <c r="H651" s="7" t="s">
        <v>313</v>
      </c>
      <c r="I651" s="10"/>
      <c r="J651" s="11"/>
      <c r="K651" s="12"/>
      <c r="L651" s="12"/>
      <c r="M651" s="10"/>
      <c r="N651" s="10"/>
      <c r="O651" s="10"/>
      <c r="P651" s="10"/>
      <c r="Q651" s="10"/>
      <c r="R651" s="10"/>
      <c r="S651" s="10"/>
      <c r="T651" s="10"/>
      <c r="U651" s="10"/>
      <c r="V651" s="10"/>
      <c r="W651" s="10"/>
      <c r="X651" s="10"/>
      <c r="Y651" s="10"/>
      <c r="Z651" s="10"/>
      <c r="AA651" s="10"/>
      <c r="AB651" s="10"/>
      <c r="AC651" s="10"/>
      <c r="AD651" s="10"/>
      <c r="AE651" s="10"/>
      <c r="AF651" s="10"/>
    </row>
    <row r="652">
      <c r="A652" s="7"/>
      <c r="B652" s="8">
        <v>58.0</v>
      </c>
      <c r="C652" s="8">
        <v>7.0</v>
      </c>
      <c r="D652" s="8" t="s">
        <v>1100</v>
      </c>
      <c r="E652" s="7">
        <v>0.0</v>
      </c>
      <c r="F652" s="7"/>
      <c r="G652" s="7" t="s">
        <v>312</v>
      </c>
      <c r="H652" s="7" t="s">
        <v>313</v>
      </c>
      <c r="I652" s="10"/>
      <c r="J652" s="11"/>
      <c r="K652" s="12"/>
      <c r="L652" s="12"/>
      <c r="M652" s="10"/>
      <c r="N652" s="10"/>
      <c r="O652" s="10"/>
      <c r="P652" s="10"/>
      <c r="Q652" s="10"/>
      <c r="R652" s="10"/>
      <c r="S652" s="10"/>
      <c r="T652" s="10"/>
      <c r="U652" s="10"/>
      <c r="V652" s="10"/>
      <c r="W652" s="10"/>
      <c r="X652" s="10"/>
      <c r="Y652" s="10"/>
      <c r="Z652" s="10"/>
      <c r="AA652" s="10"/>
      <c r="AB652" s="10"/>
      <c r="AC652" s="10"/>
      <c r="AD652" s="10"/>
      <c r="AE652" s="10"/>
      <c r="AF652" s="10"/>
    </row>
    <row r="653">
      <c r="A653" s="7"/>
      <c r="B653" s="8">
        <v>58.0</v>
      </c>
      <c r="C653" s="8">
        <v>8.0</v>
      </c>
      <c r="D653" s="8" t="s">
        <v>1101</v>
      </c>
      <c r="E653" s="7">
        <v>1.0</v>
      </c>
      <c r="F653" s="7" t="s">
        <v>320</v>
      </c>
      <c r="G653" s="7" t="s">
        <v>312</v>
      </c>
      <c r="H653" s="7" t="s">
        <v>313</v>
      </c>
      <c r="I653" s="10"/>
      <c r="J653" s="9" t="s">
        <v>1102</v>
      </c>
      <c r="K653" s="12"/>
      <c r="L653" s="12"/>
      <c r="M653" s="10"/>
      <c r="N653" s="10"/>
      <c r="O653" s="10"/>
      <c r="P653" s="10"/>
      <c r="Q653" s="10"/>
      <c r="R653" s="10"/>
      <c r="S653" s="10"/>
      <c r="T653" s="10"/>
      <c r="U653" s="10"/>
      <c r="V653" s="10"/>
      <c r="W653" s="10"/>
      <c r="X653" s="10"/>
      <c r="Y653" s="10"/>
      <c r="Z653" s="10"/>
      <c r="AA653" s="10"/>
      <c r="AB653" s="10"/>
      <c r="AC653" s="10"/>
      <c r="AD653" s="10"/>
      <c r="AE653" s="10"/>
      <c r="AF653" s="10"/>
    </row>
    <row r="654">
      <c r="A654" s="7"/>
      <c r="B654" s="8">
        <v>58.0</v>
      </c>
      <c r="C654" s="8">
        <v>9.0</v>
      </c>
      <c r="D654" s="8" t="s">
        <v>1103</v>
      </c>
      <c r="E654" s="7">
        <v>0.0</v>
      </c>
      <c r="F654" s="7"/>
      <c r="G654" s="7" t="s">
        <v>312</v>
      </c>
      <c r="H654" s="7" t="s">
        <v>313</v>
      </c>
      <c r="I654" s="10"/>
      <c r="J654" s="11"/>
      <c r="K654" s="8" t="s">
        <v>1098</v>
      </c>
      <c r="L654" s="12"/>
      <c r="M654" s="10"/>
      <c r="N654" s="10"/>
      <c r="O654" s="10"/>
      <c r="P654" s="10"/>
      <c r="Q654" s="10"/>
      <c r="R654" s="10"/>
      <c r="S654" s="10"/>
      <c r="T654" s="10"/>
      <c r="U654" s="10"/>
      <c r="V654" s="10"/>
      <c r="W654" s="10"/>
      <c r="X654" s="10"/>
      <c r="Y654" s="10"/>
      <c r="Z654" s="10"/>
      <c r="AA654" s="10"/>
      <c r="AB654" s="10"/>
      <c r="AC654" s="10"/>
      <c r="AD654" s="10"/>
      <c r="AE654" s="10"/>
      <c r="AF654" s="10"/>
    </row>
    <row r="655">
      <c r="A655" s="7"/>
      <c r="B655" s="8">
        <v>58.0</v>
      </c>
      <c r="C655" s="8">
        <v>10.0</v>
      </c>
      <c r="D655" s="8" t="s">
        <v>1104</v>
      </c>
      <c r="E655" s="7">
        <v>0.0</v>
      </c>
      <c r="F655" s="7"/>
      <c r="G655" s="7" t="s">
        <v>312</v>
      </c>
      <c r="H655" s="7" t="s">
        <v>313</v>
      </c>
      <c r="I655" s="10"/>
      <c r="J655" s="11"/>
      <c r="K655" s="12"/>
      <c r="L655" s="12"/>
      <c r="M655" s="10"/>
      <c r="N655" s="10"/>
      <c r="O655" s="10"/>
      <c r="P655" s="10"/>
      <c r="Q655" s="10"/>
      <c r="R655" s="10"/>
      <c r="S655" s="10"/>
      <c r="T655" s="10"/>
      <c r="U655" s="10"/>
      <c r="V655" s="10"/>
      <c r="W655" s="10"/>
      <c r="X655" s="10"/>
      <c r="Y655" s="10"/>
      <c r="Z655" s="10"/>
      <c r="AA655" s="10"/>
      <c r="AB655" s="10"/>
      <c r="AC655" s="10"/>
      <c r="AD655" s="10"/>
      <c r="AE655" s="10"/>
      <c r="AF655" s="10"/>
    </row>
    <row r="656">
      <c r="A656" s="7"/>
      <c r="B656" s="8">
        <v>58.0</v>
      </c>
      <c r="C656" s="8">
        <v>11.0</v>
      </c>
      <c r="D656" s="8" t="s">
        <v>1105</v>
      </c>
      <c r="E656" s="7">
        <v>0.0</v>
      </c>
      <c r="F656" s="7"/>
      <c r="G656" s="7" t="s">
        <v>312</v>
      </c>
      <c r="H656" s="7" t="s">
        <v>313</v>
      </c>
      <c r="I656" s="10"/>
      <c r="J656" s="11"/>
      <c r="K656" s="12"/>
      <c r="L656" s="12"/>
      <c r="M656" s="10"/>
      <c r="N656" s="10"/>
      <c r="O656" s="10"/>
      <c r="P656" s="10"/>
      <c r="Q656" s="10"/>
      <c r="R656" s="10"/>
      <c r="S656" s="10"/>
      <c r="T656" s="10"/>
      <c r="U656" s="10"/>
      <c r="V656" s="10"/>
      <c r="W656" s="10"/>
      <c r="X656" s="10"/>
      <c r="Y656" s="10"/>
      <c r="Z656" s="10"/>
      <c r="AA656" s="10"/>
      <c r="AB656" s="10"/>
      <c r="AC656" s="10"/>
      <c r="AD656" s="10"/>
      <c r="AE656" s="10"/>
      <c r="AF656" s="10"/>
    </row>
    <row r="657">
      <c r="A657" s="7"/>
      <c r="B657" s="8">
        <v>58.0</v>
      </c>
      <c r="C657" s="8">
        <v>12.0</v>
      </c>
      <c r="D657" s="8" t="s">
        <v>1106</v>
      </c>
      <c r="E657" s="7">
        <v>0.0</v>
      </c>
      <c r="F657" s="7"/>
      <c r="G657" s="7" t="s">
        <v>312</v>
      </c>
      <c r="H657" s="7" t="s">
        <v>313</v>
      </c>
      <c r="I657" s="10"/>
      <c r="J657" s="11"/>
      <c r="K657" s="12"/>
      <c r="L657" s="12"/>
      <c r="M657" s="10"/>
      <c r="N657" s="10"/>
      <c r="O657" s="10"/>
      <c r="P657" s="10"/>
      <c r="Q657" s="10"/>
      <c r="R657" s="10"/>
      <c r="S657" s="10"/>
      <c r="T657" s="10"/>
      <c r="U657" s="10"/>
      <c r="V657" s="10"/>
      <c r="W657" s="10"/>
      <c r="X657" s="10"/>
      <c r="Y657" s="10"/>
      <c r="Z657" s="10"/>
      <c r="AA657" s="10"/>
      <c r="AB657" s="10"/>
      <c r="AC657" s="10"/>
      <c r="AD657" s="10"/>
      <c r="AE657" s="10"/>
      <c r="AF657" s="10"/>
    </row>
    <row r="658">
      <c r="A658" s="7"/>
      <c r="B658" s="8">
        <v>58.0</v>
      </c>
      <c r="C658" s="8">
        <v>13.0</v>
      </c>
      <c r="D658" s="8" t="s">
        <v>1107</v>
      </c>
      <c r="E658" s="7">
        <v>1.0</v>
      </c>
      <c r="F658" s="7" t="s">
        <v>320</v>
      </c>
      <c r="G658" s="7" t="s">
        <v>312</v>
      </c>
      <c r="H658" s="7" t="s">
        <v>313</v>
      </c>
      <c r="I658" s="7" t="s">
        <v>366</v>
      </c>
      <c r="J658" s="9" t="s">
        <v>1108</v>
      </c>
      <c r="K658" s="12"/>
      <c r="L658" s="12"/>
      <c r="M658" s="10"/>
      <c r="N658" s="10"/>
      <c r="O658" s="10"/>
      <c r="P658" s="10"/>
      <c r="Q658" s="10"/>
      <c r="R658" s="10"/>
      <c r="S658" s="10"/>
      <c r="T658" s="10"/>
      <c r="U658" s="10"/>
      <c r="V658" s="10"/>
      <c r="W658" s="10"/>
      <c r="X658" s="10"/>
      <c r="Y658" s="10"/>
      <c r="Z658" s="10"/>
      <c r="AA658" s="10"/>
      <c r="AB658" s="10"/>
      <c r="AC658" s="10"/>
      <c r="AD658" s="10"/>
      <c r="AE658" s="10"/>
      <c r="AF658" s="10"/>
    </row>
    <row r="659">
      <c r="A659" s="7"/>
      <c r="B659" s="8">
        <v>58.0</v>
      </c>
      <c r="C659" s="8">
        <v>14.0</v>
      </c>
      <c r="D659" s="8" t="s">
        <v>1109</v>
      </c>
      <c r="E659" s="7">
        <v>0.0</v>
      </c>
      <c r="F659" s="7"/>
      <c r="G659" s="7" t="s">
        <v>312</v>
      </c>
      <c r="H659" s="7" t="s">
        <v>313</v>
      </c>
      <c r="I659" s="10"/>
      <c r="J659" s="11"/>
      <c r="K659" s="8" t="s">
        <v>1098</v>
      </c>
      <c r="L659" s="12"/>
      <c r="M659" s="10"/>
      <c r="N659" s="10"/>
      <c r="O659" s="10"/>
      <c r="P659" s="10"/>
      <c r="Q659" s="10"/>
      <c r="R659" s="10"/>
      <c r="S659" s="10"/>
      <c r="T659" s="10"/>
      <c r="U659" s="10"/>
      <c r="V659" s="10"/>
      <c r="W659" s="10"/>
      <c r="X659" s="10"/>
      <c r="Y659" s="10"/>
      <c r="Z659" s="10"/>
      <c r="AA659" s="10"/>
      <c r="AB659" s="10"/>
      <c r="AC659" s="10"/>
      <c r="AD659" s="10"/>
      <c r="AE659" s="10"/>
      <c r="AF659" s="10"/>
    </row>
    <row r="660">
      <c r="A660" s="7"/>
      <c r="B660" s="8">
        <v>58.0</v>
      </c>
      <c r="C660" s="8">
        <v>15.0</v>
      </c>
      <c r="D660" s="8" t="s">
        <v>1110</v>
      </c>
      <c r="E660" s="7">
        <v>0.0</v>
      </c>
      <c r="F660" s="7"/>
      <c r="G660" s="7" t="s">
        <v>312</v>
      </c>
      <c r="H660" s="7" t="s">
        <v>313</v>
      </c>
      <c r="I660" s="10"/>
      <c r="J660" s="11"/>
      <c r="K660" s="8" t="s">
        <v>1098</v>
      </c>
      <c r="L660" s="12"/>
      <c r="M660" s="10"/>
      <c r="N660" s="10"/>
      <c r="O660" s="10"/>
      <c r="P660" s="10"/>
      <c r="Q660" s="10"/>
      <c r="R660" s="10"/>
      <c r="S660" s="10"/>
      <c r="T660" s="10"/>
      <c r="U660" s="10"/>
      <c r="V660" s="10"/>
      <c r="W660" s="10"/>
      <c r="X660" s="10"/>
      <c r="Y660" s="10"/>
      <c r="Z660" s="10"/>
      <c r="AA660" s="10"/>
      <c r="AB660" s="10"/>
      <c r="AC660" s="10"/>
      <c r="AD660" s="10"/>
      <c r="AE660" s="10"/>
      <c r="AF660" s="10"/>
    </row>
    <row r="661">
      <c r="A661" s="10"/>
      <c r="B661" s="12"/>
      <c r="C661" s="12"/>
      <c r="D661" s="12"/>
      <c r="E661" s="10"/>
      <c r="F661" s="10"/>
      <c r="G661" s="10"/>
      <c r="H661" s="10"/>
      <c r="I661" s="10"/>
      <c r="J661" s="11"/>
      <c r="K661" s="12"/>
      <c r="L661" s="12"/>
      <c r="M661" s="10"/>
      <c r="N661" s="10"/>
      <c r="O661" s="10"/>
      <c r="P661" s="10"/>
      <c r="Q661" s="10"/>
      <c r="R661" s="10"/>
      <c r="S661" s="10"/>
      <c r="T661" s="10"/>
      <c r="U661" s="10"/>
      <c r="V661" s="10"/>
      <c r="W661" s="10"/>
      <c r="X661" s="10"/>
      <c r="Y661" s="10"/>
      <c r="Z661" s="10"/>
      <c r="AA661" s="10"/>
      <c r="AB661" s="10"/>
      <c r="AC661" s="10"/>
      <c r="AD661" s="10"/>
      <c r="AE661" s="10"/>
      <c r="AF661" s="10"/>
    </row>
    <row r="662">
      <c r="A662" s="7"/>
      <c r="B662" s="8">
        <v>59.0</v>
      </c>
      <c r="C662" s="8">
        <v>1.0</v>
      </c>
      <c r="D662" s="8" t="s">
        <v>1111</v>
      </c>
      <c r="E662" s="7">
        <v>1.0</v>
      </c>
      <c r="F662" s="7"/>
      <c r="G662" s="7" t="s">
        <v>312</v>
      </c>
      <c r="H662" s="7" t="s">
        <v>313</v>
      </c>
      <c r="I662" s="10"/>
      <c r="J662" s="9" t="s">
        <v>1112</v>
      </c>
      <c r="K662" s="12"/>
      <c r="L662" s="12"/>
      <c r="M662" s="10"/>
      <c r="N662" s="10"/>
      <c r="O662" s="10"/>
      <c r="P662" s="10"/>
      <c r="Q662" s="10"/>
      <c r="R662" s="10"/>
      <c r="S662" s="10"/>
      <c r="T662" s="10"/>
      <c r="U662" s="10"/>
      <c r="V662" s="10"/>
      <c r="W662" s="10"/>
      <c r="X662" s="10"/>
      <c r="Y662" s="10"/>
      <c r="Z662" s="10"/>
      <c r="AA662" s="10"/>
      <c r="AB662" s="10"/>
      <c r="AC662" s="10"/>
      <c r="AD662" s="10"/>
      <c r="AE662" s="10"/>
      <c r="AF662" s="10"/>
    </row>
    <row r="663">
      <c r="A663" s="10"/>
      <c r="B663" s="12"/>
      <c r="C663" s="12"/>
      <c r="D663" s="12"/>
      <c r="E663" s="10"/>
      <c r="F663" s="10"/>
      <c r="G663" s="10"/>
      <c r="H663" s="10"/>
      <c r="I663" s="10"/>
      <c r="J663" s="11"/>
      <c r="K663" s="12"/>
      <c r="L663" s="12"/>
      <c r="M663" s="10"/>
      <c r="N663" s="10"/>
      <c r="O663" s="10"/>
      <c r="P663" s="10"/>
      <c r="Q663" s="10"/>
      <c r="R663" s="10"/>
      <c r="S663" s="10"/>
      <c r="T663" s="10"/>
      <c r="U663" s="10"/>
      <c r="V663" s="10"/>
      <c r="W663" s="10"/>
      <c r="X663" s="10"/>
      <c r="Y663" s="10"/>
      <c r="Z663" s="10"/>
      <c r="AA663" s="10"/>
      <c r="AB663" s="10"/>
      <c r="AC663" s="10"/>
      <c r="AD663" s="10"/>
      <c r="AE663" s="10"/>
      <c r="AF663" s="10"/>
    </row>
    <row r="664">
      <c r="A664" s="7"/>
      <c r="B664" s="8">
        <v>60.0</v>
      </c>
      <c r="C664" s="8">
        <v>1.0</v>
      </c>
      <c r="D664" s="8" t="s">
        <v>1113</v>
      </c>
      <c r="E664" s="7">
        <v>0.0</v>
      </c>
      <c r="F664" s="7"/>
      <c r="G664" s="7" t="s">
        <v>312</v>
      </c>
      <c r="H664" s="7" t="s">
        <v>313</v>
      </c>
      <c r="I664" s="10"/>
      <c r="J664" s="9" t="s">
        <v>1114</v>
      </c>
      <c r="K664" s="12"/>
      <c r="L664" s="12"/>
      <c r="M664" s="10"/>
      <c r="N664" s="10"/>
      <c r="O664" s="10"/>
      <c r="P664" s="10"/>
      <c r="Q664" s="10"/>
      <c r="R664" s="10"/>
      <c r="S664" s="10"/>
      <c r="T664" s="10"/>
      <c r="U664" s="10"/>
      <c r="V664" s="10"/>
      <c r="W664" s="10"/>
      <c r="X664" s="10"/>
      <c r="Y664" s="10"/>
      <c r="Z664" s="10"/>
      <c r="AA664" s="10"/>
      <c r="AB664" s="10"/>
      <c r="AC664" s="10"/>
      <c r="AD664" s="10"/>
      <c r="AE664" s="10"/>
      <c r="AF664" s="10"/>
    </row>
    <row r="665">
      <c r="A665" s="7"/>
      <c r="B665" s="8">
        <v>60.0</v>
      </c>
      <c r="C665" s="8">
        <v>2.0</v>
      </c>
      <c r="D665" s="8" t="s">
        <v>1115</v>
      </c>
      <c r="E665" s="7">
        <v>0.0</v>
      </c>
      <c r="F665" s="7"/>
      <c r="G665" s="7" t="s">
        <v>312</v>
      </c>
      <c r="H665" s="7" t="s">
        <v>313</v>
      </c>
      <c r="I665" s="10"/>
      <c r="J665" s="11"/>
      <c r="K665" s="12"/>
      <c r="L665" s="12"/>
      <c r="M665" s="10"/>
      <c r="N665" s="10"/>
      <c r="O665" s="10"/>
      <c r="P665" s="10"/>
      <c r="Q665" s="10"/>
      <c r="R665" s="10"/>
      <c r="S665" s="10"/>
      <c r="T665" s="10"/>
      <c r="U665" s="10"/>
      <c r="V665" s="10"/>
      <c r="W665" s="10"/>
      <c r="X665" s="10"/>
      <c r="Y665" s="10"/>
      <c r="Z665" s="10"/>
      <c r="AA665" s="10"/>
      <c r="AB665" s="10"/>
      <c r="AC665" s="10"/>
      <c r="AD665" s="10"/>
      <c r="AE665" s="10"/>
      <c r="AF665" s="10"/>
    </row>
    <row r="666">
      <c r="A666" s="7"/>
      <c r="B666" s="8">
        <v>60.0</v>
      </c>
      <c r="C666" s="8">
        <v>3.0</v>
      </c>
      <c r="D666" s="8" t="s">
        <v>1116</v>
      </c>
      <c r="E666" s="7">
        <v>0.0</v>
      </c>
      <c r="F666" s="7"/>
      <c r="G666" s="7" t="s">
        <v>312</v>
      </c>
      <c r="H666" s="7" t="s">
        <v>313</v>
      </c>
      <c r="I666" s="10"/>
      <c r="J666" s="11"/>
      <c r="K666" s="12"/>
      <c r="L666" s="12"/>
      <c r="M666" s="10"/>
      <c r="N666" s="10"/>
      <c r="O666" s="10"/>
      <c r="P666" s="10"/>
      <c r="Q666" s="10"/>
      <c r="R666" s="10"/>
      <c r="S666" s="10"/>
      <c r="T666" s="10"/>
      <c r="U666" s="10"/>
      <c r="V666" s="10"/>
      <c r="W666" s="10"/>
      <c r="X666" s="10"/>
      <c r="Y666" s="10"/>
      <c r="Z666" s="10"/>
      <c r="AA666" s="10"/>
      <c r="AB666" s="10"/>
      <c r="AC666" s="10"/>
      <c r="AD666" s="10"/>
      <c r="AE666" s="10"/>
      <c r="AF666" s="10"/>
    </row>
    <row r="667">
      <c r="A667" s="7"/>
      <c r="B667" s="8">
        <v>60.0</v>
      </c>
      <c r="C667" s="8">
        <v>4.0</v>
      </c>
      <c r="D667" s="8" t="s">
        <v>1117</v>
      </c>
      <c r="E667" s="7">
        <v>1.0</v>
      </c>
      <c r="F667" s="7"/>
      <c r="G667" s="7" t="s">
        <v>312</v>
      </c>
      <c r="H667" s="7" t="s">
        <v>313</v>
      </c>
      <c r="I667" s="10"/>
      <c r="J667" s="11"/>
      <c r="K667" s="12"/>
      <c r="L667" s="12"/>
      <c r="M667" s="10"/>
      <c r="N667" s="10"/>
      <c r="O667" s="10"/>
      <c r="P667" s="10"/>
      <c r="Q667" s="10"/>
      <c r="R667" s="10"/>
      <c r="S667" s="10"/>
      <c r="T667" s="10"/>
      <c r="U667" s="10"/>
      <c r="V667" s="10"/>
      <c r="W667" s="10"/>
      <c r="X667" s="10"/>
      <c r="Y667" s="10"/>
      <c r="Z667" s="10"/>
      <c r="AA667" s="10"/>
      <c r="AB667" s="10"/>
      <c r="AC667" s="10"/>
      <c r="AD667" s="10"/>
      <c r="AE667" s="10"/>
      <c r="AF667" s="10"/>
    </row>
    <row r="668">
      <c r="A668" s="7"/>
      <c r="B668" s="8">
        <v>60.0</v>
      </c>
      <c r="C668" s="8">
        <v>5.0</v>
      </c>
      <c r="D668" s="8" t="s">
        <v>1118</v>
      </c>
      <c r="E668" s="7">
        <v>0.0</v>
      </c>
      <c r="F668" s="7"/>
      <c r="G668" s="7" t="s">
        <v>312</v>
      </c>
      <c r="H668" s="7" t="s">
        <v>313</v>
      </c>
      <c r="I668" s="10"/>
      <c r="J668" s="11"/>
      <c r="K668" s="12"/>
      <c r="L668" s="12"/>
      <c r="M668" s="10"/>
      <c r="N668" s="10"/>
      <c r="O668" s="10"/>
      <c r="P668" s="10"/>
      <c r="Q668" s="10"/>
      <c r="R668" s="10"/>
      <c r="S668" s="10"/>
      <c r="T668" s="10"/>
      <c r="U668" s="10"/>
      <c r="V668" s="10"/>
      <c r="W668" s="10"/>
      <c r="X668" s="10"/>
      <c r="Y668" s="10"/>
      <c r="Z668" s="10"/>
      <c r="AA668" s="10"/>
      <c r="AB668" s="10"/>
      <c r="AC668" s="10"/>
      <c r="AD668" s="10"/>
      <c r="AE668" s="10"/>
      <c r="AF668" s="10"/>
    </row>
    <row r="669">
      <c r="A669" s="7"/>
      <c r="B669" s="8">
        <v>60.0</v>
      </c>
      <c r="C669" s="8">
        <v>6.0</v>
      </c>
      <c r="D669" s="8" t="s">
        <v>1119</v>
      </c>
      <c r="E669" s="7">
        <v>0.0</v>
      </c>
      <c r="F669" s="7"/>
      <c r="G669" s="7" t="s">
        <v>312</v>
      </c>
      <c r="H669" s="7" t="s">
        <v>313</v>
      </c>
      <c r="I669" s="10"/>
      <c r="J669" s="11"/>
      <c r="K669" s="12"/>
      <c r="L669" s="12"/>
      <c r="M669" s="10"/>
      <c r="N669" s="10"/>
      <c r="O669" s="10"/>
      <c r="P669" s="10"/>
      <c r="Q669" s="10"/>
      <c r="R669" s="10"/>
      <c r="S669" s="10"/>
      <c r="T669" s="10"/>
      <c r="U669" s="10"/>
      <c r="V669" s="10"/>
      <c r="W669" s="10"/>
      <c r="X669" s="10"/>
      <c r="Y669" s="10"/>
      <c r="Z669" s="10"/>
      <c r="AA669" s="10"/>
      <c r="AB669" s="10"/>
      <c r="AC669" s="10"/>
      <c r="AD669" s="10"/>
      <c r="AE669" s="10"/>
      <c r="AF669" s="10"/>
    </row>
    <row r="670">
      <c r="A670" s="10"/>
      <c r="B670" s="12"/>
      <c r="C670" s="12"/>
      <c r="D670" s="12"/>
      <c r="E670" s="10"/>
      <c r="F670" s="10"/>
      <c r="G670" s="10"/>
      <c r="H670" s="10"/>
      <c r="I670" s="10"/>
      <c r="J670" s="11"/>
      <c r="K670" s="12"/>
      <c r="L670" s="12"/>
      <c r="M670" s="10"/>
      <c r="N670" s="10"/>
      <c r="O670" s="10"/>
      <c r="P670" s="10"/>
      <c r="Q670" s="10"/>
      <c r="R670" s="10"/>
      <c r="S670" s="10"/>
      <c r="T670" s="10"/>
      <c r="U670" s="10"/>
      <c r="V670" s="10"/>
      <c r="W670" s="10"/>
      <c r="X670" s="10"/>
      <c r="Y670" s="10"/>
      <c r="Z670" s="10"/>
      <c r="AA670" s="10"/>
      <c r="AB670" s="10"/>
      <c r="AC670" s="10"/>
      <c r="AD670" s="10"/>
      <c r="AE670" s="10"/>
      <c r="AF670" s="10"/>
    </row>
    <row r="671">
      <c r="A671" s="7"/>
      <c r="B671" s="8">
        <v>61.0</v>
      </c>
      <c r="C671" s="8">
        <v>1.0</v>
      </c>
      <c r="D671" s="8" t="s">
        <v>1120</v>
      </c>
      <c r="E671" s="7">
        <v>1.0</v>
      </c>
      <c r="F671" s="7"/>
      <c r="G671" s="7" t="s">
        <v>312</v>
      </c>
      <c r="H671" s="7" t="s">
        <v>313</v>
      </c>
      <c r="I671" s="10"/>
      <c r="J671" s="9" t="s">
        <v>1121</v>
      </c>
      <c r="K671" s="12"/>
      <c r="L671" s="12"/>
      <c r="M671" s="10"/>
      <c r="N671" s="10"/>
      <c r="O671" s="10"/>
      <c r="P671" s="10"/>
      <c r="Q671" s="10"/>
      <c r="R671" s="10"/>
      <c r="S671" s="10"/>
      <c r="T671" s="10"/>
      <c r="U671" s="10"/>
      <c r="V671" s="10"/>
      <c r="W671" s="10"/>
      <c r="X671" s="10"/>
      <c r="Y671" s="10"/>
      <c r="Z671" s="10"/>
      <c r="AA671" s="10"/>
      <c r="AB671" s="10"/>
      <c r="AC671" s="10"/>
      <c r="AD671" s="10"/>
      <c r="AE671" s="10"/>
      <c r="AF671" s="10"/>
    </row>
    <row r="672">
      <c r="A672" s="7"/>
      <c r="B672" s="8">
        <v>61.0</v>
      </c>
      <c r="C672" s="8">
        <v>2.0</v>
      </c>
      <c r="D672" s="8" t="s">
        <v>1122</v>
      </c>
      <c r="E672" s="7">
        <v>0.0</v>
      </c>
      <c r="F672" s="7"/>
      <c r="G672" s="7" t="s">
        <v>312</v>
      </c>
      <c r="H672" s="7" t="s">
        <v>313</v>
      </c>
      <c r="I672" s="10"/>
      <c r="J672" s="11"/>
      <c r="K672" s="12"/>
      <c r="L672" s="12"/>
      <c r="M672" s="10"/>
      <c r="N672" s="10"/>
      <c r="O672" s="10"/>
      <c r="P672" s="10"/>
      <c r="Q672" s="10"/>
      <c r="R672" s="10"/>
      <c r="S672" s="10"/>
      <c r="T672" s="10"/>
      <c r="U672" s="10"/>
      <c r="V672" s="10"/>
      <c r="W672" s="10"/>
      <c r="X672" s="10"/>
      <c r="Y672" s="10"/>
      <c r="Z672" s="10"/>
      <c r="AA672" s="10"/>
      <c r="AB672" s="10"/>
      <c r="AC672" s="10"/>
      <c r="AD672" s="10"/>
      <c r="AE672" s="10"/>
      <c r="AF672" s="10"/>
    </row>
    <row r="673">
      <c r="A673" s="7"/>
      <c r="B673" s="8">
        <v>61.0</v>
      </c>
      <c r="C673" s="8">
        <v>3.0</v>
      </c>
      <c r="D673" s="8" t="s">
        <v>1123</v>
      </c>
      <c r="E673" s="7">
        <v>0.0</v>
      </c>
      <c r="F673" s="7"/>
      <c r="G673" s="7" t="s">
        <v>312</v>
      </c>
      <c r="H673" s="7" t="s">
        <v>313</v>
      </c>
      <c r="I673" s="10"/>
      <c r="J673" s="11"/>
      <c r="K673" s="8" t="s">
        <v>1124</v>
      </c>
      <c r="L673" s="12"/>
      <c r="M673" s="10"/>
      <c r="N673" s="10"/>
      <c r="O673" s="10"/>
      <c r="P673" s="10"/>
      <c r="Q673" s="10"/>
      <c r="R673" s="10"/>
      <c r="S673" s="10"/>
      <c r="T673" s="10"/>
      <c r="U673" s="10"/>
      <c r="V673" s="10"/>
      <c r="W673" s="10"/>
      <c r="X673" s="10"/>
      <c r="Y673" s="10"/>
      <c r="Z673" s="10"/>
      <c r="AA673" s="10"/>
      <c r="AB673" s="10"/>
      <c r="AC673" s="10"/>
      <c r="AD673" s="10"/>
      <c r="AE673" s="10"/>
      <c r="AF673" s="10"/>
    </row>
    <row r="674">
      <c r="A674" s="10"/>
      <c r="B674" s="12"/>
      <c r="C674" s="12"/>
      <c r="D674" s="12"/>
      <c r="E674" s="10"/>
      <c r="F674" s="10"/>
      <c r="G674" s="10"/>
      <c r="H674" s="10"/>
      <c r="I674" s="10"/>
      <c r="J674" s="11"/>
      <c r="K674" s="12"/>
      <c r="L674" s="12"/>
      <c r="M674" s="10"/>
      <c r="N674" s="10"/>
      <c r="O674" s="10"/>
      <c r="P674" s="10"/>
      <c r="Q674" s="10"/>
      <c r="R674" s="10"/>
      <c r="S674" s="10"/>
      <c r="T674" s="10"/>
      <c r="U674" s="10"/>
      <c r="V674" s="10"/>
      <c r="W674" s="10"/>
      <c r="X674" s="10"/>
      <c r="Y674" s="10"/>
      <c r="Z674" s="10"/>
      <c r="AA674" s="10"/>
      <c r="AB674" s="10"/>
      <c r="AC674" s="10"/>
      <c r="AD674" s="10"/>
      <c r="AE674" s="10"/>
      <c r="AF674" s="10"/>
    </row>
    <row r="675">
      <c r="A675" s="7"/>
      <c r="B675" s="8">
        <v>62.0</v>
      </c>
      <c r="C675" s="8">
        <v>1.0</v>
      </c>
      <c r="D675" s="8" t="s">
        <v>1125</v>
      </c>
      <c r="E675" s="7">
        <v>0.0</v>
      </c>
      <c r="F675" s="7"/>
      <c r="G675" s="7" t="s">
        <v>312</v>
      </c>
      <c r="H675" s="7" t="s">
        <v>313</v>
      </c>
      <c r="I675" s="10"/>
      <c r="J675" s="9" t="s">
        <v>1126</v>
      </c>
      <c r="K675" s="12"/>
      <c r="L675" s="12"/>
      <c r="M675" s="10"/>
      <c r="N675" s="10"/>
      <c r="O675" s="10"/>
      <c r="P675" s="10"/>
      <c r="Q675" s="10"/>
      <c r="R675" s="10"/>
      <c r="S675" s="10"/>
      <c r="T675" s="10"/>
      <c r="U675" s="10"/>
      <c r="V675" s="10"/>
      <c r="W675" s="10"/>
      <c r="X675" s="10"/>
      <c r="Y675" s="10"/>
      <c r="Z675" s="10"/>
      <c r="AA675" s="10"/>
      <c r="AB675" s="10"/>
      <c r="AC675" s="10"/>
      <c r="AD675" s="10"/>
      <c r="AE675" s="10"/>
      <c r="AF675" s="10"/>
    </row>
    <row r="676">
      <c r="A676" s="7"/>
      <c r="B676" s="8">
        <v>62.0</v>
      </c>
      <c r="C676" s="8">
        <v>2.0</v>
      </c>
      <c r="D676" s="8" t="s">
        <v>1127</v>
      </c>
      <c r="E676" s="7">
        <v>1.0</v>
      </c>
      <c r="F676" s="7"/>
      <c r="G676" s="7" t="s">
        <v>312</v>
      </c>
      <c r="H676" s="7" t="s">
        <v>313</v>
      </c>
      <c r="I676" s="10"/>
      <c r="J676" s="11"/>
      <c r="K676" s="12"/>
      <c r="L676" s="12"/>
      <c r="M676" s="10"/>
      <c r="N676" s="10"/>
      <c r="O676" s="10"/>
      <c r="P676" s="10"/>
      <c r="Q676" s="10"/>
      <c r="R676" s="10"/>
      <c r="S676" s="10"/>
      <c r="T676" s="10"/>
      <c r="U676" s="10"/>
      <c r="V676" s="10"/>
      <c r="W676" s="10"/>
      <c r="X676" s="10"/>
      <c r="Y676" s="10"/>
      <c r="Z676" s="10"/>
      <c r="AA676" s="10"/>
      <c r="AB676" s="10"/>
      <c r="AC676" s="10"/>
      <c r="AD676" s="10"/>
      <c r="AE676" s="10"/>
      <c r="AF676" s="10"/>
    </row>
    <row r="677">
      <c r="A677" s="7"/>
      <c r="B677" s="8">
        <v>62.0</v>
      </c>
      <c r="C677" s="8">
        <v>3.0</v>
      </c>
      <c r="D677" s="8" t="s">
        <v>1128</v>
      </c>
      <c r="E677" s="7">
        <v>0.0</v>
      </c>
      <c r="F677" s="7"/>
      <c r="G677" s="7" t="s">
        <v>312</v>
      </c>
      <c r="H677" s="7" t="s">
        <v>313</v>
      </c>
      <c r="I677" s="10"/>
      <c r="J677" s="11"/>
      <c r="K677" s="12"/>
      <c r="L677" s="12"/>
      <c r="M677" s="10"/>
      <c r="N677" s="10"/>
      <c r="O677" s="10"/>
      <c r="P677" s="10"/>
      <c r="Q677" s="10"/>
      <c r="R677" s="10"/>
      <c r="S677" s="10"/>
      <c r="T677" s="10"/>
      <c r="U677" s="10"/>
      <c r="V677" s="10"/>
      <c r="W677" s="10"/>
      <c r="X677" s="10"/>
      <c r="Y677" s="10"/>
      <c r="Z677" s="10"/>
      <c r="AA677" s="10"/>
      <c r="AB677" s="10"/>
      <c r="AC677" s="10"/>
      <c r="AD677" s="10"/>
      <c r="AE677" s="10"/>
      <c r="AF677" s="10"/>
    </row>
    <row r="678">
      <c r="A678" s="10"/>
      <c r="B678" s="12"/>
      <c r="C678" s="12"/>
      <c r="D678" s="12"/>
      <c r="E678" s="10"/>
      <c r="F678" s="10"/>
      <c r="G678" s="10"/>
      <c r="H678" s="10"/>
      <c r="I678" s="10"/>
      <c r="J678" s="11"/>
      <c r="K678" s="12"/>
      <c r="L678" s="12"/>
      <c r="M678" s="10"/>
      <c r="N678" s="10"/>
      <c r="O678" s="10"/>
      <c r="P678" s="10"/>
      <c r="Q678" s="10"/>
      <c r="R678" s="10"/>
      <c r="S678" s="10"/>
      <c r="T678" s="10"/>
      <c r="U678" s="10"/>
      <c r="V678" s="10"/>
      <c r="W678" s="10"/>
      <c r="X678" s="10"/>
      <c r="Y678" s="10"/>
      <c r="Z678" s="10"/>
      <c r="AA678" s="10"/>
      <c r="AB678" s="10"/>
      <c r="AC678" s="10"/>
      <c r="AD678" s="10"/>
      <c r="AE678" s="10"/>
      <c r="AF678" s="10"/>
    </row>
    <row r="679">
      <c r="A679" s="7"/>
      <c r="B679" s="8">
        <v>63.0</v>
      </c>
      <c r="C679" s="8">
        <v>1.0</v>
      </c>
      <c r="D679" s="8" t="s">
        <v>1129</v>
      </c>
      <c r="E679" s="7">
        <v>0.0</v>
      </c>
      <c r="F679" s="7"/>
      <c r="G679" s="7" t="s">
        <v>312</v>
      </c>
      <c r="H679" s="7" t="s">
        <v>313</v>
      </c>
      <c r="I679" s="10"/>
      <c r="J679" s="9" t="s">
        <v>1130</v>
      </c>
      <c r="K679" s="8" t="s">
        <v>1131</v>
      </c>
      <c r="L679" s="12"/>
      <c r="M679" s="10"/>
      <c r="N679" s="10"/>
      <c r="O679" s="10"/>
      <c r="P679" s="10"/>
      <c r="Q679" s="10"/>
      <c r="R679" s="10"/>
      <c r="S679" s="10"/>
      <c r="T679" s="10"/>
      <c r="U679" s="10"/>
      <c r="V679" s="10"/>
      <c r="W679" s="10"/>
      <c r="X679" s="10"/>
      <c r="Y679" s="10"/>
      <c r="Z679" s="10"/>
      <c r="AA679" s="10"/>
      <c r="AB679" s="10"/>
      <c r="AC679" s="10"/>
      <c r="AD679" s="10"/>
      <c r="AE679" s="10"/>
      <c r="AF679" s="10"/>
    </row>
    <row r="680">
      <c r="A680" s="7"/>
      <c r="B680" s="8">
        <v>63.0</v>
      </c>
      <c r="C680" s="8">
        <v>2.0</v>
      </c>
      <c r="D680" s="8" t="s">
        <v>1132</v>
      </c>
      <c r="E680" s="7">
        <v>0.0</v>
      </c>
      <c r="F680" s="7"/>
      <c r="G680" s="7" t="s">
        <v>312</v>
      </c>
      <c r="H680" s="7" t="s">
        <v>313</v>
      </c>
      <c r="I680" s="10"/>
      <c r="J680" s="11"/>
      <c r="K680" s="8" t="s">
        <v>1133</v>
      </c>
      <c r="L680" s="12"/>
      <c r="M680" s="10"/>
      <c r="N680" s="10"/>
      <c r="O680" s="10"/>
      <c r="P680" s="10"/>
      <c r="Q680" s="10"/>
      <c r="R680" s="10"/>
      <c r="S680" s="10"/>
      <c r="T680" s="10"/>
      <c r="U680" s="10"/>
      <c r="V680" s="10"/>
      <c r="W680" s="10"/>
      <c r="X680" s="10"/>
      <c r="Y680" s="10"/>
      <c r="Z680" s="10"/>
      <c r="AA680" s="10"/>
      <c r="AB680" s="10"/>
      <c r="AC680" s="10"/>
      <c r="AD680" s="10"/>
      <c r="AE680" s="10"/>
      <c r="AF680" s="10"/>
    </row>
    <row r="681">
      <c r="A681" s="7"/>
      <c r="B681" s="8">
        <v>63.0</v>
      </c>
      <c r="C681" s="8">
        <v>3.0</v>
      </c>
      <c r="D681" s="8" t="s">
        <v>1134</v>
      </c>
      <c r="E681" s="7">
        <v>1.0</v>
      </c>
      <c r="F681" s="7"/>
      <c r="G681" s="2" t="s">
        <v>312</v>
      </c>
      <c r="H681" s="7" t="s">
        <v>313</v>
      </c>
      <c r="I681" s="10"/>
      <c r="J681" s="11"/>
      <c r="K681" s="12"/>
      <c r="L681" s="12"/>
      <c r="M681" s="10"/>
      <c r="N681" s="10"/>
      <c r="O681" s="10"/>
      <c r="P681" s="10"/>
      <c r="Q681" s="10"/>
      <c r="R681" s="10"/>
      <c r="S681" s="10"/>
      <c r="T681" s="10"/>
      <c r="U681" s="10"/>
      <c r="V681" s="10"/>
      <c r="W681" s="10"/>
      <c r="X681" s="10"/>
      <c r="Y681" s="10"/>
      <c r="Z681" s="10"/>
      <c r="AA681" s="10"/>
      <c r="AB681" s="10"/>
      <c r="AC681" s="10"/>
      <c r="AD681" s="10"/>
      <c r="AE681" s="10"/>
      <c r="AF681" s="10"/>
    </row>
    <row r="682">
      <c r="A682" s="10"/>
      <c r="B682" s="12"/>
      <c r="C682" s="12"/>
      <c r="D682" s="12"/>
      <c r="E682" s="10"/>
      <c r="F682" s="10"/>
      <c r="G682" s="10"/>
      <c r="H682" s="10"/>
      <c r="I682" s="10"/>
      <c r="J682" s="11"/>
      <c r="K682" s="12"/>
      <c r="L682" s="12"/>
      <c r="M682" s="10"/>
      <c r="N682" s="10"/>
      <c r="O682" s="10"/>
      <c r="P682" s="10"/>
      <c r="Q682" s="10"/>
      <c r="R682" s="10"/>
      <c r="S682" s="10"/>
      <c r="T682" s="10"/>
      <c r="U682" s="10"/>
      <c r="V682" s="10"/>
      <c r="W682" s="10"/>
      <c r="X682" s="10"/>
      <c r="Y682" s="10"/>
      <c r="Z682" s="10"/>
      <c r="AA682" s="10"/>
      <c r="AB682" s="10"/>
      <c r="AC682" s="10"/>
      <c r="AD682" s="10"/>
      <c r="AE682" s="10"/>
      <c r="AF682" s="10"/>
    </row>
    <row r="683">
      <c r="A683" s="7"/>
      <c r="B683" s="8">
        <v>64.0</v>
      </c>
      <c r="C683" s="8">
        <v>1.0</v>
      </c>
      <c r="D683" s="8" t="s">
        <v>1135</v>
      </c>
      <c r="E683" s="7">
        <v>0.0</v>
      </c>
      <c r="F683" s="7"/>
      <c r="G683" s="7" t="s">
        <v>312</v>
      </c>
      <c r="H683" s="7" t="s">
        <v>313</v>
      </c>
      <c r="I683" s="10"/>
      <c r="J683" s="9" t="s">
        <v>1136</v>
      </c>
      <c r="K683" s="8" t="s">
        <v>1137</v>
      </c>
      <c r="L683" s="12"/>
      <c r="M683" s="10"/>
      <c r="N683" s="10"/>
      <c r="O683" s="10"/>
      <c r="P683" s="10"/>
      <c r="Q683" s="10"/>
      <c r="R683" s="10"/>
      <c r="S683" s="10"/>
      <c r="T683" s="10"/>
      <c r="U683" s="10"/>
      <c r="V683" s="10"/>
      <c r="W683" s="10"/>
      <c r="X683" s="10"/>
      <c r="Y683" s="10"/>
      <c r="Z683" s="10"/>
      <c r="AA683" s="10"/>
      <c r="AB683" s="10"/>
      <c r="AC683" s="10"/>
      <c r="AD683" s="10"/>
      <c r="AE683" s="10"/>
      <c r="AF683" s="10"/>
    </row>
    <row r="684">
      <c r="A684" s="7"/>
      <c r="B684" s="8">
        <v>64.0</v>
      </c>
      <c r="C684" s="8">
        <v>2.0</v>
      </c>
      <c r="D684" s="8" t="s">
        <v>1138</v>
      </c>
      <c r="E684" s="7">
        <v>0.0</v>
      </c>
      <c r="F684" s="7"/>
      <c r="G684" s="7" t="s">
        <v>312</v>
      </c>
      <c r="H684" s="7" t="s">
        <v>313</v>
      </c>
      <c r="I684" s="10"/>
      <c r="J684" s="11"/>
      <c r="K684" s="8" t="s">
        <v>1139</v>
      </c>
      <c r="L684" s="12"/>
      <c r="M684" s="10"/>
      <c r="N684" s="10"/>
      <c r="O684" s="10"/>
      <c r="P684" s="10"/>
      <c r="Q684" s="10"/>
      <c r="R684" s="10"/>
      <c r="S684" s="10"/>
      <c r="T684" s="10"/>
      <c r="U684" s="10"/>
      <c r="V684" s="10"/>
      <c r="W684" s="10"/>
      <c r="X684" s="10"/>
      <c r="Y684" s="10"/>
      <c r="Z684" s="10"/>
      <c r="AA684" s="10"/>
      <c r="AB684" s="10"/>
      <c r="AC684" s="10"/>
      <c r="AD684" s="10"/>
      <c r="AE684" s="10"/>
      <c r="AF684" s="10"/>
    </row>
    <row r="685">
      <c r="A685" s="7"/>
      <c r="B685" s="8">
        <v>64.0</v>
      </c>
      <c r="C685" s="8">
        <v>3.0</v>
      </c>
      <c r="D685" s="8" t="s">
        <v>1140</v>
      </c>
      <c r="E685" s="7">
        <v>0.0</v>
      </c>
      <c r="F685" s="7"/>
      <c r="G685" s="7" t="s">
        <v>312</v>
      </c>
      <c r="H685" s="7" t="s">
        <v>313</v>
      </c>
      <c r="I685" s="10"/>
      <c r="J685" s="11"/>
      <c r="K685" s="8" t="s">
        <v>1141</v>
      </c>
      <c r="L685" s="12"/>
      <c r="M685" s="10"/>
      <c r="N685" s="10"/>
      <c r="O685" s="10"/>
      <c r="P685" s="10"/>
      <c r="Q685" s="10"/>
      <c r="R685" s="10"/>
      <c r="S685" s="10"/>
      <c r="T685" s="10"/>
      <c r="U685" s="10"/>
      <c r="V685" s="10"/>
      <c r="W685" s="10"/>
      <c r="X685" s="10"/>
      <c r="Y685" s="10"/>
      <c r="Z685" s="10"/>
      <c r="AA685" s="10"/>
      <c r="AB685" s="10"/>
      <c r="AC685" s="10"/>
      <c r="AD685" s="10"/>
      <c r="AE685" s="10"/>
      <c r="AF685" s="10"/>
    </row>
    <row r="686">
      <c r="A686" s="7"/>
      <c r="B686" s="8">
        <v>64.0</v>
      </c>
      <c r="C686" s="8">
        <v>4.0</v>
      </c>
      <c r="D686" s="8" t="s">
        <v>1142</v>
      </c>
      <c r="E686" s="7">
        <v>0.0</v>
      </c>
      <c r="F686" s="7"/>
      <c r="G686" s="7" t="s">
        <v>312</v>
      </c>
      <c r="H686" s="7" t="s">
        <v>313</v>
      </c>
      <c r="I686" s="10"/>
      <c r="J686" s="11"/>
      <c r="K686" s="12"/>
      <c r="L686" s="12"/>
      <c r="M686" s="10"/>
      <c r="N686" s="10"/>
      <c r="O686" s="10"/>
      <c r="P686" s="10"/>
      <c r="Q686" s="10"/>
      <c r="R686" s="10"/>
      <c r="S686" s="10"/>
      <c r="T686" s="10"/>
      <c r="U686" s="10"/>
      <c r="V686" s="10"/>
      <c r="W686" s="10"/>
      <c r="X686" s="10"/>
      <c r="Y686" s="10"/>
      <c r="Z686" s="10"/>
      <c r="AA686" s="10"/>
      <c r="AB686" s="10"/>
      <c r="AC686" s="10"/>
      <c r="AD686" s="10"/>
      <c r="AE686" s="10"/>
      <c r="AF686" s="10"/>
    </row>
    <row r="687">
      <c r="A687" s="7"/>
      <c r="B687" s="8">
        <v>64.0</v>
      </c>
      <c r="C687" s="8">
        <v>5.0</v>
      </c>
      <c r="D687" s="8" t="s">
        <v>1143</v>
      </c>
      <c r="E687" s="7">
        <v>0.0</v>
      </c>
      <c r="F687" s="7"/>
      <c r="G687" s="7" t="s">
        <v>312</v>
      </c>
      <c r="H687" s="7" t="s">
        <v>313</v>
      </c>
      <c r="I687" s="10"/>
      <c r="J687" s="11"/>
      <c r="K687" s="12"/>
      <c r="L687" s="12"/>
      <c r="M687" s="10"/>
      <c r="N687" s="10"/>
      <c r="O687" s="10"/>
      <c r="P687" s="10"/>
      <c r="Q687" s="10"/>
      <c r="R687" s="10"/>
      <c r="S687" s="10"/>
      <c r="T687" s="10"/>
      <c r="U687" s="10"/>
      <c r="V687" s="10"/>
      <c r="W687" s="10"/>
      <c r="X687" s="10"/>
      <c r="Y687" s="10"/>
      <c r="Z687" s="10"/>
      <c r="AA687" s="10"/>
      <c r="AB687" s="10"/>
      <c r="AC687" s="10"/>
      <c r="AD687" s="10"/>
      <c r="AE687" s="10"/>
      <c r="AF687" s="10"/>
    </row>
    <row r="688">
      <c r="A688" s="7"/>
      <c r="B688" s="8">
        <v>64.0</v>
      </c>
      <c r="C688" s="8">
        <v>6.0</v>
      </c>
      <c r="D688" s="8" t="s">
        <v>1144</v>
      </c>
      <c r="E688" s="7">
        <v>0.0</v>
      </c>
      <c r="F688" s="7"/>
      <c r="G688" s="7" t="s">
        <v>312</v>
      </c>
      <c r="H688" s="7" t="s">
        <v>313</v>
      </c>
      <c r="I688" s="10"/>
      <c r="J688" s="11"/>
      <c r="K688" s="12"/>
      <c r="L688" s="12"/>
      <c r="M688" s="10"/>
      <c r="N688" s="10"/>
      <c r="O688" s="10"/>
      <c r="P688" s="10"/>
      <c r="Q688" s="10"/>
      <c r="R688" s="10"/>
      <c r="S688" s="10"/>
      <c r="T688" s="10"/>
      <c r="U688" s="10"/>
      <c r="V688" s="10"/>
      <c r="W688" s="10"/>
      <c r="X688" s="10"/>
      <c r="Y688" s="10"/>
      <c r="Z688" s="10"/>
      <c r="AA688" s="10"/>
      <c r="AB688" s="10"/>
      <c r="AC688" s="10"/>
      <c r="AD688" s="10"/>
      <c r="AE688" s="10"/>
      <c r="AF688" s="10"/>
    </row>
    <row r="689">
      <c r="A689" s="10"/>
      <c r="B689" s="21" t="s">
        <v>65</v>
      </c>
      <c r="C689" s="12"/>
      <c r="D689" s="12"/>
      <c r="E689" s="10"/>
      <c r="F689" s="10"/>
      <c r="G689" s="10"/>
      <c r="H689" s="10"/>
      <c r="I689" s="10"/>
      <c r="J689" s="11"/>
      <c r="K689" s="12"/>
      <c r="L689" s="12"/>
      <c r="M689" s="10"/>
      <c r="N689" s="10"/>
      <c r="O689" s="10"/>
      <c r="P689" s="10"/>
      <c r="Q689" s="10"/>
      <c r="R689" s="10"/>
      <c r="S689" s="10"/>
      <c r="T689" s="10"/>
      <c r="U689" s="10"/>
      <c r="V689" s="10"/>
      <c r="W689" s="10"/>
      <c r="X689" s="10"/>
      <c r="Y689" s="10"/>
      <c r="Z689" s="10"/>
      <c r="AA689" s="10"/>
      <c r="AB689" s="10"/>
      <c r="AC689" s="10"/>
      <c r="AD689" s="10"/>
      <c r="AE689" s="10"/>
      <c r="AF689" s="10"/>
    </row>
    <row r="690">
      <c r="A690" s="7"/>
      <c r="B690" s="8">
        <v>65.0</v>
      </c>
      <c r="C690" s="8">
        <v>1.0</v>
      </c>
      <c r="D690" s="8" t="s">
        <v>1145</v>
      </c>
      <c r="E690" s="7">
        <v>0.0</v>
      </c>
      <c r="F690" s="7"/>
      <c r="G690" s="7" t="s">
        <v>312</v>
      </c>
      <c r="H690" s="7" t="s">
        <v>313</v>
      </c>
      <c r="I690" s="10"/>
      <c r="J690" s="11"/>
      <c r="K690" s="8" t="s">
        <v>1137</v>
      </c>
      <c r="L690" s="12"/>
      <c r="M690" s="10"/>
      <c r="N690" s="10"/>
      <c r="O690" s="10"/>
      <c r="P690" s="10"/>
      <c r="Q690" s="10"/>
      <c r="R690" s="10"/>
      <c r="S690" s="10"/>
      <c r="T690" s="10"/>
      <c r="U690" s="10"/>
      <c r="V690" s="10"/>
      <c r="W690" s="10"/>
      <c r="X690" s="10"/>
      <c r="Y690" s="10"/>
      <c r="Z690" s="10"/>
      <c r="AA690" s="10"/>
      <c r="AB690" s="10"/>
      <c r="AC690" s="10"/>
      <c r="AD690" s="10"/>
      <c r="AE690" s="10"/>
      <c r="AF690" s="10"/>
    </row>
    <row r="691">
      <c r="A691" s="7"/>
      <c r="B691" s="8">
        <v>65.0</v>
      </c>
      <c r="C691" s="8">
        <v>2.0</v>
      </c>
      <c r="D691" s="8" t="s">
        <v>1146</v>
      </c>
      <c r="E691" s="7">
        <v>0.0</v>
      </c>
      <c r="F691" s="7"/>
      <c r="G691" s="7" t="s">
        <v>312</v>
      </c>
      <c r="H691" s="7" t="s">
        <v>313</v>
      </c>
      <c r="I691" s="10"/>
      <c r="J691" s="9"/>
      <c r="K691" s="12"/>
      <c r="L691" s="12"/>
      <c r="M691" s="10"/>
      <c r="N691" s="10"/>
      <c r="O691" s="10"/>
      <c r="P691" s="10"/>
      <c r="Q691" s="10"/>
      <c r="R691" s="10"/>
      <c r="S691" s="10"/>
      <c r="T691" s="10"/>
      <c r="U691" s="10"/>
      <c r="V691" s="10"/>
      <c r="W691" s="10"/>
      <c r="X691" s="10"/>
      <c r="Y691" s="10"/>
      <c r="Z691" s="10"/>
      <c r="AA691" s="10"/>
      <c r="AB691" s="10"/>
      <c r="AC691" s="10"/>
      <c r="AD691" s="10"/>
      <c r="AE691" s="10"/>
      <c r="AF691" s="10"/>
    </row>
    <row r="692">
      <c r="A692" s="7"/>
      <c r="B692" s="8">
        <v>65.0</v>
      </c>
      <c r="C692" s="8">
        <v>3.0</v>
      </c>
      <c r="D692" s="8" t="s">
        <v>1147</v>
      </c>
      <c r="E692" s="7">
        <v>0.0</v>
      </c>
      <c r="F692" s="7"/>
      <c r="G692" s="7" t="s">
        <v>312</v>
      </c>
      <c r="H692" s="7" t="s">
        <v>313</v>
      </c>
      <c r="I692" s="10"/>
      <c r="J692" s="9"/>
      <c r="K692" s="12"/>
      <c r="L692" s="12"/>
      <c r="M692" s="10"/>
      <c r="N692" s="10"/>
      <c r="O692" s="10"/>
      <c r="P692" s="10"/>
      <c r="Q692" s="10"/>
      <c r="R692" s="10"/>
      <c r="S692" s="10"/>
      <c r="T692" s="10"/>
      <c r="U692" s="10"/>
      <c r="V692" s="10"/>
      <c r="W692" s="10"/>
      <c r="X692" s="10"/>
      <c r="Y692" s="10"/>
      <c r="Z692" s="10"/>
      <c r="AA692" s="10"/>
      <c r="AB692" s="10"/>
      <c r="AC692" s="10"/>
      <c r="AD692" s="10"/>
      <c r="AE692" s="10"/>
      <c r="AF692" s="10"/>
    </row>
    <row r="693">
      <c r="A693" s="7"/>
      <c r="B693" s="8">
        <v>65.0</v>
      </c>
      <c r="C693" s="8">
        <v>4.0</v>
      </c>
      <c r="D693" s="8" t="s">
        <v>1148</v>
      </c>
      <c r="E693" s="7">
        <v>0.0</v>
      </c>
      <c r="F693" s="7"/>
      <c r="G693" s="7" t="s">
        <v>312</v>
      </c>
      <c r="H693" s="7" t="s">
        <v>313</v>
      </c>
      <c r="I693" s="10"/>
      <c r="J693" s="11"/>
      <c r="K693" s="12"/>
      <c r="L693" s="12"/>
      <c r="M693" s="10"/>
      <c r="N693" s="10"/>
      <c r="O693" s="10"/>
      <c r="P693" s="10"/>
      <c r="Q693" s="10"/>
      <c r="R693" s="10"/>
      <c r="S693" s="10"/>
      <c r="T693" s="10"/>
      <c r="U693" s="10"/>
      <c r="V693" s="10"/>
      <c r="W693" s="10"/>
      <c r="X693" s="10"/>
      <c r="Y693" s="10"/>
      <c r="Z693" s="10"/>
      <c r="AA693" s="10"/>
      <c r="AB693" s="10"/>
      <c r="AC693" s="10"/>
      <c r="AD693" s="10"/>
      <c r="AE693" s="10"/>
      <c r="AF693" s="10"/>
    </row>
    <row r="694">
      <c r="A694" s="7"/>
      <c r="B694" s="8">
        <v>65.0</v>
      </c>
      <c r="C694" s="8">
        <v>5.0</v>
      </c>
      <c r="D694" s="8" t="s">
        <v>1149</v>
      </c>
      <c r="E694" s="7">
        <v>0.0</v>
      </c>
      <c r="F694" s="7"/>
      <c r="G694" s="7" t="s">
        <v>312</v>
      </c>
      <c r="H694" s="7" t="s">
        <v>313</v>
      </c>
      <c r="I694" s="10"/>
      <c r="J694" s="11"/>
      <c r="K694" s="12"/>
      <c r="L694" s="12"/>
      <c r="M694" s="10"/>
      <c r="N694" s="10"/>
      <c r="O694" s="10"/>
      <c r="P694" s="10"/>
      <c r="Q694" s="10"/>
      <c r="R694" s="10"/>
      <c r="S694" s="10"/>
      <c r="T694" s="10"/>
      <c r="U694" s="10"/>
      <c r="V694" s="10"/>
      <c r="W694" s="10"/>
      <c r="X694" s="10"/>
      <c r="Y694" s="10"/>
      <c r="Z694" s="10"/>
      <c r="AA694" s="10"/>
      <c r="AB694" s="10"/>
      <c r="AC694" s="10"/>
      <c r="AD694" s="10"/>
      <c r="AE694" s="10"/>
      <c r="AF694" s="10"/>
    </row>
    <row r="695">
      <c r="A695" s="7"/>
      <c r="B695" s="8">
        <v>65.0</v>
      </c>
      <c r="C695" s="8">
        <v>6.0</v>
      </c>
      <c r="D695" s="8" t="s">
        <v>1150</v>
      </c>
      <c r="E695" s="7">
        <v>0.0</v>
      </c>
      <c r="F695" s="7"/>
      <c r="G695" s="7" t="s">
        <v>312</v>
      </c>
      <c r="H695" s="7" t="s">
        <v>313</v>
      </c>
      <c r="I695" s="10"/>
      <c r="J695" s="11"/>
      <c r="K695" s="12"/>
      <c r="L695" s="12"/>
      <c r="M695" s="10"/>
      <c r="N695" s="10"/>
      <c r="O695" s="10"/>
      <c r="P695" s="10"/>
      <c r="Q695" s="10"/>
      <c r="R695" s="10"/>
      <c r="S695" s="10"/>
      <c r="T695" s="10"/>
      <c r="U695" s="10"/>
      <c r="V695" s="10"/>
      <c r="W695" s="10"/>
      <c r="X695" s="10"/>
      <c r="Y695" s="10"/>
      <c r="Z695" s="10"/>
      <c r="AA695" s="10"/>
      <c r="AB695" s="10"/>
      <c r="AC695" s="10"/>
      <c r="AD695" s="10"/>
      <c r="AE695" s="10"/>
      <c r="AF695" s="10"/>
    </row>
    <row r="696">
      <c r="A696" s="7"/>
      <c r="B696" s="8">
        <v>65.0</v>
      </c>
      <c r="C696" s="8">
        <v>7.0</v>
      </c>
      <c r="D696" s="8" t="s">
        <v>1151</v>
      </c>
      <c r="E696" s="7">
        <v>0.0</v>
      </c>
      <c r="F696" s="7"/>
      <c r="G696" s="7" t="s">
        <v>312</v>
      </c>
      <c r="H696" s="7" t="s">
        <v>313</v>
      </c>
      <c r="I696" s="10"/>
      <c r="J696" s="11"/>
      <c r="K696" s="12"/>
      <c r="L696" s="12"/>
      <c r="M696" s="10"/>
      <c r="N696" s="10"/>
      <c r="O696" s="10"/>
      <c r="P696" s="10"/>
      <c r="Q696" s="10"/>
      <c r="R696" s="10"/>
      <c r="S696" s="10"/>
      <c r="T696" s="10"/>
      <c r="U696" s="10"/>
      <c r="V696" s="10"/>
      <c r="W696" s="10"/>
      <c r="X696" s="10"/>
      <c r="Y696" s="10"/>
      <c r="Z696" s="10"/>
      <c r="AA696" s="10"/>
      <c r="AB696" s="10"/>
      <c r="AC696" s="10"/>
      <c r="AD696" s="10"/>
      <c r="AE696" s="10"/>
      <c r="AF696" s="10"/>
    </row>
    <row r="697">
      <c r="A697" s="7"/>
      <c r="B697" s="8">
        <v>65.0</v>
      </c>
      <c r="C697" s="8">
        <v>8.0</v>
      </c>
      <c r="D697" s="8" t="s">
        <v>1152</v>
      </c>
      <c r="E697" s="7">
        <v>0.0</v>
      </c>
      <c r="F697" s="7"/>
      <c r="G697" s="7" t="s">
        <v>312</v>
      </c>
      <c r="H697" s="7" t="s">
        <v>313</v>
      </c>
      <c r="I697" s="10"/>
      <c r="J697" s="11"/>
      <c r="K697" s="12"/>
      <c r="L697" s="12"/>
      <c r="M697" s="10"/>
      <c r="N697" s="10"/>
      <c r="O697" s="10"/>
      <c r="P697" s="10"/>
      <c r="Q697" s="10"/>
      <c r="R697" s="10"/>
      <c r="S697" s="10"/>
      <c r="T697" s="10"/>
      <c r="U697" s="10"/>
      <c r="V697" s="10"/>
      <c r="W697" s="10"/>
      <c r="X697" s="10"/>
      <c r="Y697" s="10"/>
      <c r="Z697" s="10"/>
      <c r="AA697" s="10"/>
      <c r="AB697" s="10"/>
      <c r="AC697" s="10"/>
      <c r="AD697" s="10"/>
      <c r="AE697" s="10"/>
      <c r="AF697" s="10"/>
    </row>
    <row r="698">
      <c r="A698" s="7"/>
      <c r="B698" s="8">
        <v>65.0</v>
      </c>
      <c r="C698" s="8">
        <v>9.0</v>
      </c>
      <c r="D698" s="8" t="s">
        <v>1153</v>
      </c>
      <c r="E698" s="7">
        <v>0.0</v>
      </c>
      <c r="F698" s="7"/>
      <c r="G698" s="7" t="s">
        <v>312</v>
      </c>
      <c r="H698" s="7" t="s">
        <v>313</v>
      </c>
      <c r="I698" s="10"/>
      <c r="J698" s="11"/>
      <c r="K698" s="12"/>
      <c r="L698" s="12"/>
      <c r="M698" s="10"/>
      <c r="N698" s="10"/>
      <c r="O698" s="10"/>
      <c r="P698" s="10"/>
      <c r="Q698" s="10"/>
      <c r="R698" s="10"/>
      <c r="S698" s="10"/>
      <c r="T698" s="10"/>
      <c r="U698" s="10"/>
      <c r="V698" s="10"/>
      <c r="W698" s="10"/>
      <c r="X698" s="10"/>
      <c r="Y698" s="10"/>
      <c r="Z698" s="10"/>
      <c r="AA698" s="10"/>
      <c r="AB698" s="10"/>
      <c r="AC698" s="10"/>
      <c r="AD698" s="10"/>
      <c r="AE698" s="10"/>
      <c r="AF698" s="10"/>
    </row>
    <row r="699">
      <c r="A699" s="7"/>
      <c r="B699" s="8">
        <v>65.0</v>
      </c>
      <c r="C699" s="8">
        <v>10.0</v>
      </c>
      <c r="D699" s="8" t="s">
        <v>1154</v>
      </c>
      <c r="E699" s="7">
        <v>0.0</v>
      </c>
      <c r="F699" s="7"/>
      <c r="G699" s="7" t="s">
        <v>312</v>
      </c>
      <c r="H699" s="7" t="s">
        <v>313</v>
      </c>
      <c r="I699" s="10"/>
      <c r="J699" s="11"/>
      <c r="K699" s="12"/>
      <c r="L699" s="12"/>
      <c r="M699" s="10"/>
      <c r="N699" s="10"/>
      <c r="O699" s="10"/>
      <c r="P699" s="10"/>
      <c r="Q699" s="10"/>
      <c r="R699" s="10"/>
      <c r="S699" s="10"/>
      <c r="T699" s="10"/>
      <c r="U699" s="10"/>
      <c r="V699" s="10"/>
      <c r="W699" s="10"/>
      <c r="X699" s="10"/>
      <c r="Y699" s="10"/>
      <c r="Z699" s="10"/>
      <c r="AA699" s="10"/>
      <c r="AB699" s="10"/>
      <c r="AC699" s="10"/>
      <c r="AD699" s="10"/>
      <c r="AE699" s="10"/>
      <c r="AF699" s="10"/>
    </row>
    <row r="700">
      <c r="A700" s="7"/>
      <c r="B700" s="8">
        <v>65.0</v>
      </c>
      <c r="C700" s="8">
        <v>11.0</v>
      </c>
      <c r="D700" s="8" t="s">
        <v>1155</v>
      </c>
      <c r="E700" s="7">
        <v>0.0</v>
      </c>
      <c r="F700" s="7"/>
      <c r="G700" s="7" t="s">
        <v>312</v>
      </c>
      <c r="H700" s="7" t="s">
        <v>313</v>
      </c>
      <c r="I700" s="10"/>
      <c r="J700" s="11"/>
      <c r="K700" s="12"/>
      <c r="L700" s="12"/>
      <c r="M700" s="10"/>
      <c r="N700" s="10"/>
      <c r="O700" s="10"/>
      <c r="P700" s="10"/>
      <c r="Q700" s="10"/>
      <c r="R700" s="10"/>
      <c r="S700" s="10"/>
      <c r="T700" s="10"/>
      <c r="U700" s="10"/>
      <c r="V700" s="10"/>
      <c r="W700" s="10"/>
      <c r="X700" s="10"/>
      <c r="Y700" s="10"/>
      <c r="Z700" s="10"/>
      <c r="AA700" s="10"/>
      <c r="AB700" s="10"/>
      <c r="AC700" s="10"/>
      <c r="AD700" s="10"/>
      <c r="AE700" s="10"/>
      <c r="AF700" s="10"/>
    </row>
    <row r="701">
      <c r="A701" s="7"/>
      <c r="B701" s="8">
        <v>65.0</v>
      </c>
      <c r="C701" s="8">
        <v>12.0</v>
      </c>
      <c r="D701" s="8" t="s">
        <v>1156</v>
      </c>
      <c r="E701" s="7">
        <v>0.0</v>
      </c>
      <c r="F701" s="7"/>
      <c r="G701" s="7" t="s">
        <v>312</v>
      </c>
      <c r="H701" s="7" t="s">
        <v>313</v>
      </c>
      <c r="I701" s="10"/>
      <c r="J701" s="11"/>
      <c r="K701" s="12"/>
      <c r="L701" s="12"/>
      <c r="M701" s="10"/>
      <c r="N701" s="10"/>
      <c r="O701" s="10"/>
      <c r="P701" s="10"/>
      <c r="Q701" s="10"/>
      <c r="R701" s="10"/>
      <c r="S701" s="10"/>
      <c r="T701" s="10"/>
      <c r="U701" s="10"/>
      <c r="V701" s="10"/>
      <c r="W701" s="10"/>
      <c r="X701" s="10"/>
      <c r="Y701" s="10"/>
      <c r="Z701" s="10"/>
      <c r="AA701" s="10"/>
      <c r="AB701" s="10"/>
      <c r="AC701" s="10"/>
      <c r="AD701" s="10"/>
      <c r="AE701" s="10"/>
      <c r="AF701" s="10"/>
    </row>
    <row r="702">
      <c r="A702" s="7"/>
      <c r="B702" s="8">
        <v>65.0</v>
      </c>
      <c r="C702" s="8">
        <v>13.0</v>
      </c>
      <c r="D702" s="8" t="s">
        <v>1157</v>
      </c>
      <c r="E702" s="7">
        <v>0.0</v>
      </c>
      <c r="F702" s="7"/>
      <c r="G702" s="7" t="s">
        <v>312</v>
      </c>
      <c r="H702" s="7" t="s">
        <v>313</v>
      </c>
      <c r="I702" s="10"/>
      <c r="J702" s="11"/>
      <c r="K702" s="12"/>
      <c r="L702" s="12"/>
      <c r="M702" s="10"/>
      <c r="N702" s="10"/>
      <c r="O702" s="10"/>
      <c r="P702" s="10"/>
      <c r="Q702" s="10"/>
      <c r="R702" s="10"/>
      <c r="S702" s="10"/>
      <c r="T702" s="10"/>
      <c r="U702" s="10"/>
      <c r="V702" s="10"/>
      <c r="W702" s="10"/>
      <c r="X702" s="10"/>
      <c r="Y702" s="10"/>
      <c r="Z702" s="10"/>
      <c r="AA702" s="10"/>
      <c r="AB702" s="10"/>
      <c r="AC702" s="10"/>
      <c r="AD702" s="10"/>
      <c r="AE702" s="10"/>
      <c r="AF702" s="10"/>
    </row>
    <row r="703">
      <c r="A703" s="7"/>
      <c r="B703" s="8">
        <v>65.0</v>
      </c>
      <c r="C703" s="8">
        <v>14.0</v>
      </c>
      <c r="D703" s="8" t="s">
        <v>1158</v>
      </c>
      <c r="E703" s="7">
        <v>1.0</v>
      </c>
      <c r="F703" s="7"/>
      <c r="G703" s="7" t="s">
        <v>312</v>
      </c>
      <c r="H703" s="7" t="s">
        <v>313</v>
      </c>
      <c r="I703" s="10"/>
      <c r="J703" s="9" t="s">
        <v>1159</v>
      </c>
      <c r="K703" s="12"/>
      <c r="L703" s="12"/>
      <c r="M703" s="10"/>
      <c r="N703" s="10"/>
      <c r="O703" s="10"/>
      <c r="P703" s="10"/>
      <c r="Q703" s="10"/>
      <c r="R703" s="10"/>
      <c r="S703" s="10"/>
      <c r="T703" s="10"/>
      <c r="U703" s="10"/>
      <c r="V703" s="10"/>
      <c r="W703" s="10"/>
      <c r="X703" s="10"/>
      <c r="Y703" s="10"/>
      <c r="Z703" s="10"/>
      <c r="AA703" s="10"/>
      <c r="AB703" s="10"/>
      <c r="AC703" s="10"/>
      <c r="AD703" s="10"/>
      <c r="AE703" s="10"/>
      <c r="AF703" s="10"/>
    </row>
    <row r="704">
      <c r="A704" s="7"/>
      <c r="B704" s="8">
        <v>65.0</v>
      </c>
      <c r="C704" s="8">
        <v>15.0</v>
      </c>
      <c r="D704" s="8" t="s">
        <v>1160</v>
      </c>
      <c r="E704" s="7">
        <v>1.0</v>
      </c>
      <c r="F704" s="7"/>
      <c r="G704" s="7" t="s">
        <v>312</v>
      </c>
      <c r="H704" s="7" t="s">
        <v>313</v>
      </c>
      <c r="I704" s="10"/>
      <c r="J704" s="11"/>
      <c r="K704" s="12"/>
      <c r="L704" s="12"/>
      <c r="M704" s="10"/>
      <c r="N704" s="10"/>
      <c r="O704" s="10"/>
      <c r="P704" s="10"/>
      <c r="Q704" s="10"/>
      <c r="R704" s="10"/>
      <c r="S704" s="10"/>
      <c r="T704" s="10"/>
      <c r="U704" s="10"/>
      <c r="V704" s="10"/>
      <c r="W704" s="10"/>
      <c r="X704" s="10"/>
      <c r="Y704" s="10"/>
      <c r="Z704" s="10"/>
      <c r="AA704" s="10"/>
      <c r="AB704" s="10"/>
      <c r="AC704" s="10"/>
      <c r="AD704" s="10"/>
      <c r="AE704" s="10"/>
      <c r="AF704" s="10"/>
    </row>
    <row r="705">
      <c r="A705" s="7"/>
      <c r="B705" s="8">
        <v>65.0</v>
      </c>
      <c r="C705" s="8">
        <v>16.0</v>
      </c>
      <c r="D705" s="8" t="s">
        <v>1161</v>
      </c>
      <c r="E705" s="7">
        <v>1.0</v>
      </c>
      <c r="F705" s="7"/>
      <c r="G705" s="7" t="s">
        <v>312</v>
      </c>
      <c r="H705" s="7" t="s">
        <v>313</v>
      </c>
      <c r="I705" s="10"/>
      <c r="J705" s="9" t="s">
        <v>1162</v>
      </c>
      <c r="K705" s="12"/>
      <c r="L705" s="12"/>
      <c r="M705" s="10"/>
      <c r="N705" s="10"/>
      <c r="O705" s="10"/>
      <c r="P705" s="10"/>
      <c r="Q705" s="10"/>
      <c r="R705" s="10"/>
      <c r="S705" s="10"/>
      <c r="T705" s="10"/>
      <c r="U705" s="10"/>
      <c r="V705" s="10"/>
      <c r="W705" s="10"/>
      <c r="X705" s="10"/>
      <c r="Y705" s="10"/>
      <c r="Z705" s="10"/>
      <c r="AA705" s="10"/>
      <c r="AB705" s="10"/>
      <c r="AC705" s="10"/>
      <c r="AD705" s="10"/>
      <c r="AE705" s="10"/>
      <c r="AF705" s="10"/>
    </row>
    <row r="706">
      <c r="A706" s="7"/>
      <c r="B706" s="8">
        <v>65.0</v>
      </c>
      <c r="C706" s="8">
        <v>17.0</v>
      </c>
      <c r="D706" s="8" t="s">
        <v>1163</v>
      </c>
      <c r="E706" s="7">
        <v>0.0</v>
      </c>
      <c r="F706" s="7"/>
      <c r="G706" s="7" t="s">
        <v>312</v>
      </c>
      <c r="H706" s="7" t="s">
        <v>313</v>
      </c>
      <c r="I706" s="10"/>
      <c r="J706" s="11"/>
      <c r="K706" s="12"/>
      <c r="L706" s="12"/>
      <c r="M706" s="10"/>
      <c r="N706" s="10"/>
      <c r="O706" s="10"/>
      <c r="P706" s="10"/>
      <c r="Q706" s="10"/>
      <c r="R706" s="10"/>
      <c r="S706" s="10"/>
      <c r="T706" s="10"/>
      <c r="U706" s="10"/>
      <c r="V706" s="10"/>
      <c r="W706" s="10"/>
      <c r="X706" s="10"/>
      <c r="Y706" s="10"/>
      <c r="Z706" s="10"/>
      <c r="AA706" s="10"/>
      <c r="AB706" s="10"/>
      <c r="AC706" s="10"/>
      <c r="AD706" s="10"/>
      <c r="AE706" s="10"/>
      <c r="AF706" s="10"/>
    </row>
    <row r="707">
      <c r="A707" s="7"/>
      <c r="B707" s="8">
        <v>65.0</v>
      </c>
      <c r="C707" s="8">
        <v>18.0</v>
      </c>
      <c r="D707" s="8" t="s">
        <v>1164</v>
      </c>
      <c r="E707" s="7">
        <v>0.0</v>
      </c>
      <c r="F707" s="7"/>
      <c r="G707" s="7" t="s">
        <v>312</v>
      </c>
      <c r="H707" s="7" t="s">
        <v>313</v>
      </c>
      <c r="I707" s="10"/>
      <c r="J707" s="11"/>
      <c r="K707" s="12"/>
      <c r="L707" s="12"/>
      <c r="M707" s="10"/>
      <c r="N707" s="10"/>
      <c r="O707" s="10"/>
      <c r="P707" s="10"/>
      <c r="Q707" s="10"/>
      <c r="R707" s="10"/>
      <c r="S707" s="10"/>
      <c r="T707" s="10"/>
      <c r="U707" s="10"/>
      <c r="V707" s="10"/>
      <c r="W707" s="10"/>
      <c r="X707" s="10"/>
      <c r="Y707" s="10"/>
      <c r="Z707" s="10"/>
      <c r="AA707" s="10"/>
      <c r="AB707" s="10"/>
      <c r="AC707" s="10"/>
      <c r="AD707" s="10"/>
      <c r="AE707" s="10"/>
      <c r="AF707" s="10"/>
    </row>
    <row r="708">
      <c r="A708" s="7"/>
      <c r="B708" s="8">
        <v>65.0</v>
      </c>
      <c r="C708" s="8">
        <v>19.0</v>
      </c>
      <c r="D708" s="8" t="s">
        <v>1165</v>
      </c>
      <c r="E708" s="7">
        <v>0.0</v>
      </c>
      <c r="F708" s="7"/>
      <c r="G708" s="7" t="s">
        <v>312</v>
      </c>
      <c r="H708" s="7" t="s">
        <v>313</v>
      </c>
      <c r="I708" s="10"/>
      <c r="J708" s="11"/>
      <c r="K708" s="12"/>
      <c r="L708" s="12"/>
      <c r="M708" s="10"/>
      <c r="N708" s="10"/>
      <c r="O708" s="10"/>
      <c r="P708" s="10"/>
      <c r="Q708" s="10"/>
      <c r="R708" s="10"/>
      <c r="S708" s="10"/>
      <c r="T708" s="10"/>
      <c r="U708" s="10"/>
      <c r="V708" s="10"/>
      <c r="W708" s="10"/>
      <c r="X708" s="10"/>
      <c r="Y708" s="10"/>
      <c r="Z708" s="10"/>
      <c r="AA708" s="10"/>
      <c r="AB708" s="10"/>
      <c r="AC708" s="10"/>
      <c r="AD708" s="10"/>
      <c r="AE708" s="10"/>
      <c r="AF708" s="10"/>
    </row>
    <row r="709">
      <c r="A709" s="7"/>
      <c r="B709" s="8">
        <v>65.0</v>
      </c>
      <c r="C709" s="8">
        <v>20.0</v>
      </c>
      <c r="D709" s="8" t="s">
        <v>1166</v>
      </c>
      <c r="E709" s="7">
        <v>0.0</v>
      </c>
      <c r="F709" s="7"/>
      <c r="G709" s="7" t="s">
        <v>312</v>
      </c>
      <c r="H709" s="7" t="s">
        <v>313</v>
      </c>
      <c r="I709" s="10"/>
      <c r="J709" s="11"/>
      <c r="K709" s="12"/>
      <c r="L709" s="12"/>
      <c r="M709" s="10"/>
      <c r="N709" s="10"/>
      <c r="O709" s="10"/>
      <c r="P709" s="10"/>
      <c r="Q709" s="10"/>
      <c r="R709" s="10"/>
      <c r="S709" s="10"/>
      <c r="T709" s="10"/>
      <c r="U709" s="10"/>
      <c r="V709" s="10"/>
      <c r="W709" s="10"/>
      <c r="X709" s="10"/>
      <c r="Y709" s="10"/>
      <c r="Z709" s="10"/>
      <c r="AA709" s="10"/>
      <c r="AB709" s="10"/>
      <c r="AC709" s="10"/>
      <c r="AD709" s="10"/>
      <c r="AE709" s="10"/>
      <c r="AF709" s="10"/>
    </row>
    <row r="710">
      <c r="A710" s="7"/>
      <c r="B710" s="8">
        <v>65.0</v>
      </c>
      <c r="C710" s="8">
        <v>21.0</v>
      </c>
      <c r="D710" s="8" t="s">
        <v>1167</v>
      </c>
      <c r="E710" s="7">
        <v>1.0</v>
      </c>
      <c r="F710" s="18" t="s">
        <v>320</v>
      </c>
      <c r="G710" s="7" t="s">
        <v>312</v>
      </c>
      <c r="H710" s="7" t="s">
        <v>313</v>
      </c>
      <c r="I710" s="7" t="s">
        <v>366</v>
      </c>
      <c r="J710" s="9" t="s">
        <v>1168</v>
      </c>
      <c r="K710" s="12"/>
      <c r="L710" s="12"/>
      <c r="M710" s="10"/>
      <c r="N710" s="10"/>
      <c r="O710" s="10"/>
      <c r="P710" s="10"/>
      <c r="Q710" s="10"/>
      <c r="R710" s="10"/>
      <c r="S710" s="10"/>
      <c r="T710" s="10"/>
      <c r="U710" s="10"/>
      <c r="V710" s="10"/>
      <c r="W710" s="10"/>
      <c r="X710" s="10"/>
      <c r="Y710" s="10"/>
      <c r="Z710" s="10"/>
      <c r="AA710" s="10"/>
      <c r="AB710" s="10"/>
      <c r="AC710" s="10"/>
      <c r="AD710" s="10"/>
      <c r="AE710" s="10"/>
      <c r="AF710" s="10"/>
    </row>
    <row r="711">
      <c r="A711" s="7"/>
      <c r="B711" s="8">
        <v>65.0</v>
      </c>
      <c r="C711" s="8">
        <v>22.0</v>
      </c>
      <c r="D711" s="8" t="s">
        <v>1169</v>
      </c>
      <c r="E711" s="7">
        <v>0.0</v>
      </c>
      <c r="F711" s="7"/>
      <c r="G711" s="7" t="s">
        <v>312</v>
      </c>
      <c r="H711" s="7" t="s">
        <v>313</v>
      </c>
      <c r="I711" s="10"/>
      <c r="J711" s="11"/>
      <c r="K711" s="12"/>
      <c r="L711" s="12"/>
      <c r="M711" s="10"/>
      <c r="N711" s="10"/>
      <c r="O711" s="10"/>
      <c r="P711" s="10"/>
      <c r="Q711" s="10"/>
      <c r="R711" s="10"/>
      <c r="S711" s="10"/>
      <c r="T711" s="10"/>
      <c r="U711" s="10"/>
      <c r="V711" s="10"/>
      <c r="W711" s="10"/>
      <c r="X711" s="10"/>
      <c r="Y711" s="10"/>
      <c r="Z711" s="10"/>
      <c r="AA711" s="10"/>
      <c r="AB711" s="10"/>
      <c r="AC711" s="10"/>
      <c r="AD711" s="10"/>
      <c r="AE711" s="10"/>
      <c r="AF711" s="10"/>
    </row>
    <row r="712">
      <c r="A712" s="7"/>
      <c r="B712" s="8">
        <v>65.0</v>
      </c>
      <c r="C712" s="8">
        <v>23.0</v>
      </c>
      <c r="D712" s="8" t="s">
        <v>1170</v>
      </c>
      <c r="E712" s="7">
        <v>0.0</v>
      </c>
      <c r="F712" s="7"/>
      <c r="G712" s="7" t="s">
        <v>312</v>
      </c>
      <c r="H712" s="7" t="s">
        <v>313</v>
      </c>
      <c r="I712" s="10"/>
      <c r="J712" s="11"/>
      <c r="K712" s="12"/>
      <c r="L712" s="12"/>
      <c r="M712" s="10"/>
      <c r="N712" s="10"/>
      <c r="O712" s="10"/>
      <c r="P712" s="10"/>
      <c r="Q712" s="10"/>
      <c r="R712" s="10"/>
      <c r="S712" s="10"/>
      <c r="T712" s="10"/>
      <c r="U712" s="10"/>
      <c r="V712" s="10"/>
      <c r="W712" s="10"/>
      <c r="X712" s="10"/>
      <c r="Y712" s="10"/>
      <c r="Z712" s="10"/>
      <c r="AA712" s="10"/>
      <c r="AB712" s="10"/>
      <c r="AC712" s="10"/>
      <c r="AD712" s="10"/>
      <c r="AE712" s="10"/>
      <c r="AF712" s="10"/>
    </row>
    <row r="713">
      <c r="A713" s="7"/>
      <c r="B713" s="8">
        <v>65.0</v>
      </c>
      <c r="C713" s="8">
        <v>24.0</v>
      </c>
      <c r="D713" s="8" t="s">
        <v>1171</v>
      </c>
      <c r="E713" s="7">
        <v>0.0</v>
      </c>
      <c r="F713" s="7"/>
      <c r="G713" s="7" t="s">
        <v>312</v>
      </c>
      <c r="H713" s="7" t="s">
        <v>313</v>
      </c>
      <c r="I713" s="10"/>
      <c r="J713" s="11"/>
      <c r="K713" s="12"/>
      <c r="L713" s="12"/>
      <c r="M713" s="10"/>
      <c r="N713" s="10"/>
      <c r="O713" s="10"/>
      <c r="P713" s="10"/>
      <c r="Q713" s="10"/>
      <c r="R713" s="10"/>
      <c r="S713" s="10"/>
      <c r="T713" s="10"/>
      <c r="U713" s="10"/>
      <c r="V713" s="10"/>
      <c r="W713" s="10"/>
      <c r="X713" s="10"/>
      <c r="Y713" s="10"/>
      <c r="Z713" s="10"/>
      <c r="AA713" s="10"/>
      <c r="AB713" s="10"/>
      <c r="AC713" s="10"/>
      <c r="AD713" s="10"/>
      <c r="AE713" s="10"/>
      <c r="AF713" s="10"/>
    </row>
    <row r="714">
      <c r="A714" s="7"/>
      <c r="B714" s="8">
        <v>65.0</v>
      </c>
      <c r="C714" s="8">
        <v>25.0</v>
      </c>
      <c r="D714" s="8" t="s">
        <v>1172</v>
      </c>
      <c r="E714" s="7">
        <v>0.0</v>
      </c>
      <c r="F714" s="7"/>
      <c r="G714" s="7" t="s">
        <v>312</v>
      </c>
      <c r="H714" s="7" t="s">
        <v>313</v>
      </c>
      <c r="I714" s="10"/>
      <c r="J714" s="11"/>
      <c r="K714" s="12"/>
      <c r="L714" s="12"/>
      <c r="M714" s="10"/>
      <c r="N714" s="10"/>
      <c r="O714" s="10"/>
      <c r="P714" s="10"/>
      <c r="Q714" s="10"/>
      <c r="R714" s="10"/>
      <c r="S714" s="10"/>
      <c r="T714" s="10"/>
      <c r="U714" s="10"/>
      <c r="V714" s="10"/>
      <c r="W714" s="10"/>
      <c r="X714" s="10"/>
      <c r="Y714" s="10"/>
      <c r="Z714" s="10"/>
      <c r="AA714" s="10"/>
      <c r="AB714" s="10"/>
      <c r="AC714" s="10"/>
      <c r="AD714" s="10"/>
      <c r="AE714" s="10"/>
      <c r="AF714" s="10"/>
    </row>
    <row r="715">
      <c r="A715" s="7"/>
      <c r="B715" s="8">
        <v>65.0</v>
      </c>
      <c r="C715" s="8">
        <v>26.0</v>
      </c>
      <c r="D715" s="8" t="s">
        <v>1173</v>
      </c>
      <c r="E715" s="7">
        <v>0.0</v>
      </c>
      <c r="F715" s="7"/>
      <c r="G715" s="7" t="s">
        <v>312</v>
      </c>
      <c r="H715" s="7" t="s">
        <v>313</v>
      </c>
      <c r="I715" s="10"/>
      <c r="J715" s="11"/>
      <c r="K715" s="12"/>
      <c r="L715" s="12"/>
      <c r="M715" s="10"/>
      <c r="N715" s="10"/>
      <c r="O715" s="10"/>
      <c r="P715" s="10"/>
      <c r="Q715" s="10"/>
      <c r="R715" s="10"/>
      <c r="S715" s="10"/>
      <c r="T715" s="10"/>
      <c r="U715" s="10"/>
      <c r="V715" s="10"/>
      <c r="W715" s="10"/>
      <c r="X715" s="10"/>
      <c r="Y715" s="10"/>
      <c r="Z715" s="10"/>
      <c r="AA715" s="10"/>
      <c r="AB715" s="10"/>
      <c r="AC715" s="10"/>
      <c r="AD715" s="10"/>
      <c r="AE715" s="10"/>
      <c r="AF715" s="10"/>
    </row>
    <row r="716">
      <c r="A716" s="7"/>
      <c r="B716" s="8">
        <v>65.0</v>
      </c>
      <c r="C716" s="8">
        <v>27.0</v>
      </c>
      <c r="D716" s="8" t="s">
        <v>1174</v>
      </c>
      <c r="E716" s="7">
        <v>0.0</v>
      </c>
      <c r="F716" s="7"/>
      <c r="G716" s="7" t="s">
        <v>312</v>
      </c>
      <c r="H716" s="7" t="s">
        <v>313</v>
      </c>
      <c r="I716" s="10"/>
      <c r="J716" s="11"/>
      <c r="K716" s="12"/>
      <c r="L716" s="12"/>
      <c r="M716" s="10"/>
      <c r="N716" s="10"/>
      <c r="O716" s="10"/>
      <c r="P716" s="10"/>
      <c r="Q716" s="10"/>
      <c r="R716" s="10"/>
      <c r="S716" s="10"/>
      <c r="T716" s="10"/>
      <c r="U716" s="10"/>
      <c r="V716" s="10"/>
      <c r="W716" s="10"/>
      <c r="X716" s="10"/>
      <c r="Y716" s="10"/>
      <c r="Z716" s="10"/>
      <c r="AA716" s="10"/>
      <c r="AB716" s="10"/>
      <c r="AC716" s="10"/>
      <c r="AD716" s="10"/>
      <c r="AE716" s="10"/>
      <c r="AF716" s="10"/>
    </row>
    <row r="717">
      <c r="A717" s="7"/>
      <c r="B717" s="8">
        <v>65.0</v>
      </c>
      <c r="C717" s="8">
        <v>28.0</v>
      </c>
      <c r="D717" s="8" t="s">
        <v>1175</v>
      </c>
      <c r="E717" s="7">
        <v>0.0</v>
      </c>
      <c r="F717" s="7"/>
      <c r="G717" s="7" t="s">
        <v>312</v>
      </c>
      <c r="H717" s="7" t="s">
        <v>313</v>
      </c>
      <c r="I717" s="10"/>
      <c r="J717" s="11"/>
      <c r="K717" s="12"/>
      <c r="L717" s="12"/>
      <c r="M717" s="10"/>
      <c r="N717" s="10"/>
      <c r="O717" s="10"/>
      <c r="P717" s="10"/>
      <c r="Q717" s="10"/>
      <c r="R717" s="10"/>
      <c r="S717" s="10"/>
      <c r="T717" s="10"/>
      <c r="U717" s="10"/>
      <c r="V717" s="10"/>
      <c r="W717" s="10"/>
      <c r="X717" s="10"/>
      <c r="Y717" s="10"/>
      <c r="Z717" s="10"/>
      <c r="AA717" s="10"/>
      <c r="AB717" s="10"/>
      <c r="AC717" s="10"/>
      <c r="AD717" s="10"/>
      <c r="AE717" s="10"/>
      <c r="AF717" s="10"/>
    </row>
    <row r="718">
      <c r="A718" s="7"/>
      <c r="B718" s="8">
        <v>65.0</v>
      </c>
      <c r="C718" s="8">
        <v>29.0</v>
      </c>
      <c r="D718" s="8" t="s">
        <v>1176</v>
      </c>
      <c r="E718" s="7">
        <v>0.0</v>
      </c>
      <c r="F718" s="7"/>
      <c r="G718" s="7" t="s">
        <v>312</v>
      </c>
      <c r="H718" s="7" t="s">
        <v>313</v>
      </c>
      <c r="I718" s="10"/>
      <c r="J718" s="11"/>
      <c r="K718" s="12"/>
      <c r="L718" s="12"/>
      <c r="M718" s="10"/>
      <c r="N718" s="10"/>
      <c r="O718" s="10"/>
      <c r="P718" s="10"/>
      <c r="Q718" s="10"/>
      <c r="R718" s="10"/>
      <c r="S718" s="10"/>
      <c r="T718" s="10"/>
      <c r="U718" s="10"/>
      <c r="V718" s="10"/>
      <c r="W718" s="10"/>
      <c r="X718" s="10"/>
      <c r="Y718" s="10"/>
      <c r="Z718" s="10"/>
      <c r="AA718" s="10"/>
      <c r="AB718" s="10"/>
      <c r="AC718" s="10"/>
      <c r="AD718" s="10"/>
      <c r="AE718" s="10"/>
      <c r="AF718" s="10"/>
    </row>
    <row r="719">
      <c r="A719" s="7"/>
      <c r="B719" s="8">
        <v>65.0</v>
      </c>
      <c r="C719" s="8">
        <v>30.0</v>
      </c>
      <c r="D719" s="8" t="s">
        <v>1177</v>
      </c>
      <c r="E719" s="7">
        <v>0.0</v>
      </c>
      <c r="F719" s="7"/>
      <c r="G719" s="7" t="s">
        <v>312</v>
      </c>
      <c r="H719" s="7" t="s">
        <v>313</v>
      </c>
      <c r="I719" s="10"/>
      <c r="J719" s="11"/>
      <c r="K719" s="12"/>
      <c r="L719" s="12"/>
      <c r="M719" s="10"/>
      <c r="N719" s="10"/>
      <c r="O719" s="10"/>
      <c r="P719" s="10"/>
      <c r="Q719" s="10"/>
      <c r="R719" s="10"/>
      <c r="S719" s="10"/>
      <c r="T719" s="10"/>
      <c r="U719" s="10"/>
      <c r="V719" s="10"/>
      <c r="W719" s="10"/>
      <c r="X719" s="10"/>
      <c r="Y719" s="10"/>
      <c r="Z719" s="10"/>
      <c r="AA719" s="10"/>
      <c r="AB719" s="10"/>
      <c r="AC719" s="10"/>
      <c r="AD719" s="10"/>
      <c r="AE719" s="10"/>
      <c r="AF719" s="10"/>
    </row>
    <row r="720">
      <c r="A720" s="7"/>
      <c r="B720" s="8">
        <v>65.0</v>
      </c>
      <c r="C720" s="8">
        <v>31.0</v>
      </c>
      <c r="D720" s="8" t="s">
        <v>1178</v>
      </c>
      <c r="E720" s="7">
        <v>0.0</v>
      </c>
      <c r="F720" s="7"/>
      <c r="G720" s="7" t="s">
        <v>312</v>
      </c>
      <c r="H720" s="7" t="s">
        <v>313</v>
      </c>
      <c r="I720" s="10"/>
      <c r="J720" s="11"/>
      <c r="K720" s="12"/>
      <c r="L720" s="12"/>
      <c r="M720" s="10"/>
      <c r="N720" s="10"/>
      <c r="O720" s="10"/>
      <c r="P720" s="10"/>
      <c r="Q720" s="10"/>
      <c r="R720" s="10"/>
      <c r="S720" s="10"/>
      <c r="T720" s="10"/>
      <c r="U720" s="10"/>
      <c r="V720" s="10"/>
      <c r="W720" s="10"/>
      <c r="X720" s="10"/>
      <c r="Y720" s="10"/>
      <c r="Z720" s="10"/>
      <c r="AA720" s="10"/>
      <c r="AB720" s="10"/>
      <c r="AC720" s="10"/>
      <c r="AD720" s="10"/>
      <c r="AE720" s="10"/>
      <c r="AF720" s="10"/>
    </row>
    <row r="721">
      <c r="A721" s="7"/>
      <c r="B721" s="8">
        <v>65.0</v>
      </c>
      <c r="C721" s="8">
        <v>32.0</v>
      </c>
      <c r="D721" s="8" t="s">
        <v>1179</v>
      </c>
      <c r="E721" s="7">
        <v>0.0</v>
      </c>
      <c r="F721" s="7"/>
      <c r="G721" s="7" t="s">
        <v>312</v>
      </c>
      <c r="H721" s="7" t="s">
        <v>313</v>
      </c>
      <c r="I721" s="10"/>
      <c r="J721" s="11"/>
      <c r="K721" s="12"/>
      <c r="L721" s="12"/>
      <c r="M721" s="10"/>
      <c r="N721" s="10"/>
      <c r="O721" s="10"/>
      <c r="P721" s="10"/>
      <c r="Q721" s="10"/>
      <c r="R721" s="10"/>
      <c r="S721" s="10"/>
      <c r="T721" s="10"/>
      <c r="U721" s="10"/>
      <c r="V721" s="10"/>
      <c r="W721" s="10"/>
      <c r="X721" s="10"/>
      <c r="Y721" s="10"/>
      <c r="Z721" s="10"/>
      <c r="AA721" s="10"/>
      <c r="AB721" s="10"/>
      <c r="AC721" s="10"/>
      <c r="AD721" s="10"/>
      <c r="AE721" s="10"/>
      <c r="AF721" s="10"/>
    </row>
    <row r="722">
      <c r="A722" s="7"/>
      <c r="B722" s="8">
        <v>65.0</v>
      </c>
      <c r="C722" s="8">
        <v>33.0</v>
      </c>
      <c r="D722" s="8" t="s">
        <v>1180</v>
      </c>
      <c r="E722" s="7">
        <v>0.0</v>
      </c>
      <c r="F722" s="7"/>
      <c r="G722" s="7" t="s">
        <v>312</v>
      </c>
      <c r="H722" s="7" t="s">
        <v>313</v>
      </c>
      <c r="I722" s="10"/>
      <c r="J722" s="11"/>
      <c r="K722" s="12"/>
      <c r="L722" s="12"/>
      <c r="M722" s="10"/>
      <c r="N722" s="10"/>
      <c r="O722" s="10"/>
      <c r="P722" s="10"/>
      <c r="Q722" s="10"/>
      <c r="R722" s="10"/>
      <c r="S722" s="10"/>
      <c r="T722" s="10"/>
      <c r="U722" s="10"/>
      <c r="V722" s="10"/>
      <c r="W722" s="10"/>
      <c r="X722" s="10"/>
      <c r="Y722" s="10"/>
      <c r="Z722" s="10"/>
      <c r="AA722" s="10"/>
      <c r="AB722" s="10"/>
      <c r="AC722" s="10"/>
      <c r="AD722" s="10"/>
      <c r="AE722" s="10"/>
      <c r="AF722" s="10"/>
    </row>
    <row r="723">
      <c r="A723" s="7"/>
      <c r="B723" s="8">
        <v>65.0</v>
      </c>
      <c r="C723" s="8">
        <v>34.0</v>
      </c>
      <c r="D723" s="8" t="s">
        <v>1181</v>
      </c>
      <c r="E723" s="7">
        <v>0.0</v>
      </c>
      <c r="F723" s="7"/>
      <c r="G723" s="7" t="s">
        <v>312</v>
      </c>
      <c r="H723" s="7" t="s">
        <v>313</v>
      </c>
      <c r="I723" s="10"/>
      <c r="J723" s="11"/>
      <c r="K723" s="12"/>
      <c r="L723" s="12"/>
      <c r="M723" s="10"/>
      <c r="N723" s="10"/>
      <c r="O723" s="10"/>
      <c r="P723" s="10"/>
      <c r="Q723" s="10"/>
      <c r="R723" s="10"/>
      <c r="S723" s="10"/>
      <c r="T723" s="10"/>
      <c r="U723" s="10"/>
      <c r="V723" s="10"/>
      <c r="W723" s="10"/>
      <c r="X723" s="10"/>
      <c r="Y723" s="10"/>
      <c r="Z723" s="10"/>
      <c r="AA723" s="10"/>
      <c r="AB723" s="10"/>
      <c r="AC723" s="10"/>
      <c r="AD723" s="10"/>
      <c r="AE723" s="10"/>
      <c r="AF723" s="10"/>
    </row>
    <row r="724">
      <c r="A724" s="7"/>
      <c r="B724" s="8">
        <v>65.0</v>
      </c>
      <c r="C724" s="8">
        <v>35.0</v>
      </c>
      <c r="D724" s="8" t="s">
        <v>1182</v>
      </c>
      <c r="E724" s="7">
        <v>0.0</v>
      </c>
      <c r="F724" s="7"/>
      <c r="G724" s="7" t="s">
        <v>312</v>
      </c>
      <c r="H724" s="7" t="s">
        <v>313</v>
      </c>
      <c r="I724" s="10"/>
      <c r="J724" s="11"/>
      <c r="K724" s="12"/>
      <c r="L724" s="12"/>
      <c r="M724" s="10"/>
      <c r="N724" s="10"/>
      <c r="O724" s="10"/>
      <c r="P724" s="10"/>
      <c r="Q724" s="10"/>
      <c r="R724" s="10"/>
      <c r="S724" s="10"/>
      <c r="T724" s="10"/>
      <c r="U724" s="10"/>
      <c r="V724" s="10"/>
      <c r="W724" s="10"/>
      <c r="X724" s="10"/>
      <c r="Y724" s="10"/>
      <c r="Z724" s="10"/>
      <c r="AA724" s="10"/>
      <c r="AB724" s="10"/>
      <c r="AC724" s="10"/>
      <c r="AD724" s="10"/>
      <c r="AE724" s="10"/>
      <c r="AF724" s="10"/>
    </row>
    <row r="725">
      <c r="A725" s="7"/>
      <c r="B725" s="8">
        <v>65.0</v>
      </c>
      <c r="C725" s="8">
        <v>36.0</v>
      </c>
      <c r="D725" s="8" t="s">
        <v>1183</v>
      </c>
      <c r="E725" s="7">
        <v>1.0</v>
      </c>
      <c r="F725" s="18" t="s">
        <v>320</v>
      </c>
      <c r="G725" s="7" t="s">
        <v>312</v>
      </c>
      <c r="H725" s="7" t="s">
        <v>313</v>
      </c>
      <c r="I725" s="7" t="s">
        <v>366</v>
      </c>
      <c r="J725" s="9" t="s">
        <v>1184</v>
      </c>
      <c r="K725" s="12"/>
      <c r="L725" s="12"/>
      <c r="M725" s="10"/>
      <c r="N725" s="10"/>
      <c r="O725" s="10"/>
      <c r="P725" s="10"/>
      <c r="Q725" s="10"/>
      <c r="R725" s="10"/>
      <c r="S725" s="10"/>
      <c r="T725" s="10"/>
      <c r="U725" s="10"/>
      <c r="V725" s="10"/>
      <c r="W725" s="10"/>
      <c r="X725" s="10"/>
      <c r="Y725" s="10"/>
      <c r="Z725" s="10"/>
      <c r="AA725" s="10"/>
      <c r="AB725" s="10"/>
      <c r="AC725" s="10"/>
      <c r="AD725" s="10"/>
      <c r="AE725" s="10"/>
      <c r="AF725" s="10"/>
    </row>
    <row r="726">
      <c r="A726" s="7"/>
      <c r="B726" s="8">
        <v>65.0</v>
      </c>
      <c r="C726" s="8">
        <v>37.0</v>
      </c>
      <c r="D726" s="8" t="s">
        <v>1185</v>
      </c>
      <c r="E726" s="7">
        <v>0.0</v>
      </c>
      <c r="F726" s="7"/>
      <c r="G726" s="7" t="s">
        <v>312</v>
      </c>
      <c r="H726" s="7" t="s">
        <v>313</v>
      </c>
      <c r="I726" s="10"/>
      <c r="J726" s="11"/>
      <c r="K726" s="12"/>
      <c r="L726" s="12"/>
      <c r="M726" s="10"/>
      <c r="N726" s="10"/>
      <c r="O726" s="10"/>
      <c r="P726" s="10"/>
      <c r="Q726" s="10"/>
      <c r="R726" s="10"/>
      <c r="S726" s="10"/>
      <c r="T726" s="10"/>
      <c r="U726" s="10"/>
      <c r="V726" s="10"/>
      <c r="W726" s="10"/>
      <c r="X726" s="10"/>
      <c r="Y726" s="10"/>
      <c r="Z726" s="10"/>
      <c r="AA726" s="10"/>
      <c r="AB726" s="10"/>
      <c r="AC726" s="10"/>
      <c r="AD726" s="10"/>
      <c r="AE726" s="10"/>
      <c r="AF726" s="10"/>
    </row>
    <row r="727">
      <c r="A727" s="7"/>
      <c r="B727" s="8">
        <v>65.0</v>
      </c>
      <c r="C727" s="8">
        <v>38.0</v>
      </c>
      <c r="D727" s="8" t="s">
        <v>1186</v>
      </c>
      <c r="E727" s="7">
        <v>0.0</v>
      </c>
      <c r="F727" s="7"/>
      <c r="G727" s="7" t="s">
        <v>312</v>
      </c>
      <c r="H727" s="7" t="s">
        <v>313</v>
      </c>
      <c r="I727" s="10"/>
      <c r="J727" s="11"/>
      <c r="K727" s="12"/>
      <c r="L727" s="12"/>
      <c r="M727" s="10"/>
      <c r="N727" s="10"/>
      <c r="O727" s="10"/>
      <c r="P727" s="10"/>
      <c r="Q727" s="10"/>
      <c r="R727" s="10"/>
      <c r="S727" s="10"/>
      <c r="T727" s="10"/>
      <c r="U727" s="10"/>
      <c r="V727" s="10"/>
      <c r="W727" s="10"/>
      <c r="X727" s="10"/>
      <c r="Y727" s="10"/>
      <c r="Z727" s="10"/>
      <c r="AA727" s="10"/>
      <c r="AB727" s="10"/>
      <c r="AC727" s="10"/>
      <c r="AD727" s="10"/>
      <c r="AE727" s="10"/>
      <c r="AF727" s="10"/>
    </row>
    <row r="728">
      <c r="A728" s="7"/>
      <c r="B728" s="8">
        <v>65.0</v>
      </c>
      <c r="C728" s="8">
        <v>39.0</v>
      </c>
      <c r="D728" s="8" t="s">
        <v>1187</v>
      </c>
      <c r="E728" s="7">
        <v>0.0</v>
      </c>
      <c r="F728" s="7"/>
      <c r="G728" s="7" t="s">
        <v>312</v>
      </c>
      <c r="H728" s="7" t="s">
        <v>313</v>
      </c>
      <c r="I728" s="10"/>
      <c r="J728" s="11"/>
      <c r="K728" s="12"/>
      <c r="L728" s="12"/>
      <c r="M728" s="10"/>
      <c r="N728" s="10"/>
      <c r="O728" s="10"/>
      <c r="P728" s="10"/>
      <c r="Q728" s="10"/>
      <c r="R728" s="10"/>
      <c r="S728" s="10"/>
      <c r="T728" s="10"/>
      <c r="U728" s="10"/>
      <c r="V728" s="10"/>
      <c r="W728" s="10"/>
      <c r="X728" s="10"/>
      <c r="Y728" s="10"/>
      <c r="Z728" s="10"/>
      <c r="AA728" s="10"/>
      <c r="AB728" s="10"/>
      <c r="AC728" s="10"/>
      <c r="AD728" s="10"/>
      <c r="AE728" s="10"/>
      <c r="AF728" s="10"/>
    </row>
    <row r="729">
      <c r="A729" s="7"/>
      <c r="B729" s="8">
        <v>65.0</v>
      </c>
      <c r="C729" s="8">
        <v>40.0</v>
      </c>
      <c r="D729" s="8" t="s">
        <v>1188</v>
      </c>
      <c r="E729" s="7">
        <v>0.0</v>
      </c>
      <c r="F729" s="7"/>
      <c r="G729" s="7" t="s">
        <v>312</v>
      </c>
      <c r="H729" s="7" t="s">
        <v>313</v>
      </c>
      <c r="I729" s="10"/>
      <c r="J729" s="11"/>
      <c r="K729" s="12"/>
      <c r="L729" s="12"/>
      <c r="M729" s="10"/>
      <c r="N729" s="10"/>
      <c r="O729" s="10"/>
      <c r="P729" s="10"/>
      <c r="Q729" s="10"/>
      <c r="R729" s="10"/>
      <c r="S729" s="10"/>
      <c r="T729" s="10"/>
      <c r="U729" s="10"/>
      <c r="V729" s="10"/>
      <c r="W729" s="10"/>
      <c r="X729" s="10"/>
      <c r="Y729" s="10"/>
      <c r="Z729" s="10"/>
      <c r="AA729" s="10"/>
      <c r="AB729" s="10"/>
      <c r="AC729" s="10"/>
      <c r="AD729" s="10"/>
      <c r="AE729" s="10"/>
      <c r="AF729" s="10"/>
    </row>
    <row r="730">
      <c r="A730" s="7"/>
      <c r="B730" s="8">
        <v>65.0</v>
      </c>
      <c r="C730" s="8">
        <v>41.0</v>
      </c>
      <c r="D730" s="8" t="s">
        <v>1189</v>
      </c>
      <c r="E730" s="7">
        <v>0.0</v>
      </c>
      <c r="F730" s="7"/>
      <c r="G730" s="7" t="s">
        <v>312</v>
      </c>
      <c r="H730" s="7" t="s">
        <v>313</v>
      </c>
      <c r="I730" s="10"/>
      <c r="J730" s="11"/>
      <c r="K730" s="12"/>
      <c r="L730" s="12"/>
      <c r="M730" s="10"/>
      <c r="N730" s="10"/>
      <c r="O730" s="10"/>
      <c r="P730" s="10"/>
      <c r="Q730" s="10"/>
      <c r="R730" s="10"/>
      <c r="S730" s="10"/>
      <c r="T730" s="10"/>
      <c r="U730" s="10"/>
      <c r="V730" s="10"/>
      <c r="W730" s="10"/>
      <c r="X730" s="10"/>
      <c r="Y730" s="10"/>
      <c r="Z730" s="10"/>
      <c r="AA730" s="10"/>
      <c r="AB730" s="10"/>
      <c r="AC730" s="10"/>
      <c r="AD730" s="10"/>
      <c r="AE730" s="10"/>
      <c r="AF730" s="10"/>
    </row>
    <row r="731">
      <c r="A731" s="7"/>
      <c r="B731" s="8">
        <v>65.0</v>
      </c>
      <c r="C731" s="8">
        <v>42.0</v>
      </c>
      <c r="D731" s="8" t="s">
        <v>1190</v>
      </c>
      <c r="E731" s="7">
        <v>0.0</v>
      </c>
      <c r="F731" s="7"/>
      <c r="G731" s="7" t="s">
        <v>312</v>
      </c>
      <c r="H731" s="7" t="s">
        <v>313</v>
      </c>
      <c r="I731" s="10"/>
      <c r="J731" s="11"/>
      <c r="K731" s="12"/>
      <c r="L731" s="12"/>
      <c r="M731" s="10"/>
      <c r="N731" s="10"/>
      <c r="O731" s="10"/>
      <c r="P731" s="10"/>
      <c r="Q731" s="10"/>
      <c r="R731" s="10"/>
      <c r="S731" s="10"/>
      <c r="T731" s="10"/>
      <c r="U731" s="10"/>
      <c r="V731" s="10"/>
      <c r="W731" s="10"/>
      <c r="X731" s="10"/>
      <c r="Y731" s="10"/>
      <c r="Z731" s="10"/>
      <c r="AA731" s="10"/>
      <c r="AB731" s="10"/>
      <c r="AC731" s="10"/>
      <c r="AD731" s="10"/>
      <c r="AE731" s="10"/>
      <c r="AF731" s="10"/>
    </row>
    <row r="732">
      <c r="A732" s="7"/>
      <c r="B732" s="8">
        <v>65.0</v>
      </c>
      <c r="C732" s="8">
        <v>43.0</v>
      </c>
      <c r="D732" s="8" t="s">
        <v>1191</v>
      </c>
      <c r="E732" s="7">
        <v>0.0</v>
      </c>
      <c r="F732" s="7"/>
      <c r="G732" s="7" t="s">
        <v>312</v>
      </c>
      <c r="H732" s="7" t="s">
        <v>313</v>
      </c>
      <c r="I732" s="10"/>
      <c r="J732" s="11"/>
      <c r="K732" s="12"/>
      <c r="L732" s="12"/>
      <c r="M732" s="10"/>
      <c r="N732" s="10"/>
      <c r="O732" s="10"/>
      <c r="P732" s="10"/>
      <c r="Q732" s="10"/>
      <c r="R732" s="10"/>
      <c r="S732" s="10"/>
      <c r="T732" s="10"/>
      <c r="U732" s="10"/>
      <c r="V732" s="10"/>
      <c r="W732" s="10"/>
      <c r="X732" s="10"/>
      <c r="Y732" s="10"/>
      <c r="Z732" s="10"/>
      <c r="AA732" s="10"/>
      <c r="AB732" s="10"/>
      <c r="AC732" s="10"/>
      <c r="AD732" s="10"/>
      <c r="AE732" s="10"/>
      <c r="AF732" s="10"/>
    </row>
    <row r="733">
      <c r="A733" s="7"/>
      <c r="B733" s="8">
        <v>65.0</v>
      </c>
      <c r="C733" s="8">
        <v>44.0</v>
      </c>
      <c r="D733" s="8" t="s">
        <v>1192</v>
      </c>
      <c r="E733" s="7">
        <v>0.0</v>
      </c>
      <c r="F733" s="7"/>
      <c r="G733" s="7" t="s">
        <v>312</v>
      </c>
      <c r="H733" s="7" t="s">
        <v>313</v>
      </c>
      <c r="I733" s="10"/>
      <c r="J733" s="11"/>
      <c r="K733" s="12"/>
      <c r="L733" s="12"/>
      <c r="M733" s="10"/>
      <c r="N733" s="10"/>
      <c r="O733" s="10"/>
      <c r="P733" s="10"/>
      <c r="Q733" s="10"/>
      <c r="R733" s="10"/>
      <c r="S733" s="10"/>
      <c r="T733" s="10"/>
      <c r="U733" s="10"/>
      <c r="V733" s="10"/>
      <c r="W733" s="10"/>
      <c r="X733" s="10"/>
      <c r="Y733" s="10"/>
      <c r="Z733" s="10"/>
      <c r="AA733" s="10"/>
      <c r="AB733" s="10"/>
      <c r="AC733" s="10"/>
      <c r="AD733" s="10"/>
      <c r="AE733" s="10"/>
      <c r="AF733" s="10"/>
    </row>
    <row r="734">
      <c r="A734" s="7"/>
      <c r="B734" s="8">
        <v>65.0</v>
      </c>
      <c r="C734" s="8">
        <v>45.0</v>
      </c>
      <c r="D734" s="8" t="s">
        <v>1193</v>
      </c>
      <c r="E734" s="7">
        <v>0.0</v>
      </c>
      <c r="F734" s="7"/>
      <c r="G734" s="7" t="s">
        <v>312</v>
      </c>
      <c r="H734" s="7" t="s">
        <v>313</v>
      </c>
      <c r="I734" s="10"/>
      <c r="J734" s="11"/>
      <c r="K734" s="12"/>
      <c r="L734" s="12"/>
      <c r="M734" s="10"/>
      <c r="N734" s="10"/>
      <c r="O734" s="10"/>
      <c r="P734" s="10"/>
      <c r="Q734" s="10"/>
      <c r="R734" s="10"/>
      <c r="S734" s="10"/>
      <c r="T734" s="10"/>
      <c r="U734" s="10"/>
      <c r="V734" s="10"/>
      <c r="W734" s="10"/>
      <c r="X734" s="10"/>
      <c r="Y734" s="10"/>
      <c r="Z734" s="10"/>
      <c r="AA734" s="10"/>
      <c r="AB734" s="10"/>
      <c r="AC734" s="10"/>
      <c r="AD734" s="10"/>
      <c r="AE734" s="10"/>
      <c r="AF734" s="10"/>
    </row>
    <row r="735">
      <c r="A735" s="7"/>
      <c r="B735" s="8">
        <v>65.0</v>
      </c>
      <c r="C735" s="8">
        <v>46.0</v>
      </c>
      <c r="D735" s="8" t="s">
        <v>1194</v>
      </c>
      <c r="E735" s="7">
        <v>1.0</v>
      </c>
      <c r="F735" s="18" t="s">
        <v>320</v>
      </c>
      <c r="G735" s="7" t="s">
        <v>312</v>
      </c>
      <c r="H735" s="7" t="s">
        <v>313</v>
      </c>
      <c r="I735" s="7" t="s">
        <v>366</v>
      </c>
      <c r="J735" s="9" t="s">
        <v>1195</v>
      </c>
      <c r="K735" s="12"/>
      <c r="L735" s="12"/>
      <c r="M735" s="10"/>
      <c r="N735" s="10"/>
      <c r="O735" s="10"/>
      <c r="P735" s="10"/>
      <c r="Q735" s="10"/>
      <c r="R735" s="10"/>
      <c r="S735" s="10"/>
      <c r="T735" s="10"/>
      <c r="U735" s="10"/>
      <c r="V735" s="10"/>
      <c r="W735" s="10"/>
      <c r="X735" s="10"/>
      <c r="Y735" s="10"/>
      <c r="Z735" s="10"/>
      <c r="AA735" s="10"/>
      <c r="AB735" s="10"/>
      <c r="AC735" s="10"/>
      <c r="AD735" s="10"/>
      <c r="AE735" s="10"/>
      <c r="AF735" s="10"/>
    </row>
    <row r="736">
      <c r="A736" s="7"/>
      <c r="B736" s="8">
        <v>65.0</v>
      </c>
      <c r="C736" s="8">
        <v>47.0</v>
      </c>
      <c r="D736" s="8" t="s">
        <v>1196</v>
      </c>
      <c r="E736" s="7">
        <v>1.0</v>
      </c>
      <c r="F736" s="18" t="s">
        <v>320</v>
      </c>
      <c r="G736" s="7" t="s">
        <v>312</v>
      </c>
      <c r="H736" s="7" t="s">
        <v>313</v>
      </c>
      <c r="I736" s="7" t="s">
        <v>366</v>
      </c>
      <c r="J736" s="9" t="s">
        <v>1197</v>
      </c>
      <c r="K736" s="12"/>
      <c r="L736" s="12"/>
      <c r="M736" s="10"/>
      <c r="N736" s="10"/>
      <c r="O736" s="10"/>
      <c r="P736" s="10"/>
      <c r="Q736" s="10"/>
      <c r="R736" s="10"/>
      <c r="S736" s="10"/>
      <c r="T736" s="10"/>
      <c r="U736" s="10"/>
      <c r="V736" s="10"/>
      <c r="W736" s="10"/>
      <c r="X736" s="10"/>
      <c r="Y736" s="10"/>
      <c r="Z736" s="10"/>
      <c r="AA736" s="10"/>
      <c r="AB736" s="10"/>
      <c r="AC736" s="10"/>
      <c r="AD736" s="10"/>
      <c r="AE736" s="10"/>
      <c r="AF736" s="10"/>
    </row>
    <row r="737">
      <c r="A737" s="7"/>
      <c r="B737" s="8">
        <v>65.0</v>
      </c>
      <c r="C737" s="8">
        <v>48.0</v>
      </c>
      <c r="D737" s="8" t="s">
        <v>1198</v>
      </c>
      <c r="E737" s="7">
        <v>1.0</v>
      </c>
      <c r="F737" s="18" t="s">
        <v>320</v>
      </c>
      <c r="G737" s="7" t="s">
        <v>312</v>
      </c>
      <c r="H737" s="7" t="s">
        <v>313</v>
      </c>
      <c r="I737" s="7" t="s">
        <v>366</v>
      </c>
      <c r="J737" s="9" t="s">
        <v>1199</v>
      </c>
      <c r="K737" s="12"/>
      <c r="L737" s="12"/>
      <c r="M737" s="10"/>
      <c r="N737" s="10"/>
      <c r="O737" s="10"/>
      <c r="P737" s="10"/>
      <c r="Q737" s="10"/>
      <c r="R737" s="10"/>
      <c r="S737" s="10"/>
      <c r="T737" s="10"/>
      <c r="U737" s="10"/>
      <c r="V737" s="10"/>
      <c r="W737" s="10"/>
      <c r="X737" s="10"/>
      <c r="Y737" s="10"/>
      <c r="Z737" s="10"/>
      <c r="AA737" s="10"/>
      <c r="AB737" s="10"/>
      <c r="AC737" s="10"/>
      <c r="AD737" s="10"/>
      <c r="AE737" s="10"/>
      <c r="AF737" s="10"/>
    </row>
    <row r="738">
      <c r="A738" s="7"/>
      <c r="B738" s="8">
        <v>65.0</v>
      </c>
      <c r="C738" s="8">
        <v>49.0</v>
      </c>
      <c r="D738" s="8" t="s">
        <v>1200</v>
      </c>
      <c r="E738" s="7">
        <v>1.0</v>
      </c>
      <c r="F738" s="18" t="s">
        <v>320</v>
      </c>
      <c r="G738" s="7" t="s">
        <v>312</v>
      </c>
      <c r="H738" s="7" t="s">
        <v>313</v>
      </c>
      <c r="I738" s="7" t="s">
        <v>366</v>
      </c>
      <c r="J738" s="9" t="s">
        <v>1199</v>
      </c>
      <c r="K738" s="12"/>
      <c r="L738" s="12"/>
      <c r="M738" s="10"/>
      <c r="N738" s="10"/>
      <c r="O738" s="10"/>
      <c r="P738" s="10"/>
      <c r="Q738" s="10"/>
      <c r="R738" s="10"/>
      <c r="S738" s="10"/>
      <c r="T738" s="10"/>
      <c r="U738" s="10"/>
      <c r="V738" s="10"/>
      <c r="W738" s="10"/>
      <c r="X738" s="10"/>
      <c r="Y738" s="10"/>
      <c r="Z738" s="10"/>
      <c r="AA738" s="10"/>
      <c r="AB738" s="10"/>
      <c r="AC738" s="10"/>
      <c r="AD738" s="10"/>
      <c r="AE738" s="10"/>
      <c r="AF738" s="10"/>
    </row>
    <row r="739">
      <c r="A739" s="7"/>
      <c r="B739" s="8">
        <v>65.0</v>
      </c>
      <c r="C739" s="8">
        <v>50.0</v>
      </c>
      <c r="D739" s="8" t="s">
        <v>1201</v>
      </c>
      <c r="E739" s="7">
        <v>1.0</v>
      </c>
      <c r="F739" s="18" t="s">
        <v>320</v>
      </c>
      <c r="G739" s="7" t="s">
        <v>312</v>
      </c>
      <c r="H739" s="7" t="s">
        <v>313</v>
      </c>
      <c r="I739" s="7" t="s">
        <v>366</v>
      </c>
      <c r="J739" s="9" t="s">
        <v>1199</v>
      </c>
      <c r="K739" s="12"/>
      <c r="L739" s="12"/>
      <c r="M739" s="10"/>
      <c r="N739" s="10"/>
      <c r="O739" s="10"/>
      <c r="P739" s="10"/>
      <c r="Q739" s="10"/>
      <c r="R739" s="10"/>
      <c r="S739" s="10"/>
      <c r="T739" s="10"/>
      <c r="U739" s="10"/>
      <c r="V739" s="10"/>
      <c r="W739" s="10"/>
      <c r="X739" s="10"/>
      <c r="Y739" s="10"/>
      <c r="Z739" s="10"/>
      <c r="AA739" s="10"/>
      <c r="AB739" s="10"/>
      <c r="AC739" s="10"/>
      <c r="AD739" s="10"/>
      <c r="AE739" s="10"/>
      <c r="AF739" s="10"/>
    </row>
    <row r="740">
      <c r="A740" s="7"/>
      <c r="B740" s="8">
        <v>65.0</v>
      </c>
      <c r="C740" s="8">
        <v>51.0</v>
      </c>
      <c r="D740" s="8" t="s">
        <v>1202</v>
      </c>
      <c r="E740" s="7">
        <v>0.0</v>
      </c>
      <c r="F740" s="7"/>
      <c r="G740" s="7" t="s">
        <v>312</v>
      </c>
      <c r="H740" s="7" t="s">
        <v>313</v>
      </c>
      <c r="I740" s="10"/>
      <c r="J740" s="11"/>
      <c r="K740" s="12"/>
      <c r="L740" s="12"/>
      <c r="M740" s="10"/>
      <c r="N740" s="10"/>
      <c r="O740" s="10"/>
      <c r="P740" s="10"/>
      <c r="Q740" s="10"/>
      <c r="R740" s="10"/>
      <c r="S740" s="10"/>
      <c r="T740" s="10"/>
      <c r="U740" s="10"/>
      <c r="V740" s="10"/>
      <c r="W740" s="10"/>
      <c r="X740" s="10"/>
      <c r="Y740" s="10"/>
      <c r="Z740" s="10"/>
      <c r="AA740" s="10"/>
      <c r="AB740" s="10"/>
      <c r="AC740" s="10"/>
      <c r="AD740" s="10"/>
      <c r="AE740" s="10"/>
      <c r="AF740" s="10"/>
    </row>
    <row r="741">
      <c r="A741" s="7"/>
      <c r="B741" s="8">
        <v>65.0</v>
      </c>
      <c r="C741" s="8">
        <v>52.0</v>
      </c>
      <c r="D741" s="8" t="s">
        <v>1203</v>
      </c>
      <c r="E741" s="7">
        <v>0.0</v>
      </c>
      <c r="F741" s="7"/>
      <c r="G741" s="7" t="s">
        <v>312</v>
      </c>
      <c r="H741" s="7" t="s">
        <v>313</v>
      </c>
      <c r="I741" s="10"/>
      <c r="J741" s="11"/>
      <c r="K741" s="12"/>
      <c r="L741" s="12"/>
      <c r="M741" s="10"/>
      <c r="N741" s="10"/>
      <c r="O741" s="10"/>
      <c r="P741" s="10"/>
      <c r="Q741" s="10"/>
      <c r="R741" s="10"/>
      <c r="S741" s="10"/>
      <c r="T741" s="10"/>
      <c r="U741" s="10"/>
      <c r="V741" s="10"/>
      <c r="W741" s="10"/>
      <c r="X741" s="10"/>
      <c r="Y741" s="10"/>
      <c r="Z741" s="10"/>
      <c r="AA741" s="10"/>
      <c r="AB741" s="10"/>
      <c r="AC741" s="10"/>
      <c r="AD741" s="10"/>
      <c r="AE741" s="10"/>
      <c r="AF741" s="10"/>
    </row>
    <row r="742">
      <c r="A742" s="7"/>
      <c r="B742" s="8">
        <v>65.0</v>
      </c>
      <c r="C742" s="8">
        <v>53.0</v>
      </c>
      <c r="D742" s="8" t="s">
        <v>1204</v>
      </c>
      <c r="E742" s="7">
        <v>0.0</v>
      </c>
      <c r="F742" s="7"/>
      <c r="G742" s="7" t="s">
        <v>312</v>
      </c>
      <c r="H742" s="7" t="s">
        <v>313</v>
      </c>
      <c r="I742" s="10"/>
      <c r="J742" s="11"/>
      <c r="K742" s="12"/>
      <c r="L742" s="12"/>
      <c r="M742" s="10"/>
      <c r="N742" s="10"/>
      <c r="O742" s="10"/>
      <c r="P742" s="10"/>
      <c r="Q742" s="10"/>
      <c r="R742" s="10"/>
      <c r="S742" s="10"/>
      <c r="T742" s="10"/>
      <c r="U742" s="10"/>
      <c r="V742" s="10"/>
      <c r="W742" s="10"/>
      <c r="X742" s="10"/>
      <c r="Y742" s="10"/>
      <c r="Z742" s="10"/>
      <c r="AA742" s="10"/>
      <c r="AB742" s="10"/>
      <c r="AC742" s="10"/>
      <c r="AD742" s="10"/>
      <c r="AE742" s="10"/>
      <c r="AF742" s="10"/>
    </row>
    <row r="743">
      <c r="A743" s="7"/>
      <c r="B743" s="8">
        <v>65.0</v>
      </c>
      <c r="C743" s="8">
        <v>54.0</v>
      </c>
      <c r="D743" s="8" t="s">
        <v>1205</v>
      </c>
      <c r="E743" s="7">
        <v>0.0</v>
      </c>
      <c r="F743" s="7"/>
      <c r="G743" s="7" t="s">
        <v>312</v>
      </c>
      <c r="H743" s="7" t="s">
        <v>313</v>
      </c>
      <c r="I743" s="10"/>
      <c r="J743" s="11"/>
      <c r="K743" s="12"/>
      <c r="L743" s="12"/>
      <c r="M743" s="10"/>
      <c r="N743" s="10"/>
      <c r="O743" s="10"/>
      <c r="P743" s="10"/>
      <c r="Q743" s="10"/>
      <c r="R743" s="10"/>
      <c r="S743" s="10"/>
      <c r="T743" s="10"/>
      <c r="U743" s="10"/>
      <c r="V743" s="10"/>
      <c r="W743" s="10"/>
      <c r="X743" s="10"/>
      <c r="Y743" s="10"/>
      <c r="Z743" s="10"/>
      <c r="AA743" s="10"/>
      <c r="AB743" s="10"/>
      <c r="AC743" s="10"/>
      <c r="AD743" s="10"/>
      <c r="AE743" s="10"/>
      <c r="AF743" s="10"/>
    </row>
    <row r="744">
      <c r="A744" s="7"/>
      <c r="B744" s="8">
        <v>65.0</v>
      </c>
      <c r="C744" s="8">
        <v>55.0</v>
      </c>
      <c r="D744" s="8" t="s">
        <v>1206</v>
      </c>
      <c r="E744" s="7">
        <v>1.0</v>
      </c>
      <c r="F744" s="7"/>
      <c r="G744" s="7" t="s">
        <v>312</v>
      </c>
      <c r="H744" s="7" t="s">
        <v>313</v>
      </c>
      <c r="I744" s="7" t="s">
        <v>366</v>
      </c>
      <c r="J744" s="9" t="s">
        <v>1207</v>
      </c>
      <c r="K744" s="12"/>
      <c r="L744" s="12"/>
      <c r="M744" s="10"/>
      <c r="N744" s="10"/>
      <c r="O744" s="10"/>
      <c r="P744" s="10"/>
      <c r="Q744" s="10"/>
      <c r="R744" s="10"/>
      <c r="S744" s="10"/>
      <c r="T744" s="10"/>
      <c r="U744" s="10"/>
      <c r="V744" s="10"/>
      <c r="W744" s="10"/>
      <c r="X744" s="10"/>
      <c r="Y744" s="10"/>
      <c r="Z744" s="10"/>
      <c r="AA744" s="10"/>
      <c r="AB744" s="10"/>
      <c r="AC744" s="10"/>
      <c r="AD744" s="10"/>
      <c r="AE744" s="10"/>
      <c r="AF744" s="10"/>
    </row>
    <row r="745">
      <c r="A745" s="7"/>
      <c r="B745" s="8">
        <v>65.0</v>
      </c>
      <c r="C745" s="8">
        <v>56.0</v>
      </c>
      <c r="D745" s="8" t="s">
        <v>1208</v>
      </c>
      <c r="E745" s="7">
        <v>0.0</v>
      </c>
      <c r="F745" s="7"/>
      <c r="G745" s="7" t="s">
        <v>312</v>
      </c>
      <c r="H745" s="7" t="s">
        <v>313</v>
      </c>
      <c r="I745" s="10"/>
      <c r="J745" s="11"/>
      <c r="K745" s="8" t="s">
        <v>1209</v>
      </c>
      <c r="L745" s="12"/>
      <c r="M745" s="10"/>
      <c r="N745" s="10"/>
      <c r="O745" s="10"/>
      <c r="P745" s="10"/>
      <c r="Q745" s="10"/>
      <c r="R745" s="10"/>
      <c r="S745" s="10"/>
      <c r="T745" s="10"/>
      <c r="U745" s="10"/>
      <c r="V745" s="10"/>
      <c r="W745" s="10"/>
      <c r="X745" s="10"/>
      <c r="Y745" s="10"/>
      <c r="Z745" s="10"/>
      <c r="AA745" s="10"/>
      <c r="AB745" s="10"/>
      <c r="AC745" s="10"/>
      <c r="AD745" s="10"/>
      <c r="AE745" s="10"/>
      <c r="AF745" s="10"/>
    </row>
    <row r="746">
      <c r="A746" s="7"/>
      <c r="B746" s="8">
        <v>65.0</v>
      </c>
      <c r="C746" s="8">
        <v>57.0</v>
      </c>
      <c r="D746" s="8" t="s">
        <v>1210</v>
      </c>
      <c r="E746" s="7">
        <v>0.0</v>
      </c>
      <c r="F746" s="7"/>
      <c r="G746" s="7" t="s">
        <v>312</v>
      </c>
      <c r="H746" s="7" t="s">
        <v>313</v>
      </c>
      <c r="I746" s="10"/>
      <c r="J746" s="11"/>
      <c r="K746" s="8" t="s">
        <v>1209</v>
      </c>
      <c r="L746" s="12"/>
      <c r="M746" s="10"/>
      <c r="N746" s="10"/>
      <c r="O746" s="10"/>
      <c r="P746" s="10"/>
      <c r="Q746" s="10"/>
      <c r="R746" s="10"/>
      <c r="S746" s="10"/>
      <c r="T746" s="10"/>
      <c r="U746" s="10"/>
      <c r="V746" s="10"/>
      <c r="W746" s="10"/>
      <c r="X746" s="10"/>
      <c r="Y746" s="10"/>
      <c r="Z746" s="10"/>
      <c r="AA746" s="10"/>
      <c r="AB746" s="10"/>
      <c r="AC746" s="10"/>
      <c r="AD746" s="10"/>
      <c r="AE746" s="10"/>
      <c r="AF746" s="10"/>
    </row>
    <row r="747">
      <c r="A747" s="7"/>
      <c r="B747" s="8">
        <v>65.0</v>
      </c>
      <c r="C747" s="8">
        <v>58.0</v>
      </c>
      <c r="D747" s="8" t="s">
        <v>1211</v>
      </c>
      <c r="E747" s="7">
        <v>0.0</v>
      </c>
      <c r="F747" s="7"/>
      <c r="G747" s="7" t="s">
        <v>312</v>
      </c>
      <c r="H747" s="7" t="s">
        <v>313</v>
      </c>
      <c r="I747" s="10"/>
      <c r="J747" s="11"/>
      <c r="K747" s="8" t="s">
        <v>1209</v>
      </c>
      <c r="L747" s="12"/>
      <c r="M747" s="10"/>
      <c r="N747" s="10"/>
      <c r="O747" s="10"/>
      <c r="P747" s="10"/>
      <c r="Q747" s="10"/>
      <c r="R747" s="10"/>
      <c r="S747" s="10"/>
      <c r="T747" s="10"/>
      <c r="U747" s="10"/>
      <c r="V747" s="10"/>
      <c r="W747" s="10"/>
      <c r="X747" s="10"/>
      <c r="Y747" s="10"/>
      <c r="Z747" s="10"/>
      <c r="AA747" s="10"/>
      <c r="AB747" s="10"/>
      <c r="AC747" s="10"/>
      <c r="AD747" s="10"/>
      <c r="AE747" s="10"/>
      <c r="AF747" s="10"/>
    </row>
    <row r="748">
      <c r="A748" s="7"/>
      <c r="B748" s="8">
        <v>65.0</v>
      </c>
      <c r="C748" s="8">
        <v>59.0</v>
      </c>
      <c r="D748" s="8" t="s">
        <v>1212</v>
      </c>
      <c r="E748" s="7">
        <v>1.0</v>
      </c>
      <c r="F748" s="7"/>
      <c r="G748" s="7" t="s">
        <v>312</v>
      </c>
      <c r="H748" s="7" t="s">
        <v>313</v>
      </c>
      <c r="I748" s="7"/>
      <c r="J748" s="16"/>
      <c r="K748" s="12"/>
      <c r="L748" s="12"/>
      <c r="M748" s="10"/>
      <c r="N748" s="10"/>
      <c r="O748" s="10"/>
      <c r="P748" s="10"/>
      <c r="Q748" s="10"/>
      <c r="R748" s="10"/>
      <c r="S748" s="10"/>
      <c r="T748" s="10"/>
      <c r="U748" s="10"/>
      <c r="V748" s="10"/>
      <c r="W748" s="10"/>
      <c r="X748" s="10"/>
      <c r="Y748" s="10"/>
      <c r="Z748" s="10"/>
      <c r="AA748" s="10"/>
      <c r="AB748" s="10"/>
      <c r="AC748" s="10"/>
      <c r="AD748" s="10"/>
      <c r="AE748" s="10"/>
      <c r="AF748" s="10"/>
    </row>
    <row r="749">
      <c r="A749" s="7"/>
      <c r="B749" s="8">
        <v>65.0</v>
      </c>
      <c r="C749" s="8">
        <v>60.0</v>
      </c>
      <c r="D749" s="8" t="s">
        <v>1213</v>
      </c>
      <c r="E749" s="7">
        <v>1.0</v>
      </c>
      <c r="F749" s="7"/>
      <c r="G749" s="7" t="s">
        <v>312</v>
      </c>
      <c r="H749" s="7" t="s">
        <v>313</v>
      </c>
      <c r="I749" s="7"/>
      <c r="J749" s="11"/>
      <c r="K749" s="12"/>
      <c r="L749" s="12"/>
      <c r="M749" s="10"/>
      <c r="N749" s="10"/>
      <c r="O749" s="10"/>
      <c r="P749" s="10"/>
      <c r="Q749" s="10"/>
      <c r="R749" s="10"/>
      <c r="S749" s="10"/>
      <c r="T749" s="10"/>
      <c r="U749" s="10"/>
      <c r="V749" s="10"/>
      <c r="W749" s="10"/>
      <c r="X749" s="10"/>
      <c r="Y749" s="10"/>
      <c r="Z749" s="10"/>
      <c r="AA749" s="10"/>
      <c r="AB749" s="10"/>
      <c r="AC749" s="10"/>
      <c r="AD749" s="10"/>
      <c r="AE749" s="10"/>
      <c r="AF749" s="10"/>
    </row>
    <row r="750">
      <c r="A750" s="7"/>
      <c r="B750" s="8">
        <v>65.0</v>
      </c>
      <c r="C750" s="8">
        <v>61.0</v>
      </c>
      <c r="D750" s="8" t="s">
        <v>1214</v>
      </c>
      <c r="E750" s="7">
        <v>1.0</v>
      </c>
      <c r="F750" s="7"/>
      <c r="G750" s="7" t="s">
        <v>312</v>
      </c>
      <c r="H750" s="7" t="s">
        <v>313</v>
      </c>
      <c r="I750" s="7"/>
      <c r="J750" s="11"/>
      <c r="K750" s="12"/>
      <c r="L750" s="12"/>
      <c r="M750" s="10"/>
      <c r="N750" s="10"/>
      <c r="O750" s="10"/>
      <c r="P750" s="10"/>
      <c r="Q750" s="10"/>
      <c r="R750" s="10"/>
      <c r="S750" s="10"/>
      <c r="T750" s="10"/>
      <c r="U750" s="10"/>
      <c r="V750" s="10"/>
      <c r="W750" s="10"/>
      <c r="X750" s="10"/>
      <c r="Y750" s="10"/>
      <c r="Z750" s="10"/>
      <c r="AA750" s="10"/>
      <c r="AB750" s="10"/>
      <c r="AC750" s="10"/>
      <c r="AD750" s="10"/>
      <c r="AE750" s="10"/>
      <c r="AF750" s="10"/>
    </row>
    <row r="751">
      <c r="A751" s="7"/>
      <c r="B751" s="8">
        <v>65.0</v>
      </c>
      <c r="C751" s="8">
        <v>62.0</v>
      </c>
      <c r="D751" s="8" t="s">
        <v>1215</v>
      </c>
      <c r="E751" s="7">
        <v>0.0</v>
      </c>
      <c r="F751" s="7"/>
      <c r="G751" s="7" t="s">
        <v>312</v>
      </c>
      <c r="H751" s="7" t="s">
        <v>313</v>
      </c>
      <c r="I751" s="10"/>
      <c r="J751" s="11"/>
      <c r="K751" s="12"/>
      <c r="L751" s="12"/>
      <c r="M751" s="10"/>
      <c r="N751" s="10"/>
      <c r="O751" s="10"/>
      <c r="P751" s="10"/>
      <c r="Q751" s="10"/>
      <c r="R751" s="10"/>
      <c r="S751" s="10"/>
      <c r="T751" s="10"/>
      <c r="U751" s="10"/>
      <c r="V751" s="10"/>
      <c r="W751" s="10"/>
      <c r="X751" s="10"/>
      <c r="Y751" s="10"/>
      <c r="Z751" s="10"/>
      <c r="AA751" s="10"/>
      <c r="AB751" s="10"/>
      <c r="AC751" s="10"/>
      <c r="AD751" s="10"/>
      <c r="AE751" s="10"/>
      <c r="AF751" s="10"/>
    </row>
    <row r="752">
      <c r="A752" s="7"/>
      <c r="B752" s="8">
        <v>65.0</v>
      </c>
      <c r="C752" s="8">
        <v>63.0</v>
      </c>
      <c r="D752" s="8" t="s">
        <v>1216</v>
      </c>
      <c r="E752" s="7">
        <v>0.0</v>
      </c>
      <c r="F752" s="7"/>
      <c r="G752" s="7" t="s">
        <v>312</v>
      </c>
      <c r="H752" s="7" t="s">
        <v>313</v>
      </c>
      <c r="I752" s="10"/>
      <c r="J752" s="11"/>
      <c r="K752" s="12"/>
      <c r="L752" s="12"/>
      <c r="M752" s="10"/>
      <c r="N752" s="10"/>
      <c r="O752" s="10"/>
      <c r="P752" s="10"/>
      <c r="Q752" s="10"/>
      <c r="R752" s="10"/>
      <c r="S752" s="10"/>
      <c r="T752" s="10"/>
      <c r="U752" s="10"/>
      <c r="V752" s="10"/>
      <c r="W752" s="10"/>
      <c r="X752" s="10"/>
      <c r="Y752" s="10"/>
      <c r="Z752" s="10"/>
      <c r="AA752" s="10"/>
      <c r="AB752" s="10"/>
      <c r="AC752" s="10"/>
      <c r="AD752" s="10"/>
      <c r="AE752" s="10"/>
      <c r="AF752" s="10"/>
    </row>
    <row r="753">
      <c r="A753" s="7"/>
      <c r="B753" s="8">
        <v>65.0</v>
      </c>
      <c r="C753" s="8">
        <v>64.0</v>
      </c>
      <c r="D753" s="8" t="s">
        <v>1217</v>
      </c>
      <c r="E753" s="7">
        <v>0.0</v>
      </c>
      <c r="F753" s="7"/>
      <c r="G753" s="7" t="s">
        <v>312</v>
      </c>
      <c r="H753" s="7" t="s">
        <v>313</v>
      </c>
      <c r="I753" s="10"/>
      <c r="J753" s="11"/>
      <c r="K753" s="8" t="s">
        <v>1209</v>
      </c>
      <c r="L753" s="12"/>
      <c r="M753" s="10"/>
      <c r="N753" s="10"/>
      <c r="O753" s="10"/>
      <c r="P753" s="10"/>
      <c r="Q753" s="10"/>
      <c r="R753" s="10"/>
      <c r="S753" s="10"/>
      <c r="T753" s="10"/>
      <c r="U753" s="10"/>
      <c r="V753" s="10"/>
      <c r="W753" s="10"/>
      <c r="X753" s="10"/>
      <c r="Y753" s="10"/>
      <c r="Z753" s="10"/>
      <c r="AA753" s="10"/>
      <c r="AB753" s="10"/>
      <c r="AC753" s="10"/>
      <c r="AD753" s="10"/>
      <c r="AE753" s="10"/>
      <c r="AF753" s="10"/>
    </row>
    <row r="754">
      <c r="A754" s="7"/>
      <c r="B754" s="8">
        <v>65.0</v>
      </c>
      <c r="C754" s="8">
        <v>65.0</v>
      </c>
      <c r="D754" s="8" t="s">
        <v>1218</v>
      </c>
      <c r="E754" s="7">
        <v>0.0</v>
      </c>
      <c r="F754" s="7"/>
      <c r="G754" s="7" t="s">
        <v>312</v>
      </c>
      <c r="H754" s="7" t="s">
        <v>313</v>
      </c>
      <c r="I754" s="10"/>
      <c r="J754" s="11"/>
      <c r="K754" s="8" t="s">
        <v>1209</v>
      </c>
      <c r="L754" s="12"/>
      <c r="M754" s="10"/>
      <c r="N754" s="10"/>
      <c r="O754" s="10"/>
      <c r="P754" s="10"/>
      <c r="Q754" s="10"/>
      <c r="R754" s="10"/>
      <c r="S754" s="10"/>
      <c r="T754" s="10"/>
      <c r="U754" s="10"/>
      <c r="V754" s="10"/>
      <c r="W754" s="10"/>
      <c r="X754" s="10"/>
      <c r="Y754" s="10"/>
      <c r="Z754" s="10"/>
      <c r="AA754" s="10"/>
      <c r="AB754" s="10"/>
      <c r="AC754" s="10"/>
      <c r="AD754" s="10"/>
      <c r="AE754" s="10"/>
      <c r="AF754" s="10"/>
    </row>
    <row r="755">
      <c r="A755" s="7"/>
      <c r="B755" s="8">
        <v>65.0</v>
      </c>
      <c r="C755" s="8">
        <v>66.0</v>
      </c>
      <c r="D755" s="8" t="s">
        <v>1219</v>
      </c>
      <c r="E755" s="7">
        <v>1.0</v>
      </c>
      <c r="F755" s="7"/>
      <c r="G755" s="7" t="s">
        <v>312</v>
      </c>
      <c r="H755" s="7" t="s">
        <v>313</v>
      </c>
      <c r="I755" s="7"/>
      <c r="J755" s="11"/>
      <c r="K755" s="12"/>
      <c r="L755" s="12"/>
      <c r="M755" s="10"/>
      <c r="N755" s="10"/>
      <c r="O755" s="10"/>
      <c r="P755" s="10"/>
      <c r="Q755" s="10"/>
      <c r="R755" s="10"/>
      <c r="S755" s="10"/>
      <c r="T755" s="10"/>
      <c r="U755" s="10"/>
      <c r="V755" s="10"/>
      <c r="W755" s="10"/>
      <c r="X755" s="10"/>
      <c r="Y755" s="10"/>
      <c r="Z755" s="10"/>
      <c r="AA755" s="10"/>
      <c r="AB755" s="10"/>
      <c r="AC755" s="10"/>
      <c r="AD755" s="10"/>
      <c r="AE755" s="10"/>
      <c r="AF755" s="10"/>
    </row>
    <row r="756">
      <c r="A756" s="7"/>
      <c r="B756" s="8">
        <v>65.0</v>
      </c>
      <c r="C756" s="8">
        <v>67.0</v>
      </c>
      <c r="D756" s="8" t="s">
        <v>1220</v>
      </c>
      <c r="E756" s="7">
        <v>1.0</v>
      </c>
      <c r="F756" s="7"/>
      <c r="G756" s="7" t="s">
        <v>312</v>
      </c>
      <c r="H756" s="7" t="s">
        <v>313</v>
      </c>
      <c r="I756" s="7"/>
      <c r="J756" s="11"/>
      <c r="K756" s="12"/>
      <c r="L756" s="12"/>
      <c r="M756" s="10"/>
      <c r="N756" s="10"/>
      <c r="O756" s="10"/>
      <c r="P756" s="10"/>
      <c r="Q756" s="10"/>
      <c r="R756" s="10"/>
      <c r="S756" s="10"/>
      <c r="T756" s="10"/>
      <c r="U756" s="10"/>
      <c r="V756" s="10"/>
      <c r="W756" s="10"/>
      <c r="X756" s="10"/>
      <c r="Y756" s="10"/>
      <c r="Z756" s="10"/>
      <c r="AA756" s="10"/>
      <c r="AB756" s="10"/>
      <c r="AC756" s="10"/>
      <c r="AD756" s="10"/>
      <c r="AE756" s="10"/>
      <c r="AF756" s="10"/>
    </row>
    <row r="757">
      <c r="A757" s="7"/>
      <c r="B757" s="8">
        <v>65.0</v>
      </c>
      <c r="C757" s="8">
        <v>68.0</v>
      </c>
      <c r="D757" s="8" t="s">
        <v>1221</v>
      </c>
      <c r="E757" s="7">
        <v>1.0</v>
      </c>
      <c r="F757" s="7"/>
      <c r="G757" s="7" t="s">
        <v>312</v>
      </c>
      <c r="H757" s="7" t="s">
        <v>313</v>
      </c>
      <c r="I757" s="7"/>
      <c r="J757" s="11"/>
      <c r="K757" s="12"/>
      <c r="L757" s="12"/>
      <c r="M757" s="10"/>
      <c r="N757" s="10"/>
      <c r="O757" s="10"/>
      <c r="P757" s="10"/>
      <c r="Q757" s="10"/>
      <c r="R757" s="10"/>
      <c r="S757" s="10"/>
      <c r="T757" s="10"/>
      <c r="U757" s="10"/>
      <c r="V757" s="10"/>
      <c r="W757" s="10"/>
      <c r="X757" s="10"/>
      <c r="Y757" s="10"/>
      <c r="Z757" s="10"/>
      <c r="AA757" s="10"/>
      <c r="AB757" s="10"/>
      <c r="AC757" s="10"/>
      <c r="AD757" s="10"/>
      <c r="AE757" s="10"/>
      <c r="AF757" s="10"/>
    </row>
    <row r="758">
      <c r="A758" s="7"/>
      <c r="B758" s="8">
        <v>65.0</v>
      </c>
      <c r="C758" s="8">
        <v>69.0</v>
      </c>
      <c r="D758" s="8" t="s">
        <v>1222</v>
      </c>
      <c r="E758" s="7">
        <v>0.0</v>
      </c>
      <c r="F758" s="7"/>
      <c r="G758" s="7" t="s">
        <v>312</v>
      </c>
      <c r="H758" s="7" t="s">
        <v>313</v>
      </c>
      <c r="I758" s="10"/>
      <c r="J758" s="11"/>
      <c r="K758" s="12"/>
      <c r="L758" s="12"/>
      <c r="M758" s="10"/>
      <c r="N758" s="10"/>
      <c r="O758" s="10"/>
      <c r="P758" s="10"/>
      <c r="Q758" s="10"/>
      <c r="R758" s="10"/>
      <c r="S758" s="10"/>
      <c r="T758" s="10"/>
      <c r="U758" s="10"/>
      <c r="V758" s="10"/>
      <c r="W758" s="10"/>
      <c r="X758" s="10"/>
      <c r="Y758" s="10"/>
      <c r="Z758" s="10"/>
      <c r="AA758" s="10"/>
      <c r="AB758" s="10"/>
      <c r="AC758" s="10"/>
      <c r="AD758" s="10"/>
      <c r="AE758" s="10"/>
      <c r="AF758" s="10"/>
    </row>
    <row r="759">
      <c r="A759" s="7"/>
      <c r="B759" s="8">
        <v>65.0</v>
      </c>
      <c r="C759" s="8">
        <v>70.0</v>
      </c>
      <c r="D759" s="8" t="s">
        <v>1223</v>
      </c>
      <c r="E759" s="7">
        <v>0.0</v>
      </c>
      <c r="F759" s="7"/>
      <c r="G759" s="7" t="s">
        <v>312</v>
      </c>
      <c r="H759" s="7" t="s">
        <v>313</v>
      </c>
      <c r="I759" s="10"/>
      <c r="J759" s="11"/>
      <c r="K759" s="12"/>
      <c r="L759" s="12"/>
      <c r="M759" s="10"/>
      <c r="N759" s="10"/>
      <c r="O759" s="10"/>
      <c r="P759" s="10"/>
      <c r="Q759" s="10"/>
      <c r="R759" s="10"/>
      <c r="S759" s="10"/>
      <c r="T759" s="10"/>
      <c r="U759" s="10"/>
      <c r="V759" s="10"/>
      <c r="W759" s="10"/>
      <c r="X759" s="10"/>
      <c r="Y759" s="10"/>
      <c r="Z759" s="10"/>
      <c r="AA759" s="10"/>
      <c r="AB759" s="10"/>
      <c r="AC759" s="10"/>
      <c r="AD759" s="10"/>
      <c r="AE759" s="10"/>
      <c r="AF759" s="10"/>
    </row>
    <row r="760">
      <c r="A760" s="7"/>
      <c r="B760" s="8">
        <v>65.0</v>
      </c>
      <c r="C760" s="8">
        <v>71.0</v>
      </c>
      <c r="D760" s="8" t="s">
        <v>1224</v>
      </c>
      <c r="E760" s="7">
        <v>0.0</v>
      </c>
      <c r="F760" s="7"/>
      <c r="G760" s="7" t="s">
        <v>312</v>
      </c>
      <c r="H760" s="7" t="s">
        <v>313</v>
      </c>
      <c r="I760" s="10"/>
      <c r="J760" s="11"/>
      <c r="K760" s="8" t="s">
        <v>1209</v>
      </c>
      <c r="L760" s="12"/>
      <c r="M760" s="10"/>
      <c r="N760" s="10"/>
      <c r="O760" s="10"/>
      <c r="P760" s="10"/>
      <c r="Q760" s="10"/>
      <c r="R760" s="10"/>
      <c r="S760" s="10"/>
      <c r="T760" s="10"/>
      <c r="U760" s="10"/>
      <c r="V760" s="10"/>
      <c r="W760" s="10"/>
      <c r="X760" s="10"/>
      <c r="Y760" s="10"/>
      <c r="Z760" s="10"/>
      <c r="AA760" s="10"/>
      <c r="AB760" s="10"/>
      <c r="AC760" s="10"/>
      <c r="AD760" s="10"/>
      <c r="AE760" s="10"/>
      <c r="AF760" s="10"/>
    </row>
    <row r="761">
      <c r="A761" s="7"/>
      <c r="B761" s="8">
        <v>65.0</v>
      </c>
      <c r="C761" s="8">
        <v>72.0</v>
      </c>
      <c r="D761" s="8" t="s">
        <v>1225</v>
      </c>
      <c r="E761" s="7">
        <v>1.0</v>
      </c>
      <c r="F761" s="7"/>
      <c r="G761" s="7" t="s">
        <v>312</v>
      </c>
      <c r="H761" s="7" t="s">
        <v>313</v>
      </c>
      <c r="I761" s="7"/>
      <c r="J761" s="11"/>
      <c r="K761" s="12"/>
      <c r="L761" s="12"/>
      <c r="M761" s="10"/>
      <c r="N761" s="10"/>
      <c r="O761" s="10"/>
      <c r="P761" s="10"/>
      <c r="Q761" s="10"/>
      <c r="R761" s="10"/>
      <c r="S761" s="10"/>
      <c r="T761" s="10"/>
      <c r="U761" s="10"/>
      <c r="V761" s="10"/>
      <c r="W761" s="10"/>
      <c r="X761" s="10"/>
      <c r="Y761" s="10"/>
      <c r="Z761" s="10"/>
      <c r="AA761" s="10"/>
      <c r="AB761" s="10"/>
      <c r="AC761" s="10"/>
      <c r="AD761" s="10"/>
      <c r="AE761" s="10"/>
      <c r="AF761" s="10"/>
    </row>
    <row r="762">
      <c r="A762" s="7"/>
      <c r="B762" s="8">
        <v>65.0</v>
      </c>
      <c r="C762" s="8">
        <v>73.0</v>
      </c>
      <c r="D762" s="8" t="s">
        <v>1226</v>
      </c>
      <c r="E762" s="7">
        <v>1.0</v>
      </c>
      <c r="F762" s="7"/>
      <c r="G762" s="7" t="s">
        <v>312</v>
      </c>
      <c r="H762" s="7" t="s">
        <v>313</v>
      </c>
      <c r="I762" s="7"/>
      <c r="J762" s="11"/>
      <c r="K762" s="12"/>
      <c r="L762" s="12"/>
      <c r="M762" s="10"/>
      <c r="N762" s="10"/>
      <c r="O762" s="10"/>
      <c r="P762" s="10"/>
      <c r="Q762" s="10"/>
      <c r="R762" s="10"/>
      <c r="S762" s="10"/>
      <c r="T762" s="10"/>
      <c r="U762" s="10"/>
      <c r="V762" s="10"/>
      <c r="W762" s="10"/>
      <c r="X762" s="10"/>
      <c r="Y762" s="10"/>
      <c r="Z762" s="10"/>
      <c r="AA762" s="10"/>
      <c r="AB762" s="10"/>
      <c r="AC762" s="10"/>
      <c r="AD762" s="10"/>
      <c r="AE762" s="10"/>
      <c r="AF762" s="10"/>
    </row>
    <row r="763">
      <c r="A763" s="7"/>
      <c r="B763" s="8">
        <v>65.0</v>
      </c>
      <c r="C763" s="8">
        <v>74.0</v>
      </c>
      <c r="D763" s="8" t="s">
        <v>1227</v>
      </c>
      <c r="E763" s="7">
        <v>1.0</v>
      </c>
      <c r="F763" s="7"/>
      <c r="G763" s="7" t="s">
        <v>312</v>
      </c>
      <c r="H763" s="7" t="s">
        <v>313</v>
      </c>
      <c r="I763" s="7"/>
      <c r="J763" s="11"/>
      <c r="K763" s="12"/>
      <c r="L763" s="12"/>
      <c r="M763" s="10"/>
      <c r="N763" s="10"/>
      <c r="O763" s="10"/>
      <c r="P763" s="10"/>
      <c r="Q763" s="10"/>
      <c r="R763" s="10"/>
      <c r="S763" s="10"/>
      <c r="T763" s="10"/>
      <c r="U763" s="10"/>
      <c r="V763" s="10"/>
      <c r="W763" s="10"/>
      <c r="X763" s="10"/>
      <c r="Y763" s="10"/>
      <c r="Z763" s="10"/>
      <c r="AA763" s="10"/>
      <c r="AB763" s="10"/>
      <c r="AC763" s="10"/>
      <c r="AD763" s="10"/>
      <c r="AE763" s="10"/>
      <c r="AF763" s="10"/>
    </row>
    <row r="764">
      <c r="A764" s="7"/>
      <c r="B764" s="8">
        <v>65.0</v>
      </c>
      <c r="C764" s="8">
        <v>75.0</v>
      </c>
      <c r="D764" s="8" t="s">
        <v>1228</v>
      </c>
      <c r="E764" s="7">
        <v>0.0</v>
      </c>
      <c r="F764" s="7"/>
      <c r="G764" s="7" t="s">
        <v>312</v>
      </c>
      <c r="H764" s="7" t="s">
        <v>313</v>
      </c>
      <c r="I764" s="10"/>
      <c r="J764" s="11"/>
      <c r="K764" s="12"/>
      <c r="L764" s="12"/>
      <c r="M764" s="10"/>
      <c r="N764" s="10"/>
      <c r="O764" s="10"/>
      <c r="P764" s="10"/>
      <c r="Q764" s="10"/>
      <c r="R764" s="10"/>
      <c r="S764" s="10"/>
      <c r="T764" s="10"/>
      <c r="U764" s="10"/>
      <c r="V764" s="10"/>
      <c r="W764" s="10"/>
      <c r="X764" s="10"/>
      <c r="Y764" s="10"/>
      <c r="Z764" s="10"/>
      <c r="AA764" s="10"/>
      <c r="AB764" s="10"/>
      <c r="AC764" s="10"/>
      <c r="AD764" s="10"/>
      <c r="AE764" s="10"/>
      <c r="AF764" s="10"/>
    </row>
    <row r="765">
      <c r="A765" s="7"/>
      <c r="B765" s="8">
        <v>65.0</v>
      </c>
      <c r="C765" s="8">
        <v>76.0</v>
      </c>
      <c r="D765" s="8" t="s">
        <v>1229</v>
      </c>
      <c r="E765" s="7">
        <v>0.0</v>
      </c>
      <c r="F765" s="7"/>
      <c r="G765" s="7" t="s">
        <v>312</v>
      </c>
      <c r="H765" s="7" t="s">
        <v>313</v>
      </c>
      <c r="I765" s="10"/>
      <c r="J765" s="11"/>
      <c r="K765" s="12"/>
      <c r="L765" s="12"/>
      <c r="M765" s="10"/>
      <c r="N765" s="10"/>
      <c r="O765" s="10"/>
      <c r="P765" s="10"/>
      <c r="Q765" s="10"/>
      <c r="R765" s="10"/>
      <c r="S765" s="10"/>
      <c r="T765" s="10"/>
      <c r="U765" s="10"/>
      <c r="V765" s="10"/>
      <c r="W765" s="10"/>
      <c r="X765" s="10"/>
      <c r="Y765" s="10"/>
      <c r="Z765" s="10"/>
      <c r="AA765" s="10"/>
      <c r="AB765" s="10"/>
      <c r="AC765" s="10"/>
      <c r="AD765" s="10"/>
      <c r="AE765" s="10"/>
      <c r="AF765" s="10"/>
    </row>
    <row r="766">
      <c r="A766" s="7"/>
      <c r="B766" s="8">
        <v>65.0</v>
      </c>
      <c r="C766" s="8">
        <v>77.0</v>
      </c>
      <c r="D766" s="8" t="s">
        <v>1230</v>
      </c>
      <c r="E766" s="7">
        <v>1.0</v>
      </c>
      <c r="F766" s="7"/>
      <c r="G766" s="7" t="s">
        <v>312</v>
      </c>
      <c r="H766" s="7" t="s">
        <v>313</v>
      </c>
      <c r="I766" s="10"/>
      <c r="J766" s="11"/>
      <c r="K766" s="12"/>
      <c r="L766" s="12"/>
      <c r="M766" s="10"/>
      <c r="N766" s="10"/>
      <c r="O766" s="10"/>
      <c r="P766" s="10"/>
      <c r="Q766" s="10"/>
      <c r="R766" s="10"/>
      <c r="S766" s="10"/>
      <c r="T766" s="10"/>
      <c r="U766" s="10"/>
      <c r="V766" s="10"/>
      <c r="W766" s="10"/>
      <c r="X766" s="10"/>
      <c r="Y766" s="10"/>
      <c r="Z766" s="10"/>
      <c r="AA766" s="10"/>
      <c r="AB766" s="10"/>
      <c r="AC766" s="10"/>
      <c r="AD766" s="10"/>
      <c r="AE766" s="10"/>
      <c r="AF766" s="10"/>
    </row>
    <row r="767">
      <c r="A767" s="7"/>
      <c r="B767" s="8">
        <v>65.0</v>
      </c>
      <c r="C767" s="8">
        <v>78.0</v>
      </c>
      <c r="D767" s="8" t="s">
        <v>1231</v>
      </c>
      <c r="E767" s="7">
        <v>1.0</v>
      </c>
      <c r="F767" s="7"/>
      <c r="G767" s="7" t="s">
        <v>312</v>
      </c>
      <c r="H767" s="7" t="s">
        <v>313</v>
      </c>
      <c r="I767" s="10"/>
      <c r="J767" s="11"/>
      <c r="K767" s="12"/>
      <c r="L767" s="12"/>
      <c r="M767" s="10"/>
      <c r="N767" s="10"/>
      <c r="O767" s="10"/>
      <c r="P767" s="10"/>
      <c r="Q767" s="10"/>
      <c r="R767" s="10"/>
      <c r="S767" s="10"/>
      <c r="T767" s="10"/>
      <c r="U767" s="10"/>
      <c r="V767" s="10"/>
      <c r="W767" s="10"/>
      <c r="X767" s="10"/>
      <c r="Y767" s="10"/>
      <c r="Z767" s="10"/>
      <c r="AA767" s="10"/>
      <c r="AB767" s="10"/>
      <c r="AC767" s="10"/>
      <c r="AD767" s="10"/>
      <c r="AE767" s="10"/>
      <c r="AF767" s="10"/>
    </row>
    <row r="768">
      <c r="A768" s="7"/>
      <c r="B768" s="8">
        <v>65.0</v>
      </c>
      <c r="C768" s="8">
        <v>79.0</v>
      </c>
      <c r="D768" s="8" t="s">
        <v>1232</v>
      </c>
      <c r="E768" s="7">
        <v>1.0</v>
      </c>
      <c r="F768" s="7"/>
      <c r="G768" s="7" t="s">
        <v>312</v>
      </c>
      <c r="H768" s="7" t="s">
        <v>313</v>
      </c>
      <c r="I768" s="10"/>
      <c r="J768" s="11"/>
      <c r="K768" s="12"/>
      <c r="L768" s="12"/>
      <c r="M768" s="10"/>
      <c r="N768" s="10"/>
      <c r="O768" s="10"/>
      <c r="P768" s="10"/>
      <c r="Q768" s="10"/>
      <c r="R768" s="10"/>
      <c r="S768" s="10"/>
      <c r="T768" s="10"/>
      <c r="U768" s="10"/>
      <c r="V768" s="10"/>
      <c r="W768" s="10"/>
      <c r="X768" s="10"/>
      <c r="Y768" s="10"/>
      <c r="Z768" s="10"/>
      <c r="AA768" s="10"/>
      <c r="AB768" s="10"/>
      <c r="AC768" s="10"/>
      <c r="AD768" s="10"/>
      <c r="AE768" s="10"/>
      <c r="AF768" s="10"/>
    </row>
    <row r="769">
      <c r="A769" s="7"/>
      <c r="B769" s="8">
        <v>65.0</v>
      </c>
      <c r="C769" s="8">
        <v>80.0</v>
      </c>
      <c r="D769" s="8" t="s">
        <v>1233</v>
      </c>
      <c r="E769" s="7">
        <v>0.0</v>
      </c>
      <c r="F769" s="7"/>
      <c r="G769" s="7" t="s">
        <v>312</v>
      </c>
      <c r="H769" s="7" t="s">
        <v>313</v>
      </c>
      <c r="I769" s="10"/>
      <c r="J769" s="11"/>
      <c r="K769" s="12"/>
      <c r="L769" s="12"/>
      <c r="M769" s="10"/>
      <c r="N769" s="10"/>
      <c r="O769" s="10"/>
      <c r="P769" s="10"/>
      <c r="Q769" s="10"/>
      <c r="R769" s="10"/>
      <c r="S769" s="10"/>
      <c r="T769" s="10"/>
      <c r="U769" s="10"/>
      <c r="V769" s="10"/>
      <c r="W769" s="10"/>
      <c r="X769" s="10"/>
      <c r="Y769" s="10"/>
      <c r="Z769" s="10"/>
      <c r="AA769" s="10"/>
      <c r="AB769" s="10"/>
      <c r="AC769" s="10"/>
      <c r="AD769" s="10"/>
      <c r="AE769" s="10"/>
      <c r="AF769" s="10"/>
    </row>
    <row r="770">
      <c r="A770" s="7"/>
      <c r="B770" s="8">
        <v>65.0</v>
      </c>
      <c r="C770" s="8">
        <v>81.0</v>
      </c>
      <c r="D770" s="8" t="s">
        <v>1234</v>
      </c>
      <c r="E770" s="7">
        <v>0.0</v>
      </c>
      <c r="F770" s="7"/>
      <c r="G770" s="7" t="s">
        <v>312</v>
      </c>
      <c r="H770" s="7" t="s">
        <v>313</v>
      </c>
      <c r="I770" s="10"/>
      <c r="J770" s="11"/>
      <c r="K770" s="12"/>
      <c r="L770" s="12"/>
      <c r="M770" s="10"/>
      <c r="N770" s="10"/>
      <c r="O770" s="10"/>
      <c r="P770" s="10"/>
      <c r="Q770" s="10"/>
      <c r="R770" s="10"/>
      <c r="S770" s="10"/>
      <c r="T770" s="10"/>
      <c r="U770" s="10"/>
      <c r="V770" s="10"/>
      <c r="W770" s="10"/>
      <c r="X770" s="10"/>
      <c r="Y770" s="10"/>
      <c r="Z770" s="10"/>
      <c r="AA770" s="10"/>
      <c r="AB770" s="10"/>
      <c r="AC770" s="10"/>
      <c r="AD770" s="10"/>
      <c r="AE770" s="10"/>
      <c r="AF770" s="10"/>
    </row>
    <row r="771">
      <c r="A771" s="7"/>
      <c r="B771" s="8">
        <v>65.0</v>
      </c>
      <c r="C771" s="8">
        <v>82.0</v>
      </c>
      <c r="D771" s="8" t="s">
        <v>1235</v>
      </c>
      <c r="E771" s="7">
        <v>0.0</v>
      </c>
      <c r="F771" s="7"/>
      <c r="G771" s="7" t="s">
        <v>312</v>
      </c>
      <c r="H771" s="7" t="s">
        <v>313</v>
      </c>
      <c r="I771" s="10"/>
      <c r="J771" s="11"/>
      <c r="K771" s="8"/>
      <c r="L771" s="12"/>
      <c r="M771" s="10"/>
      <c r="N771" s="10"/>
      <c r="O771" s="10"/>
      <c r="P771" s="10"/>
      <c r="Q771" s="10"/>
      <c r="R771" s="10"/>
      <c r="S771" s="10"/>
      <c r="T771" s="10"/>
      <c r="U771" s="10"/>
      <c r="V771" s="10"/>
      <c r="W771" s="10"/>
      <c r="X771" s="10"/>
      <c r="Y771" s="10"/>
      <c r="Z771" s="10"/>
      <c r="AA771" s="10"/>
      <c r="AB771" s="10"/>
      <c r="AC771" s="10"/>
      <c r="AD771" s="10"/>
      <c r="AE771" s="10"/>
      <c r="AF771" s="10"/>
    </row>
    <row r="772">
      <c r="A772" s="7"/>
      <c r="B772" s="8">
        <v>65.0</v>
      </c>
      <c r="C772" s="8">
        <v>83.0</v>
      </c>
      <c r="D772" s="8" t="s">
        <v>1236</v>
      </c>
      <c r="E772" s="7">
        <v>0.0</v>
      </c>
      <c r="F772" s="7"/>
      <c r="G772" s="7" t="s">
        <v>312</v>
      </c>
      <c r="H772" s="7" t="s">
        <v>313</v>
      </c>
      <c r="I772" s="10"/>
      <c r="J772" s="11"/>
      <c r="K772" s="12"/>
      <c r="L772" s="12"/>
      <c r="M772" s="10"/>
      <c r="N772" s="10"/>
      <c r="O772" s="10"/>
      <c r="P772" s="10"/>
      <c r="Q772" s="10"/>
      <c r="R772" s="10"/>
      <c r="S772" s="10"/>
      <c r="T772" s="10"/>
      <c r="U772" s="10"/>
      <c r="V772" s="10"/>
      <c r="W772" s="10"/>
      <c r="X772" s="10"/>
      <c r="Y772" s="10"/>
      <c r="Z772" s="10"/>
      <c r="AA772" s="10"/>
      <c r="AB772" s="10"/>
      <c r="AC772" s="10"/>
      <c r="AD772" s="10"/>
      <c r="AE772" s="10"/>
      <c r="AF772" s="10"/>
    </row>
    <row r="773">
      <c r="A773" s="7"/>
      <c r="B773" s="8">
        <v>65.0</v>
      </c>
      <c r="C773" s="8">
        <v>84.0</v>
      </c>
      <c r="D773" s="8" t="s">
        <v>1237</v>
      </c>
      <c r="E773" s="7">
        <v>0.0</v>
      </c>
      <c r="F773" s="7"/>
      <c r="G773" s="7" t="s">
        <v>312</v>
      </c>
      <c r="H773" s="7" t="s">
        <v>313</v>
      </c>
      <c r="I773" s="10"/>
      <c r="J773" s="11"/>
      <c r="K773" s="12"/>
      <c r="L773" s="12"/>
      <c r="M773" s="10"/>
      <c r="N773" s="10"/>
      <c r="O773" s="10"/>
      <c r="P773" s="10"/>
      <c r="Q773" s="10"/>
      <c r="R773" s="10"/>
      <c r="S773" s="10"/>
      <c r="T773" s="10"/>
      <c r="U773" s="10"/>
      <c r="V773" s="10"/>
      <c r="W773" s="10"/>
      <c r="X773" s="10"/>
      <c r="Y773" s="10"/>
      <c r="Z773" s="10"/>
      <c r="AA773" s="10"/>
      <c r="AB773" s="10"/>
      <c r="AC773" s="10"/>
      <c r="AD773" s="10"/>
      <c r="AE773" s="10"/>
      <c r="AF773" s="10"/>
    </row>
    <row r="774">
      <c r="A774" s="7"/>
      <c r="B774" s="8">
        <v>65.0</v>
      </c>
      <c r="C774" s="8">
        <v>85.0</v>
      </c>
      <c r="D774" s="8" t="s">
        <v>1238</v>
      </c>
      <c r="E774" s="7">
        <v>1.0</v>
      </c>
      <c r="F774" s="7" t="s">
        <v>320</v>
      </c>
      <c r="G774" s="7" t="s">
        <v>312</v>
      </c>
      <c r="H774" s="7" t="s">
        <v>313</v>
      </c>
      <c r="I774" s="7" t="s">
        <v>366</v>
      </c>
      <c r="J774" s="9" t="s">
        <v>1239</v>
      </c>
      <c r="K774" s="12"/>
      <c r="L774" s="12"/>
      <c r="M774" s="10"/>
      <c r="N774" s="10"/>
      <c r="O774" s="10"/>
      <c r="P774" s="10"/>
      <c r="Q774" s="10"/>
      <c r="R774" s="10"/>
      <c r="S774" s="10"/>
      <c r="T774" s="10"/>
      <c r="U774" s="10"/>
      <c r="V774" s="10"/>
      <c r="W774" s="10"/>
      <c r="X774" s="10"/>
      <c r="Y774" s="10"/>
      <c r="Z774" s="10"/>
      <c r="AA774" s="10"/>
      <c r="AB774" s="10"/>
      <c r="AC774" s="10"/>
      <c r="AD774" s="10"/>
      <c r="AE774" s="10"/>
      <c r="AF774" s="10"/>
    </row>
    <row r="775">
      <c r="A775" s="7"/>
      <c r="B775" s="8">
        <v>65.0</v>
      </c>
      <c r="C775" s="8">
        <v>86.0</v>
      </c>
      <c r="D775" s="8" t="s">
        <v>1240</v>
      </c>
      <c r="E775" s="7">
        <v>0.0</v>
      </c>
      <c r="F775" s="7"/>
      <c r="G775" s="7" t="s">
        <v>312</v>
      </c>
      <c r="H775" s="7" t="s">
        <v>313</v>
      </c>
      <c r="I775" s="10"/>
      <c r="J775" s="11"/>
      <c r="K775" s="12"/>
      <c r="L775" s="12"/>
      <c r="M775" s="10"/>
      <c r="N775" s="10"/>
      <c r="O775" s="10"/>
      <c r="P775" s="10"/>
      <c r="Q775" s="10"/>
      <c r="R775" s="10"/>
      <c r="S775" s="10"/>
      <c r="T775" s="10"/>
      <c r="U775" s="10"/>
      <c r="V775" s="10"/>
      <c r="W775" s="10"/>
      <c r="X775" s="10"/>
      <c r="Y775" s="10"/>
      <c r="Z775" s="10"/>
      <c r="AA775" s="10"/>
      <c r="AB775" s="10"/>
      <c r="AC775" s="10"/>
      <c r="AD775" s="10"/>
      <c r="AE775" s="10"/>
      <c r="AF775" s="10"/>
    </row>
    <row r="776">
      <c r="A776" s="7"/>
      <c r="B776" s="8">
        <v>65.0</v>
      </c>
      <c r="C776" s="8">
        <v>87.0</v>
      </c>
      <c r="D776" s="8" t="s">
        <v>1241</v>
      </c>
      <c r="E776" s="7">
        <v>0.0</v>
      </c>
      <c r="F776" s="7"/>
      <c r="G776" s="7" t="s">
        <v>312</v>
      </c>
      <c r="H776" s="7" t="s">
        <v>313</v>
      </c>
      <c r="I776" s="10"/>
      <c r="J776" s="11"/>
      <c r="K776" s="12"/>
      <c r="L776" s="12"/>
      <c r="M776" s="10"/>
      <c r="N776" s="10"/>
      <c r="O776" s="10"/>
      <c r="P776" s="10"/>
      <c r="Q776" s="10"/>
      <c r="R776" s="10"/>
      <c r="S776" s="10"/>
      <c r="T776" s="10"/>
      <c r="U776" s="10"/>
      <c r="V776" s="10"/>
      <c r="W776" s="10"/>
      <c r="X776" s="10"/>
      <c r="Y776" s="10"/>
      <c r="Z776" s="10"/>
      <c r="AA776" s="10"/>
      <c r="AB776" s="10"/>
      <c r="AC776" s="10"/>
      <c r="AD776" s="10"/>
      <c r="AE776" s="10"/>
      <c r="AF776" s="10"/>
    </row>
    <row r="777">
      <c r="A777" s="7"/>
      <c r="B777" s="8">
        <v>65.0</v>
      </c>
      <c r="C777" s="8">
        <v>88.0</v>
      </c>
      <c r="D777" s="8" t="s">
        <v>1242</v>
      </c>
      <c r="E777" s="7">
        <v>0.0</v>
      </c>
      <c r="F777" s="7"/>
      <c r="G777" s="7" t="s">
        <v>312</v>
      </c>
      <c r="H777" s="7" t="s">
        <v>313</v>
      </c>
      <c r="I777" s="10"/>
      <c r="J777" s="11"/>
      <c r="K777" s="12"/>
      <c r="L777" s="12"/>
      <c r="M777" s="10"/>
      <c r="N777" s="10"/>
      <c r="O777" s="10"/>
      <c r="P777" s="10"/>
      <c r="Q777" s="10"/>
      <c r="R777" s="10"/>
      <c r="S777" s="10"/>
      <c r="T777" s="10"/>
      <c r="U777" s="10"/>
      <c r="V777" s="10"/>
      <c r="W777" s="10"/>
      <c r="X777" s="10"/>
      <c r="Y777" s="10"/>
      <c r="Z777" s="10"/>
      <c r="AA777" s="10"/>
      <c r="AB777" s="10"/>
      <c r="AC777" s="10"/>
      <c r="AD777" s="10"/>
      <c r="AE777" s="10"/>
      <c r="AF777" s="10"/>
    </row>
    <row r="778">
      <c r="A778" s="7"/>
      <c r="B778" s="8">
        <v>65.0</v>
      </c>
      <c r="C778" s="8">
        <v>89.0</v>
      </c>
      <c r="D778" s="8" t="s">
        <v>1243</v>
      </c>
      <c r="E778" s="7">
        <v>0.0</v>
      </c>
      <c r="F778" s="7"/>
      <c r="G778" s="7" t="s">
        <v>312</v>
      </c>
      <c r="H778" s="7" t="s">
        <v>313</v>
      </c>
      <c r="I778" s="10"/>
      <c r="J778" s="11"/>
      <c r="K778" s="12"/>
      <c r="L778" s="12"/>
      <c r="M778" s="10"/>
      <c r="N778" s="10"/>
      <c r="O778" s="10"/>
      <c r="P778" s="10"/>
      <c r="Q778" s="10"/>
      <c r="R778" s="10"/>
      <c r="S778" s="10"/>
      <c r="T778" s="10"/>
      <c r="U778" s="10"/>
      <c r="V778" s="10"/>
      <c r="W778" s="10"/>
      <c r="X778" s="10"/>
      <c r="Y778" s="10"/>
      <c r="Z778" s="10"/>
      <c r="AA778" s="10"/>
      <c r="AB778" s="10"/>
      <c r="AC778" s="10"/>
      <c r="AD778" s="10"/>
      <c r="AE778" s="10"/>
      <c r="AF778" s="10"/>
    </row>
    <row r="779">
      <c r="A779" s="7"/>
      <c r="B779" s="8">
        <v>65.0</v>
      </c>
      <c r="C779" s="8">
        <v>90.0</v>
      </c>
      <c r="D779" s="8" t="s">
        <v>1244</v>
      </c>
      <c r="E779" s="7">
        <v>0.0</v>
      </c>
      <c r="F779" s="7"/>
      <c r="G779" s="7" t="s">
        <v>312</v>
      </c>
      <c r="H779" s="7" t="s">
        <v>313</v>
      </c>
      <c r="I779" s="10"/>
      <c r="J779" s="11"/>
      <c r="K779" s="12"/>
      <c r="L779" s="12"/>
      <c r="M779" s="10"/>
      <c r="N779" s="10"/>
      <c r="O779" s="10"/>
      <c r="P779" s="10"/>
      <c r="Q779" s="10"/>
      <c r="R779" s="10"/>
      <c r="S779" s="10"/>
      <c r="T779" s="10"/>
      <c r="U779" s="10"/>
      <c r="V779" s="10"/>
      <c r="W779" s="10"/>
      <c r="X779" s="10"/>
      <c r="Y779" s="10"/>
      <c r="Z779" s="10"/>
      <c r="AA779" s="10"/>
      <c r="AB779" s="10"/>
      <c r="AC779" s="10"/>
      <c r="AD779" s="10"/>
      <c r="AE779" s="10"/>
      <c r="AF779" s="10"/>
    </row>
    <row r="780">
      <c r="A780" s="7"/>
      <c r="B780" s="8">
        <v>65.0</v>
      </c>
      <c r="C780" s="8">
        <v>91.0</v>
      </c>
      <c r="D780" s="8" t="s">
        <v>1245</v>
      </c>
      <c r="E780" s="7">
        <v>0.0</v>
      </c>
      <c r="F780" s="7"/>
      <c r="G780" s="7" t="s">
        <v>312</v>
      </c>
      <c r="H780" s="7" t="s">
        <v>313</v>
      </c>
      <c r="I780" s="10"/>
      <c r="J780" s="11"/>
      <c r="K780" s="12"/>
      <c r="L780" s="12"/>
      <c r="M780" s="10"/>
      <c r="N780" s="10"/>
      <c r="O780" s="10"/>
      <c r="P780" s="10"/>
      <c r="Q780" s="10"/>
      <c r="R780" s="10"/>
      <c r="S780" s="10"/>
      <c r="T780" s="10"/>
      <c r="U780" s="10"/>
      <c r="V780" s="10"/>
      <c r="W780" s="10"/>
      <c r="X780" s="10"/>
      <c r="Y780" s="10"/>
      <c r="Z780" s="10"/>
      <c r="AA780" s="10"/>
      <c r="AB780" s="10"/>
      <c r="AC780" s="10"/>
      <c r="AD780" s="10"/>
      <c r="AE780" s="10"/>
      <c r="AF780" s="10"/>
    </row>
    <row r="781">
      <c r="A781" s="10"/>
      <c r="B781" s="12"/>
      <c r="C781" s="12"/>
      <c r="D781" s="12"/>
      <c r="E781" s="10"/>
      <c r="F781" s="10"/>
      <c r="G781" s="10"/>
      <c r="H781" s="10"/>
      <c r="I781" s="10"/>
      <c r="J781" s="11"/>
      <c r="K781" s="12"/>
      <c r="L781" s="12"/>
      <c r="M781" s="10"/>
      <c r="N781" s="10"/>
      <c r="O781" s="10"/>
      <c r="P781" s="10"/>
      <c r="Q781" s="10"/>
      <c r="R781" s="10"/>
      <c r="S781" s="10"/>
      <c r="T781" s="10"/>
      <c r="U781" s="10"/>
      <c r="V781" s="10"/>
      <c r="W781" s="10"/>
      <c r="X781" s="10"/>
      <c r="Y781" s="10"/>
      <c r="Z781" s="10"/>
      <c r="AA781" s="10"/>
      <c r="AB781" s="10"/>
      <c r="AC781" s="10"/>
      <c r="AD781" s="10"/>
      <c r="AE781" s="10"/>
      <c r="AF781" s="10"/>
    </row>
    <row r="782">
      <c r="A782" s="7"/>
      <c r="B782" s="8">
        <v>66.0</v>
      </c>
      <c r="C782" s="8">
        <v>1.0</v>
      </c>
      <c r="D782" s="8" t="s">
        <v>1246</v>
      </c>
      <c r="E782" s="7">
        <v>0.0</v>
      </c>
      <c r="F782" s="7"/>
      <c r="G782" s="7" t="s">
        <v>312</v>
      </c>
      <c r="H782" s="7" t="s">
        <v>313</v>
      </c>
      <c r="I782" s="10"/>
      <c r="J782" s="11"/>
      <c r="K782" s="20" t="s">
        <v>1247</v>
      </c>
      <c r="L782" s="15" t="s">
        <v>1248</v>
      </c>
      <c r="M782" s="10"/>
      <c r="N782" s="10"/>
      <c r="O782" s="10"/>
      <c r="P782" s="10"/>
      <c r="Q782" s="10"/>
      <c r="R782" s="10"/>
      <c r="S782" s="10"/>
      <c r="T782" s="10"/>
      <c r="U782" s="10"/>
      <c r="V782" s="10"/>
      <c r="W782" s="10"/>
      <c r="X782" s="10"/>
      <c r="Y782" s="10"/>
      <c r="Z782" s="10"/>
      <c r="AA782" s="10"/>
      <c r="AB782" s="10"/>
      <c r="AC782" s="10"/>
      <c r="AD782" s="10"/>
      <c r="AE782" s="10"/>
      <c r="AF782" s="10"/>
    </row>
    <row r="783">
      <c r="A783" s="10"/>
      <c r="B783" s="12"/>
      <c r="C783" s="12"/>
      <c r="D783" s="12"/>
      <c r="E783" s="10"/>
      <c r="F783" s="10"/>
      <c r="G783" s="10"/>
      <c r="H783" s="10"/>
      <c r="I783" s="10"/>
      <c r="J783" s="11"/>
      <c r="K783" s="12"/>
      <c r="L783" s="12"/>
      <c r="M783" s="10"/>
      <c r="N783" s="10"/>
      <c r="O783" s="10"/>
      <c r="P783" s="10"/>
      <c r="Q783" s="10"/>
      <c r="R783" s="10"/>
      <c r="S783" s="10"/>
      <c r="T783" s="10"/>
      <c r="U783" s="10"/>
      <c r="V783" s="10"/>
      <c r="W783" s="10"/>
      <c r="X783" s="10"/>
      <c r="Y783" s="10"/>
      <c r="Z783" s="10"/>
      <c r="AA783" s="10"/>
      <c r="AB783" s="10"/>
      <c r="AC783" s="10"/>
      <c r="AD783" s="10"/>
      <c r="AE783" s="10"/>
      <c r="AF783" s="10"/>
    </row>
    <row r="784">
      <c r="A784" s="7"/>
      <c r="B784" s="8">
        <v>67.0</v>
      </c>
      <c r="C784" s="8">
        <v>1.0</v>
      </c>
      <c r="D784" s="8" t="s">
        <v>1249</v>
      </c>
      <c r="E784" s="7">
        <v>0.0</v>
      </c>
      <c r="F784" s="7"/>
      <c r="G784" s="7" t="s">
        <v>312</v>
      </c>
      <c r="H784" s="7" t="s">
        <v>313</v>
      </c>
      <c r="I784" s="7"/>
      <c r="J784" s="9" t="s">
        <v>1250</v>
      </c>
      <c r="K784" s="12"/>
      <c r="L784" s="15" t="s">
        <v>1251</v>
      </c>
      <c r="M784" s="10"/>
      <c r="N784" s="10"/>
      <c r="O784" s="10"/>
      <c r="P784" s="10"/>
      <c r="Q784" s="10"/>
      <c r="R784" s="10"/>
      <c r="S784" s="10"/>
      <c r="T784" s="10"/>
      <c r="U784" s="10"/>
      <c r="V784" s="10"/>
      <c r="W784" s="10"/>
      <c r="X784" s="10"/>
      <c r="Y784" s="10"/>
      <c r="Z784" s="10"/>
      <c r="AA784" s="10"/>
      <c r="AB784" s="10"/>
      <c r="AC784" s="10"/>
      <c r="AD784" s="10"/>
      <c r="AE784" s="10"/>
      <c r="AF784" s="10"/>
    </row>
    <row r="785">
      <c r="A785" s="7"/>
      <c r="B785" s="8">
        <v>67.0</v>
      </c>
      <c r="C785" s="8">
        <v>2.0</v>
      </c>
      <c r="D785" s="8" t="s">
        <v>1252</v>
      </c>
      <c r="E785" s="7">
        <v>1.0</v>
      </c>
      <c r="F785" s="7"/>
      <c r="G785" s="7" t="s">
        <v>312</v>
      </c>
      <c r="H785" s="7" t="s">
        <v>313</v>
      </c>
      <c r="I785" s="7"/>
      <c r="J785" s="11"/>
      <c r="K785" s="12"/>
      <c r="L785" s="12"/>
      <c r="M785" s="10"/>
      <c r="N785" s="10"/>
      <c r="O785" s="10"/>
      <c r="P785" s="10"/>
      <c r="Q785" s="10"/>
      <c r="R785" s="10"/>
      <c r="S785" s="10"/>
      <c r="T785" s="10"/>
      <c r="U785" s="10"/>
      <c r="V785" s="10"/>
      <c r="W785" s="10"/>
      <c r="X785" s="10"/>
      <c r="Y785" s="10"/>
      <c r="Z785" s="10"/>
      <c r="AA785" s="10"/>
      <c r="AB785" s="10"/>
      <c r="AC785" s="10"/>
      <c r="AD785" s="10"/>
      <c r="AE785" s="10"/>
      <c r="AF785" s="10"/>
    </row>
    <row r="786">
      <c r="A786" s="7"/>
      <c r="B786" s="8">
        <v>67.0</v>
      </c>
      <c r="C786" s="8">
        <v>3.0</v>
      </c>
      <c r="D786" s="8" t="s">
        <v>1253</v>
      </c>
      <c r="E786" s="7">
        <v>1.0</v>
      </c>
      <c r="F786" s="18" t="s">
        <v>320</v>
      </c>
      <c r="G786" s="7" t="s">
        <v>312</v>
      </c>
      <c r="H786" s="7" t="s">
        <v>313</v>
      </c>
      <c r="I786" s="7" t="s">
        <v>366</v>
      </c>
      <c r="J786" s="9" t="s">
        <v>1254</v>
      </c>
      <c r="K786" s="12"/>
      <c r="L786" s="12"/>
      <c r="M786" s="10"/>
      <c r="N786" s="10"/>
      <c r="O786" s="10"/>
      <c r="P786" s="10"/>
      <c r="Q786" s="10"/>
      <c r="R786" s="10"/>
      <c r="S786" s="10"/>
      <c r="T786" s="10"/>
      <c r="U786" s="10"/>
      <c r="V786" s="10"/>
      <c r="W786" s="10"/>
      <c r="X786" s="10"/>
      <c r="Y786" s="10"/>
      <c r="Z786" s="10"/>
      <c r="AA786" s="10"/>
      <c r="AB786" s="10"/>
      <c r="AC786" s="10"/>
      <c r="AD786" s="10"/>
      <c r="AE786" s="10"/>
      <c r="AF786" s="10"/>
    </row>
    <row r="787">
      <c r="A787" s="10"/>
      <c r="B787" s="12"/>
      <c r="C787" s="12"/>
      <c r="D787" s="12"/>
      <c r="E787" s="10"/>
      <c r="F787" s="10"/>
      <c r="G787" s="10"/>
      <c r="H787" s="10"/>
      <c r="I787" s="10"/>
      <c r="J787" s="11"/>
      <c r="K787" s="12"/>
      <c r="L787" s="12"/>
      <c r="M787" s="10"/>
      <c r="N787" s="10"/>
      <c r="O787" s="10"/>
      <c r="P787" s="10"/>
      <c r="Q787" s="10"/>
      <c r="R787" s="10"/>
      <c r="S787" s="10"/>
      <c r="T787" s="10"/>
      <c r="U787" s="10"/>
      <c r="V787" s="10"/>
      <c r="W787" s="10"/>
      <c r="X787" s="10"/>
      <c r="Y787" s="10"/>
      <c r="Z787" s="10"/>
      <c r="AA787" s="10"/>
      <c r="AB787" s="10"/>
      <c r="AC787" s="10"/>
      <c r="AD787" s="10"/>
      <c r="AE787" s="10"/>
      <c r="AF787" s="10"/>
    </row>
    <row r="788">
      <c r="A788" s="7"/>
      <c r="B788" s="8">
        <v>68.0</v>
      </c>
      <c r="C788" s="8">
        <v>1.0</v>
      </c>
      <c r="D788" s="8" t="s">
        <v>1255</v>
      </c>
      <c r="E788" s="7">
        <v>0.0</v>
      </c>
      <c r="F788" s="7"/>
      <c r="G788" s="7" t="s">
        <v>312</v>
      </c>
      <c r="H788" s="7" t="s">
        <v>313</v>
      </c>
      <c r="I788" s="10"/>
      <c r="J788" s="9" t="s">
        <v>1256</v>
      </c>
      <c r="K788" s="8" t="s">
        <v>1257</v>
      </c>
      <c r="L788" s="12"/>
      <c r="M788" s="10"/>
      <c r="N788" s="10"/>
      <c r="O788" s="10"/>
      <c r="P788" s="10"/>
      <c r="Q788" s="10"/>
      <c r="R788" s="10"/>
      <c r="S788" s="10"/>
      <c r="T788" s="10"/>
      <c r="U788" s="10"/>
      <c r="V788" s="10"/>
      <c r="W788" s="10"/>
      <c r="X788" s="10"/>
      <c r="Y788" s="10"/>
      <c r="Z788" s="10"/>
      <c r="AA788" s="10"/>
      <c r="AB788" s="10"/>
      <c r="AC788" s="10"/>
      <c r="AD788" s="10"/>
      <c r="AE788" s="10"/>
      <c r="AF788" s="10"/>
    </row>
    <row r="789">
      <c r="A789" s="7"/>
      <c r="B789" s="8">
        <v>68.0</v>
      </c>
      <c r="C789" s="8">
        <v>2.0</v>
      </c>
      <c r="D789" s="8" t="s">
        <v>1258</v>
      </c>
      <c r="E789" s="7">
        <v>0.0</v>
      </c>
      <c r="F789" s="7"/>
      <c r="G789" s="7" t="s">
        <v>312</v>
      </c>
      <c r="H789" s="7" t="s">
        <v>313</v>
      </c>
      <c r="I789" s="10"/>
      <c r="J789" s="9" t="s">
        <v>1259</v>
      </c>
      <c r="K789" s="8" t="s">
        <v>1260</v>
      </c>
      <c r="L789" s="12"/>
      <c r="M789" s="10"/>
      <c r="N789" s="10"/>
      <c r="O789" s="10"/>
      <c r="P789" s="10"/>
      <c r="Q789" s="10"/>
      <c r="R789" s="10"/>
      <c r="S789" s="10"/>
      <c r="T789" s="10"/>
      <c r="U789" s="10"/>
      <c r="V789" s="10"/>
      <c r="W789" s="10"/>
      <c r="X789" s="10"/>
      <c r="Y789" s="10"/>
      <c r="Z789" s="10"/>
      <c r="AA789" s="10"/>
      <c r="AB789" s="10"/>
      <c r="AC789" s="10"/>
      <c r="AD789" s="10"/>
      <c r="AE789" s="10"/>
      <c r="AF789" s="10"/>
    </row>
    <row r="790">
      <c r="A790" s="7"/>
      <c r="B790" s="8">
        <v>68.0</v>
      </c>
      <c r="C790" s="8">
        <v>3.0</v>
      </c>
      <c r="D790" s="8" t="s">
        <v>1261</v>
      </c>
      <c r="E790" s="7">
        <v>0.0</v>
      </c>
      <c r="F790" s="18" t="s">
        <v>320</v>
      </c>
      <c r="G790" s="7" t="s">
        <v>312</v>
      </c>
      <c r="H790" s="7" t="s">
        <v>313</v>
      </c>
      <c r="I790" s="7" t="s">
        <v>320</v>
      </c>
      <c r="J790" s="9" t="s">
        <v>1262</v>
      </c>
      <c r="K790" s="12"/>
      <c r="L790" s="12"/>
      <c r="M790" s="10"/>
      <c r="N790" s="10"/>
      <c r="O790" s="10"/>
      <c r="P790" s="10"/>
      <c r="Q790" s="10"/>
      <c r="R790" s="10"/>
      <c r="S790" s="10"/>
      <c r="T790" s="10"/>
      <c r="U790" s="10"/>
      <c r="V790" s="10"/>
      <c r="W790" s="10"/>
      <c r="X790" s="10"/>
      <c r="Y790" s="10"/>
      <c r="Z790" s="10"/>
      <c r="AA790" s="10"/>
      <c r="AB790" s="10"/>
      <c r="AC790" s="10"/>
      <c r="AD790" s="10"/>
      <c r="AE790" s="10"/>
      <c r="AF790" s="10"/>
    </row>
    <row r="791">
      <c r="A791" s="7"/>
      <c r="B791" s="8">
        <v>68.0</v>
      </c>
      <c r="C791" s="8">
        <v>4.0</v>
      </c>
      <c r="D791" s="8" t="s">
        <v>1263</v>
      </c>
      <c r="E791" s="7">
        <v>0.0</v>
      </c>
      <c r="F791" s="7"/>
      <c r="G791" s="7" t="s">
        <v>312</v>
      </c>
      <c r="H791" s="7" t="s">
        <v>313</v>
      </c>
      <c r="I791" s="10"/>
      <c r="J791" s="11"/>
      <c r="K791" s="12"/>
      <c r="L791" s="12"/>
      <c r="M791" s="10"/>
      <c r="N791" s="10"/>
      <c r="O791" s="10"/>
      <c r="P791" s="10"/>
      <c r="Q791" s="10"/>
      <c r="R791" s="10"/>
      <c r="S791" s="10"/>
      <c r="T791" s="10"/>
      <c r="U791" s="10"/>
      <c r="V791" s="10"/>
      <c r="W791" s="10"/>
      <c r="X791" s="10"/>
      <c r="Y791" s="10"/>
      <c r="Z791" s="10"/>
      <c r="AA791" s="10"/>
      <c r="AB791" s="10"/>
      <c r="AC791" s="10"/>
      <c r="AD791" s="10"/>
      <c r="AE791" s="10"/>
      <c r="AF791" s="10"/>
    </row>
    <row r="792">
      <c r="A792" s="7"/>
      <c r="B792" s="8">
        <v>68.0</v>
      </c>
      <c r="C792" s="8">
        <v>5.0</v>
      </c>
      <c r="D792" s="8" t="s">
        <v>1264</v>
      </c>
      <c r="E792" s="7">
        <v>0.0</v>
      </c>
      <c r="F792" s="7"/>
      <c r="G792" s="7" t="s">
        <v>312</v>
      </c>
      <c r="H792" s="7" t="s">
        <v>313</v>
      </c>
      <c r="I792" s="10"/>
      <c r="J792" s="11"/>
      <c r="K792" s="12"/>
      <c r="L792" s="12"/>
      <c r="M792" s="10"/>
      <c r="N792" s="10"/>
      <c r="O792" s="10"/>
      <c r="P792" s="10"/>
      <c r="Q792" s="10"/>
      <c r="R792" s="10"/>
      <c r="S792" s="10"/>
      <c r="T792" s="10"/>
      <c r="U792" s="10"/>
      <c r="V792" s="10"/>
      <c r="W792" s="10"/>
      <c r="X792" s="10"/>
      <c r="Y792" s="10"/>
      <c r="Z792" s="10"/>
      <c r="AA792" s="10"/>
      <c r="AB792" s="10"/>
      <c r="AC792" s="10"/>
      <c r="AD792" s="10"/>
      <c r="AE792" s="10"/>
      <c r="AF792" s="10"/>
    </row>
    <row r="793">
      <c r="A793" s="7"/>
      <c r="B793" s="8">
        <v>68.0</v>
      </c>
      <c r="C793" s="8">
        <v>6.0</v>
      </c>
      <c r="D793" s="8" t="s">
        <v>1265</v>
      </c>
      <c r="E793" s="7">
        <v>0.0</v>
      </c>
      <c r="F793" s="7"/>
      <c r="G793" s="7" t="s">
        <v>312</v>
      </c>
      <c r="H793" s="7" t="s">
        <v>313</v>
      </c>
      <c r="I793" s="10"/>
      <c r="J793" s="11"/>
      <c r="K793" s="12"/>
      <c r="L793" s="12"/>
      <c r="M793" s="10"/>
      <c r="N793" s="10"/>
      <c r="O793" s="10"/>
      <c r="P793" s="10"/>
      <c r="Q793" s="10"/>
      <c r="R793" s="10"/>
      <c r="S793" s="10"/>
      <c r="T793" s="10"/>
      <c r="U793" s="10"/>
      <c r="V793" s="10"/>
      <c r="W793" s="10"/>
      <c r="X793" s="10"/>
      <c r="Y793" s="10"/>
      <c r="Z793" s="10"/>
      <c r="AA793" s="10"/>
      <c r="AB793" s="10"/>
      <c r="AC793" s="10"/>
      <c r="AD793" s="10"/>
      <c r="AE793" s="10"/>
      <c r="AF793" s="10"/>
    </row>
    <row r="794">
      <c r="A794" s="10"/>
      <c r="B794" s="12"/>
      <c r="C794" s="12"/>
      <c r="D794" s="12"/>
      <c r="E794" s="10"/>
      <c r="F794" s="10"/>
      <c r="G794" s="10"/>
      <c r="H794" s="10"/>
      <c r="I794" s="10"/>
      <c r="J794" s="11"/>
      <c r="K794" s="12"/>
      <c r="L794" s="12"/>
      <c r="M794" s="10"/>
      <c r="N794" s="10"/>
      <c r="O794" s="10"/>
      <c r="P794" s="10"/>
      <c r="Q794" s="10"/>
      <c r="R794" s="10"/>
      <c r="S794" s="10"/>
      <c r="T794" s="10"/>
      <c r="U794" s="10"/>
      <c r="V794" s="10"/>
      <c r="W794" s="10"/>
      <c r="X794" s="10"/>
      <c r="Y794" s="10"/>
      <c r="Z794" s="10"/>
      <c r="AA794" s="10"/>
      <c r="AB794" s="10"/>
      <c r="AC794" s="10"/>
      <c r="AD794" s="10"/>
      <c r="AE794" s="10"/>
      <c r="AF794" s="10"/>
    </row>
    <row r="795">
      <c r="A795" s="7"/>
      <c r="B795" s="8">
        <v>69.0</v>
      </c>
      <c r="C795" s="8">
        <v>1.0</v>
      </c>
      <c r="D795" s="8" t="s">
        <v>1266</v>
      </c>
      <c r="E795" s="7">
        <v>1.0</v>
      </c>
      <c r="F795" s="7"/>
      <c r="G795" s="7" t="s">
        <v>312</v>
      </c>
      <c r="H795" s="7" t="s">
        <v>313</v>
      </c>
      <c r="I795" s="10"/>
      <c r="J795" s="9" t="s">
        <v>1267</v>
      </c>
      <c r="K795" s="12"/>
      <c r="L795" s="15" t="s">
        <v>1268</v>
      </c>
      <c r="M795" s="10"/>
      <c r="N795" s="10"/>
      <c r="O795" s="10"/>
      <c r="P795" s="10"/>
      <c r="Q795" s="10"/>
      <c r="R795" s="10"/>
      <c r="S795" s="10"/>
      <c r="T795" s="10"/>
      <c r="U795" s="10"/>
      <c r="V795" s="10"/>
      <c r="W795" s="10"/>
      <c r="X795" s="10"/>
      <c r="Y795" s="10"/>
      <c r="Z795" s="10"/>
      <c r="AA795" s="10"/>
      <c r="AB795" s="10"/>
      <c r="AC795" s="10"/>
      <c r="AD795" s="10"/>
      <c r="AE795" s="10"/>
      <c r="AF795" s="10"/>
    </row>
    <row r="796">
      <c r="A796" s="7"/>
      <c r="B796" s="8">
        <v>69.0</v>
      </c>
      <c r="C796" s="8">
        <v>2.0</v>
      </c>
      <c r="D796" s="8" t="s">
        <v>1269</v>
      </c>
      <c r="E796" s="7">
        <v>1.0</v>
      </c>
      <c r="F796" s="7"/>
      <c r="G796" s="7" t="s">
        <v>312</v>
      </c>
      <c r="H796" s="7" t="s">
        <v>313</v>
      </c>
      <c r="I796" s="10"/>
      <c r="J796" s="11"/>
      <c r="K796" s="12"/>
      <c r="L796" s="12"/>
      <c r="M796" s="10"/>
      <c r="N796" s="10"/>
      <c r="O796" s="10"/>
      <c r="P796" s="10"/>
      <c r="Q796" s="10"/>
      <c r="R796" s="10"/>
      <c r="S796" s="10"/>
      <c r="T796" s="10"/>
      <c r="U796" s="10"/>
      <c r="V796" s="10"/>
      <c r="W796" s="10"/>
      <c r="X796" s="10"/>
      <c r="Y796" s="10"/>
      <c r="Z796" s="10"/>
      <c r="AA796" s="10"/>
      <c r="AB796" s="10"/>
      <c r="AC796" s="10"/>
      <c r="AD796" s="10"/>
      <c r="AE796" s="10"/>
      <c r="AF796" s="10"/>
    </row>
    <row r="797">
      <c r="A797" s="7"/>
      <c r="B797" s="8">
        <v>69.0</v>
      </c>
      <c r="C797" s="8">
        <v>3.0</v>
      </c>
      <c r="D797" s="8" t="s">
        <v>1270</v>
      </c>
      <c r="E797" s="7">
        <v>0.0</v>
      </c>
      <c r="F797" s="7"/>
      <c r="G797" s="7" t="s">
        <v>312</v>
      </c>
      <c r="H797" s="7" t="s">
        <v>313</v>
      </c>
      <c r="I797" s="10"/>
      <c r="J797" s="11"/>
      <c r="K797" s="12"/>
      <c r="L797" s="12"/>
      <c r="M797" s="10"/>
      <c r="N797" s="10"/>
      <c r="O797" s="10"/>
      <c r="P797" s="10"/>
      <c r="Q797" s="10"/>
      <c r="R797" s="10"/>
      <c r="S797" s="10"/>
      <c r="T797" s="10"/>
      <c r="U797" s="10"/>
      <c r="V797" s="10"/>
      <c r="W797" s="10"/>
      <c r="X797" s="10"/>
      <c r="Y797" s="10"/>
      <c r="Z797" s="10"/>
      <c r="AA797" s="10"/>
      <c r="AB797" s="10"/>
      <c r="AC797" s="10"/>
      <c r="AD797" s="10"/>
      <c r="AE797" s="10"/>
      <c r="AF797" s="10"/>
    </row>
    <row r="798">
      <c r="A798" s="10"/>
      <c r="B798" s="12"/>
      <c r="C798" s="12"/>
      <c r="D798" s="12"/>
      <c r="E798" s="10"/>
      <c r="F798" s="10"/>
      <c r="G798" s="10"/>
      <c r="H798" s="10"/>
      <c r="I798" s="10"/>
      <c r="J798" s="11"/>
      <c r="K798" s="12"/>
      <c r="L798" s="12"/>
      <c r="M798" s="10"/>
      <c r="N798" s="10"/>
      <c r="O798" s="10"/>
      <c r="P798" s="10"/>
      <c r="Q798" s="10"/>
      <c r="R798" s="10"/>
      <c r="S798" s="10"/>
      <c r="T798" s="10"/>
      <c r="U798" s="10"/>
      <c r="V798" s="10"/>
      <c r="W798" s="10"/>
      <c r="X798" s="10"/>
      <c r="Y798" s="10"/>
      <c r="Z798" s="10"/>
      <c r="AA798" s="10"/>
      <c r="AB798" s="10"/>
      <c r="AC798" s="10"/>
      <c r="AD798" s="10"/>
      <c r="AE798" s="10"/>
      <c r="AF798" s="10"/>
    </row>
    <row r="799">
      <c r="A799" s="7"/>
      <c r="B799" s="8">
        <v>70.0</v>
      </c>
      <c r="C799" s="8">
        <v>1.0</v>
      </c>
      <c r="D799" s="8" t="s">
        <v>1271</v>
      </c>
      <c r="E799" s="7">
        <v>0.0</v>
      </c>
      <c r="F799" s="7"/>
      <c r="G799" s="7" t="s">
        <v>312</v>
      </c>
      <c r="H799" s="7" t="s">
        <v>313</v>
      </c>
      <c r="I799" s="10"/>
      <c r="J799" s="11"/>
      <c r="K799" s="12"/>
      <c r="L799" s="15" t="s">
        <v>1272</v>
      </c>
      <c r="M799" s="10"/>
      <c r="N799" s="10"/>
      <c r="O799" s="10"/>
      <c r="P799" s="10"/>
      <c r="Q799" s="10"/>
      <c r="R799" s="10"/>
      <c r="S799" s="10"/>
      <c r="T799" s="10"/>
      <c r="U799" s="10"/>
      <c r="V799" s="10"/>
      <c r="W799" s="10"/>
      <c r="X799" s="10"/>
      <c r="Y799" s="10"/>
      <c r="Z799" s="10"/>
      <c r="AA799" s="10"/>
      <c r="AB799" s="10"/>
      <c r="AC799" s="10"/>
      <c r="AD799" s="10"/>
      <c r="AE799" s="10"/>
      <c r="AF799" s="10"/>
    </row>
    <row r="800">
      <c r="A800" s="10"/>
      <c r="B800" s="12"/>
      <c r="C800" s="12"/>
      <c r="D800" s="12"/>
      <c r="E800" s="10"/>
      <c r="F800" s="10"/>
      <c r="G800" s="10"/>
      <c r="H800" s="10"/>
      <c r="I800" s="10"/>
      <c r="J800" s="11"/>
      <c r="K800" s="12"/>
      <c r="L800" s="12"/>
      <c r="M800" s="10"/>
      <c r="N800" s="10"/>
      <c r="O800" s="10"/>
      <c r="P800" s="10"/>
      <c r="Q800" s="10"/>
      <c r="R800" s="10"/>
      <c r="S800" s="10"/>
      <c r="T800" s="10"/>
      <c r="U800" s="10"/>
      <c r="V800" s="10"/>
      <c r="W800" s="10"/>
      <c r="X800" s="10"/>
      <c r="Y800" s="10"/>
      <c r="Z800" s="10"/>
      <c r="AA800" s="10"/>
      <c r="AB800" s="10"/>
      <c r="AC800" s="10"/>
      <c r="AD800" s="10"/>
      <c r="AE800" s="10"/>
      <c r="AF800" s="10"/>
    </row>
    <row r="801">
      <c r="A801" s="7"/>
      <c r="B801" s="8">
        <v>71.0</v>
      </c>
      <c r="C801" s="8">
        <v>1.0</v>
      </c>
      <c r="D801" s="8" t="s">
        <v>1273</v>
      </c>
      <c r="E801" s="7">
        <v>1.0</v>
      </c>
      <c r="F801" s="7"/>
      <c r="G801" s="7" t="s">
        <v>312</v>
      </c>
      <c r="H801" s="7" t="s">
        <v>313</v>
      </c>
      <c r="I801" s="10"/>
      <c r="J801" s="9" t="s">
        <v>1274</v>
      </c>
      <c r="K801" s="12"/>
      <c r="L801" s="15" t="s">
        <v>1275</v>
      </c>
      <c r="M801" s="10"/>
      <c r="N801" s="10"/>
      <c r="O801" s="10"/>
      <c r="P801" s="10"/>
      <c r="Q801" s="10"/>
      <c r="R801" s="10"/>
      <c r="S801" s="10"/>
      <c r="T801" s="10"/>
      <c r="U801" s="10"/>
      <c r="V801" s="10"/>
      <c r="W801" s="10"/>
      <c r="X801" s="10"/>
      <c r="Y801" s="10"/>
      <c r="Z801" s="10"/>
      <c r="AA801" s="10"/>
      <c r="AB801" s="10"/>
      <c r="AC801" s="10"/>
      <c r="AD801" s="10"/>
      <c r="AE801" s="10"/>
      <c r="AF801" s="10"/>
    </row>
    <row r="802">
      <c r="A802" s="7"/>
      <c r="B802" s="8">
        <v>71.0</v>
      </c>
      <c r="C802" s="8">
        <v>2.0</v>
      </c>
      <c r="D802" s="8" t="s">
        <v>1276</v>
      </c>
      <c r="E802" s="7">
        <v>0.0</v>
      </c>
      <c r="F802" s="7"/>
      <c r="G802" s="7" t="s">
        <v>312</v>
      </c>
      <c r="H802" s="7" t="s">
        <v>313</v>
      </c>
      <c r="I802" s="10"/>
      <c r="J802" s="11"/>
      <c r="K802" s="12"/>
      <c r="L802" s="15" t="s">
        <v>1277</v>
      </c>
      <c r="M802" s="10"/>
      <c r="N802" s="10"/>
      <c r="O802" s="10"/>
      <c r="P802" s="10"/>
      <c r="Q802" s="10"/>
      <c r="R802" s="10"/>
      <c r="S802" s="10"/>
      <c r="T802" s="10"/>
      <c r="U802" s="10"/>
      <c r="V802" s="10"/>
      <c r="W802" s="10"/>
      <c r="X802" s="10"/>
      <c r="Y802" s="10"/>
      <c r="Z802" s="10"/>
      <c r="AA802" s="10"/>
      <c r="AB802" s="10"/>
      <c r="AC802" s="10"/>
      <c r="AD802" s="10"/>
      <c r="AE802" s="10"/>
      <c r="AF802" s="10"/>
    </row>
    <row r="803">
      <c r="A803" s="7"/>
      <c r="B803" s="8">
        <v>71.0</v>
      </c>
      <c r="C803" s="8">
        <v>3.0</v>
      </c>
      <c r="D803" s="8" t="s">
        <v>1278</v>
      </c>
      <c r="E803" s="7">
        <v>0.0</v>
      </c>
      <c r="F803" s="7"/>
      <c r="G803" s="7" t="s">
        <v>312</v>
      </c>
      <c r="H803" s="7" t="s">
        <v>313</v>
      </c>
      <c r="I803" s="10"/>
      <c r="J803" s="11"/>
      <c r="K803" s="12"/>
      <c r="L803" s="12"/>
      <c r="M803" s="10"/>
      <c r="N803" s="10"/>
      <c r="O803" s="10"/>
      <c r="P803" s="10"/>
      <c r="Q803" s="10"/>
      <c r="R803" s="10"/>
      <c r="S803" s="10"/>
      <c r="T803" s="10"/>
      <c r="U803" s="10"/>
      <c r="V803" s="10"/>
      <c r="W803" s="10"/>
      <c r="X803" s="10"/>
      <c r="Y803" s="10"/>
      <c r="Z803" s="10"/>
      <c r="AA803" s="10"/>
      <c r="AB803" s="10"/>
      <c r="AC803" s="10"/>
      <c r="AD803" s="10"/>
      <c r="AE803" s="10"/>
      <c r="AF803" s="10"/>
    </row>
    <row r="804">
      <c r="A804" s="10"/>
      <c r="B804" s="12"/>
      <c r="C804" s="12"/>
      <c r="D804" s="12"/>
      <c r="E804" s="10"/>
      <c r="F804" s="10"/>
      <c r="G804" s="10"/>
      <c r="H804" s="10"/>
      <c r="I804" s="10"/>
      <c r="J804" s="11"/>
      <c r="K804" s="12"/>
      <c r="L804" s="12"/>
      <c r="M804" s="10"/>
      <c r="N804" s="10"/>
      <c r="O804" s="10"/>
      <c r="P804" s="10"/>
      <c r="Q804" s="10"/>
      <c r="R804" s="10"/>
      <c r="S804" s="10"/>
      <c r="T804" s="10"/>
      <c r="U804" s="10"/>
      <c r="V804" s="10"/>
      <c r="W804" s="10"/>
      <c r="X804" s="10"/>
      <c r="Y804" s="10"/>
      <c r="Z804" s="10"/>
      <c r="AA804" s="10"/>
      <c r="AB804" s="10"/>
      <c r="AC804" s="10"/>
      <c r="AD804" s="10"/>
      <c r="AE804" s="10"/>
      <c r="AF804" s="10"/>
    </row>
    <row r="805">
      <c r="A805" s="7"/>
      <c r="B805" s="8">
        <v>72.0</v>
      </c>
      <c r="C805" s="8">
        <v>1.0</v>
      </c>
      <c r="D805" s="8" t="s">
        <v>1279</v>
      </c>
      <c r="E805" s="7">
        <v>1.0</v>
      </c>
      <c r="F805" s="18" t="s">
        <v>320</v>
      </c>
      <c r="G805" s="7" t="s">
        <v>312</v>
      </c>
      <c r="H805" s="7" t="s">
        <v>313</v>
      </c>
      <c r="I805" s="10"/>
      <c r="J805" s="9" t="s">
        <v>1280</v>
      </c>
      <c r="K805" s="12"/>
      <c r="L805" s="12"/>
      <c r="M805" s="10"/>
      <c r="N805" s="10"/>
      <c r="O805" s="10"/>
      <c r="P805" s="10"/>
      <c r="Q805" s="10"/>
      <c r="R805" s="10"/>
      <c r="S805" s="10"/>
      <c r="T805" s="10"/>
      <c r="U805" s="10"/>
      <c r="V805" s="10"/>
      <c r="W805" s="10"/>
      <c r="X805" s="10"/>
      <c r="Y805" s="10"/>
      <c r="Z805" s="10"/>
      <c r="AA805" s="10"/>
      <c r="AB805" s="10"/>
      <c r="AC805" s="10"/>
      <c r="AD805" s="10"/>
      <c r="AE805" s="10"/>
      <c r="AF805" s="10"/>
    </row>
    <row r="806">
      <c r="A806" s="10"/>
      <c r="B806" s="12"/>
      <c r="C806" s="12"/>
      <c r="D806" s="12"/>
      <c r="E806" s="10"/>
      <c r="F806" s="10"/>
      <c r="G806" s="10"/>
      <c r="H806" s="10"/>
      <c r="I806" s="10"/>
      <c r="J806" s="11"/>
      <c r="K806" s="12"/>
      <c r="L806" s="12"/>
      <c r="M806" s="10"/>
      <c r="N806" s="10"/>
      <c r="O806" s="10"/>
      <c r="P806" s="10"/>
      <c r="Q806" s="10"/>
      <c r="R806" s="10"/>
      <c r="S806" s="10"/>
      <c r="T806" s="10"/>
      <c r="U806" s="10"/>
      <c r="V806" s="10"/>
      <c r="W806" s="10"/>
      <c r="X806" s="10"/>
      <c r="Y806" s="10"/>
      <c r="Z806" s="10"/>
      <c r="AA806" s="10"/>
      <c r="AB806" s="10"/>
      <c r="AC806" s="10"/>
      <c r="AD806" s="10"/>
      <c r="AE806" s="10"/>
      <c r="AF806" s="10"/>
    </row>
    <row r="807">
      <c r="A807" s="7"/>
      <c r="B807" s="8">
        <v>73.0</v>
      </c>
      <c r="C807" s="8">
        <v>1.0</v>
      </c>
      <c r="D807" s="8" t="s">
        <v>1281</v>
      </c>
      <c r="E807" s="7">
        <v>0.0</v>
      </c>
      <c r="F807" s="7"/>
      <c r="G807" s="7" t="s">
        <v>312</v>
      </c>
      <c r="H807" s="7" t="s">
        <v>313</v>
      </c>
      <c r="I807" s="10"/>
      <c r="J807" s="9"/>
      <c r="K807" s="8" t="s">
        <v>1282</v>
      </c>
      <c r="L807" s="15" t="s">
        <v>1283</v>
      </c>
      <c r="M807" s="10"/>
      <c r="N807" s="10"/>
      <c r="O807" s="10"/>
      <c r="P807" s="10"/>
      <c r="Q807" s="10"/>
      <c r="R807" s="10"/>
      <c r="S807" s="10"/>
      <c r="T807" s="10"/>
      <c r="U807" s="10"/>
      <c r="V807" s="10"/>
      <c r="W807" s="10"/>
      <c r="X807" s="10"/>
      <c r="Y807" s="10"/>
      <c r="Z807" s="10"/>
      <c r="AA807" s="10"/>
      <c r="AB807" s="10"/>
      <c r="AC807" s="10"/>
      <c r="AD807" s="10"/>
      <c r="AE807" s="10"/>
      <c r="AF807" s="10"/>
    </row>
    <row r="808">
      <c r="A808" s="7"/>
      <c r="B808" s="8">
        <v>73.0</v>
      </c>
      <c r="C808" s="8">
        <v>2.0</v>
      </c>
      <c r="D808" s="8" t="s">
        <v>1284</v>
      </c>
      <c r="E808" s="7">
        <v>0.0</v>
      </c>
      <c r="F808" s="7"/>
      <c r="G808" s="7" t="s">
        <v>312</v>
      </c>
      <c r="H808" s="7" t="s">
        <v>313</v>
      </c>
      <c r="I808" s="10"/>
      <c r="J808" s="11"/>
      <c r="K808" s="3"/>
      <c r="L808" s="12"/>
      <c r="M808" s="10"/>
      <c r="N808" s="10"/>
      <c r="O808" s="10"/>
      <c r="P808" s="10"/>
      <c r="Q808" s="10"/>
      <c r="R808" s="10"/>
      <c r="S808" s="10"/>
      <c r="T808" s="10"/>
      <c r="U808" s="10"/>
      <c r="V808" s="10"/>
      <c r="W808" s="10"/>
      <c r="X808" s="10"/>
      <c r="Y808" s="10"/>
      <c r="Z808" s="10"/>
      <c r="AA808" s="10"/>
      <c r="AB808" s="10"/>
      <c r="AC808" s="10"/>
      <c r="AD808" s="10"/>
      <c r="AE808" s="10"/>
      <c r="AF808" s="10"/>
    </row>
    <row r="809">
      <c r="A809" s="7"/>
      <c r="B809" s="8">
        <v>73.0</v>
      </c>
      <c r="C809" s="8">
        <v>3.0</v>
      </c>
      <c r="D809" s="8" t="s">
        <v>1285</v>
      </c>
      <c r="E809" s="7">
        <v>0.0</v>
      </c>
      <c r="F809" s="7"/>
      <c r="G809" s="7" t="s">
        <v>312</v>
      </c>
      <c r="H809" s="7" t="s">
        <v>313</v>
      </c>
      <c r="I809" s="10"/>
      <c r="J809" s="11"/>
      <c r="K809" s="8" t="s">
        <v>1286</v>
      </c>
      <c r="L809" s="12"/>
      <c r="M809" s="10"/>
      <c r="N809" s="10"/>
      <c r="O809" s="10"/>
      <c r="P809" s="10"/>
      <c r="Q809" s="10"/>
      <c r="R809" s="10"/>
      <c r="S809" s="10"/>
      <c r="T809" s="10"/>
      <c r="U809" s="10"/>
      <c r="V809" s="10"/>
      <c r="W809" s="10"/>
      <c r="X809" s="10"/>
      <c r="Y809" s="10"/>
      <c r="Z809" s="10"/>
      <c r="AA809" s="10"/>
      <c r="AB809" s="10"/>
      <c r="AC809" s="10"/>
      <c r="AD809" s="10"/>
      <c r="AE809" s="10"/>
      <c r="AF809" s="10"/>
    </row>
    <row r="810">
      <c r="A810" s="7"/>
      <c r="B810" s="8">
        <v>73.0</v>
      </c>
      <c r="C810" s="8">
        <v>4.0</v>
      </c>
      <c r="D810" s="8" t="s">
        <v>1287</v>
      </c>
      <c r="E810" s="7">
        <v>0.0</v>
      </c>
      <c r="F810" s="7"/>
      <c r="G810" s="7" t="s">
        <v>312</v>
      </c>
      <c r="H810" s="7" t="s">
        <v>313</v>
      </c>
      <c r="I810" s="10"/>
      <c r="J810" s="11"/>
      <c r="K810" s="12"/>
      <c r="L810" s="12"/>
      <c r="M810" s="10"/>
      <c r="N810" s="10"/>
      <c r="O810" s="10"/>
      <c r="P810" s="10"/>
      <c r="Q810" s="10"/>
      <c r="R810" s="10"/>
      <c r="S810" s="10"/>
      <c r="T810" s="10"/>
      <c r="U810" s="10"/>
      <c r="V810" s="10"/>
      <c r="W810" s="10"/>
      <c r="X810" s="10"/>
      <c r="Y810" s="10"/>
      <c r="Z810" s="10"/>
      <c r="AA810" s="10"/>
      <c r="AB810" s="10"/>
      <c r="AC810" s="10"/>
      <c r="AD810" s="10"/>
      <c r="AE810" s="10"/>
      <c r="AF810" s="10"/>
    </row>
    <row r="811">
      <c r="A811" s="7"/>
      <c r="B811" s="8">
        <v>73.0</v>
      </c>
      <c r="C811" s="8">
        <v>5.0</v>
      </c>
      <c r="D811" s="8" t="s">
        <v>1288</v>
      </c>
      <c r="E811" s="7">
        <v>0.0</v>
      </c>
      <c r="F811" s="7"/>
      <c r="G811" s="7" t="s">
        <v>312</v>
      </c>
      <c r="H811" s="7" t="s">
        <v>313</v>
      </c>
      <c r="I811" s="10"/>
      <c r="J811" s="11"/>
      <c r="K811" s="8" t="s">
        <v>1289</v>
      </c>
      <c r="L811" s="12"/>
      <c r="M811" s="10"/>
      <c r="N811" s="10"/>
      <c r="O811" s="10"/>
      <c r="P811" s="10"/>
      <c r="Q811" s="10"/>
      <c r="R811" s="10"/>
      <c r="S811" s="10"/>
      <c r="T811" s="10"/>
      <c r="U811" s="10"/>
      <c r="V811" s="10"/>
      <c r="W811" s="10"/>
      <c r="X811" s="10"/>
      <c r="Y811" s="10"/>
      <c r="Z811" s="10"/>
      <c r="AA811" s="10"/>
      <c r="AB811" s="10"/>
      <c r="AC811" s="10"/>
      <c r="AD811" s="10"/>
      <c r="AE811" s="10"/>
      <c r="AF811" s="10"/>
    </row>
    <row r="812">
      <c r="A812" s="7"/>
      <c r="B812" s="8">
        <v>73.0</v>
      </c>
      <c r="C812" s="8">
        <v>6.0</v>
      </c>
      <c r="D812" s="8" t="s">
        <v>1290</v>
      </c>
      <c r="E812" s="7">
        <v>0.0</v>
      </c>
      <c r="F812" s="7"/>
      <c r="G812" s="7" t="s">
        <v>312</v>
      </c>
      <c r="H812" s="7" t="s">
        <v>313</v>
      </c>
      <c r="I812" s="10"/>
      <c r="J812" s="11"/>
      <c r="K812" s="8" t="s">
        <v>1291</v>
      </c>
      <c r="L812" s="12"/>
      <c r="M812" s="10"/>
      <c r="N812" s="10"/>
      <c r="O812" s="10"/>
      <c r="P812" s="10"/>
      <c r="Q812" s="10"/>
      <c r="R812" s="10"/>
      <c r="S812" s="10"/>
      <c r="T812" s="10"/>
      <c r="U812" s="10"/>
      <c r="V812" s="10"/>
      <c r="W812" s="10"/>
      <c r="X812" s="10"/>
      <c r="Y812" s="10"/>
      <c r="Z812" s="10"/>
      <c r="AA812" s="10"/>
      <c r="AB812" s="10"/>
      <c r="AC812" s="10"/>
      <c r="AD812" s="10"/>
      <c r="AE812" s="10"/>
      <c r="AF812" s="10"/>
    </row>
    <row r="813">
      <c r="A813" s="7"/>
      <c r="B813" s="8">
        <v>73.0</v>
      </c>
      <c r="C813" s="8">
        <v>7.0</v>
      </c>
      <c r="D813" s="8" t="s">
        <v>1292</v>
      </c>
      <c r="E813" s="7">
        <v>0.0</v>
      </c>
      <c r="F813" s="7"/>
      <c r="G813" s="7" t="s">
        <v>312</v>
      </c>
      <c r="H813" s="7" t="s">
        <v>313</v>
      </c>
      <c r="I813" s="10"/>
      <c r="J813" s="11"/>
      <c r="K813" s="8" t="s">
        <v>1293</v>
      </c>
      <c r="L813" s="12"/>
      <c r="M813" s="10"/>
      <c r="N813" s="10"/>
      <c r="O813" s="10"/>
      <c r="P813" s="10"/>
      <c r="Q813" s="10"/>
      <c r="R813" s="10"/>
      <c r="S813" s="10"/>
      <c r="T813" s="10"/>
      <c r="U813" s="10"/>
      <c r="V813" s="10"/>
      <c r="W813" s="10"/>
      <c r="X813" s="10"/>
      <c r="Y813" s="10"/>
      <c r="Z813" s="10"/>
      <c r="AA813" s="10"/>
      <c r="AB813" s="10"/>
      <c r="AC813" s="10"/>
      <c r="AD813" s="10"/>
      <c r="AE813" s="10"/>
      <c r="AF813" s="10"/>
    </row>
    <row r="814">
      <c r="A814" s="7"/>
      <c r="B814" s="8">
        <v>73.0</v>
      </c>
      <c r="C814" s="8">
        <v>8.0</v>
      </c>
      <c r="D814" s="8" t="s">
        <v>1294</v>
      </c>
      <c r="E814" s="7">
        <v>1.0</v>
      </c>
      <c r="F814" s="18" t="s">
        <v>320</v>
      </c>
      <c r="G814" s="7" t="s">
        <v>312</v>
      </c>
      <c r="H814" s="7" t="s">
        <v>313</v>
      </c>
      <c r="I814" s="7" t="s">
        <v>366</v>
      </c>
      <c r="J814" s="9" t="s">
        <v>1295</v>
      </c>
      <c r="K814" s="12"/>
      <c r="L814" s="12"/>
      <c r="M814" s="10"/>
      <c r="N814" s="10"/>
      <c r="O814" s="10"/>
      <c r="P814" s="10"/>
      <c r="Q814" s="10"/>
      <c r="R814" s="10"/>
      <c r="S814" s="10"/>
      <c r="T814" s="10"/>
      <c r="U814" s="10"/>
      <c r="V814" s="10"/>
      <c r="W814" s="10"/>
      <c r="X814" s="10"/>
      <c r="Y814" s="10"/>
      <c r="Z814" s="10"/>
      <c r="AA814" s="10"/>
      <c r="AB814" s="10"/>
      <c r="AC814" s="10"/>
      <c r="AD814" s="10"/>
      <c r="AE814" s="10"/>
      <c r="AF814" s="10"/>
    </row>
    <row r="815">
      <c r="A815" s="7"/>
      <c r="B815" s="8">
        <v>73.0</v>
      </c>
      <c r="C815" s="8">
        <v>9.0</v>
      </c>
      <c r="D815" s="8" t="s">
        <v>1296</v>
      </c>
      <c r="E815" s="7">
        <v>1.0</v>
      </c>
      <c r="F815" s="18" t="s">
        <v>320</v>
      </c>
      <c r="G815" s="7" t="s">
        <v>312</v>
      </c>
      <c r="H815" s="7" t="s">
        <v>313</v>
      </c>
      <c r="I815" s="7" t="s">
        <v>366</v>
      </c>
      <c r="J815" s="9" t="s">
        <v>1297</v>
      </c>
      <c r="K815" s="12"/>
      <c r="L815" s="12"/>
      <c r="M815" s="10"/>
      <c r="N815" s="10"/>
      <c r="O815" s="10"/>
      <c r="P815" s="10"/>
      <c r="Q815" s="10"/>
      <c r="R815" s="10"/>
      <c r="S815" s="10"/>
      <c r="T815" s="10"/>
      <c r="U815" s="10"/>
      <c r="V815" s="10"/>
      <c r="W815" s="10"/>
      <c r="X815" s="10"/>
      <c r="Y815" s="10"/>
      <c r="Z815" s="10"/>
      <c r="AA815" s="10"/>
      <c r="AB815" s="10"/>
      <c r="AC815" s="10"/>
      <c r="AD815" s="10"/>
      <c r="AE815" s="10"/>
      <c r="AF815" s="10"/>
    </row>
    <row r="816">
      <c r="A816" s="7"/>
      <c r="B816" s="8">
        <v>73.0</v>
      </c>
      <c r="C816" s="8">
        <v>10.0</v>
      </c>
      <c r="D816" s="8" t="s">
        <v>1298</v>
      </c>
      <c r="E816" s="7">
        <v>1.0</v>
      </c>
      <c r="F816" s="18" t="s">
        <v>320</v>
      </c>
      <c r="G816" s="7" t="s">
        <v>312</v>
      </c>
      <c r="H816" s="7" t="s">
        <v>313</v>
      </c>
      <c r="I816" s="7" t="s">
        <v>366</v>
      </c>
      <c r="J816" s="9" t="s">
        <v>1299</v>
      </c>
      <c r="K816" s="12"/>
      <c r="L816" s="12"/>
      <c r="M816" s="10"/>
      <c r="N816" s="10"/>
      <c r="O816" s="10"/>
      <c r="P816" s="10"/>
      <c r="Q816" s="10"/>
      <c r="R816" s="10"/>
      <c r="S816" s="10"/>
      <c r="T816" s="10"/>
      <c r="U816" s="10"/>
      <c r="V816" s="10"/>
      <c r="W816" s="10"/>
      <c r="X816" s="10"/>
      <c r="Y816" s="10"/>
      <c r="Z816" s="10"/>
      <c r="AA816" s="10"/>
      <c r="AB816" s="10"/>
      <c r="AC816" s="10"/>
      <c r="AD816" s="10"/>
      <c r="AE816" s="10"/>
      <c r="AF816" s="10"/>
    </row>
    <row r="817">
      <c r="A817" s="7"/>
      <c r="B817" s="8">
        <v>73.0</v>
      </c>
      <c r="C817" s="8">
        <v>11.0</v>
      </c>
      <c r="D817" s="8" t="s">
        <v>1300</v>
      </c>
      <c r="E817" s="7">
        <v>1.0</v>
      </c>
      <c r="F817" s="18" t="s">
        <v>320</v>
      </c>
      <c r="G817" s="7" t="s">
        <v>312</v>
      </c>
      <c r="H817" s="7" t="s">
        <v>313</v>
      </c>
      <c r="I817" s="7" t="s">
        <v>366</v>
      </c>
      <c r="J817" s="9" t="s">
        <v>1301</v>
      </c>
      <c r="K817" s="12"/>
      <c r="L817" s="12"/>
      <c r="M817" s="10"/>
      <c r="N817" s="10"/>
      <c r="O817" s="10"/>
      <c r="P817" s="10"/>
      <c r="Q817" s="10"/>
      <c r="R817" s="10"/>
      <c r="S817" s="10"/>
      <c r="T817" s="10"/>
      <c r="U817" s="10"/>
      <c r="V817" s="10"/>
      <c r="W817" s="10"/>
      <c r="X817" s="10"/>
      <c r="Y817" s="10"/>
      <c r="Z817" s="10"/>
      <c r="AA817" s="10"/>
      <c r="AB817" s="10"/>
      <c r="AC817" s="10"/>
      <c r="AD817" s="10"/>
      <c r="AE817" s="10"/>
      <c r="AF817" s="10"/>
    </row>
    <row r="818">
      <c r="A818" s="7"/>
      <c r="B818" s="8">
        <v>73.0</v>
      </c>
      <c r="C818" s="8">
        <v>12.0</v>
      </c>
      <c r="D818" s="8" t="s">
        <v>1302</v>
      </c>
      <c r="E818" s="7">
        <v>1.0</v>
      </c>
      <c r="F818" s="18" t="s">
        <v>320</v>
      </c>
      <c r="G818" s="7" t="s">
        <v>312</v>
      </c>
      <c r="H818" s="7" t="s">
        <v>313</v>
      </c>
      <c r="I818" s="7" t="s">
        <v>366</v>
      </c>
      <c r="J818" s="9" t="s">
        <v>1299</v>
      </c>
      <c r="K818" s="12"/>
      <c r="L818" s="12"/>
      <c r="M818" s="10"/>
      <c r="N818" s="10"/>
      <c r="O818" s="10"/>
      <c r="P818" s="10"/>
      <c r="Q818" s="10"/>
      <c r="R818" s="10"/>
      <c r="S818" s="10"/>
      <c r="T818" s="10"/>
      <c r="U818" s="10"/>
      <c r="V818" s="10"/>
      <c r="W818" s="10"/>
      <c r="X818" s="10"/>
      <c r="Y818" s="10"/>
      <c r="Z818" s="10"/>
      <c r="AA818" s="10"/>
      <c r="AB818" s="10"/>
      <c r="AC818" s="10"/>
      <c r="AD818" s="10"/>
      <c r="AE818" s="10"/>
      <c r="AF818" s="10"/>
    </row>
    <row r="819">
      <c r="A819" s="7"/>
      <c r="B819" s="8">
        <v>73.0</v>
      </c>
      <c r="C819" s="8">
        <v>13.0</v>
      </c>
      <c r="D819" s="8" t="s">
        <v>1303</v>
      </c>
      <c r="E819" s="7">
        <v>1.0</v>
      </c>
      <c r="F819" s="18" t="s">
        <v>320</v>
      </c>
      <c r="G819" s="7" t="s">
        <v>312</v>
      </c>
      <c r="H819" s="7" t="s">
        <v>313</v>
      </c>
      <c r="I819" s="7" t="s">
        <v>366</v>
      </c>
      <c r="J819" s="9" t="s">
        <v>1299</v>
      </c>
      <c r="K819" s="12"/>
      <c r="L819" s="12"/>
      <c r="M819" s="10"/>
      <c r="N819" s="10"/>
      <c r="O819" s="10"/>
      <c r="P819" s="10"/>
      <c r="Q819" s="10"/>
      <c r="R819" s="10"/>
      <c r="S819" s="10"/>
      <c r="T819" s="10"/>
      <c r="U819" s="10"/>
      <c r="V819" s="10"/>
      <c r="W819" s="10"/>
      <c r="X819" s="10"/>
      <c r="Y819" s="10"/>
      <c r="Z819" s="10"/>
      <c r="AA819" s="10"/>
      <c r="AB819" s="10"/>
      <c r="AC819" s="10"/>
      <c r="AD819" s="10"/>
      <c r="AE819" s="10"/>
      <c r="AF819" s="10"/>
    </row>
    <row r="820">
      <c r="A820" s="7"/>
      <c r="B820" s="8">
        <v>73.0</v>
      </c>
      <c r="C820" s="8">
        <v>14.0</v>
      </c>
      <c r="D820" s="8" t="s">
        <v>1304</v>
      </c>
      <c r="E820" s="7">
        <v>0.0</v>
      </c>
      <c r="F820" s="7"/>
      <c r="G820" s="7" t="s">
        <v>312</v>
      </c>
      <c r="H820" s="7" t="s">
        <v>313</v>
      </c>
      <c r="I820" s="10"/>
      <c r="J820" s="11"/>
      <c r="K820" s="8" t="s">
        <v>1305</v>
      </c>
      <c r="L820" s="12"/>
      <c r="M820" s="10"/>
      <c r="N820" s="10"/>
      <c r="O820" s="10"/>
      <c r="P820" s="10"/>
      <c r="Q820" s="10"/>
      <c r="R820" s="10"/>
      <c r="S820" s="10"/>
      <c r="T820" s="10"/>
      <c r="U820" s="10"/>
      <c r="V820" s="10"/>
      <c r="W820" s="10"/>
      <c r="X820" s="10"/>
      <c r="Y820" s="10"/>
      <c r="Z820" s="10"/>
      <c r="AA820" s="10"/>
      <c r="AB820" s="10"/>
      <c r="AC820" s="10"/>
      <c r="AD820" s="10"/>
      <c r="AE820" s="10"/>
      <c r="AF820" s="10"/>
    </row>
    <row r="821">
      <c r="A821" s="7"/>
      <c r="B821" s="8">
        <v>73.0</v>
      </c>
      <c r="C821" s="8">
        <v>15.0</v>
      </c>
      <c r="D821" s="8" t="s">
        <v>1306</v>
      </c>
      <c r="E821" s="7">
        <v>0.0</v>
      </c>
      <c r="F821" s="7"/>
      <c r="G821" s="7" t="s">
        <v>312</v>
      </c>
      <c r="H821" s="7" t="s">
        <v>313</v>
      </c>
      <c r="I821" s="10"/>
      <c r="J821" s="11"/>
      <c r="K821" s="12"/>
      <c r="L821" s="12"/>
      <c r="M821" s="10"/>
      <c r="N821" s="10"/>
      <c r="O821" s="10"/>
      <c r="P821" s="10"/>
      <c r="Q821" s="10"/>
      <c r="R821" s="10"/>
      <c r="S821" s="10"/>
      <c r="T821" s="10"/>
      <c r="U821" s="10"/>
      <c r="V821" s="10"/>
      <c r="W821" s="10"/>
      <c r="X821" s="10"/>
      <c r="Y821" s="10"/>
      <c r="Z821" s="10"/>
      <c r="AA821" s="10"/>
      <c r="AB821" s="10"/>
      <c r="AC821" s="10"/>
      <c r="AD821" s="10"/>
      <c r="AE821" s="10"/>
      <c r="AF821" s="10"/>
    </row>
    <row r="822">
      <c r="A822" s="7"/>
      <c r="B822" s="8">
        <v>73.0</v>
      </c>
      <c r="C822" s="8">
        <v>16.0</v>
      </c>
      <c r="D822" s="8" t="s">
        <v>1307</v>
      </c>
      <c r="E822" s="7">
        <v>0.0</v>
      </c>
      <c r="F822" s="7"/>
      <c r="G822" s="7" t="s">
        <v>312</v>
      </c>
      <c r="H822" s="7" t="s">
        <v>313</v>
      </c>
      <c r="I822" s="10"/>
      <c r="J822" s="11"/>
      <c r="K822" s="8" t="s">
        <v>1308</v>
      </c>
      <c r="L822" s="12"/>
      <c r="M822" s="10"/>
      <c r="N822" s="10"/>
      <c r="O822" s="10"/>
      <c r="P822" s="10"/>
      <c r="Q822" s="10"/>
      <c r="R822" s="10"/>
      <c r="S822" s="10"/>
      <c r="T822" s="10"/>
      <c r="U822" s="10"/>
      <c r="V822" s="10"/>
      <c r="W822" s="10"/>
      <c r="X822" s="10"/>
      <c r="Y822" s="10"/>
      <c r="Z822" s="10"/>
      <c r="AA822" s="10"/>
      <c r="AB822" s="10"/>
      <c r="AC822" s="10"/>
      <c r="AD822" s="10"/>
      <c r="AE822" s="10"/>
      <c r="AF822" s="10"/>
    </row>
    <row r="823">
      <c r="A823" s="7"/>
      <c r="B823" s="8">
        <v>73.0</v>
      </c>
      <c r="C823" s="8">
        <v>17.0</v>
      </c>
      <c r="D823" s="8" t="s">
        <v>1309</v>
      </c>
      <c r="E823" s="7">
        <v>0.0</v>
      </c>
      <c r="F823" s="7"/>
      <c r="G823" s="7" t="s">
        <v>312</v>
      </c>
      <c r="H823" s="7" t="s">
        <v>313</v>
      </c>
      <c r="I823" s="10"/>
      <c r="J823" s="11"/>
      <c r="K823" s="8" t="s">
        <v>1310</v>
      </c>
      <c r="L823" s="12"/>
      <c r="M823" s="10"/>
      <c r="N823" s="10"/>
      <c r="O823" s="10"/>
      <c r="P823" s="10"/>
      <c r="Q823" s="10"/>
      <c r="R823" s="10"/>
      <c r="S823" s="10"/>
      <c r="T823" s="10"/>
      <c r="U823" s="10"/>
      <c r="V823" s="10"/>
      <c r="W823" s="10"/>
      <c r="X823" s="10"/>
      <c r="Y823" s="10"/>
      <c r="Z823" s="10"/>
      <c r="AA823" s="10"/>
      <c r="AB823" s="10"/>
      <c r="AC823" s="10"/>
      <c r="AD823" s="10"/>
      <c r="AE823" s="10"/>
      <c r="AF823" s="10"/>
    </row>
    <row r="824">
      <c r="A824" s="7"/>
      <c r="B824" s="8">
        <v>73.0</v>
      </c>
      <c r="C824" s="8">
        <v>18.0</v>
      </c>
      <c r="D824" s="8" t="s">
        <v>1311</v>
      </c>
      <c r="E824" s="7">
        <v>0.0</v>
      </c>
      <c r="F824" s="7"/>
      <c r="G824" s="7" t="s">
        <v>312</v>
      </c>
      <c r="H824" s="7" t="s">
        <v>313</v>
      </c>
      <c r="I824" s="10"/>
      <c r="J824" s="11"/>
      <c r="K824" s="8" t="s">
        <v>1312</v>
      </c>
      <c r="L824" s="12"/>
      <c r="M824" s="10"/>
      <c r="N824" s="10"/>
      <c r="O824" s="10"/>
      <c r="P824" s="10"/>
      <c r="Q824" s="10"/>
      <c r="R824" s="10"/>
      <c r="S824" s="10"/>
      <c r="T824" s="10"/>
      <c r="U824" s="10"/>
      <c r="V824" s="10"/>
      <c r="W824" s="10"/>
      <c r="X824" s="10"/>
      <c r="Y824" s="10"/>
      <c r="Z824" s="10"/>
      <c r="AA824" s="10"/>
      <c r="AB824" s="10"/>
      <c r="AC824" s="10"/>
      <c r="AD824" s="10"/>
      <c r="AE824" s="10"/>
      <c r="AF824" s="10"/>
    </row>
    <row r="825">
      <c r="A825" s="7"/>
      <c r="B825" s="8">
        <v>73.0</v>
      </c>
      <c r="C825" s="8">
        <v>19.0</v>
      </c>
      <c r="D825" s="8" t="s">
        <v>1313</v>
      </c>
      <c r="E825" s="7">
        <v>0.0</v>
      </c>
      <c r="F825" s="7"/>
      <c r="G825" s="7" t="s">
        <v>312</v>
      </c>
      <c r="H825" s="7" t="s">
        <v>313</v>
      </c>
      <c r="I825" s="10"/>
      <c r="J825" s="11"/>
      <c r="K825" s="12"/>
      <c r="L825" s="12"/>
      <c r="M825" s="10"/>
      <c r="N825" s="10"/>
      <c r="O825" s="10"/>
      <c r="P825" s="10"/>
      <c r="Q825" s="10"/>
      <c r="R825" s="10"/>
      <c r="S825" s="10"/>
      <c r="T825" s="10"/>
      <c r="U825" s="10"/>
      <c r="V825" s="10"/>
      <c r="W825" s="10"/>
      <c r="X825" s="10"/>
      <c r="Y825" s="10"/>
      <c r="Z825" s="10"/>
      <c r="AA825" s="10"/>
      <c r="AB825" s="10"/>
      <c r="AC825" s="10"/>
      <c r="AD825" s="10"/>
      <c r="AE825" s="10"/>
      <c r="AF825" s="10"/>
    </row>
    <row r="826">
      <c r="A826" s="7"/>
      <c r="B826" s="8">
        <v>73.0</v>
      </c>
      <c r="C826" s="8">
        <v>20.0</v>
      </c>
      <c r="D826" s="8" t="s">
        <v>1314</v>
      </c>
      <c r="E826" s="7">
        <v>0.0</v>
      </c>
      <c r="F826" s="7"/>
      <c r="G826" s="7" t="s">
        <v>312</v>
      </c>
      <c r="H826" s="7" t="s">
        <v>313</v>
      </c>
      <c r="I826" s="10"/>
      <c r="J826" s="11"/>
      <c r="K826" s="12"/>
      <c r="L826" s="12"/>
      <c r="M826" s="10"/>
      <c r="N826" s="10"/>
      <c r="O826" s="10"/>
      <c r="P826" s="10"/>
      <c r="Q826" s="10"/>
      <c r="R826" s="10"/>
      <c r="S826" s="10"/>
      <c r="T826" s="10"/>
      <c r="U826" s="10"/>
      <c r="V826" s="10"/>
      <c r="W826" s="10"/>
      <c r="X826" s="10"/>
      <c r="Y826" s="10"/>
      <c r="Z826" s="10"/>
      <c r="AA826" s="10"/>
      <c r="AB826" s="10"/>
      <c r="AC826" s="10"/>
      <c r="AD826" s="10"/>
      <c r="AE826" s="10"/>
      <c r="AF826" s="10"/>
    </row>
    <row r="827">
      <c r="A827" s="7"/>
      <c r="B827" s="8">
        <v>73.0</v>
      </c>
      <c r="C827" s="8">
        <v>21.0</v>
      </c>
      <c r="D827" s="8" t="s">
        <v>1315</v>
      </c>
      <c r="E827" s="7">
        <v>0.0</v>
      </c>
      <c r="F827" s="7"/>
      <c r="G827" s="7" t="s">
        <v>312</v>
      </c>
      <c r="H827" s="7" t="s">
        <v>313</v>
      </c>
      <c r="I827" s="10"/>
      <c r="J827" s="11"/>
      <c r="K827" s="12"/>
      <c r="L827" s="12"/>
      <c r="M827" s="10"/>
      <c r="N827" s="10"/>
      <c r="O827" s="10"/>
      <c r="P827" s="10"/>
      <c r="Q827" s="10"/>
      <c r="R827" s="10"/>
      <c r="S827" s="10"/>
      <c r="T827" s="10"/>
      <c r="U827" s="10"/>
      <c r="V827" s="10"/>
      <c r="W827" s="10"/>
      <c r="X827" s="10"/>
      <c r="Y827" s="10"/>
      <c r="Z827" s="10"/>
      <c r="AA827" s="10"/>
      <c r="AB827" s="10"/>
      <c r="AC827" s="10"/>
      <c r="AD827" s="10"/>
      <c r="AE827" s="10"/>
      <c r="AF827" s="10"/>
    </row>
    <row r="828">
      <c r="A828" s="7"/>
      <c r="B828" s="8">
        <v>73.0</v>
      </c>
      <c r="C828" s="8">
        <v>22.0</v>
      </c>
      <c r="D828" s="8" t="s">
        <v>1316</v>
      </c>
      <c r="E828" s="7">
        <v>0.0</v>
      </c>
      <c r="F828" s="7"/>
      <c r="G828" s="7" t="s">
        <v>312</v>
      </c>
      <c r="H828" s="7" t="s">
        <v>313</v>
      </c>
      <c r="I828" s="10"/>
      <c r="J828" s="11"/>
      <c r="K828" s="12"/>
      <c r="L828" s="12"/>
      <c r="M828" s="10"/>
      <c r="N828" s="10"/>
      <c r="O828" s="10"/>
      <c r="P828" s="10"/>
      <c r="Q828" s="10"/>
      <c r="R828" s="10"/>
      <c r="S828" s="10"/>
      <c r="T828" s="10"/>
      <c r="U828" s="10"/>
      <c r="V828" s="10"/>
      <c r="W828" s="10"/>
      <c r="X828" s="10"/>
      <c r="Y828" s="10"/>
      <c r="Z828" s="10"/>
      <c r="AA828" s="10"/>
      <c r="AB828" s="10"/>
      <c r="AC828" s="10"/>
      <c r="AD828" s="10"/>
      <c r="AE828" s="10"/>
      <c r="AF828" s="10"/>
    </row>
    <row r="829">
      <c r="A829" s="7"/>
      <c r="B829" s="8">
        <v>73.0</v>
      </c>
      <c r="C829" s="8">
        <v>23.0</v>
      </c>
      <c r="D829" s="8" t="s">
        <v>1317</v>
      </c>
      <c r="E829" s="7">
        <v>0.0</v>
      </c>
      <c r="F829" s="7"/>
      <c r="G829" s="7" t="s">
        <v>312</v>
      </c>
      <c r="H829" s="7" t="s">
        <v>313</v>
      </c>
      <c r="I829" s="10"/>
      <c r="J829" s="11"/>
      <c r="K829" s="12"/>
      <c r="L829" s="12"/>
      <c r="M829" s="10"/>
      <c r="N829" s="10"/>
      <c r="O829" s="10"/>
      <c r="P829" s="10"/>
      <c r="Q829" s="10"/>
      <c r="R829" s="10"/>
      <c r="S829" s="10"/>
      <c r="T829" s="10"/>
      <c r="U829" s="10"/>
      <c r="V829" s="10"/>
      <c r="W829" s="10"/>
      <c r="X829" s="10"/>
      <c r="Y829" s="10"/>
      <c r="Z829" s="10"/>
      <c r="AA829" s="10"/>
      <c r="AB829" s="10"/>
      <c r="AC829" s="10"/>
      <c r="AD829" s="10"/>
      <c r="AE829" s="10"/>
      <c r="AF829" s="10"/>
    </row>
    <row r="830">
      <c r="A830" s="7"/>
      <c r="B830" s="8">
        <v>73.0</v>
      </c>
      <c r="C830" s="8">
        <v>24.0</v>
      </c>
      <c r="D830" s="8" t="s">
        <v>1318</v>
      </c>
      <c r="E830" s="7">
        <v>0.0</v>
      </c>
      <c r="F830" s="7"/>
      <c r="G830" s="7" t="s">
        <v>312</v>
      </c>
      <c r="H830" s="7" t="s">
        <v>313</v>
      </c>
      <c r="I830" s="10"/>
      <c r="J830" s="11"/>
      <c r="K830" s="12"/>
      <c r="L830" s="12"/>
      <c r="M830" s="10"/>
      <c r="N830" s="10"/>
      <c r="O830" s="10"/>
      <c r="P830" s="10"/>
      <c r="Q830" s="10"/>
      <c r="R830" s="10"/>
      <c r="S830" s="10"/>
      <c r="T830" s="10"/>
      <c r="U830" s="10"/>
      <c r="V830" s="10"/>
      <c r="W830" s="10"/>
      <c r="X830" s="10"/>
      <c r="Y830" s="10"/>
      <c r="Z830" s="10"/>
      <c r="AA830" s="10"/>
      <c r="AB830" s="10"/>
      <c r="AC830" s="10"/>
      <c r="AD830" s="10"/>
      <c r="AE830" s="10"/>
      <c r="AF830" s="10"/>
    </row>
    <row r="831">
      <c r="A831" s="7"/>
      <c r="B831" s="8">
        <v>73.0</v>
      </c>
      <c r="C831" s="8">
        <v>25.0</v>
      </c>
      <c r="D831" s="8" t="s">
        <v>1319</v>
      </c>
      <c r="E831" s="7">
        <v>0.0</v>
      </c>
      <c r="F831" s="7"/>
      <c r="G831" s="7" t="s">
        <v>312</v>
      </c>
      <c r="H831" s="7" t="s">
        <v>313</v>
      </c>
      <c r="I831" s="10"/>
      <c r="J831" s="11"/>
      <c r="K831" s="12"/>
      <c r="L831" s="12"/>
      <c r="M831" s="10"/>
      <c r="N831" s="10"/>
      <c r="O831" s="10"/>
      <c r="P831" s="10"/>
      <c r="Q831" s="10"/>
      <c r="R831" s="10"/>
      <c r="S831" s="10"/>
      <c r="T831" s="10"/>
      <c r="U831" s="10"/>
      <c r="V831" s="10"/>
      <c r="W831" s="10"/>
      <c r="X831" s="10"/>
      <c r="Y831" s="10"/>
      <c r="Z831" s="10"/>
      <c r="AA831" s="10"/>
      <c r="AB831" s="10"/>
      <c r="AC831" s="10"/>
      <c r="AD831" s="10"/>
      <c r="AE831" s="10"/>
      <c r="AF831" s="10"/>
    </row>
    <row r="832">
      <c r="A832" s="7"/>
      <c r="B832" s="8">
        <v>73.0</v>
      </c>
      <c r="C832" s="8">
        <v>26.0</v>
      </c>
      <c r="D832" s="8" t="s">
        <v>1320</v>
      </c>
      <c r="E832" s="7">
        <v>0.0</v>
      </c>
      <c r="F832" s="7"/>
      <c r="G832" s="7" t="s">
        <v>312</v>
      </c>
      <c r="H832" s="7" t="s">
        <v>313</v>
      </c>
      <c r="I832" s="10"/>
      <c r="J832" s="11"/>
      <c r="K832" s="12"/>
      <c r="L832" s="12"/>
      <c r="M832" s="10"/>
      <c r="N832" s="10"/>
      <c r="O832" s="10"/>
      <c r="P832" s="10"/>
      <c r="Q832" s="10"/>
      <c r="R832" s="10"/>
      <c r="S832" s="10"/>
      <c r="T832" s="10"/>
      <c r="U832" s="10"/>
      <c r="V832" s="10"/>
      <c r="W832" s="10"/>
      <c r="X832" s="10"/>
      <c r="Y832" s="10"/>
      <c r="Z832" s="10"/>
      <c r="AA832" s="10"/>
      <c r="AB832" s="10"/>
      <c r="AC832" s="10"/>
      <c r="AD832" s="10"/>
      <c r="AE832" s="10"/>
      <c r="AF832" s="10"/>
    </row>
    <row r="833">
      <c r="A833" s="7"/>
      <c r="B833" s="8">
        <v>73.0</v>
      </c>
      <c r="C833" s="8">
        <v>27.0</v>
      </c>
      <c r="D833" s="8" t="s">
        <v>1321</v>
      </c>
      <c r="E833" s="7">
        <v>0.0</v>
      </c>
      <c r="F833" s="7"/>
      <c r="G833" s="7" t="s">
        <v>312</v>
      </c>
      <c r="H833" s="7" t="s">
        <v>313</v>
      </c>
      <c r="I833" s="10"/>
      <c r="J833" s="11"/>
      <c r="K833" s="12"/>
      <c r="L833" s="12"/>
      <c r="M833" s="10"/>
      <c r="N833" s="10"/>
      <c r="O833" s="10"/>
      <c r="P833" s="10"/>
      <c r="Q833" s="10"/>
      <c r="R833" s="10"/>
      <c r="S833" s="10"/>
      <c r="T833" s="10"/>
      <c r="U833" s="10"/>
      <c r="V833" s="10"/>
      <c r="W833" s="10"/>
      <c r="X833" s="10"/>
      <c r="Y833" s="10"/>
      <c r="Z833" s="10"/>
      <c r="AA833" s="10"/>
      <c r="AB833" s="10"/>
      <c r="AC833" s="10"/>
      <c r="AD833" s="10"/>
      <c r="AE833" s="10"/>
      <c r="AF833" s="10"/>
    </row>
    <row r="834">
      <c r="A834" s="7"/>
      <c r="B834" s="8">
        <v>73.0</v>
      </c>
      <c r="C834" s="8">
        <v>28.0</v>
      </c>
      <c r="D834" s="8" t="s">
        <v>1322</v>
      </c>
      <c r="E834" s="7">
        <v>0.0</v>
      </c>
      <c r="F834" s="7"/>
      <c r="G834" s="7" t="s">
        <v>312</v>
      </c>
      <c r="H834" s="7" t="s">
        <v>313</v>
      </c>
      <c r="I834" s="10"/>
      <c r="J834" s="11"/>
      <c r="K834" s="12"/>
      <c r="L834" s="12"/>
      <c r="M834" s="10"/>
      <c r="N834" s="10"/>
      <c r="O834" s="10"/>
      <c r="P834" s="10"/>
      <c r="Q834" s="10"/>
      <c r="R834" s="10"/>
      <c r="S834" s="10"/>
      <c r="T834" s="10"/>
      <c r="U834" s="10"/>
      <c r="V834" s="10"/>
      <c r="W834" s="10"/>
      <c r="X834" s="10"/>
      <c r="Y834" s="10"/>
      <c r="Z834" s="10"/>
      <c r="AA834" s="10"/>
      <c r="AB834" s="10"/>
      <c r="AC834" s="10"/>
      <c r="AD834" s="10"/>
      <c r="AE834" s="10"/>
      <c r="AF834" s="10"/>
    </row>
    <row r="835">
      <c r="A835" s="10"/>
      <c r="B835" s="12"/>
      <c r="C835" s="12"/>
      <c r="D835" s="12"/>
      <c r="E835" s="10"/>
      <c r="F835" s="10"/>
      <c r="G835" s="10"/>
      <c r="H835" s="7"/>
      <c r="I835" s="10"/>
      <c r="J835" s="11"/>
      <c r="K835" s="12"/>
      <c r="L835" s="12"/>
      <c r="M835" s="10"/>
      <c r="N835" s="10"/>
      <c r="O835" s="10"/>
      <c r="P835" s="10"/>
      <c r="Q835" s="10"/>
      <c r="R835" s="10"/>
      <c r="S835" s="10"/>
      <c r="T835" s="10"/>
      <c r="U835" s="10"/>
      <c r="V835" s="10"/>
      <c r="W835" s="10"/>
      <c r="X835" s="10"/>
      <c r="Y835" s="10"/>
      <c r="Z835" s="10"/>
      <c r="AA835" s="10"/>
      <c r="AB835" s="10"/>
      <c r="AC835" s="10"/>
      <c r="AD835" s="10"/>
      <c r="AE835" s="10"/>
      <c r="AF835" s="10"/>
    </row>
    <row r="836">
      <c r="A836" s="7"/>
      <c r="B836" s="8">
        <v>74.0</v>
      </c>
      <c r="C836" s="8">
        <v>1.0</v>
      </c>
      <c r="D836" s="8" t="s">
        <v>1323</v>
      </c>
      <c r="E836" s="7">
        <v>0.0</v>
      </c>
      <c r="F836" s="7"/>
      <c r="G836" s="7" t="s">
        <v>312</v>
      </c>
      <c r="H836" s="7" t="s">
        <v>313</v>
      </c>
      <c r="I836" s="10"/>
      <c r="J836" s="9" t="s">
        <v>1324</v>
      </c>
      <c r="K836" s="12"/>
      <c r="L836" s="12"/>
      <c r="M836" s="10"/>
      <c r="N836" s="10"/>
      <c r="O836" s="10"/>
      <c r="P836" s="10"/>
      <c r="Q836" s="10"/>
      <c r="R836" s="10"/>
      <c r="S836" s="10"/>
      <c r="T836" s="10"/>
      <c r="U836" s="10"/>
      <c r="V836" s="10"/>
      <c r="W836" s="10"/>
      <c r="X836" s="10"/>
      <c r="Y836" s="10"/>
      <c r="Z836" s="10"/>
      <c r="AA836" s="10"/>
      <c r="AB836" s="10"/>
      <c r="AC836" s="10"/>
      <c r="AD836" s="10"/>
      <c r="AE836" s="10"/>
      <c r="AF836" s="10"/>
    </row>
    <row r="837">
      <c r="A837" s="7"/>
      <c r="B837" s="8">
        <v>74.0</v>
      </c>
      <c r="C837" s="8">
        <v>2.0</v>
      </c>
      <c r="D837" s="8" t="s">
        <v>1325</v>
      </c>
      <c r="E837" s="7">
        <v>0.0</v>
      </c>
      <c r="F837" s="7"/>
      <c r="G837" s="7" t="s">
        <v>312</v>
      </c>
      <c r="H837" s="7" t="s">
        <v>313</v>
      </c>
      <c r="I837" s="10"/>
      <c r="J837" s="11"/>
      <c r="K837" s="12"/>
      <c r="L837" s="12"/>
      <c r="M837" s="10"/>
      <c r="N837" s="10"/>
      <c r="O837" s="10"/>
      <c r="P837" s="10"/>
      <c r="Q837" s="10"/>
      <c r="R837" s="10"/>
      <c r="S837" s="10"/>
      <c r="T837" s="10"/>
      <c r="U837" s="10"/>
      <c r="V837" s="10"/>
      <c r="W837" s="10"/>
      <c r="X837" s="10"/>
      <c r="Y837" s="10"/>
      <c r="Z837" s="10"/>
      <c r="AA837" s="10"/>
      <c r="AB837" s="10"/>
      <c r="AC837" s="10"/>
      <c r="AD837" s="10"/>
      <c r="AE837" s="10"/>
      <c r="AF837" s="10"/>
    </row>
    <row r="838">
      <c r="A838" s="7"/>
      <c r="B838" s="8">
        <v>74.0</v>
      </c>
      <c r="C838" s="8">
        <v>3.0</v>
      </c>
      <c r="D838" s="8" t="s">
        <v>1326</v>
      </c>
      <c r="E838" s="7">
        <v>0.0</v>
      </c>
      <c r="F838" s="7"/>
      <c r="G838" s="7" t="s">
        <v>312</v>
      </c>
      <c r="H838" s="7" t="s">
        <v>313</v>
      </c>
      <c r="I838" s="10"/>
      <c r="J838" s="11"/>
      <c r="K838" s="8" t="s">
        <v>1327</v>
      </c>
      <c r="L838" s="12"/>
      <c r="M838" s="10"/>
      <c r="N838" s="10"/>
      <c r="O838" s="10"/>
      <c r="P838" s="10"/>
      <c r="Q838" s="10"/>
      <c r="R838" s="10"/>
      <c r="S838" s="10"/>
      <c r="T838" s="10"/>
      <c r="U838" s="10"/>
      <c r="V838" s="10"/>
      <c r="W838" s="10"/>
      <c r="X838" s="10"/>
      <c r="Y838" s="10"/>
      <c r="Z838" s="10"/>
      <c r="AA838" s="10"/>
      <c r="AB838" s="10"/>
      <c r="AC838" s="10"/>
      <c r="AD838" s="10"/>
      <c r="AE838" s="10"/>
      <c r="AF838" s="10"/>
    </row>
    <row r="839">
      <c r="A839" s="7"/>
      <c r="B839" s="8">
        <v>74.0</v>
      </c>
      <c r="C839" s="8">
        <v>4.0</v>
      </c>
      <c r="D839" s="8" t="s">
        <v>1328</v>
      </c>
      <c r="E839" s="7">
        <v>0.0</v>
      </c>
      <c r="F839" s="7"/>
      <c r="G839" s="7" t="s">
        <v>312</v>
      </c>
      <c r="H839" s="7" t="s">
        <v>313</v>
      </c>
      <c r="I839" s="10"/>
      <c r="J839" s="11"/>
      <c r="K839" s="3"/>
      <c r="L839" s="12"/>
      <c r="M839" s="10"/>
      <c r="N839" s="10"/>
      <c r="O839" s="10"/>
      <c r="P839" s="10"/>
      <c r="Q839" s="10"/>
      <c r="R839" s="10"/>
      <c r="S839" s="10"/>
      <c r="T839" s="10"/>
      <c r="U839" s="10"/>
      <c r="V839" s="10"/>
      <c r="W839" s="10"/>
      <c r="X839" s="10"/>
      <c r="Y839" s="10"/>
      <c r="Z839" s="10"/>
      <c r="AA839" s="10"/>
      <c r="AB839" s="10"/>
      <c r="AC839" s="10"/>
      <c r="AD839" s="10"/>
      <c r="AE839" s="10"/>
      <c r="AF839" s="10"/>
    </row>
    <row r="840">
      <c r="A840" s="7"/>
      <c r="B840" s="8">
        <v>74.0</v>
      </c>
      <c r="C840" s="8">
        <v>5.0</v>
      </c>
      <c r="D840" s="8" t="s">
        <v>1329</v>
      </c>
      <c r="E840" s="7">
        <v>0.0</v>
      </c>
      <c r="F840" s="7"/>
      <c r="G840" s="7" t="s">
        <v>312</v>
      </c>
      <c r="H840" s="7" t="s">
        <v>313</v>
      </c>
      <c r="I840" s="10"/>
      <c r="J840" s="11"/>
      <c r="K840" s="12"/>
      <c r="L840" s="12"/>
      <c r="M840" s="10"/>
      <c r="N840" s="10"/>
      <c r="O840" s="10"/>
      <c r="P840" s="10"/>
      <c r="Q840" s="10"/>
      <c r="R840" s="10"/>
      <c r="S840" s="10"/>
      <c r="T840" s="10"/>
      <c r="U840" s="10"/>
      <c r="V840" s="10"/>
      <c r="W840" s="10"/>
      <c r="X840" s="10"/>
      <c r="Y840" s="10"/>
      <c r="Z840" s="10"/>
      <c r="AA840" s="10"/>
      <c r="AB840" s="10"/>
      <c r="AC840" s="10"/>
      <c r="AD840" s="10"/>
      <c r="AE840" s="10"/>
      <c r="AF840" s="10"/>
    </row>
    <row r="841">
      <c r="A841" s="7"/>
      <c r="B841" s="8">
        <v>74.0</v>
      </c>
      <c r="C841" s="8">
        <v>6.0</v>
      </c>
      <c r="D841" s="8" t="s">
        <v>1330</v>
      </c>
      <c r="E841" s="7">
        <v>0.0</v>
      </c>
      <c r="F841" s="7"/>
      <c r="G841" s="7" t="s">
        <v>312</v>
      </c>
      <c r="H841" s="7" t="s">
        <v>313</v>
      </c>
      <c r="I841" s="10"/>
      <c r="J841" s="11"/>
      <c r="K841" s="12"/>
      <c r="L841" s="12"/>
      <c r="M841" s="10"/>
      <c r="N841" s="10"/>
      <c r="O841" s="10"/>
      <c r="P841" s="10"/>
      <c r="Q841" s="10"/>
      <c r="R841" s="10"/>
      <c r="S841" s="10"/>
      <c r="T841" s="10"/>
      <c r="U841" s="10"/>
      <c r="V841" s="10"/>
      <c r="W841" s="10"/>
      <c r="X841" s="10"/>
      <c r="Y841" s="10"/>
      <c r="Z841" s="10"/>
      <c r="AA841" s="10"/>
      <c r="AB841" s="10"/>
      <c r="AC841" s="10"/>
      <c r="AD841" s="10"/>
      <c r="AE841" s="10"/>
      <c r="AF841" s="10"/>
    </row>
    <row r="842">
      <c r="A842" s="7"/>
      <c r="B842" s="8">
        <v>74.0</v>
      </c>
      <c r="C842" s="8">
        <v>7.0</v>
      </c>
      <c r="D842" s="8" t="s">
        <v>1331</v>
      </c>
      <c r="E842" s="7">
        <v>0.0</v>
      </c>
      <c r="F842" s="7"/>
      <c r="G842" s="7" t="s">
        <v>312</v>
      </c>
      <c r="H842" s="7" t="s">
        <v>313</v>
      </c>
      <c r="I842" s="10"/>
      <c r="J842" s="11"/>
      <c r="K842" s="8"/>
      <c r="L842" s="12"/>
      <c r="M842" s="10"/>
      <c r="N842" s="10"/>
      <c r="O842" s="10"/>
      <c r="P842" s="10"/>
      <c r="Q842" s="10"/>
      <c r="R842" s="10"/>
      <c r="S842" s="10"/>
      <c r="T842" s="10"/>
      <c r="U842" s="10"/>
      <c r="V842" s="10"/>
      <c r="W842" s="10"/>
      <c r="X842" s="10"/>
      <c r="Y842" s="10"/>
      <c r="Z842" s="10"/>
      <c r="AA842" s="10"/>
      <c r="AB842" s="10"/>
      <c r="AC842" s="10"/>
      <c r="AD842" s="10"/>
      <c r="AE842" s="10"/>
      <c r="AF842" s="10"/>
    </row>
    <row r="843">
      <c r="A843" s="7"/>
      <c r="B843" s="8">
        <v>74.0</v>
      </c>
      <c r="C843" s="8">
        <v>8.0</v>
      </c>
      <c r="D843" s="8" t="s">
        <v>1332</v>
      </c>
      <c r="E843" s="7">
        <v>0.0</v>
      </c>
      <c r="F843" s="7"/>
      <c r="G843" s="7" t="s">
        <v>312</v>
      </c>
      <c r="H843" s="7" t="s">
        <v>313</v>
      </c>
      <c r="I843" s="10"/>
      <c r="J843" s="11"/>
      <c r="K843" s="12"/>
      <c r="L843" s="12"/>
      <c r="M843" s="10"/>
      <c r="N843" s="10"/>
      <c r="O843" s="10"/>
      <c r="P843" s="10"/>
      <c r="Q843" s="10"/>
      <c r="R843" s="10"/>
      <c r="S843" s="10"/>
      <c r="T843" s="10"/>
      <c r="U843" s="10"/>
      <c r="V843" s="10"/>
      <c r="W843" s="10"/>
      <c r="X843" s="10"/>
      <c r="Y843" s="10"/>
      <c r="Z843" s="10"/>
      <c r="AA843" s="10"/>
      <c r="AB843" s="10"/>
      <c r="AC843" s="10"/>
      <c r="AD843" s="10"/>
      <c r="AE843" s="10"/>
      <c r="AF843" s="10"/>
    </row>
    <row r="844">
      <c r="A844" s="7"/>
      <c r="B844" s="8">
        <v>74.0</v>
      </c>
      <c r="C844" s="8">
        <v>9.0</v>
      </c>
      <c r="D844" s="8" t="s">
        <v>1333</v>
      </c>
      <c r="E844" s="7">
        <v>0.0</v>
      </c>
      <c r="F844" s="7"/>
      <c r="G844" s="7" t="s">
        <v>312</v>
      </c>
      <c r="H844" s="7" t="s">
        <v>313</v>
      </c>
      <c r="I844" s="10"/>
      <c r="J844" s="11"/>
      <c r="K844" s="20" t="s">
        <v>1334</v>
      </c>
      <c r="L844" s="12"/>
      <c r="M844" s="10"/>
      <c r="N844" s="10"/>
      <c r="O844" s="10"/>
      <c r="P844" s="10"/>
      <c r="Q844" s="10"/>
      <c r="R844" s="10"/>
      <c r="S844" s="10"/>
      <c r="T844" s="10"/>
      <c r="U844" s="10"/>
      <c r="V844" s="10"/>
      <c r="W844" s="10"/>
      <c r="X844" s="10"/>
      <c r="Y844" s="10"/>
      <c r="Z844" s="10"/>
      <c r="AA844" s="10"/>
      <c r="AB844" s="10"/>
      <c r="AC844" s="10"/>
      <c r="AD844" s="10"/>
      <c r="AE844" s="10"/>
      <c r="AF844" s="10"/>
    </row>
    <row r="845">
      <c r="A845" s="7"/>
      <c r="B845" s="8">
        <v>74.0</v>
      </c>
      <c r="C845" s="8">
        <v>10.0</v>
      </c>
      <c r="D845" s="8" t="s">
        <v>1335</v>
      </c>
      <c r="E845" s="7">
        <v>0.0</v>
      </c>
      <c r="F845" s="7"/>
      <c r="G845" s="7" t="s">
        <v>312</v>
      </c>
      <c r="H845" s="7" t="s">
        <v>313</v>
      </c>
      <c r="I845" s="10"/>
      <c r="J845" s="11"/>
      <c r="K845" s="12"/>
      <c r="L845" s="12"/>
      <c r="M845" s="10"/>
      <c r="N845" s="10"/>
      <c r="O845" s="10"/>
      <c r="P845" s="10"/>
      <c r="Q845" s="10"/>
      <c r="R845" s="10"/>
      <c r="S845" s="10"/>
      <c r="T845" s="10"/>
      <c r="U845" s="10"/>
      <c r="V845" s="10"/>
      <c r="W845" s="10"/>
      <c r="X845" s="10"/>
      <c r="Y845" s="10"/>
      <c r="Z845" s="10"/>
      <c r="AA845" s="10"/>
      <c r="AB845" s="10"/>
      <c r="AC845" s="10"/>
      <c r="AD845" s="10"/>
      <c r="AE845" s="10"/>
      <c r="AF845" s="10"/>
    </row>
    <row r="846">
      <c r="A846" s="7"/>
      <c r="B846" s="8">
        <v>74.0</v>
      </c>
      <c r="C846" s="8">
        <v>11.0</v>
      </c>
      <c r="D846" s="8" t="s">
        <v>1336</v>
      </c>
      <c r="E846" s="7">
        <v>0.0</v>
      </c>
      <c r="F846" s="7"/>
      <c r="G846" s="7" t="s">
        <v>312</v>
      </c>
      <c r="H846" s="7" t="s">
        <v>313</v>
      </c>
      <c r="I846" s="10"/>
      <c r="J846" s="11"/>
      <c r="K846" s="12"/>
      <c r="L846" s="12"/>
      <c r="M846" s="10"/>
      <c r="N846" s="10"/>
      <c r="O846" s="10"/>
      <c r="P846" s="10"/>
      <c r="Q846" s="10"/>
      <c r="R846" s="10"/>
      <c r="S846" s="10"/>
      <c r="T846" s="10"/>
      <c r="U846" s="10"/>
      <c r="V846" s="10"/>
      <c r="W846" s="10"/>
      <c r="X846" s="10"/>
      <c r="Y846" s="10"/>
      <c r="Z846" s="10"/>
      <c r="AA846" s="10"/>
      <c r="AB846" s="10"/>
      <c r="AC846" s="10"/>
      <c r="AD846" s="10"/>
      <c r="AE846" s="10"/>
      <c r="AF846" s="10"/>
    </row>
    <row r="847">
      <c r="A847" s="7"/>
      <c r="B847" s="8">
        <v>74.0</v>
      </c>
      <c r="C847" s="8">
        <v>12.0</v>
      </c>
      <c r="D847" s="8" t="s">
        <v>1337</v>
      </c>
      <c r="E847" s="7">
        <v>0.0</v>
      </c>
      <c r="F847" s="7"/>
      <c r="G847" s="7" t="s">
        <v>312</v>
      </c>
      <c r="H847" s="7" t="s">
        <v>313</v>
      </c>
      <c r="I847" s="10"/>
      <c r="J847" s="11"/>
      <c r="K847" s="12"/>
      <c r="L847" s="12"/>
      <c r="M847" s="10"/>
      <c r="N847" s="10"/>
      <c r="O847" s="10"/>
      <c r="P847" s="10"/>
      <c r="Q847" s="10"/>
      <c r="R847" s="10"/>
      <c r="S847" s="10"/>
      <c r="T847" s="10"/>
      <c r="U847" s="10"/>
      <c r="V847" s="10"/>
      <c r="W847" s="10"/>
      <c r="X847" s="10"/>
      <c r="Y847" s="10"/>
      <c r="Z847" s="10"/>
      <c r="AA847" s="10"/>
      <c r="AB847" s="10"/>
      <c r="AC847" s="10"/>
      <c r="AD847" s="10"/>
      <c r="AE847" s="10"/>
      <c r="AF847" s="10"/>
    </row>
    <row r="848">
      <c r="A848" s="7"/>
      <c r="B848" s="8">
        <v>74.0</v>
      </c>
      <c r="C848" s="8">
        <v>13.0</v>
      </c>
      <c r="D848" s="8" t="s">
        <v>1338</v>
      </c>
      <c r="E848" s="7">
        <v>0.0</v>
      </c>
      <c r="F848" s="7"/>
      <c r="G848" s="7" t="s">
        <v>312</v>
      </c>
      <c r="H848" s="7" t="s">
        <v>313</v>
      </c>
      <c r="I848" s="10"/>
      <c r="J848" s="11"/>
      <c r="K848" s="12"/>
      <c r="L848" s="12"/>
      <c r="M848" s="10"/>
      <c r="N848" s="10"/>
      <c r="O848" s="10"/>
      <c r="P848" s="10"/>
      <c r="Q848" s="10"/>
      <c r="R848" s="10"/>
      <c r="S848" s="10"/>
      <c r="T848" s="10"/>
      <c r="U848" s="10"/>
      <c r="V848" s="10"/>
      <c r="W848" s="10"/>
      <c r="X848" s="10"/>
      <c r="Y848" s="10"/>
      <c r="Z848" s="10"/>
      <c r="AA848" s="10"/>
      <c r="AB848" s="10"/>
      <c r="AC848" s="10"/>
      <c r="AD848" s="10"/>
      <c r="AE848" s="10"/>
      <c r="AF848" s="10"/>
    </row>
    <row r="849">
      <c r="A849" s="7"/>
      <c r="B849" s="8">
        <v>74.0</v>
      </c>
      <c r="C849" s="8">
        <v>14.0</v>
      </c>
      <c r="D849" s="8" t="s">
        <v>1339</v>
      </c>
      <c r="E849" s="7">
        <v>0.0</v>
      </c>
      <c r="F849" s="7"/>
      <c r="G849" s="7" t="s">
        <v>312</v>
      </c>
      <c r="H849" s="7" t="s">
        <v>313</v>
      </c>
      <c r="I849" s="10"/>
      <c r="J849" s="11"/>
      <c r="K849" s="20" t="s">
        <v>1334</v>
      </c>
      <c r="L849" s="12"/>
      <c r="M849" s="10"/>
      <c r="N849" s="10"/>
      <c r="O849" s="10"/>
      <c r="P849" s="10"/>
      <c r="Q849" s="10"/>
      <c r="R849" s="10"/>
      <c r="S849" s="10"/>
      <c r="T849" s="10"/>
      <c r="U849" s="10"/>
      <c r="V849" s="10"/>
      <c r="W849" s="10"/>
      <c r="X849" s="10"/>
      <c r="Y849" s="10"/>
      <c r="Z849" s="10"/>
      <c r="AA849" s="10"/>
      <c r="AB849" s="10"/>
      <c r="AC849" s="10"/>
      <c r="AD849" s="10"/>
      <c r="AE849" s="10"/>
      <c r="AF849" s="10"/>
    </row>
    <row r="850">
      <c r="A850" s="7"/>
      <c r="B850" s="8">
        <v>74.0</v>
      </c>
      <c r="C850" s="8">
        <v>15.0</v>
      </c>
      <c r="D850" s="8" t="s">
        <v>1340</v>
      </c>
      <c r="E850" s="7">
        <v>0.0</v>
      </c>
      <c r="F850" s="7"/>
      <c r="G850" s="7" t="s">
        <v>312</v>
      </c>
      <c r="H850" s="7" t="s">
        <v>313</v>
      </c>
      <c r="I850" s="10"/>
      <c r="J850" s="11"/>
      <c r="K850" s="12"/>
      <c r="L850" s="12"/>
      <c r="M850" s="10"/>
      <c r="N850" s="10"/>
      <c r="O850" s="10"/>
      <c r="P850" s="10"/>
      <c r="Q850" s="10"/>
      <c r="R850" s="10"/>
      <c r="S850" s="10"/>
      <c r="T850" s="10"/>
      <c r="U850" s="10"/>
      <c r="V850" s="10"/>
      <c r="W850" s="10"/>
      <c r="X850" s="10"/>
      <c r="Y850" s="10"/>
      <c r="Z850" s="10"/>
      <c r="AA850" s="10"/>
      <c r="AB850" s="10"/>
      <c r="AC850" s="10"/>
      <c r="AD850" s="10"/>
      <c r="AE850" s="10"/>
      <c r="AF850" s="10"/>
    </row>
    <row r="851">
      <c r="A851" s="7"/>
      <c r="B851" s="8">
        <v>74.0</v>
      </c>
      <c r="C851" s="8">
        <v>16.0</v>
      </c>
      <c r="D851" s="8" t="s">
        <v>1341</v>
      </c>
      <c r="E851" s="7">
        <v>0.0</v>
      </c>
      <c r="F851" s="7"/>
      <c r="G851" s="7" t="s">
        <v>312</v>
      </c>
      <c r="H851" s="7" t="s">
        <v>313</v>
      </c>
      <c r="I851" s="10"/>
      <c r="J851" s="11"/>
      <c r="K851" s="12"/>
      <c r="L851" s="12"/>
      <c r="M851" s="10"/>
      <c r="N851" s="10"/>
      <c r="O851" s="10"/>
      <c r="P851" s="10"/>
      <c r="Q851" s="10"/>
      <c r="R851" s="10"/>
      <c r="S851" s="10"/>
      <c r="T851" s="10"/>
      <c r="U851" s="10"/>
      <c r="V851" s="10"/>
      <c r="W851" s="10"/>
      <c r="X851" s="10"/>
      <c r="Y851" s="10"/>
      <c r="Z851" s="10"/>
      <c r="AA851" s="10"/>
      <c r="AB851" s="10"/>
      <c r="AC851" s="10"/>
      <c r="AD851" s="10"/>
      <c r="AE851" s="10"/>
      <c r="AF851" s="10"/>
    </row>
    <row r="852">
      <c r="A852" s="7"/>
      <c r="B852" s="8">
        <v>74.0</v>
      </c>
      <c r="C852" s="8">
        <v>17.0</v>
      </c>
      <c r="D852" s="8" t="s">
        <v>1342</v>
      </c>
      <c r="E852" s="7">
        <v>0.0</v>
      </c>
      <c r="F852" s="7"/>
      <c r="G852" s="7" t="s">
        <v>312</v>
      </c>
      <c r="H852" s="7" t="s">
        <v>313</v>
      </c>
      <c r="I852" s="10"/>
      <c r="J852" s="11"/>
      <c r="K852" s="12"/>
      <c r="L852" s="12"/>
      <c r="M852" s="10"/>
      <c r="N852" s="10"/>
      <c r="O852" s="10"/>
      <c r="P852" s="10"/>
      <c r="Q852" s="10"/>
      <c r="R852" s="10"/>
      <c r="S852" s="10"/>
      <c r="T852" s="10"/>
      <c r="U852" s="10"/>
      <c r="V852" s="10"/>
      <c r="W852" s="10"/>
      <c r="X852" s="10"/>
      <c r="Y852" s="10"/>
      <c r="Z852" s="10"/>
      <c r="AA852" s="10"/>
      <c r="AB852" s="10"/>
      <c r="AC852" s="10"/>
      <c r="AD852" s="10"/>
      <c r="AE852" s="10"/>
      <c r="AF852" s="10"/>
    </row>
    <row r="853">
      <c r="A853" s="7"/>
      <c r="B853" s="8">
        <v>74.0</v>
      </c>
      <c r="C853" s="8">
        <v>18.0</v>
      </c>
      <c r="D853" s="8" t="s">
        <v>1343</v>
      </c>
      <c r="E853" s="7">
        <v>0.0</v>
      </c>
      <c r="F853" s="7"/>
      <c r="G853" s="7" t="s">
        <v>312</v>
      </c>
      <c r="H853" s="7" t="s">
        <v>313</v>
      </c>
      <c r="I853" s="10"/>
      <c r="J853" s="11"/>
      <c r="K853" s="12"/>
      <c r="L853" s="12"/>
      <c r="M853" s="10"/>
      <c r="N853" s="10"/>
      <c r="O853" s="10"/>
      <c r="P853" s="10"/>
      <c r="Q853" s="10"/>
      <c r="R853" s="10"/>
      <c r="S853" s="10"/>
      <c r="T853" s="10"/>
      <c r="U853" s="10"/>
      <c r="V853" s="10"/>
      <c r="W853" s="10"/>
      <c r="X853" s="10"/>
      <c r="Y853" s="10"/>
      <c r="Z853" s="10"/>
      <c r="AA853" s="10"/>
      <c r="AB853" s="10"/>
      <c r="AC853" s="10"/>
      <c r="AD853" s="10"/>
      <c r="AE853" s="10"/>
      <c r="AF853" s="10"/>
    </row>
    <row r="854">
      <c r="A854" s="7"/>
      <c r="B854" s="8">
        <v>74.0</v>
      </c>
      <c r="C854" s="8">
        <v>19.0</v>
      </c>
      <c r="D854" s="8" t="s">
        <v>1344</v>
      </c>
      <c r="E854" s="7">
        <v>0.0</v>
      </c>
      <c r="F854" s="7"/>
      <c r="G854" s="7" t="s">
        <v>312</v>
      </c>
      <c r="H854" s="7" t="s">
        <v>313</v>
      </c>
      <c r="I854" s="10"/>
      <c r="J854" s="11"/>
      <c r="K854" s="12"/>
      <c r="L854" s="12"/>
      <c r="M854" s="10"/>
      <c r="N854" s="10"/>
      <c r="O854" s="10"/>
      <c r="P854" s="10"/>
      <c r="Q854" s="10"/>
      <c r="R854" s="10"/>
      <c r="S854" s="10"/>
      <c r="T854" s="10"/>
      <c r="U854" s="10"/>
      <c r="V854" s="10"/>
      <c r="W854" s="10"/>
      <c r="X854" s="10"/>
      <c r="Y854" s="10"/>
      <c r="Z854" s="10"/>
      <c r="AA854" s="10"/>
      <c r="AB854" s="10"/>
      <c r="AC854" s="10"/>
      <c r="AD854" s="10"/>
      <c r="AE854" s="10"/>
      <c r="AF854" s="10"/>
    </row>
    <row r="855">
      <c r="A855" s="7"/>
      <c r="B855" s="8">
        <v>74.0</v>
      </c>
      <c r="C855" s="8">
        <v>20.0</v>
      </c>
      <c r="D855" s="8" t="s">
        <v>1345</v>
      </c>
      <c r="E855" s="7">
        <v>0.0</v>
      </c>
      <c r="F855" s="7"/>
      <c r="G855" s="7" t="s">
        <v>312</v>
      </c>
      <c r="H855" s="7" t="s">
        <v>313</v>
      </c>
      <c r="I855" s="10"/>
      <c r="J855" s="11"/>
      <c r="K855" s="12"/>
      <c r="L855" s="12"/>
      <c r="M855" s="10"/>
      <c r="N855" s="10"/>
      <c r="O855" s="10"/>
      <c r="P855" s="10"/>
      <c r="Q855" s="10"/>
      <c r="R855" s="10"/>
      <c r="S855" s="10"/>
      <c r="T855" s="10"/>
      <c r="U855" s="10"/>
      <c r="V855" s="10"/>
      <c r="W855" s="10"/>
      <c r="X855" s="10"/>
      <c r="Y855" s="10"/>
      <c r="Z855" s="10"/>
      <c r="AA855" s="10"/>
      <c r="AB855" s="10"/>
      <c r="AC855" s="10"/>
      <c r="AD855" s="10"/>
      <c r="AE855" s="10"/>
      <c r="AF855" s="10"/>
    </row>
    <row r="856">
      <c r="A856" s="7"/>
      <c r="B856" s="8">
        <v>74.0</v>
      </c>
      <c r="C856" s="8">
        <v>21.0</v>
      </c>
      <c r="D856" s="8" t="s">
        <v>1346</v>
      </c>
      <c r="E856" s="7">
        <v>0.0</v>
      </c>
      <c r="F856" s="7"/>
      <c r="G856" s="7" t="s">
        <v>312</v>
      </c>
      <c r="H856" s="7" t="s">
        <v>313</v>
      </c>
      <c r="I856" s="10"/>
      <c r="J856" s="11"/>
      <c r="K856" s="12"/>
      <c r="L856" s="12"/>
      <c r="M856" s="10"/>
      <c r="N856" s="10"/>
      <c r="O856" s="10"/>
      <c r="P856" s="10"/>
      <c r="Q856" s="10"/>
      <c r="R856" s="10"/>
      <c r="S856" s="10"/>
      <c r="T856" s="10"/>
      <c r="U856" s="10"/>
      <c r="V856" s="10"/>
      <c r="W856" s="10"/>
      <c r="X856" s="10"/>
      <c r="Y856" s="10"/>
      <c r="Z856" s="10"/>
      <c r="AA856" s="10"/>
      <c r="AB856" s="10"/>
      <c r="AC856" s="10"/>
      <c r="AD856" s="10"/>
      <c r="AE856" s="10"/>
      <c r="AF856" s="10"/>
    </row>
    <row r="857">
      <c r="A857" s="7"/>
      <c r="B857" s="8">
        <v>74.0</v>
      </c>
      <c r="C857" s="8">
        <v>22.0</v>
      </c>
      <c r="D857" s="8" t="s">
        <v>1347</v>
      </c>
      <c r="E857" s="7">
        <v>0.0</v>
      </c>
      <c r="F857" s="7"/>
      <c r="G857" s="7" t="s">
        <v>312</v>
      </c>
      <c r="H857" s="7" t="s">
        <v>313</v>
      </c>
      <c r="I857" s="10"/>
      <c r="J857" s="11"/>
      <c r="K857" s="12"/>
      <c r="L857" s="12"/>
      <c r="M857" s="10"/>
      <c r="N857" s="10"/>
      <c r="O857" s="10"/>
      <c r="P857" s="10"/>
      <c r="Q857" s="10"/>
      <c r="R857" s="10"/>
      <c r="S857" s="10"/>
      <c r="T857" s="10"/>
      <c r="U857" s="10"/>
      <c r="V857" s="10"/>
      <c r="W857" s="10"/>
      <c r="X857" s="10"/>
      <c r="Y857" s="10"/>
      <c r="Z857" s="10"/>
      <c r="AA857" s="10"/>
      <c r="AB857" s="10"/>
      <c r="AC857" s="10"/>
      <c r="AD857" s="10"/>
      <c r="AE857" s="10"/>
      <c r="AF857" s="10"/>
    </row>
    <row r="858">
      <c r="A858" s="7"/>
      <c r="B858" s="8">
        <v>74.0</v>
      </c>
      <c r="C858" s="8">
        <v>23.0</v>
      </c>
      <c r="D858" s="8" t="s">
        <v>1348</v>
      </c>
      <c r="E858" s="7">
        <v>0.0</v>
      </c>
      <c r="F858" s="7"/>
      <c r="G858" s="7" t="s">
        <v>312</v>
      </c>
      <c r="H858" s="7" t="s">
        <v>313</v>
      </c>
      <c r="I858" s="10"/>
      <c r="J858" s="11"/>
      <c r="K858" s="12"/>
      <c r="L858" s="12"/>
      <c r="M858" s="10"/>
      <c r="N858" s="10"/>
      <c r="O858" s="10"/>
      <c r="P858" s="10"/>
      <c r="Q858" s="10"/>
      <c r="R858" s="10"/>
      <c r="S858" s="10"/>
      <c r="T858" s="10"/>
      <c r="U858" s="10"/>
      <c r="V858" s="10"/>
      <c r="W858" s="10"/>
      <c r="X858" s="10"/>
      <c r="Y858" s="10"/>
      <c r="Z858" s="10"/>
      <c r="AA858" s="10"/>
      <c r="AB858" s="10"/>
      <c r="AC858" s="10"/>
      <c r="AD858" s="10"/>
      <c r="AE858" s="10"/>
      <c r="AF858" s="10"/>
    </row>
    <row r="859">
      <c r="A859" s="7"/>
      <c r="B859" s="8">
        <v>74.0</v>
      </c>
      <c r="C859" s="8">
        <v>24.0</v>
      </c>
      <c r="D859" s="8" t="s">
        <v>1349</v>
      </c>
      <c r="E859" s="7">
        <v>0.0</v>
      </c>
      <c r="F859" s="7"/>
      <c r="G859" s="7" t="s">
        <v>312</v>
      </c>
      <c r="H859" s="7" t="s">
        <v>313</v>
      </c>
      <c r="I859" s="10"/>
      <c r="J859" s="11"/>
      <c r="K859" s="12"/>
      <c r="L859" s="12"/>
      <c r="M859" s="10"/>
      <c r="N859" s="10"/>
      <c r="O859" s="10"/>
      <c r="P859" s="10"/>
      <c r="Q859" s="10"/>
      <c r="R859" s="10"/>
      <c r="S859" s="10"/>
      <c r="T859" s="10"/>
      <c r="U859" s="10"/>
      <c r="V859" s="10"/>
      <c r="W859" s="10"/>
      <c r="X859" s="10"/>
      <c r="Y859" s="10"/>
      <c r="Z859" s="10"/>
      <c r="AA859" s="10"/>
      <c r="AB859" s="10"/>
      <c r="AC859" s="10"/>
      <c r="AD859" s="10"/>
      <c r="AE859" s="10"/>
      <c r="AF859" s="10"/>
    </row>
    <row r="860">
      <c r="A860" s="7"/>
      <c r="B860" s="8">
        <v>74.0</v>
      </c>
      <c r="C860" s="8">
        <v>25.0</v>
      </c>
      <c r="D860" s="8" t="s">
        <v>1350</v>
      </c>
      <c r="E860" s="7">
        <v>0.0</v>
      </c>
      <c r="F860" s="7"/>
      <c r="G860" s="7" t="s">
        <v>312</v>
      </c>
      <c r="H860" s="7" t="s">
        <v>313</v>
      </c>
      <c r="I860" s="10"/>
      <c r="J860" s="11"/>
      <c r="K860" s="8" t="s">
        <v>1351</v>
      </c>
      <c r="L860" s="12"/>
      <c r="M860" s="10"/>
      <c r="N860" s="10"/>
      <c r="O860" s="10"/>
      <c r="P860" s="10"/>
      <c r="Q860" s="10"/>
      <c r="R860" s="10"/>
      <c r="S860" s="10"/>
      <c r="T860" s="10"/>
      <c r="U860" s="10"/>
      <c r="V860" s="10"/>
      <c r="W860" s="10"/>
      <c r="X860" s="10"/>
      <c r="Y860" s="10"/>
      <c r="Z860" s="10"/>
      <c r="AA860" s="10"/>
      <c r="AB860" s="10"/>
      <c r="AC860" s="10"/>
      <c r="AD860" s="10"/>
      <c r="AE860" s="10"/>
      <c r="AF860" s="10"/>
    </row>
    <row r="861">
      <c r="A861" s="7"/>
      <c r="B861" s="8">
        <v>74.0</v>
      </c>
      <c r="C861" s="8">
        <v>26.0</v>
      </c>
      <c r="D861" s="8" t="s">
        <v>1352</v>
      </c>
      <c r="E861" s="7">
        <v>0.0</v>
      </c>
      <c r="F861" s="7"/>
      <c r="G861" s="7" t="s">
        <v>312</v>
      </c>
      <c r="H861" s="7" t="s">
        <v>313</v>
      </c>
      <c r="I861" s="10"/>
      <c r="J861" s="11"/>
      <c r="K861" s="12"/>
      <c r="L861" s="12"/>
      <c r="M861" s="10"/>
      <c r="N861" s="10"/>
      <c r="O861" s="10"/>
      <c r="P861" s="10"/>
      <c r="Q861" s="10"/>
      <c r="R861" s="10"/>
      <c r="S861" s="10"/>
      <c r="T861" s="10"/>
      <c r="U861" s="10"/>
      <c r="V861" s="10"/>
      <c r="W861" s="10"/>
      <c r="X861" s="10"/>
      <c r="Y861" s="10"/>
      <c r="Z861" s="10"/>
      <c r="AA861" s="10"/>
      <c r="AB861" s="10"/>
      <c r="AC861" s="10"/>
      <c r="AD861" s="10"/>
      <c r="AE861" s="10"/>
      <c r="AF861" s="10"/>
    </row>
    <row r="862">
      <c r="A862" s="7"/>
      <c r="B862" s="8">
        <v>74.0</v>
      </c>
      <c r="C862" s="8">
        <v>27.0</v>
      </c>
      <c r="D862" s="8" t="s">
        <v>1353</v>
      </c>
      <c r="E862" s="7">
        <v>0.0</v>
      </c>
      <c r="F862" s="7"/>
      <c r="G862" s="7" t="s">
        <v>312</v>
      </c>
      <c r="H862" s="7" t="s">
        <v>313</v>
      </c>
      <c r="I862" s="10"/>
      <c r="J862" s="11"/>
      <c r="K862" s="20" t="s">
        <v>1334</v>
      </c>
      <c r="L862" s="12"/>
      <c r="M862" s="10"/>
      <c r="N862" s="10"/>
      <c r="O862" s="10"/>
      <c r="P862" s="10"/>
      <c r="Q862" s="10"/>
      <c r="R862" s="10"/>
      <c r="S862" s="10"/>
      <c r="T862" s="10"/>
      <c r="U862" s="10"/>
      <c r="V862" s="10"/>
      <c r="W862" s="10"/>
      <c r="X862" s="10"/>
      <c r="Y862" s="10"/>
      <c r="Z862" s="10"/>
      <c r="AA862" s="10"/>
      <c r="AB862" s="10"/>
      <c r="AC862" s="10"/>
      <c r="AD862" s="10"/>
      <c r="AE862" s="10"/>
      <c r="AF862" s="10"/>
    </row>
    <row r="863">
      <c r="A863" s="7"/>
      <c r="B863" s="8">
        <v>74.0</v>
      </c>
      <c r="C863" s="8">
        <v>28.0</v>
      </c>
      <c r="D863" s="8" t="s">
        <v>1354</v>
      </c>
      <c r="E863" s="7">
        <v>0.0</v>
      </c>
      <c r="F863" s="7"/>
      <c r="G863" s="7" t="s">
        <v>312</v>
      </c>
      <c r="H863" s="7" t="s">
        <v>313</v>
      </c>
      <c r="I863" s="10"/>
      <c r="J863" s="11"/>
      <c r="K863" s="20" t="s">
        <v>1334</v>
      </c>
      <c r="L863" s="12"/>
      <c r="M863" s="10"/>
      <c r="N863" s="10"/>
      <c r="O863" s="10"/>
      <c r="P863" s="10"/>
      <c r="Q863" s="10"/>
      <c r="R863" s="10"/>
      <c r="S863" s="10"/>
      <c r="T863" s="10"/>
      <c r="U863" s="10"/>
      <c r="V863" s="10"/>
      <c r="W863" s="10"/>
      <c r="X863" s="10"/>
      <c r="Y863" s="10"/>
      <c r="Z863" s="10"/>
      <c r="AA863" s="10"/>
      <c r="AB863" s="10"/>
      <c r="AC863" s="10"/>
      <c r="AD863" s="10"/>
      <c r="AE863" s="10"/>
      <c r="AF863" s="10"/>
    </row>
    <row r="864">
      <c r="A864" s="10"/>
      <c r="B864" s="12"/>
      <c r="C864" s="12"/>
      <c r="D864" s="12"/>
      <c r="E864" s="10"/>
      <c r="F864" s="10"/>
      <c r="G864" s="10"/>
      <c r="H864" s="10"/>
      <c r="I864" s="10"/>
      <c r="J864" s="11"/>
      <c r="K864" s="12"/>
      <c r="L864" s="12"/>
      <c r="M864" s="10"/>
      <c r="N864" s="10"/>
      <c r="O864" s="10"/>
      <c r="P864" s="10"/>
      <c r="Q864" s="10"/>
      <c r="R864" s="10"/>
      <c r="S864" s="10"/>
      <c r="T864" s="10"/>
      <c r="U864" s="10"/>
      <c r="V864" s="10"/>
      <c r="W864" s="10"/>
      <c r="X864" s="10"/>
      <c r="Y864" s="10"/>
      <c r="Z864" s="10"/>
      <c r="AA864" s="10"/>
      <c r="AB864" s="10"/>
      <c r="AC864" s="10"/>
      <c r="AD864" s="10"/>
      <c r="AE864" s="10"/>
      <c r="AF864" s="10"/>
    </row>
    <row r="865">
      <c r="A865" s="7"/>
      <c r="B865" s="8">
        <v>75.0</v>
      </c>
      <c r="C865" s="8">
        <v>1.0</v>
      </c>
      <c r="D865" s="8" t="s">
        <v>1355</v>
      </c>
      <c r="E865" s="7">
        <v>0.0</v>
      </c>
      <c r="F865" s="7"/>
      <c r="G865" s="7" t="s">
        <v>312</v>
      </c>
      <c r="H865" s="7" t="s">
        <v>313</v>
      </c>
      <c r="I865" s="10"/>
      <c r="J865" s="9" t="s">
        <v>1356</v>
      </c>
      <c r="K865" s="12"/>
      <c r="L865" s="15" t="s">
        <v>1357</v>
      </c>
      <c r="M865" s="10"/>
      <c r="N865" s="10"/>
      <c r="O865" s="10"/>
      <c r="P865" s="10"/>
      <c r="Q865" s="10"/>
      <c r="R865" s="10"/>
      <c r="S865" s="10"/>
      <c r="T865" s="10"/>
      <c r="U865" s="10"/>
      <c r="V865" s="10"/>
      <c r="W865" s="10"/>
      <c r="X865" s="10"/>
      <c r="Y865" s="10"/>
      <c r="Z865" s="10"/>
      <c r="AA865" s="10"/>
      <c r="AB865" s="10"/>
      <c r="AC865" s="10"/>
      <c r="AD865" s="10"/>
      <c r="AE865" s="10"/>
      <c r="AF865" s="10"/>
    </row>
    <row r="866">
      <c r="A866" s="7"/>
      <c r="B866" s="8">
        <v>75.0</v>
      </c>
      <c r="C866" s="8">
        <v>2.0</v>
      </c>
      <c r="D866" s="8" t="s">
        <v>1358</v>
      </c>
      <c r="E866" s="7">
        <v>0.0</v>
      </c>
      <c r="F866" s="7"/>
      <c r="G866" s="7" t="s">
        <v>312</v>
      </c>
      <c r="H866" s="7" t="s">
        <v>313</v>
      </c>
      <c r="I866" s="10"/>
      <c r="J866" s="11"/>
      <c r="K866" s="12"/>
      <c r="L866" s="12"/>
      <c r="M866" s="10"/>
      <c r="N866" s="10"/>
      <c r="O866" s="10"/>
      <c r="P866" s="10"/>
      <c r="Q866" s="10"/>
      <c r="R866" s="10"/>
      <c r="S866" s="10"/>
      <c r="T866" s="10"/>
      <c r="U866" s="10"/>
      <c r="V866" s="10"/>
      <c r="W866" s="10"/>
      <c r="X866" s="10"/>
      <c r="Y866" s="10"/>
      <c r="Z866" s="10"/>
      <c r="AA866" s="10"/>
      <c r="AB866" s="10"/>
      <c r="AC866" s="10"/>
      <c r="AD866" s="10"/>
      <c r="AE866" s="10"/>
      <c r="AF866" s="10"/>
    </row>
    <row r="867">
      <c r="A867" s="7"/>
      <c r="B867" s="8">
        <v>75.0</v>
      </c>
      <c r="C867" s="8">
        <v>3.0</v>
      </c>
      <c r="D867" s="8" t="s">
        <v>1359</v>
      </c>
      <c r="E867" s="7">
        <v>0.0</v>
      </c>
      <c r="F867" s="7"/>
      <c r="G867" s="7" t="s">
        <v>312</v>
      </c>
      <c r="H867" s="7" t="s">
        <v>313</v>
      </c>
      <c r="I867" s="10"/>
      <c r="J867" s="11"/>
      <c r="K867" s="8" t="s">
        <v>1360</v>
      </c>
      <c r="L867" s="12"/>
      <c r="M867" s="10"/>
      <c r="N867" s="10"/>
      <c r="O867" s="10"/>
      <c r="P867" s="10"/>
      <c r="Q867" s="10"/>
      <c r="R867" s="10"/>
      <c r="S867" s="10"/>
      <c r="T867" s="10"/>
      <c r="U867" s="10"/>
      <c r="V867" s="10"/>
      <c r="W867" s="10"/>
      <c r="X867" s="10"/>
      <c r="Y867" s="10"/>
      <c r="Z867" s="10"/>
      <c r="AA867" s="10"/>
      <c r="AB867" s="10"/>
      <c r="AC867" s="10"/>
      <c r="AD867" s="10"/>
      <c r="AE867" s="10"/>
      <c r="AF867" s="10"/>
    </row>
    <row r="868">
      <c r="A868" s="10"/>
      <c r="B868" s="12"/>
      <c r="C868" s="12"/>
      <c r="D868" s="12"/>
      <c r="E868" s="10"/>
      <c r="F868" s="10"/>
      <c r="G868" s="10"/>
      <c r="H868" s="10"/>
      <c r="I868" s="10"/>
      <c r="J868" s="11"/>
      <c r="K868" s="12"/>
      <c r="L868" s="12"/>
      <c r="M868" s="10"/>
      <c r="N868" s="10"/>
      <c r="O868" s="10"/>
      <c r="P868" s="10"/>
      <c r="Q868" s="10"/>
      <c r="R868" s="10"/>
      <c r="S868" s="10"/>
      <c r="T868" s="10"/>
      <c r="U868" s="10"/>
      <c r="V868" s="10"/>
      <c r="W868" s="10"/>
      <c r="X868" s="10"/>
      <c r="Y868" s="10"/>
      <c r="Z868" s="10"/>
      <c r="AA868" s="10"/>
      <c r="AB868" s="10"/>
      <c r="AC868" s="10"/>
      <c r="AD868" s="10"/>
      <c r="AE868" s="10"/>
      <c r="AF868" s="10"/>
    </row>
    <row r="869">
      <c r="A869" s="7"/>
      <c r="B869" s="8">
        <v>76.0</v>
      </c>
      <c r="C869" s="8">
        <v>1.0</v>
      </c>
      <c r="D869" s="8" t="s">
        <v>1361</v>
      </c>
      <c r="E869" s="7">
        <v>0.0</v>
      </c>
      <c r="F869" s="7"/>
      <c r="G869" s="7" t="s">
        <v>312</v>
      </c>
      <c r="H869" s="7" t="s">
        <v>313</v>
      </c>
      <c r="I869" s="10"/>
      <c r="J869" s="11"/>
      <c r="K869" s="12"/>
      <c r="L869" s="15" t="s">
        <v>1362</v>
      </c>
      <c r="M869" s="10"/>
      <c r="N869" s="10"/>
      <c r="O869" s="10"/>
      <c r="P869" s="10"/>
      <c r="Q869" s="10"/>
      <c r="R869" s="10"/>
      <c r="S869" s="10"/>
      <c r="T869" s="10"/>
      <c r="U869" s="10"/>
      <c r="V869" s="10"/>
      <c r="W869" s="10"/>
      <c r="X869" s="10"/>
      <c r="Y869" s="10"/>
      <c r="Z869" s="10"/>
      <c r="AA869" s="10"/>
      <c r="AB869" s="10"/>
      <c r="AC869" s="10"/>
      <c r="AD869" s="10"/>
      <c r="AE869" s="10"/>
      <c r="AF869" s="10"/>
    </row>
    <row r="870">
      <c r="A870" s="7"/>
      <c r="B870" s="8"/>
      <c r="C870" s="8"/>
      <c r="D870" s="8"/>
      <c r="E870" s="7"/>
      <c r="F870" s="7"/>
      <c r="G870" s="10"/>
      <c r="H870" s="10"/>
      <c r="I870" s="10"/>
      <c r="J870" s="11"/>
      <c r="K870" s="12"/>
      <c r="L870" s="12"/>
      <c r="M870" s="10"/>
      <c r="N870" s="10"/>
      <c r="O870" s="10"/>
      <c r="P870" s="10"/>
      <c r="Q870" s="10"/>
      <c r="R870" s="10"/>
      <c r="S870" s="10"/>
      <c r="T870" s="10"/>
      <c r="U870" s="10"/>
      <c r="V870" s="10"/>
      <c r="W870" s="10"/>
      <c r="X870" s="10"/>
      <c r="Y870" s="10"/>
      <c r="Z870" s="10"/>
      <c r="AA870" s="10"/>
      <c r="AB870" s="10"/>
      <c r="AC870" s="10"/>
      <c r="AD870" s="10"/>
      <c r="AE870" s="10"/>
      <c r="AF870" s="10"/>
    </row>
    <row r="871">
      <c r="A871" s="10"/>
      <c r="B871" s="12"/>
      <c r="C871" s="12"/>
      <c r="D871" s="12"/>
      <c r="E871" s="10"/>
      <c r="F871" s="10"/>
      <c r="G871" s="10"/>
      <c r="H871" s="10"/>
      <c r="I871" s="10"/>
      <c r="J871" s="11"/>
      <c r="K871" s="12"/>
      <c r="L871" s="12"/>
      <c r="M871" s="10"/>
      <c r="N871" s="10"/>
      <c r="O871" s="10"/>
      <c r="P871" s="10"/>
      <c r="Q871" s="10"/>
      <c r="R871" s="10"/>
      <c r="S871" s="10"/>
      <c r="T871" s="10"/>
      <c r="U871" s="10"/>
      <c r="V871" s="10"/>
      <c r="W871" s="10"/>
      <c r="X871" s="10"/>
      <c r="Y871" s="10"/>
      <c r="Z871" s="10"/>
      <c r="AA871" s="10"/>
      <c r="AB871" s="10"/>
      <c r="AC871" s="10"/>
      <c r="AD871" s="10"/>
      <c r="AE871" s="10"/>
      <c r="AF871" s="10"/>
    </row>
    <row r="872">
      <c r="A872" s="7"/>
      <c r="B872" s="8">
        <v>77.0</v>
      </c>
      <c r="C872" s="8">
        <v>1.0</v>
      </c>
      <c r="D872" s="8" t="s">
        <v>1363</v>
      </c>
      <c r="E872" s="7">
        <v>0.0</v>
      </c>
      <c r="F872" s="7"/>
      <c r="G872" s="7" t="s">
        <v>312</v>
      </c>
      <c r="H872" s="7" t="s">
        <v>313</v>
      </c>
      <c r="I872" s="10"/>
      <c r="J872" s="11"/>
      <c r="K872" s="12"/>
      <c r="L872" s="12"/>
      <c r="M872" s="10"/>
      <c r="N872" s="10"/>
      <c r="O872" s="10"/>
      <c r="P872" s="10"/>
      <c r="Q872" s="10"/>
      <c r="R872" s="10"/>
      <c r="S872" s="10"/>
      <c r="T872" s="10"/>
      <c r="U872" s="10"/>
      <c r="V872" s="10"/>
      <c r="W872" s="10"/>
      <c r="X872" s="10"/>
      <c r="Y872" s="10"/>
      <c r="Z872" s="10"/>
      <c r="AA872" s="10"/>
      <c r="AB872" s="10"/>
      <c r="AC872" s="10"/>
      <c r="AD872" s="10"/>
      <c r="AE872" s="10"/>
      <c r="AF872" s="10"/>
    </row>
    <row r="873">
      <c r="A873" s="10"/>
      <c r="B873" s="12"/>
      <c r="C873" s="12"/>
      <c r="D873" s="12"/>
      <c r="E873" s="10"/>
      <c r="F873" s="10"/>
      <c r="G873" s="10"/>
      <c r="H873" s="10"/>
      <c r="I873" s="10"/>
      <c r="J873" s="11"/>
      <c r="K873" s="12"/>
      <c r="L873" s="12"/>
      <c r="M873" s="10"/>
      <c r="N873" s="10"/>
      <c r="O873" s="10"/>
      <c r="P873" s="10"/>
      <c r="Q873" s="10"/>
      <c r="R873" s="10"/>
      <c r="S873" s="10"/>
      <c r="T873" s="10"/>
      <c r="U873" s="10"/>
      <c r="V873" s="10"/>
      <c r="W873" s="10"/>
      <c r="X873" s="10"/>
      <c r="Y873" s="10"/>
      <c r="Z873" s="10"/>
      <c r="AA873" s="10"/>
      <c r="AB873" s="10"/>
      <c r="AC873" s="10"/>
      <c r="AD873" s="10"/>
      <c r="AE873" s="10"/>
      <c r="AF873" s="10"/>
    </row>
    <row r="874">
      <c r="A874" s="7"/>
      <c r="B874" s="8">
        <v>78.0</v>
      </c>
      <c r="C874" s="8">
        <v>1.0</v>
      </c>
      <c r="D874" s="8" t="s">
        <v>1364</v>
      </c>
      <c r="E874" s="7">
        <v>0.0</v>
      </c>
      <c r="F874" s="7"/>
      <c r="G874" s="7" t="s">
        <v>312</v>
      </c>
      <c r="H874" s="7" t="s">
        <v>313</v>
      </c>
      <c r="I874" s="10"/>
      <c r="J874" s="11"/>
      <c r="K874" s="12"/>
      <c r="L874" s="12"/>
      <c r="M874" s="10"/>
      <c r="N874" s="10"/>
      <c r="O874" s="10"/>
      <c r="P874" s="10"/>
      <c r="Q874" s="10"/>
      <c r="R874" s="10"/>
      <c r="S874" s="10"/>
      <c r="T874" s="10"/>
      <c r="U874" s="10"/>
      <c r="V874" s="10"/>
      <c r="W874" s="10"/>
      <c r="X874" s="10"/>
      <c r="Y874" s="10"/>
      <c r="Z874" s="10"/>
      <c r="AA874" s="10"/>
      <c r="AB874" s="10"/>
      <c r="AC874" s="10"/>
      <c r="AD874" s="10"/>
      <c r="AE874" s="10"/>
      <c r="AF874" s="10"/>
    </row>
    <row r="875">
      <c r="A875" s="10"/>
      <c r="B875" s="12"/>
      <c r="C875" s="12"/>
      <c r="D875" s="12"/>
      <c r="E875" s="10"/>
      <c r="F875" s="10"/>
      <c r="G875" s="10"/>
      <c r="H875" s="10"/>
      <c r="I875" s="10"/>
      <c r="J875" s="11"/>
      <c r="K875" s="12"/>
      <c r="L875" s="12"/>
      <c r="M875" s="10"/>
      <c r="N875" s="10"/>
      <c r="O875" s="10"/>
      <c r="P875" s="10"/>
      <c r="Q875" s="10"/>
      <c r="R875" s="10"/>
      <c r="S875" s="10"/>
      <c r="T875" s="10"/>
      <c r="U875" s="10"/>
      <c r="V875" s="10"/>
      <c r="W875" s="10"/>
      <c r="X875" s="10"/>
      <c r="Y875" s="10"/>
      <c r="Z875" s="10"/>
      <c r="AA875" s="10"/>
      <c r="AB875" s="10"/>
      <c r="AC875" s="10"/>
      <c r="AD875" s="10"/>
      <c r="AE875" s="10"/>
      <c r="AF875" s="10"/>
    </row>
    <row r="876">
      <c r="A876" s="7"/>
      <c r="B876" s="8">
        <v>79.0</v>
      </c>
      <c r="C876" s="8">
        <v>1.0</v>
      </c>
      <c r="D876" s="8" t="s">
        <v>1365</v>
      </c>
      <c r="E876" s="7">
        <v>0.0</v>
      </c>
      <c r="F876" s="7"/>
      <c r="G876" s="7" t="s">
        <v>312</v>
      </c>
      <c r="H876" s="7" t="s">
        <v>313</v>
      </c>
      <c r="I876" s="10"/>
      <c r="J876" s="9" t="s">
        <v>1366</v>
      </c>
      <c r="K876" s="12"/>
      <c r="L876" s="22" t="s">
        <v>1367</v>
      </c>
      <c r="M876" s="10"/>
      <c r="N876" s="10"/>
      <c r="O876" s="10"/>
      <c r="P876" s="10"/>
      <c r="Q876" s="10"/>
      <c r="R876" s="10"/>
      <c r="S876" s="10"/>
      <c r="T876" s="10"/>
      <c r="U876" s="10"/>
      <c r="V876" s="10"/>
      <c r="W876" s="10"/>
      <c r="X876" s="10"/>
      <c r="Y876" s="10"/>
      <c r="Z876" s="10"/>
      <c r="AA876" s="10"/>
      <c r="AB876" s="10"/>
      <c r="AC876" s="10"/>
      <c r="AD876" s="10"/>
      <c r="AE876" s="10"/>
      <c r="AF876" s="10"/>
    </row>
    <row r="877">
      <c r="A877" s="7"/>
      <c r="B877" s="8">
        <v>79.0</v>
      </c>
      <c r="C877" s="8">
        <v>2.0</v>
      </c>
      <c r="D877" s="8" t="s">
        <v>1368</v>
      </c>
      <c r="E877" s="7">
        <v>0.0</v>
      </c>
      <c r="F877" s="7"/>
      <c r="G877" s="7" t="s">
        <v>312</v>
      </c>
      <c r="H877" s="7" t="s">
        <v>313</v>
      </c>
      <c r="I877" s="10"/>
      <c r="J877" s="11"/>
      <c r="K877" s="12"/>
      <c r="L877" s="12"/>
      <c r="M877" s="10"/>
      <c r="N877" s="10"/>
      <c r="O877" s="10"/>
      <c r="P877" s="10"/>
      <c r="Q877" s="10"/>
      <c r="R877" s="10"/>
      <c r="S877" s="10"/>
      <c r="T877" s="10"/>
      <c r="U877" s="10"/>
      <c r="V877" s="10"/>
      <c r="W877" s="10"/>
      <c r="X877" s="10"/>
      <c r="Y877" s="10"/>
      <c r="Z877" s="10"/>
      <c r="AA877" s="10"/>
      <c r="AB877" s="10"/>
      <c r="AC877" s="10"/>
      <c r="AD877" s="10"/>
      <c r="AE877" s="10"/>
      <c r="AF877" s="10"/>
    </row>
    <row r="878">
      <c r="A878" s="7"/>
      <c r="B878" s="8">
        <v>79.0</v>
      </c>
      <c r="C878" s="8">
        <v>3.0</v>
      </c>
      <c r="D878" s="8" t="s">
        <v>1369</v>
      </c>
      <c r="E878" s="7">
        <v>0.0</v>
      </c>
      <c r="F878" s="7"/>
      <c r="G878" s="7" t="s">
        <v>312</v>
      </c>
      <c r="H878" s="7" t="s">
        <v>313</v>
      </c>
      <c r="I878" s="10"/>
      <c r="J878" s="11"/>
      <c r="K878" s="12"/>
      <c r="L878" s="12"/>
      <c r="M878" s="10"/>
      <c r="N878" s="10"/>
      <c r="O878" s="10"/>
      <c r="P878" s="10"/>
      <c r="Q878" s="10"/>
      <c r="R878" s="10"/>
      <c r="S878" s="10"/>
      <c r="T878" s="10"/>
      <c r="U878" s="10"/>
      <c r="V878" s="10"/>
      <c r="W878" s="10"/>
      <c r="X878" s="10"/>
      <c r="Y878" s="10"/>
      <c r="Z878" s="10"/>
      <c r="AA878" s="10"/>
      <c r="AB878" s="10"/>
      <c r="AC878" s="10"/>
      <c r="AD878" s="10"/>
      <c r="AE878" s="10"/>
      <c r="AF878" s="10"/>
    </row>
    <row r="879">
      <c r="A879" s="10"/>
      <c r="B879" s="12"/>
      <c r="C879" s="12"/>
      <c r="D879" s="12"/>
      <c r="E879" s="10"/>
      <c r="F879" s="10"/>
      <c r="G879" s="10"/>
      <c r="H879" s="10"/>
      <c r="I879" s="10"/>
      <c r="J879" s="11"/>
      <c r="K879" s="12"/>
      <c r="L879" s="12"/>
      <c r="M879" s="10"/>
      <c r="N879" s="10"/>
      <c r="O879" s="10"/>
      <c r="P879" s="10"/>
      <c r="Q879" s="10"/>
      <c r="R879" s="10"/>
      <c r="S879" s="10"/>
      <c r="T879" s="10"/>
      <c r="U879" s="10"/>
      <c r="V879" s="10"/>
      <c r="W879" s="10"/>
      <c r="X879" s="10"/>
      <c r="Y879" s="10"/>
      <c r="Z879" s="10"/>
      <c r="AA879" s="10"/>
      <c r="AB879" s="10"/>
      <c r="AC879" s="10"/>
      <c r="AD879" s="10"/>
      <c r="AE879" s="10"/>
      <c r="AF879" s="10"/>
    </row>
    <row r="880">
      <c r="A880" s="7"/>
      <c r="B880" s="8">
        <v>80.0</v>
      </c>
      <c r="C880" s="8">
        <v>1.0</v>
      </c>
      <c r="D880" s="8" t="s">
        <v>1370</v>
      </c>
      <c r="E880" s="7">
        <v>1.0</v>
      </c>
      <c r="F880" s="7" t="s">
        <v>320</v>
      </c>
      <c r="G880" s="7" t="s">
        <v>312</v>
      </c>
      <c r="H880" s="7" t="s">
        <v>313</v>
      </c>
      <c r="I880" s="7" t="s">
        <v>366</v>
      </c>
      <c r="J880" s="9" t="s">
        <v>1371</v>
      </c>
      <c r="K880" s="12"/>
      <c r="L880" s="12"/>
      <c r="M880" s="10"/>
      <c r="N880" s="10"/>
      <c r="O880" s="10"/>
      <c r="P880" s="10"/>
      <c r="Q880" s="10"/>
      <c r="R880" s="10"/>
      <c r="S880" s="10"/>
      <c r="T880" s="10"/>
      <c r="U880" s="10"/>
      <c r="V880" s="10"/>
      <c r="W880" s="10"/>
      <c r="X880" s="10"/>
      <c r="Y880" s="10"/>
      <c r="Z880" s="10"/>
      <c r="AA880" s="10"/>
      <c r="AB880" s="10"/>
      <c r="AC880" s="10"/>
      <c r="AD880" s="10"/>
      <c r="AE880" s="10"/>
      <c r="AF880" s="10"/>
    </row>
    <row r="881">
      <c r="A881" s="10"/>
      <c r="B881" s="12"/>
      <c r="C881" s="12"/>
      <c r="D881" s="12"/>
      <c r="E881" s="10"/>
      <c r="F881" s="10"/>
      <c r="G881" s="10"/>
      <c r="H881" s="10"/>
      <c r="I881" s="10"/>
      <c r="J881" s="11"/>
      <c r="K881" s="12"/>
      <c r="L881" s="12"/>
      <c r="M881" s="10"/>
      <c r="N881" s="10"/>
      <c r="O881" s="10"/>
      <c r="P881" s="10"/>
      <c r="Q881" s="10"/>
      <c r="R881" s="10"/>
      <c r="S881" s="10"/>
      <c r="T881" s="10"/>
      <c r="U881" s="10"/>
      <c r="V881" s="10"/>
      <c r="W881" s="10"/>
      <c r="X881" s="10"/>
      <c r="Y881" s="10"/>
      <c r="Z881" s="10"/>
      <c r="AA881" s="10"/>
      <c r="AB881" s="10"/>
      <c r="AC881" s="10"/>
      <c r="AD881" s="10"/>
      <c r="AE881" s="10"/>
      <c r="AF881" s="10"/>
    </row>
    <row r="882">
      <c r="A882" s="7"/>
      <c r="B882" s="8">
        <v>81.0</v>
      </c>
      <c r="C882" s="8">
        <v>1.0</v>
      </c>
      <c r="D882" s="8" t="s">
        <v>1372</v>
      </c>
      <c r="E882" s="7">
        <v>0.0</v>
      </c>
      <c r="F882" s="7"/>
      <c r="G882" s="7" t="s">
        <v>312</v>
      </c>
      <c r="H882" s="7" t="s">
        <v>313</v>
      </c>
      <c r="I882" s="10"/>
      <c r="J882" s="11"/>
      <c r="K882" s="12"/>
      <c r="L882" s="15" t="s">
        <v>1373</v>
      </c>
      <c r="M882" s="10"/>
      <c r="N882" s="10"/>
      <c r="O882" s="10"/>
      <c r="P882" s="10"/>
      <c r="Q882" s="10"/>
      <c r="R882" s="10"/>
      <c r="S882" s="10"/>
      <c r="T882" s="10"/>
      <c r="U882" s="10"/>
      <c r="V882" s="10"/>
      <c r="W882" s="10"/>
      <c r="X882" s="10"/>
      <c r="Y882" s="10"/>
      <c r="Z882" s="10"/>
      <c r="AA882" s="10"/>
      <c r="AB882" s="10"/>
      <c r="AC882" s="10"/>
      <c r="AD882" s="10"/>
      <c r="AE882" s="10"/>
      <c r="AF882" s="10"/>
    </row>
    <row r="883">
      <c r="A883" s="10"/>
      <c r="B883" s="12"/>
      <c r="C883" s="12"/>
      <c r="D883" s="12"/>
      <c r="E883" s="10"/>
      <c r="F883" s="10"/>
      <c r="G883" s="10"/>
      <c r="H883" s="10"/>
      <c r="I883" s="10"/>
      <c r="J883" s="11"/>
      <c r="K883" s="12"/>
      <c r="L883" s="12"/>
      <c r="M883" s="10"/>
      <c r="N883" s="10"/>
      <c r="O883" s="10"/>
      <c r="P883" s="10"/>
      <c r="Q883" s="10"/>
      <c r="R883" s="10"/>
      <c r="S883" s="10"/>
      <c r="T883" s="10"/>
      <c r="U883" s="10"/>
      <c r="V883" s="10"/>
      <c r="W883" s="10"/>
      <c r="X883" s="10"/>
      <c r="Y883" s="10"/>
      <c r="Z883" s="10"/>
      <c r="AA883" s="10"/>
      <c r="AB883" s="10"/>
      <c r="AC883" s="10"/>
      <c r="AD883" s="10"/>
      <c r="AE883" s="10"/>
      <c r="AF883" s="10"/>
    </row>
    <row r="884">
      <c r="A884" s="7"/>
      <c r="B884" s="8">
        <v>82.0</v>
      </c>
      <c r="C884" s="8">
        <v>1.0</v>
      </c>
      <c r="D884" s="8" t="s">
        <v>1374</v>
      </c>
      <c r="E884" s="7">
        <v>0.0</v>
      </c>
      <c r="F884" s="7"/>
      <c r="G884" s="7" t="s">
        <v>312</v>
      </c>
      <c r="H884" s="7" t="s">
        <v>313</v>
      </c>
      <c r="I884" s="10"/>
      <c r="J884" s="11"/>
      <c r="K884" s="12"/>
      <c r="L884" s="15" t="s">
        <v>1373</v>
      </c>
      <c r="M884" s="10"/>
      <c r="N884" s="10"/>
      <c r="O884" s="10"/>
      <c r="P884" s="10"/>
      <c r="Q884" s="10"/>
      <c r="R884" s="10"/>
      <c r="S884" s="10"/>
      <c r="T884" s="10"/>
      <c r="U884" s="10"/>
      <c r="V884" s="10"/>
      <c r="W884" s="10"/>
      <c r="X884" s="10"/>
      <c r="Y884" s="10"/>
      <c r="Z884" s="10"/>
      <c r="AA884" s="10"/>
      <c r="AB884" s="10"/>
      <c r="AC884" s="10"/>
      <c r="AD884" s="10"/>
      <c r="AE884" s="10"/>
      <c r="AF884" s="10"/>
    </row>
    <row r="885">
      <c r="A885" s="7"/>
      <c r="B885" s="8">
        <v>82.0</v>
      </c>
      <c r="C885" s="8">
        <v>2.0</v>
      </c>
      <c r="D885" s="8" t="s">
        <v>1375</v>
      </c>
      <c r="E885" s="7">
        <v>0.0</v>
      </c>
      <c r="F885" s="7"/>
      <c r="G885" s="7" t="s">
        <v>312</v>
      </c>
      <c r="H885" s="7" t="s">
        <v>313</v>
      </c>
      <c r="I885" s="10"/>
      <c r="J885" s="11"/>
      <c r="K885" s="12"/>
      <c r="L885" s="12"/>
      <c r="M885" s="10"/>
      <c r="N885" s="10"/>
      <c r="O885" s="10"/>
      <c r="P885" s="10"/>
      <c r="Q885" s="10"/>
      <c r="R885" s="10"/>
      <c r="S885" s="10"/>
      <c r="T885" s="10"/>
      <c r="U885" s="10"/>
      <c r="V885" s="10"/>
      <c r="W885" s="10"/>
      <c r="X885" s="10"/>
      <c r="Y885" s="10"/>
      <c r="Z885" s="10"/>
      <c r="AA885" s="10"/>
      <c r="AB885" s="10"/>
      <c r="AC885" s="10"/>
      <c r="AD885" s="10"/>
      <c r="AE885" s="10"/>
      <c r="AF885" s="10"/>
    </row>
    <row r="886">
      <c r="A886" s="7"/>
      <c r="B886" s="8">
        <v>82.0</v>
      </c>
      <c r="C886" s="8">
        <v>3.0</v>
      </c>
      <c r="D886" s="8" t="s">
        <v>1376</v>
      </c>
      <c r="E886" s="7">
        <v>0.0</v>
      </c>
      <c r="F886" s="7"/>
      <c r="G886" s="7" t="s">
        <v>312</v>
      </c>
      <c r="H886" s="7" t="s">
        <v>313</v>
      </c>
      <c r="I886" s="10"/>
      <c r="J886" s="11"/>
      <c r="K886" s="12"/>
      <c r="L886" s="12"/>
      <c r="M886" s="10"/>
      <c r="N886" s="10"/>
      <c r="O886" s="10"/>
      <c r="P886" s="10"/>
      <c r="Q886" s="10"/>
      <c r="R886" s="10"/>
      <c r="S886" s="10"/>
      <c r="T886" s="10"/>
      <c r="U886" s="10"/>
      <c r="V886" s="10"/>
      <c r="W886" s="10"/>
      <c r="X886" s="10"/>
      <c r="Y886" s="10"/>
      <c r="Z886" s="10"/>
      <c r="AA886" s="10"/>
      <c r="AB886" s="10"/>
      <c r="AC886" s="10"/>
      <c r="AD886" s="10"/>
      <c r="AE886" s="10"/>
      <c r="AF886" s="10"/>
    </row>
    <row r="887">
      <c r="A887" s="10"/>
      <c r="B887" s="12"/>
      <c r="C887" s="12"/>
      <c r="D887" s="12"/>
      <c r="E887" s="10"/>
      <c r="F887" s="10"/>
      <c r="G887" s="10"/>
      <c r="H887" s="10"/>
      <c r="I887" s="10"/>
      <c r="J887" s="11"/>
      <c r="K887" s="12"/>
      <c r="L887" s="12"/>
      <c r="M887" s="10"/>
      <c r="N887" s="10"/>
      <c r="O887" s="10"/>
      <c r="P887" s="10"/>
      <c r="Q887" s="10"/>
      <c r="R887" s="10"/>
      <c r="S887" s="10"/>
      <c r="T887" s="10"/>
      <c r="U887" s="10"/>
      <c r="V887" s="10"/>
      <c r="W887" s="10"/>
      <c r="X887" s="10"/>
      <c r="Y887" s="10"/>
      <c r="Z887" s="10"/>
      <c r="AA887" s="10"/>
      <c r="AB887" s="10"/>
      <c r="AC887" s="10"/>
      <c r="AD887" s="10"/>
      <c r="AE887" s="10"/>
      <c r="AF887" s="10"/>
    </row>
    <row r="888">
      <c r="A888" s="7"/>
      <c r="B888" s="8">
        <v>83.0</v>
      </c>
      <c r="C888" s="8">
        <v>1.0</v>
      </c>
      <c r="D888" s="8" t="s">
        <v>1377</v>
      </c>
      <c r="E888" s="7">
        <v>0.0</v>
      </c>
      <c r="F888" s="7"/>
      <c r="G888" s="7" t="s">
        <v>312</v>
      </c>
      <c r="H888" s="7" t="s">
        <v>313</v>
      </c>
      <c r="I888" s="10"/>
      <c r="J888" s="11"/>
      <c r="K888" s="12"/>
      <c r="L888" s="12"/>
      <c r="M888" s="10"/>
      <c r="N888" s="10"/>
      <c r="O888" s="10"/>
      <c r="P888" s="10"/>
      <c r="Q888" s="10"/>
      <c r="R888" s="10"/>
      <c r="S888" s="10"/>
      <c r="T888" s="10"/>
      <c r="U888" s="10"/>
      <c r="V888" s="10"/>
      <c r="W888" s="10"/>
      <c r="X888" s="10"/>
      <c r="Y888" s="10"/>
      <c r="Z888" s="10"/>
      <c r="AA888" s="10"/>
      <c r="AB888" s="10"/>
      <c r="AC888" s="10"/>
      <c r="AD888" s="10"/>
      <c r="AE888" s="10"/>
      <c r="AF888" s="10"/>
    </row>
    <row r="889">
      <c r="A889" s="10"/>
      <c r="B889" s="12"/>
      <c r="C889" s="12"/>
      <c r="D889" s="12"/>
      <c r="E889" s="10"/>
      <c r="F889" s="10"/>
      <c r="G889" s="10"/>
      <c r="H889" s="10"/>
      <c r="I889" s="10"/>
      <c r="J889" s="11"/>
      <c r="K889" s="12"/>
      <c r="L889" s="12"/>
      <c r="M889" s="10"/>
      <c r="N889" s="10"/>
      <c r="O889" s="10"/>
      <c r="P889" s="10"/>
      <c r="Q889" s="10"/>
      <c r="R889" s="10"/>
      <c r="S889" s="10"/>
      <c r="T889" s="10"/>
      <c r="U889" s="10"/>
      <c r="V889" s="10"/>
      <c r="W889" s="10"/>
      <c r="X889" s="10"/>
      <c r="Y889" s="10"/>
      <c r="Z889" s="10"/>
      <c r="AA889" s="10"/>
      <c r="AB889" s="10"/>
      <c r="AC889" s="10"/>
      <c r="AD889" s="10"/>
      <c r="AE889" s="10"/>
      <c r="AF889" s="10"/>
    </row>
    <row r="890">
      <c r="A890" s="7"/>
      <c r="B890" s="8">
        <v>84.0</v>
      </c>
      <c r="C890" s="8">
        <v>1.0</v>
      </c>
      <c r="D890" s="8" t="s">
        <v>1378</v>
      </c>
      <c r="E890" s="7">
        <v>1.0</v>
      </c>
      <c r="F890" s="7"/>
      <c r="G890" s="7" t="s">
        <v>312</v>
      </c>
      <c r="H890" s="7" t="s">
        <v>313</v>
      </c>
      <c r="I890" s="10"/>
      <c r="J890" s="9" t="s">
        <v>1379</v>
      </c>
      <c r="K890" s="12"/>
      <c r="L890" s="15" t="s">
        <v>1380</v>
      </c>
      <c r="M890" s="10"/>
      <c r="N890" s="10"/>
      <c r="O890" s="10"/>
      <c r="P890" s="10"/>
      <c r="Q890" s="10"/>
      <c r="R890" s="10"/>
      <c r="S890" s="10"/>
      <c r="T890" s="10"/>
      <c r="U890" s="10"/>
      <c r="V890" s="10"/>
      <c r="W890" s="10"/>
      <c r="X890" s="10"/>
      <c r="Y890" s="10"/>
      <c r="Z890" s="10"/>
      <c r="AA890" s="10"/>
      <c r="AB890" s="10"/>
      <c r="AC890" s="10"/>
      <c r="AD890" s="10"/>
      <c r="AE890" s="10"/>
      <c r="AF890" s="10"/>
    </row>
    <row r="891">
      <c r="A891" s="7"/>
      <c r="B891" s="8">
        <v>84.0</v>
      </c>
      <c r="C891" s="8">
        <v>2.0</v>
      </c>
      <c r="D891" s="8" t="s">
        <v>1381</v>
      </c>
      <c r="E891" s="7">
        <v>0.0</v>
      </c>
      <c r="F891" s="7"/>
      <c r="G891" s="7" t="s">
        <v>312</v>
      </c>
      <c r="H891" s="7" t="s">
        <v>313</v>
      </c>
      <c r="I891" s="10"/>
      <c r="J891" s="11"/>
      <c r="K891" s="12"/>
      <c r="L891" s="12"/>
      <c r="M891" s="10"/>
      <c r="N891" s="10"/>
      <c r="O891" s="10"/>
      <c r="P891" s="10"/>
      <c r="Q891" s="10"/>
      <c r="R891" s="10"/>
      <c r="S891" s="10"/>
      <c r="T891" s="10"/>
      <c r="U891" s="10"/>
      <c r="V891" s="10"/>
      <c r="W891" s="10"/>
      <c r="X891" s="10"/>
      <c r="Y891" s="10"/>
      <c r="Z891" s="10"/>
      <c r="AA891" s="10"/>
      <c r="AB891" s="10"/>
      <c r="AC891" s="10"/>
      <c r="AD891" s="10"/>
      <c r="AE891" s="10"/>
      <c r="AF891" s="10"/>
    </row>
    <row r="892">
      <c r="A892" s="7"/>
      <c r="B892" s="8">
        <v>84.0</v>
      </c>
      <c r="C892" s="8">
        <v>3.0</v>
      </c>
      <c r="D892" s="8" t="s">
        <v>1382</v>
      </c>
      <c r="E892" s="7">
        <v>1.0</v>
      </c>
      <c r="F892" s="7"/>
      <c r="G892" s="7" t="s">
        <v>312</v>
      </c>
      <c r="H892" s="7" t="s">
        <v>313</v>
      </c>
      <c r="I892" s="7" t="s">
        <v>366</v>
      </c>
      <c r="J892" s="9" t="s">
        <v>1383</v>
      </c>
      <c r="K892" s="12"/>
      <c r="L892" s="12"/>
      <c r="M892" s="10"/>
      <c r="N892" s="10"/>
      <c r="O892" s="10"/>
      <c r="P892" s="10"/>
      <c r="Q892" s="10"/>
      <c r="R892" s="10"/>
      <c r="S892" s="10"/>
      <c r="T892" s="10"/>
      <c r="U892" s="10"/>
      <c r="V892" s="10"/>
      <c r="W892" s="10"/>
      <c r="X892" s="10"/>
      <c r="Y892" s="10"/>
      <c r="Z892" s="10"/>
      <c r="AA892" s="10"/>
      <c r="AB892" s="10"/>
      <c r="AC892" s="10"/>
      <c r="AD892" s="10"/>
      <c r="AE892" s="10"/>
      <c r="AF892" s="10"/>
    </row>
    <row r="893">
      <c r="A893" s="10"/>
      <c r="B893" s="12"/>
      <c r="C893" s="12"/>
      <c r="D893" s="12"/>
      <c r="E893" s="10"/>
      <c r="F893" s="10"/>
      <c r="G893" s="10"/>
      <c r="H893" s="10"/>
      <c r="I893" s="10"/>
      <c r="J893" s="11"/>
      <c r="K893" s="12"/>
      <c r="L893" s="12"/>
      <c r="M893" s="10"/>
      <c r="N893" s="10"/>
      <c r="O893" s="10"/>
      <c r="P893" s="10"/>
      <c r="Q893" s="10"/>
      <c r="R893" s="10"/>
      <c r="S893" s="10"/>
      <c r="T893" s="10"/>
      <c r="U893" s="10"/>
      <c r="V893" s="10"/>
      <c r="W893" s="10"/>
      <c r="X893" s="10"/>
      <c r="Y893" s="10"/>
      <c r="Z893" s="10"/>
      <c r="AA893" s="10"/>
      <c r="AB893" s="10"/>
      <c r="AC893" s="10"/>
      <c r="AD893" s="10"/>
      <c r="AE893" s="10"/>
      <c r="AF893" s="10"/>
    </row>
    <row r="894">
      <c r="A894" s="7"/>
      <c r="B894" s="8">
        <v>85.0</v>
      </c>
      <c r="C894" s="8">
        <v>1.0</v>
      </c>
      <c r="D894" s="8" t="s">
        <v>1384</v>
      </c>
      <c r="E894" s="7">
        <v>0.0</v>
      </c>
      <c r="F894" s="7"/>
      <c r="G894" s="7" t="s">
        <v>312</v>
      </c>
      <c r="H894" s="7" t="s">
        <v>313</v>
      </c>
      <c r="I894" s="10"/>
      <c r="J894" s="9" t="s">
        <v>1385</v>
      </c>
      <c r="K894" s="12"/>
      <c r="L894" s="12"/>
      <c r="M894" s="10"/>
      <c r="N894" s="10"/>
      <c r="O894" s="10"/>
      <c r="P894" s="10"/>
      <c r="Q894" s="10"/>
      <c r="R894" s="10"/>
      <c r="S894" s="10"/>
      <c r="T894" s="10"/>
      <c r="U894" s="10"/>
      <c r="V894" s="10"/>
      <c r="W894" s="10"/>
      <c r="X894" s="10"/>
      <c r="Y894" s="10"/>
      <c r="Z894" s="10"/>
      <c r="AA894" s="10"/>
      <c r="AB894" s="10"/>
      <c r="AC894" s="10"/>
      <c r="AD894" s="10"/>
      <c r="AE894" s="10"/>
      <c r="AF894" s="10"/>
    </row>
    <row r="895">
      <c r="A895" s="7"/>
      <c r="B895" s="8">
        <v>85.0</v>
      </c>
      <c r="C895" s="8">
        <v>2.0</v>
      </c>
      <c r="D895" s="8" t="s">
        <v>1386</v>
      </c>
      <c r="E895" s="7">
        <v>0.0</v>
      </c>
      <c r="F895" s="7"/>
      <c r="G895" s="7" t="s">
        <v>312</v>
      </c>
      <c r="H895" s="7" t="s">
        <v>313</v>
      </c>
      <c r="I895" s="10"/>
      <c r="J895" s="9" t="s">
        <v>1387</v>
      </c>
      <c r="K895" s="12"/>
      <c r="L895" s="12"/>
      <c r="M895" s="10"/>
      <c r="N895" s="10"/>
      <c r="O895" s="10"/>
      <c r="P895" s="10"/>
      <c r="Q895" s="10"/>
      <c r="R895" s="10"/>
      <c r="S895" s="10"/>
      <c r="T895" s="10"/>
      <c r="U895" s="10"/>
      <c r="V895" s="10"/>
      <c r="W895" s="10"/>
      <c r="X895" s="10"/>
      <c r="Y895" s="10"/>
      <c r="Z895" s="10"/>
      <c r="AA895" s="10"/>
      <c r="AB895" s="10"/>
      <c r="AC895" s="10"/>
      <c r="AD895" s="10"/>
      <c r="AE895" s="10"/>
      <c r="AF895" s="10"/>
    </row>
    <row r="896">
      <c r="A896" s="7"/>
      <c r="B896" s="8">
        <v>85.0</v>
      </c>
      <c r="C896" s="8">
        <v>3.0</v>
      </c>
      <c r="D896" s="8" t="s">
        <v>1388</v>
      </c>
      <c r="E896" s="7">
        <v>0.0</v>
      </c>
      <c r="F896" s="7"/>
      <c r="G896" s="7" t="s">
        <v>312</v>
      </c>
      <c r="H896" s="7" t="s">
        <v>313</v>
      </c>
      <c r="I896" s="10"/>
      <c r="J896" s="9" t="s">
        <v>1389</v>
      </c>
      <c r="K896" s="12"/>
      <c r="L896" s="12"/>
      <c r="M896" s="10"/>
      <c r="N896" s="10"/>
      <c r="O896" s="10"/>
      <c r="P896" s="10"/>
      <c r="Q896" s="10"/>
      <c r="R896" s="10"/>
      <c r="S896" s="10"/>
      <c r="T896" s="10"/>
      <c r="U896" s="10"/>
      <c r="V896" s="10"/>
      <c r="W896" s="10"/>
      <c r="X896" s="10"/>
      <c r="Y896" s="10"/>
      <c r="Z896" s="10"/>
      <c r="AA896" s="10"/>
      <c r="AB896" s="10"/>
      <c r="AC896" s="10"/>
      <c r="AD896" s="10"/>
      <c r="AE896" s="10"/>
      <c r="AF896" s="10"/>
    </row>
    <row r="897">
      <c r="A897" s="7"/>
      <c r="B897" s="8">
        <v>85.0</v>
      </c>
      <c r="C897" s="8">
        <v>4.0</v>
      </c>
      <c r="D897" s="8" t="s">
        <v>1390</v>
      </c>
      <c r="E897" s="7">
        <v>1.0</v>
      </c>
      <c r="F897" s="7"/>
      <c r="G897" s="7" t="s">
        <v>312</v>
      </c>
      <c r="H897" s="7" t="s">
        <v>313</v>
      </c>
      <c r="I897" s="7"/>
      <c r="J897" s="9"/>
      <c r="K897" s="12"/>
      <c r="L897" s="12"/>
      <c r="M897" s="10"/>
      <c r="N897" s="10"/>
      <c r="O897" s="10"/>
      <c r="P897" s="10"/>
      <c r="Q897" s="10"/>
      <c r="R897" s="10"/>
      <c r="S897" s="10"/>
      <c r="T897" s="10"/>
      <c r="U897" s="10"/>
      <c r="V897" s="10"/>
      <c r="W897" s="10"/>
      <c r="X897" s="10"/>
      <c r="Y897" s="10"/>
      <c r="Z897" s="10"/>
      <c r="AA897" s="10"/>
      <c r="AB897" s="10"/>
      <c r="AC897" s="10"/>
      <c r="AD897" s="10"/>
      <c r="AE897" s="10"/>
      <c r="AF897" s="10"/>
    </row>
    <row r="898">
      <c r="A898" s="7"/>
      <c r="B898" s="8">
        <v>85.0</v>
      </c>
      <c r="C898" s="8">
        <v>5.0</v>
      </c>
      <c r="D898" s="8" t="s">
        <v>1391</v>
      </c>
      <c r="E898" s="7">
        <v>0.0</v>
      </c>
      <c r="F898" s="7"/>
      <c r="G898" s="7" t="s">
        <v>312</v>
      </c>
      <c r="H898" s="7" t="s">
        <v>313</v>
      </c>
      <c r="I898" s="10"/>
      <c r="J898" s="11"/>
      <c r="K898" s="12"/>
      <c r="L898" s="12"/>
      <c r="M898" s="10"/>
      <c r="N898" s="10"/>
      <c r="O898" s="10"/>
      <c r="P898" s="10"/>
      <c r="Q898" s="10"/>
      <c r="R898" s="10"/>
      <c r="S898" s="10"/>
      <c r="T898" s="10"/>
      <c r="U898" s="10"/>
      <c r="V898" s="10"/>
      <c r="W898" s="10"/>
      <c r="X898" s="10"/>
      <c r="Y898" s="10"/>
      <c r="Z898" s="10"/>
      <c r="AA898" s="10"/>
      <c r="AB898" s="10"/>
      <c r="AC898" s="10"/>
      <c r="AD898" s="10"/>
      <c r="AE898" s="10"/>
      <c r="AF898" s="10"/>
    </row>
    <row r="899">
      <c r="A899" s="7"/>
      <c r="B899" s="8">
        <v>85.0</v>
      </c>
      <c r="C899" s="8">
        <v>6.0</v>
      </c>
      <c r="D899" s="8" t="s">
        <v>1392</v>
      </c>
      <c r="E899" s="7">
        <v>0.0</v>
      </c>
      <c r="F899" s="7"/>
      <c r="G899" s="7" t="s">
        <v>312</v>
      </c>
      <c r="H899" s="7" t="s">
        <v>313</v>
      </c>
      <c r="I899" s="10"/>
      <c r="J899" s="11"/>
      <c r="K899" s="12"/>
      <c r="L899" s="12"/>
      <c r="M899" s="10"/>
      <c r="N899" s="10"/>
      <c r="O899" s="10"/>
      <c r="P899" s="10"/>
      <c r="Q899" s="10"/>
      <c r="R899" s="10"/>
      <c r="S899" s="10"/>
      <c r="T899" s="10"/>
      <c r="U899" s="10"/>
      <c r="V899" s="10"/>
      <c r="W899" s="10"/>
      <c r="X899" s="10"/>
      <c r="Y899" s="10"/>
      <c r="Z899" s="10"/>
      <c r="AA899" s="10"/>
      <c r="AB899" s="10"/>
      <c r="AC899" s="10"/>
      <c r="AD899" s="10"/>
      <c r="AE899" s="10"/>
      <c r="AF899" s="10"/>
    </row>
    <row r="900">
      <c r="A900" s="7"/>
      <c r="B900" s="8">
        <v>85.0</v>
      </c>
      <c r="C900" s="8">
        <v>7.0</v>
      </c>
      <c r="D900" s="8" t="s">
        <v>1393</v>
      </c>
      <c r="E900" s="7">
        <v>1.0</v>
      </c>
      <c r="F900" s="7"/>
      <c r="G900" s="7" t="s">
        <v>312</v>
      </c>
      <c r="H900" s="7" t="s">
        <v>313</v>
      </c>
      <c r="I900" s="7"/>
      <c r="J900" s="9"/>
      <c r="K900" s="12"/>
      <c r="L900" s="12"/>
      <c r="M900" s="10"/>
      <c r="N900" s="10"/>
      <c r="O900" s="10"/>
      <c r="P900" s="10"/>
      <c r="Q900" s="10"/>
      <c r="R900" s="10"/>
      <c r="S900" s="10"/>
      <c r="T900" s="10"/>
      <c r="U900" s="10"/>
      <c r="V900" s="10"/>
      <c r="W900" s="10"/>
      <c r="X900" s="10"/>
      <c r="Y900" s="10"/>
      <c r="Z900" s="10"/>
      <c r="AA900" s="10"/>
      <c r="AB900" s="10"/>
      <c r="AC900" s="10"/>
      <c r="AD900" s="10"/>
      <c r="AE900" s="10"/>
      <c r="AF900" s="10"/>
    </row>
    <row r="901">
      <c r="A901" s="7"/>
      <c r="B901" s="8">
        <v>85.0</v>
      </c>
      <c r="C901" s="8">
        <v>8.0</v>
      </c>
      <c r="D901" s="8" t="s">
        <v>1394</v>
      </c>
      <c r="E901" s="7">
        <v>0.0</v>
      </c>
      <c r="F901" s="7"/>
      <c r="G901" s="7" t="s">
        <v>312</v>
      </c>
      <c r="H901" s="7" t="s">
        <v>313</v>
      </c>
      <c r="I901" s="10"/>
      <c r="J901" s="11"/>
      <c r="K901" s="12"/>
      <c r="L901" s="12"/>
      <c r="M901" s="10"/>
      <c r="N901" s="10"/>
      <c r="O901" s="10"/>
      <c r="P901" s="10"/>
      <c r="Q901" s="10"/>
      <c r="R901" s="10"/>
      <c r="S901" s="10"/>
      <c r="T901" s="10"/>
      <c r="U901" s="10"/>
      <c r="V901" s="10"/>
      <c r="W901" s="10"/>
      <c r="X901" s="10"/>
      <c r="Y901" s="10"/>
      <c r="Z901" s="10"/>
      <c r="AA901" s="10"/>
      <c r="AB901" s="10"/>
      <c r="AC901" s="10"/>
      <c r="AD901" s="10"/>
      <c r="AE901" s="10"/>
      <c r="AF901" s="10"/>
    </row>
    <row r="902">
      <c r="A902" s="7"/>
      <c r="B902" s="8">
        <v>85.0</v>
      </c>
      <c r="C902" s="8">
        <v>9.0</v>
      </c>
      <c r="D902" s="8" t="s">
        <v>1395</v>
      </c>
      <c r="E902" s="7">
        <v>1.0</v>
      </c>
      <c r="F902" s="7"/>
      <c r="G902" s="7" t="s">
        <v>312</v>
      </c>
      <c r="H902" s="7" t="s">
        <v>313</v>
      </c>
      <c r="I902" s="10"/>
      <c r="J902" s="11"/>
      <c r="K902" s="12"/>
      <c r="L902" s="15" t="s">
        <v>1396</v>
      </c>
      <c r="M902" s="10"/>
      <c r="N902" s="10"/>
      <c r="O902" s="10"/>
      <c r="P902" s="10"/>
      <c r="Q902" s="10"/>
      <c r="R902" s="10"/>
      <c r="S902" s="10"/>
      <c r="T902" s="10"/>
      <c r="U902" s="10"/>
      <c r="V902" s="10"/>
      <c r="W902" s="10"/>
      <c r="X902" s="10"/>
      <c r="Y902" s="10"/>
      <c r="Z902" s="10"/>
      <c r="AA902" s="10"/>
      <c r="AB902" s="10"/>
      <c r="AC902" s="10"/>
      <c r="AD902" s="10"/>
      <c r="AE902" s="10"/>
      <c r="AF902" s="10"/>
    </row>
    <row r="903">
      <c r="A903" s="7"/>
      <c r="B903" s="8">
        <v>85.0</v>
      </c>
      <c r="C903" s="8">
        <v>10.0</v>
      </c>
      <c r="D903" s="8" t="s">
        <v>1397</v>
      </c>
      <c r="E903" s="7">
        <v>0.0</v>
      </c>
      <c r="F903" s="7"/>
      <c r="G903" s="7" t="s">
        <v>312</v>
      </c>
      <c r="H903" s="7" t="s">
        <v>313</v>
      </c>
      <c r="I903" s="10"/>
      <c r="J903" s="11"/>
      <c r="K903" s="12"/>
      <c r="L903" s="12"/>
      <c r="M903" s="10"/>
      <c r="N903" s="10"/>
      <c r="O903" s="10"/>
      <c r="P903" s="10"/>
      <c r="Q903" s="10"/>
      <c r="R903" s="10"/>
      <c r="S903" s="10"/>
      <c r="T903" s="10"/>
      <c r="U903" s="10"/>
      <c r="V903" s="10"/>
      <c r="W903" s="10"/>
      <c r="X903" s="10"/>
      <c r="Y903" s="10"/>
      <c r="Z903" s="10"/>
      <c r="AA903" s="10"/>
      <c r="AB903" s="10"/>
      <c r="AC903" s="10"/>
      <c r="AD903" s="10"/>
      <c r="AE903" s="10"/>
      <c r="AF903" s="10"/>
    </row>
    <row r="904">
      <c r="A904" s="10"/>
      <c r="B904" s="12"/>
      <c r="C904" s="12"/>
      <c r="D904" s="12"/>
      <c r="E904" s="10"/>
      <c r="F904" s="10"/>
      <c r="G904" s="10"/>
      <c r="H904" s="10"/>
      <c r="I904" s="10"/>
      <c r="J904" s="11"/>
      <c r="K904" s="12"/>
      <c r="L904" s="12"/>
      <c r="M904" s="10"/>
      <c r="N904" s="10"/>
      <c r="O904" s="10"/>
      <c r="P904" s="10"/>
      <c r="Q904" s="10"/>
      <c r="R904" s="10"/>
      <c r="S904" s="10"/>
      <c r="T904" s="10"/>
      <c r="U904" s="10"/>
      <c r="V904" s="10"/>
      <c r="W904" s="10"/>
      <c r="X904" s="10"/>
      <c r="Y904" s="10"/>
      <c r="Z904" s="10"/>
      <c r="AA904" s="10"/>
      <c r="AB904" s="10"/>
      <c r="AC904" s="10"/>
      <c r="AD904" s="10"/>
      <c r="AE904" s="10"/>
      <c r="AF904" s="10"/>
    </row>
    <row r="905">
      <c r="A905" s="7"/>
      <c r="B905" s="8">
        <v>86.0</v>
      </c>
      <c r="C905" s="8">
        <v>1.0</v>
      </c>
      <c r="D905" s="8" t="s">
        <v>1398</v>
      </c>
      <c r="E905" s="7">
        <v>0.0</v>
      </c>
      <c r="F905" s="7"/>
      <c r="G905" s="7" t="s">
        <v>312</v>
      </c>
      <c r="H905" s="7" t="s">
        <v>313</v>
      </c>
      <c r="I905" s="10"/>
      <c r="J905" s="9" t="s">
        <v>1399</v>
      </c>
      <c r="K905" s="12"/>
      <c r="L905" s="12"/>
      <c r="M905" s="10"/>
      <c r="N905" s="10"/>
      <c r="O905" s="10"/>
      <c r="P905" s="10"/>
      <c r="Q905" s="10"/>
      <c r="R905" s="10"/>
      <c r="S905" s="10"/>
      <c r="T905" s="10"/>
      <c r="U905" s="10"/>
      <c r="V905" s="10"/>
      <c r="W905" s="10"/>
      <c r="X905" s="10"/>
      <c r="Y905" s="10"/>
      <c r="Z905" s="10"/>
      <c r="AA905" s="10"/>
      <c r="AB905" s="10"/>
      <c r="AC905" s="10"/>
      <c r="AD905" s="10"/>
      <c r="AE905" s="10"/>
      <c r="AF905" s="10"/>
    </row>
    <row r="906">
      <c r="A906" s="7"/>
      <c r="B906" s="8">
        <v>86.0</v>
      </c>
      <c r="C906" s="8">
        <v>2.0</v>
      </c>
      <c r="D906" s="8" t="s">
        <v>1400</v>
      </c>
      <c r="E906" s="7">
        <v>0.0</v>
      </c>
      <c r="F906" s="7"/>
      <c r="G906" s="7" t="s">
        <v>312</v>
      </c>
      <c r="H906" s="7" t="s">
        <v>313</v>
      </c>
      <c r="I906" s="10"/>
      <c r="J906" s="11"/>
      <c r="K906" s="12"/>
      <c r="L906" s="12"/>
      <c r="M906" s="10"/>
      <c r="N906" s="10"/>
      <c r="O906" s="10"/>
      <c r="P906" s="10"/>
      <c r="Q906" s="10"/>
      <c r="R906" s="10"/>
      <c r="S906" s="10"/>
      <c r="T906" s="10"/>
      <c r="U906" s="10"/>
      <c r="V906" s="10"/>
      <c r="W906" s="10"/>
      <c r="X906" s="10"/>
      <c r="Y906" s="10"/>
      <c r="Z906" s="10"/>
      <c r="AA906" s="10"/>
      <c r="AB906" s="10"/>
      <c r="AC906" s="10"/>
      <c r="AD906" s="10"/>
      <c r="AE906" s="10"/>
      <c r="AF906" s="10"/>
    </row>
    <row r="907">
      <c r="A907" s="7"/>
      <c r="B907" s="8">
        <v>86.0</v>
      </c>
      <c r="C907" s="8">
        <v>3.0</v>
      </c>
      <c r="D907" s="8" t="s">
        <v>1401</v>
      </c>
      <c r="E907" s="7">
        <v>0.0</v>
      </c>
      <c r="F907" s="7"/>
      <c r="G907" s="7" t="s">
        <v>312</v>
      </c>
      <c r="H907" s="7" t="s">
        <v>313</v>
      </c>
      <c r="I907" s="10"/>
      <c r="J907" s="11"/>
      <c r="K907" s="12"/>
      <c r="L907" s="12"/>
      <c r="M907" s="10"/>
      <c r="N907" s="10"/>
      <c r="O907" s="10"/>
      <c r="P907" s="10"/>
      <c r="Q907" s="10"/>
      <c r="R907" s="10"/>
      <c r="S907" s="10"/>
      <c r="T907" s="10"/>
      <c r="U907" s="10"/>
      <c r="V907" s="10"/>
      <c r="W907" s="10"/>
      <c r="X907" s="10"/>
      <c r="Y907" s="10"/>
      <c r="Z907" s="10"/>
      <c r="AA907" s="10"/>
      <c r="AB907" s="10"/>
      <c r="AC907" s="10"/>
      <c r="AD907" s="10"/>
      <c r="AE907" s="10"/>
      <c r="AF907" s="10"/>
    </row>
    <row r="908">
      <c r="A908" s="7"/>
      <c r="B908" s="8">
        <v>86.0</v>
      </c>
      <c r="C908" s="8">
        <v>4.0</v>
      </c>
      <c r="D908" s="8" t="s">
        <v>1402</v>
      </c>
      <c r="E908" s="7">
        <v>0.0</v>
      </c>
      <c r="F908" s="7" t="s">
        <v>320</v>
      </c>
      <c r="G908" s="7" t="s">
        <v>312</v>
      </c>
      <c r="H908" s="7" t="s">
        <v>313</v>
      </c>
      <c r="I908" s="7" t="s">
        <v>366</v>
      </c>
      <c r="J908" s="9" t="s">
        <v>1403</v>
      </c>
      <c r="K908" s="12"/>
      <c r="L908" s="12"/>
      <c r="M908" s="10"/>
      <c r="N908" s="10"/>
      <c r="O908" s="10"/>
      <c r="P908" s="10"/>
      <c r="Q908" s="10"/>
      <c r="R908" s="10"/>
      <c r="S908" s="10"/>
      <c r="T908" s="10"/>
      <c r="U908" s="10"/>
      <c r="V908" s="10"/>
      <c r="W908" s="10"/>
      <c r="X908" s="10"/>
      <c r="Y908" s="10"/>
      <c r="Z908" s="10"/>
      <c r="AA908" s="10"/>
      <c r="AB908" s="10"/>
      <c r="AC908" s="10"/>
      <c r="AD908" s="10"/>
      <c r="AE908" s="10"/>
      <c r="AF908" s="10"/>
    </row>
    <row r="909">
      <c r="A909" s="7"/>
      <c r="B909" s="8">
        <v>86.0</v>
      </c>
      <c r="C909" s="8">
        <v>5.0</v>
      </c>
      <c r="D909" s="8" t="s">
        <v>1404</v>
      </c>
      <c r="E909" s="7">
        <v>0.0</v>
      </c>
      <c r="F909" s="7"/>
      <c r="G909" s="7" t="s">
        <v>312</v>
      </c>
      <c r="H909" s="7" t="s">
        <v>313</v>
      </c>
      <c r="I909" s="10"/>
      <c r="J909" s="11"/>
      <c r="K909" s="12"/>
      <c r="L909" s="12"/>
      <c r="M909" s="10"/>
      <c r="N909" s="10"/>
      <c r="O909" s="10"/>
      <c r="P909" s="10"/>
      <c r="Q909" s="10"/>
      <c r="R909" s="10"/>
      <c r="S909" s="10"/>
      <c r="T909" s="10"/>
      <c r="U909" s="10"/>
      <c r="V909" s="10"/>
      <c r="W909" s="10"/>
      <c r="X909" s="10"/>
      <c r="Y909" s="10"/>
      <c r="Z909" s="10"/>
      <c r="AA909" s="10"/>
      <c r="AB909" s="10"/>
      <c r="AC909" s="10"/>
      <c r="AD909" s="10"/>
      <c r="AE909" s="10"/>
      <c r="AF909" s="10"/>
    </row>
    <row r="910">
      <c r="A910" s="7"/>
      <c r="B910" s="8">
        <v>86.0</v>
      </c>
      <c r="C910" s="8">
        <v>6.0</v>
      </c>
      <c r="D910" s="8" t="s">
        <v>1405</v>
      </c>
      <c r="E910" s="7">
        <v>0.0</v>
      </c>
      <c r="F910" s="7"/>
      <c r="G910" s="7" t="s">
        <v>312</v>
      </c>
      <c r="H910" s="7" t="s">
        <v>313</v>
      </c>
      <c r="I910" s="10"/>
      <c r="J910" s="11"/>
      <c r="K910" s="12"/>
      <c r="L910" s="12"/>
      <c r="M910" s="10"/>
      <c r="N910" s="10"/>
      <c r="O910" s="10"/>
      <c r="P910" s="10"/>
      <c r="Q910" s="10"/>
      <c r="R910" s="10"/>
      <c r="S910" s="10"/>
      <c r="T910" s="10"/>
      <c r="U910" s="10"/>
      <c r="V910" s="10"/>
      <c r="W910" s="10"/>
      <c r="X910" s="10"/>
      <c r="Y910" s="10"/>
      <c r="Z910" s="10"/>
      <c r="AA910" s="10"/>
      <c r="AB910" s="10"/>
      <c r="AC910" s="10"/>
      <c r="AD910" s="10"/>
      <c r="AE910" s="10"/>
      <c r="AF910" s="10"/>
    </row>
    <row r="911">
      <c r="A911" s="7"/>
      <c r="B911" s="8">
        <v>86.0</v>
      </c>
      <c r="C911" s="8">
        <v>7.0</v>
      </c>
      <c r="D911" s="8" t="s">
        <v>1406</v>
      </c>
      <c r="E911" s="7">
        <v>0.0</v>
      </c>
      <c r="F911" s="7"/>
      <c r="G911" s="7" t="s">
        <v>312</v>
      </c>
      <c r="H911" s="7" t="s">
        <v>313</v>
      </c>
      <c r="I911" s="10"/>
      <c r="J911" s="11"/>
      <c r="K911" s="12"/>
      <c r="L911" s="12"/>
      <c r="M911" s="10"/>
      <c r="N911" s="10"/>
      <c r="O911" s="10"/>
      <c r="P911" s="10"/>
      <c r="Q911" s="10"/>
      <c r="R911" s="10"/>
      <c r="S911" s="10"/>
      <c r="T911" s="10"/>
      <c r="U911" s="10"/>
      <c r="V911" s="10"/>
      <c r="W911" s="10"/>
      <c r="X911" s="10"/>
      <c r="Y911" s="10"/>
      <c r="Z911" s="10"/>
      <c r="AA911" s="10"/>
      <c r="AB911" s="10"/>
      <c r="AC911" s="10"/>
      <c r="AD911" s="10"/>
      <c r="AE911" s="10"/>
      <c r="AF911" s="10"/>
    </row>
    <row r="912">
      <c r="A912" s="7"/>
      <c r="B912" s="8">
        <v>86.0</v>
      </c>
      <c r="C912" s="8">
        <v>8.0</v>
      </c>
      <c r="D912" s="8" t="s">
        <v>1407</v>
      </c>
      <c r="E912" s="7">
        <v>0.0</v>
      </c>
      <c r="F912" s="7"/>
      <c r="G912" s="7" t="s">
        <v>312</v>
      </c>
      <c r="H912" s="7" t="s">
        <v>313</v>
      </c>
      <c r="I912" s="10"/>
      <c r="J912" s="11"/>
      <c r="K912" s="12"/>
      <c r="L912" s="12"/>
      <c r="M912" s="10"/>
      <c r="N912" s="10"/>
      <c r="O912" s="10"/>
      <c r="P912" s="10"/>
      <c r="Q912" s="10"/>
      <c r="R912" s="10"/>
      <c r="S912" s="10"/>
      <c r="T912" s="10"/>
      <c r="U912" s="10"/>
      <c r="V912" s="10"/>
      <c r="W912" s="10"/>
      <c r="X912" s="10"/>
      <c r="Y912" s="10"/>
      <c r="Z912" s="10"/>
      <c r="AA912" s="10"/>
      <c r="AB912" s="10"/>
      <c r="AC912" s="10"/>
      <c r="AD912" s="10"/>
      <c r="AE912" s="10"/>
      <c r="AF912" s="10"/>
    </row>
    <row r="913">
      <c r="A913" s="7"/>
      <c r="B913" s="8">
        <v>86.0</v>
      </c>
      <c r="C913" s="8">
        <v>9.0</v>
      </c>
      <c r="D913" s="8" t="s">
        <v>1408</v>
      </c>
      <c r="E913" s="7">
        <v>0.0</v>
      </c>
      <c r="F913" s="7"/>
      <c r="G913" s="7" t="s">
        <v>312</v>
      </c>
      <c r="H913" s="7" t="s">
        <v>313</v>
      </c>
      <c r="I913" s="10"/>
      <c r="J913" s="11"/>
      <c r="K913" s="12"/>
      <c r="L913" s="12"/>
      <c r="M913" s="10"/>
      <c r="N913" s="10"/>
      <c r="O913" s="10"/>
      <c r="P913" s="10"/>
      <c r="Q913" s="10"/>
      <c r="R913" s="10"/>
      <c r="S913" s="10"/>
      <c r="T913" s="10"/>
      <c r="U913" s="10"/>
      <c r="V913" s="10"/>
      <c r="W913" s="10"/>
      <c r="X913" s="10"/>
      <c r="Y913" s="10"/>
      <c r="Z913" s="10"/>
      <c r="AA913" s="10"/>
      <c r="AB913" s="10"/>
      <c r="AC913" s="10"/>
      <c r="AD913" s="10"/>
      <c r="AE913" s="10"/>
      <c r="AF913" s="10"/>
    </row>
    <row r="914">
      <c r="A914" s="7"/>
      <c r="B914" s="8">
        <v>86.0</v>
      </c>
      <c r="C914" s="8">
        <v>10.0</v>
      </c>
      <c r="D914" s="8" t="s">
        <v>1409</v>
      </c>
      <c r="E914" s="7">
        <v>0.0</v>
      </c>
      <c r="F914" s="7"/>
      <c r="G914" s="7" t="s">
        <v>312</v>
      </c>
      <c r="H914" s="7" t="s">
        <v>313</v>
      </c>
      <c r="I914" s="10"/>
      <c r="J914" s="11"/>
      <c r="K914" s="12"/>
      <c r="L914" s="12"/>
      <c r="M914" s="10"/>
      <c r="N914" s="10"/>
      <c r="O914" s="10"/>
      <c r="P914" s="10"/>
      <c r="Q914" s="10"/>
      <c r="R914" s="10"/>
      <c r="S914" s="10"/>
      <c r="T914" s="10"/>
      <c r="U914" s="10"/>
      <c r="V914" s="10"/>
      <c r="W914" s="10"/>
      <c r="X914" s="10"/>
      <c r="Y914" s="10"/>
      <c r="Z914" s="10"/>
      <c r="AA914" s="10"/>
      <c r="AB914" s="10"/>
      <c r="AC914" s="10"/>
      <c r="AD914" s="10"/>
      <c r="AE914" s="10"/>
      <c r="AF914" s="10"/>
    </row>
    <row r="915">
      <c r="A915" s="7"/>
      <c r="B915" s="8">
        <v>86.0</v>
      </c>
      <c r="C915" s="8">
        <v>11.0</v>
      </c>
      <c r="D915" s="8" t="s">
        <v>1410</v>
      </c>
      <c r="E915" s="7">
        <v>0.0</v>
      </c>
      <c r="F915" s="7"/>
      <c r="G915" s="7" t="s">
        <v>312</v>
      </c>
      <c r="H915" s="7" t="s">
        <v>313</v>
      </c>
      <c r="I915" s="10"/>
      <c r="J915" s="11"/>
      <c r="K915" s="12"/>
      <c r="L915" s="12"/>
      <c r="M915" s="10"/>
      <c r="N915" s="10"/>
      <c r="O915" s="10"/>
      <c r="P915" s="10"/>
      <c r="Q915" s="10"/>
      <c r="R915" s="10"/>
      <c r="S915" s="10"/>
      <c r="T915" s="10"/>
      <c r="U915" s="10"/>
      <c r="V915" s="10"/>
      <c r="W915" s="10"/>
      <c r="X915" s="10"/>
      <c r="Y915" s="10"/>
      <c r="Z915" s="10"/>
      <c r="AA915" s="10"/>
      <c r="AB915" s="10"/>
      <c r="AC915" s="10"/>
      <c r="AD915" s="10"/>
      <c r="AE915" s="10"/>
      <c r="AF915" s="10"/>
    </row>
    <row r="916">
      <c r="A916" s="7"/>
      <c r="B916" s="8">
        <v>86.0</v>
      </c>
      <c r="C916" s="8">
        <v>12.0</v>
      </c>
      <c r="D916" s="8" t="s">
        <v>1411</v>
      </c>
      <c r="E916" s="7">
        <v>0.0</v>
      </c>
      <c r="F916" s="7"/>
      <c r="G916" s="7" t="s">
        <v>312</v>
      </c>
      <c r="H916" s="7" t="s">
        <v>313</v>
      </c>
      <c r="I916" s="10"/>
      <c r="J916" s="11"/>
      <c r="K916" s="12"/>
      <c r="L916" s="12"/>
      <c r="M916" s="10"/>
      <c r="N916" s="10"/>
      <c r="O916" s="10"/>
      <c r="P916" s="10"/>
      <c r="Q916" s="10"/>
      <c r="R916" s="10"/>
      <c r="S916" s="10"/>
      <c r="T916" s="10"/>
      <c r="U916" s="10"/>
      <c r="V916" s="10"/>
      <c r="W916" s="10"/>
      <c r="X916" s="10"/>
      <c r="Y916" s="10"/>
      <c r="Z916" s="10"/>
      <c r="AA916" s="10"/>
      <c r="AB916" s="10"/>
      <c r="AC916" s="10"/>
      <c r="AD916" s="10"/>
      <c r="AE916" s="10"/>
      <c r="AF916" s="10"/>
    </row>
    <row r="917">
      <c r="A917" s="7"/>
      <c r="B917" s="8">
        <v>86.0</v>
      </c>
      <c r="C917" s="8">
        <v>13.0</v>
      </c>
      <c r="D917" s="8" t="s">
        <v>1412</v>
      </c>
      <c r="E917" s="7">
        <v>1.0</v>
      </c>
      <c r="F917" s="7"/>
      <c r="G917" s="7" t="s">
        <v>312</v>
      </c>
      <c r="H917" s="7" t="s">
        <v>313</v>
      </c>
      <c r="I917" s="10"/>
      <c r="J917" s="11"/>
      <c r="K917" s="12"/>
      <c r="L917" s="12"/>
      <c r="M917" s="10"/>
      <c r="N917" s="10"/>
      <c r="O917" s="10"/>
      <c r="P917" s="10"/>
      <c r="Q917" s="10"/>
      <c r="R917" s="10"/>
      <c r="S917" s="10"/>
      <c r="T917" s="10"/>
      <c r="U917" s="10"/>
      <c r="V917" s="10"/>
      <c r="W917" s="10"/>
      <c r="X917" s="10"/>
      <c r="Y917" s="10"/>
      <c r="Z917" s="10"/>
      <c r="AA917" s="10"/>
      <c r="AB917" s="10"/>
      <c r="AC917" s="10"/>
      <c r="AD917" s="10"/>
      <c r="AE917" s="10"/>
      <c r="AF917" s="10"/>
    </row>
    <row r="918">
      <c r="A918" s="7"/>
      <c r="B918" s="8">
        <v>86.0</v>
      </c>
      <c r="C918" s="8">
        <v>14.0</v>
      </c>
      <c r="D918" s="8" t="s">
        <v>1413</v>
      </c>
      <c r="E918" s="7">
        <v>0.0</v>
      </c>
      <c r="F918" s="7"/>
      <c r="G918" s="7" t="s">
        <v>312</v>
      </c>
      <c r="H918" s="7" t="s">
        <v>313</v>
      </c>
      <c r="I918" s="10"/>
      <c r="J918" s="11"/>
      <c r="K918" s="12"/>
      <c r="L918" s="12"/>
      <c r="M918" s="10"/>
      <c r="N918" s="10"/>
      <c r="O918" s="10"/>
      <c r="P918" s="10"/>
      <c r="Q918" s="10"/>
      <c r="R918" s="10"/>
      <c r="S918" s="10"/>
      <c r="T918" s="10"/>
      <c r="U918" s="10"/>
      <c r="V918" s="10"/>
      <c r="W918" s="10"/>
      <c r="X918" s="10"/>
      <c r="Y918" s="10"/>
      <c r="Z918" s="10"/>
      <c r="AA918" s="10"/>
      <c r="AB918" s="10"/>
      <c r="AC918" s="10"/>
      <c r="AD918" s="10"/>
      <c r="AE918" s="10"/>
      <c r="AF918" s="10"/>
    </row>
    <row r="919">
      <c r="A919" s="7"/>
      <c r="B919" s="8">
        <v>86.0</v>
      </c>
      <c r="C919" s="8">
        <v>15.0</v>
      </c>
      <c r="D919" s="8" t="s">
        <v>1414</v>
      </c>
      <c r="E919" s="7">
        <v>0.0</v>
      </c>
      <c r="F919" s="7"/>
      <c r="G919" s="7" t="s">
        <v>312</v>
      </c>
      <c r="H919" s="7" t="s">
        <v>313</v>
      </c>
      <c r="I919" s="10"/>
      <c r="J919" s="11"/>
      <c r="K919" s="12"/>
      <c r="L919" s="12"/>
      <c r="M919" s="10"/>
      <c r="N919" s="10"/>
      <c r="O919" s="10"/>
      <c r="P919" s="10"/>
      <c r="Q919" s="10"/>
      <c r="R919" s="10"/>
      <c r="S919" s="10"/>
      <c r="T919" s="10"/>
      <c r="U919" s="10"/>
      <c r="V919" s="10"/>
      <c r="W919" s="10"/>
      <c r="X919" s="10"/>
      <c r="Y919" s="10"/>
      <c r="Z919" s="10"/>
      <c r="AA919" s="10"/>
      <c r="AB919" s="10"/>
      <c r="AC919" s="10"/>
      <c r="AD919" s="10"/>
      <c r="AE919" s="10"/>
      <c r="AF919" s="10"/>
    </row>
    <row r="920">
      <c r="A920" s="7"/>
      <c r="B920" s="8">
        <v>86.0</v>
      </c>
      <c r="C920" s="8">
        <v>16.0</v>
      </c>
      <c r="D920" s="8" t="s">
        <v>1415</v>
      </c>
      <c r="E920" s="7">
        <v>0.0</v>
      </c>
      <c r="F920" s="7"/>
      <c r="G920" s="7" t="s">
        <v>312</v>
      </c>
      <c r="H920" s="7" t="s">
        <v>313</v>
      </c>
      <c r="I920" s="10"/>
      <c r="J920" s="11"/>
      <c r="K920" s="12"/>
      <c r="L920" s="12"/>
      <c r="M920" s="10"/>
      <c r="N920" s="10"/>
      <c r="O920" s="10"/>
      <c r="P920" s="10"/>
      <c r="Q920" s="10"/>
      <c r="R920" s="10"/>
      <c r="S920" s="10"/>
      <c r="T920" s="10"/>
      <c r="U920" s="10"/>
      <c r="V920" s="10"/>
      <c r="W920" s="10"/>
      <c r="X920" s="10"/>
      <c r="Y920" s="10"/>
      <c r="Z920" s="10"/>
      <c r="AA920" s="10"/>
      <c r="AB920" s="10"/>
      <c r="AC920" s="10"/>
      <c r="AD920" s="10"/>
      <c r="AE920" s="10"/>
      <c r="AF920" s="10"/>
    </row>
    <row r="921">
      <c r="A921" s="7"/>
      <c r="B921" s="8">
        <v>86.0</v>
      </c>
      <c r="C921" s="8">
        <v>17.0</v>
      </c>
      <c r="D921" s="8" t="s">
        <v>1416</v>
      </c>
      <c r="E921" s="7">
        <v>0.0</v>
      </c>
      <c r="F921" s="7"/>
      <c r="G921" s="7" t="s">
        <v>312</v>
      </c>
      <c r="H921" s="7" t="s">
        <v>313</v>
      </c>
      <c r="I921" s="10"/>
      <c r="J921" s="11"/>
      <c r="K921" s="12"/>
      <c r="L921" s="12"/>
      <c r="M921" s="10"/>
      <c r="N921" s="10"/>
      <c r="O921" s="10"/>
      <c r="P921" s="10"/>
      <c r="Q921" s="10"/>
      <c r="R921" s="10"/>
      <c r="S921" s="10"/>
      <c r="T921" s="10"/>
      <c r="U921" s="10"/>
      <c r="V921" s="10"/>
      <c r="W921" s="10"/>
      <c r="X921" s="10"/>
      <c r="Y921" s="10"/>
      <c r="Z921" s="10"/>
      <c r="AA921" s="10"/>
      <c r="AB921" s="10"/>
      <c r="AC921" s="10"/>
      <c r="AD921" s="10"/>
      <c r="AE921" s="10"/>
      <c r="AF921" s="10"/>
    </row>
    <row r="922">
      <c r="A922" s="7"/>
      <c r="B922" s="8">
        <v>86.0</v>
      </c>
      <c r="C922" s="8">
        <v>18.0</v>
      </c>
      <c r="D922" s="8" t="s">
        <v>1417</v>
      </c>
      <c r="E922" s="7">
        <v>0.0</v>
      </c>
      <c r="F922" s="7"/>
      <c r="G922" s="7" t="s">
        <v>312</v>
      </c>
      <c r="H922" s="7" t="s">
        <v>313</v>
      </c>
      <c r="I922" s="10"/>
      <c r="J922" s="11"/>
      <c r="K922" s="12"/>
      <c r="L922" s="12"/>
      <c r="M922" s="10"/>
      <c r="N922" s="10"/>
      <c r="O922" s="10"/>
      <c r="P922" s="10"/>
      <c r="Q922" s="10"/>
      <c r="R922" s="10"/>
      <c r="S922" s="10"/>
      <c r="T922" s="10"/>
      <c r="U922" s="10"/>
      <c r="V922" s="10"/>
      <c r="W922" s="10"/>
      <c r="X922" s="10"/>
      <c r="Y922" s="10"/>
      <c r="Z922" s="10"/>
      <c r="AA922" s="10"/>
      <c r="AB922" s="10"/>
      <c r="AC922" s="10"/>
      <c r="AD922" s="10"/>
      <c r="AE922" s="10"/>
      <c r="AF922" s="10"/>
    </row>
    <row r="923">
      <c r="A923" s="7"/>
      <c r="B923" s="8">
        <v>86.0</v>
      </c>
      <c r="C923" s="8">
        <v>19.0</v>
      </c>
      <c r="D923" s="8" t="s">
        <v>1418</v>
      </c>
      <c r="E923" s="7">
        <v>0.0</v>
      </c>
      <c r="F923" s="7"/>
      <c r="G923" s="7" t="s">
        <v>312</v>
      </c>
      <c r="H923" s="7" t="s">
        <v>313</v>
      </c>
      <c r="I923" s="10"/>
      <c r="J923" s="11"/>
      <c r="K923" s="12"/>
      <c r="L923" s="12"/>
      <c r="M923" s="10"/>
      <c r="N923" s="10"/>
      <c r="O923" s="10"/>
      <c r="P923" s="10"/>
      <c r="Q923" s="10"/>
      <c r="R923" s="10"/>
      <c r="S923" s="10"/>
      <c r="T923" s="10"/>
      <c r="U923" s="10"/>
      <c r="V923" s="10"/>
      <c r="W923" s="10"/>
      <c r="X923" s="10"/>
      <c r="Y923" s="10"/>
      <c r="Z923" s="10"/>
      <c r="AA923" s="10"/>
      <c r="AB923" s="10"/>
      <c r="AC923" s="10"/>
      <c r="AD923" s="10"/>
      <c r="AE923" s="10"/>
      <c r="AF923" s="10"/>
    </row>
    <row r="924">
      <c r="A924" s="7"/>
      <c r="B924" s="8">
        <v>86.0</v>
      </c>
      <c r="C924" s="8">
        <v>20.0</v>
      </c>
      <c r="D924" s="8" t="s">
        <v>1419</v>
      </c>
      <c r="E924" s="7">
        <v>0.0</v>
      </c>
      <c r="F924" s="7"/>
      <c r="G924" s="7" t="s">
        <v>312</v>
      </c>
      <c r="H924" s="7" t="s">
        <v>313</v>
      </c>
      <c r="I924" s="10"/>
      <c r="J924" s="11"/>
      <c r="K924" s="12"/>
      <c r="L924" s="12"/>
      <c r="M924" s="10"/>
      <c r="N924" s="10"/>
      <c r="O924" s="10"/>
      <c r="P924" s="10"/>
      <c r="Q924" s="10"/>
      <c r="R924" s="10"/>
      <c r="S924" s="10"/>
      <c r="T924" s="10"/>
      <c r="U924" s="10"/>
      <c r="V924" s="10"/>
      <c r="W924" s="10"/>
      <c r="X924" s="10"/>
      <c r="Y924" s="10"/>
      <c r="Z924" s="10"/>
      <c r="AA924" s="10"/>
      <c r="AB924" s="10"/>
      <c r="AC924" s="10"/>
      <c r="AD924" s="10"/>
      <c r="AE924" s="10"/>
      <c r="AF924" s="10"/>
    </row>
    <row r="925">
      <c r="A925" s="7"/>
      <c r="B925" s="8">
        <v>86.0</v>
      </c>
      <c r="C925" s="8">
        <v>21.0</v>
      </c>
      <c r="D925" s="8" t="s">
        <v>1420</v>
      </c>
      <c r="E925" s="7">
        <v>1.0</v>
      </c>
      <c r="F925" s="7"/>
      <c r="G925" s="7" t="s">
        <v>312</v>
      </c>
      <c r="H925" s="7" t="s">
        <v>313</v>
      </c>
      <c r="I925" s="10"/>
      <c r="J925" s="11"/>
      <c r="K925" s="12"/>
      <c r="L925" s="12"/>
      <c r="M925" s="10"/>
      <c r="N925" s="10"/>
      <c r="O925" s="10"/>
      <c r="P925" s="10"/>
      <c r="Q925" s="10"/>
      <c r="R925" s="10"/>
      <c r="S925" s="10"/>
      <c r="T925" s="10"/>
      <c r="U925" s="10"/>
      <c r="V925" s="10"/>
      <c r="W925" s="10"/>
      <c r="X925" s="10"/>
      <c r="Y925" s="10"/>
      <c r="Z925" s="10"/>
      <c r="AA925" s="10"/>
      <c r="AB925" s="10"/>
      <c r="AC925" s="10"/>
      <c r="AD925" s="10"/>
      <c r="AE925" s="10"/>
      <c r="AF925" s="10"/>
    </row>
    <row r="926">
      <c r="A926" s="7"/>
      <c r="B926" s="8">
        <v>86.0</v>
      </c>
      <c r="C926" s="8">
        <v>22.0</v>
      </c>
      <c r="D926" s="8" t="s">
        <v>1421</v>
      </c>
      <c r="E926" s="7">
        <v>0.0</v>
      </c>
      <c r="F926" s="7"/>
      <c r="G926" s="7" t="s">
        <v>312</v>
      </c>
      <c r="H926" s="7" t="s">
        <v>313</v>
      </c>
      <c r="I926" s="10"/>
      <c r="J926" s="11"/>
      <c r="K926" s="12"/>
      <c r="L926" s="12"/>
      <c r="M926" s="10"/>
      <c r="N926" s="10"/>
      <c r="O926" s="10"/>
      <c r="P926" s="10"/>
      <c r="Q926" s="10"/>
      <c r="R926" s="10"/>
      <c r="S926" s="10"/>
      <c r="T926" s="10"/>
      <c r="U926" s="10"/>
      <c r="V926" s="10"/>
      <c r="W926" s="10"/>
      <c r="X926" s="10"/>
      <c r="Y926" s="10"/>
      <c r="Z926" s="10"/>
      <c r="AA926" s="10"/>
      <c r="AB926" s="10"/>
      <c r="AC926" s="10"/>
      <c r="AD926" s="10"/>
      <c r="AE926" s="10"/>
      <c r="AF926" s="10"/>
    </row>
    <row r="927">
      <c r="A927" s="7"/>
      <c r="B927" s="8">
        <v>86.0</v>
      </c>
      <c r="C927" s="8">
        <v>23.0</v>
      </c>
      <c r="D927" s="8" t="s">
        <v>1422</v>
      </c>
      <c r="E927" s="7">
        <v>0.0</v>
      </c>
      <c r="F927" s="7"/>
      <c r="G927" s="7" t="s">
        <v>312</v>
      </c>
      <c r="H927" s="7" t="s">
        <v>313</v>
      </c>
      <c r="I927" s="10"/>
      <c r="J927" s="11"/>
      <c r="K927" s="12"/>
      <c r="L927" s="12"/>
      <c r="M927" s="10"/>
      <c r="N927" s="10"/>
      <c r="O927" s="10"/>
      <c r="P927" s="10"/>
      <c r="Q927" s="10"/>
      <c r="R927" s="10"/>
      <c r="S927" s="10"/>
      <c r="T927" s="10"/>
      <c r="U927" s="10"/>
      <c r="V927" s="10"/>
      <c r="W927" s="10"/>
      <c r="X927" s="10"/>
      <c r="Y927" s="10"/>
      <c r="Z927" s="10"/>
      <c r="AA927" s="10"/>
      <c r="AB927" s="10"/>
      <c r="AC927" s="10"/>
      <c r="AD927" s="10"/>
      <c r="AE927" s="10"/>
      <c r="AF927" s="10"/>
    </row>
    <row r="928">
      <c r="A928" s="7"/>
      <c r="B928" s="8">
        <v>86.0</v>
      </c>
      <c r="C928" s="8">
        <v>24.0</v>
      </c>
      <c r="D928" s="8" t="s">
        <v>1423</v>
      </c>
      <c r="E928" s="7">
        <v>0.0</v>
      </c>
      <c r="F928" s="7"/>
      <c r="G928" s="7" t="s">
        <v>312</v>
      </c>
      <c r="H928" s="7" t="s">
        <v>313</v>
      </c>
      <c r="I928" s="10"/>
      <c r="J928" s="11"/>
      <c r="K928" s="12"/>
      <c r="L928" s="12"/>
      <c r="M928" s="10"/>
      <c r="N928" s="10"/>
      <c r="O928" s="10"/>
      <c r="P928" s="10"/>
      <c r="Q928" s="10"/>
      <c r="R928" s="10"/>
      <c r="S928" s="10"/>
      <c r="T928" s="10"/>
      <c r="U928" s="10"/>
      <c r="V928" s="10"/>
      <c r="W928" s="10"/>
      <c r="X928" s="10"/>
      <c r="Y928" s="10"/>
      <c r="Z928" s="10"/>
      <c r="AA928" s="10"/>
      <c r="AB928" s="10"/>
      <c r="AC928" s="10"/>
      <c r="AD928" s="10"/>
      <c r="AE928" s="10"/>
      <c r="AF928" s="10"/>
    </row>
    <row r="929">
      <c r="A929" s="7"/>
      <c r="B929" s="8">
        <v>86.0</v>
      </c>
      <c r="C929" s="8">
        <v>25.0</v>
      </c>
      <c r="D929" s="8" t="s">
        <v>1424</v>
      </c>
      <c r="E929" s="7">
        <v>0.0</v>
      </c>
      <c r="F929" s="7"/>
      <c r="G929" s="7" t="s">
        <v>312</v>
      </c>
      <c r="H929" s="7" t="s">
        <v>313</v>
      </c>
      <c r="I929" s="10"/>
      <c r="J929" s="11"/>
      <c r="K929" s="12"/>
      <c r="L929" s="12"/>
      <c r="M929" s="10"/>
      <c r="N929" s="10"/>
      <c r="O929" s="10"/>
      <c r="P929" s="10"/>
      <c r="Q929" s="10"/>
      <c r="R929" s="10"/>
      <c r="S929" s="10"/>
      <c r="T929" s="10"/>
      <c r="U929" s="10"/>
      <c r="V929" s="10"/>
      <c r="W929" s="10"/>
      <c r="X929" s="10"/>
      <c r="Y929" s="10"/>
      <c r="Z929" s="10"/>
      <c r="AA929" s="10"/>
      <c r="AB929" s="10"/>
      <c r="AC929" s="10"/>
      <c r="AD929" s="10"/>
      <c r="AE929" s="10"/>
      <c r="AF929" s="10"/>
    </row>
    <row r="930">
      <c r="A930" s="7"/>
      <c r="B930" s="8">
        <v>86.0</v>
      </c>
      <c r="C930" s="8">
        <v>26.0</v>
      </c>
      <c r="D930" s="8" t="s">
        <v>1425</v>
      </c>
      <c r="E930" s="7">
        <v>0.0</v>
      </c>
      <c r="F930" s="7"/>
      <c r="G930" s="7" t="s">
        <v>312</v>
      </c>
      <c r="H930" s="7" t="s">
        <v>313</v>
      </c>
      <c r="I930" s="10"/>
      <c r="J930" s="11"/>
      <c r="K930" s="12"/>
      <c r="L930" s="12"/>
      <c r="M930" s="10"/>
      <c r="N930" s="10"/>
      <c r="O930" s="10"/>
      <c r="P930" s="10"/>
      <c r="Q930" s="10"/>
      <c r="R930" s="10"/>
      <c r="S930" s="10"/>
      <c r="T930" s="10"/>
      <c r="U930" s="10"/>
      <c r="V930" s="10"/>
      <c r="W930" s="10"/>
      <c r="X930" s="10"/>
      <c r="Y930" s="10"/>
      <c r="Z930" s="10"/>
      <c r="AA930" s="10"/>
      <c r="AB930" s="10"/>
      <c r="AC930" s="10"/>
      <c r="AD930" s="10"/>
      <c r="AE930" s="10"/>
      <c r="AF930" s="10"/>
    </row>
    <row r="931">
      <c r="A931" s="7"/>
      <c r="B931" s="8">
        <v>86.0</v>
      </c>
      <c r="C931" s="8">
        <v>27.0</v>
      </c>
      <c r="D931" s="8" t="s">
        <v>1426</v>
      </c>
      <c r="E931" s="7">
        <v>0.0</v>
      </c>
      <c r="F931" s="7"/>
      <c r="G931" s="7" t="s">
        <v>312</v>
      </c>
      <c r="H931" s="7" t="s">
        <v>313</v>
      </c>
      <c r="I931" s="10"/>
      <c r="J931" s="11"/>
      <c r="K931" s="12"/>
      <c r="L931" s="12"/>
      <c r="M931" s="10"/>
      <c r="N931" s="10"/>
      <c r="O931" s="10"/>
      <c r="P931" s="10"/>
      <c r="Q931" s="10"/>
      <c r="R931" s="10"/>
      <c r="S931" s="10"/>
      <c r="T931" s="10"/>
      <c r="U931" s="10"/>
      <c r="V931" s="10"/>
      <c r="W931" s="10"/>
      <c r="X931" s="10"/>
      <c r="Y931" s="10"/>
      <c r="Z931" s="10"/>
      <c r="AA931" s="10"/>
      <c r="AB931" s="10"/>
      <c r="AC931" s="10"/>
      <c r="AD931" s="10"/>
      <c r="AE931" s="10"/>
      <c r="AF931" s="10"/>
    </row>
    <row r="932">
      <c r="A932" s="7"/>
      <c r="B932" s="8">
        <v>86.0</v>
      </c>
      <c r="C932" s="8">
        <v>28.0</v>
      </c>
      <c r="D932" s="8" t="s">
        <v>1427</v>
      </c>
      <c r="E932" s="7">
        <v>1.0</v>
      </c>
      <c r="F932" s="7"/>
      <c r="G932" s="7" t="s">
        <v>312</v>
      </c>
      <c r="H932" s="7" t="s">
        <v>313</v>
      </c>
      <c r="I932" s="10"/>
      <c r="J932" s="11"/>
      <c r="K932" s="12"/>
      <c r="L932" s="12"/>
      <c r="M932" s="10"/>
      <c r="N932" s="10"/>
      <c r="O932" s="10"/>
      <c r="P932" s="10"/>
      <c r="Q932" s="10"/>
      <c r="R932" s="10"/>
      <c r="S932" s="10"/>
      <c r="T932" s="10"/>
      <c r="U932" s="10"/>
      <c r="V932" s="10"/>
      <c r="W932" s="10"/>
      <c r="X932" s="10"/>
      <c r="Y932" s="10"/>
      <c r="Z932" s="10"/>
      <c r="AA932" s="10"/>
      <c r="AB932" s="10"/>
      <c r="AC932" s="10"/>
      <c r="AD932" s="10"/>
      <c r="AE932" s="10"/>
      <c r="AF932" s="10"/>
    </row>
    <row r="933">
      <c r="A933" s="7"/>
      <c r="B933" s="8">
        <v>86.0</v>
      </c>
      <c r="C933" s="8">
        <v>29.0</v>
      </c>
      <c r="D933" s="8" t="s">
        <v>1428</v>
      </c>
      <c r="E933" s="7">
        <v>0.0</v>
      </c>
      <c r="F933" s="7"/>
      <c r="G933" s="7" t="s">
        <v>312</v>
      </c>
      <c r="H933" s="7" t="s">
        <v>313</v>
      </c>
      <c r="I933" s="10"/>
      <c r="J933" s="11"/>
      <c r="K933" s="12"/>
      <c r="L933" s="12"/>
      <c r="M933" s="10"/>
      <c r="N933" s="10"/>
      <c r="O933" s="10"/>
      <c r="P933" s="10"/>
      <c r="Q933" s="10"/>
      <c r="R933" s="10"/>
      <c r="S933" s="10"/>
      <c r="T933" s="10"/>
      <c r="U933" s="10"/>
      <c r="V933" s="10"/>
      <c r="W933" s="10"/>
      <c r="X933" s="10"/>
      <c r="Y933" s="10"/>
      <c r="Z933" s="10"/>
      <c r="AA933" s="10"/>
      <c r="AB933" s="10"/>
      <c r="AC933" s="10"/>
      <c r="AD933" s="10"/>
      <c r="AE933" s="10"/>
      <c r="AF933" s="10"/>
    </row>
    <row r="934">
      <c r="A934" s="7"/>
      <c r="B934" s="8">
        <v>86.0</v>
      </c>
      <c r="C934" s="8">
        <v>30.0</v>
      </c>
      <c r="D934" s="8" t="s">
        <v>1429</v>
      </c>
      <c r="E934" s="7">
        <v>0.0</v>
      </c>
      <c r="F934" s="7"/>
      <c r="G934" s="7" t="s">
        <v>312</v>
      </c>
      <c r="H934" s="7" t="s">
        <v>313</v>
      </c>
      <c r="I934" s="10"/>
      <c r="J934" s="11"/>
      <c r="K934" s="12"/>
      <c r="L934" s="12"/>
      <c r="M934" s="10"/>
      <c r="N934" s="10"/>
      <c r="O934" s="10"/>
      <c r="P934" s="10"/>
      <c r="Q934" s="10"/>
      <c r="R934" s="10"/>
      <c r="S934" s="10"/>
      <c r="T934" s="10"/>
      <c r="U934" s="10"/>
      <c r="V934" s="10"/>
      <c r="W934" s="10"/>
      <c r="X934" s="10"/>
      <c r="Y934" s="10"/>
      <c r="Z934" s="10"/>
      <c r="AA934" s="10"/>
      <c r="AB934" s="10"/>
      <c r="AC934" s="10"/>
      <c r="AD934" s="10"/>
      <c r="AE934" s="10"/>
      <c r="AF934" s="10"/>
    </row>
    <row r="935">
      <c r="A935" s="7"/>
      <c r="B935" s="8">
        <v>86.0</v>
      </c>
      <c r="C935" s="8">
        <v>31.0</v>
      </c>
      <c r="D935" s="8" t="s">
        <v>1430</v>
      </c>
      <c r="E935" s="7">
        <v>0.0</v>
      </c>
      <c r="F935" s="7"/>
      <c r="G935" s="7" t="s">
        <v>312</v>
      </c>
      <c r="H935" s="7" t="s">
        <v>313</v>
      </c>
      <c r="I935" s="10"/>
      <c r="J935" s="11"/>
      <c r="K935" s="12"/>
      <c r="L935" s="12"/>
      <c r="M935" s="10"/>
      <c r="N935" s="10"/>
      <c r="O935" s="10"/>
      <c r="P935" s="10"/>
      <c r="Q935" s="10"/>
      <c r="R935" s="10"/>
      <c r="S935" s="10"/>
      <c r="T935" s="10"/>
      <c r="U935" s="10"/>
      <c r="V935" s="10"/>
      <c r="W935" s="10"/>
      <c r="X935" s="10"/>
      <c r="Y935" s="10"/>
      <c r="Z935" s="10"/>
      <c r="AA935" s="10"/>
      <c r="AB935" s="10"/>
      <c r="AC935" s="10"/>
      <c r="AD935" s="10"/>
      <c r="AE935" s="10"/>
      <c r="AF935" s="10"/>
    </row>
    <row r="936">
      <c r="A936" s="7"/>
      <c r="B936" s="8">
        <v>86.0</v>
      </c>
      <c r="C936" s="8">
        <v>32.0</v>
      </c>
      <c r="D936" s="8" t="s">
        <v>1431</v>
      </c>
      <c r="E936" s="7">
        <v>0.0</v>
      </c>
      <c r="F936" s="7"/>
      <c r="G936" s="7" t="s">
        <v>312</v>
      </c>
      <c r="H936" s="7" t="s">
        <v>313</v>
      </c>
      <c r="I936" s="10"/>
      <c r="J936" s="11"/>
      <c r="K936" s="12"/>
      <c r="L936" s="12"/>
      <c r="M936" s="10"/>
      <c r="N936" s="10"/>
      <c r="O936" s="10"/>
      <c r="P936" s="10"/>
      <c r="Q936" s="10"/>
      <c r="R936" s="10"/>
      <c r="S936" s="10"/>
      <c r="T936" s="10"/>
      <c r="U936" s="10"/>
      <c r="V936" s="10"/>
      <c r="W936" s="10"/>
      <c r="X936" s="10"/>
      <c r="Y936" s="10"/>
      <c r="Z936" s="10"/>
      <c r="AA936" s="10"/>
      <c r="AB936" s="10"/>
      <c r="AC936" s="10"/>
      <c r="AD936" s="10"/>
      <c r="AE936" s="10"/>
      <c r="AF936" s="10"/>
    </row>
    <row r="937">
      <c r="A937" s="7"/>
      <c r="B937" s="8">
        <v>86.0</v>
      </c>
      <c r="C937" s="8">
        <v>33.0</v>
      </c>
      <c r="D937" s="8" t="s">
        <v>1432</v>
      </c>
      <c r="E937" s="7">
        <v>0.0</v>
      </c>
      <c r="F937" s="7"/>
      <c r="G937" s="7" t="s">
        <v>312</v>
      </c>
      <c r="H937" s="7" t="s">
        <v>313</v>
      </c>
      <c r="I937" s="10"/>
      <c r="J937" s="11"/>
      <c r="K937" s="12"/>
      <c r="L937" s="12"/>
      <c r="M937" s="10"/>
      <c r="N937" s="10"/>
      <c r="O937" s="10"/>
      <c r="P937" s="10"/>
      <c r="Q937" s="10"/>
      <c r="R937" s="10"/>
      <c r="S937" s="10"/>
      <c r="T937" s="10"/>
      <c r="U937" s="10"/>
      <c r="V937" s="10"/>
      <c r="W937" s="10"/>
      <c r="X937" s="10"/>
      <c r="Y937" s="10"/>
      <c r="Z937" s="10"/>
      <c r="AA937" s="10"/>
      <c r="AB937" s="10"/>
      <c r="AC937" s="10"/>
      <c r="AD937" s="10"/>
      <c r="AE937" s="10"/>
      <c r="AF937" s="10"/>
    </row>
    <row r="938">
      <c r="A938" s="7"/>
      <c r="B938" s="8">
        <v>86.0</v>
      </c>
      <c r="C938" s="8">
        <v>34.0</v>
      </c>
      <c r="D938" s="8" t="s">
        <v>1433</v>
      </c>
      <c r="E938" s="7">
        <v>0.0</v>
      </c>
      <c r="F938" s="7"/>
      <c r="G938" s="7" t="s">
        <v>312</v>
      </c>
      <c r="H938" s="7" t="s">
        <v>313</v>
      </c>
      <c r="I938" s="10"/>
      <c r="J938" s="11"/>
      <c r="K938" s="12"/>
      <c r="L938" s="12"/>
      <c r="M938" s="10"/>
      <c r="N938" s="10"/>
      <c r="O938" s="10"/>
      <c r="P938" s="10"/>
      <c r="Q938" s="10"/>
      <c r="R938" s="10"/>
      <c r="S938" s="10"/>
      <c r="T938" s="10"/>
      <c r="U938" s="10"/>
      <c r="V938" s="10"/>
      <c r="W938" s="10"/>
      <c r="X938" s="10"/>
      <c r="Y938" s="10"/>
      <c r="Z938" s="10"/>
      <c r="AA938" s="10"/>
      <c r="AB938" s="10"/>
      <c r="AC938" s="10"/>
      <c r="AD938" s="10"/>
      <c r="AE938" s="10"/>
      <c r="AF938" s="10"/>
    </row>
    <row r="939">
      <c r="A939" s="7"/>
      <c r="B939" s="8">
        <v>86.0</v>
      </c>
      <c r="C939" s="8">
        <v>35.0</v>
      </c>
      <c r="D939" s="8" t="s">
        <v>1434</v>
      </c>
      <c r="E939" s="7">
        <v>0.0</v>
      </c>
      <c r="F939" s="7"/>
      <c r="G939" s="7" t="s">
        <v>312</v>
      </c>
      <c r="H939" s="7" t="s">
        <v>313</v>
      </c>
      <c r="I939" s="10"/>
      <c r="J939" s="11"/>
      <c r="K939" s="8" t="s">
        <v>1435</v>
      </c>
      <c r="L939" s="12"/>
      <c r="M939" s="10"/>
      <c r="N939" s="10"/>
      <c r="O939" s="10"/>
      <c r="P939" s="10"/>
      <c r="Q939" s="10"/>
      <c r="R939" s="10"/>
      <c r="S939" s="10"/>
      <c r="T939" s="10"/>
      <c r="U939" s="10"/>
      <c r="V939" s="10"/>
      <c r="W939" s="10"/>
      <c r="X939" s="10"/>
      <c r="Y939" s="10"/>
      <c r="Z939" s="10"/>
      <c r="AA939" s="10"/>
      <c r="AB939" s="10"/>
      <c r="AC939" s="10"/>
      <c r="AD939" s="10"/>
      <c r="AE939" s="10"/>
      <c r="AF939" s="10"/>
    </row>
    <row r="940">
      <c r="A940" s="7"/>
      <c r="B940" s="8">
        <v>86.0</v>
      </c>
      <c r="C940" s="8">
        <v>36.0</v>
      </c>
      <c r="D940" s="8" t="s">
        <v>1436</v>
      </c>
      <c r="E940" s="7">
        <v>0.0</v>
      </c>
      <c r="F940" s="7"/>
      <c r="G940" s="7" t="s">
        <v>312</v>
      </c>
      <c r="H940" s="7" t="s">
        <v>313</v>
      </c>
      <c r="I940" s="10"/>
      <c r="J940" s="11"/>
      <c r="K940" s="8" t="s">
        <v>1437</v>
      </c>
      <c r="L940" s="12"/>
      <c r="M940" s="10"/>
      <c r="N940" s="10"/>
      <c r="O940" s="10"/>
      <c r="P940" s="10"/>
      <c r="Q940" s="10"/>
      <c r="R940" s="10"/>
      <c r="S940" s="10"/>
      <c r="T940" s="10"/>
      <c r="U940" s="10"/>
      <c r="V940" s="10"/>
      <c r="W940" s="10"/>
      <c r="X940" s="10"/>
      <c r="Y940" s="10"/>
      <c r="Z940" s="10"/>
      <c r="AA940" s="10"/>
      <c r="AB940" s="10"/>
      <c r="AC940" s="10"/>
      <c r="AD940" s="10"/>
      <c r="AE940" s="10"/>
      <c r="AF940" s="10"/>
    </row>
    <row r="941">
      <c r="A941" s="7"/>
      <c r="B941" s="8">
        <v>86.0</v>
      </c>
      <c r="C941" s="8">
        <v>37.0</v>
      </c>
      <c r="D941" s="8" t="s">
        <v>1438</v>
      </c>
      <c r="E941" s="7">
        <v>0.0</v>
      </c>
      <c r="F941" s="7"/>
      <c r="G941" s="7" t="s">
        <v>312</v>
      </c>
      <c r="H941" s="7" t="s">
        <v>313</v>
      </c>
      <c r="I941" s="10"/>
      <c r="J941" s="11"/>
      <c r="K941" s="12"/>
      <c r="L941" s="12"/>
      <c r="M941" s="10"/>
      <c r="N941" s="10"/>
      <c r="O941" s="10"/>
      <c r="P941" s="10"/>
      <c r="Q941" s="10"/>
      <c r="R941" s="10"/>
      <c r="S941" s="10"/>
      <c r="T941" s="10"/>
      <c r="U941" s="10"/>
      <c r="V941" s="10"/>
      <c r="W941" s="10"/>
      <c r="X941" s="10"/>
      <c r="Y941" s="10"/>
      <c r="Z941" s="10"/>
      <c r="AA941" s="10"/>
      <c r="AB941" s="10"/>
      <c r="AC941" s="10"/>
      <c r="AD941" s="10"/>
      <c r="AE941" s="10"/>
      <c r="AF941" s="10"/>
    </row>
    <row r="942">
      <c r="A942" s="7"/>
      <c r="B942" s="8">
        <v>86.0</v>
      </c>
      <c r="C942" s="8">
        <v>38.0</v>
      </c>
      <c r="D942" s="8" t="s">
        <v>1439</v>
      </c>
      <c r="E942" s="7">
        <v>0.0</v>
      </c>
      <c r="F942" s="7"/>
      <c r="G942" s="7" t="s">
        <v>312</v>
      </c>
      <c r="H942" s="7" t="s">
        <v>313</v>
      </c>
      <c r="I942" s="10"/>
      <c r="J942" s="11"/>
      <c r="K942" s="12"/>
      <c r="L942" s="12"/>
      <c r="M942" s="10"/>
      <c r="N942" s="10"/>
      <c r="O942" s="10"/>
      <c r="P942" s="10"/>
      <c r="Q942" s="10"/>
      <c r="R942" s="10"/>
      <c r="S942" s="10"/>
      <c r="T942" s="10"/>
      <c r="U942" s="10"/>
      <c r="V942" s="10"/>
      <c r="W942" s="10"/>
      <c r="X942" s="10"/>
      <c r="Y942" s="10"/>
      <c r="Z942" s="10"/>
      <c r="AA942" s="10"/>
      <c r="AB942" s="10"/>
      <c r="AC942" s="10"/>
      <c r="AD942" s="10"/>
      <c r="AE942" s="10"/>
      <c r="AF942" s="10"/>
    </row>
    <row r="943">
      <c r="A943" s="7"/>
      <c r="B943" s="8">
        <v>86.0</v>
      </c>
      <c r="C943" s="8">
        <v>39.0</v>
      </c>
      <c r="D943" s="8" t="s">
        <v>1440</v>
      </c>
      <c r="E943" s="7">
        <v>0.0</v>
      </c>
      <c r="F943" s="7"/>
      <c r="G943" s="7" t="s">
        <v>312</v>
      </c>
      <c r="H943" s="7" t="s">
        <v>313</v>
      </c>
      <c r="I943" s="10"/>
      <c r="J943" s="11"/>
      <c r="K943" s="12"/>
      <c r="L943" s="12"/>
      <c r="M943" s="10"/>
      <c r="N943" s="10"/>
      <c r="O943" s="10"/>
      <c r="P943" s="10"/>
      <c r="Q943" s="10"/>
      <c r="R943" s="10"/>
      <c r="S943" s="10"/>
      <c r="T943" s="10"/>
      <c r="U943" s="10"/>
      <c r="V943" s="10"/>
      <c r="W943" s="10"/>
      <c r="X943" s="10"/>
      <c r="Y943" s="10"/>
      <c r="Z943" s="10"/>
      <c r="AA943" s="10"/>
      <c r="AB943" s="10"/>
      <c r="AC943" s="10"/>
      <c r="AD943" s="10"/>
      <c r="AE943" s="10"/>
      <c r="AF943" s="10"/>
    </row>
    <row r="944">
      <c r="A944" s="7"/>
      <c r="B944" s="8">
        <v>86.0</v>
      </c>
      <c r="C944" s="8">
        <v>40.0</v>
      </c>
      <c r="D944" s="8" t="s">
        <v>1441</v>
      </c>
      <c r="E944" s="7">
        <v>0.0</v>
      </c>
      <c r="F944" s="7"/>
      <c r="G944" s="7" t="s">
        <v>312</v>
      </c>
      <c r="H944" s="7" t="s">
        <v>313</v>
      </c>
      <c r="I944" s="10"/>
      <c r="J944" s="11"/>
      <c r="K944" s="12"/>
      <c r="L944" s="12"/>
      <c r="M944" s="10"/>
      <c r="N944" s="10"/>
      <c r="O944" s="10"/>
      <c r="P944" s="10"/>
      <c r="Q944" s="10"/>
      <c r="R944" s="10"/>
      <c r="S944" s="10"/>
      <c r="T944" s="10"/>
      <c r="U944" s="10"/>
      <c r="V944" s="10"/>
      <c r="W944" s="10"/>
      <c r="X944" s="10"/>
      <c r="Y944" s="10"/>
      <c r="Z944" s="10"/>
      <c r="AA944" s="10"/>
      <c r="AB944" s="10"/>
      <c r="AC944" s="10"/>
      <c r="AD944" s="10"/>
      <c r="AE944" s="10"/>
      <c r="AF944" s="10"/>
    </row>
    <row r="945">
      <c r="A945" s="7"/>
      <c r="B945" s="8">
        <v>86.0</v>
      </c>
      <c r="C945" s="8">
        <v>41.0</v>
      </c>
      <c r="D945" s="8" t="s">
        <v>1442</v>
      </c>
      <c r="E945" s="7">
        <v>0.0</v>
      </c>
      <c r="F945" s="7"/>
      <c r="G945" s="7" t="s">
        <v>312</v>
      </c>
      <c r="H945" s="7" t="s">
        <v>313</v>
      </c>
      <c r="I945" s="10"/>
      <c r="J945" s="11"/>
      <c r="K945" s="12"/>
      <c r="L945" s="12"/>
      <c r="M945" s="10"/>
      <c r="N945" s="10"/>
      <c r="O945" s="10"/>
      <c r="P945" s="10"/>
      <c r="Q945" s="10"/>
      <c r="R945" s="10"/>
      <c r="S945" s="10"/>
      <c r="T945" s="10"/>
      <c r="U945" s="10"/>
      <c r="V945" s="10"/>
      <c r="W945" s="10"/>
      <c r="X945" s="10"/>
      <c r="Y945" s="10"/>
      <c r="Z945" s="10"/>
      <c r="AA945" s="10"/>
      <c r="AB945" s="10"/>
      <c r="AC945" s="10"/>
      <c r="AD945" s="10"/>
      <c r="AE945" s="10"/>
      <c r="AF945" s="10"/>
    </row>
    <row r="946">
      <c r="A946" s="7"/>
      <c r="B946" s="8">
        <v>86.0</v>
      </c>
      <c r="C946" s="8">
        <v>42.0</v>
      </c>
      <c r="D946" s="8" t="s">
        <v>1443</v>
      </c>
      <c r="E946" s="7">
        <v>0.0</v>
      </c>
      <c r="F946" s="7"/>
      <c r="G946" s="7" t="s">
        <v>312</v>
      </c>
      <c r="H946" s="7" t="s">
        <v>313</v>
      </c>
      <c r="I946" s="10"/>
      <c r="J946" s="11"/>
      <c r="K946" s="12"/>
      <c r="L946" s="12"/>
      <c r="M946" s="10"/>
      <c r="N946" s="10"/>
      <c r="O946" s="10"/>
      <c r="P946" s="10"/>
      <c r="Q946" s="10"/>
      <c r="R946" s="10"/>
      <c r="S946" s="10"/>
      <c r="T946" s="10"/>
      <c r="U946" s="10"/>
      <c r="V946" s="10"/>
      <c r="W946" s="10"/>
      <c r="X946" s="10"/>
      <c r="Y946" s="10"/>
      <c r="Z946" s="10"/>
      <c r="AA946" s="10"/>
      <c r="AB946" s="10"/>
      <c r="AC946" s="10"/>
      <c r="AD946" s="10"/>
      <c r="AE946" s="10"/>
      <c r="AF946" s="10"/>
    </row>
    <row r="947">
      <c r="A947" s="7"/>
      <c r="B947" s="8">
        <v>86.0</v>
      </c>
      <c r="C947" s="8">
        <v>43.0</v>
      </c>
      <c r="D947" s="8" t="s">
        <v>1444</v>
      </c>
      <c r="E947" s="7">
        <v>0.0</v>
      </c>
      <c r="F947" s="7"/>
      <c r="G947" s="7" t="s">
        <v>312</v>
      </c>
      <c r="H947" s="7" t="s">
        <v>313</v>
      </c>
      <c r="I947" s="10"/>
      <c r="J947" s="11"/>
      <c r="K947" s="12"/>
      <c r="L947" s="12"/>
      <c r="M947" s="10"/>
      <c r="N947" s="10"/>
      <c r="O947" s="10"/>
      <c r="P947" s="10"/>
      <c r="Q947" s="10"/>
      <c r="R947" s="10"/>
      <c r="S947" s="10"/>
      <c r="T947" s="10"/>
      <c r="U947" s="10"/>
      <c r="V947" s="10"/>
      <c r="W947" s="10"/>
      <c r="X947" s="10"/>
      <c r="Y947" s="10"/>
      <c r="Z947" s="10"/>
      <c r="AA947" s="10"/>
      <c r="AB947" s="10"/>
      <c r="AC947" s="10"/>
      <c r="AD947" s="10"/>
      <c r="AE947" s="10"/>
      <c r="AF947" s="10"/>
    </row>
    <row r="948">
      <c r="A948" s="7"/>
      <c r="B948" s="8">
        <v>86.0</v>
      </c>
      <c r="C948" s="8">
        <v>44.0</v>
      </c>
      <c r="D948" s="8" t="s">
        <v>1445</v>
      </c>
      <c r="E948" s="7">
        <v>0.0</v>
      </c>
      <c r="F948" s="7"/>
      <c r="G948" s="7" t="s">
        <v>312</v>
      </c>
      <c r="H948" s="7" t="s">
        <v>313</v>
      </c>
      <c r="I948" s="10"/>
      <c r="J948" s="11"/>
      <c r="K948" s="12"/>
      <c r="L948" s="12"/>
      <c r="M948" s="10"/>
      <c r="N948" s="10"/>
      <c r="O948" s="10"/>
      <c r="P948" s="10"/>
      <c r="Q948" s="10"/>
      <c r="R948" s="10"/>
      <c r="S948" s="10"/>
      <c r="T948" s="10"/>
      <c r="U948" s="10"/>
      <c r="V948" s="10"/>
      <c r="W948" s="10"/>
      <c r="X948" s="10"/>
      <c r="Y948" s="10"/>
      <c r="Z948" s="10"/>
      <c r="AA948" s="10"/>
      <c r="AB948" s="10"/>
      <c r="AC948" s="10"/>
      <c r="AD948" s="10"/>
      <c r="AE948" s="10"/>
      <c r="AF948" s="10"/>
    </row>
    <row r="949">
      <c r="A949" s="7"/>
      <c r="B949" s="8">
        <v>86.0</v>
      </c>
      <c r="C949" s="8">
        <v>45.0</v>
      </c>
      <c r="D949" s="8" t="s">
        <v>1446</v>
      </c>
      <c r="E949" s="7">
        <v>0.0</v>
      </c>
      <c r="F949" s="7"/>
      <c r="G949" s="7" t="s">
        <v>312</v>
      </c>
      <c r="H949" s="7" t="s">
        <v>313</v>
      </c>
      <c r="I949" s="10"/>
      <c r="J949" s="11"/>
      <c r="K949" s="12"/>
      <c r="L949" s="12"/>
      <c r="M949" s="10"/>
      <c r="N949" s="10"/>
      <c r="O949" s="10"/>
      <c r="P949" s="10"/>
      <c r="Q949" s="10"/>
      <c r="R949" s="10"/>
      <c r="S949" s="10"/>
      <c r="T949" s="10"/>
      <c r="U949" s="10"/>
      <c r="V949" s="10"/>
      <c r="W949" s="10"/>
      <c r="X949" s="10"/>
      <c r="Y949" s="10"/>
      <c r="Z949" s="10"/>
      <c r="AA949" s="10"/>
      <c r="AB949" s="10"/>
      <c r="AC949" s="10"/>
      <c r="AD949" s="10"/>
      <c r="AE949" s="10"/>
      <c r="AF949" s="10"/>
    </row>
    <row r="950">
      <c r="A950" s="7"/>
      <c r="B950" s="8">
        <v>86.0</v>
      </c>
      <c r="C950" s="8">
        <v>46.0</v>
      </c>
      <c r="D950" s="8" t="s">
        <v>1447</v>
      </c>
      <c r="E950" s="7">
        <v>0.0</v>
      </c>
      <c r="F950" s="7"/>
      <c r="G950" s="7" t="s">
        <v>312</v>
      </c>
      <c r="H950" s="7" t="s">
        <v>313</v>
      </c>
      <c r="I950" s="10"/>
      <c r="J950" s="11"/>
      <c r="K950" s="12"/>
      <c r="L950" s="12"/>
      <c r="M950" s="10"/>
      <c r="N950" s="10"/>
      <c r="O950" s="10"/>
      <c r="P950" s="10"/>
      <c r="Q950" s="10"/>
      <c r="R950" s="10"/>
      <c r="S950" s="10"/>
      <c r="T950" s="10"/>
      <c r="U950" s="10"/>
      <c r="V950" s="10"/>
      <c r="W950" s="10"/>
      <c r="X950" s="10"/>
      <c r="Y950" s="10"/>
      <c r="Z950" s="10"/>
      <c r="AA950" s="10"/>
      <c r="AB950" s="10"/>
      <c r="AC950" s="10"/>
      <c r="AD950" s="10"/>
      <c r="AE950" s="10"/>
      <c r="AF950" s="10"/>
    </row>
    <row r="951">
      <c r="A951" s="7"/>
      <c r="B951" s="8">
        <v>86.0</v>
      </c>
      <c r="C951" s="8">
        <v>47.0</v>
      </c>
      <c r="D951" s="8" t="s">
        <v>1448</v>
      </c>
      <c r="E951" s="7">
        <v>0.0</v>
      </c>
      <c r="F951" s="7"/>
      <c r="G951" s="7" t="s">
        <v>312</v>
      </c>
      <c r="H951" s="7" t="s">
        <v>313</v>
      </c>
      <c r="I951" s="10"/>
      <c r="J951" s="11"/>
      <c r="K951" s="12"/>
      <c r="L951" s="12"/>
      <c r="M951" s="10"/>
      <c r="N951" s="10"/>
      <c r="O951" s="10"/>
      <c r="P951" s="10"/>
      <c r="Q951" s="10"/>
      <c r="R951" s="10"/>
      <c r="S951" s="10"/>
      <c r="T951" s="10"/>
      <c r="U951" s="10"/>
      <c r="V951" s="10"/>
      <c r="W951" s="10"/>
      <c r="X951" s="10"/>
      <c r="Y951" s="10"/>
      <c r="Z951" s="10"/>
      <c r="AA951" s="10"/>
      <c r="AB951" s="10"/>
      <c r="AC951" s="10"/>
      <c r="AD951" s="10"/>
      <c r="AE951" s="10"/>
      <c r="AF951" s="10"/>
    </row>
    <row r="952">
      <c r="A952" s="7"/>
      <c r="B952" s="8">
        <v>86.0</v>
      </c>
      <c r="C952" s="8">
        <v>48.0</v>
      </c>
      <c r="D952" s="8" t="s">
        <v>1449</v>
      </c>
      <c r="E952" s="7">
        <v>0.0</v>
      </c>
      <c r="F952" s="7"/>
      <c r="G952" s="7" t="s">
        <v>312</v>
      </c>
      <c r="H952" s="7" t="s">
        <v>313</v>
      </c>
      <c r="I952" s="10"/>
      <c r="J952" s="11"/>
      <c r="K952" s="12"/>
      <c r="L952" s="12"/>
      <c r="M952" s="10"/>
      <c r="N952" s="10"/>
      <c r="O952" s="10"/>
      <c r="P952" s="10"/>
      <c r="Q952" s="10"/>
      <c r="R952" s="10"/>
      <c r="S952" s="10"/>
      <c r="T952" s="10"/>
      <c r="U952" s="10"/>
      <c r="V952" s="10"/>
      <c r="W952" s="10"/>
      <c r="X952" s="10"/>
      <c r="Y952" s="10"/>
      <c r="Z952" s="10"/>
      <c r="AA952" s="10"/>
      <c r="AB952" s="10"/>
      <c r="AC952" s="10"/>
      <c r="AD952" s="10"/>
      <c r="AE952" s="10"/>
      <c r="AF952" s="10"/>
    </row>
    <row r="953">
      <c r="A953" s="7"/>
      <c r="B953" s="8">
        <v>86.0</v>
      </c>
      <c r="C953" s="8">
        <v>49.0</v>
      </c>
      <c r="D953" s="8" t="s">
        <v>1450</v>
      </c>
      <c r="E953" s="7">
        <v>0.0</v>
      </c>
      <c r="F953" s="7"/>
      <c r="G953" s="7" t="s">
        <v>312</v>
      </c>
      <c r="H953" s="7" t="s">
        <v>313</v>
      </c>
      <c r="I953" s="10"/>
      <c r="J953" s="11"/>
      <c r="K953" s="12"/>
      <c r="L953" s="12"/>
      <c r="M953" s="10"/>
      <c r="N953" s="10"/>
      <c r="O953" s="10"/>
      <c r="P953" s="10"/>
      <c r="Q953" s="10"/>
      <c r="R953" s="10"/>
      <c r="S953" s="10"/>
      <c r="T953" s="10"/>
      <c r="U953" s="10"/>
      <c r="V953" s="10"/>
      <c r="W953" s="10"/>
      <c r="X953" s="10"/>
      <c r="Y953" s="10"/>
      <c r="Z953" s="10"/>
      <c r="AA953" s="10"/>
      <c r="AB953" s="10"/>
      <c r="AC953" s="10"/>
      <c r="AD953" s="10"/>
      <c r="AE953" s="10"/>
      <c r="AF953" s="10"/>
    </row>
    <row r="954">
      <c r="A954" s="7"/>
      <c r="B954" s="8">
        <v>86.0</v>
      </c>
      <c r="C954" s="8">
        <v>50.0</v>
      </c>
      <c r="D954" s="8" t="s">
        <v>1451</v>
      </c>
      <c r="E954" s="7">
        <v>0.0</v>
      </c>
      <c r="F954" s="7"/>
      <c r="G954" s="7" t="s">
        <v>312</v>
      </c>
      <c r="H954" s="7" t="s">
        <v>313</v>
      </c>
      <c r="I954" s="10"/>
      <c r="J954" s="11"/>
      <c r="K954" s="12"/>
      <c r="L954" s="12"/>
      <c r="M954" s="10"/>
      <c r="N954" s="10"/>
      <c r="O954" s="10"/>
      <c r="P954" s="10"/>
      <c r="Q954" s="10"/>
      <c r="R954" s="10"/>
      <c r="S954" s="10"/>
      <c r="T954" s="10"/>
      <c r="U954" s="10"/>
      <c r="V954" s="10"/>
      <c r="W954" s="10"/>
      <c r="X954" s="10"/>
      <c r="Y954" s="10"/>
      <c r="Z954" s="10"/>
      <c r="AA954" s="10"/>
      <c r="AB954" s="10"/>
      <c r="AC954" s="10"/>
      <c r="AD954" s="10"/>
      <c r="AE954" s="10"/>
      <c r="AF954" s="10"/>
    </row>
    <row r="955">
      <c r="A955" s="7"/>
      <c r="B955" s="8">
        <v>86.0</v>
      </c>
      <c r="C955" s="8">
        <v>51.0</v>
      </c>
      <c r="D955" s="8" t="s">
        <v>1452</v>
      </c>
      <c r="E955" s="7">
        <v>0.0</v>
      </c>
      <c r="F955" s="7"/>
      <c r="G955" s="7" t="s">
        <v>312</v>
      </c>
      <c r="H955" s="7" t="s">
        <v>313</v>
      </c>
      <c r="I955" s="10"/>
      <c r="J955" s="11"/>
      <c r="K955" s="12"/>
      <c r="L955" s="12"/>
      <c r="M955" s="10"/>
      <c r="N955" s="10"/>
      <c r="O955" s="10"/>
      <c r="P955" s="10"/>
      <c r="Q955" s="10"/>
      <c r="R955" s="10"/>
      <c r="S955" s="10"/>
      <c r="T955" s="10"/>
      <c r="U955" s="10"/>
      <c r="V955" s="10"/>
      <c r="W955" s="10"/>
      <c r="X955" s="10"/>
      <c r="Y955" s="10"/>
      <c r="Z955" s="10"/>
      <c r="AA955" s="10"/>
      <c r="AB955" s="10"/>
      <c r="AC955" s="10"/>
      <c r="AD955" s="10"/>
      <c r="AE955" s="10"/>
      <c r="AF955" s="10"/>
    </row>
    <row r="956">
      <c r="A956" s="7"/>
      <c r="B956" s="8">
        <v>86.0</v>
      </c>
      <c r="C956" s="8">
        <v>52.0</v>
      </c>
      <c r="D956" s="8" t="s">
        <v>1453</v>
      </c>
      <c r="E956" s="7">
        <v>0.0</v>
      </c>
      <c r="F956" s="7"/>
      <c r="G956" s="7" t="s">
        <v>312</v>
      </c>
      <c r="H956" s="7" t="s">
        <v>313</v>
      </c>
      <c r="I956" s="10"/>
      <c r="J956" s="11"/>
      <c r="K956" s="12"/>
      <c r="L956" s="12"/>
      <c r="M956" s="10"/>
      <c r="N956" s="10"/>
      <c r="O956" s="10"/>
      <c r="P956" s="10"/>
      <c r="Q956" s="10"/>
      <c r="R956" s="10"/>
      <c r="S956" s="10"/>
      <c r="T956" s="10"/>
      <c r="U956" s="10"/>
      <c r="V956" s="10"/>
      <c r="W956" s="10"/>
      <c r="X956" s="10"/>
      <c r="Y956" s="10"/>
      <c r="Z956" s="10"/>
      <c r="AA956" s="10"/>
      <c r="AB956" s="10"/>
      <c r="AC956" s="10"/>
      <c r="AD956" s="10"/>
      <c r="AE956" s="10"/>
      <c r="AF956" s="10"/>
    </row>
    <row r="957">
      <c r="A957" s="7"/>
      <c r="B957" s="8">
        <v>86.0</v>
      </c>
      <c r="C957" s="8">
        <v>53.0</v>
      </c>
      <c r="D957" s="8" t="s">
        <v>1454</v>
      </c>
      <c r="E957" s="7">
        <v>0.0</v>
      </c>
      <c r="F957" s="7"/>
      <c r="G957" s="7" t="s">
        <v>312</v>
      </c>
      <c r="H957" s="7" t="s">
        <v>313</v>
      </c>
      <c r="I957" s="10"/>
      <c r="J957" s="11"/>
      <c r="K957" s="8" t="s">
        <v>1455</v>
      </c>
      <c r="L957" s="12"/>
      <c r="M957" s="10"/>
      <c r="N957" s="10"/>
      <c r="O957" s="10"/>
      <c r="P957" s="10"/>
      <c r="Q957" s="10"/>
      <c r="R957" s="10"/>
      <c r="S957" s="10"/>
      <c r="T957" s="10"/>
      <c r="U957" s="10"/>
      <c r="V957" s="10"/>
      <c r="W957" s="10"/>
      <c r="X957" s="10"/>
      <c r="Y957" s="10"/>
      <c r="Z957" s="10"/>
      <c r="AA957" s="10"/>
      <c r="AB957" s="10"/>
      <c r="AC957" s="10"/>
      <c r="AD957" s="10"/>
      <c r="AE957" s="10"/>
      <c r="AF957" s="10"/>
    </row>
    <row r="958">
      <c r="A958" s="7"/>
      <c r="B958" s="8">
        <v>86.0</v>
      </c>
      <c r="C958" s="8">
        <v>54.0</v>
      </c>
      <c r="D958" s="8" t="s">
        <v>1456</v>
      </c>
      <c r="E958" s="7">
        <v>0.0</v>
      </c>
      <c r="F958" s="7"/>
      <c r="G958" s="7" t="s">
        <v>312</v>
      </c>
      <c r="H958" s="7" t="s">
        <v>313</v>
      </c>
      <c r="I958" s="10"/>
      <c r="J958" s="11"/>
      <c r="K958" s="8" t="s">
        <v>1457</v>
      </c>
      <c r="L958" s="12"/>
      <c r="M958" s="10"/>
      <c r="N958" s="10"/>
      <c r="O958" s="10"/>
      <c r="P958" s="10"/>
      <c r="Q958" s="10"/>
      <c r="R958" s="10"/>
      <c r="S958" s="10"/>
      <c r="T958" s="10"/>
      <c r="U958" s="10"/>
      <c r="V958" s="10"/>
      <c r="W958" s="10"/>
      <c r="X958" s="10"/>
      <c r="Y958" s="10"/>
      <c r="Z958" s="10"/>
      <c r="AA958" s="10"/>
      <c r="AB958" s="10"/>
      <c r="AC958" s="10"/>
      <c r="AD958" s="10"/>
      <c r="AE958" s="10"/>
      <c r="AF958" s="10"/>
    </row>
    <row r="959">
      <c r="A959" s="7"/>
      <c r="B959" s="8">
        <v>86.0</v>
      </c>
      <c r="C959" s="8">
        <v>55.0</v>
      </c>
      <c r="D959" s="8" t="s">
        <v>1458</v>
      </c>
      <c r="E959" s="7">
        <v>0.0</v>
      </c>
      <c r="F959" s="7"/>
      <c r="G959" s="7" t="s">
        <v>312</v>
      </c>
      <c r="H959" s="7" t="s">
        <v>313</v>
      </c>
      <c r="I959" s="10"/>
      <c r="J959" s="11"/>
      <c r="K959" s="8" t="s">
        <v>1459</v>
      </c>
      <c r="L959" s="12"/>
      <c r="M959" s="10"/>
      <c r="N959" s="10"/>
      <c r="O959" s="10"/>
      <c r="P959" s="10"/>
      <c r="Q959" s="10"/>
      <c r="R959" s="10"/>
      <c r="S959" s="10"/>
      <c r="T959" s="10"/>
      <c r="U959" s="10"/>
      <c r="V959" s="10"/>
      <c r="W959" s="10"/>
      <c r="X959" s="10"/>
      <c r="Y959" s="10"/>
      <c r="Z959" s="10"/>
      <c r="AA959" s="10"/>
      <c r="AB959" s="10"/>
      <c r="AC959" s="10"/>
      <c r="AD959" s="10"/>
      <c r="AE959" s="10"/>
      <c r="AF959" s="10"/>
    </row>
    <row r="960">
      <c r="A960" s="10"/>
      <c r="B960" s="12"/>
      <c r="C960" s="12"/>
      <c r="D960" s="12"/>
      <c r="E960" s="10"/>
      <c r="F960" s="10"/>
      <c r="G960" s="10"/>
      <c r="H960" s="10"/>
      <c r="I960" s="10"/>
      <c r="J960" s="11"/>
      <c r="K960" s="12"/>
      <c r="L960" s="12"/>
      <c r="M960" s="10"/>
      <c r="N960" s="10"/>
      <c r="O960" s="10"/>
      <c r="P960" s="10"/>
      <c r="Q960" s="10"/>
      <c r="R960" s="10"/>
      <c r="S960" s="10"/>
      <c r="T960" s="10"/>
      <c r="U960" s="10"/>
      <c r="V960" s="10"/>
      <c r="W960" s="10"/>
      <c r="X960" s="10"/>
      <c r="Y960" s="10"/>
      <c r="Z960" s="10"/>
      <c r="AA960" s="10"/>
      <c r="AB960" s="10"/>
      <c r="AC960" s="10"/>
      <c r="AD960" s="10"/>
      <c r="AE960" s="10"/>
      <c r="AF960" s="10"/>
    </row>
    <row r="961">
      <c r="A961" s="7"/>
      <c r="B961" s="8">
        <v>87.0</v>
      </c>
      <c r="C961" s="8">
        <v>1.0</v>
      </c>
      <c r="D961" s="8" t="s">
        <v>1460</v>
      </c>
      <c r="E961" s="7">
        <v>1.0</v>
      </c>
      <c r="F961" s="7"/>
      <c r="G961" s="7" t="s">
        <v>312</v>
      </c>
      <c r="H961" s="7" t="s">
        <v>313</v>
      </c>
      <c r="I961" s="10"/>
      <c r="J961" s="9" t="s">
        <v>1461</v>
      </c>
      <c r="K961" s="12"/>
      <c r="L961" s="12"/>
      <c r="M961" s="10"/>
      <c r="N961" s="10"/>
      <c r="O961" s="10"/>
      <c r="P961" s="10"/>
      <c r="Q961" s="10"/>
      <c r="R961" s="10"/>
      <c r="S961" s="10"/>
      <c r="T961" s="10"/>
      <c r="U961" s="10"/>
      <c r="V961" s="10"/>
      <c r="W961" s="10"/>
      <c r="X961" s="10"/>
      <c r="Y961" s="10"/>
      <c r="Z961" s="10"/>
      <c r="AA961" s="10"/>
      <c r="AB961" s="10"/>
      <c r="AC961" s="10"/>
      <c r="AD961" s="10"/>
      <c r="AE961" s="10"/>
      <c r="AF961" s="10"/>
    </row>
    <row r="962">
      <c r="A962" s="10"/>
      <c r="B962" s="12"/>
      <c r="C962" s="12"/>
      <c r="D962" s="12"/>
      <c r="E962" s="10"/>
      <c r="F962" s="10"/>
      <c r="G962" s="10"/>
      <c r="H962" s="10"/>
      <c r="I962" s="10"/>
      <c r="J962" s="11"/>
      <c r="K962" s="12"/>
      <c r="L962" s="12"/>
      <c r="M962" s="10"/>
      <c r="N962" s="10"/>
      <c r="O962" s="10"/>
      <c r="P962" s="10"/>
      <c r="Q962" s="10"/>
      <c r="R962" s="10"/>
      <c r="S962" s="10"/>
      <c r="T962" s="10"/>
      <c r="U962" s="10"/>
      <c r="V962" s="10"/>
      <c r="W962" s="10"/>
      <c r="X962" s="10"/>
      <c r="Y962" s="10"/>
      <c r="Z962" s="10"/>
      <c r="AA962" s="10"/>
      <c r="AB962" s="10"/>
      <c r="AC962" s="10"/>
      <c r="AD962" s="10"/>
      <c r="AE962" s="10"/>
      <c r="AF962" s="10"/>
    </row>
    <row r="963">
      <c r="A963" s="7"/>
      <c r="B963" s="8">
        <v>88.0</v>
      </c>
      <c r="C963" s="8">
        <v>1.0</v>
      </c>
      <c r="D963" s="8" t="s">
        <v>1462</v>
      </c>
      <c r="E963" s="7">
        <v>0.0</v>
      </c>
      <c r="F963" s="7"/>
      <c r="G963" s="7" t="s">
        <v>312</v>
      </c>
      <c r="H963" s="7" t="s">
        <v>313</v>
      </c>
      <c r="I963" s="10"/>
      <c r="J963" s="9" t="s">
        <v>1463</v>
      </c>
      <c r="K963" s="12"/>
      <c r="L963" s="12"/>
      <c r="M963" s="10"/>
      <c r="N963" s="10"/>
      <c r="O963" s="10"/>
      <c r="P963" s="10"/>
      <c r="Q963" s="10"/>
      <c r="R963" s="10"/>
      <c r="S963" s="10"/>
      <c r="T963" s="10"/>
      <c r="U963" s="10"/>
      <c r="V963" s="10"/>
      <c r="W963" s="10"/>
      <c r="X963" s="10"/>
      <c r="Y963" s="10"/>
      <c r="Z963" s="10"/>
      <c r="AA963" s="10"/>
      <c r="AB963" s="10"/>
      <c r="AC963" s="10"/>
      <c r="AD963" s="10"/>
      <c r="AE963" s="10"/>
      <c r="AF963" s="10"/>
    </row>
    <row r="964">
      <c r="A964" s="7"/>
      <c r="B964" s="8">
        <v>88.0</v>
      </c>
      <c r="C964" s="8">
        <v>2.0</v>
      </c>
      <c r="D964" s="8" t="s">
        <v>1464</v>
      </c>
      <c r="E964" s="7">
        <v>1.0</v>
      </c>
      <c r="F964" s="7"/>
      <c r="G964" s="7" t="s">
        <v>312</v>
      </c>
      <c r="H964" s="7" t="s">
        <v>313</v>
      </c>
      <c r="I964" s="10"/>
      <c r="J964" s="9" t="s">
        <v>1465</v>
      </c>
      <c r="K964" s="12"/>
      <c r="L964" s="12"/>
      <c r="M964" s="10"/>
      <c r="N964" s="10"/>
      <c r="O964" s="10"/>
      <c r="P964" s="10"/>
      <c r="Q964" s="10"/>
      <c r="R964" s="10"/>
      <c r="S964" s="10"/>
      <c r="T964" s="10"/>
      <c r="U964" s="10"/>
      <c r="V964" s="10"/>
      <c r="W964" s="10"/>
      <c r="X964" s="10"/>
      <c r="Y964" s="10"/>
      <c r="Z964" s="10"/>
      <c r="AA964" s="10"/>
      <c r="AB964" s="10"/>
      <c r="AC964" s="10"/>
      <c r="AD964" s="10"/>
      <c r="AE964" s="10"/>
      <c r="AF964" s="10"/>
    </row>
    <row r="965">
      <c r="A965" s="7"/>
      <c r="B965" s="8">
        <v>88.0</v>
      </c>
      <c r="C965" s="8">
        <v>3.0</v>
      </c>
      <c r="D965" s="8" t="s">
        <v>1466</v>
      </c>
      <c r="E965" s="7">
        <v>0.0</v>
      </c>
      <c r="F965" s="7"/>
      <c r="G965" s="7" t="s">
        <v>312</v>
      </c>
      <c r="I965" s="10"/>
      <c r="J965" s="11"/>
      <c r="K965" s="12"/>
      <c r="L965" s="12"/>
      <c r="M965" s="10"/>
      <c r="N965" s="10"/>
      <c r="O965" s="10"/>
      <c r="P965" s="10"/>
      <c r="Q965" s="10"/>
      <c r="R965" s="10"/>
      <c r="S965" s="10"/>
      <c r="T965" s="10"/>
      <c r="U965" s="10"/>
      <c r="V965" s="10"/>
      <c r="W965" s="10"/>
      <c r="X965" s="10"/>
      <c r="Y965" s="10"/>
      <c r="Z965" s="10"/>
      <c r="AA965" s="10"/>
      <c r="AB965" s="10"/>
      <c r="AC965" s="10"/>
      <c r="AD965" s="10"/>
      <c r="AE965" s="10"/>
      <c r="AF965" s="10"/>
    </row>
    <row r="966">
      <c r="A966" s="7"/>
      <c r="B966" s="8">
        <v>88.0</v>
      </c>
      <c r="C966" s="8">
        <v>4.0</v>
      </c>
      <c r="D966" s="8" t="s">
        <v>1467</v>
      </c>
      <c r="E966" s="7">
        <v>1.0</v>
      </c>
      <c r="F966" s="7"/>
      <c r="G966" s="7" t="s">
        <v>312</v>
      </c>
      <c r="H966" s="7" t="s">
        <v>313</v>
      </c>
      <c r="I966" s="10"/>
      <c r="J966" s="11"/>
      <c r="K966" s="12"/>
      <c r="L966" s="12"/>
      <c r="M966" s="10"/>
      <c r="N966" s="10"/>
      <c r="O966" s="10"/>
      <c r="P966" s="10"/>
      <c r="Q966" s="10"/>
      <c r="R966" s="10"/>
      <c r="S966" s="10"/>
      <c r="T966" s="10"/>
      <c r="U966" s="10"/>
      <c r="V966" s="10"/>
      <c r="W966" s="10"/>
      <c r="X966" s="10"/>
      <c r="Y966" s="10"/>
      <c r="Z966" s="10"/>
      <c r="AA966" s="10"/>
      <c r="AB966" s="10"/>
      <c r="AC966" s="10"/>
      <c r="AD966" s="10"/>
      <c r="AE966" s="10"/>
      <c r="AF966" s="10"/>
    </row>
    <row r="967">
      <c r="A967" s="7"/>
      <c r="B967" s="8">
        <v>88.0</v>
      </c>
      <c r="C967" s="8">
        <v>5.0</v>
      </c>
      <c r="D967" s="8" t="s">
        <v>1468</v>
      </c>
      <c r="E967" s="7">
        <v>0.0</v>
      </c>
      <c r="F967" s="7"/>
      <c r="G967" s="7" t="s">
        <v>312</v>
      </c>
      <c r="H967" s="7" t="s">
        <v>313</v>
      </c>
      <c r="I967" s="10"/>
      <c r="J967" s="11"/>
      <c r="K967" s="12"/>
      <c r="L967" s="12"/>
      <c r="M967" s="10"/>
      <c r="N967" s="10"/>
      <c r="O967" s="10"/>
      <c r="P967" s="10"/>
      <c r="Q967" s="10"/>
      <c r="R967" s="10"/>
      <c r="S967" s="10"/>
      <c r="T967" s="10"/>
      <c r="U967" s="10"/>
      <c r="V967" s="10"/>
      <c r="W967" s="10"/>
      <c r="X967" s="10"/>
      <c r="Y967" s="10"/>
      <c r="Z967" s="10"/>
      <c r="AA967" s="10"/>
      <c r="AB967" s="10"/>
      <c r="AC967" s="10"/>
      <c r="AD967" s="10"/>
      <c r="AE967" s="10"/>
      <c r="AF967" s="10"/>
    </row>
    <row r="968">
      <c r="A968" s="7"/>
      <c r="B968" s="8">
        <v>88.0</v>
      </c>
      <c r="C968" s="8">
        <v>6.0</v>
      </c>
      <c r="D968" s="8" t="s">
        <v>1469</v>
      </c>
      <c r="E968" s="7">
        <v>0.0</v>
      </c>
      <c r="F968" s="7"/>
      <c r="G968" s="7" t="s">
        <v>312</v>
      </c>
      <c r="H968" s="7" t="s">
        <v>313</v>
      </c>
      <c r="I968" s="10"/>
      <c r="J968" s="11"/>
      <c r="K968" s="12"/>
      <c r="L968" s="12"/>
      <c r="M968" s="10"/>
      <c r="N968" s="10"/>
      <c r="O968" s="10"/>
      <c r="P968" s="10"/>
      <c r="Q968" s="10"/>
      <c r="R968" s="10"/>
      <c r="S968" s="10"/>
      <c r="T968" s="10"/>
      <c r="U968" s="10"/>
      <c r="V968" s="10"/>
      <c r="W968" s="10"/>
      <c r="X968" s="10"/>
      <c r="Y968" s="10"/>
      <c r="Z968" s="10"/>
      <c r="AA968" s="10"/>
      <c r="AB968" s="10"/>
      <c r="AC968" s="10"/>
      <c r="AD968" s="10"/>
      <c r="AE968" s="10"/>
      <c r="AF968" s="10"/>
    </row>
    <row r="969">
      <c r="A969" s="10"/>
      <c r="B969" s="12"/>
      <c r="C969" s="12"/>
      <c r="D969" s="12"/>
      <c r="E969" s="10"/>
      <c r="F969" s="10"/>
      <c r="G969" s="10"/>
      <c r="H969" s="10"/>
      <c r="I969" s="10"/>
      <c r="J969" s="11"/>
      <c r="K969" s="12"/>
      <c r="L969" s="12"/>
      <c r="M969" s="10"/>
      <c r="N969" s="10"/>
      <c r="O969" s="10"/>
      <c r="P969" s="10"/>
      <c r="Q969" s="10"/>
      <c r="R969" s="10"/>
      <c r="S969" s="10"/>
      <c r="T969" s="10"/>
      <c r="U969" s="10"/>
      <c r="V969" s="10"/>
      <c r="W969" s="10"/>
      <c r="X969" s="10"/>
      <c r="Y969" s="10"/>
      <c r="Z969" s="10"/>
      <c r="AA969" s="10"/>
      <c r="AB969" s="10"/>
      <c r="AC969" s="10"/>
      <c r="AD969" s="10"/>
      <c r="AE969" s="10"/>
      <c r="AF969" s="10"/>
    </row>
    <row r="970">
      <c r="A970" s="7"/>
      <c r="B970" s="8">
        <v>89.0</v>
      </c>
      <c r="C970" s="8">
        <v>1.0</v>
      </c>
      <c r="D970" s="8" t="s">
        <v>1470</v>
      </c>
      <c r="E970" s="7">
        <v>0.0</v>
      </c>
      <c r="F970" s="7"/>
      <c r="G970" s="7" t="s">
        <v>312</v>
      </c>
      <c r="H970" s="7" t="s">
        <v>313</v>
      </c>
      <c r="I970" s="10"/>
      <c r="J970" s="9" t="s">
        <v>1471</v>
      </c>
      <c r="K970" s="12"/>
      <c r="L970" s="15" t="s">
        <v>1472</v>
      </c>
      <c r="M970" s="10"/>
      <c r="N970" s="10"/>
      <c r="O970" s="10"/>
      <c r="P970" s="10"/>
      <c r="Q970" s="10"/>
      <c r="R970" s="10"/>
      <c r="S970" s="10"/>
      <c r="T970" s="10"/>
      <c r="U970" s="10"/>
      <c r="V970" s="10"/>
      <c r="W970" s="10"/>
      <c r="X970" s="10"/>
      <c r="Y970" s="10"/>
      <c r="Z970" s="10"/>
      <c r="AA970" s="10"/>
      <c r="AB970" s="10"/>
      <c r="AC970" s="10"/>
      <c r="AD970" s="10"/>
      <c r="AE970" s="10"/>
      <c r="AF970" s="10"/>
    </row>
    <row r="971">
      <c r="A971" s="7"/>
      <c r="B971" s="8">
        <v>89.0</v>
      </c>
      <c r="C971" s="8">
        <v>2.0</v>
      </c>
      <c r="D971" s="8" t="s">
        <v>1473</v>
      </c>
      <c r="E971" s="7">
        <v>0.0</v>
      </c>
      <c r="F971" s="7"/>
      <c r="G971" s="7" t="s">
        <v>312</v>
      </c>
      <c r="H971" s="7" t="s">
        <v>313</v>
      </c>
      <c r="I971" s="10"/>
      <c r="J971" s="9" t="s">
        <v>1474</v>
      </c>
      <c r="K971" s="12"/>
      <c r="L971" s="12"/>
      <c r="M971" s="10"/>
      <c r="N971" s="10"/>
      <c r="O971" s="10"/>
      <c r="P971" s="10"/>
      <c r="Q971" s="10"/>
      <c r="R971" s="10"/>
      <c r="S971" s="10"/>
      <c r="T971" s="10"/>
      <c r="U971" s="10"/>
      <c r="V971" s="10"/>
      <c r="W971" s="10"/>
      <c r="X971" s="10"/>
      <c r="Y971" s="10"/>
      <c r="Z971" s="10"/>
      <c r="AA971" s="10"/>
      <c r="AB971" s="10"/>
      <c r="AC971" s="10"/>
      <c r="AD971" s="10"/>
      <c r="AE971" s="10"/>
      <c r="AF971" s="10"/>
    </row>
    <row r="972">
      <c r="A972" s="7"/>
      <c r="B972" s="8">
        <v>89.0</v>
      </c>
      <c r="C972" s="8">
        <v>3.0</v>
      </c>
      <c r="D972" s="8" t="s">
        <v>1475</v>
      </c>
      <c r="E972" s="7">
        <v>0.0</v>
      </c>
      <c r="F972" s="7"/>
      <c r="G972" s="7" t="s">
        <v>312</v>
      </c>
      <c r="H972" s="7" t="s">
        <v>313</v>
      </c>
      <c r="I972" s="10"/>
      <c r="J972" s="9" t="s">
        <v>1476</v>
      </c>
      <c r="K972" s="12"/>
      <c r="L972" s="12"/>
      <c r="M972" s="10"/>
      <c r="N972" s="10"/>
      <c r="O972" s="10"/>
      <c r="P972" s="10"/>
      <c r="Q972" s="10"/>
      <c r="R972" s="10"/>
      <c r="S972" s="10"/>
      <c r="T972" s="10"/>
      <c r="U972" s="10"/>
      <c r="V972" s="10"/>
      <c r="W972" s="10"/>
      <c r="X972" s="10"/>
      <c r="Y972" s="10"/>
      <c r="Z972" s="10"/>
      <c r="AA972" s="10"/>
      <c r="AB972" s="10"/>
      <c r="AC972" s="10"/>
      <c r="AD972" s="10"/>
      <c r="AE972" s="10"/>
      <c r="AF972" s="10"/>
    </row>
    <row r="973">
      <c r="A973" s="7"/>
      <c r="B973" s="8">
        <v>89.0</v>
      </c>
      <c r="C973" s="8">
        <v>4.0</v>
      </c>
      <c r="D973" s="8" t="s">
        <v>1477</v>
      </c>
      <c r="E973" s="7">
        <v>1.0</v>
      </c>
      <c r="F973" s="7"/>
      <c r="G973" s="7" t="s">
        <v>312</v>
      </c>
      <c r="H973" s="7" t="s">
        <v>313</v>
      </c>
      <c r="I973" s="10"/>
      <c r="J973" s="9" t="s">
        <v>1478</v>
      </c>
      <c r="K973" s="12"/>
      <c r="L973" s="12"/>
      <c r="M973" s="10"/>
      <c r="N973" s="10"/>
      <c r="O973" s="10"/>
      <c r="P973" s="10"/>
      <c r="Q973" s="10"/>
      <c r="R973" s="10"/>
      <c r="S973" s="10"/>
      <c r="T973" s="10"/>
      <c r="U973" s="10"/>
      <c r="V973" s="10"/>
      <c r="W973" s="10"/>
      <c r="X973" s="10"/>
      <c r="Y973" s="10"/>
      <c r="Z973" s="10"/>
      <c r="AA973" s="10"/>
      <c r="AB973" s="10"/>
      <c r="AC973" s="10"/>
      <c r="AD973" s="10"/>
      <c r="AE973" s="10"/>
      <c r="AF973" s="10"/>
    </row>
    <row r="974">
      <c r="A974" s="7"/>
      <c r="B974" s="8">
        <v>89.0</v>
      </c>
      <c r="C974" s="8">
        <v>5.0</v>
      </c>
      <c r="D974" s="8" t="s">
        <v>1479</v>
      </c>
      <c r="E974" s="7">
        <v>0.0</v>
      </c>
      <c r="F974" s="7"/>
      <c r="G974" s="7" t="s">
        <v>312</v>
      </c>
      <c r="H974" s="7" t="s">
        <v>313</v>
      </c>
      <c r="I974" s="10"/>
      <c r="J974" s="11"/>
      <c r="K974" s="12"/>
      <c r="L974" s="12"/>
      <c r="M974" s="10"/>
      <c r="N974" s="10"/>
      <c r="O974" s="10"/>
      <c r="P974" s="10"/>
      <c r="Q974" s="10"/>
      <c r="R974" s="10"/>
      <c r="S974" s="10"/>
      <c r="T974" s="10"/>
      <c r="U974" s="10"/>
      <c r="V974" s="10"/>
      <c r="W974" s="10"/>
      <c r="X974" s="10"/>
      <c r="Y974" s="10"/>
      <c r="Z974" s="10"/>
      <c r="AA974" s="10"/>
      <c r="AB974" s="10"/>
      <c r="AC974" s="10"/>
      <c r="AD974" s="10"/>
      <c r="AE974" s="10"/>
      <c r="AF974" s="10"/>
    </row>
    <row r="975">
      <c r="A975" s="7"/>
      <c r="B975" s="8">
        <v>89.0</v>
      </c>
      <c r="C975" s="8">
        <v>6.0</v>
      </c>
      <c r="D975" s="8" t="s">
        <v>1480</v>
      </c>
      <c r="E975" s="7">
        <v>0.0</v>
      </c>
      <c r="F975" s="7"/>
      <c r="G975" s="7" t="s">
        <v>312</v>
      </c>
      <c r="H975" s="7" t="s">
        <v>313</v>
      </c>
      <c r="I975" s="10"/>
      <c r="J975" s="11"/>
      <c r="K975" s="12"/>
      <c r="L975" s="12"/>
      <c r="M975" s="10"/>
      <c r="N975" s="10"/>
      <c r="O975" s="10"/>
      <c r="P975" s="10"/>
      <c r="Q975" s="10"/>
      <c r="R975" s="10"/>
      <c r="S975" s="10"/>
      <c r="T975" s="10"/>
      <c r="U975" s="10"/>
      <c r="V975" s="10"/>
      <c r="W975" s="10"/>
      <c r="X975" s="10"/>
      <c r="Y975" s="10"/>
      <c r="Z975" s="10"/>
      <c r="AA975" s="10"/>
      <c r="AB975" s="10"/>
      <c r="AC975" s="10"/>
      <c r="AD975" s="10"/>
      <c r="AE975" s="10"/>
      <c r="AF975" s="10"/>
    </row>
    <row r="976">
      <c r="A976" s="7"/>
      <c r="B976" s="8">
        <v>89.0</v>
      </c>
      <c r="C976" s="8">
        <v>7.0</v>
      </c>
      <c r="D976" s="8" t="s">
        <v>1481</v>
      </c>
      <c r="E976" s="7">
        <v>1.0</v>
      </c>
      <c r="F976" s="7"/>
      <c r="G976" s="7" t="s">
        <v>312</v>
      </c>
      <c r="H976" s="7" t="s">
        <v>313</v>
      </c>
      <c r="I976" s="10"/>
      <c r="J976" s="11"/>
      <c r="K976" s="12"/>
      <c r="L976" s="12"/>
      <c r="M976" s="10"/>
      <c r="N976" s="10"/>
      <c r="O976" s="10"/>
      <c r="P976" s="10"/>
      <c r="Q976" s="10"/>
      <c r="R976" s="10"/>
      <c r="S976" s="10"/>
      <c r="T976" s="10"/>
      <c r="U976" s="10"/>
      <c r="V976" s="10"/>
      <c r="W976" s="10"/>
      <c r="X976" s="10"/>
      <c r="Y976" s="10"/>
      <c r="Z976" s="10"/>
      <c r="AA976" s="10"/>
      <c r="AB976" s="10"/>
      <c r="AC976" s="10"/>
      <c r="AD976" s="10"/>
      <c r="AE976" s="10"/>
      <c r="AF976" s="10"/>
    </row>
    <row r="977">
      <c r="A977" s="7"/>
      <c r="B977" s="8">
        <v>89.0</v>
      </c>
      <c r="C977" s="8">
        <v>8.0</v>
      </c>
      <c r="D977" s="8" t="s">
        <v>1482</v>
      </c>
      <c r="E977" s="7">
        <v>0.0</v>
      </c>
      <c r="F977" s="7"/>
      <c r="G977" s="7" t="s">
        <v>312</v>
      </c>
      <c r="H977" s="7" t="s">
        <v>313</v>
      </c>
      <c r="I977" s="10"/>
      <c r="J977" s="11"/>
      <c r="K977" s="12"/>
      <c r="L977" s="12"/>
      <c r="M977" s="10"/>
      <c r="N977" s="10"/>
      <c r="O977" s="10"/>
      <c r="P977" s="10"/>
      <c r="Q977" s="10"/>
      <c r="R977" s="10"/>
      <c r="S977" s="10"/>
      <c r="T977" s="10"/>
      <c r="U977" s="10"/>
      <c r="V977" s="10"/>
      <c r="W977" s="10"/>
      <c r="X977" s="10"/>
      <c r="Y977" s="10"/>
      <c r="Z977" s="10"/>
      <c r="AA977" s="10"/>
      <c r="AB977" s="10"/>
      <c r="AC977" s="10"/>
      <c r="AD977" s="10"/>
      <c r="AE977" s="10"/>
      <c r="AF977" s="10"/>
    </row>
    <row r="978">
      <c r="A978" s="7"/>
      <c r="B978" s="8">
        <v>89.0</v>
      </c>
      <c r="C978" s="8">
        <v>9.0</v>
      </c>
      <c r="D978" s="8" t="s">
        <v>1483</v>
      </c>
      <c r="E978" s="7">
        <v>1.0</v>
      </c>
      <c r="F978" s="7"/>
      <c r="G978" s="7" t="s">
        <v>312</v>
      </c>
      <c r="H978" s="7" t="s">
        <v>313</v>
      </c>
      <c r="I978" s="10"/>
      <c r="J978" s="11"/>
      <c r="K978" s="12"/>
      <c r="L978" s="12"/>
      <c r="M978" s="10"/>
      <c r="N978" s="10"/>
      <c r="O978" s="10"/>
      <c r="P978" s="10"/>
      <c r="Q978" s="10"/>
      <c r="R978" s="10"/>
      <c r="S978" s="10"/>
      <c r="T978" s="10"/>
      <c r="U978" s="10"/>
      <c r="V978" s="10"/>
      <c r="W978" s="10"/>
      <c r="X978" s="10"/>
      <c r="Y978" s="10"/>
      <c r="Z978" s="10"/>
      <c r="AA978" s="10"/>
      <c r="AB978" s="10"/>
      <c r="AC978" s="10"/>
      <c r="AD978" s="10"/>
      <c r="AE978" s="10"/>
      <c r="AF978" s="10"/>
    </row>
    <row r="979">
      <c r="A979" s="7"/>
      <c r="B979" s="8">
        <v>89.0</v>
      </c>
      <c r="C979" s="8">
        <v>10.0</v>
      </c>
      <c r="D979" s="8" t="s">
        <v>1484</v>
      </c>
      <c r="E979" s="7">
        <v>1.0</v>
      </c>
      <c r="F979" s="7"/>
      <c r="G979" s="7" t="s">
        <v>312</v>
      </c>
      <c r="H979" s="7" t="s">
        <v>313</v>
      </c>
      <c r="I979" s="10"/>
      <c r="J979" s="11"/>
      <c r="K979" s="12"/>
      <c r="L979" s="12"/>
      <c r="M979" s="10"/>
      <c r="N979" s="10"/>
      <c r="O979" s="10"/>
      <c r="P979" s="10"/>
      <c r="Q979" s="10"/>
      <c r="R979" s="10"/>
      <c r="S979" s="10"/>
      <c r="T979" s="10"/>
      <c r="U979" s="10"/>
      <c r="V979" s="10"/>
      <c r="W979" s="10"/>
      <c r="X979" s="10"/>
      <c r="Y979" s="10"/>
      <c r="Z979" s="10"/>
      <c r="AA979" s="10"/>
      <c r="AB979" s="10"/>
      <c r="AC979" s="10"/>
      <c r="AD979" s="10"/>
      <c r="AE979" s="10"/>
      <c r="AF979" s="10"/>
    </row>
    <row r="980">
      <c r="A980" s="10"/>
      <c r="B980" s="12"/>
      <c r="C980" s="12"/>
      <c r="D980" s="12"/>
      <c r="E980" s="10"/>
      <c r="F980" s="10"/>
      <c r="G980" s="10"/>
      <c r="H980" s="10"/>
      <c r="I980" s="10"/>
      <c r="J980" s="11"/>
      <c r="K980" s="12"/>
      <c r="L980" s="12"/>
      <c r="M980" s="10"/>
      <c r="N980" s="10"/>
      <c r="O980" s="10"/>
      <c r="P980" s="10"/>
      <c r="Q980" s="10"/>
      <c r="R980" s="10"/>
      <c r="S980" s="10"/>
      <c r="T980" s="10"/>
      <c r="U980" s="10"/>
      <c r="V980" s="10"/>
      <c r="W980" s="10"/>
      <c r="X980" s="10"/>
      <c r="Y980" s="10"/>
      <c r="Z980" s="10"/>
      <c r="AA980" s="10"/>
      <c r="AB980" s="10"/>
      <c r="AC980" s="10"/>
      <c r="AD980" s="10"/>
      <c r="AE980" s="10"/>
      <c r="AF980" s="10"/>
    </row>
    <row r="981">
      <c r="A981" s="7"/>
      <c r="B981" s="8">
        <v>90.0</v>
      </c>
      <c r="C981" s="8">
        <v>1.0</v>
      </c>
      <c r="D981" s="8" t="s">
        <v>1485</v>
      </c>
      <c r="E981" s="7">
        <v>1.0</v>
      </c>
      <c r="F981" s="7"/>
      <c r="G981" s="7" t="s">
        <v>312</v>
      </c>
      <c r="H981" s="7" t="s">
        <v>313</v>
      </c>
      <c r="I981" s="10"/>
      <c r="J981" s="9" t="s">
        <v>1486</v>
      </c>
      <c r="K981" s="12"/>
      <c r="L981" s="12"/>
      <c r="M981" s="10"/>
      <c r="N981" s="10"/>
      <c r="O981" s="10"/>
      <c r="P981" s="10"/>
      <c r="Q981" s="10"/>
      <c r="R981" s="10"/>
      <c r="S981" s="10"/>
      <c r="T981" s="10"/>
      <c r="U981" s="10"/>
      <c r="V981" s="10"/>
      <c r="W981" s="10"/>
      <c r="X981" s="10"/>
      <c r="Y981" s="10"/>
      <c r="Z981" s="10"/>
      <c r="AA981" s="10"/>
      <c r="AB981" s="10"/>
      <c r="AC981" s="10"/>
      <c r="AD981" s="10"/>
      <c r="AE981" s="10"/>
      <c r="AF981" s="10"/>
    </row>
    <row r="982">
      <c r="A982" s="7"/>
      <c r="B982" s="8">
        <v>90.0</v>
      </c>
      <c r="C982" s="8">
        <v>2.0</v>
      </c>
      <c r="D982" s="8" t="s">
        <v>1487</v>
      </c>
      <c r="E982" s="7">
        <v>1.0</v>
      </c>
      <c r="F982" s="7" t="s">
        <v>320</v>
      </c>
      <c r="G982" s="7" t="s">
        <v>312</v>
      </c>
      <c r="H982" s="7" t="s">
        <v>313</v>
      </c>
      <c r="I982" s="7" t="s">
        <v>366</v>
      </c>
      <c r="J982" s="9" t="s">
        <v>1488</v>
      </c>
      <c r="K982" s="12"/>
      <c r="L982" s="12"/>
      <c r="M982" s="10"/>
      <c r="N982" s="10"/>
      <c r="O982" s="10"/>
      <c r="P982" s="10"/>
      <c r="Q982" s="10"/>
      <c r="R982" s="10"/>
      <c r="S982" s="10"/>
      <c r="T982" s="10"/>
      <c r="U982" s="10"/>
      <c r="V982" s="10"/>
      <c r="W982" s="10"/>
      <c r="X982" s="10"/>
      <c r="Y982" s="10"/>
      <c r="Z982" s="10"/>
      <c r="AA982" s="10"/>
      <c r="AB982" s="10"/>
      <c r="AC982" s="10"/>
      <c r="AD982" s="10"/>
      <c r="AE982" s="10"/>
      <c r="AF982" s="10"/>
    </row>
    <row r="983">
      <c r="A983" s="7"/>
      <c r="B983" s="8">
        <v>90.0</v>
      </c>
      <c r="C983" s="8">
        <v>3.0</v>
      </c>
      <c r="D983" s="8" t="s">
        <v>1489</v>
      </c>
      <c r="E983" s="7">
        <v>0.0</v>
      </c>
      <c r="F983" s="7"/>
      <c r="G983" s="7" t="s">
        <v>312</v>
      </c>
      <c r="H983" s="7" t="s">
        <v>313</v>
      </c>
      <c r="I983" s="10"/>
      <c r="J983" s="11"/>
      <c r="K983" s="12"/>
      <c r="L983" s="12"/>
      <c r="M983" s="10"/>
      <c r="N983" s="10"/>
      <c r="O983" s="10"/>
      <c r="P983" s="10"/>
      <c r="Q983" s="10"/>
      <c r="R983" s="10"/>
      <c r="S983" s="10"/>
      <c r="T983" s="10"/>
      <c r="U983" s="10"/>
      <c r="V983" s="10"/>
      <c r="W983" s="10"/>
      <c r="X983" s="10"/>
      <c r="Y983" s="10"/>
      <c r="Z983" s="10"/>
      <c r="AA983" s="10"/>
      <c r="AB983" s="10"/>
      <c r="AC983" s="10"/>
      <c r="AD983" s="10"/>
      <c r="AE983" s="10"/>
      <c r="AF983" s="10"/>
    </row>
    <row r="984">
      <c r="A984" s="10"/>
      <c r="B984" s="12"/>
      <c r="C984" s="12"/>
      <c r="D984" s="12"/>
      <c r="E984" s="10"/>
      <c r="F984" s="10"/>
      <c r="G984" s="10"/>
      <c r="H984" s="10"/>
      <c r="I984" s="10"/>
      <c r="J984" s="11"/>
      <c r="K984" s="12"/>
      <c r="L984" s="12"/>
      <c r="M984" s="10"/>
      <c r="N984" s="10"/>
      <c r="O984" s="10"/>
      <c r="P984" s="10"/>
      <c r="Q984" s="10"/>
      <c r="R984" s="10"/>
      <c r="S984" s="10"/>
      <c r="T984" s="10"/>
      <c r="U984" s="10"/>
      <c r="V984" s="10"/>
      <c r="W984" s="10"/>
      <c r="X984" s="10"/>
      <c r="Y984" s="10"/>
      <c r="Z984" s="10"/>
      <c r="AA984" s="10"/>
      <c r="AB984" s="10"/>
      <c r="AC984" s="10"/>
      <c r="AD984" s="10"/>
      <c r="AE984" s="10"/>
      <c r="AF984" s="10"/>
    </row>
    <row r="985">
      <c r="A985" s="7"/>
      <c r="B985" s="8">
        <v>91.0</v>
      </c>
      <c r="C985" s="8">
        <v>1.0</v>
      </c>
      <c r="D985" s="8" t="s">
        <v>1490</v>
      </c>
      <c r="E985" s="7">
        <v>1.0</v>
      </c>
      <c r="F985" s="7"/>
      <c r="G985" s="7" t="s">
        <v>312</v>
      </c>
      <c r="H985" s="7" t="s">
        <v>313</v>
      </c>
      <c r="I985" s="10"/>
      <c r="J985" s="9" t="s">
        <v>1491</v>
      </c>
      <c r="K985" s="12"/>
      <c r="L985" s="22" t="s">
        <v>1492</v>
      </c>
      <c r="M985" s="10"/>
      <c r="N985" s="10"/>
      <c r="O985" s="10"/>
      <c r="P985" s="10"/>
      <c r="Q985" s="10"/>
      <c r="R985" s="10"/>
      <c r="S985" s="10"/>
      <c r="T985" s="10"/>
      <c r="U985" s="10"/>
      <c r="V985" s="10"/>
      <c r="W985" s="10"/>
      <c r="X985" s="10"/>
      <c r="Y985" s="10"/>
      <c r="Z985" s="10"/>
      <c r="AA985" s="10"/>
      <c r="AB985" s="10"/>
      <c r="AC985" s="10"/>
      <c r="AD985" s="10"/>
      <c r="AE985" s="10"/>
      <c r="AF985" s="10"/>
    </row>
    <row r="986">
      <c r="A986" s="10"/>
      <c r="B986" s="12"/>
      <c r="C986" s="12"/>
      <c r="D986" s="12"/>
      <c r="E986" s="10"/>
      <c r="F986" s="10"/>
      <c r="G986" s="10"/>
      <c r="H986" s="10"/>
      <c r="I986" s="10"/>
      <c r="J986" s="11"/>
      <c r="K986" s="12"/>
      <c r="L986" s="12"/>
      <c r="M986" s="10"/>
      <c r="N986" s="10"/>
      <c r="O986" s="10"/>
      <c r="P986" s="10"/>
      <c r="Q986" s="10"/>
      <c r="R986" s="10"/>
      <c r="S986" s="10"/>
      <c r="T986" s="10"/>
      <c r="U986" s="10"/>
      <c r="V986" s="10"/>
      <c r="W986" s="10"/>
      <c r="X986" s="10"/>
      <c r="Y986" s="10"/>
      <c r="Z986" s="10"/>
      <c r="AA986" s="10"/>
      <c r="AB986" s="10"/>
      <c r="AC986" s="10"/>
      <c r="AD986" s="10"/>
      <c r="AE986" s="10"/>
      <c r="AF986" s="10"/>
    </row>
    <row r="987">
      <c r="A987" s="7"/>
      <c r="B987" s="8">
        <v>92.0</v>
      </c>
      <c r="C987" s="8">
        <v>1.0</v>
      </c>
      <c r="D987" s="8" t="s">
        <v>1493</v>
      </c>
      <c r="E987" s="7">
        <v>0.0</v>
      </c>
      <c r="F987" s="7"/>
      <c r="G987" s="7" t="s">
        <v>312</v>
      </c>
      <c r="H987" s="7" t="s">
        <v>313</v>
      </c>
      <c r="I987" s="10"/>
      <c r="J987" s="9" t="s">
        <v>1494</v>
      </c>
      <c r="K987" s="12"/>
      <c r="L987" s="15" t="s">
        <v>1495</v>
      </c>
      <c r="M987" s="10"/>
      <c r="N987" s="10"/>
      <c r="O987" s="10"/>
      <c r="P987" s="10"/>
      <c r="Q987" s="10"/>
      <c r="R987" s="10"/>
      <c r="S987" s="10"/>
      <c r="T987" s="10"/>
      <c r="U987" s="10"/>
      <c r="V987" s="10"/>
      <c r="W987" s="10"/>
      <c r="X987" s="10"/>
      <c r="Y987" s="10"/>
      <c r="Z987" s="10"/>
      <c r="AA987" s="10"/>
      <c r="AB987" s="10"/>
      <c r="AC987" s="10"/>
      <c r="AD987" s="10"/>
      <c r="AE987" s="10"/>
      <c r="AF987" s="10"/>
    </row>
    <row r="988">
      <c r="A988" s="7"/>
      <c r="B988" s="8">
        <v>92.0</v>
      </c>
      <c r="C988" s="8">
        <v>2.0</v>
      </c>
      <c r="D988" s="8" t="s">
        <v>1496</v>
      </c>
      <c r="E988" s="7">
        <v>1.0</v>
      </c>
      <c r="F988" s="7"/>
      <c r="G988" s="7" t="s">
        <v>312</v>
      </c>
      <c r="H988" s="7" t="s">
        <v>313</v>
      </c>
      <c r="I988" s="10"/>
      <c r="J988" s="11"/>
      <c r="K988" s="12"/>
      <c r="L988" s="12"/>
      <c r="M988" s="10"/>
      <c r="N988" s="10"/>
      <c r="O988" s="10"/>
      <c r="P988" s="10"/>
      <c r="Q988" s="10"/>
      <c r="R988" s="10"/>
      <c r="S988" s="10"/>
      <c r="T988" s="10"/>
      <c r="U988" s="10"/>
      <c r="V988" s="10"/>
      <c r="W988" s="10"/>
      <c r="X988" s="10"/>
      <c r="Y988" s="10"/>
      <c r="Z988" s="10"/>
      <c r="AA988" s="10"/>
      <c r="AB988" s="10"/>
      <c r="AC988" s="10"/>
      <c r="AD988" s="10"/>
      <c r="AE988" s="10"/>
      <c r="AF988" s="10"/>
    </row>
    <row r="989">
      <c r="A989" s="7"/>
      <c r="B989" s="8">
        <v>92.0</v>
      </c>
      <c r="C989" s="8">
        <v>3.0</v>
      </c>
      <c r="D989" s="8" t="s">
        <v>1497</v>
      </c>
      <c r="E989" s="7">
        <v>0.0</v>
      </c>
      <c r="F989" s="7"/>
      <c r="G989" s="7" t="s">
        <v>312</v>
      </c>
      <c r="H989" s="7" t="s">
        <v>313</v>
      </c>
      <c r="I989" s="10"/>
      <c r="J989" s="11"/>
      <c r="K989" s="12"/>
      <c r="L989" s="12"/>
      <c r="M989" s="10"/>
      <c r="N989" s="10"/>
      <c r="O989" s="10"/>
      <c r="P989" s="10"/>
      <c r="Q989" s="10"/>
      <c r="R989" s="10"/>
      <c r="S989" s="10"/>
      <c r="T989" s="10"/>
      <c r="U989" s="10"/>
      <c r="V989" s="10"/>
      <c r="W989" s="10"/>
      <c r="X989" s="10"/>
      <c r="Y989" s="10"/>
      <c r="Z989" s="10"/>
      <c r="AA989" s="10"/>
      <c r="AB989" s="10"/>
      <c r="AC989" s="10"/>
      <c r="AD989" s="10"/>
      <c r="AE989" s="10"/>
      <c r="AF989" s="10"/>
    </row>
    <row r="990">
      <c r="A990" s="10"/>
      <c r="B990" s="12"/>
      <c r="C990" s="12"/>
      <c r="D990" s="12"/>
      <c r="E990" s="10"/>
      <c r="F990" s="10"/>
      <c r="G990" s="10"/>
      <c r="H990" s="10"/>
      <c r="I990" s="10"/>
      <c r="J990" s="11"/>
      <c r="K990" s="12"/>
      <c r="L990" s="12"/>
      <c r="M990" s="10"/>
      <c r="N990" s="10"/>
      <c r="O990" s="10"/>
      <c r="P990" s="10"/>
      <c r="Q990" s="10"/>
      <c r="R990" s="10"/>
      <c r="S990" s="10"/>
      <c r="T990" s="10"/>
      <c r="U990" s="10"/>
      <c r="V990" s="10"/>
      <c r="W990" s="10"/>
      <c r="X990" s="10"/>
      <c r="Y990" s="10"/>
      <c r="Z990" s="10"/>
      <c r="AA990" s="10"/>
      <c r="AB990" s="10"/>
      <c r="AC990" s="10"/>
      <c r="AD990" s="10"/>
      <c r="AE990" s="10"/>
      <c r="AF990" s="10"/>
    </row>
    <row r="991">
      <c r="A991" s="7"/>
      <c r="B991" s="8">
        <v>93.0</v>
      </c>
      <c r="C991" s="8">
        <v>1.0</v>
      </c>
      <c r="D991" s="8" t="s">
        <v>1498</v>
      </c>
      <c r="E991" s="7">
        <v>1.0</v>
      </c>
      <c r="F991" s="7"/>
      <c r="G991" s="7" t="s">
        <v>312</v>
      </c>
      <c r="H991" s="7" t="s">
        <v>313</v>
      </c>
      <c r="I991" s="10"/>
      <c r="J991" s="9" t="s">
        <v>1499</v>
      </c>
      <c r="K991" s="12"/>
      <c r="L991" s="15" t="s">
        <v>1500</v>
      </c>
      <c r="M991" s="10"/>
      <c r="N991" s="10"/>
      <c r="O991" s="10"/>
      <c r="P991" s="10"/>
      <c r="Q991" s="10"/>
      <c r="R991" s="10"/>
      <c r="S991" s="10"/>
      <c r="T991" s="10"/>
      <c r="U991" s="10"/>
      <c r="V991" s="10"/>
      <c r="W991" s="10"/>
      <c r="X991" s="10"/>
      <c r="Y991" s="10"/>
      <c r="Z991" s="10"/>
      <c r="AA991" s="10"/>
      <c r="AB991" s="10"/>
      <c r="AC991" s="10"/>
      <c r="AD991" s="10"/>
      <c r="AE991" s="10"/>
      <c r="AF991" s="10"/>
    </row>
    <row r="992">
      <c r="A992" s="7"/>
      <c r="B992" s="8">
        <v>93.0</v>
      </c>
      <c r="C992" s="8">
        <v>2.0</v>
      </c>
      <c r="D992" s="8" t="s">
        <v>1501</v>
      </c>
      <c r="E992" s="7">
        <v>0.0</v>
      </c>
      <c r="F992" s="7"/>
      <c r="G992" s="7" t="s">
        <v>312</v>
      </c>
      <c r="H992" s="7" t="s">
        <v>313</v>
      </c>
      <c r="I992" s="10"/>
      <c r="J992" s="11"/>
      <c r="K992" s="8" t="s">
        <v>1502</v>
      </c>
      <c r="L992" s="12"/>
      <c r="M992" s="10"/>
      <c r="N992" s="10"/>
      <c r="O992" s="10"/>
      <c r="P992" s="10"/>
      <c r="Q992" s="10"/>
      <c r="R992" s="10"/>
      <c r="S992" s="10"/>
      <c r="T992" s="10"/>
      <c r="U992" s="10"/>
      <c r="V992" s="10"/>
      <c r="W992" s="10"/>
      <c r="X992" s="10"/>
      <c r="Y992" s="10"/>
      <c r="Z992" s="10"/>
      <c r="AA992" s="10"/>
      <c r="AB992" s="10"/>
      <c r="AC992" s="10"/>
      <c r="AD992" s="10"/>
      <c r="AE992" s="10"/>
      <c r="AF992" s="10"/>
    </row>
    <row r="993">
      <c r="A993" s="7"/>
      <c r="B993" s="8">
        <v>93.0</v>
      </c>
      <c r="C993" s="8">
        <v>3.0</v>
      </c>
      <c r="D993" s="8" t="s">
        <v>1503</v>
      </c>
      <c r="E993" s="7">
        <v>0.0</v>
      </c>
      <c r="F993" s="7"/>
      <c r="G993" s="7" t="s">
        <v>312</v>
      </c>
      <c r="H993" s="7" t="s">
        <v>313</v>
      </c>
      <c r="I993" s="10"/>
      <c r="J993" s="11"/>
      <c r="K993" s="8" t="s">
        <v>1504</v>
      </c>
      <c r="L993" s="12"/>
      <c r="M993" s="10"/>
      <c r="N993" s="10"/>
      <c r="O993" s="10"/>
      <c r="P993" s="10"/>
      <c r="Q993" s="10"/>
      <c r="R993" s="10"/>
      <c r="S993" s="10"/>
      <c r="T993" s="10"/>
      <c r="U993" s="10"/>
      <c r="V993" s="10"/>
      <c r="W993" s="10"/>
      <c r="X993" s="10"/>
      <c r="Y993" s="10"/>
      <c r="Z993" s="10"/>
      <c r="AA993" s="10"/>
      <c r="AB993" s="10"/>
      <c r="AC993" s="10"/>
      <c r="AD993" s="10"/>
      <c r="AE993" s="10"/>
      <c r="AF993" s="10"/>
    </row>
    <row r="994">
      <c r="A994" s="7"/>
      <c r="B994" s="8">
        <v>93.0</v>
      </c>
      <c r="C994" s="8">
        <v>4.0</v>
      </c>
      <c r="D994" s="8" t="s">
        <v>1505</v>
      </c>
      <c r="E994" s="7">
        <v>0.0</v>
      </c>
      <c r="F994" s="7"/>
      <c r="G994" s="7" t="s">
        <v>312</v>
      </c>
      <c r="H994" s="7" t="s">
        <v>313</v>
      </c>
      <c r="I994" s="10"/>
      <c r="J994" s="11"/>
      <c r="K994" s="12"/>
      <c r="L994" s="12"/>
      <c r="M994" s="10"/>
      <c r="N994" s="10"/>
      <c r="O994" s="10"/>
      <c r="P994" s="10"/>
      <c r="Q994" s="10"/>
      <c r="R994" s="10"/>
      <c r="S994" s="10"/>
      <c r="T994" s="10"/>
      <c r="U994" s="10"/>
      <c r="V994" s="10"/>
      <c r="W994" s="10"/>
      <c r="X994" s="10"/>
      <c r="Y994" s="10"/>
      <c r="Z994" s="10"/>
      <c r="AA994" s="10"/>
      <c r="AB994" s="10"/>
      <c r="AC994" s="10"/>
      <c r="AD994" s="10"/>
      <c r="AE994" s="10"/>
      <c r="AF994" s="10"/>
    </row>
    <row r="995">
      <c r="A995" s="7"/>
      <c r="B995" s="8">
        <v>93.0</v>
      </c>
      <c r="C995" s="8">
        <v>5.0</v>
      </c>
      <c r="D995" s="8" t="s">
        <v>1506</v>
      </c>
      <c r="E995" s="7">
        <v>0.0</v>
      </c>
      <c r="F995" s="7"/>
      <c r="G995" s="7" t="s">
        <v>312</v>
      </c>
      <c r="H995" s="7" t="s">
        <v>313</v>
      </c>
      <c r="I995" s="10"/>
      <c r="J995" s="11"/>
      <c r="K995" s="12"/>
      <c r="L995" s="12"/>
      <c r="M995" s="10"/>
      <c r="N995" s="10"/>
      <c r="O995" s="10"/>
      <c r="P995" s="10"/>
      <c r="Q995" s="10"/>
      <c r="R995" s="10"/>
      <c r="S995" s="10"/>
      <c r="T995" s="10"/>
      <c r="U995" s="10"/>
      <c r="V995" s="10"/>
      <c r="W995" s="10"/>
      <c r="X995" s="10"/>
      <c r="Y995" s="10"/>
      <c r="Z995" s="10"/>
      <c r="AA995" s="10"/>
      <c r="AB995" s="10"/>
      <c r="AC995" s="10"/>
      <c r="AD995" s="10"/>
      <c r="AE995" s="10"/>
      <c r="AF995" s="10"/>
    </row>
    <row r="996">
      <c r="A996" s="7"/>
      <c r="B996" s="8">
        <v>93.0</v>
      </c>
      <c r="C996" s="8">
        <v>6.0</v>
      </c>
      <c r="D996" s="8" t="s">
        <v>1507</v>
      </c>
      <c r="E996" s="7">
        <v>0.0</v>
      </c>
      <c r="F996" s="7"/>
      <c r="G996" s="7" t="s">
        <v>312</v>
      </c>
      <c r="H996" s="7" t="s">
        <v>313</v>
      </c>
      <c r="I996" s="10"/>
      <c r="J996" s="11"/>
      <c r="K996" s="12"/>
      <c r="L996" s="12"/>
      <c r="M996" s="10"/>
      <c r="N996" s="10"/>
      <c r="O996" s="10"/>
      <c r="P996" s="10"/>
      <c r="Q996" s="10"/>
      <c r="R996" s="10"/>
      <c r="S996" s="10"/>
      <c r="T996" s="10"/>
      <c r="U996" s="10"/>
      <c r="V996" s="10"/>
      <c r="W996" s="10"/>
      <c r="X996" s="10"/>
      <c r="Y996" s="10"/>
      <c r="Z996" s="10"/>
      <c r="AA996" s="10"/>
      <c r="AB996" s="10"/>
      <c r="AC996" s="10"/>
      <c r="AD996" s="10"/>
      <c r="AE996" s="10"/>
      <c r="AF996" s="10"/>
    </row>
    <row r="997">
      <c r="A997" s="10"/>
      <c r="B997" s="12"/>
      <c r="C997" s="12"/>
      <c r="D997" s="12"/>
      <c r="E997" s="10"/>
      <c r="F997" s="10"/>
      <c r="G997" s="10"/>
      <c r="H997" s="10"/>
      <c r="I997" s="10"/>
      <c r="J997" s="11"/>
      <c r="K997" s="12"/>
      <c r="L997" s="12"/>
      <c r="M997" s="10"/>
      <c r="N997" s="10"/>
      <c r="O997" s="10"/>
      <c r="P997" s="10"/>
      <c r="Q997" s="10"/>
      <c r="R997" s="10"/>
      <c r="S997" s="10"/>
      <c r="T997" s="10"/>
      <c r="U997" s="10"/>
      <c r="V997" s="10"/>
      <c r="W997" s="10"/>
      <c r="X997" s="10"/>
      <c r="Y997" s="10"/>
      <c r="Z997" s="10"/>
      <c r="AA997" s="10"/>
      <c r="AB997" s="10"/>
      <c r="AC997" s="10"/>
      <c r="AD997" s="10"/>
      <c r="AE997" s="10"/>
      <c r="AF997" s="10"/>
    </row>
    <row r="998">
      <c r="A998" s="7"/>
      <c r="B998" s="8">
        <v>94.0</v>
      </c>
      <c r="C998" s="8">
        <v>1.0</v>
      </c>
      <c r="D998" s="8" t="s">
        <v>1508</v>
      </c>
      <c r="E998" s="7">
        <v>1.0</v>
      </c>
      <c r="F998" s="7"/>
      <c r="G998" s="7" t="s">
        <v>312</v>
      </c>
      <c r="H998" s="7" t="s">
        <v>313</v>
      </c>
      <c r="I998" s="10"/>
      <c r="J998" s="9" t="s">
        <v>1509</v>
      </c>
      <c r="K998" s="12"/>
      <c r="L998" s="15" t="s">
        <v>1510</v>
      </c>
      <c r="M998" s="10"/>
      <c r="N998" s="10"/>
      <c r="O998" s="10"/>
      <c r="P998" s="10"/>
      <c r="Q998" s="10"/>
      <c r="R998" s="10"/>
      <c r="S998" s="10"/>
      <c r="T998" s="10"/>
      <c r="U998" s="10"/>
      <c r="V998" s="10"/>
      <c r="W998" s="10"/>
      <c r="X998" s="10"/>
      <c r="Y998" s="10"/>
      <c r="Z998" s="10"/>
      <c r="AA998" s="10"/>
      <c r="AB998" s="10"/>
      <c r="AC998" s="10"/>
      <c r="AD998" s="10"/>
      <c r="AE998" s="10"/>
      <c r="AF998" s="10"/>
    </row>
    <row r="999">
      <c r="A999" s="7"/>
      <c r="B999" s="8">
        <v>94.0</v>
      </c>
      <c r="C999" s="8">
        <v>2.0</v>
      </c>
      <c r="D999" s="8" t="s">
        <v>1511</v>
      </c>
      <c r="E999" s="7">
        <v>1.0</v>
      </c>
      <c r="F999" s="7"/>
      <c r="G999" s="7" t="s">
        <v>312</v>
      </c>
      <c r="H999" s="7" t="s">
        <v>313</v>
      </c>
      <c r="I999" s="7" t="s">
        <v>366</v>
      </c>
      <c r="J999" s="16" t="s">
        <v>1512</v>
      </c>
      <c r="K999" s="12"/>
      <c r="L999" s="12"/>
      <c r="M999" s="10"/>
      <c r="N999" s="10"/>
      <c r="O999" s="10"/>
      <c r="P999" s="10"/>
      <c r="Q999" s="10"/>
      <c r="R999" s="10"/>
      <c r="S999" s="10"/>
      <c r="T999" s="10"/>
      <c r="U999" s="10"/>
      <c r="V999" s="10"/>
      <c r="W999" s="10"/>
      <c r="X999" s="10"/>
      <c r="Y999" s="10"/>
      <c r="Z999" s="10"/>
      <c r="AA999" s="10"/>
      <c r="AB999" s="10"/>
      <c r="AC999" s="10"/>
      <c r="AD999" s="10"/>
      <c r="AE999" s="10"/>
      <c r="AF999" s="10"/>
    </row>
    <row r="1000">
      <c r="A1000" s="7"/>
      <c r="B1000" s="8">
        <v>94.0</v>
      </c>
      <c r="C1000" s="8">
        <v>3.0</v>
      </c>
      <c r="D1000" s="8" t="s">
        <v>1513</v>
      </c>
      <c r="E1000" s="7">
        <v>1.0</v>
      </c>
      <c r="F1000" s="7"/>
      <c r="G1000" s="7" t="s">
        <v>312</v>
      </c>
      <c r="H1000" s="7" t="s">
        <v>313</v>
      </c>
      <c r="I1000" s="7" t="s">
        <v>366</v>
      </c>
      <c r="J1000" s="11"/>
      <c r="K1000" s="12"/>
      <c r="L1000" s="12"/>
      <c r="M1000" s="10"/>
      <c r="N1000" s="10"/>
      <c r="O1000" s="10"/>
      <c r="P1000" s="10"/>
      <c r="Q1000" s="10"/>
      <c r="R1000" s="10"/>
      <c r="S1000" s="10"/>
      <c r="T1000" s="10"/>
      <c r="U1000" s="10"/>
      <c r="V1000" s="10"/>
      <c r="W1000" s="10"/>
      <c r="X1000" s="10"/>
      <c r="Y1000" s="10"/>
      <c r="Z1000" s="10"/>
      <c r="AA1000" s="10"/>
      <c r="AB1000" s="10"/>
      <c r="AC1000" s="10"/>
      <c r="AD1000" s="10"/>
      <c r="AE1000" s="10"/>
      <c r="AF1000" s="10"/>
    </row>
    <row r="1001">
      <c r="A1001" s="7"/>
      <c r="B1001" s="8">
        <v>94.0</v>
      </c>
      <c r="C1001" s="8">
        <v>4.0</v>
      </c>
      <c r="D1001" s="8" t="s">
        <v>1514</v>
      </c>
      <c r="E1001" s="7">
        <v>0.0</v>
      </c>
      <c r="F1001" s="7"/>
      <c r="G1001" s="7" t="s">
        <v>312</v>
      </c>
      <c r="H1001" s="7" t="s">
        <v>313</v>
      </c>
      <c r="I1001" s="10"/>
      <c r="J1001" s="11"/>
      <c r="K1001" s="12"/>
      <c r="L1001" s="12"/>
      <c r="M1001" s="10"/>
      <c r="N1001" s="10"/>
      <c r="O1001" s="10"/>
      <c r="P1001" s="10"/>
      <c r="Q1001" s="10"/>
      <c r="R1001" s="10"/>
      <c r="S1001" s="10"/>
      <c r="T1001" s="10"/>
      <c r="U1001" s="10"/>
      <c r="V1001" s="10"/>
      <c r="W1001" s="10"/>
      <c r="X1001" s="10"/>
      <c r="Y1001" s="10"/>
      <c r="Z1001" s="10"/>
      <c r="AA1001" s="10"/>
      <c r="AB1001" s="10"/>
      <c r="AC1001" s="10"/>
      <c r="AD1001" s="10"/>
      <c r="AE1001" s="10"/>
      <c r="AF1001" s="10"/>
    </row>
    <row r="1002">
      <c r="A1002" s="7"/>
      <c r="B1002" s="8">
        <v>94.0</v>
      </c>
      <c r="C1002" s="8">
        <v>5.0</v>
      </c>
      <c r="D1002" s="8" t="s">
        <v>1515</v>
      </c>
      <c r="E1002" s="7">
        <v>0.0</v>
      </c>
      <c r="F1002" s="7"/>
      <c r="G1002" s="7" t="s">
        <v>312</v>
      </c>
      <c r="H1002" s="7" t="s">
        <v>313</v>
      </c>
      <c r="I1002" s="10"/>
      <c r="J1002" s="11"/>
      <c r="K1002" s="8" t="s">
        <v>1516</v>
      </c>
      <c r="L1002" s="12"/>
      <c r="M1002" s="10"/>
      <c r="N1002" s="10"/>
      <c r="O1002" s="10"/>
      <c r="P1002" s="10"/>
      <c r="Q1002" s="10"/>
      <c r="R1002" s="10"/>
      <c r="S1002" s="10"/>
      <c r="T1002" s="10"/>
      <c r="U1002" s="10"/>
      <c r="V1002" s="10"/>
      <c r="W1002" s="10"/>
      <c r="X1002" s="10"/>
      <c r="Y1002" s="10"/>
      <c r="Z1002" s="10"/>
      <c r="AA1002" s="10"/>
      <c r="AB1002" s="10"/>
      <c r="AC1002" s="10"/>
      <c r="AD1002" s="10"/>
      <c r="AE1002" s="10"/>
      <c r="AF1002" s="10"/>
    </row>
    <row r="1003">
      <c r="A1003" s="7"/>
      <c r="B1003" s="8">
        <v>94.0</v>
      </c>
      <c r="C1003" s="8">
        <v>6.0</v>
      </c>
      <c r="D1003" s="8" t="s">
        <v>1517</v>
      </c>
      <c r="E1003" s="7">
        <v>0.0</v>
      </c>
      <c r="F1003" s="7"/>
      <c r="G1003" s="7" t="s">
        <v>312</v>
      </c>
      <c r="H1003" s="7" t="s">
        <v>313</v>
      </c>
      <c r="I1003" s="10"/>
      <c r="J1003" s="11"/>
      <c r="K1003" s="12"/>
      <c r="L1003" s="12"/>
      <c r="M1003" s="10"/>
      <c r="N1003" s="10"/>
      <c r="O1003" s="10"/>
      <c r="P1003" s="10"/>
      <c r="Q1003" s="10"/>
      <c r="R1003" s="10"/>
      <c r="S1003" s="10"/>
      <c r="T1003" s="10"/>
      <c r="U1003" s="10"/>
      <c r="V1003" s="10"/>
      <c r="W1003" s="10"/>
      <c r="X1003" s="10"/>
      <c r="Y1003" s="10"/>
      <c r="Z1003" s="10"/>
      <c r="AA1003" s="10"/>
      <c r="AB1003" s="10"/>
      <c r="AC1003" s="10"/>
      <c r="AD1003" s="10"/>
      <c r="AE1003" s="10"/>
      <c r="AF1003" s="10"/>
    </row>
    <row r="1004">
      <c r="A1004" s="7"/>
      <c r="B1004" s="8">
        <v>94.0</v>
      </c>
      <c r="C1004" s="8">
        <v>7.0</v>
      </c>
      <c r="D1004" s="8" t="s">
        <v>1518</v>
      </c>
      <c r="E1004" s="7">
        <v>0.0</v>
      </c>
      <c r="F1004" s="7"/>
      <c r="G1004" s="7" t="s">
        <v>312</v>
      </c>
      <c r="H1004" s="7" t="s">
        <v>313</v>
      </c>
      <c r="I1004" s="10"/>
      <c r="J1004" s="11"/>
      <c r="K1004" s="8" t="s">
        <v>1519</v>
      </c>
      <c r="L1004" s="12"/>
      <c r="M1004" s="10"/>
      <c r="N1004" s="10"/>
      <c r="O1004" s="10"/>
      <c r="P1004" s="10"/>
      <c r="Q1004" s="10"/>
      <c r="R1004" s="10"/>
      <c r="S1004" s="10"/>
      <c r="T1004" s="10"/>
      <c r="U1004" s="10"/>
      <c r="V1004" s="10"/>
      <c r="W1004" s="10"/>
      <c r="X1004" s="10"/>
      <c r="Y1004" s="10"/>
      <c r="Z1004" s="10"/>
      <c r="AA1004" s="10"/>
      <c r="AB1004" s="10"/>
      <c r="AC1004" s="10"/>
      <c r="AD1004" s="10"/>
      <c r="AE1004" s="10"/>
      <c r="AF1004" s="10"/>
    </row>
    <row r="1005">
      <c r="A1005" s="7"/>
      <c r="B1005" s="8">
        <v>94.0</v>
      </c>
      <c r="C1005" s="8">
        <v>8.0</v>
      </c>
      <c r="D1005" s="8" t="s">
        <v>1520</v>
      </c>
      <c r="E1005" s="7">
        <v>0.0</v>
      </c>
      <c r="F1005" s="7"/>
      <c r="G1005" s="7" t="s">
        <v>312</v>
      </c>
      <c r="H1005" s="7" t="s">
        <v>313</v>
      </c>
      <c r="I1005" s="10"/>
      <c r="J1005" s="11"/>
      <c r="K1005" s="12"/>
      <c r="L1005" s="12"/>
      <c r="M1005" s="10"/>
      <c r="N1005" s="10"/>
      <c r="O1005" s="10"/>
      <c r="P1005" s="10"/>
      <c r="Q1005" s="10"/>
      <c r="R1005" s="10"/>
      <c r="S1005" s="10"/>
      <c r="T1005" s="10"/>
      <c r="U1005" s="10"/>
      <c r="V1005" s="10"/>
      <c r="W1005" s="10"/>
      <c r="X1005" s="10"/>
      <c r="Y1005" s="10"/>
      <c r="Z1005" s="10"/>
      <c r="AA1005" s="10"/>
      <c r="AB1005" s="10"/>
      <c r="AC1005" s="10"/>
      <c r="AD1005" s="10"/>
      <c r="AE1005" s="10"/>
      <c r="AF1005" s="10"/>
    </row>
    <row r="1006">
      <c r="A1006" s="7"/>
      <c r="B1006" s="8">
        <v>94.0</v>
      </c>
      <c r="C1006" s="8">
        <v>9.0</v>
      </c>
      <c r="D1006" s="8" t="s">
        <v>1521</v>
      </c>
      <c r="E1006" s="7">
        <v>0.0</v>
      </c>
      <c r="F1006" s="7"/>
      <c r="G1006" s="7" t="s">
        <v>312</v>
      </c>
      <c r="H1006" s="7" t="s">
        <v>313</v>
      </c>
      <c r="I1006" s="10"/>
      <c r="J1006" s="11"/>
      <c r="K1006" s="12"/>
      <c r="L1006" s="12"/>
      <c r="M1006" s="10"/>
      <c r="N1006" s="10"/>
      <c r="O1006" s="10"/>
      <c r="P1006" s="10"/>
      <c r="Q1006" s="10"/>
      <c r="R1006" s="10"/>
      <c r="S1006" s="10"/>
      <c r="T1006" s="10"/>
      <c r="U1006" s="10"/>
      <c r="V1006" s="10"/>
      <c r="W1006" s="10"/>
      <c r="X1006" s="10"/>
      <c r="Y1006" s="10"/>
      <c r="Z1006" s="10"/>
      <c r="AA1006" s="10"/>
      <c r="AB1006" s="10"/>
      <c r="AC1006" s="10"/>
      <c r="AD1006" s="10"/>
      <c r="AE1006" s="10"/>
      <c r="AF1006" s="10"/>
    </row>
    <row r="1007">
      <c r="A1007" s="7"/>
      <c r="B1007" s="8">
        <v>94.0</v>
      </c>
      <c r="C1007" s="8">
        <v>10.0</v>
      </c>
      <c r="D1007" s="8" t="s">
        <v>1522</v>
      </c>
      <c r="E1007" s="7">
        <v>0.0</v>
      </c>
      <c r="F1007" s="7"/>
      <c r="G1007" s="7" t="s">
        <v>312</v>
      </c>
      <c r="H1007" s="7" t="s">
        <v>313</v>
      </c>
      <c r="I1007" s="10"/>
      <c r="J1007" s="11"/>
      <c r="K1007" s="8" t="s">
        <v>1519</v>
      </c>
      <c r="L1007" s="12"/>
      <c r="M1007" s="10"/>
      <c r="N1007" s="10"/>
      <c r="O1007" s="10"/>
      <c r="P1007" s="10"/>
      <c r="Q1007" s="10"/>
      <c r="R1007" s="10"/>
      <c r="S1007" s="10"/>
      <c r="T1007" s="10"/>
      <c r="U1007" s="10"/>
      <c r="V1007" s="10"/>
      <c r="W1007" s="10"/>
      <c r="X1007" s="10"/>
      <c r="Y1007" s="10"/>
      <c r="Z1007" s="10"/>
      <c r="AA1007" s="10"/>
      <c r="AB1007" s="10"/>
      <c r="AC1007" s="10"/>
      <c r="AD1007" s="10"/>
      <c r="AE1007" s="10"/>
      <c r="AF1007" s="10"/>
    </row>
    <row r="1008">
      <c r="A1008" s="7"/>
      <c r="B1008" s="8">
        <v>94.0</v>
      </c>
      <c r="C1008" s="8">
        <v>11.0</v>
      </c>
      <c r="D1008" s="8" t="s">
        <v>1523</v>
      </c>
      <c r="E1008" s="7">
        <v>0.0</v>
      </c>
      <c r="F1008" s="7"/>
      <c r="G1008" s="7" t="s">
        <v>312</v>
      </c>
      <c r="H1008" s="7" t="s">
        <v>313</v>
      </c>
      <c r="I1008" s="7" t="s">
        <v>320</v>
      </c>
      <c r="J1008" s="16" t="s">
        <v>1524</v>
      </c>
      <c r="K1008" s="12"/>
      <c r="L1008" s="12"/>
      <c r="M1008" s="10"/>
      <c r="N1008" s="10"/>
      <c r="O1008" s="10"/>
      <c r="P1008" s="10"/>
      <c r="Q1008" s="10"/>
      <c r="R1008" s="10"/>
      <c r="S1008" s="10"/>
      <c r="T1008" s="10"/>
      <c r="U1008" s="10"/>
      <c r="V1008" s="10"/>
      <c r="W1008" s="10"/>
      <c r="X1008" s="10"/>
      <c r="Y1008" s="10"/>
      <c r="Z1008" s="10"/>
      <c r="AA1008" s="10"/>
      <c r="AB1008" s="10"/>
      <c r="AC1008" s="10"/>
      <c r="AD1008" s="10"/>
      <c r="AE1008" s="10"/>
      <c r="AF1008" s="10"/>
    </row>
    <row r="1009">
      <c r="A1009" s="7"/>
      <c r="B1009" s="8">
        <v>94.0</v>
      </c>
      <c r="C1009" s="8">
        <v>12.0</v>
      </c>
      <c r="D1009" s="8" t="s">
        <v>1525</v>
      </c>
      <c r="E1009" s="7">
        <v>0.0</v>
      </c>
      <c r="F1009" s="7"/>
      <c r="G1009" s="7" t="s">
        <v>312</v>
      </c>
      <c r="H1009" s="7" t="s">
        <v>313</v>
      </c>
      <c r="I1009" s="10"/>
      <c r="J1009" s="11"/>
      <c r="K1009" s="12"/>
      <c r="L1009" s="12"/>
      <c r="M1009" s="10"/>
      <c r="N1009" s="10"/>
      <c r="O1009" s="10"/>
      <c r="P1009" s="10"/>
      <c r="Q1009" s="10"/>
      <c r="R1009" s="10"/>
      <c r="S1009" s="10"/>
      <c r="T1009" s="10"/>
      <c r="U1009" s="10"/>
      <c r="V1009" s="10"/>
      <c r="W1009" s="10"/>
      <c r="X1009" s="10"/>
      <c r="Y1009" s="10"/>
      <c r="Z1009" s="10"/>
      <c r="AA1009" s="10"/>
      <c r="AB1009" s="10"/>
      <c r="AC1009" s="10"/>
      <c r="AD1009" s="10"/>
      <c r="AE1009" s="10"/>
      <c r="AF1009" s="10"/>
    </row>
    <row r="1010">
      <c r="A1010" s="7"/>
      <c r="B1010" s="8">
        <v>94.0</v>
      </c>
      <c r="C1010" s="8">
        <v>13.0</v>
      </c>
      <c r="D1010" s="8" t="s">
        <v>1526</v>
      </c>
      <c r="E1010" s="7">
        <v>0.0</v>
      </c>
      <c r="F1010" s="7" t="s">
        <v>320</v>
      </c>
      <c r="G1010" s="7" t="s">
        <v>312</v>
      </c>
      <c r="H1010" s="7" t="s">
        <v>313</v>
      </c>
      <c r="I1010" s="7" t="s">
        <v>320</v>
      </c>
      <c r="J1010" s="9" t="s">
        <v>1527</v>
      </c>
      <c r="K1010" s="12"/>
      <c r="L1010" s="12"/>
      <c r="M1010" s="10"/>
      <c r="N1010" s="10"/>
      <c r="O1010" s="10"/>
      <c r="P1010" s="10"/>
      <c r="Q1010" s="10"/>
      <c r="R1010" s="10"/>
      <c r="S1010" s="10"/>
      <c r="T1010" s="10"/>
      <c r="U1010" s="10"/>
      <c r="V1010" s="10"/>
      <c r="W1010" s="10"/>
      <c r="X1010" s="10"/>
      <c r="Y1010" s="10"/>
      <c r="Z1010" s="10"/>
      <c r="AA1010" s="10"/>
      <c r="AB1010" s="10"/>
      <c r="AC1010" s="10"/>
      <c r="AD1010" s="10"/>
      <c r="AE1010" s="10"/>
      <c r="AF1010" s="10"/>
    </row>
    <row r="1011">
      <c r="A1011" s="7"/>
      <c r="B1011" s="8">
        <v>94.0</v>
      </c>
      <c r="C1011" s="8">
        <v>14.0</v>
      </c>
      <c r="D1011" s="8" t="s">
        <v>1528</v>
      </c>
      <c r="E1011" s="7">
        <v>0.0</v>
      </c>
      <c r="F1011" s="7"/>
      <c r="G1011" s="7" t="s">
        <v>312</v>
      </c>
      <c r="H1011" s="7" t="s">
        <v>313</v>
      </c>
      <c r="I1011" s="10"/>
      <c r="J1011" s="11"/>
      <c r="K1011" s="12"/>
      <c r="L1011" s="12"/>
      <c r="M1011" s="10"/>
      <c r="N1011" s="10"/>
      <c r="O1011" s="10"/>
      <c r="P1011" s="10"/>
      <c r="Q1011" s="10"/>
      <c r="R1011" s="10"/>
      <c r="S1011" s="10"/>
      <c r="T1011" s="10"/>
      <c r="U1011" s="10"/>
      <c r="V1011" s="10"/>
      <c r="W1011" s="10"/>
      <c r="X1011" s="10"/>
      <c r="Y1011" s="10"/>
      <c r="Z1011" s="10"/>
      <c r="AA1011" s="10"/>
      <c r="AB1011" s="10"/>
      <c r="AC1011" s="10"/>
      <c r="AD1011" s="10"/>
      <c r="AE1011" s="10"/>
      <c r="AF1011" s="10"/>
    </row>
    <row r="1012">
      <c r="A1012" s="7"/>
      <c r="B1012" s="8">
        <v>94.0</v>
      </c>
      <c r="C1012" s="8">
        <v>15.0</v>
      </c>
      <c r="D1012" s="8" t="s">
        <v>1529</v>
      </c>
      <c r="E1012" s="7">
        <v>0.0</v>
      </c>
      <c r="F1012" s="7"/>
      <c r="G1012" s="7" t="s">
        <v>312</v>
      </c>
      <c r="H1012" s="7" t="s">
        <v>313</v>
      </c>
      <c r="I1012" s="10"/>
      <c r="J1012" s="11"/>
      <c r="K1012" s="8" t="s">
        <v>1530</v>
      </c>
      <c r="L1012" s="12"/>
      <c r="M1012" s="10"/>
      <c r="N1012" s="10"/>
      <c r="O1012" s="10"/>
      <c r="P1012" s="10"/>
      <c r="Q1012" s="10"/>
      <c r="R1012" s="10"/>
      <c r="S1012" s="10"/>
      <c r="T1012" s="10"/>
      <c r="U1012" s="10"/>
      <c r="V1012" s="10"/>
      <c r="W1012" s="10"/>
      <c r="X1012" s="10"/>
      <c r="Y1012" s="10"/>
      <c r="Z1012" s="10"/>
      <c r="AA1012" s="10"/>
      <c r="AB1012" s="10"/>
      <c r="AC1012" s="10"/>
      <c r="AD1012" s="10"/>
      <c r="AE1012" s="10"/>
      <c r="AF1012" s="10"/>
    </row>
    <row r="1013">
      <c r="A1013" s="10"/>
      <c r="B1013" s="12"/>
      <c r="C1013" s="12"/>
      <c r="D1013" s="12"/>
      <c r="E1013" s="10"/>
      <c r="F1013" s="10"/>
      <c r="G1013" s="10"/>
      <c r="H1013" s="10"/>
      <c r="I1013" s="10"/>
      <c r="J1013" s="11"/>
      <c r="K1013" s="12"/>
      <c r="L1013" s="12"/>
      <c r="M1013" s="10"/>
      <c r="N1013" s="10"/>
      <c r="O1013" s="10"/>
      <c r="P1013" s="10"/>
      <c r="Q1013" s="10"/>
      <c r="R1013" s="10"/>
      <c r="S1013" s="10"/>
      <c r="T1013" s="10"/>
      <c r="U1013" s="10"/>
      <c r="V1013" s="10"/>
      <c r="W1013" s="10"/>
      <c r="X1013" s="10"/>
      <c r="Y1013" s="10"/>
      <c r="Z1013" s="10"/>
      <c r="AA1013" s="10"/>
      <c r="AB1013" s="10"/>
      <c r="AC1013" s="10"/>
      <c r="AD1013" s="10"/>
      <c r="AE1013" s="10"/>
      <c r="AF1013" s="10"/>
    </row>
    <row r="1014">
      <c r="A1014" s="7"/>
      <c r="B1014" s="8">
        <v>95.0</v>
      </c>
      <c r="C1014" s="8">
        <v>1.0</v>
      </c>
      <c r="D1014" s="8" t="s">
        <v>1531</v>
      </c>
      <c r="E1014" s="7">
        <v>1.0</v>
      </c>
      <c r="F1014" s="7"/>
      <c r="G1014" s="7" t="s">
        <v>312</v>
      </c>
      <c r="H1014" s="7" t="s">
        <v>313</v>
      </c>
      <c r="I1014" s="10"/>
      <c r="J1014" s="9" t="s">
        <v>1532</v>
      </c>
      <c r="K1014" s="12"/>
      <c r="L1014" s="15" t="s">
        <v>1533</v>
      </c>
      <c r="M1014" s="10"/>
      <c r="N1014" s="10"/>
      <c r="O1014" s="10"/>
      <c r="P1014" s="10"/>
      <c r="Q1014" s="10"/>
      <c r="R1014" s="10"/>
      <c r="S1014" s="10"/>
      <c r="T1014" s="10"/>
      <c r="U1014" s="10"/>
      <c r="V1014" s="10"/>
      <c r="W1014" s="10"/>
      <c r="X1014" s="10"/>
      <c r="Y1014" s="10"/>
      <c r="Z1014" s="10"/>
      <c r="AA1014" s="10"/>
      <c r="AB1014" s="10"/>
      <c r="AC1014" s="10"/>
      <c r="AD1014" s="10"/>
      <c r="AE1014" s="10"/>
      <c r="AF1014" s="10"/>
    </row>
    <row r="1015">
      <c r="A1015" s="7"/>
      <c r="B1015" s="8">
        <v>95.0</v>
      </c>
      <c r="C1015" s="8">
        <v>2.0</v>
      </c>
      <c r="D1015" s="8" t="s">
        <v>1534</v>
      </c>
      <c r="E1015" s="7">
        <v>1.0</v>
      </c>
      <c r="F1015" s="7"/>
      <c r="G1015" s="7" t="s">
        <v>312</v>
      </c>
      <c r="H1015" s="7" t="s">
        <v>313</v>
      </c>
      <c r="I1015" s="10"/>
      <c r="J1015" s="11"/>
      <c r="K1015" s="12"/>
      <c r="L1015" s="12"/>
      <c r="M1015" s="10"/>
      <c r="N1015" s="10"/>
      <c r="O1015" s="10"/>
      <c r="P1015" s="10"/>
      <c r="Q1015" s="10"/>
      <c r="R1015" s="10"/>
      <c r="S1015" s="10"/>
      <c r="T1015" s="10"/>
      <c r="U1015" s="10"/>
      <c r="V1015" s="10"/>
      <c r="W1015" s="10"/>
      <c r="X1015" s="10"/>
      <c r="Y1015" s="10"/>
      <c r="Z1015" s="10"/>
      <c r="AA1015" s="10"/>
      <c r="AB1015" s="10"/>
      <c r="AC1015" s="10"/>
      <c r="AD1015" s="10"/>
      <c r="AE1015" s="10"/>
      <c r="AF1015" s="10"/>
    </row>
    <row r="1016">
      <c r="A1016" s="7"/>
      <c r="B1016" s="8">
        <v>95.0</v>
      </c>
      <c r="C1016" s="8">
        <v>3.0</v>
      </c>
      <c r="D1016" s="8" t="s">
        <v>1535</v>
      </c>
      <c r="E1016" s="7">
        <v>0.0</v>
      </c>
      <c r="F1016" s="7"/>
      <c r="G1016" s="7" t="s">
        <v>312</v>
      </c>
      <c r="H1016" s="7" t="s">
        <v>313</v>
      </c>
      <c r="I1016" s="10"/>
      <c r="J1016" s="11"/>
      <c r="K1016" s="12"/>
      <c r="L1016" s="12"/>
      <c r="M1016" s="10"/>
      <c r="N1016" s="10"/>
      <c r="O1016" s="10"/>
      <c r="P1016" s="10"/>
      <c r="Q1016" s="10"/>
      <c r="R1016" s="10"/>
      <c r="S1016" s="10"/>
      <c r="T1016" s="10"/>
      <c r="U1016" s="10"/>
      <c r="V1016" s="10"/>
      <c r="W1016" s="10"/>
      <c r="X1016" s="10"/>
      <c r="Y1016" s="10"/>
      <c r="Z1016" s="10"/>
      <c r="AA1016" s="10"/>
      <c r="AB1016" s="10"/>
      <c r="AC1016" s="10"/>
      <c r="AD1016" s="10"/>
      <c r="AE1016" s="10"/>
      <c r="AF1016" s="10"/>
    </row>
    <row r="1017">
      <c r="A1017" s="10"/>
      <c r="B1017" s="12"/>
      <c r="C1017" s="12"/>
      <c r="D1017" s="12"/>
      <c r="E1017" s="10"/>
      <c r="F1017" s="10"/>
      <c r="G1017" s="10"/>
      <c r="H1017" s="10"/>
      <c r="I1017" s="10"/>
      <c r="J1017" s="11"/>
      <c r="K1017" s="12"/>
      <c r="L1017" s="12"/>
      <c r="M1017" s="10"/>
      <c r="N1017" s="10"/>
      <c r="O1017" s="10"/>
      <c r="P1017" s="10"/>
      <c r="Q1017" s="10"/>
      <c r="R1017" s="10"/>
      <c r="S1017" s="10"/>
      <c r="T1017" s="10"/>
      <c r="U1017" s="10"/>
      <c r="V1017" s="10"/>
      <c r="W1017" s="10"/>
      <c r="X1017" s="10"/>
      <c r="Y1017" s="10"/>
      <c r="Z1017" s="10"/>
      <c r="AA1017" s="10"/>
      <c r="AB1017" s="10"/>
      <c r="AC1017" s="10"/>
      <c r="AD1017" s="10"/>
      <c r="AE1017" s="10"/>
      <c r="AF1017" s="10"/>
    </row>
    <row r="1018">
      <c r="A1018" s="7"/>
      <c r="B1018" s="8">
        <v>96.0</v>
      </c>
      <c r="C1018" s="8">
        <v>1.0</v>
      </c>
      <c r="D1018" s="8" t="s">
        <v>1536</v>
      </c>
      <c r="E1018" s="7">
        <v>1.0</v>
      </c>
      <c r="F1018" s="7"/>
      <c r="G1018" s="7" t="s">
        <v>312</v>
      </c>
      <c r="H1018" s="7" t="s">
        <v>313</v>
      </c>
      <c r="I1018" s="10"/>
      <c r="J1018" s="9" t="s">
        <v>1537</v>
      </c>
      <c r="K1018" s="12"/>
      <c r="L1018" s="15" t="s">
        <v>1538</v>
      </c>
      <c r="M1018" s="10"/>
      <c r="N1018" s="10"/>
      <c r="O1018" s="10"/>
      <c r="P1018" s="10"/>
      <c r="Q1018" s="10"/>
      <c r="R1018" s="10"/>
      <c r="S1018" s="10"/>
      <c r="T1018" s="10"/>
      <c r="U1018" s="10"/>
      <c r="V1018" s="10"/>
      <c r="W1018" s="10"/>
      <c r="X1018" s="10"/>
      <c r="Y1018" s="10"/>
      <c r="Z1018" s="10"/>
      <c r="AA1018" s="10"/>
      <c r="AB1018" s="10"/>
      <c r="AC1018" s="10"/>
      <c r="AD1018" s="10"/>
      <c r="AE1018" s="10"/>
      <c r="AF1018" s="10"/>
    </row>
    <row r="1019">
      <c r="A1019" s="7"/>
      <c r="B1019" s="8">
        <v>96.0</v>
      </c>
      <c r="C1019" s="8">
        <v>2.0</v>
      </c>
      <c r="D1019" s="8" t="s">
        <v>1539</v>
      </c>
      <c r="E1019" s="7">
        <v>1.0</v>
      </c>
      <c r="F1019" s="7"/>
      <c r="G1019" s="7" t="s">
        <v>312</v>
      </c>
      <c r="H1019" s="7" t="s">
        <v>313</v>
      </c>
      <c r="I1019" s="10"/>
      <c r="J1019" s="11"/>
      <c r="K1019" s="12"/>
      <c r="L1019" s="12"/>
      <c r="M1019" s="10"/>
      <c r="N1019" s="10"/>
      <c r="O1019" s="10"/>
      <c r="P1019" s="10"/>
      <c r="Q1019" s="10"/>
      <c r="R1019" s="10"/>
      <c r="S1019" s="10"/>
      <c r="T1019" s="10"/>
      <c r="U1019" s="10"/>
      <c r="V1019" s="10"/>
      <c r="W1019" s="10"/>
      <c r="X1019" s="10"/>
      <c r="Y1019" s="10"/>
      <c r="Z1019" s="10"/>
      <c r="AA1019" s="10"/>
      <c r="AB1019" s="10"/>
      <c r="AC1019" s="10"/>
      <c r="AD1019" s="10"/>
      <c r="AE1019" s="10"/>
      <c r="AF1019" s="10"/>
    </row>
    <row r="1020">
      <c r="A1020" s="7"/>
      <c r="B1020" s="8">
        <v>96.0</v>
      </c>
      <c r="C1020" s="8">
        <v>3.0</v>
      </c>
      <c r="D1020" s="8" t="s">
        <v>1540</v>
      </c>
      <c r="E1020" s="7">
        <v>0.0</v>
      </c>
      <c r="F1020" s="7"/>
      <c r="G1020" s="7" t="s">
        <v>312</v>
      </c>
      <c r="H1020" s="7" t="s">
        <v>313</v>
      </c>
      <c r="I1020" s="10"/>
      <c r="J1020" s="11"/>
      <c r="K1020" s="12"/>
      <c r="L1020" s="12"/>
      <c r="M1020" s="10"/>
      <c r="N1020" s="10"/>
      <c r="O1020" s="10"/>
      <c r="P1020" s="10"/>
      <c r="Q1020" s="10"/>
      <c r="R1020" s="10"/>
      <c r="S1020" s="10"/>
      <c r="T1020" s="10"/>
      <c r="U1020" s="10"/>
      <c r="V1020" s="10"/>
      <c r="W1020" s="10"/>
      <c r="X1020" s="10"/>
      <c r="Y1020" s="10"/>
      <c r="Z1020" s="10"/>
      <c r="AA1020" s="10"/>
      <c r="AB1020" s="10"/>
      <c r="AC1020" s="10"/>
      <c r="AD1020" s="10"/>
      <c r="AE1020" s="10"/>
      <c r="AF1020" s="10"/>
    </row>
    <row r="1021">
      <c r="A1021" s="10"/>
      <c r="B1021" s="12"/>
      <c r="C1021" s="12"/>
      <c r="D1021" s="12"/>
      <c r="E1021" s="10"/>
      <c r="F1021" s="10"/>
      <c r="G1021" s="10"/>
      <c r="H1021" s="10"/>
      <c r="I1021" s="10"/>
      <c r="J1021" s="11"/>
      <c r="K1021" s="12"/>
      <c r="L1021" s="12"/>
      <c r="M1021" s="10"/>
      <c r="N1021" s="10"/>
      <c r="O1021" s="10"/>
      <c r="P1021" s="10"/>
      <c r="Q1021" s="10"/>
      <c r="R1021" s="10"/>
      <c r="S1021" s="10"/>
      <c r="T1021" s="10"/>
      <c r="U1021" s="10"/>
      <c r="V1021" s="10"/>
      <c r="W1021" s="10"/>
      <c r="X1021" s="10"/>
      <c r="Y1021" s="10"/>
      <c r="Z1021" s="10"/>
      <c r="AA1021" s="10"/>
      <c r="AB1021" s="10"/>
      <c r="AC1021" s="10"/>
      <c r="AD1021" s="10"/>
      <c r="AE1021" s="10"/>
      <c r="AF1021" s="10"/>
    </row>
    <row r="1022">
      <c r="A1022" s="7"/>
      <c r="B1022" s="8">
        <v>97.0</v>
      </c>
      <c r="C1022" s="8">
        <v>1.0</v>
      </c>
      <c r="D1022" s="8" t="s">
        <v>1541</v>
      </c>
      <c r="E1022" s="7">
        <v>1.0</v>
      </c>
      <c r="F1022" s="7"/>
      <c r="G1022" s="7" t="s">
        <v>312</v>
      </c>
      <c r="H1022" s="7" t="s">
        <v>313</v>
      </c>
      <c r="I1022" s="10"/>
      <c r="J1022" s="9" t="s">
        <v>1542</v>
      </c>
      <c r="K1022" s="12"/>
      <c r="L1022" s="12"/>
      <c r="M1022" s="10"/>
      <c r="N1022" s="10"/>
      <c r="O1022" s="10"/>
      <c r="P1022" s="10"/>
      <c r="Q1022" s="10"/>
      <c r="R1022" s="10"/>
      <c r="S1022" s="10"/>
      <c r="T1022" s="10"/>
      <c r="U1022" s="10"/>
      <c r="V1022" s="10"/>
      <c r="W1022" s="10"/>
      <c r="X1022" s="10"/>
      <c r="Y1022" s="10"/>
      <c r="Z1022" s="10"/>
      <c r="AA1022" s="10"/>
      <c r="AB1022" s="10"/>
      <c r="AC1022" s="10"/>
      <c r="AD1022" s="10"/>
      <c r="AE1022" s="10"/>
      <c r="AF1022" s="10"/>
    </row>
    <row r="1023">
      <c r="A1023" s="7"/>
      <c r="B1023" s="8">
        <v>97.0</v>
      </c>
      <c r="C1023" s="8">
        <v>2.0</v>
      </c>
      <c r="D1023" s="8" t="s">
        <v>1543</v>
      </c>
      <c r="E1023" s="7">
        <v>0.0</v>
      </c>
      <c r="F1023" s="7"/>
      <c r="G1023" s="7" t="s">
        <v>312</v>
      </c>
      <c r="H1023" s="7" t="s">
        <v>313</v>
      </c>
      <c r="I1023" s="10"/>
      <c r="J1023" s="9" t="s">
        <v>1544</v>
      </c>
      <c r="K1023" s="12"/>
      <c r="L1023" s="12"/>
      <c r="M1023" s="10"/>
      <c r="N1023" s="10"/>
      <c r="O1023" s="10"/>
      <c r="P1023" s="10"/>
      <c r="Q1023" s="10"/>
      <c r="R1023" s="10"/>
      <c r="S1023" s="10"/>
      <c r="T1023" s="10"/>
      <c r="U1023" s="10"/>
      <c r="V1023" s="10"/>
      <c r="W1023" s="10"/>
      <c r="X1023" s="10"/>
      <c r="Y1023" s="10"/>
      <c r="Z1023" s="10"/>
      <c r="AA1023" s="10"/>
      <c r="AB1023" s="10"/>
      <c r="AC1023" s="10"/>
      <c r="AD1023" s="10"/>
      <c r="AE1023" s="10"/>
      <c r="AF1023" s="10"/>
    </row>
    <row r="1024">
      <c r="A1024" s="7"/>
      <c r="B1024" s="8">
        <v>97.0</v>
      </c>
      <c r="C1024" s="8">
        <v>3.0</v>
      </c>
      <c r="D1024" s="8" t="s">
        <v>1545</v>
      </c>
      <c r="E1024" s="7">
        <v>0.0</v>
      </c>
      <c r="F1024" s="7"/>
      <c r="G1024" s="7" t="s">
        <v>312</v>
      </c>
      <c r="H1024" s="7" t="s">
        <v>313</v>
      </c>
      <c r="I1024" s="10"/>
      <c r="J1024" s="11"/>
      <c r="K1024" s="12"/>
      <c r="L1024" s="12"/>
      <c r="M1024" s="10"/>
      <c r="N1024" s="10"/>
      <c r="O1024" s="10"/>
      <c r="P1024" s="10"/>
      <c r="Q1024" s="10"/>
      <c r="R1024" s="10"/>
      <c r="S1024" s="10"/>
      <c r="T1024" s="10"/>
      <c r="U1024" s="10"/>
      <c r="V1024" s="10"/>
      <c r="W1024" s="10"/>
      <c r="X1024" s="10"/>
      <c r="Y1024" s="10"/>
      <c r="Z1024" s="10"/>
      <c r="AA1024" s="10"/>
      <c r="AB1024" s="10"/>
      <c r="AC1024" s="10"/>
      <c r="AD1024" s="10"/>
      <c r="AE1024" s="10"/>
      <c r="AF1024" s="10"/>
    </row>
    <row r="1025">
      <c r="A1025" s="7"/>
      <c r="B1025" s="8">
        <v>97.0</v>
      </c>
      <c r="C1025" s="8">
        <v>4.0</v>
      </c>
      <c r="D1025" s="8" t="s">
        <v>1546</v>
      </c>
      <c r="E1025" s="7">
        <v>1.0</v>
      </c>
      <c r="F1025" s="7" t="s">
        <v>320</v>
      </c>
      <c r="G1025" s="7" t="s">
        <v>312</v>
      </c>
      <c r="H1025" s="7" t="s">
        <v>313</v>
      </c>
      <c r="I1025" s="7" t="s">
        <v>366</v>
      </c>
      <c r="J1025" s="9" t="s">
        <v>1547</v>
      </c>
      <c r="K1025" s="12"/>
      <c r="L1025" s="12"/>
      <c r="M1025" s="10"/>
      <c r="N1025" s="10"/>
      <c r="O1025" s="10"/>
      <c r="P1025" s="10"/>
      <c r="Q1025" s="10"/>
      <c r="R1025" s="10"/>
      <c r="S1025" s="10"/>
      <c r="T1025" s="10"/>
      <c r="U1025" s="10"/>
      <c r="V1025" s="10"/>
      <c r="W1025" s="10"/>
      <c r="X1025" s="10"/>
      <c r="Y1025" s="10"/>
      <c r="Z1025" s="10"/>
      <c r="AA1025" s="10"/>
      <c r="AB1025" s="10"/>
      <c r="AC1025" s="10"/>
      <c r="AD1025" s="10"/>
      <c r="AE1025" s="10"/>
      <c r="AF1025" s="10"/>
    </row>
    <row r="1026">
      <c r="A1026" s="7"/>
      <c r="B1026" s="8">
        <v>97.0</v>
      </c>
      <c r="C1026" s="8">
        <v>5.0</v>
      </c>
      <c r="D1026" s="8" t="s">
        <v>1548</v>
      </c>
      <c r="E1026" s="7">
        <v>0.0</v>
      </c>
      <c r="F1026" s="7" t="s">
        <v>320</v>
      </c>
      <c r="G1026" s="7" t="s">
        <v>312</v>
      </c>
      <c r="H1026" s="7" t="s">
        <v>313</v>
      </c>
      <c r="I1026" s="7" t="s">
        <v>366</v>
      </c>
      <c r="J1026" s="9" t="s">
        <v>1549</v>
      </c>
      <c r="K1026" s="12"/>
      <c r="L1026" s="12"/>
      <c r="M1026" s="10"/>
      <c r="N1026" s="10"/>
      <c r="O1026" s="10"/>
      <c r="P1026" s="10"/>
      <c r="Q1026" s="10"/>
      <c r="R1026" s="10"/>
      <c r="S1026" s="10"/>
      <c r="T1026" s="10"/>
      <c r="U1026" s="10"/>
      <c r="V1026" s="10"/>
      <c r="W1026" s="10"/>
      <c r="X1026" s="10"/>
      <c r="Y1026" s="10"/>
      <c r="Z1026" s="10"/>
      <c r="AA1026" s="10"/>
      <c r="AB1026" s="10"/>
      <c r="AC1026" s="10"/>
      <c r="AD1026" s="10"/>
      <c r="AE1026" s="10"/>
      <c r="AF1026" s="10"/>
    </row>
    <row r="1027">
      <c r="A1027" s="7"/>
      <c r="B1027" s="8">
        <v>97.0</v>
      </c>
      <c r="C1027" s="8">
        <v>6.0</v>
      </c>
      <c r="D1027" s="8" t="s">
        <v>1550</v>
      </c>
      <c r="E1027" s="7">
        <v>0.0</v>
      </c>
      <c r="F1027" s="7"/>
      <c r="G1027" s="7" t="s">
        <v>312</v>
      </c>
      <c r="H1027" s="7" t="s">
        <v>313</v>
      </c>
      <c r="I1027" s="10"/>
      <c r="J1027" s="11"/>
      <c r="K1027" s="12"/>
      <c r="L1027" s="12"/>
      <c r="M1027" s="10"/>
      <c r="N1027" s="10"/>
      <c r="O1027" s="10"/>
      <c r="P1027" s="10"/>
      <c r="Q1027" s="10"/>
      <c r="R1027" s="10"/>
      <c r="S1027" s="10"/>
      <c r="T1027" s="10"/>
      <c r="U1027" s="10"/>
      <c r="V1027" s="10"/>
      <c r="W1027" s="10"/>
      <c r="X1027" s="10"/>
      <c r="Y1027" s="10"/>
      <c r="Z1027" s="10"/>
      <c r="AA1027" s="10"/>
      <c r="AB1027" s="10"/>
      <c r="AC1027" s="10"/>
      <c r="AD1027" s="10"/>
      <c r="AE1027" s="10"/>
      <c r="AF1027" s="10"/>
    </row>
    <row r="1028">
      <c r="A1028" s="7"/>
      <c r="B1028" s="8">
        <v>97.0</v>
      </c>
      <c r="C1028" s="8">
        <v>7.0</v>
      </c>
      <c r="D1028" s="8" t="s">
        <v>1551</v>
      </c>
      <c r="E1028" s="7">
        <v>0.0</v>
      </c>
      <c r="F1028" s="7"/>
      <c r="G1028" s="7" t="s">
        <v>312</v>
      </c>
      <c r="H1028" s="7" t="s">
        <v>313</v>
      </c>
      <c r="I1028" s="10"/>
      <c r="J1028" s="11"/>
      <c r="K1028" s="12"/>
      <c r="L1028" s="12"/>
      <c r="M1028" s="10"/>
      <c r="N1028" s="10"/>
      <c r="O1028" s="10"/>
      <c r="P1028" s="10"/>
      <c r="Q1028" s="10"/>
      <c r="R1028" s="10"/>
      <c r="S1028" s="10"/>
      <c r="T1028" s="10"/>
      <c r="U1028" s="10"/>
      <c r="V1028" s="10"/>
      <c r="W1028" s="10"/>
      <c r="X1028" s="10"/>
      <c r="Y1028" s="10"/>
      <c r="Z1028" s="10"/>
      <c r="AA1028" s="10"/>
      <c r="AB1028" s="10"/>
      <c r="AC1028" s="10"/>
      <c r="AD1028" s="10"/>
      <c r="AE1028" s="10"/>
      <c r="AF1028" s="10"/>
    </row>
    <row r="1029">
      <c r="A1029" s="7"/>
      <c r="B1029" s="8">
        <v>97.0</v>
      </c>
      <c r="C1029" s="8">
        <v>8.0</v>
      </c>
      <c r="D1029" s="8" t="s">
        <v>1552</v>
      </c>
      <c r="E1029" s="7">
        <v>0.0</v>
      </c>
      <c r="F1029" s="7"/>
      <c r="G1029" s="7" t="s">
        <v>312</v>
      </c>
      <c r="H1029" s="7" t="s">
        <v>313</v>
      </c>
      <c r="I1029" s="10"/>
      <c r="J1029" s="11"/>
      <c r="K1029" s="12"/>
      <c r="L1029" s="12"/>
      <c r="M1029" s="10"/>
      <c r="N1029" s="10"/>
      <c r="O1029" s="10"/>
      <c r="P1029" s="10"/>
      <c r="Q1029" s="10"/>
      <c r="R1029" s="10"/>
      <c r="S1029" s="10"/>
      <c r="T1029" s="10"/>
      <c r="U1029" s="10"/>
      <c r="V1029" s="10"/>
      <c r="W1029" s="10"/>
      <c r="X1029" s="10"/>
      <c r="Y1029" s="10"/>
      <c r="Z1029" s="10"/>
      <c r="AA1029" s="10"/>
      <c r="AB1029" s="10"/>
      <c r="AC1029" s="10"/>
      <c r="AD1029" s="10"/>
      <c r="AE1029" s="10"/>
      <c r="AF1029" s="10"/>
    </row>
    <row r="1030">
      <c r="A1030" s="7"/>
      <c r="B1030" s="8">
        <v>97.0</v>
      </c>
      <c r="C1030" s="8">
        <v>9.0</v>
      </c>
      <c r="D1030" s="8" t="s">
        <v>1553</v>
      </c>
      <c r="E1030" s="7">
        <v>0.0</v>
      </c>
      <c r="F1030" s="7"/>
      <c r="G1030" s="7" t="s">
        <v>312</v>
      </c>
      <c r="H1030" s="7" t="s">
        <v>313</v>
      </c>
      <c r="I1030" s="7" t="s">
        <v>366</v>
      </c>
      <c r="J1030" s="16" t="s">
        <v>1554</v>
      </c>
      <c r="K1030" s="12"/>
      <c r="L1030" s="12"/>
      <c r="M1030" s="10"/>
      <c r="N1030" s="10"/>
      <c r="O1030" s="10"/>
      <c r="P1030" s="10"/>
      <c r="Q1030" s="10"/>
      <c r="R1030" s="10"/>
      <c r="S1030" s="10"/>
      <c r="T1030" s="10"/>
      <c r="U1030" s="10"/>
      <c r="V1030" s="10"/>
      <c r="W1030" s="10"/>
      <c r="X1030" s="10"/>
      <c r="Y1030" s="10"/>
      <c r="Z1030" s="10"/>
      <c r="AA1030" s="10"/>
      <c r="AB1030" s="10"/>
      <c r="AC1030" s="10"/>
      <c r="AD1030" s="10"/>
      <c r="AE1030" s="10"/>
      <c r="AF1030" s="10"/>
    </row>
    <row r="1031">
      <c r="A1031" s="7"/>
      <c r="B1031" s="8">
        <v>97.0</v>
      </c>
      <c r="C1031" s="8">
        <v>10.0</v>
      </c>
      <c r="D1031" s="8" t="s">
        <v>1555</v>
      </c>
      <c r="E1031" s="7">
        <v>0.0</v>
      </c>
      <c r="F1031" s="7"/>
      <c r="G1031" s="7" t="s">
        <v>312</v>
      </c>
      <c r="H1031" s="7" t="s">
        <v>313</v>
      </c>
      <c r="I1031" s="10"/>
      <c r="J1031" s="11"/>
      <c r="K1031" s="12"/>
      <c r="L1031" s="12"/>
      <c r="M1031" s="10"/>
      <c r="N1031" s="10"/>
      <c r="O1031" s="10"/>
      <c r="P1031" s="10"/>
      <c r="Q1031" s="10"/>
      <c r="R1031" s="10"/>
      <c r="S1031" s="10"/>
      <c r="T1031" s="10"/>
      <c r="U1031" s="10"/>
      <c r="V1031" s="10"/>
      <c r="W1031" s="10"/>
      <c r="X1031" s="10"/>
      <c r="Y1031" s="10"/>
      <c r="Z1031" s="10"/>
      <c r="AA1031" s="10"/>
      <c r="AB1031" s="10"/>
      <c r="AC1031" s="10"/>
      <c r="AD1031" s="10"/>
      <c r="AE1031" s="10"/>
      <c r="AF1031" s="10"/>
    </row>
    <row r="1032">
      <c r="A1032" s="10"/>
      <c r="B1032" s="12"/>
      <c r="C1032" s="12"/>
      <c r="D1032" s="12"/>
      <c r="E1032" s="10"/>
      <c r="F1032" s="10"/>
      <c r="G1032" s="10"/>
      <c r="H1032" s="10"/>
      <c r="I1032" s="10"/>
      <c r="J1032" s="11"/>
      <c r="K1032" s="12"/>
      <c r="L1032" s="12"/>
      <c r="M1032" s="10"/>
      <c r="N1032" s="10"/>
      <c r="O1032" s="10"/>
      <c r="P1032" s="10"/>
      <c r="Q1032" s="10"/>
      <c r="R1032" s="10"/>
      <c r="S1032" s="10"/>
      <c r="T1032" s="10"/>
      <c r="U1032" s="10"/>
      <c r="V1032" s="10"/>
      <c r="W1032" s="10"/>
      <c r="X1032" s="10"/>
      <c r="Y1032" s="10"/>
      <c r="Z1032" s="10"/>
      <c r="AA1032" s="10"/>
      <c r="AB1032" s="10"/>
      <c r="AC1032" s="10"/>
      <c r="AD1032" s="10"/>
      <c r="AE1032" s="10"/>
      <c r="AF1032" s="10"/>
    </row>
    <row r="1033">
      <c r="A1033" s="7"/>
      <c r="B1033" s="8">
        <v>98.0</v>
      </c>
      <c r="C1033" s="8">
        <v>1.0</v>
      </c>
      <c r="D1033" s="8" t="s">
        <v>1556</v>
      </c>
      <c r="E1033" s="7">
        <v>0.0</v>
      </c>
      <c r="F1033" s="7"/>
      <c r="G1033" s="7" t="s">
        <v>312</v>
      </c>
      <c r="H1033" s="7" t="s">
        <v>313</v>
      </c>
      <c r="I1033" s="10"/>
      <c r="J1033" s="9" t="s">
        <v>1557</v>
      </c>
      <c r="K1033" s="12"/>
      <c r="L1033" s="12"/>
      <c r="M1033" s="10"/>
      <c r="N1033" s="10"/>
      <c r="O1033" s="10"/>
      <c r="P1033" s="10"/>
      <c r="Q1033" s="10"/>
      <c r="R1033" s="10"/>
      <c r="S1033" s="10"/>
      <c r="T1033" s="10"/>
      <c r="U1033" s="10"/>
      <c r="V1033" s="10"/>
      <c r="W1033" s="10"/>
      <c r="X1033" s="10"/>
      <c r="Y1033" s="10"/>
      <c r="Z1033" s="10"/>
      <c r="AA1033" s="10"/>
      <c r="AB1033" s="10"/>
      <c r="AC1033" s="10"/>
      <c r="AD1033" s="10"/>
      <c r="AE1033" s="10"/>
      <c r="AF1033" s="10"/>
    </row>
    <row r="1034">
      <c r="A1034" s="7"/>
      <c r="B1034" s="8">
        <v>98.0</v>
      </c>
      <c r="C1034" s="8">
        <v>2.0</v>
      </c>
      <c r="D1034" s="8" t="s">
        <v>1558</v>
      </c>
      <c r="E1034" s="7">
        <v>1.0</v>
      </c>
      <c r="F1034" s="7"/>
      <c r="G1034" s="7" t="s">
        <v>312</v>
      </c>
      <c r="H1034" s="7" t="s">
        <v>313</v>
      </c>
      <c r="I1034" s="10"/>
      <c r="J1034" s="11"/>
      <c r="K1034" s="12"/>
      <c r="L1034" s="12"/>
      <c r="M1034" s="10"/>
      <c r="N1034" s="10"/>
      <c r="O1034" s="10"/>
      <c r="P1034" s="10"/>
      <c r="Q1034" s="10"/>
      <c r="R1034" s="10"/>
      <c r="S1034" s="10"/>
      <c r="T1034" s="10"/>
      <c r="U1034" s="10"/>
      <c r="V1034" s="10"/>
      <c r="W1034" s="10"/>
      <c r="X1034" s="10"/>
      <c r="Y1034" s="10"/>
      <c r="Z1034" s="10"/>
      <c r="AA1034" s="10"/>
      <c r="AB1034" s="10"/>
      <c r="AC1034" s="10"/>
      <c r="AD1034" s="10"/>
      <c r="AE1034" s="10"/>
      <c r="AF1034" s="10"/>
    </row>
    <row r="1035">
      <c r="A1035" s="7"/>
      <c r="B1035" s="8">
        <v>98.0</v>
      </c>
      <c r="C1035" s="8">
        <v>3.0</v>
      </c>
      <c r="D1035" s="8" t="s">
        <v>1559</v>
      </c>
      <c r="E1035" s="7">
        <v>0.0</v>
      </c>
      <c r="F1035" s="7"/>
      <c r="G1035" s="7" t="s">
        <v>312</v>
      </c>
      <c r="H1035" s="7" t="s">
        <v>313</v>
      </c>
      <c r="I1035" s="10"/>
      <c r="J1035" s="11"/>
      <c r="K1035" s="12"/>
      <c r="L1035" s="12"/>
      <c r="M1035" s="10"/>
      <c r="N1035" s="10"/>
      <c r="O1035" s="10"/>
      <c r="P1035" s="10"/>
      <c r="Q1035" s="10"/>
      <c r="R1035" s="10"/>
      <c r="S1035" s="10"/>
      <c r="T1035" s="10"/>
      <c r="U1035" s="10"/>
      <c r="V1035" s="10"/>
      <c r="W1035" s="10"/>
      <c r="X1035" s="10"/>
      <c r="Y1035" s="10"/>
      <c r="Z1035" s="10"/>
      <c r="AA1035" s="10"/>
      <c r="AB1035" s="10"/>
      <c r="AC1035" s="10"/>
      <c r="AD1035" s="10"/>
      <c r="AE1035" s="10"/>
      <c r="AF1035" s="10"/>
    </row>
    <row r="1036">
      <c r="A1036" s="10"/>
      <c r="B1036" s="12"/>
      <c r="C1036" s="12"/>
      <c r="D1036" s="12"/>
      <c r="E1036" s="10"/>
      <c r="F1036" s="10"/>
      <c r="G1036" s="10"/>
      <c r="H1036" s="10"/>
      <c r="I1036" s="10"/>
      <c r="J1036" s="11"/>
      <c r="K1036" s="12"/>
      <c r="L1036" s="12"/>
      <c r="M1036" s="10"/>
      <c r="N1036" s="10"/>
      <c r="O1036" s="10"/>
      <c r="P1036" s="10"/>
      <c r="Q1036" s="10"/>
      <c r="R1036" s="10"/>
      <c r="S1036" s="10"/>
      <c r="T1036" s="10"/>
      <c r="U1036" s="10"/>
      <c r="V1036" s="10"/>
      <c r="W1036" s="10"/>
      <c r="X1036" s="10"/>
      <c r="Y1036" s="10"/>
      <c r="Z1036" s="10"/>
      <c r="AA1036" s="10"/>
      <c r="AB1036" s="10"/>
      <c r="AC1036" s="10"/>
      <c r="AD1036" s="10"/>
      <c r="AE1036" s="10"/>
      <c r="AF1036" s="10"/>
    </row>
    <row r="1037">
      <c r="A1037" s="7"/>
      <c r="B1037" s="8">
        <v>99.0</v>
      </c>
      <c r="C1037" s="8">
        <v>1.0</v>
      </c>
      <c r="D1037" s="8" t="s">
        <v>1560</v>
      </c>
      <c r="E1037" s="7">
        <v>0.0</v>
      </c>
      <c r="F1037" s="7"/>
      <c r="G1037" s="7" t="s">
        <v>312</v>
      </c>
      <c r="H1037" s="7" t="s">
        <v>313</v>
      </c>
      <c r="I1037" s="10"/>
      <c r="J1037" s="11"/>
      <c r="K1037" s="12"/>
      <c r="L1037" s="12"/>
      <c r="M1037" s="10"/>
      <c r="N1037" s="10"/>
      <c r="O1037" s="10"/>
      <c r="P1037" s="10"/>
      <c r="Q1037" s="10"/>
      <c r="R1037" s="10"/>
      <c r="S1037" s="10"/>
      <c r="T1037" s="10"/>
      <c r="U1037" s="10"/>
      <c r="V1037" s="10"/>
      <c r="W1037" s="10"/>
      <c r="X1037" s="10"/>
      <c r="Y1037" s="10"/>
      <c r="Z1037" s="10"/>
      <c r="AA1037" s="10"/>
      <c r="AB1037" s="10"/>
      <c r="AC1037" s="10"/>
      <c r="AD1037" s="10"/>
      <c r="AE1037" s="10"/>
      <c r="AF1037" s="10"/>
    </row>
    <row r="1038">
      <c r="A1038" s="10"/>
      <c r="B1038" s="12"/>
      <c r="C1038" s="12"/>
      <c r="D1038" s="12"/>
      <c r="E1038" s="10"/>
      <c r="F1038" s="10"/>
      <c r="G1038" s="10"/>
      <c r="H1038" s="10"/>
      <c r="I1038" s="10"/>
      <c r="J1038" s="11"/>
      <c r="K1038" s="12"/>
      <c r="L1038" s="12"/>
      <c r="M1038" s="10"/>
      <c r="N1038" s="10"/>
      <c r="O1038" s="10"/>
      <c r="P1038" s="10"/>
      <c r="Q1038" s="10"/>
      <c r="R1038" s="10"/>
      <c r="S1038" s="10"/>
      <c r="T1038" s="10"/>
      <c r="U1038" s="10"/>
      <c r="V1038" s="10"/>
      <c r="W1038" s="10"/>
      <c r="X1038" s="10"/>
      <c r="Y1038" s="10"/>
      <c r="Z1038" s="10"/>
      <c r="AA1038" s="10"/>
      <c r="AB1038" s="10"/>
      <c r="AC1038" s="10"/>
      <c r="AD1038" s="10"/>
      <c r="AE1038" s="10"/>
      <c r="AF1038" s="10"/>
    </row>
    <row r="1039">
      <c r="A1039" s="7"/>
      <c r="B1039" s="8">
        <v>100.0</v>
      </c>
      <c r="C1039" s="8">
        <v>1.0</v>
      </c>
      <c r="D1039" s="8" t="s">
        <v>1561</v>
      </c>
      <c r="E1039" s="7">
        <v>1.0</v>
      </c>
      <c r="F1039" s="7"/>
      <c r="G1039" s="7" t="s">
        <v>312</v>
      </c>
      <c r="H1039" s="7" t="s">
        <v>313</v>
      </c>
      <c r="I1039" s="10"/>
      <c r="J1039" s="9" t="s">
        <v>1562</v>
      </c>
      <c r="K1039" s="12"/>
      <c r="L1039" s="14" t="s">
        <v>1563</v>
      </c>
      <c r="M1039" s="10"/>
      <c r="N1039" s="10"/>
      <c r="O1039" s="10"/>
      <c r="P1039" s="10"/>
      <c r="Q1039" s="10"/>
      <c r="R1039" s="10"/>
      <c r="S1039" s="10"/>
      <c r="T1039" s="10"/>
      <c r="U1039" s="10"/>
      <c r="V1039" s="10"/>
      <c r="W1039" s="10"/>
      <c r="X1039" s="10"/>
      <c r="Y1039" s="10"/>
      <c r="Z1039" s="10"/>
      <c r="AA1039" s="10"/>
      <c r="AB1039" s="10"/>
      <c r="AC1039" s="10"/>
      <c r="AD1039" s="10"/>
      <c r="AE1039" s="10"/>
      <c r="AF1039" s="10"/>
    </row>
    <row r="1040">
      <c r="A1040" s="7"/>
      <c r="B1040" s="8">
        <v>100.0</v>
      </c>
      <c r="C1040" s="8">
        <v>2.0</v>
      </c>
      <c r="D1040" s="8" t="s">
        <v>1564</v>
      </c>
      <c r="E1040" s="7">
        <v>0.0</v>
      </c>
      <c r="F1040" s="7"/>
      <c r="G1040" s="7" t="s">
        <v>312</v>
      </c>
      <c r="H1040" s="7" t="s">
        <v>313</v>
      </c>
      <c r="I1040" s="10"/>
      <c r="J1040" s="11"/>
      <c r="K1040" s="12"/>
      <c r="L1040" s="12"/>
      <c r="M1040" s="10"/>
      <c r="N1040" s="10"/>
      <c r="O1040" s="10"/>
      <c r="P1040" s="10"/>
      <c r="Q1040" s="10"/>
      <c r="R1040" s="10"/>
      <c r="S1040" s="10"/>
      <c r="T1040" s="10"/>
      <c r="U1040" s="10"/>
      <c r="V1040" s="10"/>
      <c r="W1040" s="10"/>
      <c r="X1040" s="10"/>
      <c r="Y1040" s="10"/>
      <c r="Z1040" s="10"/>
      <c r="AA1040" s="10"/>
      <c r="AB1040" s="10"/>
      <c r="AC1040" s="10"/>
      <c r="AD1040" s="10"/>
      <c r="AE1040" s="10"/>
      <c r="AF1040" s="10"/>
    </row>
    <row r="1041">
      <c r="A1041" s="7"/>
      <c r="B1041" s="8">
        <v>100.0</v>
      </c>
      <c r="C1041" s="8">
        <v>3.0</v>
      </c>
      <c r="D1041" s="8" t="s">
        <v>1565</v>
      </c>
      <c r="E1041" s="7">
        <v>0.0</v>
      </c>
      <c r="F1041" s="7"/>
      <c r="G1041" s="7" t="s">
        <v>312</v>
      </c>
      <c r="H1041" s="7" t="s">
        <v>313</v>
      </c>
      <c r="I1041" s="10"/>
      <c r="J1041" s="11"/>
      <c r="K1041" s="12"/>
      <c r="L1041" s="12"/>
      <c r="M1041" s="10"/>
      <c r="N1041" s="10"/>
      <c r="O1041" s="10"/>
      <c r="P1041" s="10"/>
      <c r="Q1041" s="10"/>
      <c r="R1041" s="10"/>
      <c r="S1041" s="10"/>
      <c r="T1041" s="10"/>
      <c r="U1041" s="10"/>
      <c r="V1041" s="10"/>
      <c r="W1041" s="10"/>
      <c r="X1041" s="10"/>
      <c r="Y1041" s="10"/>
      <c r="Z1041" s="10"/>
      <c r="AA1041" s="10"/>
      <c r="AB1041" s="10"/>
      <c r="AC1041" s="10"/>
      <c r="AD1041" s="10"/>
      <c r="AE1041" s="10"/>
      <c r="AF1041" s="10"/>
    </row>
    <row r="1042">
      <c r="A1042" s="7"/>
      <c r="B1042" s="8">
        <v>100.0</v>
      </c>
      <c r="C1042" s="8">
        <v>4.0</v>
      </c>
      <c r="D1042" s="8" t="s">
        <v>1566</v>
      </c>
      <c r="E1042" s="7">
        <v>0.0</v>
      </c>
      <c r="F1042" s="7"/>
      <c r="G1042" s="7" t="s">
        <v>312</v>
      </c>
      <c r="H1042" s="7" t="s">
        <v>313</v>
      </c>
      <c r="I1042" s="10"/>
      <c r="J1042" s="11"/>
      <c r="K1042" s="12"/>
      <c r="L1042" s="12"/>
      <c r="M1042" s="10"/>
      <c r="N1042" s="10"/>
      <c r="O1042" s="10"/>
      <c r="P1042" s="10"/>
      <c r="Q1042" s="10"/>
      <c r="R1042" s="10"/>
      <c r="S1042" s="10"/>
      <c r="T1042" s="10"/>
      <c r="U1042" s="10"/>
      <c r="V1042" s="10"/>
      <c r="W1042" s="10"/>
      <c r="X1042" s="10"/>
      <c r="Y1042" s="10"/>
      <c r="Z1042" s="10"/>
      <c r="AA1042" s="10"/>
      <c r="AB1042" s="10"/>
      <c r="AC1042" s="10"/>
      <c r="AD1042" s="10"/>
      <c r="AE1042" s="10"/>
      <c r="AF1042" s="10"/>
    </row>
    <row r="1043">
      <c r="A1043" s="7"/>
      <c r="B1043" s="8">
        <v>100.0</v>
      </c>
      <c r="C1043" s="8">
        <v>5.0</v>
      </c>
      <c r="D1043" s="8" t="s">
        <v>1567</v>
      </c>
      <c r="E1043" s="7">
        <v>2.0</v>
      </c>
      <c r="F1043" s="7" t="s">
        <v>320</v>
      </c>
      <c r="G1043" s="7" t="s">
        <v>312</v>
      </c>
      <c r="H1043" s="7" t="s">
        <v>313</v>
      </c>
      <c r="I1043" s="7" t="s">
        <v>366</v>
      </c>
      <c r="J1043" s="9" t="s">
        <v>1568</v>
      </c>
      <c r="K1043" s="8" t="s">
        <v>1569</v>
      </c>
      <c r="L1043" s="12"/>
      <c r="M1043" s="10"/>
      <c r="N1043" s="10"/>
      <c r="O1043" s="10"/>
      <c r="P1043" s="10"/>
      <c r="Q1043" s="10"/>
      <c r="R1043" s="10"/>
      <c r="S1043" s="10"/>
      <c r="T1043" s="10"/>
      <c r="U1043" s="10"/>
      <c r="V1043" s="10"/>
      <c r="W1043" s="10"/>
      <c r="X1043" s="10"/>
      <c r="Y1043" s="10"/>
      <c r="Z1043" s="10"/>
      <c r="AA1043" s="10"/>
      <c r="AB1043" s="10"/>
      <c r="AC1043" s="10"/>
      <c r="AD1043" s="10"/>
      <c r="AE1043" s="10"/>
      <c r="AF1043" s="10"/>
    </row>
    <row r="1044">
      <c r="A1044" s="7"/>
      <c r="B1044" s="8">
        <v>100.0</v>
      </c>
      <c r="C1044" s="8">
        <v>6.0</v>
      </c>
      <c r="D1044" s="8" t="s">
        <v>1570</v>
      </c>
      <c r="E1044" s="7">
        <v>0.0</v>
      </c>
      <c r="F1044" s="7"/>
      <c r="G1044" s="7" t="s">
        <v>312</v>
      </c>
      <c r="H1044" s="7" t="s">
        <v>313</v>
      </c>
      <c r="I1044" s="10"/>
      <c r="J1044" s="11"/>
      <c r="K1044" s="12"/>
      <c r="L1044" s="12"/>
      <c r="M1044" s="10"/>
      <c r="N1044" s="10"/>
      <c r="O1044" s="10"/>
      <c r="P1044" s="10"/>
      <c r="Q1044" s="10"/>
      <c r="R1044" s="10"/>
      <c r="S1044" s="10"/>
      <c r="T1044" s="10"/>
      <c r="U1044" s="10"/>
      <c r="V1044" s="10"/>
      <c r="W1044" s="10"/>
      <c r="X1044" s="10"/>
      <c r="Y1044" s="10"/>
      <c r="Z1044" s="10"/>
      <c r="AA1044" s="10"/>
      <c r="AB1044" s="10"/>
      <c r="AC1044" s="10"/>
      <c r="AD1044" s="10"/>
      <c r="AE1044" s="10"/>
      <c r="AF1044" s="10"/>
    </row>
    <row r="1045">
      <c r="A1045" s="7"/>
      <c r="B1045" s="8">
        <v>100.0</v>
      </c>
      <c r="C1045" s="8">
        <v>7.0</v>
      </c>
      <c r="D1045" s="8" t="s">
        <v>1571</v>
      </c>
      <c r="E1045" s="7">
        <v>1.0</v>
      </c>
      <c r="F1045" s="7" t="s">
        <v>320</v>
      </c>
      <c r="G1045" s="7" t="s">
        <v>312</v>
      </c>
      <c r="H1045" s="7" t="s">
        <v>313</v>
      </c>
      <c r="I1045" s="7" t="s">
        <v>366</v>
      </c>
      <c r="J1045" s="9" t="s">
        <v>1572</v>
      </c>
      <c r="K1045" s="12"/>
      <c r="L1045" s="12"/>
      <c r="M1045" s="10"/>
      <c r="N1045" s="10"/>
      <c r="O1045" s="10"/>
      <c r="P1045" s="10"/>
      <c r="Q1045" s="10"/>
      <c r="R1045" s="10"/>
      <c r="S1045" s="10"/>
      <c r="T1045" s="10"/>
      <c r="U1045" s="10"/>
      <c r="V1045" s="10"/>
      <c r="W1045" s="10"/>
      <c r="X1045" s="10"/>
      <c r="Y1045" s="10"/>
      <c r="Z1045" s="10"/>
      <c r="AA1045" s="10"/>
      <c r="AB1045" s="10"/>
      <c r="AC1045" s="10"/>
      <c r="AD1045" s="10"/>
      <c r="AE1045" s="10"/>
      <c r="AF1045" s="10"/>
    </row>
    <row r="1046">
      <c r="A1046" s="7"/>
      <c r="B1046" s="8">
        <v>100.0</v>
      </c>
      <c r="C1046" s="8">
        <v>8.0</v>
      </c>
      <c r="D1046" s="8" t="s">
        <v>1573</v>
      </c>
      <c r="E1046" s="7">
        <v>0.0</v>
      </c>
      <c r="F1046" s="7"/>
      <c r="G1046" s="7" t="s">
        <v>312</v>
      </c>
      <c r="H1046" s="7" t="s">
        <v>313</v>
      </c>
      <c r="I1046" s="10"/>
      <c r="J1046" s="11"/>
      <c r="K1046" s="8" t="s">
        <v>1574</v>
      </c>
      <c r="L1046" s="12"/>
      <c r="M1046" s="10"/>
      <c r="N1046" s="10"/>
      <c r="O1046" s="10"/>
      <c r="P1046" s="10"/>
      <c r="Q1046" s="10"/>
      <c r="R1046" s="10"/>
      <c r="S1046" s="10"/>
      <c r="T1046" s="10"/>
      <c r="U1046" s="10"/>
      <c r="V1046" s="10"/>
      <c r="W1046" s="10"/>
      <c r="X1046" s="10"/>
      <c r="Y1046" s="10"/>
      <c r="Z1046" s="10"/>
      <c r="AA1046" s="10"/>
      <c r="AB1046" s="10"/>
      <c r="AC1046" s="10"/>
      <c r="AD1046" s="10"/>
      <c r="AE1046" s="10"/>
      <c r="AF1046" s="10"/>
    </row>
    <row r="1047">
      <c r="A1047" s="7"/>
      <c r="B1047" s="8">
        <v>100.0</v>
      </c>
      <c r="C1047" s="8">
        <v>9.0</v>
      </c>
      <c r="D1047" s="8" t="s">
        <v>1575</v>
      </c>
      <c r="E1047" s="7">
        <v>0.0</v>
      </c>
      <c r="F1047" s="7"/>
      <c r="G1047" s="7" t="s">
        <v>312</v>
      </c>
      <c r="H1047" s="7" t="s">
        <v>313</v>
      </c>
      <c r="I1047" s="10"/>
      <c r="J1047" s="11"/>
      <c r="K1047" s="12"/>
      <c r="L1047" s="12"/>
      <c r="M1047" s="10"/>
      <c r="N1047" s="10"/>
      <c r="O1047" s="10"/>
      <c r="P1047" s="10"/>
      <c r="Q1047" s="10"/>
      <c r="R1047" s="10"/>
      <c r="S1047" s="10"/>
      <c r="T1047" s="10"/>
      <c r="U1047" s="10"/>
      <c r="V1047" s="10"/>
      <c r="W1047" s="10"/>
      <c r="X1047" s="10"/>
      <c r="Y1047" s="10"/>
      <c r="Z1047" s="10"/>
      <c r="AA1047" s="10"/>
      <c r="AB1047" s="10"/>
      <c r="AC1047" s="10"/>
      <c r="AD1047" s="10"/>
      <c r="AE1047" s="10"/>
      <c r="AF1047" s="10"/>
    </row>
    <row r="1048">
      <c r="A1048" s="7"/>
      <c r="B1048" s="8">
        <v>100.0</v>
      </c>
      <c r="C1048" s="8">
        <v>10.0</v>
      </c>
      <c r="D1048" s="8" t="s">
        <v>1576</v>
      </c>
      <c r="E1048" s="7">
        <v>0.0</v>
      </c>
      <c r="F1048" s="7"/>
      <c r="G1048" s="7" t="s">
        <v>312</v>
      </c>
      <c r="H1048" s="7" t="s">
        <v>313</v>
      </c>
      <c r="I1048" s="10"/>
      <c r="J1048" s="11"/>
      <c r="K1048" s="12"/>
      <c r="L1048" s="12"/>
      <c r="M1048" s="10"/>
      <c r="N1048" s="10"/>
      <c r="O1048" s="10"/>
      <c r="P1048" s="10"/>
      <c r="Q1048" s="10"/>
      <c r="R1048" s="10"/>
      <c r="S1048" s="10"/>
      <c r="T1048" s="10"/>
      <c r="U1048" s="10"/>
      <c r="V1048" s="10"/>
      <c r="W1048" s="10"/>
      <c r="X1048" s="10"/>
      <c r="Y1048" s="10"/>
      <c r="Z1048" s="10"/>
      <c r="AA1048" s="10"/>
      <c r="AB1048" s="10"/>
      <c r="AC1048" s="10"/>
      <c r="AD1048" s="10"/>
      <c r="AE1048" s="10"/>
      <c r="AF1048" s="10"/>
    </row>
    <row r="1049">
      <c r="A1049" s="10"/>
      <c r="B1049" s="12"/>
      <c r="C1049" s="12"/>
      <c r="D1049" s="12"/>
      <c r="E1049" s="10"/>
      <c r="F1049" s="10"/>
      <c r="G1049" s="10"/>
      <c r="H1049" s="10"/>
      <c r="I1049" s="10"/>
      <c r="J1049" s="11"/>
      <c r="K1049" s="12"/>
      <c r="L1049" s="12"/>
      <c r="M1049" s="10"/>
      <c r="N1049" s="10"/>
      <c r="O1049" s="10"/>
      <c r="P1049" s="10"/>
      <c r="Q1049" s="10"/>
      <c r="R1049" s="10"/>
      <c r="S1049" s="10"/>
      <c r="T1049" s="10"/>
      <c r="U1049" s="10"/>
      <c r="V1049" s="10"/>
      <c r="W1049" s="10"/>
      <c r="X1049" s="10"/>
      <c r="Y1049" s="10"/>
      <c r="Z1049" s="10"/>
      <c r="AA1049" s="10"/>
      <c r="AB1049" s="10"/>
      <c r="AC1049" s="10"/>
      <c r="AD1049" s="10"/>
      <c r="AE1049" s="10"/>
      <c r="AF1049" s="10"/>
    </row>
    <row r="1050">
      <c r="A1050" s="7"/>
      <c r="B1050" s="8">
        <v>101.0</v>
      </c>
      <c r="C1050" s="8">
        <v>1.0</v>
      </c>
      <c r="D1050" s="8" t="s">
        <v>1577</v>
      </c>
      <c r="E1050" s="7">
        <v>2.0</v>
      </c>
      <c r="F1050" s="7" t="s">
        <v>320</v>
      </c>
      <c r="G1050" s="7" t="s">
        <v>312</v>
      </c>
      <c r="H1050" s="7" t="s">
        <v>313</v>
      </c>
      <c r="I1050" s="10"/>
      <c r="J1050" s="9" t="s">
        <v>1578</v>
      </c>
      <c r="K1050" s="8" t="s">
        <v>1579</v>
      </c>
      <c r="L1050" s="12"/>
      <c r="M1050" s="10"/>
      <c r="N1050" s="10"/>
      <c r="O1050" s="10"/>
      <c r="P1050" s="10"/>
      <c r="Q1050" s="10"/>
      <c r="R1050" s="10"/>
      <c r="S1050" s="10"/>
      <c r="T1050" s="10"/>
      <c r="U1050" s="10"/>
      <c r="V1050" s="10"/>
      <c r="W1050" s="10"/>
      <c r="X1050" s="10"/>
      <c r="Y1050" s="10"/>
      <c r="Z1050" s="10"/>
      <c r="AA1050" s="10"/>
      <c r="AB1050" s="10"/>
      <c r="AC1050" s="10"/>
      <c r="AD1050" s="10"/>
      <c r="AE1050" s="10"/>
      <c r="AF1050" s="10"/>
    </row>
    <row r="1051">
      <c r="A1051" s="7"/>
      <c r="B1051" s="8">
        <v>101.0</v>
      </c>
      <c r="C1051" s="8">
        <v>2.0</v>
      </c>
      <c r="D1051" s="8" t="s">
        <v>1580</v>
      </c>
      <c r="E1051" s="7">
        <v>2.0</v>
      </c>
      <c r="F1051" s="7" t="s">
        <v>320</v>
      </c>
      <c r="G1051" s="7" t="s">
        <v>312</v>
      </c>
      <c r="H1051" s="7" t="s">
        <v>313</v>
      </c>
      <c r="I1051" s="10"/>
      <c r="J1051" s="9" t="s">
        <v>1581</v>
      </c>
      <c r="K1051" s="8" t="s">
        <v>1579</v>
      </c>
      <c r="L1051" s="12"/>
      <c r="M1051" s="10"/>
      <c r="N1051" s="10"/>
      <c r="O1051" s="10"/>
      <c r="P1051" s="10"/>
      <c r="Q1051" s="10"/>
      <c r="R1051" s="10"/>
      <c r="S1051" s="10"/>
      <c r="T1051" s="10"/>
      <c r="U1051" s="10"/>
      <c r="V1051" s="10"/>
      <c r="W1051" s="10"/>
      <c r="X1051" s="10"/>
      <c r="Y1051" s="10"/>
      <c r="Z1051" s="10"/>
      <c r="AA1051" s="10"/>
      <c r="AB1051" s="10"/>
      <c r="AC1051" s="10"/>
      <c r="AD1051" s="10"/>
      <c r="AE1051" s="10"/>
      <c r="AF1051" s="10"/>
    </row>
    <row r="1052">
      <c r="A1052" s="7"/>
      <c r="B1052" s="8">
        <v>101.0</v>
      </c>
      <c r="C1052" s="8">
        <v>3.0</v>
      </c>
      <c r="D1052" s="8" t="s">
        <v>1582</v>
      </c>
      <c r="E1052" s="7">
        <v>2.0</v>
      </c>
      <c r="F1052" s="7" t="s">
        <v>320</v>
      </c>
      <c r="G1052" s="7" t="s">
        <v>312</v>
      </c>
      <c r="H1052" s="7" t="s">
        <v>313</v>
      </c>
      <c r="I1052" s="10"/>
      <c r="J1052" s="9" t="s">
        <v>1583</v>
      </c>
      <c r="K1052" s="8" t="s">
        <v>1579</v>
      </c>
      <c r="L1052" s="12"/>
      <c r="M1052" s="10"/>
      <c r="N1052" s="10"/>
      <c r="O1052" s="10"/>
      <c r="P1052" s="10"/>
      <c r="Q1052" s="10"/>
      <c r="R1052" s="10"/>
      <c r="S1052" s="10"/>
      <c r="T1052" s="10"/>
      <c r="U1052" s="10"/>
      <c r="V1052" s="10"/>
      <c r="W1052" s="10"/>
      <c r="X1052" s="10"/>
      <c r="Y1052" s="10"/>
      <c r="Z1052" s="10"/>
      <c r="AA1052" s="10"/>
      <c r="AB1052" s="10"/>
      <c r="AC1052" s="10"/>
      <c r="AD1052" s="10"/>
      <c r="AE1052" s="10"/>
      <c r="AF1052" s="10"/>
    </row>
    <row r="1053">
      <c r="A1053" s="7"/>
      <c r="B1053" s="8">
        <v>101.0</v>
      </c>
      <c r="C1053" s="8">
        <v>4.0</v>
      </c>
      <c r="D1053" s="8" t="s">
        <v>1584</v>
      </c>
      <c r="E1053" s="7">
        <v>2.0</v>
      </c>
      <c r="F1053" s="7" t="s">
        <v>320</v>
      </c>
      <c r="G1053" s="7" t="s">
        <v>312</v>
      </c>
      <c r="H1053" s="7" t="s">
        <v>313</v>
      </c>
      <c r="I1053" s="10"/>
      <c r="J1053" s="9" t="s">
        <v>1585</v>
      </c>
      <c r="K1053" s="8" t="s">
        <v>1579</v>
      </c>
      <c r="L1053" s="12"/>
      <c r="M1053" s="10"/>
      <c r="N1053" s="10"/>
      <c r="O1053" s="10"/>
      <c r="P1053" s="10"/>
      <c r="Q1053" s="10"/>
      <c r="R1053" s="10"/>
      <c r="S1053" s="10"/>
      <c r="T1053" s="10"/>
      <c r="U1053" s="10"/>
      <c r="V1053" s="10"/>
      <c r="W1053" s="10"/>
      <c r="X1053" s="10"/>
      <c r="Y1053" s="10"/>
      <c r="Z1053" s="10"/>
      <c r="AA1053" s="10"/>
      <c r="AB1053" s="10"/>
      <c r="AC1053" s="10"/>
      <c r="AD1053" s="10"/>
      <c r="AE1053" s="10"/>
      <c r="AF1053" s="10"/>
    </row>
    <row r="1054">
      <c r="A1054" s="7"/>
      <c r="B1054" s="8">
        <v>101.0</v>
      </c>
      <c r="C1054" s="8">
        <v>5.0</v>
      </c>
      <c r="D1054" s="8" t="s">
        <v>1586</v>
      </c>
      <c r="E1054" s="7">
        <v>2.0</v>
      </c>
      <c r="F1054" s="7" t="s">
        <v>320</v>
      </c>
      <c r="G1054" s="7" t="s">
        <v>312</v>
      </c>
      <c r="H1054" s="7" t="s">
        <v>313</v>
      </c>
      <c r="I1054" s="10"/>
      <c r="J1054" s="9" t="s">
        <v>1587</v>
      </c>
      <c r="K1054" s="8" t="s">
        <v>1579</v>
      </c>
      <c r="L1054" s="12"/>
      <c r="M1054" s="10"/>
      <c r="N1054" s="10"/>
      <c r="O1054" s="10"/>
      <c r="P1054" s="10"/>
      <c r="Q1054" s="10"/>
      <c r="R1054" s="10"/>
      <c r="S1054" s="10"/>
      <c r="T1054" s="10"/>
      <c r="U1054" s="10"/>
      <c r="V1054" s="10"/>
      <c r="W1054" s="10"/>
      <c r="X1054" s="10"/>
      <c r="Y1054" s="10"/>
      <c r="Z1054" s="10"/>
      <c r="AA1054" s="10"/>
      <c r="AB1054" s="10"/>
      <c r="AC1054" s="10"/>
      <c r="AD1054" s="10"/>
      <c r="AE1054" s="10"/>
      <c r="AF1054" s="10"/>
    </row>
    <row r="1055">
      <c r="A1055" s="7"/>
      <c r="B1055" s="8">
        <v>101.0</v>
      </c>
      <c r="C1055" s="8">
        <v>6.0</v>
      </c>
      <c r="D1055" s="8" t="s">
        <v>1588</v>
      </c>
      <c r="E1055" s="7">
        <v>2.0</v>
      </c>
      <c r="F1055" s="7" t="s">
        <v>320</v>
      </c>
      <c r="G1055" s="7" t="s">
        <v>312</v>
      </c>
      <c r="H1055" s="7" t="s">
        <v>313</v>
      </c>
      <c r="I1055" s="10"/>
      <c r="J1055" s="11"/>
      <c r="K1055" s="8" t="s">
        <v>1579</v>
      </c>
      <c r="L1055" s="12"/>
      <c r="M1055" s="10"/>
      <c r="N1055" s="10"/>
      <c r="O1055" s="10"/>
      <c r="P1055" s="10"/>
      <c r="Q1055" s="10"/>
      <c r="R1055" s="10"/>
      <c r="S1055" s="10"/>
      <c r="T1055" s="10"/>
      <c r="U1055" s="10"/>
      <c r="V1055" s="10"/>
      <c r="W1055" s="10"/>
      <c r="X1055" s="10"/>
      <c r="Y1055" s="10"/>
      <c r="Z1055" s="10"/>
      <c r="AA1055" s="10"/>
      <c r="AB1055" s="10"/>
      <c r="AC1055" s="10"/>
      <c r="AD1055" s="10"/>
      <c r="AE1055" s="10"/>
      <c r="AF1055" s="10"/>
    </row>
    <row r="1056">
      <c r="A1056" s="7"/>
      <c r="B1056" s="8">
        <v>101.0</v>
      </c>
      <c r="C1056" s="8">
        <v>7.0</v>
      </c>
      <c r="D1056" s="8" t="s">
        <v>1589</v>
      </c>
      <c r="E1056" s="7">
        <v>2.0</v>
      </c>
      <c r="F1056" s="7" t="s">
        <v>320</v>
      </c>
      <c r="G1056" s="7" t="s">
        <v>312</v>
      </c>
      <c r="H1056" s="7" t="s">
        <v>313</v>
      </c>
      <c r="I1056" s="10"/>
      <c r="J1056" s="11"/>
      <c r="K1056" s="8" t="s">
        <v>1579</v>
      </c>
      <c r="L1056" s="12"/>
      <c r="M1056" s="10"/>
      <c r="N1056" s="10"/>
      <c r="O1056" s="10"/>
      <c r="P1056" s="10"/>
      <c r="Q1056" s="10"/>
      <c r="R1056" s="10"/>
      <c r="S1056" s="10"/>
      <c r="T1056" s="10"/>
      <c r="U1056" s="10"/>
      <c r="V1056" s="10"/>
      <c r="W1056" s="10"/>
      <c r="X1056" s="10"/>
      <c r="Y1056" s="10"/>
      <c r="Z1056" s="10"/>
      <c r="AA1056" s="10"/>
      <c r="AB1056" s="10"/>
      <c r="AC1056" s="10"/>
      <c r="AD1056" s="10"/>
      <c r="AE1056" s="10"/>
      <c r="AF1056" s="10"/>
    </row>
    <row r="1057">
      <c r="A1057" s="7"/>
      <c r="B1057" s="8">
        <v>101.0</v>
      </c>
      <c r="C1057" s="8">
        <v>8.0</v>
      </c>
      <c r="D1057" s="8" t="s">
        <v>1590</v>
      </c>
      <c r="E1057" s="7">
        <v>2.0</v>
      </c>
      <c r="F1057" s="7" t="s">
        <v>320</v>
      </c>
      <c r="G1057" s="7" t="s">
        <v>312</v>
      </c>
      <c r="H1057" s="7" t="s">
        <v>313</v>
      </c>
      <c r="I1057" s="7"/>
      <c r="J1057" s="9" t="s">
        <v>1591</v>
      </c>
      <c r="K1057" s="12"/>
      <c r="L1057" s="12"/>
      <c r="M1057" s="10"/>
      <c r="N1057" s="10"/>
      <c r="O1057" s="10"/>
      <c r="P1057" s="10"/>
      <c r="Q1057" s="10"/>
      <c r="R1057" s="10"/>
      <c r="S1057" s="10"/>
      <c r="T1057" s="10"/>
      <c r="U1057" s="10"/>
      <c r="V1057" s="10"/>
      <c r="W1057" s="10"/>
      <c r="X1057" s="10"/>
      <c r="Y1057" s="10"/>
      <c r="Z1057" s="10"/>
      <c r="AA1057" s="10"/>
      <c r="AB1057" s="10"/>
      <c r="AC1057" s="10"/>
      <c r="AD1057" s="10"/>
      <c r="AE1057" s="10"/>
      <c r="AF1057" s="10"/>
    </row>
    <row r="1058">
      <c r="A1058" s="7"/>
      <c r="B1058" s="8">
        <v>101.0</v>
      </c>
      <c r="C1058" s="8">
        <v>9.0</v>
      </c>
      <c r="D1058" s="8" t="s">
        <v>1592</v>
      </c>
      <c r="E1058" s="7">
        <v>2.0</v>
      </c>
      <c r="F1058" s="7" t="s">
        <v>320</v>
      </c>
      <c r="G1058" s="7" t="s">
        <v>312</v>
      </c>
      <c r="H1058" s="7" t="s">
        <v>313</v>
      </c>
      <c r="I1058" s="7"/>
      <c r="J1058" s="9" t="s">
        <v>1591</v>
      </c>
      <c r="K1058" s="12"/>
      <c r="L1058" s="12"/>
      <c r="M1058" s="10"/>
      <c r="N1058" s="10"/>
      <c r="O1058" s="10"/>
      <c r="P1058" s="10"/>
      <c r="Q1058" s="10"/>
      <c r="R1058" s="10"/>
      <c r="S1058" s="10"/>
      <c r="T1058" s="10"/>
      <c r="U1058" s="10"/>
      <c r="V1058" s="10"/>
      <c r="W1058" s="10"/>
      <c r="X1058" s="10"/>
      <c r="Y1058" s="10"/>
      <c r="Z1058" s="10"/>
      <c r="AA1058" s="10"/>
      <c r="AB1058" s="10"/>
      <c r="AC1058" s="10"/>
      <c r="AD1058" s="10"/>
      <c r="AE1058" s="10"/>
      <c r="AF1058" s="10"/>
    </row>
    <row r="1059">
      <c r="A1059" s="7"/>
      <c r="B1059" s="8">
        <v>101.0</v>
      </c>
      <c r="C1059" s="8">
        <v>10.0</v>
      </c>
      <c r="D1059" s="8" t="s">
        <v>1593</v>
      </c>
      <c r="E1059" s="7">
        <v>2.0</v>
      </c>
      <c r="F1059" s="7" t="s">
        <v>320</v>
      </c>
      <c r="G1059" s="7" t="s">
        <v>312</v>
      </c>
      <c r="H1059" s="7" t="s">
        <v>313</v>
      </c>
      <c r="I1059" s="7"/>
      <c r="J1059" s="9" t="s">
        <v>1591</v>
      </c>
      <c r="K1059" s="12"/>
      <c r="L1059" s="12"/>
      <c r="M1059" s="10"/>
      <c r="N1059" s="10"/>
      <c r="O1059" s="10"/>
      <c r="P1059" s="10"/>
      <c r="Q1059" s="10"/>
      <c r="R1059" s="10"/>
      <c r="S1059" s="10"/>
      <c r="T1059" s="10"/>
      <c r="U1059" s="10"/>
      <c r="V1059" s="10"/>
      <c r="W1059" s="10"/>
      <c r="X1059" s="10"/>
      <c r="Y1059" s="10"/>
      <c r="Z1059" s="10"/>
      <c r="AA1059" s="10"/>
      <c r="AB1059" s="10"/>
      <c r="AC1059" s="10"/>
      <c r="AD1059" s="10"/>
      <c r="AE1059" s="10"/>
      <c r="AF1059" s="10"/>
    </row>
    <row r="1060">
      <c r="A1060" s="7"/>
      <c r="B1060" s="8">
        <v>101.0</v>
      </c>
      <c r="C1060" s="8">
        <v>11.0</v>
      </c>
      <c r="D1060" s="8" t="s">
        <v>1594</v>
      </c>
      <c r="E1060" s="7">
        <v>2.0</v>
      </c>
      <c r="F1060" s="7" t="s">
        <v>320</v>
      </c>
      <c r="G1060" s="7" t="s">
        <v>312</v>
      </c>
      <c r="H1060" s="7" t="s">
        <v>313</v>
      </c>
      <c r="I1060" s="7"/>
      <c r="J1060" s="9" t="s">
        <v>1591</v>
      </c>
      <c r="K1060" s="12"/>
      <c r="L1060" s="12"/>
      <c r="M1060" s="10"/>
      <c r="N1060" s="10"/>
      <c r="O1060" s="10"/>
      <c r="P1060" s="10"/>
      <c r="Q1060" s="10"/>
      <c r="R1060" s="10"/>
      <c r="S1060" s="10"/>
      <c r="T1060" s="10"/>
      <c r="U1060" s="10"/>
      <c r="V1060" s="10"/>
      <c r="W1060" s="10"/>
      <c r="X1060" s="10"/>
      <c r="Y1060" s="10"/>
      <c r="Z1060" s="10"/>
      <c r="AA1060" s="10"/>
      <c r="AB1060" s="10"/>
      <c r="AC1060" s="10"/>
      <c r="AD1060" s="10"/>
      <c r="AE1060" s="10"/>
      <c r="AF1060" s="10"/>
    </row>
    <row r="1061">
      <c r="A1061" s="7"/>
      <c r="B1061" s="8">
        <v>101.0</v>
      </c>
      <c r="C1061" s="8">
        <v>12.0</v>
      </c>
      <c r="D1061" s="8" t="s">
        <v>1595</v>
      </c>
      <c r="E1061" s="7">
        <v>0.0</v>
      </c>
      <c r="F1061" s="7"/>
      <c r="G1061" s="7" t="s">
        <v>312</v>
      </c>
      <c r="H1061" s="7" t="s">
        <v>313</v>
      </c>
      <c r="I1061" s="10"/>
      <c r="J1061" s="11"/>
      <c r="K1061" s="12"/>
      <c r="L1061" s="12"/>
      <c r="M1061" s="10"/>
      <c r="N1061" s="10"/>
      <c r="O1061" s="10"/>
      <c r="P1061" s="10"/>
      <c r="Q1061" s="10"/>
      <c r="R1061" s="10"/>
      <c r="S1061" s="10"/>
      <c r="T1061" s="10"/>
      <c r="U1061" s="10"/>
      <c r="V1061" s="10"/>
      <c r="W1061" s="10"/>
      <c r="X1061" s="10"/>
      <c r="Y1061" s="10"/>
      <c r="Z1061" s="10"/>
      <c r="AA1061" s="10"/>
      <c r="AB1061" s="10"/>
      <c r="AC1061" s="10"/>
      <c r="AD1061" s="10"/>
      <c r="AE1061" s="10"/>
      <c r="AF1061" s="10"/>
    </row>
    <row r="1062">
      <c r="A1062" s="7"/>
      <c r="B1062" s="8">
        <v>101.0</v>
      </c>
      <c r="C1062" s="8">
        <v>13.0</v>
      </c>
      <c r="D1062" s="8" t="s">
        <v>1596</v>
      </c>
      <c r="E1062" s="7">
        <v>0.0</v>
      </c>
      <c r="F1062" s="7"/>
      <c r="G1062" s="7" t="s">
        <v>312</v>
      </c>
      <c r="H1062" s="7" t="s">
        <v>313</v>
      </c>
      <c r="I1062" s="10"/>
      <c r="J1062" s="11"/>
      <c r="K1062" s="12"/>
      <c r="L1062" s="12"/>
      <c r="M1062" s="10"/>
      <c r="N1062" s="10"/>
      <c r="O1062" s="10"/>
      <c r="P1062" s="10"/>
      <c r="Q1062" s="10"/>
      <c r="R1062" s="10"/>
      <c r="S1062" s="10"/>
      <c r="T1062" s="10"/>
      <c r="U1062" s="10"/>
      <c r="V1062" s="10"/>
      <c r="W1062" s="10"/>
      <c r="X1062" s="10"/>
      <c r="Y1062" s="10"/>
      <c r="Z1062" s="10"/>
      <c r="AA1062" s="10"/>
      <c r="AB1062" s="10"/>
      <c r="AC1062" s="10"/>
      <c r="AD1062" s="10"/>
      <c r="AE1062" s="10"/>
      <c r="AF1062" s="10"/>
    </row>
    <row r="1063">
      <c r="A1063" s="7"/>
      <c r="B1063" s="8">
        <v>101.0</v>
      </c>
      <c r="C1063" s="8">
        <v>14.0</v>
      </c>
      <c r="D1063" s="8" t="s">
        <v>1597</v>
      </c>
      <c r="E1063" s="7">
        <v>0.0</v>
      </c>
      <c r="F1063" s="7"/>
      <c r="G1063" s="7" t="s">
        <v>312</v>
      </c>
      <c r="H1063" s="7" t="s">
        <v>313</v>
      </c>
      <c r="I1063" s="10"/>
      <c r="J1063" s="11"/>
      <c r="K1063" s="12"/>
      <c r="L1063" s="12"/>
      <c r="M1063" s="10"/>
      <c r="N1063" s="10"/>
      <c r="O1063" s="10"/>
      <c r="P1063" s="10"/>
      <c r="Q1063" s="10"/>
      <c r="R1063" s="10"/>
      <c r="S1063" s="10"/>
      <c r="T1063" s="10"/>
      <c r="U1063" s="10"/>
      <c r="V1063" s="10"/>
      <c r="W1063" s="10"/>
      <c r="X1063" s="10"/>
      <c r="Y1063" s="10"/>
      <c r="Z1063" s="10"/>
      <c r="AA1063" s="10"/>
      <c r="AB1063" s="10"/>
      <c r="AC1063" s="10"/>
      <c r="AD1063" s="10"/>
      <c r="AE1063" s="10"/>
      <c r="AF1063" s="10"/>
    </row>
    <row r="1064">
      <c r="A1064" s="7"/>
      <c r="B1064" s="8">
        <v>101.0</v>
      </c>
      <c r="C1064" s="8">
        <v>15.0</v>
      </c>
      <c r="D1064" s="8" t="s">
        <v>1598</v>
      </c>
      <c r="E1064" s="7">
        <v>0.0</v>
      </c>
      <c r="F1064" s="7"/>
      <c r="G1064" s="7" t="s">
        <v>312</v>
      </c>
      <c r="H1064" s="7" t="s">
        <v>313</v>
      </c>
      <c r="I1064" s="10"/>
      <c r="J1064" s="11"/>
      <c r="K1064" s="12"/>
      <c r="L1064" s="12"/>
      <c r="M1064" s="10"/>
      <c r="N1064" s="10"/>
      <c r="O1064" s="10"/>
      <c r="P1064" s="10"/>
      <c r="Q1064" s="10"/>
      <c r="R1064" s="10"/>
      <c r="S1064" s="10"/>
      <c r="T1064" s="10"/>
      <c r="U1064" s="10"/>
      <c r="V1064" s="10"/>
      <c r="W1064" s="10"/>
      <c r="X1064" s="10"/>
      <c r="Y1064" s="10"/>
      <c r="Z1064" s="10"/>
      <c r="AA1064" s="10"/>
      <c r="AB1064" s="10"/>
      <c r="AC1064" s="10"/>
      <c r="AD1064" s="10"/>
      <c r="AE1064" s="10"/>
      <c r="AF1064" s="10"/>
    </row>
    <row r="1065">
      <c r="A1065" s="7"/>
      <c r="B1065" s="8">
        <v>101.0</v>
      </c>
      <c r="C1065" s="8">
        <v>16.0</v>
      </c>
      <c r="D1065" s="8" t="s">
        <v>1599</v>
      </c>
      <c r="E1065" s="7">
        <v>0.0</v>
      </c>
      <c r="F1065" s="7"/>
      <c r="G1065" s="7" t="s">
        <v>312</v>
      </c>
      <c r="H1065" s="7" t="s">
        <v>313</v>
      </c>
      <c r="I1065" s="10"/>
      <c r="J1065" s="11"/>
      <c r="K1065" s="12"/>
      <c r="L1065" s="12"/>
      <c r="M1065" s="10"/>
      <c r="N1065" s="10"/>
      <c r="O1065" s="10"/>
      <c r="P1065" s="10"/>
      <c r="Q1065" s="10"/>
      <c r="R1065" s="10"/>
      <c r="S1065" s="10"/>
      <c r="T1065" s="10"/>
      <c r="U1065" s="10"/>
      <c r="V1065" s="10"/>
      <c r="W1065" s="10"/>
      <c r="X1065" s="10"/>
      <c r="Y1065" s="10"/>
      <c r="Z1065" s="10"/>
      <c r="AA1065" s="10"/>
      <c r="AB1065" s="10"/>
      <c r="AC1065" s="10"/>
      <c r="AD1065" s="10"/>
      <c r="AE1065" s="10"/>
      <c r="AF1065" s="10"/>
    </row>
    <row r="1066">
      <c r="A1066" s="7"/>
      <c r="B1066" s="8">
        <v>101.0</v>
      </c>
      <c r="C1066" s="8">
        <v>17.0</v>
      </c>
      <c r="D1066" s="8" t="s">
        <v>1600</v>
      </c>
      <c r="E1066" s="7">
        <v>0.0</v>
      </c>
      <c r="F1066" s="7"/>
      <c r="G1066" s="7" t="s">
        <v>312</v>
      </c>
      <c r="H1066" s="7" t="s">
        <v>313</v>
      </c>
      <c r="I1066" s="10"/>
      <c r="J1066" s="11"/>
      <c r="K1066" s="12"/>
      <c r="L1066" s="12"/>
      <c r="M1066" s="10"/>
      <c r="N1066" s="10"/>
      <c r="O1066" s="10"/>
      <c r="P1066" s="10"/>
      <c r="Q1066" s="10"/>
      <c r="R1066" s="10"/>
      <c r="S1066" s="10"/>
      <c r="T1066" s="10"/>
      <c r="U1066" s="10"/>
      <c r="V1066" s="10"/>
      <c r="W1066" s="10"/>
      <c r="X1066" s="10"/>
      <c r="Y1066" s="10"/>
      <c r="Z1066" s="10"/>
      <c r="AA1066" s="10"/>
      <c r="AB1066" s="10"/>
      <c r="AC1066" s="10"/>
      <c r="AD1066" s="10"/>
      <c r="AE1066" s="10"/>
      <c r="AF1066" s="10"/>
    </row>
    <row r="1067">
      <c r="A1067" s="7"/>
      <c r="B1067" s="8">
        <v>101.0</v>
      </c>
      <c r="C1067" s="8">
        <v>18.0</v>
      </c>
      <c r="D1067" s="8" t="s">
        <v>1601</v>
      </c>
      <c r="E1067" s="7">
        <v>0.0</v>
      </c>
      <c r="F1067" s="7"/>
      <c r="G1067" s="7" t="s">
        <v>312</v>
      </c>
      <c r="H1067" s="7" t="s">
        <v>313</v>
      </c>
      <c r="I1067" s="10"/>
      <c r="J1067" s="11"/>
      <c r="K1067" s="12"/>
      <c r="L1067" s="12"/>
      <c r="M1067" s="10"/>
      <c r="N1067" s="10"/>
      <c r="O1067" s="10"/>
      <c r="P1067" s="10"/>
      <c r="Q1067" s="10"/>
      <c r="R1067" s="10"/>
      <c r="S1067" s="10"/>
      <c r="T1067" s="10"/>
      <c r="U1067" s="10"/>
      <c r="V1067" s="10"/>
      <c r="W1067" s="10"/>
      <c r="X1067" s="10"/>
      <c r="Y1067" s="10"/>
      <c r="Z1067" s="10"/>
      <c r="AA1067" s="10"/>
      <c r="AB1067" s="10"/>
      <c r="AC1067" s="10"/>
      <c r="AD1067" s="10"/>
      <c r="AE1067" s="10"/>
      <c r="AF1067" s="10"/>
    </row>
    <row r="1068">
      <c r="A1068" s="7"/>
      <c r="B1068" s="8">
        <v>101.0</v>
      </c>
      <c r="C1068" s="8">
        <v>19.0</v>
      </c>
      <c r="D1068" s="8" t="s">
        <v>1602</v>
      </c>
      <c r="E1068" s="7">
        <v>0.0</v>
      </c>
      <c r="F1068" s="7"/>
      <c r="G1068" s="7" t="s">
        <v>312</v>
      </c>
      <c r="H1068" s="7" t="s">
        <v>313</v>
      </c>
      <c r="I1068" s="10"/>
      <c r="J1068" s="11"/>
      <c r="K1068" s="12"/>
      <c r="L1068" s="12"/>
      <c r="M1068" s="10"/>
      <c r="N1068" s="10"/>
      <c r="O1068" s="10"/>
      <c r="P1068" s="10"/>
      <c r="Q1068" s="10"/>
      <c r="R1068" s="10"/>
      <c r="S1068" s="10"/>
      <c r="T1068" s="10"/>
      <c r="U1068" s="10"/>
      <c r="V1068" s="10"/>
      <c r="W1068" s="10"/>
      <c r="X1068" s="10"/>
      <c r="Y1068" s="10"/>
      <c r="Z1068" s="10"/>
      <c r="AA1068" s="10"/>
      <c r="AB1068" s="10"/>
      <c r="AC1068" s="10"/>
      <c r="AD1068" s="10"/>
      <c r="AE1068" s="10"/>
      <c r="AF1068" s="10"/>
    </row>
    <row r="1069">
      <c r="A1069" s="7"/>
      <c r="B1069" s="8">
        <v>101.0</v>
      </c>
      <c r="C1069" s="8">
        <v>20.0</v>
      </c>
      <c r="D1069" s="8" t="s">
        <v>1603</v>
      </c>
      <c r="E1069" s="7">
        <v>0.0</v>
      </c>
      <c r="F1069" s="7"/>
      <c r="G1069" s="7" t="s">
        <v>312</v>
      </c>
      <c r="H1069" s="7" t="s">
        <v>313</v>
      </c>
      <c r="I1069" s="10"/>
      <c r="J1069" s="11"/>
      <c r="K1069" s="12"/>
      <c r="L1069" s="12"/>
      <c r="M1069" s="10"/>
      <c r="N1069" s="10"/>
      <c r="O1069" s="10"/>
      <c r="P1069" s="10"/>
      <c r="Q1069" s="10"/>
      <c r="R1069" s="10"/>
      <c r="S1069" s="10"/>
      <c r="T1069" s="10"/>
      <c r="U1069" s="10"/>
      <c r="V1069" s="10"/>
      <c r="W1069" s="10"/>
      <c r="X1069" s="10"/>
      <c r="Y1069" s="10"/>
      <c r="Z1069" s="10"/>
      <c r="AA1069" s="10"/>
      <c r="AB1069" s="10"/>
      <c r="AC1069" s="10"/>
      <c r="AD1069" s="10"/>
      <c r="AE1069" s="10"/>
      <c r="AF1069" s="10"/>
    </row>
    <row r="1070">
      <c r="A1070" s="7"/>
      <c r="B1070" s="8">
        <v>101.0</v>
      </c>
      <c r="C1070" s="8">
        <v>21.0</v>
      </c>
      <c r="D1070" s="8" t="s">
        <v>1604</v>
      </c>
      <c r="E1070" s="7">
        <v>0.0</v>
      </c>
      <c r="F1070" s="7"/>
      <c r="G1070" s="7" t="s">
        <v>312</v>
      </c>
      <c r="H1070" s="7" t="s">
        <v>313</v>
      </c>
      <c r="I1070" s="10"/>
      <c r="J1070" s="11"/>
      <c r="K1070" s="12"/>
      <c r="L1070" s="12"/>
      <c r="M1070" s="10"/>
      <c r="N1070" s="10"/>
      <c r="O1070" s="10"/>
      <c r="P1070" s="10"/>
      <c r="Q1070" s="10"/>
      <c r="R1070" s="10"/>
      <c r="S1070" s="10"/>
      <c r="T1070" s="10"/>
      <c r="U1070" s="10"/>
      <c r="V1070" s="10"/>
      <c r="W1070" s="10"/>
      <c r="X1070" s="10"/>
      <c r="Y1070" s="10"/>
      <c r="Z1070" s="10"/>
      <c r="AA1070" s="10"/>
      <c r="AB1070" s="10"/>
      <c r="AC1070" s="10"/>
      <c r="AD1070" s="10"/>
      <c r="AE1070" s="10"/>
      <c r="AF1070" s="10"/>
    </row>
    <row r="1071">
      <c r="A1071" s="7"/>
      <c r="B1071" s="8">
        <v>101.0</v>
      </c>
      <c r="C1071" s="8">
        <v>22.0</v>
      </c>
      <c r="D1071" s="8" t="s">
        <v>1605</v>
      </c>
      <c r="E1071" s="7">
        <v>0.0</v>
      </c>
      <c r="F1071" s="7"/>
      <c r="G1071" s="7" t="s">
        <v>312</v>
      </c>
      <c r="H1071" s="7" t="s">
        <v>313</v>
      </c>
      <c r="I1071" s="10"/>
      <c r="J1071" s="11"/>
      <c r="K1071" s="12"/>
      <c r="L1071" s="12"/>
      <c r="M1071" s="10"/>
      <c r="N1071" s="10"/>
      <c r="O1071" s="10"/>
      <c r="P1071" s="10"/>
      <c r="Q1071" s="10"/>
      <c r="R1071" s="10"/>
      <c r="S1071" s="10"/>
      <c r="T1071" s="10"/>
      <c r="U1071" s="10"/>
      <c r="V1071" s="10"/>
      <c r="W1071" s="10"/>
      <c r="X1071" s="10"/>
      <c r="Y1071" s="10"/>
      <c r="Z1071" s="10"/>
      <c r="AA1071" s="10"/>
      <c r="AB1071" s="10"/>
      <c r="AC1071" s="10"/>
      <c r="AD1071" s="10"/>
      <c r="AE1071" s="10"/>
      <c r="AF1071" s="10"/>
    </row>
    <row r="1072">
      <c r="A1072" s="7"/>
      <c r="B1072" s="8">
        <v>101.0</v>
      </c>
      <c r="C1072" s="8">
        <v>23.0</v>
      </c>
      <c r="D1072" s="8" t="s">
        <v>1606</v>
      </c>
      <c r="E1072" s="7">
        <v>2.0</v>
      </c>
      <c r="F1072" s="7" t="s">
        <v>320</v>
      </c>
      <c r="G1072" s="7" t="s">
        <v>312</v>
      </c>
      <c r="H1072" s="7" t="s">
        <v>313</v>
      </c>
      <c r="I1072" s="10"/>
      <c r="J1072" s="9" t="s">
        <v>1591</v>
      </c>
      <c r="K1072" s="12"/>
      <c r="L1072" s="12"/>
      <c r="M1072" s="10"/>
      <c r="N1072" s="10"/>
      <c r="O1072" s="10"/>
      <c r="P1072" s="10"/>
      <c r="Q1072" s="10"/>
      <c r="R1072" s="10"/>
      <c r="S1072" s="10"/>
      <c r="T1072" s="10"/>
      <c r="U1072" s="10"/>
      <c r="V1072" s="10"/>
      <c r="W1072" s="10"/>
      <c r="X1072" s="10"/>
      <c r="Y1072" s="10"/>
      <c r="Z1072" s="10"/>
      <c r="AA1072" s="10"/>
      <c r="AB1072" s="10"/>
      <c r="AC1072" s="10"/>
      <c r="AD1072" s="10"/>
      <c r="AE1072" s="10"/>
      <c r="AF1072" s="10"/>
    </row>
    <row r="1073">
      <c r="A1073" s="7"/>
      <c r="B1073" s="8">
        <v>101.0</v>
      </c>
      <c r="C1073" s="8">
        <v>24.0</v>
      </c>
      <c r="D1073" s="8" t="s">
        <v>1607</v>
      </c>
      <c r="E1073" s="7">
        <v>0.0</v>
      </c>
      <c r="F1073" s="7"/>
      <c r="G1073" s="7" t="s">
        <v>312</v>
      </c>
      <c r="H1073" s="7" t="s">
        <v>313</v>
      </c>
      <c r="I1073" s="10"/>
      <c r="J1073" s="11"/>
      <c r="K1073" s="12"/>
      <c r="L1073" s="12"/>
      <c r="M1073" s="10"/>
      <c r="N1073" s="10"/>
      <c r="O1073" s="10"/>
      <c r="P1073" s="10"/>
      <c r="Q1073" s="10"/>
      <c r="R1073" s="10"/>
      <c r="S1073" s="10"/>
      <c r="T1073" s="10"/>
      <c r="U1073" s="10"/>
      <c r="V1073" s="10"/>
      <c r="W1073" s="10"/>
      <c r="X1073" s="10"/>
      <c r="Y1073" s="10"/>
      <c r="Z1073" s="10"/>
      <c r="AA1073" s="10"/>
      <c r="AB1073" s="10"/>
      <c r="AC1073" s="10"/>
      <c r="AD1073" s="10"/>
      <c r="AE1073" s="10"/>
      <c r="AF1073" s="10"/>
    </row>
    <row r="1074">
      <c r="A1074" s="7"/>
      <c r="B1074" s="8">
        <v>101.0</v>
      </c>
      <c r="C1074" s="8">
        <v>25.0</v>
      </c>
      <c r="D1074" s="8" t="s">
        <v>1608</v>
      </c>
      <c r="E1074" s="7">
        <v>0.0</v>
      </c>
      <c r="F1074" s="7"/>
      <c r="G1074" s="7" t="s">
        <v>312</v>
      </c>
      <c r="H1074" s="7" t="s">
        <v>313</v>
      </c>
      <c r="I1074" s="10"/>
      <c r="J1074" s="11"/>
      <c r="K1074" s="12"/>
      <c r="L1074" s="12"/>
      <c r="M1074" s="10"/>
      <c r="N1074" s="10"/>
      <c r="O1074" s="10"/>
      <c r="P1074" s="10"/>
      <c r="Q1074" s="10"/>
      <c r="R1074" s="10"/>
      <c r="S1074" s="10"/>
      <c r="T1074" s="10"/>
      <c r="U1074" s="10"/>
      <c r="V1074" s="10"/>
      <c r="W1074" s="10"/>
      <c r="X1074" s="10"/>
      <c r="Y1074" s="10"/>
      <c r="Z1074" s="10"/>
      <c r="AA1074" s="10"/>
      <c r="AB1074" s="10"/>
      <c r="AC1074" s="10"/>
      <c r="AD1074" s="10"/>
      <c r="AE1074" s="10"/>
      <c r="AF1074" s="10"/>
    </row>
    <row r="1075">
      <c r="A1075" s="7"/>
      <c r="B1075" s="8">
        <v>101.0</v>
      </c>
      <c r="C1075" s="8">
        <v>26.0</v>
      </c>
      <c r="D1075" s="8" t="s">
        <v>1609</v>
      </c>
      <c r="E1075" s="7">
        <v>0.0</v>
      </c>
      <c r="F1075" s="7"/>
      <c r="G1075" s="7" t="s">
        <v>312</v>
      </c>
      <c r="H1075" s="7" t="s">
        <v>313</v>
      </c>
      <c r="I1075" s="10"/>
      <c r="J1075" s="11"/>
      <c r="K1075" s="12"/>
      <c r="L1075" s="12"/>
      <c r="M1075" s="10"/>
      <c r="N1075" s="10"/>
      <c r="O1075" s="10"/>
      <c r="P1075" s="10"/>
      <c r="Q1075" s="10"/>
      <c r="R1075" s="10"/>
      <c r="S1075" s="10"/>
      <c r="T1075" s="10"/>
      <c r="U1075" s="10"/>
      <c r="V1075" s="10"/>
      <c r="W1075" s="10"/>
      <c r="X1075" s="10"/>
      <c r="Y1075" s="10"/>
      <c r="Z1075" s="10"/>
      <c r="AA1075" s="10"/>
      <c r="AB1075" s="10"/>
      <c r="AC1075" s="10"/>
      <c r="AD1075" s="10"/>
      <c r="AE1075" s="10"/>
      <c r="AF1075" s="10"/>
    </row>
    <row r="1076">
      <c r="A1076" s="7"/>
      <c r="B1076" s="8">
        <v>101.0</v>
      </c>
      <c r="C1076" s="8">
        <v>27.0</v>
      </c>
      <c r="D1076" s="8" t="s">
        <v>1610</v>
      </c>
      <c r="E1076" s="7">
        <v>0.0</v>
      </c>
      <c r="F1076" s="7"/>
      <c r="G1076" s="7" t="s">
        <v>312</v>
      </c>
      <c r="H1076" s="7" t="s">
        <v>313</v>
      </c>
      <c r="I1076" s="10"/>
      <c r="J1076" s="11"/>
      <c r="K1076" s="12"/>
      <c r="L1076" s="12"/>
      <c r="M1076" s="10"/>
      <c r="N1076" s="10"/>
      <c r="O1076" s="10"/>
      <c r="P1076" s="10"/>
      <c r="Q1076" s="10"/>
      <c r="R1076" s="10"/>
      <c r="S1076" s="10"/>
      <c r="T1076" s="10"/>
      <c r="U1076" s="10"/>
      <c r="V1076" s="10"/>
      <c r="W1076" s="10"/>
      <c r="X1076" s="10"/>
      <c r="Y1076" s="10"/>
      <c r="Z1076" s="10"/>
      <c r="AA1076" s="10"/>
      <c r="AB1076" s="10"/>
      <c r="AC1076" s="10"/>
      <c r="AD1076" s="10"/>
      <c r="AE1076" s="10"/>
      <c r="AF1076" s="10"/>
    </row>
    <row r="1077">
      <c r="A1077" s="7"/>
      <c r="B1077" s="8">
        <v>101.0</v>
      </c>
      <c r="C1077" s="8">
        <v>28.0</v>
      </c>
      <c r="D1077" s="8" t="s">
        <v>1611</v>
      </c>
      <c r="E1077" s="7">
        <v>0.0</v>
      </c>
      <c r="F1077" s="7"/>
      <c r="G1077" s="7" t="s">
        <v>312</v>
      </c>
      <c r="H1077" s="7" t="s">
        <v>313</v>
      </c>
      <c r="I1077" s="10"/>
      <c r="J1077" s="11"/>
      <c r="K1077" s="12"/>
      <c r="L1077" s="12"/>
      <c r="M1077" s="10"/>
      <c r="N1077" s="10"/>
      <c r="O1077" s="10"/>
      <c r="P1077" s="10"/>
      <c r="Q1077" s="10"/>
      <c r="R1077" s="10"/>
      <c r="S1077" s="10"/>
      <c r="T1077" s="10"/>
      <c r="U1077" s="10"/>
      <c r="V1077" s="10"/>
      <c r="W1077" s="10"/>
      <c r="X1077" s="10"/>
      <c r="Y1077" s="10"/>
      <c r="Z1077" s="10"/>
      <c r="AA1077" s="10"/>
      <c r="AB1077" s="10"/>
      <c r="AC1077" s="10"/>
      <c r="AD1077" s="10"/>
      <c r="AE1077" s="10"/>
      <c r="AF1077" s="10"/>
    </row>
    <row r="1078">
      <c r="A1078" s="7"/>
      <c r="B1078" s="8">
        <v>101.0</v>
      </c>
      <c r="C1078" s="8">
        <v>29.0</v>
      </c>
      <c r="D1078" s="8" t="s">
        <v>1612</v>
      </c>
      <c r="E1078" s="7">
        <v>0.0</v>
      </c>
      <c r="F1078" s="7"/>
      <c r="G1078" s="7" t="s">
        <v>312</v>
      </c>
      <c r="H1078" s="7" t="s">
        <v>313</v>
      </c>
      <c r="I1078" s="10"/>
      <c r="J1078" s="11"/>
      <c r="K1078" s="12"/>
      <c r="L1078" s="12"/>
      <c r="M1078" s="10"/>
      <c r="N1078" s="10"/>
      <c r="O1078" s="10"/>
      <c r="P1078" s="10"/>
      <c r="Q1078" s="10"/>
      <c r="R1078" s="10"/>
      <c r="S1078" s="10"/>
      <c r="T1078" s="10"/>
      <c r="U1078" s="10"/>
      <c r="V1078" s="10"/>
      <c r="W1078" s="10"/>
      <c r="X1078" s="10"/>
      <c r="Y1078" s="10"/>
      <c r="Z1078" s="10"/>
      <c r="AA1078" s="10"/>
      <c r="AB1078" s="10"/>
      <c r="AC1078" s="10"/>
      <c r="AD1078" s="10"/>
      <c r="AE1078" s="10"/>
      <c r="AF1078" s="10"/>
    </row>
    <row r="1079">
      <c r="A1079" s="7"/>
      <c r="B1079" s="8">
        <v>101.0</v>
      </c>
      <c r="C1079" s="8">
        <v>30.0</v>
      </c>
      <c r="D1079" s="8" t="s">
        <v>1613</v>
      </c>
      <c r="E1079" s="7">
        <v>0.0</v>
      </c>
      <c r="F1079" s="7"/>
      <c r="G1079" s="7" t="s">
        <v>312</v>
      </c>
      <c r="H1079" s="7" t="s">
        <v>313</v>
      </c>
      <c r="I1079" s="10"/>
      <c r="J1079" s="11"/>
      <c r="K1079" s="12"/>
      <c r="L1079" s="12"/>
      <c r="M1079" s="10"/>
      <c r="N1079" s="10"/>
      <c r="O1079" s="10"/>
      <c r="P1079" s="10"/>
      <c r="Q1079" s="10"/>
      <c r="R1079" s="10"/>
      <c r="S1079" s="10"/>
      <c r="T1079" s="10"/>
      <c r="U1079" s="10"/>
      <c r="V1079" s="10"/>
      <c r="W1079" s="10"/>
      <c r="X1079" s="10"/>
      <c r="Y1079" s="10"/>
      <c r="Z1079" s="10"/>
      <c r="AA1079" s="10"/>
      <c r="AB1079" s="10"/>
      <c r="AC1079" s="10"/>
      <c r="AD1079" s="10"/>
      <c r="AE1079" s="10"/>
      <c r="AF1079" s="10"/>
    </row>
    <row r="1080">
      <c r="A1080" s="7"/>
      <c r="B1080" s="8">
        <v>101.0</v>
      </c>
      <c r="C1080" s="8">
        <v>31.0</v>
      </c>
      <c r="D1080" s="8" t="s">
        <v>1614</v>
      </c>
      <c r="E1080" s="7">
        <v>0.0</v>
      </c>
      <c r="F1080" s="7"/>
      <c r="G1080" s="7" t="s">
        <v>312</v>
      </c>
      <c r="H1080" s="7" t="s">
        <v>313</v>
      </c>
      <c r="I1080" s="10"/>
      <c r="J1080" s="11"/>
      <c r="K1080" s="12"/>
      <c r="L1080" s="12"/>
      <c r="M1080" s="10"/>
      <c r="N1080" s="10"/>
      <c r="O1080" s="10"/>
      <c r="P1080" s="10"/>
      <c r="Q1080" s="10"/>
      <c r="R1080" s="10"/>
      <c r="S1080" s="10"/>
      <c r="T1080" s="10"/>
      <c r="U1080" s="10"/>
      <c r="V1080" s="10"/>
      <c r="W1080" s="10"/>
      <c r="X1080" s="10"/>
      <c r="Y1080" s="10"/>
      <c r="Z1080" s="10"/>
      <c r="AA1080" s="10"/>
      <c r="AB1080" s="10"/>
      <c r="AC1080" s="10"/>
      <c r="AD1080" s="10"/>
      <c r="AE1080" s="10"/>
      <c r="AF1080" s="10"/>
    </row>
    <row r="1081">
      <c r="A1081" s="7"/>
      <c r="B1081" s="8">
        <v>101.0</v>
      </c>
      <c r="C1081" s="8">
        <v>32.0</v>
      </c>
      <c r="D1081" s="8" t="s">
        <v>1615</v>
      </c>
      <c r="E1081" s="7">
        <v>0.0</v>
      </c>
      <c r="F1081" s="7"/>
      <c r="G1081" s="7" t="s">
        <v>312</v>
      </c>
      <c r="H1081" s="7" t="s">
        <v>313</v>
      </c>
      <c r="I1081" s="10"/>
      <c r="J1081" s="11"/>
      <c r="K1081" s="12"/>
      <c r="L1081" s="12"/>
      <c r="M1081" s="10"/>
      <c r="N1081" s="10"/>
      <c r="O1081" s="10"/>
      <c r="P1081" s="10"/>
      <c r="Q1081" s="10"/>
      <c r="R1081" s="10"/>
      <c r="S1081" s="10"/>
      <c r="T1081" s="10"/>
      <c r="U1081" s="10"/>
      <c r="V1081" s="10"/>
      <c r="W1081" s="10"/>
      <c r="X1081" s="10"/>
      <c r="Y1081" s="10"/>
      <c r="Z1081" s="10"/>
      <c r="AA1081" s="10"/>
      <c r="AB1081" s="10"/>
      <c r="AC1081" s="10"/>
      <c r="AD1081" s="10"/>
      <c r="AE1081" s="10"/>
      <c r="AF1081" s="10"/>
    </row>
    <row r="1082">
      <c r="A1082" s="7"/>
      <c r="B1082" s="8">
        <v>101.0</v>
      </c>
      <c r="C1082" s="8">
        <v>33.0</v>
      </c>
      <c r="D1082" s="8" t="s">
        <v>1616</v>
      </c>
      <c r="E1082" s="7">
        <v>2.0</v>
      </c>
      <c r="F1082" s="7" t="s">
        <v>320</v>
      </c>
      <c r="G1082" s="7" t="s">
        <v>312</v>
      </c>
      <c r="H1082" s="7" t="s">
        <v>313</v>
      </c>
      <c r="I1082" s="7"/>
      <c r="J1082" s="9" t="s">
        <v>1591</v>
      </c>
      <c r="K1082" s="12"/>
      <c r="L1082" s="12"/>
      <c r="M1082" s="10"/>
      <c r="N1082" s="10"/>
      <c r="O1082" s="10"/>
      <c r="P1082" s="10"/>
      <c r="Q1082" s="10"/>
      <c r="R1082" s="10"/>
      <c r="S1082" s="10"/>
      <c r="T1082" s="10"/>
      <c r="U1082" s="10"/>
      <c r="V1082" s="10"/>
      <c r="W1082" s="10"/>
      <c r="X1082" s="10"/>
      <c r="Y1082" s="10"/>
      <c r="Z1082" s="10"/>
      <c r="AA1082" s="10"/>
      <c r="AB1082" s="10"/>
      <c r="AC1082" s="10"/>
      <c r="AD1082" s="10"/>
      <c r="AE1082" s="10"/>
      <c r="AF1082" s="10"/>
    </row>
    <row r="1083">
      <c r="A1083" s="7"/>
      <c r="B1083" s="8">
        <v>101.0</v>
      </c>
      <c r="C1083" s="8">
        <v>34.0</v>
      </c>
      <c r="D1083" s="8" t="s">
        <v>1617</v>
      </c>
      <c r="E1083" s="7">
        <v>0.0</v>
      </c>
      <c r="F1083" s="7"/>
      <c r="G1083" s="7" t="s">
        <v>312</v>
      </c>
      <c r="H1083" s="7" t="s">
        <v>313</v>
      </c>
      <c r="I1083" s="10"/>
      <c r="J1083" s="11"/>
      <c r="K1083" s="12"/>
      <c r="L1083" s="12"/>
      <c r="M1083" s="10"/>
      <c r="N1083" s="10"/>
      <c r="O1083" s="10"/>
      <c r="P1083" s="10"/>
      <c r="Q1083" s="10"/>
      <c r="R1083" s="10"/>
      <c r="S1083" s="10"/>
      <c r="T1083" s="10"/>
      <c r="U1083" s="10"/>
      <c r="V1083" s="10"/>
      <c r="W1083" s="10"/>
      <c r="X1083" s="10"/>
      <c r="Y1083" s="10"/>
      <c r="Z1083" s="10"/>
      <c r="AA1083" s="10"/>
      <c r="AB1083" s="10"/>
      <c r="AC1083" s="10"/>
      <c r="AD1083" s="10"/>
      <c r="AE1083" s="10"/>
      <c r="AF1083" s="10"/>
    </row>
    <row r="1084">
      <c r="A1084" s="7"/>
      <c r="B1084" s="8">
        <v>101.0</v>
      </c>
      <c r="C1084" s="8">
        <v>35.0</v>
      </c>
      <c r="D1084" s="8" t="s">
        <v>1618</v>
      </c>
      <c r="E1084" s="7">
        <v>0.0</v>
      </c>
      <c r="F1084" s="7"/>
      <c r="G1084" s="7" t="s">
        <v>312</v>
      </c>
      <c r="H1084" s="7" t="s">
        <v>313</v>
      </c>
      <c r="I1084" s="10"/>
      <c r="J1084" s="11"/>
      <c r="K1084" s="12"/>
      <c r="L1084" s="12"/>
      <c r="M1084" s="10"/>
      <c r="N1084" s="10"/>
      <c r="O1084" s="10"/>
      <c r="P1084" s="10"/>
      <c r="Q1084" s="10"/>
      <c r="R1084" s="10"/>
      <c r="S1084" s="10"/>
      <c r="T1084" s="10"/>
      <c r="U1084" s="10"/>
      <c r="V1084" s="10"/>
      <c r="W1084" s="10"/>
      <c r="X1084" s="10"/>
      <c r="Y1084" s="10"/>
      <c r="Z1084" s="10"/>
      <c r="AA1084" s="10"/>
      <c r="AB1084" s="10"/>
      <c r="AC1084" s="10"/>
      <c r="AD1084" s="10"/>
      <c r="AE1084" s="10"/>
      <c r="AF1084" s="10"/>
    </row>
    <row r="1085">
      <c r="A1085" s="7"/>
      <c r="B1085" s="8">
        <v>101.0</v>
      </c>
      <c r="C1085" s="8">
        <v>36.0</v>
      </c>
      <c r="D1085" s="8" t="s">
        <v>1619</v>
      </c>
      <c r="E1085" s="7">
        <v>0.0</v>
      </c>
      <c r="F1085" s="7"/>
      <c r="G1085" s="7" t="s">
        <v>312</v>
      </c>
      <c r="H1085" s="7" t="s">
        <v>313</v>
      </c>
      <c r="I1085" s="10"/>
      <c r="J1085" s="11"/>
      <c r="K1085" s="12"/>
      <c r="L1085" s="12"/>
      <c r="M1085" s="10"/>
      <c r="N1085" s="10"/>
      <c r="O1085" s="10"/>
      <c r="P1085" s="10"/>
      <c r="Q1085" s="10"/>
      <c r="R1085" s="10"/>
      <c r="S1085" s="10"/>
      <c r="T1085" s="10"/>
      <c r="U1085" s="10"/>
      <c r="V1085" s="10"/>
      <c r="W1085" s="10"/>
      <c r="X1085" s="10"/>
      <c r="Y1085" s="10"/>
      <c r="Z1085" s="10"/>
      <c r="AA1085" s="10"/>
      <c r="AB1085" s="10"/>
      <c r="AC1085" s="10"/>
      <c r="AD1085" s="10"/>
      <c r="AE1085" s="10"/>
      <c r="AF1085" s="10"/>
    </row>
    <row r="1086">
      <c r="A1086" s="7"/>
      <c r="B1086" s="8">
        <v>101.0</v>
      </c>
      <c r="C1086" s="8">
        <v>37.0</v>
      </c>
      <c r="D1086" s="8" t="s">
        <v>1620</v>
      </c>
      <c r="E1086" s="7">
        <v>0.0</v>
      </c>
      <c r="F1086" s="7"/>
      <c r="G1086" s="7" t="s">
        <v>312</v>
      </c>
      <c r="H1086" s="7" t="s">
        <v>313</v>
      </c>
      <c r="I1086" s="10"/>
      <c r="J1086" s="11"/>
      <c r="K1086" s="12"/>
      <c r="L1086" s="12"/>
      <c r="M1086" s="10"/>
      <c r="N1086" s="10"/>
      <c r="O1086" s="10"/>
      <c r="P1086" s="10"/>
      <c r="Q1086" s="10"/>
      <c r="R1086" s="10"/>
      <c r="S1086" s="10"/>
      <c r="T1086" s="10"/>
      <c r="U1086" s="10"/>
      <c r="V1086" s="10"/>
      <c r="W1086" s="10"/>
      <c r="X1086" s="10"/>
      <c r="Y1086" s="10"/>
      <c r="Z1086" s="10"/>
      <c r="AA1086" s="10"/>
      <c r="AB1086" s="10"/>
      <c r="AC1086" s="10"/>
      <c r="AD1086" s="10"/>
      <c r="AE1086" s="10"/>
      <c r="AF1086" s="10"/>
    </row>
    <row r="1087">
      <c r="A1087" s="7"/>
      <c r="B1087" s="8">
        <v>101.0</v>
      </c>
      <c r="C1087" s="8">
        <v>38.0</v>
      </c>
      <c r="D1087" s="8" t="s">
        <v>1621</v>
      </c>
      <c r="E1087" s="7">
        <v>0.0</v>
      </c>
      <c r="F1087" s="7"/>
      <c r="G1087" s="7" t="s">
        <v>312</v>
      </c>
      <c r="H1087" s="7" t="s">
        <v>313</v>
      </c>
      <c r="I1087" s="10"/>
      <c r="J1087" s="11"/>
      <c r="K1087" s="12"/>
      <c r="L1087" s="12"/>
      <c r="M1087" s="10"/>
      <c r="N1087" s="10"/>
      <c r="O1087" s="10"/>
      <c r="P1087" s="10"/>
      <c r="Q1087" s="10"/>
      <c r="R1087" s="10"/>
      <c r="S1087" s="10"/>
      <c r="T1087" s="10"/>
      <c r="U1087" s="10"/>
      <c r="V1087" s="10"/>
      <c r="W1087" s="10"/>
      <c r="X1087" s="10"/>
      <c r="Y1087" s="10"/>
      <c r="Z1087" s="10"/>
      <c r="AA1087" s="10"/>
      <c r="AB1087" s="10"/>
      <c r="AC1087" s="10"/>
      <c r="AD1087" s="10"/>
      <c r="AE1087" s="10"/>
      <c r="AF1087" s="10"/>
    </row>
    <row r="1088">
      <c r="A1088" s="7"/>
      <c r="B1088" s="8">
        <v>101.0</v>
      </c>
      <c r="C1088" s="8">
        <v>39.0</v>
      </c>
      <c r="D1088" s="8" t="s">
        <v>1622</v>
      </c>
      <c r="E1088" s="7">
        <v>0.0</v>
      </c>
      <c r="F1088" s="7"/>
      <c r="G1088" s="7" t="s">
        <v>312</v>
      </c>
      <c r="H1088" s="7" t="s">
        <v>313</v>
      </c>
      <c r="I1088" s="10"/>
      <c r="J1088" s="11"/>
      <c r="K1088" s="12"/>
      <c r="L1088" s="12"/>
      <c r="M1088" s="10"/>
      <c r="N1088" s="10"/>
      <c r="O1088" s="10"/>
      <c r="P1088" s="10"/>
      <c r="Q1088" s="10"/>
      <c r="R1088" s="10"/>
      <c r="S1088" s="10"/>
      <c r="T1088" s="10"/>
      <c r="U1088" s="10"/>
      <c r="V1088" s="10"/>
      <c r="W1088" s="10"/>
      <c r="X1088" s="10"/>
      <c r="Y1088" s="10"/>
      <c r="Z1088" s="10"/>
      <c r="AA1088" s="10"/>
      <c r="AB1088" s="10"/>
      <c r="AC1088" s="10"/>
      <c r="AD1088" s="10"/>
      <c r="AE1088" s="10"/>
      <c r="AF1088" s="10"/>
    </row>
    <row r="1089">
      <c r="A1089" s="7"/>
      <c r="B1089" s="8">
        <v>101.0</v>
      </c>
      <c r="C1089" s="8">
        <v>40.0</v>
      </c>
      <c r="D1089" s="8" t="s">
        <v>1623</v>
      </c>
      <c r="E1089" s="7">
        <v>0.0</v>
      </c>
      <c r="F1089" s="7"/>
      <c r="G1089" s="7" t="s">
        <v>312</v>
      </c>
      <c r="H1089" s="7" t="s">
        <v>313</v>
      </c>
      <c r="I1089" s="10"/>
      <c r="J1089" s="11"/>
      <c r="K1089" s="12"/>
      <c r="L1089" s="12"/>
      <c r="M1089" s="10"/>
      <c r="N1089" s="10"/>
      <c r="O1089" s="10"/>
      <c r="P1089" s="10"/>
      <c r="Q1089" s="10"/>
      <c r="R1089" s="10"/>
      <c r="S1089" s="10"/>
      <c r="T1089" s="10"/>
      <c r="U1089" s="10"/>
      <c r="V1089" s="10"/>
      <c r="W1089" s="10"/>
      <c r="X1089" s="10"/>
      <c r="Y1089" s="10"/>
      <c r="Z1089" s="10"/>
      <c r="AA1089" s="10"/>
      <c r="AB1089" s="10"/>
      <c r="AC1089" s="10"/>
      <c r="AD1089" s="10"/>
      <c r="AE1089" s="10"/>
      <c r="AF1089" s="10"/>
    </row>
    <row r="1090">
      <c r="A1090" s="7"/>
      <c r="B1090" s="8">
        <v>101.0</v>
      </c>
      <c r="C1090" s="8">
        <v>41.0</v>
      </c>
      <c r="D1090" s="8" t="s">
        <v>1624</v>
      </c>
      <c r="E1090" s="7">
        <v>0.0</v>
      </c>
      <c r="F1090" s="7"/>
      <c r="G1090" s="7" t="s">
        <v>312</v>
      </c>
      <c r="H1090" s="7" t="s">
        <v>313</v>
      </c>
      <c r="I1090" s="10"/>
      <c r="J1090" s="11"/>
      <c r="K1090" s="12"/>
      <c r="L1090" s="12"/>
      <c r="M1090" s="10"/>
      <c r="N1090" s="10"/>
      <c r="O1090" s="10"/>
      <c r="P1090" s="10"/>
      <c r="Q1090" s="10"/>
      <c r="R1090" s="10"/>
      <c r="S1090" s="10"/>
      <c r="T1090" s="10"/>
      <c r="U1090" s="10"/>
      <c r="V1090" s="10"/>
      <c r="W1090" s="10"/>
      <c r="X1090" s="10"/>
      <c r="Y1090" s="10"/>
      <c r="Z1090" s="10"/>
      <c r="AA1090" s="10"/>
      <c r="AB1090" s="10"/>
      <c r="AC1090" s="10"/>
      <c r="AD1090" s="10"/>
      <c r="AE1090" s="10"/>
      <c r="AF1090" s="10"/>
    </row>
    <row r="1091">
      <c r="A1091" s="7"/>
      <c r="B1091" s="8">
        <v>101.0</v>
      </c>
      <c r="C1091" s="8">
        <v>42.0</v>
      </c>
      <c r="D1091" s="8" t="s">
        <v>1625</v>
      </c>
      <c r="E1091" s="7">
        <v>2.0</v>
      </c>
      <c r="F1091" s="7" t="s">
        <v>320</v>
      </c>
      <c r="G1091" s="7" t="s">
        <v>312</v>
      </c>
      <c r="H1091" s="7" t="s">
        <v>313</v>
      </c>
      <c r="I1091" s="7"/>
      <c r="J1091" s="9" t="s">
        <v>1591</v>
      </c>
      <c r="K1091" s="12"/>
      <c r="L1091" s="12"/>
      <c r="M1091" s="10"/>
      <c r="N1091" s="10"/>
      <c r="O1091" s="10"/>
      <c r="P1091" s="10"/>
      <c r="Q1091" s="10"/>
      <c r="R1091" s="10"/>
      <c r="S1091" s="10"/>
      <c r="T1091" s="10"/>
      <c r="U1091" s="10"/>
      <c r="V1091" s="10"/>
      <c r="W1091" s="10"/>
      <c r="X1091" s="10"/>
      <c r="Y1091" s="10"/>
      <c r="Z1091" s="10"/>
      <c r="AA1091" s="10"/>
      <c r="AB1091" s="10"/>
      <c r="AC1091" s="10"/>
      <c r="AD1091" s="10"/>
      <c r="AE1091" s="10"/>
      <c r="AF1091" s="10"/>
    </row>
    <row r="1092">
      <c r="A1092" s="7"/>
      <c r="B1092" s="8">
        <v>101.0</v>
      </c>
      <c r="C1092" s="8">
        <v>43.0</v>
      </c>
      <c r="D1092" s="8" t="s">
        <v>1626</v>
      </c>
      <c r="E1092" s="7">
        <v>0.0</v>
      </c>
      <c r="F1092" s="7"/>
      <c r="G1092" s="7" t="s">
        <v>312</v>
      </c>
      <c r="H1092" s="7" t="s">
        <v>313</v>
      </c>
      <c r="I1092" s="10"/>
      <c r="J1092" s="11"/>
      <c r="K1092" s="12"/>
      <c r="L1092" s="12"/>
      <c r="M1092" s="10"/>
      <c r="N1092" s="10"/>
      <c r="O1092" s="10"/>
      <c r="P1092" s="10"/>
      <c r="Q1092" s="10"/>
      <c r="R1092" s="10"/>
      <c r="S1092" s="10"/>
      <c r="T1092" s="10"/>
      <c r="U1092" s="10"/>
      <c r="V1092" s="10"/>
      <c r="W1092" s="10"/>
      <c r="X1092" s="10"/>
      <c r="Y1092" s="10"/>
      <c r="Z1092" s="10"/>
      <c r="AA1092" s="10"/>
      <c r="AB1092" s="10"/>
      <c r="AC1092" s="10"/>
      <c r="AD1092" s="10"/>
      <c r="AE1092" s="10"/>
      <c r="AF1092" s="10"/>
    </row>
    <row r="1093">
      <c r="A1093" s="7"/>
      <c r="B1093" s="8">
        <v>101.0</v>
      </c>
      <c r="C1093" s="8">
        <v>44.0</v>
      </c>
      <c r="D1093" s="8" t="s">
        <v>1627</v>
      </c>
      <c r="E1093" s="7">
        <v>0.0</v>
      </c>
      <c r="F1093" s="7"/>
      <c r="G1093" s="7" t="s">
        <v>312</v>
      </c>
      <c r="H1093" s="7" t="s">
        <v>313</v>
      </c>
      <c r="I1093" s="10"/>
      <c r="J1093" s="11"/>
      <c r="K1093" s="12"/>
      <c r="L1093" s="12"/>
      <c r="M1093" s="10"/>
      <c r="N1093" s="10"/>
      <c r="O1093" s="10"/>
      <c r="P1093" s="10"/>
      <c r="Q1093" s="10"/>
      <c r="R1093" s="10"/>
      <c r="S1093" s="10"/>
      <c r="T1093" s="10"/>
      <c r="U1093" s="10"/>
      <c r="V1093" s="10"/>
      <c r="W1093" s="10"/>
      <c r="X1093" s="10"/>
      <c r="Y1093" s="10"/>
      <c r="Z1093" s="10"/>
      <c r="AA1093" s="10"/>
      <c r="AB1093" s="10"/>
      <c r="AC1093" s="10"/>
      <c r="AD1093" s="10"/>
      <c r="AE1093" s="10"/>
      <c r="AF1093" s="10"/>
    </row>
    <row r="1094">
      <c r="A1094" s="7"/>
      <c r="B1094" s="8">
        <v>101.0</v>
      </c>
      <c r="C1094" s="8">
        <v>45.0</v>
      </c>
      <c r="D1094" s="8" t="s">
        <v>1628</v>
      </c>
      <c r="E1094" s="7">
        <v>0.0</v>
      </c>
      <c r="F1094" s="7"/>
      <c r="G1094" s="7" t="s">
        <v>312</v>
      </c>
      <c r="H1094" s="7" t="s">
        <v>313</v>
      </c>
      <c r="I1094" s="10"/>
      <c r="J1094" s="11"/>
      <c r="K1094" s="12"/>
      <c r="L1094" s="12"/>
      <c r="M1094" s="10"/>
      <c r="N1094" s="10"/>
      <c r="O1094" s="10"/>
      <c r="P1094" s="10"/>
      <c r="Q1094" s="10"/>
      <c r="R1094" s="10"/>
      <c r="S1094" s="10"/>
      <c r="T1094" s="10"/>
      <c r="U1094" s="10"/>
      <c r="V1094" s="10"/>
      <c r="W1094" s="10"/>
      <c r="X1094" s="10"/>
      <c r="Y1094" s="10"/>
      <c r="Z1094" s="10"/>
      <c r="AA1094" s="10"/>
      <c r="AB1094" s="10"/>
      <c r="AC1094" s="10"/>
      <c r="AD1094" s="10"/>
      <c r="AE1094" s="10"/>
      <c r="AF1094" s="10"/>
    </row>
    <row r="1095">
      <c r="A1095" s="7"/>
      <c r="B1095" s="8">
        <v>101.0</v>
      </c>
      <c r="C1095" s="8">
        <v>46.0</v>
      </c>
      <c r="D1095" s="8" t="s">
        <v>1629</v>
      </c>
      <c r="E1095" s="7">
        <v>0.0</v>
      </c>
      <c r="F1095" s="7"/>
      <c r="G1095" s="7" t="s">
        <v>312</v>
      </c>
      <c r="H1095" s="7" t="s">
        <v>313</v>
      </c>
      <c r="I1095" s="10"/>
      <c r="J1095" s="11"/>
      <c r="K1095" s="12"/>
      <c r="L1095" s="12"/>
      <c r="M1095" s="10"/>
      <c r="N1095" s="10"/>
      <c r="O1095" s="10"/>
      <c r="P1095" s="10"/>
      <c r="Q1095" s="10"/>
      <c r="R1095" s="10"/>
      <c r="S1095" s="10"/>
      <c r="T1095" s="10"/>
      <c r="U1095" s="10"/>
      <c r="V1095" s="10"/>
      <c r="W1095" s="10"/>
      <c r="X1095" s="10"/>
      <c r="Y1095" s="10"/>
      <c r="Z1095" s="10"/>
      <c r="AA1095" s="10"/>
      <c r="AB1095" s="10"/>
      <c r="AC1095" s="10"/>
      <c r="AD1095" s="10"/>
      <c r="AE1095" s="10"/>
      <c r="AF1095" s="10"/>
    </row>
    <row r="1096">
      <c r="A1096" s="7"/>
      <c r="B1096" s="8">
        <v>101.0</v>
      </c>
      <c r="C1096" s="8">
        <v>47.0</v>
      </c>
      <c r="D1096" s="8" t="s">
        <v>1630</v>
      </c>
      <c r="E1096" s="7">
        <v>0.0</v>
      </c>
      <c r="F1096" s="7"/>
      <c r="G1096" s="7" t="s">
        <v>312</v>
      </c>
      <c r="H1096" s="7" t="s">
        <v>313</v>
      </c>
      <c r="I1096" s="10"/>
      <c r="J1096" s="11"/>
      <c r="K1096" s="12"/>
      <c r="L1096" s="12"/>
      <c r="M1096" s="10"/>
      <c r="N1096" s="10"/>
      <c r="O1096" s="10"/>
      <c r="P1096" s="10"/>
      <c r="Q1096" s="10"/>
      <c r="R1096" s="10"/>
      <c r="S1096" s="10"/>
      <c r="T1096" s="10"/>
      <c r="U1096" s="10"/>
      <c r="V1096" s="10"/>
      <c r="W1096" s="10"/>
      <c r="X1096" s="10"/>
      <c r="Y1096" s="10"/>
      <c r="Z1096" s="10"/>
      <c r="AA1096" s="10"/>
      <c r="AB1096" s="10"/>
      <c r="AC1096" s="10"/>
      <c r="AD1096" s="10"/>
      <c r="AE1096" s="10"/>
      <c r="AF1096" s="10"/>
    </row>
    <row r="1097">
      <c r="A1097" s="7"/>
      <c r="B1097" s="8">
        <v>101.0</v>
      </c>
      <c r="C1097" s="8">
        <v>48.0</v>
      </c>
      <c r="D1097" s="8" t="s">
        <v>1631</v>
      </c>
      <c r="E1097" s="7">
        <v>0.0</v>
      </c>
      <c r="F1097" s="7"/>
      <c r="G1097" s="7" t="s">
        <v>312</v>
      </c>
      <c r="H1097" s="7" t="s">
        <v>313</v>
      </c>
      <c r="I1097" s="10"/>
      <c r="J1097" s="11"/>
      <c r="K1097" s="12"/>
      <c r="L1097" s="12"/>
      <c r="M1097" s="10"/>
      <c r="N1097" s="10"/>
      <c r="O1097" s="10"/>
      <c r="P1097" s="10"/>
      <c r="Q1097" s="10"/>
      <c r="R1097" s="10"/>
      <c r="S1097" s="10"/>
      <c r="T1097" s="10"/>
      <c r="U1097" s="10"/>
      <c r="V1097" s="10"/>
      <c r="W1097" s="10"/>
      <c r="X1097" s="10"/>
      <c r="Y1097" s="10"/>
      <c r="Z1097" s="10"/>
      <c r="AA1097" s="10"/>
      <c r="AB1097" s="10"/>
      <c r="AC1097" s="10"/>
      <c r="AD1097" s="10"/>
      <c r="AE1097" s="10"/>
      <c r="AF1097" s="10"/>
    </row>
    <row r="1098">
      <c r="A1098" s="7"/>
      <c r="B1098" s="8">
        <v>101.0</v>
      </c>
      <c r="C1098" s="8">
        <v>49.0</v>
      </c>
      <c r="D1098" s="8" t="s">
        <v>1632</v>
      </c>
      <c r="E1098" s="7">
        <v>0.0</v>
      </c>
      <c r="F1098" s="7"/>
      <c r="G1098" s="7" t="s">
        <v>312</v>
      </c>
      <c r="H1098" s="7" t="s">
        <v>313</v>
      </c>
      <c r="I1098" s="10"/>
      <c r="J1098" s="11"/>
      <c r="K1098" s="12"/>
      <c r="L1098" s="12"/>
      <c r="M1098" s="10"/>
      <c r="N1098" s="10"/>
      <c r="O1098" s="10"/>
      <c r="P1098" s="10"/>
      <c r="Q1098" s="10"/>
      <c r="R1098" s="10"/>
      <c r="S1098" s="10"/>
      <c r="T1098" s="10"/>
      <c r="U1098" s="10"/>
      <c r="V1098" s="10"/>
      <c r="W1098" s="10"/>
      <c r="X1098" s="10"/>
      <c r="Y1098" s="10"/>
      <c r="Z1098" s="10"/>
      <c r="AA1098" s="10"/>
      <c r="AB1098" s="10"/>
      <c r="AC1098" s="10"/>
      <c r="AD1098" s="10"/>
      <c r="AE1098" s="10"/>
      <c r="AF1098" s="10"/>
    </row>
    <row r="1099">
      <c r="A1099" s="7"/>
      <c r="B1099" s="8">
        <v>101.0</v>
      </c>
      <c r="C1099" s="8">
        <v>50.0</v>
      </c>
      <c r="D1099" s="8" t="s">
        <v>1633</v>
      </c>
      <c r="E1099" s="7">
        <v>2.0</v>
      </c>
      <c r="F1099" s="7" t="s">
        <v>320</v>
      </c>
      <c r="G1099" s="7" t="s">
        <v>312</v>
      </c>
      <c r="H1099" s="7" t="s">
        <v>313</v>
      </c>
      <c r="I1099" s="7"/>
      <c r="J1099" s="9" t="s">
        <v>1591</v>
      </c>
      <c r="K1099" s="12"/>
      <c r="L1099" s="12"/>
      <c r="M1099" s="10"/>
      <c r="N1099" s="10"/>
      <c r="O1099" s="10"/>
      <c r="P1099" s="10"/>
      <c r="Q1099" s="10"/>
      <c r="R1099" s="10"/>
      <c r="S1099" s="10"/>
      <c r="T1099" s="10"/>
      <c r="U1099" s="10"/>
      <c r="V1099" s="10"/>
      <c r="W1099" s="10"/>
      <c r="X1099" s="10"/>
      <c r="Y1099" s="10"/>
      <c r="Z1099" s="10"/>
      <c r="AA1099" s="10"/>
      <c r="AB1099" s="10"/>
      <c r="AC1099" s="10"/>
      <c r="AD1099" s="10"/>
      <c r="AE1099" s="10"/>
      <c r="AF1099" s="10"/>
    </row>
    <row r="1100">
      <c r="A1100" s="7"/>
      <c r="B1100" s="8">
        <v>101.0</v>
      </c>
      <c r="C1100" s="8">
        <v>51.0</v>
      </c>
      <c r="D1100" s="8" t="s">
        <v>1634</v>
      </c>
      <c r="E1100" s="7">
        <v>0.0</v>
      </c>
      <c r="F1100" s="7"/>
      <c r="G1100" s="7" t="s">
        <v>312</v>
      </c>
      <c r="H1100" s="7" t="s">
        <v>313</v>
      </c>
      <c r="I1100" s="10"/>
      <c r="J1100" s="11"/>
      <c r="K1100" s="12"/>
      <c r="L1100" s="12"/>
      <c r="M1100" s="10"/>
      <c r="N1100" s="10"/>
      <c r="O1100" s="10"/>
      <c r="P1100" s="10"/>
      <c r="Q1100" s="10"/>
      <c r="R1100" s="10"/>
      <c r="S1100" s="10"/>
      <c r="T1100" s="10"/>
      <c r="U1100" s="10"/>
      <c r="V1100" s="10"/>
      <c r="W1100" s="10"/>
      <c r="X1100" s="10"/>
      <c r="Y1100" s="10"/>
      <c r="Z1100" s="10"/>
      <c r="AA1100" s="10"/>
      <c r="AB1100" s="10"/>
      <c r="AC1100" s="10"/>
      <c r="AD1100" s="10"/>
      <c r="AE1100" s="10"/>
      <c r="AF1100" s="10"/>
    </row>
    <row r="1101">
      <c r="A1101" s="7"/>
      <c r="B1101" s="8">
        <v>101.0</v>
      </c>
      <c r="C1101" s="8">
        <v>52.0</v>
      </c>
      <c r="D1101" s="8" t="s">
        <v>1635</v>
      </c>
      <c r="E1101" s="7">
        <v>0.0</v>
      </c>
      <c r="F1101" s="7"/>
      <c r="G1101" s="7" t="s">
        <v>312</v>
      </c>
      <c r="H1101" s="7" t="s">
        <v>313</v>
      </c>
      <c r="I1101" s="10"/>
      <c r="J1101" s="11"/>
      <c r="K1101" s="12"/>
      <c r="L1101" s="12"/>
      <c r="M1101" s="10"/>
      <c r="N1101" s="10"/>
      <c r="O1101" s="10"/>
      <c r="P1101" s="10"/>
      <c r="Q1101" s="10"/>
      <c r="R1101" s="10"/>
      <c r="S1101" s="10"/>
      <c r="T1101" s="10"/>
      <c r="U1101" s="10"/>
      <c r="V1101" s="10"/>
      <c r="W1101" s="10"/>
      <c r="X1101" s="10"/>
      <c r="Y1101" s="10"/>
      <c r="Z1101" s="10"/>
      <c r="AA1101" s="10"/>
      <c r="AB1101" s="10"/>
      <c r="AC1101" s="10"/>
      <c r="AD1101" s="10"/>
      <c r="AE1101" s="10"/>
      <c r="AF1101" s="10"/>
    </row>
    <row r="1102">
      <c r="A1102" s="7"/>
      <c r="B1102" s="8">
        <v>101.0</v>
      </c>
      <c r="C1102" s="8">
        <v>53.0</v>
      </c>
      <c r="D1102" s="8" t="s">
        <v>1636</v>
      </c>
      <c r="E1102" s="7">
        <v>0.0</v>
      </c>
      <c r="F1102" s="7"/>
      <c r="G1102" s="7" t="s">
        <v>312</v>
      </c>
      <c r="H1102" s="7" t="s">
        <v>313</v>
      </c>
      <c r="I1102" s="10"/>
      <c r="J1102" s="11"/>
      <c r="K1102" s="12"/>
      <c r="L1102" s="12"/>
      <c r="M1102" s="10"/>
      <c r="N1102" s="10"/>
      <c r="O1102" s="10"/>
      <c r="P1102" s="10"/>
      <c r="Q1102" s="10"/>
      <c r="R1102" s="10"/>
      <c r="S1102" s="10"/>
      <c r="T1102" s="10"/>
      <c r="U1102" s="10"/>
      <c r="V1102" s="10"/>
      <c r="W1102" s="10"/>
      <c r="X1102" s="10"/>
      <c r="Y1102" s="10"/>
      <c r="Z1102" s="10"/>
      <c r="AA1102" s="10"/>
      <c r="AB1102" s="10"/>
      <c r="AC1102" s="10"/>
      <c r="AD1102" s="10"/>
      <c r="AE1102" s="10"/>
      <c r="AF1102" s="10"/>
    </row>
    <row r="1103">
      <c r="A1103" s="7"/>
      <c r="B1103" s="8">
        <v>101.0</v>
      </c>
      <c r="C1103" s="8">
        <v>54.0</v>
      </c>
      <c r="D1103" s="8" t="s">
        <v>1637</v>
      </c>
      <c r="E1103" s="7">
        <v>0.0</v>
      </c>
      <c r="F1103" s="7"/>
      <c r="G1103" s="7" t="s">
        <v>312</v>
      </c>
      <c r="H1103" s="7" t="s">
        <v>313</v>
      </c>
      <c r="I1103" s="10"/>
      <c r="J1103" s="11"/>
      <c r="K1103" s="12"/>
      <c r="L1103" s="12"/>
      <c r="M1103" s="10"/>
      <c r="N1103" s="10"/>
      <c r="O1103" s="10"/>
      <c r="P1103" s="10"/>
      <c r="Q1103" s="10"/>
      <c r="R1103" s="10"/>
      <c r="S1103" s="10"/>
      <c r="T1103" s="10"/>
      <c r="U1103" s="10"/>
      <c r="V1103" s="10"/>
      <c r="W1103" s="10"/>
      <c r="X1103" s="10"/>
      <c r="Y1103" s="10"/>
      <c r="Z1103" s="10"/>
      <c r="AA1103" s="10"/>
      <c r="AB1103" s="10"/>
      <c r="AC1103" s="10"/>
      <c r="AD1103" s="10"/>
      <c r="AE1103" s="10"/>
      <c r="AF1103" s="10"/>
    </row>
    <row r="1104">
      <c r="A1104" s="7"/>
      <c r="B1104" s="8">
        <v>101.0</v>
      </c>
      <c r="C1104" s="8">
        <v>55.0</v>
      </c>
      <c r="D1104" s="8" t="s">
        <v>1638</v>
      </c>
      <c r="E1104" s="7">
        <v>0.0</v>
      </c>
      <c r="F1104" s="7"/>
      <c r="G1104" s="7" t="s">
        <v>312</v>
      </c>
      <c r="H1104" s="7" t="s">
        <v>313</v>
      </c>
      <c r="I1104" s="10"/>
      <c r="J1104" s="11"/>
      <c r="K1104" s="12"/>
      <c r="L1104" s="12"/>
      <c r="M1104" s="10"/>
      <c r="N1104" s="10"/>
      <c r="O1104" s="10"/>
      <c r="P1104" s="10"/>
      <c r="Q1104" s="10"/>
      <c r="R1104" s="10"/>
      <c r="S1104" s="10"/>
      <c r="T1104" s="10"/>
      <c r="U1104" s="10"/>
      <c r="V1104" s="10"/>
      <c r="W1104" s="10"/>
      <c r="X1104" s="10"/>
      <c r="Y1104" s="10"/>
      <c r="Z1104" s="10"/>
      <c r="AA1104" s="10"/>
      <c r="AB1104" s="10"/>
      <c r="AC1104" s="10"/>
      <c r="AD1104" s="10"/>
      <c r="AE1104" s="10"/>
      <c r="AF1104" s="10"/>
    </row>
    <row r="1105">
      <c r="A1105" s="7"/>
      <c r="B1105" s="8">
        <v>101.0</v>
      </c>
      <c r="C1105" s="8">
        <v>56.0</v>
      </c>
      <c r="D1105" s="8" t="s">
        <v>1639</v>
      </c>
      <c r="E1105" s="7">
        <v>0.0</v>
      </c>
      <c r="F1105" s="7"/>
      <c r="G1105" s="7" t="s">
        <v>312</v>
      </c>
      <c r="H1105" s="7" t="s">
        <v>313</v>
      </c>
      <c r="I1105" s="10"/>
      <c r="J1105" s="11"/>
      <c r="K1105" s="12"/>
      <c r="L1105" s="12"/>
      <c r="M1105" s="10"/>
      <c r="N1105" s="10"/>
      <c r="O1105" s="10"/>
      <c r="P1105" s="10"/>
      <c r="Q1105" s="10"/>
      <c r="R1105" s="10"/>
      <c r="S1105" s="10"/>
      <c r="T1105" s="10"/>
      <c r="U1105" s="10"/>
      <c r="V1105" s="10"/>
      <c r="W1105" s="10"/>
      <c r="X1105" s="10"/>
      <c r="Y1105" s="10"/>
      <c r="Z1105" s="10"/>
      <c r="AA1105" s="10"/>
      <c r="AB1105" s="10"/>
      <c r="AC1105" s="10"/>
      <c r="AD1105" s="10"/>
      <c r="AE1105" s="10"/>
      <c r="AF1105" s="10"/>
    </row>
    <row r="1106">
      <c r="A1106" s="7"/>
      <c r="B1106" s="8">
        <v>101.0</v>
      </c>
      <c r="C1106" s="8">
        <v>57.0</v>
      </c>
      <c r="D1106" s="8" t="s">
        <v>1640</v>
      </c>
      <c r="E1106" s="7">
        <v>2.0</v>
      </c>
      <c r="F1106" s="7" t="s">
        <v>320</v>
      </c>
      <c r="G1106" s="7" t="s">
        <v>312</v>
      </c>
      <c r="H1106" s="7" t="s">
        <v>313</v>
      </c>
      <c r="I1106" s="7"/>
      <c r="J1106" s="9" t="s">
        <v>1591</v>
      </c>
      <c r="K1106" s="12"/>
      <c r="L1106" s="12"/>
      <c r="M1106" s="10"/>
      <c r="N1106" s="10"/>
      <c r="O1106" s="10"/>
      <c r="P1106" s="10"/>
      <c r="Q1106" s="10"/>
      <c r="R1106" s="10"/>
      <c r="S1106" s="10"/>
      <c r="T1106" s="10"/>
      <c r="U1106" s="10"/>
      <c r="V1106" s="10"/>
      <c r="W1106" s="10"/>
      <c r="X1106" s="10"/>
      <c r="Y1106" s="10"/>
      <c r="Z1106" s="10"/>
      <c r="AA1106" s="10"/>
      <c r="AB1106" s="10"/>
      <c r="AC1106" s="10"/>
      <c r="AD1106" s="10"/>
      <c r="AE1106" s="10"/>
      <c r="AF1106" s="10"/>
    </row>
    <row r="1107">
      <c r="A1107" s="7"/>
      <c r="B1107" s="8">
        <v>101.0</v>
      </c>
      <c r="C1107" s="8">
        <v>58.0</v>
      </c>
      <c r="D1107" s="8" t="s">
        <v>1641</v>
      </c>
      <c r="E1107" s="7">
        <v>0.0</v>
      </c>
      <c r="F1107" s="7"/>
      <c r="G1107" s="7" t="s">
        <v>312</v>
      </c>
      <c r="H1107" s="7" t="s">
        <v>313</v>
      </c>
      <c r="I1107" s="10"/>
      <c r="J1107" s="11"/>
      <c r="K1107" s="12"/>
      <c r="L1107" s="12"/>
      <c r="M1107" s="10"/>
      <c r="N1107" s="10"/>
      <c r="O1107" s="10"/>
      <c r="P1107" s="10"/>
      <c r="Q1107" s="10"/>
      <c r="R1107" s="10"/>
      <c r="S1107" s="10"/>
      <c r="T1107" s="10"/>
      <c r="U1107" s="10"/>
      <c r="V1107" s="10"/>
      <c r="W1107" s="10"/>
      <c r="X1107" s="10"/>
      <c r="Y1107" s="10"/>
      <c r="Z1107" s="10"/>
      <c r="AA1107" s="10"/>
      <c r="AB1107" s="10"/>
      <c r="AC1107" s="10"/>
      <c r="AD1107" s="10"/>
      <c r="AE1107" s="10"/>
      <c r="AF1107" s="10"/>
    </row>
    <row r="1108">
      <c r="A1108" s="7"/>
      <c r="B1108" s="8">
        <v>101.0</v>
      </c>
      <c r="C1108" s="8">
        <v>59.0</v>
      </c>
      <c r="D1108" s="8" t="s">
        <v>1642</v>
      </c>
      <c r="E1108" s="7">
        <v>0.0</v>
      </c>
      <c r="F1108" s="7"/>
      <c r="G1108" s="7" t="s">
        <v>312</v>
      </c>
      <c r="H1108" s="7" t="s">
        <v>313</v>
      </c>
      <c r="I1108" s="10"/>
      <c r="J1108" s="11"/>
      <c r="K1108" s="12"/>
      <c r="L1108" s="12"/>
      <c r="M1108" s="10"/>
      <c r="N1108" s="10"/>
      <c r="O1108" s="10"/>
      <c r="P1108" s="10"/>
      <c r="Q1108" s="10"/>
      <c r="R1108" s="10"/>
      <c r="S1108" s="10"/>
      <c r="T1108" s="10"/>
      <c r="U1108" s="10"/>
      <c r="V1108" s="10"/>
      <c r="W1108" s="10"/>
      <c r="X1108" s="10"/>
      <c r="Y1108" s="10"/>
      <c r="Z1108" s="10"/>
      <c r="AA1108" s="10"/>
      <c r="AB1108" s="10"/>
      <c r="AC1108" s="10"/>
      <c r="AD1108" s="10"/>
      <c r="AE1108" s="10"/>
      <c r="AF1108" s="10"/>
    </row>
    <row r="1109">
      <c r="A1109" s="7"/>
      <c r="B1109" s="8">
        <v>101.0</v>
      </c>
      <c r="C1109" s="8">
        <v>60.0</v>
      </c>
      <c r="D1109" s="8" t="s">
        <v>1643</v>
      </c>
      <c r="E1109" s="7">
        <v>0.0</v>
      </c>
      <c r="F1109" s="7"/>
      <c r="G1109" s="7" t="s">
        <v>312</v>
      </c>
      <c r="H1109" s="7" t="s">
        <v>313</v>
      </c>
      <c r="I1109" s="10"/>
      <c r="J1109" s="11"/>
      <c r="K1109" s="12"/>
      <c r="L1109" s="12"/>
      <c r="M1109" s="10"/>
      <c r="N1109" s="10"/>
      <c r="O1109" s="10"/>
      <c r="P1109" s="10"/>
      <c r="Q1109" s="10"/>
      <c r="R1109" s="10"/>
      <c r="S1109" s="10"/>
      <c r="T1109" s="10"/>
      <c r="U1109" s="10"/>
      <c r="V1109" s="10"/>
      <c r="W1109" s="10"/>
      <c r="X1109" s="10"/>
      <c r="Y1109" s="10"/>
      <c r="Z1109" s="10"/>
      <c r="AA1109" s="10"/>
      <c r="AB1109" s="10"/>
      <c r="AC1109" s="10"/>
      <c r="AD1109" s="10"/>
      <c r="AE1109" s="10"/>
      <c r="AF1109" s="10"/>
    </row>
    <row r="1110">
      <c r="A1110" s="7"/>
      <c r="B1110" s="8">
        <v>101.0</v>
      </c>
      <c r="C1110" s="8">
        <v>61.0</v>
      </c>
      <c r="D1110" s="8" t="s">
        <v>1644</v>
      </c>
      <c r="E1110" s="7">
        <v>0.0</v>
      </c>
      <c r="F1110" s="7"/>
      <c r="G1110" s="7" t="s">
        <v>312</v>
      </c>
      <c r="H1110" s="7" t="s">
        <v>313</v>
      </c>
      <c r="I1110" s="10"/>
      <c r="J1110" s="11"/>
      <c r="K1110" s="12"/>
      <c r="L1110" s="12"/>
      <c r="M1110" s="10"/>
      <c r="N1110" s="10"/>
      <c r="O1110" s="10"/>
      <c r="P1110" s="10"/>
      <c r="Q1110" s="10"/>
      <c r="R1110" s="10"/>
      <c r="S1110" s="10"/>
      <c r="T1110" s="10"/>
      <c r="U1110" s="10"/>
      <c r="V1110" s="10"/>
      <c r="W1110" s="10"/>
      <c r="X1110" s="10"/>
      <c r="Y1110" s="10"/>
      <c r="Z1110" s="10"/>
      <c r="AA1110" s="10"/>
      <c r="AB1110" s="10"/>
      <c r="AC1110" s="10"/>
      <c r="AD1110" s="10"/>
      <c r="AE1110" s="10"/>
      <c r="AF1110" s="10"/>
    </row>
    <row r="1111">
      <c r="A1111" s="7"/>
      <c r="B1111" s="8">
        <v>101.0</v>
      </c>
      <c r="C1111" s="8">
        <v>62.0</v>
      </c>
      <c r="D1111" s="8" t="s">
        <v>1645</v>
      </c>
      <c r="E1111" s="7">
        <v>0.0</v>
      </c>
      <c r="F1111" s="7"/>
      <c r="G1111" s="7" t="s">
        <v>312</v>
      </c>
      <c r="H1111" s="7" t="s">
        <v>313</v>
      </c>
      <c r="I1111" s="10"/>
      <c r="J1111" s="11"/>
      <c r="K1111" s="12"/>
      <c r="L1111" s="12"/>
      <c r="M1111" s="10"/>
      <c r="N1111" s="10"/>
      <c r="O1111" s="10"/>
      <c r="P1111" s="10"/>
      <c r="Q1111" s="10"/>
      <c r="R1111" s="10"/>
      <c r="S1111" s="10"/>
      <c r="T1111" s="10"/>
      <c r="U1111" s="10"/>
      <c r="V1111" s="10"/>
      <c r="W1111" s="10"/>
      <c r="X1111" s="10"/>
      <c r="Y1111" s="10"/>
      <c r="Z1111" s="10"/>
      <c r="AA1111" s="10"/>
      <c r="AB1111" s="10"/>
      <c r="AC1111" s="10"/>
      <c r="AD1111" s="10"/>
      <c r="AE1111" s="10"/>
      <c r="AF1111" s="10"/>
    </row>
    <row r="1112">
      <c r="A1112" s="7"/>
      <c r="B1112" s="8">
        <v>101.0</v>
      </c>
      <c r="C1112" s="8">
        <v>63.0</v>
      </c>
      <c r="D1112" s="8" t="s">
        <v>1646</v>
      </c>
      <c r="E1112" s="7">
        <v>2.0</v>
      </c>
      <c r="F1112" s="7" t="s">
        <v>320</v>
      </c>
      <c r="G1112" s="7" t="s">
        <v>312</v>
      </c>
      <c r="H1112" s="7" t="s">
        <v>313</v>
      </c>
      <c r="I1112" s="7"/>
      <c r="J1112" s="9" t="s">
        <v>1591</v>
      </c>
      <c r="K1112" s="12"/>
      <c r="L1112" s="12"/>
      <c r="M1112" s="10"/>
      <c r="N1112" s="10"/>
      <c r="O1112" s="10"/>
      <c r="P1112" s="10"/>
      <c r="Q1112" s="10"/>
      <c r="R1112" s="10"/>
      <c r="S1112" s="10"/>
      <c r="T1112" s="10"/>
      <c r="U1112" s="10"/>
      <c r="V1112" s="10"/>
      <c r="W1112" s="10"/>
      <c r="X1112" s="10"/>
      <c r="Y1112" s="10"/>
      <c r="Z1112" s="10"/>
      <c r="AA1112" s="10"/>
      <c r="AB1112" s="10"/>
      <c r="AC1112" s="10"/>
      <c r="AD1112" s="10"/>
      <c r="AE1112" s="10"/>
      <c r="AF1112" s="10"/>
    </row>
    <row r="1113">
      <c r="A1113" s="7"/>
      <c r="B1113" s="8">
        <v>101.0</v>
      </c>
      <c r="C1113" s="8">
        <v>64.0</v>
      </c>
      <c r="D1113" s="8" t="s">
        <v>1647</v>
      </c>
      <c r="E1113" s="7">
        <v>0.0</v>
      </c>
      <c r="F1113" s="7"/>
      <c r="G1113" s="7" t="s">
        <v>312</v>
      </c>
      <c r="H1113" s="7" t="s">
        <v>313</v>
      </c>
      <c r="I1113" s="10"/>
      <c r="J1113" s="11"/>
      <c r="K1113" s="12"/>
      <c r="L1113" s="12"/>
      <c r="M1113" s="10"/>
      <c r="N1113" s="10"/>
      <c r="O1113" s="10"/>
      <c r="P1113" s="10"/>
      <c r="Q1113" s="10"/>
      <c r="R1113" s="10"/>
      <c r="S1113" s="10"/>
      <c r="T1113" s="10"/>
      <c r="U1113" s="10"/>
      <c r="V1113" s="10"/>
      <c r="W1113" s="10"/>
      <c r="X1113" s="10"/>
      <c r="Y1113" s="10"/>
      <c r="Z1113" s="10"/>
      <c r="AA1113" s="10"/>
      <c r="AB1113" s="10"/>
      <c r="AC1113" s="10"/>
      <c r="AD1113" s="10"/>
      <c r="AE1113" s="10"/>
      <c r="AF1113" s="10"/>
    </row>
    <row r="1114">
      <c r="A1114" s="7"/>
      <c r="B1114" s="8">
        <v>101.0</v>
      </c>
      <c r="C1114" s="8">
        <v>65.0</v>
      </c>
      <c r="D1114" s="8" t="s">
        <v>1648</v>
      </c>
      <c r="E1114" s="7">
        <v>0.0</v>
      </c>
      <c r="F1114" s="7"/>
      <c r="G1114" s="7" t="s">
        <v>312</v>
      </c>
      <c r="H1114" s="7" t="s">
        <v>313</v>
      </c>
      <c r="I1114" s="10"/>
      <c r="J1114" s="11"/>
      <c r="K1114" s="12"/>
      <c r="L1114" s="12"/>
      <c r="M1114" s="10"/>
      <c r="N1114" s="10"/>
      <c r="O1114" s="10"/>
      <c r="P1114" s="10"/>
      <c r="Q1114" s="10"/>
      <c r="R1114" s="10"/>
      <c r="S1114" s="10"/>
      <c r="T1114" s="10"/>
      <c r="U1114" s="10"/>
      <c r="V1114" s="10"/>
      <c r="W1114" s="10"/>
      <c r="X1114" s="10"/>
      <c r="Y1114" s="10"/>
      <c r="Z1114" s="10"/>
      <c r="AA1114" s="10"/>
      <c r="AB1114" s="10"/>
      <c r="AC1114" s="10"/>
      <c r="AD1114" s="10"/>
      <c r="AE1114" s="10"/>
      <c r="AF1114" s="10"/>
    </row>
    <row r="1115">
      <c r="A1115" s="7"/>
      <c r="B1115" s="8">
        <v>101.0</v>
      </c>
      <c r="C1115" s="8">
        <v>66.0</v>
      </c>
      <c r="D1115" s="8" t="s">
        <v>1649</v>
      </c>
      <c r="E1115" s="7">
        <v>0.0</v>
      </c>
      <c r="F1115" s="7"/>
      <c r="G1115" s="7" t="s">
        <v>312</v>
      </c>
      <c r="H1115" s="7" t="s">
        <v>313</v>
      </c>
      <c r="I1115" s="10"/>
      <c r="J1115" s="11"/>
      <c r="K1115" s="12"/>
      <c r="L1115" s="12"/>
      <c r="M1115" s="10"/>
      <c r="N1115" s="10"/>
      <c r="O1115" s="10"/>
      <c r="P1115" s="10"/>
      <c r="Q1115" s="10"/>
      <c r="R1115" s="10"/>
      <c r="S1115" s="10"/>
      <c r="T1115" s="10"/>
      <c r="U1115" s="10"/>
      <c r="V1115" s="10"/>
      <c r="W1115" s="10"/>
      <c r="X1115" s="10"/>
      <c r="Y1115" s="10"/>
      <c r="Z1115" s="10"/>
      <c r="AA1115" s="10"/>
      <c r="AB1115" s="10"/>
      <c r="AC1115" s="10"/>
      <c r="AD1115" s="10"/>
      <c r="AE1115" s="10"/>
      <c r="AF1115" s="10"/>
    </row>
    <row r="1116">
      <c r="A1116" s="7"/>
      <c r="B1116" s="8">
        <v>101.0</v>
      </c>
      <c r="C1116" s="8">
        <v>67.0</v>
      </c>
      <c r="D1116" s="8" t="s">
        <v>1650</v>
      </c>
      <c r="E1116" s="7">
        <v>0.0</v>
      </c>
      <c r="F1116" s="7"/>
      <c r="G1116" s="7" t="s">
        <v>312</v>
      </c>
      <c r="H1116" s="7" t="s">
        <v>313</v>
      </c>
      <c r="I1116" s="10"/>
      <c r="J1116" s="11"/>
      <c r="K1116" s="12"/>
      <c r="L1116" s="12"/>
      <c r="M1116" s="10"/>
      <c r="N1116" s="10"/>
      <c r="O1116" s="10"/>
      <c r="P1116" s="10"/>
      <c r="Q1116" s="10"/>
      <c r="R1116" s="10"/>
      <c r="S1116" s="10"/>
      <c r="T1116" s="10"/>
      <c r="U1116" s="10"/>
      <c r="V1116" s="10"/>
      <c r="W1116" s="10"/>
      <c r="X1116" s="10"/>
      <c r="Y1116" s="10"/>
      <c r="Z1116" s="10"/>
      <c r="AA1116" s="10"/>
      <c r="AB1116" s="10"/>
      <c r="AC1116" s="10"/>
      <c r="AD1116" s="10"/>
      <c r="AE1116" s="10"/>
      <c r="AF1116" s="10"/>
    </row>
    <row r="1117">
      <c r="A1117" s="7"/>
      <c r="B1117" s="8">
        <v>101.0</v>
      </c>
      <c r="C1117" s="8">
        <v>68.0</v>
      </c>
      <c r="D1117" s="8" t="s">
        <v>1651</v>
      </c>
      <c r="E1117" s="7">
        <v>2.0</v>
      </c>
      <c r="F1117" s="7" t="s">
        <v>320</v>
      </c>
      <c r="G1117" s="7" t="s">
        <v>312</v>
      </c>
      <c r="H1117" s="7" t="s">
        <v>313</v>
      </c>
      <c r="I1117" s="7"/>
      <c r="J1117" s="9" t="s">
        <v>1591</v>
      </c>
      <c r="K1117" s="12"/>
      <c r="L1117" s="12"/>
      <c r="M1117" s="10"/>
      <c r="N1117" s="10"/>
      <c r="O1117" s="10"/>
      <c r="P1117" s="10"/>
      <c r="Q1117" s="10"/>
      <c r="R1117" s="10"/>
      <c r="S1117" s="10"/>
      <c r="T1117" s="10"/>
      <c r="U1117" s="10"/>
      <c r="V1117" s="10"/>
      <c r="W1117" s="10"/>
      <c r="X1117" s="10"/>
      <c r="Y1117" s="10"/>
      <c r="Z1117" s="10"/>
      <c r="AA1117" s="10"/>
      <c r="AB1117" s="10"/>
      <c r="AC1117" s="10"/>
      <c r="AD1117" s="10"/>
      <c r="AE1117" s="10"/>
      <c r="AF1117" s="10"/>
    </row>
    <row r="1118">
      <c r="A1118" s="7"/>
      <c r="B1118" s="8">
        <v>101.0</v>
      </c>
      <c r="C1118" s="8">
        <v>69.0</v>
      </c>
      <c r="D1118" s="8" t="s">
        <v>1652</v>
      </c>
      <c r="E1118" s="7">
        <v>0.0</v>
      </c>
      <c r="F1118" s="7"/>
      <c r="G1118" s="7" t="s">
        <v>312</v>
      </c>
      <c r="H1118" s="7" t="s">
        <v>313</v>
      </c>
      <c r="I1118" s="10"/>
      <c r="J1118" s="11"/>
      <c r="K1118" s="12"/>
      <c r="L1118" s="12"/>
      <c r="M1118" s="10"/>
      <c r="N1118" s="10"/>
      <c r="O1118" s="10"/>
      <c r="P1118" s="10"/>
      <c r="Q1118" s="10"/>
      <c r="R1118" s="10"/>
      <c r="S1118" s="10"/>
      <c r="T1118" s="10"/>
      <c r="U1118" s="10"/>
      <c r="V1118" s="10"/>
      <c r="W1118" s="10"/>
      <c r="X1118" s="10"/>
      <c r="Y1118" s="10"/>
      <c r="Z1118" s="10"/>
      <c r="AA1118" s="10"/>
      <c r="AB1118" s="10"/>
      <c r="AC1118" s="10"/>
      <c r="AD1118" s="10"/>
      <c r="AE1118" s="10"/>
      <c r="AF1118" s="10"/>
    </row>
    <row r="1119">
      <c r="A1119" s="7"/>
      <c r="B1119" s="8">
        <v>101.0</v>
      </c>
      <c r="C1119" s="8">
        <v>70.0</v>
      </c>
      <c r="D1119" s="8" t="s">
        <v>1653</v>
      </c>
      <c r="E1119" s="7">
        <v>0.0</v>
      </c>
      <c r="F1119" s="7"/>
      <c r="G1119" s="7" t="s">
        <v>312</v>
      </c>
      <c r="H1119" s="7" t="s">
        <v>313</v>
      </c>
      <c r="I1119" s="10"/>
      <c r="J1119" s="11"/>
      <c r="K1119" s="12"/>
      <c r="L1119" s="12"/>
      <c r="M1119" s="10"/>
      <c r="N1119" s="10"/>
      <c r="O1119" s="10"/>
      <c r="P1119" s="10"/>
      <c r="Q1119" s="10"/>
      <c r="R1119" s="10"/>
      <c r="S1119" s="10"/>
      <c r="T1119" s="10"/>
      <c r="U1119" s="10"/>
      <c r="V1119" s="10"/>
      <c r="W1119" s="10"/>
      <c r="X1119" s="10"/>
      <c r="Y1119" s="10"/>
      <c r="Z1119" s="10"/>
      <c r="AA1119" s="10"/>
      <c r="AB1119" s="10"/>
      <c r="AC1119" s="10"/>
      <c r="AD1119" s="10"/>
      <c r="AE1119" s="10"/>
      <c r="AF1119" s="10"/>
    </row>
    <row r="1120">
      <c r="A1120" s="7"/>
      <c r="B1120" s="8">
        <v>101.0</v>
      </c>
      <c r="C1120" s="8">
        <v>71.0</v>
      </c>
      <c r="D1120" s="8" t="s">
        <v>1654</v>
      </c>
      <c r="E1120" s="7">
        <v>0.0</v>
      </c>
      <c r="F1120" s="7"/>
      <c r="G1120" s="7" t="s">
        <v>312</v>
      </c>
      <c r="H1120" s="7" t="s">
        <v>313</v>
      </c>
      <c r="I1120" s="10"/>
      <c r="J1120" s="11"/>
      <c r="K1120" s="12"/>
      <c r="L1120" s="12"/>
      <c r="M1120" s="10"/>
      <c r="N1120" s="10"/>
      <c r="O1120" s="10"/>
      <c r="P1120" s="10"/>
      <c r="Q1120" s="10"/>
      <c r="R1120" s="10"/>
      <c r="S1120" s="10"/>
      <c r="T1120" s="10"/>
      <c r="U1120" s="10"/>
      <c r="V1120" s="10"/>
      <c r="W1120" s="10"/>
      <c r="X1120" s="10"/>
      <c r="Y1120" s="10"/>
      <c r="Z1120" s="10"/>
      <c r="AA1120" s="10"/>
      <c r="AB1120" s="10"/>
      <c r="AC1120" s="10"/>
      <c r="AD1120" s="10"/>
      <c r="AE1120" s="10"/>
      <c r="AF1120" s="10"/>
    </row>
    <row r="1121">
      <c r="A1121" s="7"/>
      <c r="B1121" s="8">
        <v>101.0</v>
      </c>
      <c r="C1121" s="8">
        <v>72.0</v>
      </c>
      <c r="D1121" s="8" t="s">
        <v>1655</v>
      </c>
      <c r="E1121" s="7">
        <v>2.0</v>
      </c>
      <c r="F1121" s="7" t="s">
        <v>320</v>
      </c>
      <c r="G1121" s="7" t="s">
        <v>312</v>
      </c>
      <c r="H1121" s="7" t="s">
        <v>313</v>
      </c>
      <c r="I1121" s="7"/>
      <c r="J1121" s="11"/>
      <c r="K1121" s="8" t="s">
        <v>1579</v>
      </c>
      <c r="L1121" s="12"/>
      <c r="M1121" s="10"/>
      <c r="N1121" s="10"/>
      <c r="O1121" s="10"/>
      <c r="P1121" s="10"/>
      <c r="Q1121" s="10"/>
      <c r="R1121" s="10"/>
      <c r="S1121" s="10"/>
      <c r="T1121" s="10"/>
      <c r="U1121" s="10"/>
      <c r="V1121" s="10"/>
      <c r="W1121" s="10"/>
      <c r="X1121" s="10"/>
      <c r="Y1121" s="10"/>
      <c r="Z1121" s="10"/>
      <c r="AA1121" s="10"/>
      <c r="AB1121" s="10"/>
      <c r="AC1121" s="10"/>
      <c r="AD1121" s="10"/>
      <c r="AE1121" s="10"/>
      <c r="AF1121" s="10"/>
    </row>
    <row r="1122">
      <c r="A1122" s="7"/>
      <c r="B1122" s="8">
        <v>101.0</v>
      </c>
      <c r="C1122" s="8">
        <v>73.0</v>
      </c>
      <c r="D1122" s="8" t="s">
        <v>1656</v>
      </c>
      <c r="E1122" s="7">
        <v>0.0</v>
      </c>
      <c r="F1122" s="7"/>
      <c r="G1122" s="7" t="s">
        <v>312</v>
      </c>
      <c r="H1122" s="7" t="s">
        <v>313</v>
      </c>
      <c r="I1122" s="10"/>
      <c r="J1122" s="11"/>
      <c r="K1122" s="12"/>
      <c r="L1122" s="12"/>
      <c r="M1122" s="10"/>
      <c r="N1122" s="10"/>
      <c r="O1122" s="10"/>
      <c r="P1122" s="10"/>
      <c r="Q1122" s="10"/>
      <c r="R1122" s="10"/>
      <c r="S1122" s="10"/>
      <c r="T1122" s="10"/>
      <c r="U1122" s="10"/>
      <c r="V1122" s="10"/>
      <c r="W1122" s="10"/>
      <c r="X1122" s="10"/>
      <c r="Y1122" s="10"/>
      <c r="Z1122" s="10"/>
      <c r="AA1122" s="10"/>
      <c r="AB1122" s="10"/>
      <c r="AC1122" s="10"/>
      <c r="AD1122" s="10"/>
      <c r="AE1122" s="10"/>
      <c r="AF1122" s="10"/>
    </row>
    <row r="1123">
      <c r="A1123" s="7"/>
      <c r="B1123" s="8">
        <v>101.0</v>
      </c>
      <c r="C1123" s="8">
        <v>74.0</v>
      </c>
      <c r="D1123" s="8" t="s">
        <v>1657</v>
      </c>
      <c r="E1123" s="7">
        <v>0.0</v>
      </c>
      <c r="F1123" s="7"/>
      <c r="G1123" s="7" t="s">
        <v>312</v>
      </c>
      <c r="H1123" s="7" t="s">
        <v>313</v>
      </c>
      <c r="I1123" s="10"/>
      <c r="J1123" s="11"/>
      <c r="K1123" s="12"/>
      <c r="L1123" s="12"/>
      <c r="M1123" s="10"/>
      <c r="N1123" s="10"/>
      <c r="O1123" s="10"/>
      <c r="P1123" s="10"/>
      <c r="Q1123" s="10"/>
      <c r="R1123" s="10"/>
      <c r="S1123" s="10"/>
      <c r="T1123" s="10"/>
      <c r="U1123" s="10"/>
      <c r="V1123" s="10"/>
      <c r="W1123" s="10"/>
      <c r="X1123" s="10"/>
      <c r="Y1123" s="10"/>
      <c r="Z1123" s="10"/>
      <c r="AA1123" s="10"/>
      <c r="AB1123" s="10"/>
      <c r="AC1123" s="10"/>
      <c r="AD1123" s="10"/>
      <c r="AE1123" s="10"/>
      <c r="AF1123" s="10"/>
    </row>
    <row r="1124">
      <c r="A1124" s="7"/>
      <c r="B1124" s="8">
        <v>101.0</v>
      </c>
      <c r="C1124" s="8">
        <v>75.0</v>
      </c>
      <c r="D1124" s="8" t="s">
        <v>1658</v>
      </c>
      <c r="E1124" s="7">
        <v>2.0</v>
      </c>
      <c r="F1124" s="7" t="s">
        <v>320</v>
      </c>
      <c r="G1124" s="7" t="s">
        <v>312</v>
      </c>
      <c r="H1124" s="7" t="s">
        <v>313</v>
      </c>
      <c r="I1124" s="10"/>
      <c r="J1124" s="11"/>
      <c r="K1124" s="8" t="s">
        <v>1579</v>
      </c>
      <c r="L1124" s="12"/>
      <c r="M1124" s="10"/>
      <c r="N1124" s="10"/>
      <c r="O1124" s="10"/>
      <c r="P1124" s="10"/>
      <c r="Q1124" s="10"/>
      <c r="R1124" s="10"/>
      <c r="S1124" s="10"/>
      <c r="T1124" s="10"/>
      <c r="U1124" s="10"/>
      <c r="V1124" s="10"/>
      <c r="W1124" s="10"/>
      <c r="X1124" s="10"/>
      <c r="Y1124" s="10"/>
      <c r="Z1124" s="10"/>
      <c r="AA1124" s="10"/>
      <c r="AB1124" s="10"/>
      <c r="AC1124" s="10"/>
      <c r="AD1124" s="10"/>
      <c r="AE1124" s="10"/>
      <c r="AF1124" s="10"/>
    </row>
    <row r="1125">
      <c r="A1125" s="7"/>
      <c r="B1125" s="8">
        <v>101.0</v>
      </c>
      <c r="C1125" s="8">
        <v>76.0</v>
      </c>
      <c r="D1125" s="8" t="s">
        <v>1659</v>
      </c>
      <c r="E1125" s="7">
        <v>0.0</v>
      </c>
      <c r="F1125" s="7"/>
      <c r="G1125" s="7" t="s">
        <v>312</v>
      </c>
      <c r="H1125" s="7" t="s">
        <v>313</v>
      </c>
      <c r="I1125" s="10"/>
      <c r="J1125" s="11"/>
      <c r="K1125" s="12"/>
      <c r="L1125" s="12"/>
      <c r="M1125" s="10"/>
      <c r="N1125" s="10"/>
      <c r="O1125" s="10"/>
      <c r="P1125" s="10"/>
      <c r="Q1125" s="10"/>
      <c r="R1125" s="10"/>
      <c r="S1125" s="10"/>
      <c r="T1125" s="10"/>
      <c r="U1125" s="10"/>
      <c r="V1125" s="10"/>
      <c r="W1125" s="10"/>
      <c r="X1125" s="10"/>
      <c r="Y1125" s="10"/>
      <c r="Z1125" s="10"/>
      <c r="AA1125" s="10"/>
      <c r="AB1125" s="10"/>
      <c r="AC1125" s="10"/>
      <c r="AD1125" s="10"/>
      <c r="AE1125" s="10"/>
      <c r="AF1125" s="10"/>
    </row>
    <row r="1126">
      <c r="A1126" s="7"/>
      <c r="B1126" s="8">
        <v>101.0</v>
      </c>
      <c r="C1126" s="8">
        <v>77.0</v>
      </c>
      <c r="D1126" s="8" t="s">
        <v>1660</v>
      </c>
      <c r="E1126" s="7">
        <v>2.0</v>
      </c>
      <c r="F1126" s="7" t="s">
        <v>320</v>
      </c>
      <c r="G1126" s="7" t="s">
        <v>312</v>
      </c>
      <c r="H1126" s="7" t="s">
        <v>313</v>
      </c>
      <c r="I1126" s="10"/>
      <c r="J1126" s="11"/>
      <c r="K1126" s="8" t="s">
        <v>1579</v>
      </c>
      <c r="L1126" s="12"/>
      <c r="M1126" s="10"/>
      <c r="N1126" s="10"/>
      <c r="O1126" s="10"/>
      <c r="P1126" s="10"/>
      <c r="Q1126" s="10"/>
      <c r="R1126" s="10"/>
      <c r="S1126" s="10"/>
      <c r="T1126" s="10"/>
      <c r="U1126" s="10"/>
      <c r="V1126" s="10"/>
      <c r="W1126" s="10"/>
      <c r="X1126" s="10"/>
      <c r="Y1126" s="10"/>
      <c r="Z1126" s="10"/>
      <c r="AA1126" s="10"/>
      <c r="AB1126" s="10"/>
      <c r="AC1126" s="10"/>
      <c r="AD1126" s="10"/>
      <c r="AE1126" s="10"/>
      <c r="AF1126" s="10"/>
    </row>
    <row r="1127">
      <c r="A1127" s="7"/>
      <c r="B1127" s="8">
        <v>101.0</v>
      </c>
      <c r="C1127" s="8">
        <v>78.0</v>
      </c>
      <c r="D1127" s="8" t="s">
        <v>1661</v>
      </c>
      <c r="E1127" s="7">
        <v>2.0</v>
      </c>
      <c r="F1127" s="7" t="s">
        <v>320</v>
      </c>
      <c r="G1127" s="7" t="s">
        <v>312</v>
      </c>
      <c r="H1127" s="7" t="s">
        <v>313</v>
      </c>
      <c r="I1127" s="10"/>
      <c r="J1127" s="11"/>
      <c r="K1127" s="8" t="s">
        <v>1579</v>
      </c>
      <c r="L1127" s="12"/>
      <c r="M1127" s="10"/>
      <c r="N1127" s="10"/>
      <c r="O1127" s="10"/>
      <c r="P1127" s="10"/>
      <c r="Q1127" s="10"/>
      <c r="R1127" s="10"/>
      <c r="S1127" s="10"/>
      <c r="T1127" s="10"/>
      <c r="U1127" s="10"/>
      <c r="V1127" s="10"/>
      <c r="W1127" s="10"/>
      <c r="X1127" s="10"/>
      <c r="Y1127" s="10"/>
      <c r="Z1127" s="10"/>
      <c r="AA1127" s="10"/>
      <c r="AB1127" s="10"/>
      <c r="AC1127" s="10"/>
      <c r="AD1127" s="10"/>
      <c r="AE1127" s="10"/>
      <c r="AF1127" s="10"/>
    </row>
    <row r="1128">
      <c r="A1128" s="10"/>
      <c r="B1128" s="12"/>
      <c r="C1128" s="12"/>
      <c r="D1128" s="12"/>
      <c r="E1128" s="10"/>
      <c r="F1128" s="10"/>
      <c r="G1128" s="7"/>
      <c r="H1128" s="10"/>
      <c r="I1128" s="10"/>
      <c r="J1128" s="11"/>
      <c r="K1128" s="12"/>
      <c r="L1128" s="12"/>
      <c r="M1128" s="10"/>
      <c r="N1128" s="10"/>
      <c r="O1128" s="10"/>
      <c r="P1128" s="10"/>
      <c r="Q1128" s="10"/>
      <c r="R1128" s="10"/>
      <c r="S1128" s="10"/>
      <c r="T1128" s="10"/>
      <c r="U1128" s="10"/>
      <c r="V1128" s="10"/>
      <c r="W1128" s="10"/>
      <c r="X1128" s="10"/>
      <c r="Y1128" s="10"/>
      <c r="Z1128" s="10"/>
      <c r="AA1128" s="10"/>
      <c r="AB1128" s="10"/>
      <c r="AC1128" s="10"/>
      <c r="AD1128" s="10"/>
      <c r="AE1128" s="10"/>
      <c r="AF1128" s="10"/>
    </row>
    <row r="1129">
      <c r="A1129" s="7"/>
      <c r="B1129" s="8">
        <v>102.0</v>
      </c>
      <c r="C1129" s="8">
        <v>1.0</v>
      </c>
      <c r="D1129" s="8" t="s">
        <v>1662</v>
      </c>
      <c r="E1129" s="7">
        <v>2.0</v>
      </c>
      <c r="F1129" s="7" t="s">
        <v>320</v>
      </c>
      <c r="G1129" s="7" t="s">
        <v>312</v>
      </c>
      <c r="H1129" s="7" t="s">
        <v>313</v>
      </c>
      <c r="I1129" s="10"/>
      <c r="J1129" s="9" t="s">
        <v>1663</v>
      </c>
      <c r="K1129" s="8" t="s">
        <v>1664</v>
      </c>
      <c r="L1129" s="15" t="s">
        <v>1665</v>
      </c>
      <c r="M1129" s="10"/>
      <c r="N1129" s="10"/>
      <c r="O1129" s="10"/>
      <c r="P1129" s="10"/>
      <c r="Q1129" s="10"/>
      <c r="R1129" s="10"/>
      <c r="S1129" s="10"/>
      <c r="T1129" s="10"/>
      <c r="U1129" s="10"/>
      <c r="V1129" s="10"/>
      <c r="W1129" s="10"/>
      <c r="X1129" s="10"/>
      <c r="Y1129" s="10"/>
      <c r="Z1129" s="10"/>
      <c r="AA1129" s="10"/>
      <c r="AB1129" s="10"/>
      <c r="AC1129" s="10"/>
      <c r="AD1129" s="10"/>
      <c r="AE1129" s="10"/>
      <c r="AF1129" s="10"/>
    </row>
    <row r="1130">
      <c r="A1130" s="7"/>
      <c r="B1130" s="8">
        <v>102.0</v>
      </c>
      <c r="C1130" s="8">
        <v>2.0</v>
      </c>
      <c r="D1130" s="8" t="s">
        <v>1666</v>
      </c>
      <c r="E1130" s="7">
        <v>2.0</v>
      </c>
      <c r="F1130" s="7" t="s">
        <v>320</v>
      </c>
      <c r="G1130" s="7" t="s">
        <v>312</v>
      </c>
      <c r="H1130" s="7" t="s">
        <v>313</v>
      </c>
      <c r="I1130" s="10"/>
      <c r="J1130" s="9" t="s">
        <v>1667</v>
      </c>
      <c r="K1130" s="8" t="s">
        <v>1664</v>
      </c>
      <c r="L1130" s="12"/>
      <c r="M1130" s="10"/>
      <c r="N1130" s="10"/>
      <c r="O1130" s="10"/>
      <c r="P1130" s="10"/>
      <c r="Q1130" s="10"/>
      <c r="R1130" s="10"/>
      <c r="S1130" s="10"/>
      <c r="T1130" s="10"/>
      <c r="U1130" s="10"/>
      <c r="V1130" s="10"/>
      <c r="W1130" s="10"/>
      <c r="X1130" s="10"/>
      <c r="Y1130" s="10"/>
      <c r="Z1130" s="10"/>
      <c r="AA1130" s="10"/>
      <c r="AB1130" s="10"/>
      <c r="AC1130" s="10"/>
      <c r="AD1130" s="10"/>
      <c r="AE1130" s="10"/>
      <c r="AF1130" s="10"/>
    </row>
    <row r="1131">
      <c r="A1131" s="7"/>
      <c r="B1131" s="8">
        <v>102.0</v>
      </c>
      <c r="C1131" s="8">
        <v>3.0</v>
      </c>
      <c r="D1131" s="8" t="s">
        <v>1668</v>
      </c>
      <c r="E1131" s="7">
        <v>2.0</v>
      </c>
      <c r="F1131" s="7" t="s">
        <v>320</v>
      </c>
      <c r="G1131" s="7" t="s">
        <v>312</v>
      </c>
      <c r="H1131" s="7" t="s">
        <v>313</v>
      </c>
      <c r="I1131" s="10"/>
      <c r="J1131" s="11"/>
      <c r="K1131" s="8" t="s">
        <v>1664</v>
      </c>
      <c r="L1131" s="12"/>
      <c r="M1131" s="10"/>
      <c r="N1131" s="10"/>
      <c r="O1131" s="10"/>
      <c r="P1131" s="10"/>
      <c r="Q1131" s="10"/>
      <c r="R1131" s="10"/>
      <c r="S1131" s="10"/>
      <c r="T1131" s="10"/>
      <c r="U1131" s="10"/>
      <c r="V1131" s="10"/>
      <c r="W1131" s="10"/>
      <c r="X1131" s="10"/>
      <c r="Y1131" s="10"/>
      <c r="Z1131" s="10"/>
      <c r="AA1131" s="10"/>
      <c r="AB1131" s="10"/>
      <c r="AC1131" s="10"/>
      <c r="AD1131" s="10"/>
      <c r="AE1131" s="10"/>
      <c r="AF1131" s="10"/>
    </row>
    <row r="1132">
      <c r="A1132" s="7"/>
      <c r="B1132" s="8">
        <v>102.0</v>
      </c>
      <c r="C1132" s="8">
        <v>4.0</v>
      </c>
      <c r="D1132" s="8" t="s">
        <v>1669</v>
      </c>
      <c r="E1132" s="7">
        <v>0.0</v>
      </c>
      <c r="F1132" s="7"/>
      <c r="G1132" s="7" t="s">
        <v>312</v>
      </c>
      <c r="H1132" s="7" t="s">
        <v>313</v>
      </c>
      <c r="I1132" s="10"/>
      <c r="J1132" s="11"/>
      <c r="K1132" s="12"/>
      <c r="L1132" s="12"/>
      <c r="M1132" s="10"/>
      <c r="N1132" s="10"/>
      <c r="O1132" s="10"/>
      <c r="P1132" s="10"/>
      <c r="Q1132" s="10"/>
      <c r="R1132" s="10"/>
      <c r="S1132" s="10"/>
      <c r="T1132" s="10"/>
      <c r="U1132" s="10"/>
      <c r="V1132" s="10"/>
      <c r="W1132" s="10"/>
      <c r="X1132" s="10"/>
      <c r="Y1132" s="10"/>
      <c r="Z1132" s="10"/>
      <c r="AA1132" s="10"/>
      <c r="AB1132" s="10"/>
      <c r="AC1132" s="10"/>
      <c r="AD1132" s="10"/>
      <c r="AE1132" s="10"/>
      <c r="AF1132" s="10"/>
    </row>
    <row r="1133">
      <c r="A1133" s="7"/>
      <c r="B1133" s="8">
        <v>102.0</v>
      </c>
      <c r="C1133" s="8">
        <v>5.0</v>
      </c>
      <c r="D1133" s="8" t="s">
        <v>1670</v>
      </c>
      <c r="E1133" s="7">
        <v>0.0</v>
      </c>
      <c r="F1133" s="7"/>
      <c r="G1133" s="7" t="s">
        <v>312</v>
      </c>
      <c r="H1133" s="7" t="s">
        <v>313</v>
      </c>
      <c r="I1133" s="10"/>
      <c r="J1133" s="11"/>
      <c r="K1133" s="12"/>
      <c r="L1133" s="12"/>
      <c r="M1133" s="10"/>
      <c r="N1133" s="10"/>
      <c r="O1133" s="10"/>
      <c r="P1133" s="10"/>
      <c r="Q1133" s="10"/>
      <c r="R1133" s="10"/>
      <c r="S1133" s="10"/>
      <c r="T1133" s="10"/>
      <c r="U1133" s="10"/>
      <c r="V1133" s="10"/>
      <c r="W1133" s="10"/>
      <c r="X1133" s="10"/>
      <c r="Y1133" s="10"/>
      <c r="Z1133" s="10"/>
      <c r="AA1133" s="10"/>
      <c r="AB1133" s="10"/>
      <c r="AC1133" s="10"/>
      <c r="AD1133" s="10"/>
      <c r="AE1133" s="10"/>
      <c r="AF1133" s="10"/>
    </row>
    <row r="1134">
      <c r="A1134" s="7"/>
      <c r="B1134" s="8">
        <v>102.0</v>
      </c>
      <c r="C1134" s="8">
        <v>6.0</v>
      </c>
      <c r="D1134" s="8" t="s">
        <v>1671</v>
      </c>
      <c r="E1134" s="7">
        <v>0.0</v>
      </c>
      <c r="F1134" s="7"/>
      <c r="G1134" s="7" t="s">
        <v>312</v>
      </c>
      <c r="H1134" s="7" t="s">
        <v>313</v>
      </c>
      <c r="I1134" s="10"/>
      <c r="J1134" s="11"/>
      <c r="K1134" s="12"/>
      <c r="L1134" s="12"/>
      <c r="M1134" s="10"/>
      <c r="N1134" s="10"/>
      <c r="O1134" s="10"/>
      <c r="P1134" s="10"/>
      <c r="Q1134" s="10"/>
      <c r="R1134" s="10"/>
      <c r="S1134" s="10"/>
      <c r="T1134" s="10"/>
      <c r="U1134" s="10"/>
      <c r="V1134" s="10"/>
      <c r="W1134" s="10"/>
      <c r="X1134" s="10"/>
      <c r="Y1134" s="10"/>
      <c r="Z1134" s="10"/>
      <c r="AA1134" s="10"/>
      <c r="AB1134" s="10"/>
      <c r="AC1134" s="10"/>
      <c r="AD1134" s="10"/>
      <c r="AE1134" s="10"/>
      <c r="AF1134" s="10"/>
    </row>
    <row r="1135">
      <c r="A1135" s="10"/>
      <c r="B1135" s="12"/>
      <c r="C1135" s="12"/>
      <c r="D1135" s="12"/>
      <c r="E1135" s="10"/>
      <c r="F1135" s="10"/>
      <c r="G1135" s="10"/>
      <c r="H1135" s="10"/>
      <c r="I1135" s="10"/>
      <c r="J1135" s="11"/>
      <c r="K1135" s="12"/>
      <c r="L1135" s="12"/>
      <c r="M1135" s="10"/>
      <c r="N1135" s="10"/>
      <c r="O1135" s="10"/>
      <c r="P1135" s="10"/>
      <c r="Q1135" s="10"/>
      <c r="R1135" s="10"/>
      <c r="S1135" s="10"/>
      <c r="T1135" s="10"/>
      <c r="U1135" s="10"/>
      <c r="V1135" s="10"/>
      <c r="W1135" s="10"/>
      <c r="X1135" s="10"/>
      <c r="Y1135" s="10"/>
      <c r="Z1135" s="10"/>
      <c r="AA1135" s="10"/>
      <c r="AB1135" s="10"/>
      <c r="AC1135" s="10"/>
      <c r="AD1135" s="10"/>
      <c r="AE1135" s="10"/>
      <c r="AF1135" s="10"/>
    </row>
    <row r="1136">
      <c r="A1136" s="7"/>
      <c r="B1136" s="8">
        <v>103.0</v>
      </c>
      <c r="C1136" s="8">
        <v>1.0</v>
      </c>
      <c r="D1136" s="8" t="s">
        <v>1672</v>
      </c>
      <c r="E1136" s="7">
        <v>0.0</v>
      </c>
      <c r="F1136" s="7"/>
      <c r="G1136" s="7" t="s">
        <v>312</v>
      </c>
      <c r="H1136" s="7" t="s">
        <v>313</v>
      </c>
      <c r="I1136" s="10"/>
      <c r="J1136" s="9" t="s">
        <v>1673</v>
      </c>
      <c r="K1136" s="12"/>
      <c r="L1136" s="12"/>
      <c r="M1136" s="10"/>
      <c r="N1136" s="10"/>
      <c r="O1136" s="10"/>
      <c r="P1136" s="10"/>
      <c r="Q1136" s="10"/>
      <c r="R1136" s="10"/>
      <c r="S1136" s="10"/>
      <c r="T1136" s="10"/>
      <c r="U1136" s="10"/>
      <c r="V1136" s="10"/>
      <c r="W1136" s="10"/>
      <c r="X1136" s="10"/>
      <c r="Y1136" s="10"/>
      <c r="Z1136" s="10"/>
      <c r="AA1136" s="10"/>
      <c r="AB1136" s="10"/>
      <c r="AC1136" s="10"/>
      <c r="AD1136" s="10"/>
      <c r="AE1136" s="10"/>
      <c r="AF1136" s="10"/>
    </row>
    <row r="1137">
      <c r="A1137" s="7"/>
      <c r="B1137" s="8">
        <v>103.0</v>
      </c>
      <c r="C1137" s="8">
        <v>2.0</v>
      </c>
      <c r="D1137" s="8" t="s">
        <v>1674</v>
      </c>
      <c r="E1137" s="7">
        <v>2.0</v>
      </c>
      <c r="F1137" s="7" t="s">
        <v>320</v>
      </c>
      <c r="G1137" s="7" t="s">
        <v>312</v>
      </c>
      <c r="H1137" s="7" t="s">
        <v>313</v>
      </c>
      <c r="I1137" s="10"/>
      <c r="J1137" s="11"/>
      <c r="K1137" s="8" t="s">
        <v>1664</v>
      </c>
      <c r="L1137" s="12"/>
      <c r="M1137" s="10"/>
      <c r="N1137" s="10"/>
      <c r="O1137" s="10"/>
      <c r="P1137" s="10"/>
      <c r="Q1137" s="10"/>
      <c r="R1137" s="10"/>
      <c r="S1137" s="10"/>
      <c r="T1137" s="10"/>
      <c r="U1137" s="10"/>
      <c r="V1137" s="10"/>
      <c r="W1137" s="10"/>
      <c r="X1137" s="10"/>
      <c r="Y1137" s="10"/>
      <c r="Z1137" s="10"/>
      <c r="AA1137" s="10"/>
      <c r="AB1137" s="10"/>
      <c r="AC1137" s="10"/>
      <c r="AD1137" s="10"/>
      <c r="AE1137" s="10"/>
      <c r="AF1137" s="10"/>
    </row>
    <row r="1138">
      <c r="A1138" s="7"/>
      <c r="B1138" s="8">
        <v>103.0</v>
      </c>
      <c r="C1138" s="8">
        <v>3.0</v>
      </c>
      <c r="D1138" s="8" t="s">
        <v>1675</v>
      </c>
      <c r="E1138" s="7">
        <v>2.0</v>
      </c>
      <c r="F1138" s="7" t="s">
        <v>320</v>
      </c>
      <c r="G1138" s="7" t="s">
        <v>312</v>
      </c>
      <c r="H1138" s="7" t="s">
        <v>313</v>
      </c>
      <c r="I1138" s="10"/>
      <c r="J1138" s="11"/>
      <c r="K1138" s="8" t="s">
        <v>1664</v>
      </c>
      <c r="L1138" s="15" t="s">
        <v>1676</v>
      </c>
      <c r="M1138" s="10"/>
      <c r="N1138" s="10"/>
      <c r="O1138" s="10"/>
      <c r="P1138" s="10"/>
      <c r="Q1138" s="10"/>
      <c r="R1138" s="10"/>
      <c r="S1138" s="10"/>
      <c r="T1138" s="10"/>
      <c r="U1138" s="10"/>
      <c r="V1138" s="10"/>
      <c r="W1138" s="10"/>
      <c r="X1138" s="10"/>
      <c r="Y1138" s="10"/>
      <c r="Z1138" s="10"/>
      <c r="AA1138" s="10"/>
      <c r="AB1138" s="10"/>
      <c r="AC1138" s="10"/>
      <c r="AD1138" s="10"/>
      <c r="AE1138" s="10"/>
      <c r="AF1138" s="10"/>
    </row>
    <row r="1139">
      <c r="A1139" s="10"/>
      <c r="B1139" s="12"/>
      <c r="C1139" s="12"/>
      <c r="D1139" s="12"/>
      <c r="E1139" s="10"/>
      <c r="F1139" s="10"/>
      <c r="G1139" s="10"/>
      <c r="H1139" s="10"/>
      <c r="I1139" s="10"/>
      <c r="J1139" s="11"/>
      <c r="K1139" s="12"/>
      <c r="L1139" s="12"/>
      <c r="M1139" s="10"/>
      <c r="N1139" s="10"/>
      <c r="O1139" s="10"/>
      <c r="P1139" s="10"/>
      <c r="Q1139" s="10"/>
      <c r="R1139" s="10"/>
      <c r="S1139" s="10"/>
      <c r="T1139" s="10"/>
      <c r="U1139" s="10"/>
      <c r="V1139" s="10"/>
      <c r="W1139" s="10"/>
      <c r="X1139" s="10"/>
      <c r="Y1139" s="10"/>
      <c r="Z1139" s="10"/>
      <c r="AA1139" s="10"/>
      <c r="AB1139" s="10"/>
      <c r="AC1139" s="10"/>
      <c r="AD1139" s="10"/>
      <c r="AE1139" s="10"/>
      <c r="AF1139" s="10"/>
    </row>
    <row r="1140">
      <c r="A1140" s="7"/>
      <c r="B1140" s="8">
        <v>104.0</v>
      </c>
      <c r="C1140" s="8">
        <v>1.0</v>
      </c>
      <c r="D1140" s="8" t="s">
        <v>1677</v>
      </c>
      <c r="E1140" s="7">
        <v>2.0</v>
      </c>
      <c r="F1140" s="7" t="s">
        <v>320</v>
      </c>
      <c r="G1140" s="7" t="s">
        <v>312</v>
      </c>
      <c r="H1140" s="7" t="s">
        <v>313</v>
      </c>
      <c r="I1140" s="10"/>
      <c r="J1140" s="9" t="s">
        <v>1678</v>
      </c>
      <c r="K1140" s="8" t="s">
        <v>1579</v>
      </c>
      <c r="L1140" s="12"/>
      <c r="M1140" s="10"/>
      <c r="N1140" s="10"/>
      <c r="O1140" s="10"/>
      <c r="P1140" s="10"/>
      <c r="Q1140" s="10"/>
      <c r="R1140" s="10"/>
      <c r="S1140" s="10"/>
      <c r="T1140" s="10"/>
      <c r="U1140" s="10"/>
      <c r="V1140" s="10"/>
      <c r="W1140" s="10"/>
      <c r="X1140" s="10"/>
      <c r="Y1140" s="10"/>
      <c r="Z1140" s="10"/>
      <c r="AA1140" s="10"/>
      <c r="AB1140" s="10"/>
      <c r="AC1140" s="10"/>
      <c r="AD1140" s="10"/>
      <c r="AE1140" s="10"/>
      <c r="AF1140" s="10"/>
    </row>
    <row r="1141">
      <c r="A1141" s="7"/>
      <c r="B1141" s="8">
        <v>104.0</v>
      </c>
      <c r="C1141" s="8">
        <v>2.0</v>
      </c>
      <c r="D1141" s="8" t="s">
        <v>1679</v>
      </c>
      <c r="E1141" s="7">
        <v>2.0</v>
      </c>
      <c r="F1141" s="7" t="s">
        <v>320</v>
      </c>
      <c r="G1141" s="7" t="s">
        <v>312</v>
      </c>
      <c r="H1141" s="7" t="s">
        <v>313</v>
      </c>
      <c r="I1141" s="10"/>
      <c r="J1141" s="9" t="s">
        <v>1680</v>
      </c>
      <c r="K1141" s="8" t="s">
        <v>1579</v>
      </c>
      <c r="L1141" s="12"/>
      <c r="M1141" s="10"/>
      <c r="N1141" s="10"/>
      <c r="O1141" s="10"/>
      <c r="P1141" s="10"/>
      <c r="Q1141" s="10"/>
      <c r="R1141" s="10"/>
      <c r="S1141" s="10"/>
      <c r="T1141" s="10"/>
      <c r="U1141" s="10"/>
      <c r="V1141" s="10"/>
      <c r="W1141" s="10"/>
      <c r="X1141" s="10"/>
      <c r="Y1141" s="10"/>
      <c r="Z1141" s="10"/>
      <c r="AA1141" s="10"/>
      <c r="AB1141" s="10"/>
      <c r="AC1141" s="10"/>
      <c r="AD1141" s="10"/>
      <c r="AE1141" s="10"/>
      <c r="AF1141" s="10"/>
    </row>
    <row r="1142">
      <c r="A1142" s="7"/>
      <c r="B1142" s="8">
        <v>104.0</v>
      </c>
      <c r="C1142" s="8">
        <v>3.0</v>
      </c>
      <c r="D1142" s="8" t="s">
        <v>1681</v>
      </c>
      <c r="E1142" s="7">
        <v>0.0</v>
      </c>
      <c r="F1142" s="7"/>
      <c r="G1142" s="7" t="s">
        <v>312</v>
      </c>
      <c r="H1142" s="7" t="s">
        <v>313</v>
      </c>
      <c r="I1142" s="10"/>
      <c r="J1142" s="9" t="s">
        <v>1682</v>
      </c>
      <c r="K1142" s="12"/>
      <c r="L1142" s="12"/>
      <c r="M1142" s="10"/>
      <c r="N1142" s="10"/>
      <c r="O1142" s="10"/>
      <c r="P1142" s="10"/>
      <c r="Q1142" s="10"/>
      <c r="R1142" s="10"/>
      <c r="S1142" s="10"/>
      <c r="T1142" s="10"/>
      <c r="U1142" s="10"/>
      <c r="V1142" s="10"/>
      <c r="W1142" s="10"/>
      <c r="X1142" s="10"/>
      <c r="Y1142" s="10"/>
      <c r="Z1142" s="10"/>
      <c r="AA1142" s="10"/>
      <c r="AB1142" s="10"/>
      <c r="AC1142" s="10"/>
      <c r="AD1142" s="10"/>
      <c r="AE1142" s="10"/>
      <c r="AF1142" s="10"/>
    </row>
    <row r="1143">
      <c r="A1143" s="7"/>
      <c r="B1143" s="8">
        <v>104.0</v>
      </c>
      <c r="C1143" s="8">
        <v>4.0</v>
      </c>
      <c r="D1143" s="8" t="s">
        <v>1683</v>
      </c>
      <c r="E1143" s="7">
        <v>0.0</v>
      </c>
      <c r="F1143" s="7"/>
      <c r="G1143" s="7" t="s">
        <v>312</v>
      </c>
      <c r="H1143" s="7" t="s">
        <v>313</v>
      </c>
      <c r="I1143" s="10"/>
      <c r="J1143" s="9" t="s">
        <v>1684</v>
      </c>
      <c r="K1143" s="12"/>
      <c r="L1143" s="12"/>
      <c r="M1143" s="10"/>
      <c r="N1143" s="10"/>
      <c r="O1143" s="10"/>
      <c r="P1143" s="10"/>
      <c r="Q1143" s="10"/>
      <c r="R1143" s="10"/>
      <c r="S1143" s="10"/>
      <c r="T1143" s="10"/>
      <c r="U1143" s="10"/>
      <c r="V1143" s="10"/>
      <c r="W1143" s="10"/>
      <c r="X1143" s="10"/>
      <c r="Y1143" s="10"/>
      <c r="Z1143" s="10"/>
      <c r="AA1143" s="10"/>
      <c r="AB1143" s="10"/>
      <c r="AC1143" s="10"/>
      <c r="AD1143" s="10"/>
      <c r="AE1143" s="10"/>
      <c r="AF1143" s="10"/>
    </row>
    <row r="1144">
      <c r="A1144" s="7"/>
      <c r="B1144" s="8">
        <v>104.0</v>
      </c>
      <c r="C1144" s="8">
        <v>5.0</v>
      </c>
      <c r="D1144" s="8" t="s">
        <v>1685</v>
      </c>
      <c r="E1144" s="7">
        <v>0.0</v>
      </c>
      <c r="F1144" s="7"/>
      <c r="G1144" s="7" t="s">
        <v>312</v>
      </c>
      <c r="H1144" s="7" t="s">
        <v>313</v>
      </c>
      <c r="I1144" s="10"/>
      <c r="J1144" s="9" t="s">
        <v>1686</v>
      </c>
      <c r="K1144" s="12"/>
      <c r="L1144" s="12"/>
      <c r="M1144" s="10"/>
      <c r="N1144" s="10"/>
      <c r="O1144" s="10"/>
      <c r="P1144" s="10"/>
      <c r="Q1144" s="10"/>
      <c r="R1144" s="10"/>
      <c r="S1144" s="10"/>
      <c r="T1144" s="10"/>
      <c r="U1144" s="10"/>
      <c r="V1144" s="10"/>
      <c r="W1144" s="10"/>
      <c r="X1144" s="10"/>
      <c r="Y1144" s="10"/>
      <c r="Z1144" s="10"/>
      <c r="AA1144" s="10"/>
      <c r="AB1144" s="10"/>
      <c r="AC1144" s="10"/>
      <c r="AD1144" s="10"/>
      <c r="AE1144" s="10"/>
      <c r="AF1144" s="10"/>
    </row>
    <row r="1145">
      <c r="A1145" s="7"/>
      <c r="B1145" s="8">
        <v>104.0</v>
      </c>
      <c r="C1145" s="8">
        <v>6.0</v>
      </c>
      <c r="D1145" s="8" t="s">
        <v>1687</v>
      </c>
      <c r="E1145" s="7">
        <v>0.0</v>
      </c>
      <c r="F1145" s="7"/>
      <c r="G1145" s="7" t="s">
        <v>312</v>
      </c>
      <c r="H1145" s="7" t="s">
        <v>313</v>
      </c>
      <c r="I1145" s="10"/>
      <c r="J1145" s="11"/>
      <c r="K1145" s="12"/>
      <c r="L1145" s="12"/>
      <c r="M1145" s="10"/>
      <c r="N1145" s="10"/>
      <c r="O1145" s="10"/>
      <c r="P1145" s="10"/>
      <c r="Q1145" s="10"/>
      <c r="R1145" s="10"/>
      <c r="S1145" s="10"/>
      <c r="T1145" s="10"/>
      <c r="U1145" s="10"/>
      <c r="V1145" s="10"/>
      <c r="W1145" s="10"/>
      <c r="X1145" s="10"/>
      <c r="Y1145" s="10"/>
      <c r="Z1145" s="10"/>
      <c r="AA1145" s="10"/>
      <c r="AB1145" s="10"/>
      <c r="AC1145" s="10"/>
      <c r="AD1145" s="10"/>
      <c r="AE1145" s="10"/>
      <c r="AF1145" s="10"/>
    </row>
    <row r="1146">
      <c r="A1146" s="7"/>
      <c r="B1146" s="8">
        <v>104.0</v>
      </c>
      <c r="C1146" s="8">
        <v>7.0</v>
      </c>
      <c r="D1146" s="8" t="s">
        <v>1688</v>
      </c>
      <c r="E1146" s="7">
        <v>0.0</v>
      </c>
      <c r="F1146" s="7"/>
      <c r="G1146" s="7" t="s">
        <v>312</v>
      </c>
      <c r="H1146" s="7" t="s">
        <v>313</v>
      </c>
      <c r="I1146" s="10"/>
      <c r="J1146" s="11"/>
      <c r="K1146" s="12"/>
      <c r="L1146" s="12"/>
      <c r="M1146" s="10"/>
      <c r="N1146" s="10"/>
      <c r="O1146" s="10"/>
      <c r="P1146" s="10"/>
      <c r="Q1146" s="10"/>
      <c r="R1146" s="10"/>
      <c r="S1146" s="10"/>
      <c r="T1146" s="10"/>
      <c r="U1146" s="10"/>
      <c r="V1146" s="10"/>
      <c r="W1146" s="10"/>
      <c r="X1146" s="10"/>
      <c r="Y1146" s="10"/>
      <c r="Z1146" s="10"/>
      <c r="AA1146" s="10"/>
      <c r="AB1146" s="10"/>
      <c r="AC1146" s="10"/>
      <c r="AD1146" s="10"/>
      <c r="AE1146" s="10"/>
      <c r="AF1146" s="10"/>
    </row>
    <row r="1147">
      <c r="A1147" s="7"/>
      <c r="B1147" s="8">
        <v>104.0</v>
      </c>
      <c r="C1147" s="8">
        <v>8.0</v>
      </c>
      <c r="D1147" s="8" t="s">
        <v>1689</v>
      </c>
      <c r="E1147" s="7">
        <v>0.0</v>
      </c>
      <c r="F1147" s="7"/>
      <c r="G1147" s="7" t="s">
        <v>312</v>
      </c>
      <c r="H1147" s="7" t="s">
        <v>313</v>
      </c>
      <c r="I1147" s="10"/>
      <c r="J1147" s="11"/>
      <c r="K1147" s="12"/>
      <c r="L1147" s="12"/>
      <c r="M1147" s="10"/>
      <c r="N1147" s="10"/>
      <c r="O1147" s="10"/>
      <c r="P1147" s="10"/>
      <c r="Q1147" s="10"/>
      <c r="R1147" s="10"/>
      <c r="S1147" s="10"/>
      <c r="T1147" s="10"/>
      <c r="U1147" s="10"/>
      <c r="V1147" s="10"/>
      <c r="W1147" s="10"/>
      <c r="X1147" s="10"/>
      <c r="Y1147" s="10"/>
      <c r="Z1147" s="10"/>
      <c r="AA1147" s="10"/>
      <c r="AB1147" s="10"/>
      <c r="AC1147" s="10"/>
      <c r="AD1147" s="10"/>
      <c r="AE1147" s="10"/>
      <c r="AF1147" s="10"/>
    </row>
    <row r="1148">
      <c r="A1148" s="7"/>
      <c r="B1148" s="8">
        <v>104.0</v>
      </c>
      <c r="C1148" s="8">
        <v>9.0</v>
      </c>
      <c r="D1148" s="8" t="s">
        <v>1690</v>
      </c>
      <c r="E1148" s="7">
        <v>0.0</v>
      </c>
      <c r="F1148" s="7"/>
      <c r="G1148" s="7" t="s">
        <v>312</v>
      </c>
      <c r="H1148" s="7" t="s">
        <v>313</v>
      </c>
      <c r="I1148" s="10"/>
      <c r="J1148" s="11"/>
      <c r="K1148" s="12"/>
      <c r="L1148" s="12"/>
      <c r="M1148" s="10"/>
      <c r="N1148" s="10"/>
      <c r="O1148" s="10"/>
      <c r="P1148" s="10"/>
      <c r="Q1148" s="10"/>
      <c r="R1148" s="10"/>
      <c r="S1148" s="10"/>
      <c r="T1148" s="10"/>
      <c r="U1148" s="10"/>
      <c r="V1148" s="10"/>
      <c r="W1148" s="10"/>
      <c r="X1148" s="10"/>
      <c r="Y1148" s="10"/>
      <c r="Z1148" s="10"/>
      <c r="AA1148" s="10"/>
      <c r="AB1148" s="10"/>
      <c r="AC1148" s="10"/>
      <c r="AD1148" s="10"/>
      <c r="AE1148" s="10"/>
      <c r="AF1148" s="10"/>
    </row>
    <row r="1149">
      <c r="A1149" s="7"/>
      <c r="B1149" s="8">
        <v>104.0</v>
      </c>
      <c r="C1149" s="8">
        <v>10.0</v>
      </c>
      <c r="D1149" s="8" t="s">
        <v>1691</v>
      </c>
      <c r="E1149" s="7">
        <v>0.0</v>
      </c>
      <c r="F1149" s="7"/>
      <c r="G1149" s="7" t="s">
        <v>312</v>
      </c>
      <c r="H1149" s="7" t="s">
        <v>313</v>
      </c>
      <c r="I1149" s="10"/>
      <c r="J1149" s="11"/>
      <c r="K1149" s="12"/>
      <c r="L1149" s="12"/>
      <c r="M1149" s="10"/>
      <c r="N1149" s="10"/>
      <c r="O1149" s="10"/>
      <c r="P1149" s="10"/>
      <c r="Q1149" s="10"/>
      <c r="R1149" s="10"/>
      <c r="S1149" s="10"/>
      <c r="T1149" s="10"/>
      <c r="U1149" s="10"/>
      <c r="V1149" s="10"/>
      <c r="W1149" s="10"/>
      <c r="X1149" s="10"/>
      <c r="Y1149" s="10"/>
      <c r="Z1149" s="10"/>
      <c r="AA1149" s="10"/>
      <c r="AB1149" s="10"/>
      <c r="AC1149" s="10"/>
      <c r="AD1149" s="10"/>
      <c r="AE1149" s="10"/>
      <c r="AF1149" s="10"/>
    </row>
    <row r="1150">
      <c r="A1150" s="7"/>
      <c r="B1150" s="8">
        <v>104.0</v>
      </c>
      <c r="C1150" s="8">
        <v>11.0</v>
      </c>
      <c r="D1150" s="8" t="s">
        <v>1692</v>
      </c>
      <c r="E1150" s="7">
        <v>0.0</v>
      </c>
      <c r="F1150" s="7"/>
      <c r="G1150" s="7" t="s">
        <v>312</v>
      </c>
      <c r="H1150" s="7" t="s">
        <v>313</v>
      </c>
      <c r="I1150" s="10"/>
      <c r="J1150" s="11"/>
      <c r="K1150" s="12"/>
      <c r="L1150" s="12"/>
      <c r="M1150" s="10"/>
      <c r="N1150" s="10"/>
      <c r="O1150" s="10"/>
      <c r="P1150" s="10"/>
      <c r="Q1150" s="10"/>
      <c r="R1150" s="10"/>
      <c r="S1150" s="10"/>
      <c r="T1150" s="10"/>
      <c r="U1150" s="10"/>
      <c r="V1150" s="10"/>
      <c r="W1150" s="10"/>
      <c r="X1150" s="10"/>
      <c r="Y1150" s="10"/>
      <c r="Z1150" s="10"/>
      <c r="AA1150" s="10"/>
      <c r="AB1150" s="10"/>
      <c r="AC1150" s="10"/>
      <c r="AD1150" s="10"/>
      <c r="AE1150" s="10"/>
      <c r="AF1150" s="10"/>
    </row>
    <row r="1151">
      <c r="A1151" s="7"/>
      <c r="B1151" s="8">
        <v>104.0</v>
      </c>
      <c r="C1151" s="8">
        <v>12.0</v>
      </c>
      <c r="D1151" s="8" t="s">
        <v>1693</v>
      </c>
      <c r="E1151" s="7">
        <v>2.0</v>
      </c>
      <c r="F1151" s="7" t="s">
        <v>320</v>
      </c>
      <c r="G1151" s="7" t="s">
        <v>312</v>
      </c>
      <c r="H1151" s="7" t="s">
        <v>313</v>
      </c>
      <c r="I1151" s="10"/>
      <c r="J1151" s="11"/>
      <c r="K1151" s="8" t="s">
        <v>1579</v>
      </c>
      <c r="L1151" s="12"/>
      <c r="M1151" s="10"/>
      <c r="N1151" s="10"/>
      <c r="O1151" s="10"/>
      <c r="P1151" s="10"/>
      <c r="Q1151" s="10"/>
      <c r="R1151" s="10"/>
      <c r="S1151" s="10"/>
      <c r="T1151" s="10"/>
      <c r="U1151" s="10"/>
      <c r="V1151" s="10"/>
      <c r="W1151" s="10"/>
      <c r="X1151" s="10"/>
      <c r="Y1151" s="10"/>
      <c r="Z1151" s="10"/>
      <c r="AA1151" s="10"/>
      <c r="AB1151" s="10"/>
      <c r="AC1151" s="10"/>
      <c r="AD1151" s="10"/>
      <c r="AE1151" s="10"/>
      <c r="AF1151" s="10"/>
    </row>
    <row r="1152">
      <c r="A1152" s="7"/>
      <c r="B1152" s="8">
        <v>104.0</v>
      </c>
      <c r="C1152" s="8">
        <v>13.0</v>
      </c>
      <c r="D1152" s="8" t="s">
        <v>1694</v>
      </c>
      <c r="E1152" s="7">
        <v>0.0</v>
      </c>
      <c r="F1152" s="7"/>
      <c r="G1152" s="7" t="s">
        <v>312</v>
      </c>
      <c r="H1152" s="7" t="s">
        <v>313</v>
      </c>
      <c r="I1152" s="10"/>
      <c r="J1152" s="11"/>
      <c r="K1152" s="12"/>
      <c r="L1152" s="12"/>
      <c r="M1152" s="10"/>
      <c r="N1152" s="10"/>
      <c r="O1152" s="10"/>
      <c r="P1152" s="10"/>
      <c r="Q1152" s="10"/>
      <c r="R1152" s="10"/>
      <c r="S1152" s="10"/>
      <c r="T1152" s="10"/>
      <c r="U1152" s="10"/>
      <c r="V1152" s="10"/>
      <c r="W1152" s="10"/>
      <c r="X1152" s="10"/>
      <c r="Y1152" s="10"/>
      <c r="Z1152" s="10"/>
      <c r="AA1152" s="10"/>
      <c r="AB1152" s="10"/>
      <c r="AC1152" s="10"/>
      <c r="AD1152" s="10"/>
      <c r="AE1152" s="10"/>
      <c r="AF1152" s="10"/>
    </row>
    <row r="1153">
      <c r="A1153" s="7"/>
      <c r="B1153" s="8">
        <v>104.0</v>
      </c>
      <c r="C1153" s="8">
        <v>14.0</v>
      </c>
      <c r="D1153" s="8" t="s">
        <v>1695</v>
      </c>
      <c r="E1153" s="7">
        <v>0.0</v>
      </c>
      <c r="F1153" s="7"/>
      <c r="G1153" s="7" t="s">
        <v>312</v>
      </c>
      <c r="H1153" s="7" t="s">
        <v>313</v>
      </c>
      <c r="I1153" s="10"/>
      <c r="J1153" s="11"/>
      <c r="K1153" s="12"/>
      <c r="L1153" s="12"/>
      <c r="M1153" s="10"/>
      <c r="N1153" s="10"/>
      <c r="O1153" s="10"/>
      <c r="P1153" s="10"/>
      <c r="Q1153" s="10"/>
      <c r="R1153" s="10"/>
      <c r="S1153" s="10"/>
      <c r="T1153" s="10"/>
      <c r="U1153" s="10"/>
      <c r="V1153" s="10"/>
      <c r="W1153" s="10"/>
      <c r="X1153" s="10"/>
      <c r="Y1153" s="10"/>
      <c r="Z1153" s="10"/>
      <c r="AA1153" s="10"/>
      <c r="AB1153" s="10"/>
      <c r="AC1153" s="10"/>
      <c r="AD1153" s="10"/>
      <c r="AE1153" s="10"/>
      <c r="AF1153" s="10"/>
    </row>
    <row r="1154">
      <c r="A1154" s="7"/>
      <c r="B1154" s="8">
        <v>104.0</v>
      </c>
      <c r="C1154" s="8">
        <v>15.0</v>
      </c>
      <c r="D1154" s="8" t="s">
        <v>1696</v>
      </c>
      <c r="E1154" s="7">
        <v>0.0</v>
      </c>
      <c r="F1154" s="7"/>
      <c r="G1154" s="7" t="s">
        <v>312</v>
      </c>
      <c r="H1154" s="7" t="s">
        <v>313</v>
      </c>
      <c r="I1154" s="10"/>
      <c r="J1154" s="11"/>
      <c r="K1154" s="12"/>
      <c r="L1154" s="12"/>
      <c r="M1154" s="10"/>
      <c r="N1154" s="10"/>
      <c r="O1154" s="10"/>
      <c r="P1154" s="10"/>
      <c r="Q1154" s="10"/>
      <c r="R1154" s="10"/>
      <c r="S1154" s="10"/>
      <c r="T1154" s="10"/>
      <c r="U1154" s="10"/>
      <c r="V1154" s="10"/>
      <c r="W1154" s="10"/>
      <c r="X1154" s="10"/>
      <c r="Y1154" s="10"/>
      <c r="Z1154" s="10"/>
      <c r="AA1154" s="10"/>
      <c r="AB1154" s="10"/>
      <c r="AC1154" s="10"/>
      <c r="AD1154" s="10"/>
      <c r="AE1154" s="10"/>
      <c r="AF1154" s="10"/>
    </row>
    <row r="1155">
      <c r="A1155" s="7"/>
      <c r="B1155" s="8">
        <v>104.0</v>
      </c>
      <c r="C1155" s="8">
        <v>16.0</v>
      </c>
      <c r="D1155" s="8" t="s">
        <v>1697</v>
      </c>
      <c r="E1155" s="7">
        <v>0.0</v>
      </c>
      <c r="F1155" s="7"/>
      <c r="G1155" s="7" t="s">
        <v>312</v>
      </c>
      <c r="H1155" s="7" t="s">
        <v>313</v>
      </c>
      <c r="I1155" s="10"/>
      <c r="J1155" s="11"/>
      <c r="K1155" s="12"/>
      <c r="L1155" s="12"/>
      <c r="M1155" s="10"/>
      <c r="N1155" s="10"/>
      <c r="O1155" s="10"/>
      <c r="P1155" s="10"/>
      <c r="Q1155" s="10"/>
      <c r="R1155" s="10"/>
      <c r="S1155" s="10"/>
      <c r="T1155" s="10"/>
      <c r="U1155" s="10"/>
      <c r="V1155" s="10"/>
      <c r="W1155" s="10"/>
      <c r="X1155" s="10"/>
      <c r="Y1155" s="10"/>
      <c r="Z1155" s="10"/>
      <c r="AA1155" s="10"/>
      <c r="AB1155" s="10"/>
      <c r="AC1155" s="10"/>
      <c r="AD1155" s="10"/>
      <c r="AE1155" s="10"/>
      <c r="AF1155" s="10"/>
    </row>
    <row r="1156">
      <c r="A1156" s="7"/>
      <c r="B1156" s="8">
        <v>104.0</v>
      </c>
      <c r="C1156" s="8">
        <v>17.0</v>
      </c>
      <c r="D1156" s="8" t="s">
        <v>1698</v>
      </c>
      <c r="E1156" s="7">
        <v>0.0</v>
      </c>
      <c r="F1156" s="7"/>
      <c r="G1156" s="7" t="s">
        <v>312</v>
      </c>
      <c r="H1156" s="7" t="s">
        <v>313</v>
      </c>
      <c r="I1156" s="10"/>
      <c r="J1156" s="11"/>
      <c r="K1156" s="12"/>
      <c r="L1156" s="12"/>
      <c r="M1156" s="10"/>
      <c r="N1156" s="10"/>
      <c r="O1156" s="10"/>
      <c r="P1156" s="10"/>
      <c r="Q1156" s="10"/>
      <c r="R1156" s="10"/>
      <c r="S1156" s="10"/>
      <c r="T1156" s="10"/>
      <c r="U1156" s="10"/>
      <c r="V1156" s="10"/>
      <c r="W1156" s="10"/>
      <c r="X1156" s="10"/>
      <c r="Y1156" s="10"/>
      <c r="Z1156" s="10"/>
      <c r="AA1156" s="10"/>
      <c r="AB1156" s="10"/>
      <c r="AC1156" s="10"/>
      <c r="AD1156" s="10"/>
      <c r="AE1156" s="10"/>
      <c r="AF1156" s="10"/>
    </row>
    <row r="1157">
      <c r="A1157" s="7"/>
      <c r="B1157" s="8">
        <v>104.0</v>
      </c>
      <c r="C1157" s="8">
        <v>18.0</v>
      </c>
      <c r="D1157" s="8" t="s">
        <v>1699</v>
      </c>
      <c r="E1157" s="7">
        <v>0.0</v>
      </c>
      <c r="F1157" s="7"/>
      <c r="G1157" s="7" t="s">
        <v>312</v>
      </c>
      <c r="H1157" s="7" t="s">
        <v>313</v>
      </c>
      <c r="I1157" s="10"/>
      <c r="J1157" s="11"/>
      <c r="K1157" s="12"/>
      <c r="L1157" s="12"/>
      <c r="M1157" s="10"/>
      <c r="N1157" s="10"/>
      <c r="O1157" s="10"/>
      <c r="P1157" s="10"/>
      <c r="Q1157" s="10"/>
      <c r="R1157" s="10"/>
      <c r="S1157" s="10"/>
      <c r="T1157" s="10"/>
      <c r="U1157" s="10"/>
      <c r="V1157" s="10"/>
      <c r="W1157" s="10"/>
      <c r="X1157" s="10"/>
      <c r="Y1157" s="10"/>
      <c r="Z1157" s="10"/>
      <c r="AA1157" s="10"/>
      <c r="AB1157" s="10"/>
      <c r="AC1157" s="10"/>
      <c r="AD1157" s="10"/>
      <c r="AE1157" s="10"/>
      <c r="AF1157" s="10"/>
    </row>
    <row r="1158">
      <c r="A1158" s="7"/>
      <c r="B1158" s="8">
        <v>104.0</v>
      </c>
      <c r="C1158" s="8">
        <v>19.0</v>
      </c>
      <c r="D1158" s="8" t="s">
        <v>1700</v>
      </c>
      <c r="E1158" s="7">
        <v>0.0</v>
      </c>
      <c r="F1158" s="7"/>
      <c r="G1158" s="7" t="s">
        <v>312</v>
      </c>
      <c r="H1158" s="7" t="s">
        <v>313</v>
      </c>
      <c r="I1158" s="10"/>
      <c r="J1158" s="11"/>
      <c r="K1158" s="12"/>
      <c r="L1158" s="12"/>
      <c r="M1158" s="10"/>
      <c r="N1158" s="10"/>
      <c r="O1158" s="10"/>
      <c r="P1158" s="10"/>
      <c r="Q1158" s="10"/>
      <c r="R1158" s="10"/>
      <c r="S1158" s="10"/>
      <c r="T1158" s="10"/>
      <c r="U1158" s="10"/>
      <c r="V1158" s="10"/>
      <c r="W1158" s="10"/>
      <c r="X1158" s="10"/>
      <c r="Y1158" s="10"/>
      <c r="Z1158" s="10"/>
      <c r="AA1158" s="10"/>
      <c r="AB1158" s="10"/>
      <c r="AC1158" s="10"/>
      <c r="AD1158" s="10"/>
      <c r="AE1158" s="10"/>
      <c r="AF1158" s="10"/>
    </row>
    <row r="1159">
      <c r="A1159" s="7"/>
      <c r="B1159" s="8">
        <v>104.0</v>
      </c>
      <c r="C1159" s="8">
        <v>20.0</v>
      </c>
      <c r="D1159" s="8" t="s">
        <v>1701</v>
      </c>
      <c r="E1159" s="7">
        <v>2.0</v>
      </c>
      <c r="F1159" s="7" t="s">
        <v>320</v>
      </c>
      <c r="G1159" s="7" t="s">
        <v>312</v>
      </c>
      <c r="H1159" s="7" t="s">
        <v>313</v>
      </c>
      <c r="I1159" s="10"/>
      <c r="J1159" s="11"/>
      <c r="K1159" s="8" t="s">
        <v>1579</v>
      </c>
      <c r="L1159" s="12"/>
      <c r="M1159" s="10"/>
      <c r="N1159" s="10"/>
      <c r="O1159" s="10"/>
      <c r="P1159" s="10"/>
      <c r="Q1159" s="10"/>
      <c r="R1159" s="10"/>
      <c r="S1159" s="10"/>
      <c r="T1159" s="10"/>
      <c r="U1159" s="10"/>
      <c r="V1159" s="10"/>
      <c r="W1159" s="10"/>
      <c r="X1159" s="10"/>
      <c r="Y1159" s="10"/>
      <c r="Z1159" s="10"/>
      <c r="AA1159" s="10"/>
      <c r="AB1159" s="10"/>
      <c r="AC1159" s="10"/>
      <c r="AD1159" s="10"/>
      <c r="AE1159" s="10"/>
      <c r="AF1159" s="10"/>
    </row>
    <row r="1160">
      <c r="A1160" s="7"/>
      <c r="B1160" s="8">
        <v>104.0</v>
      </c>
      <c r="C1160" s="8">
        <v>21.0</v>
      </c>
      <c r="D1160" s="8" t="s">
        <v>1702</v>
      </c>
      <c r="E1160" s="7">
        <v>0.0</v>
      </c>
      <c r="F1160" s="7"/>
      <c r="G1160" s="7" t="s">
        <v>312</v>
      </c>
      <c r="H1160" s="7" t="s">
        <v>313</v>
      </c>
      <c r="I1160" s="10"/>
      <c r="J1160" s="11"/>
      <c r="K1160" s="12"/>
      <c r="L1160" s="12"/>
      <c r="M1160" s="10"/>
      <c r="N1160" s="10"/>
      <c r="O1160" s="10"/>
      <c r="P1160" s="10"/>
      <c r="Q1160" s="10"/>
      <c r="R1160" s="10"/>
      <c r="S1160" s="10"/>
      <c r="T1160" s="10"/>
      <c r="U1160" s="10"/>
      <c r="V1160" s="10"/>
      <c r="W1160" s="10"/>
      <c r="X1160" s="10"/>
      <c r="Y1160" s="10"/>
      <c r="Z1160" s="10"/>
      <c r="AA1160" s="10"/>
      <c r="AB1160" s="10"/>
      <c r="AC1160" s="10"/>
      <c r="AD1160" s="10"/>
      <c r="AE1160" s="10"/>
      <c r="AF1160" s="10"/>
    </row>
    <row r="1161">
      <c r="A1161" s="7"/>
      <c r="B1161" s="8">
        <v>104.0</v>
      </c>
      <c r="C1161" s="8">
        <v>22.0</v>
      </c>
      <c r="D1161" s="8" t="s">
        <v>1703</v>
      </c>
      <c r="E1161" s="7">
        <v>0.0</v>
      </c>
      <c r="F1161" s="7"/>
      <c r="G1161" s="7" t="s">
        <v>312</v>
      </c>
      <c r="H1161" s="7" t="s">
        <v>313</v>
      </c>
      <c r="I1161" s="10"/>
      <c r="J1161" s="11"/>
      <c r="K1161" s="12"/>
      <c r="L1161" s="12"/>
      <c r="M1161" s="10"/>
      <c r="N1161" s="10"/>
      <c r="O1161" s="10"/>
      <c r="P1161" s="10"/>
      <c r="Q1161" s="10"/>
      <c r="R1161" s="10"/>
      <c r="S1161" s="10"/>
      <c r="T1161" s="10"/>
      <c r="U1161" s="10"/>
      <c r="V1161" s="10"/>
      <c r="W1161" s="10"/>
      <c r="X1161" s="10"/>
      <c r="Y1161" s="10"/>
      <c r="Z1161" s="10"/>
      <c r="AA1161" s="10"/>
      <c r="AB1161" s="10"/>
      <c r="AC1161" s="10"/>
      <c r="AD1161" s="10"/>
      <c r="AE1161" s="10"/>
      <c r="AF1161" s="10"/>
    </row>
    <row r="1162">
      <c r="A1162" s="7"/>
      <c r="B1162" s="8">
        <v>104.0</v>
      </c>
      <c r="C1162" s="8">
        <v>23.0</v>
      </c>
      <c r="D1162" s="8" t="s">
        <v>1704</v>
      </c>
      <c r="E1162" s="7">
        <v>0.0</v>
      </c>
      <c r="F1162" s="7"/>
      <c r="G1162" s="7" t="s">
        <v>312</v>
      </c>
      <c r="H1162" s="7" t="s">
        <v>313</v>
      </c>
      <c r="I1162" s="10"/>
      <c r="J1162" s="11"/>
      <c r="K1162" s="12"/>
      <c r="L1162" s="12"/>
      <c r="M1162" s="10"/>
      <c r="N1162" s="10"/>
      <c r="O1162" s="10"/>
      <c r="P1162" s="10"/>
      <c r="Q1162" s="10"/>
      <c r="R1162" s="10"/>
      <c r="S1162" s="10"/>
      <c r="T1162" s="10"/>
      <c r="U1162" s="10"/>
      <c r="V1162" s="10"/>
      <c r="W1162" s="10"/>
      <c r="X1162" s="10"/>
      <c r="Y1162" s="10"/>
      <c r="Z1162" s="10"/>
      <c r="AA1162" s="10"/>
      <c r="AB1162" s="10"/>
      <c r="AC1162" s="10"/>
      <c r="AD1162" s="10"/>
      <c r="AE1162" s="10"/>
      <c r="AF1162" s="10"/>
    </row>
    <row r="1163">
      <c r="A1163" s="7"/>
      <c r="B1163" s="8">
        <v>104.0</v>
      </c>
      <c r="C1163" s="8">
        <v>24.0</v>
      </c>
      <c r="D1163" s="8" t="s">
        <v>1705</v>
      </c>
      <c r="E1163" s="7">
        <v>0.0</v>
      </c>
      <c r="F1163" s="7"/>
      <c r="G1163" s="7" t="s">
        <v>312</v>
      </c>
      <c r="H1163" s="7" t="s">
        <v>313</v>
      </c>
      <c r="I1163" s="10"/>
      <c r="J1163" s="11"/>
      <c r="K1163" s="12"/>
      <c r="L1163" s="12"/>
      <c r="M1163" s="10"/>
      <c r="N1163" s="10"/>
      <c r="O1163" s="10"/>
      <c r="P1163" s="10"/>
      <c r="Q1163" s="10"/>
      <c r="R1163" s="10"/>
      <c r="S1163" s="10"/>
      <c r="T1163" s="10"/>
      <c r="U1163" s="10"/>
      <c r="V1163" s="10"/>
      <c r="W1163" s="10"/>
      <c r="X1163" s="10"/>
      <c r="Y1163" s="10"/>
      <c r="Z1163" s="10"/>
      <c r="AA1163" s="10"/>
      <c r="AB1163" s="10"/>
      <c r="AC1163" s="10"/>
      <c r="AD1163" s="10"/>
      <c r="AE1163" s="10"/>
      <c r="AF1163" s="10"/>
    </row>
    <row r="1164">
      <c r="A1164" s="7"/>
      <c r="B1164" s="8">
        <v>104.0</v>
      </c>
      <c r="C1164" s="8">
        <v>25.0</v>
      </c>
      <c r="D1164" s="8" t="s">
        <v>1706</v>
      </c>
      <c r="E1164" s="7">
        <v>0.0</v>
      </c>
      <c r="F1164" s="7"/>
      <c r="G1164" s="7" t="s">
        <v>312</v>
      </c>
      <c r="H1164" s="7" t="s">
        <v>313</v>
      </c>
      <c r="I1164" s="10"/>
      <c r="J1164" s="11"/>
      <c r="K1164" s="12"/>
      <c r="L1164" s="12"/>
      <c r="M1164" s="10"/>
      <c r="N1164" s="10"/>
      <c r="O1164" s="10"/>
      <c r="P1164" s="10"/>
      <c r="Q1164" s="10"/>
      <c r="R1164" s="10"/>
      <c r="S1164" s="10"/>
      <c r="T1164" s="10"/>
      <c r="U1164" s="10"/>
      <c r="V1164" s="10"/>
      <c r="W1164" s="10"/>
      <c r="X1164" s="10"/>
      <c r="Y1164" s="10"/>
      <c r="Z1164" s="10"/>
      <c r="AA1164" s="10"/>
      <c r="AB1164" s="10"/>
      <c r="AC1164" s="10"/>
      <c r="AD1164" s="10"/>
      <c r="AE1164" s="10"/>
      <c r="AF1164" s="10"/>
    </row>
    <row r="1165">
      <c r="A1165" s="7"/>
      <c r="B1165" s="8">
        <v>104.0</v>
      </c>
      <c r="C1165" s="8">
        <v>26.0</v>
      </c>
      <c r="D1165" s="8" t="s">
        <v>1707</v>
      </c>
      <c r="E1165" s="7">
        <v>0.0</v>
      </c>
      <c r="F1165" s="7"/>
      <c r="G1165" s="7" t="s">
        <v>312</v>
      </c>
      <c r="H1165" s="7" t="s">
        <v>313</v>
      </c>
      <c r="I1165" s="10"/>
      <c r="J1165" s="11"/>
      <c r="K1165" s="12"/>
      <c r="L1165" s="12"/>
      <c r="M1165" s="10"/>
      <c r="N1165" s="10"/>
      <c r="O1165" s="10"/>
      <c r="P1165" s="10"/>
      <c r="Q1165" s="10"/>
      <c r="R1165" s="10"/>
      <c r="S1165" s="10"/>
      <c r="T1165" s="10"/>
      <c r="U1165" s="10"/>
      <c r="V1165" s="10"/>
      <c r="W1165" s="10"/>
      <c r="X1165" s="10"/>
      <c r="Y1165" s="10"/>
      <c r="Z1165" s="10"/>
      <c r="AA1165" s="10"/>
      <c r="AB1165" s="10"/>
      <c r="AC1165" s="10"/>
      <c r="AD1165" s="10"/>
      <c r="AE1165" s="10"/>
      <c r="AF1165" s="10"/>
    </row>
    <row r="1166">
      <c r="A1166" s="7"/>
      <c r="B1166" s="8">
        <v>104.0</v>
      </c>
      <c r="C1166" s="8">
        <v>27.0</v>
      </c>
      <c r="D1166" s="8" t="s">
        <v>1708</v>
      </c>
      <c r="E1166" s="7">
        <v>0.0</v>
      </c>
      <c r="F1166" s="7"/>
      <c r="G1166" s="7" t="s">
        <v>312</v>
      </c>
      <c r="H1166" s="7" t="s">
        <v>313</v>
      </c>
      <c r="I1166" s="10"/>
      <c r="J1166" s="11"/>
      <c r="K1166" s="12"/>
      <c r="L1166" s="12"/>
      <c r="M1166" s="10"/>
      <c r="N1166" s="10"/>
      <c r="O1166" s="10"/>
      <c r="P1166" s="10"/>
      <c r="Q1166" s="10"/>
      <c r="R1166" s="10"/>
      <c r="S1166" s="10"/>
      <c r="T1166" s="10"/>
      <c r="U1166" s="10"/>
      <c r="V1166" s="10"/>
      <c r="W1166" s="10"/>
      <c r="X1166" s="10"/>
      <c r="Y1166" s="10"/>
      <c r="Z1166" s="10"/>
      <c r="AA1166" s="10"/>
      <c r="AB1166" s="10"/>
      <c r="AC1166" s="10"/>
      <c r="AD1166" s="10"/>
      <c r="AE1166" s="10"/>
      <c r="AF1166" s="10"/>
    </row>
    <row r="1167">
      <c r="A1167" s="7"/>
      <c r="B1167" s="8">
        <v>104.0</v>
      </c>
      <c r="C1167" s="8">
        <v>28.0</v>
      </c>
      <c r="D1167" s="8" t="s">
        <v>1709</v>
      </c>
      <c r="E1167" s="7">
        <v>0.0</v>
      </c>
      <c r="F1167" s="7"/>
      <c r="G1167" s="7" t="s">
        <v>312</v>
      </c>
      <c r="H1167" s="7" t="s">
        <v>313</v>
      </c>
      <c r="I1167" s="10"/>
      <c r="J1167" s="11"/>
      <c r="K1167" s="12"/>
      <c r="L1167" s="12"/>
      <c r="M1167" s="10"/>
      <c r="N1167" s="10"/>
      <c r="O1167" s="10"/>
      <c r="P1167" s="10"/>
      <c r="Q1167" s="10"/>
      <c r="R1167" s="10"/>
      <c r="S1167" s="10"/>
      <c r="T1167" s="10"/>
      <c r="U1167" s="10"/>
      <c r="V1167" s="10"/>
      <c r="W1167" s="10"/>
      <c r="X1167" s="10"/>
      <c r="Y1167" s="10"/>
      <c r="Z1167" s="10"/>
      <c r="AA1167" s="10"/>
      <c r="AB1167" s="10"/>
      <c r="AC1167" s="10"/>
      <c r="AD1167" s="10"/>
      <c r="AE1167" s="10"/>
      <c r="AF1167" s="10"/>
    </row>
    <row r="1168">
      <c r="A1168" s="7"/>
      <c r="B1168" s="8">
        <v>104.0</v>
      </c>
      <c r="C1168" s="8">
        <v>29.0</v>
      </c>
      <c r="D1168" s="8" t="s">
        <v>1710</v>
      </c>
      <c r="E1168" s="7">
        <v>0.0</v>
      </c>
      <c r="F1168" s="7"/>
      <c r="G1168" s="7" t="s">
        <v>312</v>
      </c>
      <c r="H1168" s="7" t="s">
        <v>313</v>
      </c>
      <c r="I1168" s="10"/>
      <c r="J1168" s="11"/>
      <c r="K1168" s="12"/>
      <c r="L1168" s="12"/>
      <c r="M1168" s="10"/>
      <c r="N1168" s="10"/>
      <c r="O1168" s="10"/>
      <c r="P1168" s="10"/>
      <c r="Q1168" s="10"/>
      <c r="R1168" s="10"/>
      <c r="S1168" s="10"/>
      <c r="T1168" s="10"/>
      <c r="U1168" s="10"/>
      <c r="V1168" s="10"/>
      <c r="W1168" s="10"/>
      <c r="X1168" s="10"/>
      <c r="Y1168" s="10"/>
      <c r="Z1168" s="10"/>
      <c r="AA1168" s="10"/>
      <c r="AB1168" s="10"/>
      <c r="AC1168" s="10"/>
      <c r="AD1168" s="10"/>
      <c r="AE1168" s="10"/>
      <c r="AF1168" s="10"/>
    </row>
    <row r="1169">
      <c r="A1169" s="7"/>
      <c r="B1169" s="8">
        <v>104.0</v>
      </c>
      <c r="C1169" s="8">
        <v>30.0</v>
      </c>
      <c r="D1169" s="8" t="s">
        <v>1711</v>
      </c>
      <c r="E1169" s="7">
        <v>0.0</v>
      </c>
      <c r="F1169" s="7"/>
      <c r="G1169" s="7" t="s">
        <v>312</v>
      </c>
      <c r="H1169" s="7" t="s">
        <v>313</v>
      </c>
      <c r="I1169" s="10"/>
      <c r="J1169" s="11"/>
      <c r="K1169" s="12"/>
      <c r="L1169" s="12"/>
      <c r="M1169" s="10"/>
      <c r="N1169" s="10"/>
      <c r="O1169" s="10"/>
      <c r="P1169" s="10"/>
      <c r="Q1169" s="10"/>
      <c r="R1169" s="10"/>
      <c r="S1169" s="10"/>
      <c r="T1169" s="10"/>
      <c r="U1169" s="10"/>
      <c r="V1169" s="10"/>
      <c r="W1169" s="10"/>
      <c r="X1169" s="10"/>
      <c r="Y1169" s="10"/>
      <c r="Z1169" s="10"/>
      <c r="AA1169" s="10"/>
      <c r="AB1169" s="10"/>
      <c r="AC1169" s="10"/>
      <c r="AD1169" s="10"/>
      <c r="AE1169" s="10"/>
      <c r="AF1169" s="10"/>
    </row>
    <row r="1170">
      <c r="A1170" s="7"/>
      <c r="B1170" s="8">
        <v>104.0</v>
      </c>
      <c r="C1170" s="8">
        <v>31.0</v>
      </c>
      <c r="D1170" s="8" t="s">
        <v>1712</v>
      </c>
      <c r="E1170" s="7">
        <v>0.0</v>
      </c>
      <c r="F1170" s="7"/>
      <c r="G1170" s="7" t="s">
        <v>312</v>
      </c>
      <c r="H1170" s="7" t="s">
        <v>313</v>
      </c>
      <c r="I1170" s="10"/>
      <c r="J1170" s="11"/>
      <c r="K1170" s="12"/>
      <c r="L1170" s="12"/>
      <c r="M1170" s="10"/>
      <c r="N1170" s="10"/>
      <c r="O1170" s="10"/>
      <c r="P1170" s="10"/>
      <c r="Q1170" s="10"/>
      <c r="R1170" s="10"/>
      <c r="S1170" s="10"/>
      <c r="T1170" s="10"/>
      <c r="U1170" s="10"/>
      <c r="V1170" s="10"/>
      <c r="W1170" s="10"/>
      <c r="X1170" s="10"/>
      <c r="Y1170" s="10"/>
      <c r="Z1170" s="10"/>
      <c r="AA1170" s="10"/>
      <c r="AB1170" s="10"/>
      <c r="AC1170" s="10"/>
      <c r="AD1170" s="10"/>
      <c r="AE1170" s="10"/>
      <c r="AF1170" s="10"/>
    </row>
    <row r="1171">
      <c r="A1171" s="7"/>
      <c r="B1171" s="8">
        <v>104.0</v>
      </c>
      <c r="C1171" s="8">
        <v>32.0</v>
      </c>
      <c r="D1171" s="8" t="s">
        <v>1713</v>
      </c>
      <c r="E1171" s="7">
        <v>0.0</v>
      </c>
      <c r="F1171" s="7"/>
      <c r="G1171" s="7" t="s">
        <v>312</v>
      </c>
      <c r="H1171" s="7" t="s">
        <v>313</v>
      </c>
      <c r="I1171" s="10"/>
      <c r="J1171" s="11"/>
      <c r="K1171" s="12"/>
      <c r="L1171" s="12"/>
      <c r="M1171" s="10"/>
      <c r="N1171" s="10"/>
      <c r="O1171" s="10"/>
      <c r="P1171" s="10"/>
      <c r="Q1171" s="10"/>
      <c r="R1171" s="10"/>
      <c r="S1171" s="10"/>
      <c r="T1171" s="10"/>
      <c r="U1171" s="10"/>
      <c r="V1171" s="10"/>
      <c r="W1171" s="10"/>
      <c r="X1171" s="10"/>
      <c r="Y1171" s="10"/>
      <c r="Z1171" s="10"/>
      <c r="AA1171" s="10"/>
      <c r="AB1171" s="10"/>
      <c r="AC1171" s="10"/>
      <c r="AD1171" s="10"/>
      <c r="AE1171" s="10"/>
      <c r="AF1171" s="10"/>
    </row>
    <row r="1172">
      <c r="A1172" s="7"/>
      <c r="B1172" s="8">
        <v>104.0</v>
      </c>
      <c r="C1172" s="8">
        <v>33.0</v>
      </c>
      <c r="D1172" s="8" t="s">
        <v>1714</v>
      </c>
      <c r="E1172" s="7">
        <v>0.0</v>
      </c>
      <c r="F1172" s="7"/>
      <c r="G1172" s="7" t="s">
        <v>312</v>
      </c>
      <c r="H1172" s="7" t="s">
        <v>313</v>
      </c>
      <c r="I1172" s="10"/>
      <c r="J1172" s="11"/>
      <c r="K1172" s="12"/>
      <c r="L1172" s="12"/>
      <c r="M1172" s="10"/>
      <c r="N1172" s="10"/>
      <c r="O1172" s="10"/>
      <c r="P1172" s="10"/>
      <c r="Q1172" s="10"/>
      <c r="R1172" s="10"/>
      <c r="S1172" s="10"/>
      <c r="T1172" s="10"/>
      <c r="U1172" s="10"/>
      <c r="V1172" s="10"/>
      <c r="W1172" s="10"/>
      <c r="X1172" s="10"/>
      <c r="Y1172" s="10"/>
      <c r="Z1172" s="10"/>
      <c r="AA1172" s="10"/>
      <c r="AB1172" s="10"/>
      <c r="AC1172" s="10"/>
      <c r="AD1172" s="10"/>
      <c r="AE1172" s="10"/>
      <c r="AF1172" s="10"/>
    </row>
    <row r="1173">
      <c r="A1173" s="7"/>
      <c r="B1173" s="8">
        <v>104.0</v>
      </c>
      <c r="C1173" s="8">
        <v>34.0</v>
      </c>
      <c r="D1173" s="8" t="s">
        <v>1715</v>
      </c>
      <c r="E1173" s="7">
        <v>0.0</v>
      </c>
      <c r="F1173" s="7"/>
      <c r="G1173" s="7" t="s">
        <v>312</v>
      </c>
      <c r="H1173" s="7" t="s">
        <v>313</v>
      </c>
      <c r="I1173" s="10"/>
      <c r="J1173" s="11"/>
      <c r="K1173" s="12"/>
      <c r="L1173" s="12"/>
      <c r="M1173" s="10"/>
      <c r="N1173" s="10"/>
      <c r="O1173" s="10"/>
      <c r="P1173" s="10"/>
      <c r="Q1173" s="10"/>
      <c r="R1173" s="10"/>
      <c r="S1173" s="10"/>
      <c r="T1173" s="10"/>
      <c r="U1173" s="10"/>
      <c r="V1173" s="10"/>
      <c r="W1173" s="10"/>
      <c r="X1173" s="10"/>
      <c r="Y1173" s="10"/>
      <c r="Z1173" s="10"/>
      <c r="AA1173" s="10"/>
      <c r="AB1173" s="10"/>
      <c r="AC1173" s="10"/>
      <c r="AD1173" s="10"/>
      <c r="AE1173" s="10"/>
      <c r="AF1173" s="10"/>
    </row>
    <row r="1174">
      <c r="A1174" s="7"/>
      <c r="B1174" s="8">
        <v>104.0</v>
      </c>
      <c r="C1174" s="8">
        <v>35.0</v>
      </c>
      <c r="D1174" s="8" t="s">
        <v>1716</v>
      </c>
      <c r="E1174" s="7">
        <v>2.0</v>
      </c>
      <c r="F1174" s="7" t="s">
        <v>320</v>
      </c>
      <c r="G1174" s="7" t="s">
        <v>312</v>
      </c>
      <c r="H1174" s="7" t="s">
        <v>313</v>
      </c>
      <c r="I1174" s="10"/>
      <c r="J1174" s="11"/>
      <c r="K1174" s="8" t="s">
        <v>1579</v>
      </c>
      <c r="L1174" s="12"/>
      <c r="M1174" s="10"/>
      <c r="N1174" s="10"/>
      <c r="O1174" s="10"/>
      <c r="P1174" s="10"/>
      <c r="Q1174" s="10"/>
      <c r="R1174" s="10"/>
      <c r="S1174" s="10"/>
      <c r="T1174" s="10"/>
      <c r="U1174" s="10"/>
      <c r="V1174" s="10"/>
      <c r="W1174" s="10"/>
      <c r="X1174" s="10"/>
      <c r="Y1174" s="10"/>
      <c r="Z1174" s="10"/>
      <c r="AA1174" s="10"/>
      <c r="AB1174" s="10"/>
      <c r="AC1174" s="10"/>
      <c r="AD1174" s="10"/>
      <c r="AE1174" s="10"/>
      <c r="AF1174" s="10"/>
    </row>
    <row r="1175">
      <c r="A1175" s="7"/>
      <c r="B1175" s="8">
        <v>104.0</v>
      </c>
      <c r="C1175" s="8">
        <v>36.0</v>
      </c>
      <c r="D1175" s="8" t="s">
        <v>1717</v>
      </c>
      <c r="E1175" s="7">
        <v>2.0</v>
      </c>
      <c r="F1175" s="7" t="s">
        <v>320</v>
      </c>
      <c r="G1175" s="7" t="s">
        <v>312</v>
      </c>
      <c r="H1175" s="7" t="s">
        <v>313</v>
      </c>
      <c r="I1175" s="10"/>
      <c r="J1175" s="11"/>
      <c r="K1175" s="8" t="s">
        <v>1579</v>
      </c>
      <c r="L1175" s="12"/>
      <c r="M1175" s="10"/>
      <c r="N1175" s="10"/>
      <c r="O1175" s="10"/>
      <c r="P1175" s="10"/>
      <c r="Q1175" s="10"/>
      <c r="R1175" s="10"/>
      <c r="S1175" s="10"/>
      <c r="T1175" s="10"/>
      <c r="U1175" s="10"/>
      <c r="V1175" s="10"/>
      <c r="W1175" s="10"/>
      <c r="X1175" s="10"/>
      <c r="Y1175" s="10"/>
      <c r="Z1175" s="10"/>
      <c r="AA1175" s="10"/>
      <c r="AB1175" s="10"/>
      <c r="AC1175" s="10"/>
      <c r="AD1175" s="10"/>
      <c r="AE1175" s="10"/>
      <c r="AF1175" s="10"/>
    </row>
    <row r="1176">
      <c r="A1176" s="7"/>
      <c r="B1176" s="8">
        <v>104.0</v>
      </c>
      <c r="C1176" s="8">
        <v>37.0</v>
      </c>
      <c r="D1176" s="8" t="s">
        <v>1718</v>
      </c>
      <c r="E1176" s="7">
        <v>2.0</v>
      </c>
      <c r="F1176" s="7" t="s">
        <v>320</v>
      </c>
      <c r="G1176" s="7" t="s">
        <v>312</v>
      </c>
      <c r="H1176" s="7" t="s">
        <v>313</v>
      </c>
      <c r="I1176" s="10"/>
      <c r="J1176" s="11"/>
      <c r="K1176" s="8" t="s">
        <v>1579</v>
      </c>
      <c r="L1176" s="12"/>
      <c r="M1176" s="10"/>
      <c r="N1176" s="10"/>
      <c r="O1176" s="10"/>
      <c r="P1176" s="10"/>
      <c r="Q1176" s="10"/>
      <c r="R1176" s="10"/>
      <c r="S1176" s="10"/>
      <c r="T1176" s="10"/>
      <c r="U1176" s="10"/>
      <c r="V1176" s="10"/>
      <c r="W1176" s="10"/>
      <c r="X1176" s="10"/>
      <c r="Y1176" s="10"/>
      <c r="Z1176" s="10"/>
      <c r="AA1176" s="10"/>
      <c r="AB1176" s="10"/>
      <c r="AC1176" s="10"/>
      <c r="AD1176" s="10"/>
      <c r="AE1176" s="10"/>
      <c r="AF1176" s="10"/>
    </row>
    <row r="1177">
      <c r="A1177" s="7"/>
      <c r="B1177" s="8">
        <v>104.0</v>
      </c>
      <c r="C1177" s="8">
        <v>38.0</v>
      </c>
      <c r="D1177" s="8" t="s">
        <v>1719</v>
      </c>
      <c r="E1177" s="7">
        <v>2.0</v>
      </c>
      <c r="F1177" s="7" t="s">
        <v>320</v>
      </c>
      <c r="G1177" s="7" t="s">
        <v>312</v>
      </c>
      <c r="H1177" s="7" t="s">
        <v>313</v>
      </c>
      <c r="I1177" s="10"/>
      <c r="J1177" s="11"/>
      <c r="K1177" s="8" t="s">
        <v>1579</v>
      </c>
      <c r="L1177" s="12"/>
      <c r="M1177" s="10"/>
      <c r="N1177" s="10"/>
      <c r="O1177" s="10"/>
      <c r="P1177" s="10"/>
      <c r="Q1177" s="10"/>
      <c r="R1177" s="10"/>
      <c r="S1177" s="10"/>
      <c r="T1177" s="10"/>
      <c r="U1177" s="10"/>
      <c r="V1177" s="10"/>
      <c r="W1177" s="10"/>
      <c r="X1177" s="10"/>
      <c r="Y1177" s="10"/>
      <c r="Z1177" s="10"/>
      <c r="AA1177" s="10"/>
      <c r="AB1177" s="10"/>
      <c r="AC1177" s="10"/>
      <c r="AD1177" s="10"/>
      <c r="AE1177" s="10"/>
      <c r="AF1177" s="10"/>
    </row>
    <row r="1178">
      <c r="A1178" s="7"/>
      <c r="B1178" s="8">
        <v>104.0</v>
      </c>
      <c r="C1178" s="8">
        <v>39.0</v>
      </c>
      <c r="D1178" s="8" t="s">
        <v>1720</v>
      </c>
      <c r="E1178" s="7">
        <v>0.0</v>
      </c>
      <c r="F1178" s="7"/>
      <c r="G1178" s="7" t="s">
        <v>312</v>
      </c>
      <c r="H1178" s="7" t="s">
        <v>313</v>
      </c>
      <c r="I1178" s="10"/>
      <c r="J1178" s="11"/>
      <c r="K1178" s="12"/>
      <c r="L1178" s="12"/>
      <c r="M1178" s="10"/>
      <c r="N1178" s="10"/>
      <c r="O1178" s="10"/>
      <c r="P1178" s="10"/>
      <c r="Q1178" s="10"/>
      <c r="R1178" s="10"/>
      <c r="S1178" s="10"/>
      <c r="T1178" s="10"/>
      <c r="U1178" s="10"/>
      <c r="V1178" s="10"/>
      <c r="W1178" s="10"/>
      <c r="X1178" s="10"/>
      <c r="Y1178" s="10"/>
      <c r="Z1178" s="10"/>
      <c r="AA1178" s="10"/>
      <c r="AB1178" s="10"/>
      <c r="AC1178" s="10"/>
      <c r="AD1178" s="10"/>
      <c r="AE1178" s="10"/>
      <c r="AF1178" s="10"/>
    </row>
    <row r="1179">
      <c r="A1179" s="7"/>
      <c r="B1179" s="8">
        <v>104.0</v>
      </c>
      <c r="C1179" s="8">
        <v>40.0</v>
      </c>
      <c r="D1179" s="8" t="s">
        <v>1721</v>
      </c>
      <c r="E1179" s="7">
        <v>0.0</v>
      </c>
      <c r="F1179" s="7"/>
      <c r="G1179" s="7" t="s">
        <v>312</v>
      </c>
      <c r="H1179" s="7" t="s">
        <v>313</v>
      </c>
      <c r="I1179" s="10"/>
      <c r="J1179" s="11"/>
      <c r="K1179" s="12"/>
      <c r="L1179" s="12"/>
      <c r="M1179" s="10"/>
      <c r="N1179" s="10"/>
      <c r="O1179" s="10"/>
      <c r="P1179" s="10"/>
      <c r="Q1179" s="10"/>
      <c r="R1179" s="10"/>
      <c r="S1179" s="10"/>
      <c r="T1179" s="10"/>
      <c r="U1179" s="10"/>
      <c r="V1179" s="10"/>
      <c r="W1179" s="10"/>
      <c r="X1179" s="10"/>
      <c r="Y1179" s="10"/>
      <c r="Z1179" s="10"/>
      <c r="AA1179" s="10"/>
      <c r="AB1179" s="10"/>
      <c r="AC1179" s="10"/>
      <c r="AD1179" s="10"/>
      <c r="AE1179" s="10"/>
      <c r="AF1179" s="10"/>
    </row>
    <row r="1180">
      <c r="A1180" s="7"/>
      <c r="B1180" s="8">
        <v>104.0</v>
      </c>
      <c r="C1180" s="8">
        <v>41.0</v>
      </c>
      <c r="D1180" s="8" t="s">
        <v>1722</v>
      </c>
      <c r="E1180" s="7">
        <v>0.0</v>
      </c>
      <c r="F1180" s="7"/>
      <c r="G1180" s="7" t="s">
        <v>312</v>
      </c>
      <c r="H1180" s="7" t="s">
        <v>313</v>
      </c>
      <c r="I1180" s="10"/>
      <c r="J1180" s="11"/>
      <c r="K1180" s="12"/>
      <c r="L1180" s="12"/>
      <c r="M1180" s="10"/>
      <c r="N1180" s="10"/>
      <c r="O1180" s="10"/>
      <c r="P1180" s="10"/>
      <c r="Q1180" s="10"/>
      <c r="R1180" s="10"/>
      <c r="S1180" s="10"/>
      <c r="T1180" s="10"/>
      <c r="U1180" s="10"/>
      <c r="V1180" s="10"/>
      <c r="W1180" s="10"/>
      <c r="X1180" s="10"/>
      <c r="Y1180" s="10"/>
      <c r="Z1180" s="10"/>
      <c r="AA1180" s="10"/>
      <c r="AB1180" s="10"/>
      <c r="AC1180" s="10"/>
      <c r="AD1180" s="10"/>
      <c r="AE1180" s="10"/>
      <c r="AF1180" s="10"/>
    </row>
    <row r="1181">
      <c r="A1181" s="7"/>
      <c r="B1181" s="8">
        <v>104.0</v>
      </c>
      <c r="C1181" s="8">
        <v>42.0</v>
      </c>
      <c r="D1181" s="8" t="s">
        <v>1723</v>
      </c>
      <c r="E1181" s="7">
        <v>0.0</v>
      </c>
      <c r="F1181" s="7"/>
      <c r="G1181" s="7" t="s">
        <v>312</v>
      </c>
      <c r="H1181" s="7" t="s">
        <v>313</v>
      </c>
      <c r="I1181" s="10"/>
      <c r="J1181" s="11"/>
      <c r="K1181" s="12"/>
      <c r="L1181" s="12"/>
      <c r="M1181" s="10"/>
      <c r="N1181" s="10"/>
      <c r="O1181" s="10"/>
      <c r="P1181" s="10"/>
      <c r="Q1181" s="10"/>
      <c r="R1181" s="10"/>
      <c r="S1181" s="10"/>
      <c r="T1181" s="10"/>
      <c r="U1181" s="10"/>
      <c r="V1181" s="10"/>
      <c r="W1181" s="10"/>
      <c r="X1181" s="10"/>
      <c r="Y1181" s="10"/>
      <c r="Z1181" s="10"/>
      <c r="AA1181" s="10"/>
      <c r="AB1181" s="10"/>
      <c r="AC1181" s="10"/>
      <c r="AD1181" s="10"/>
      <c r="AE1181" s="10"/>
      <c r="AF1181" s="10"/>
    </row>
    <row r="1182">
      <c r="A1182" s="7"/>
      <c r="B1182" s="8">
        <v>104.0</v>
      </c>
      <c r="C1182" s="8">
        <v>43.0</v>
      </c>
      <c r="D1182" s="8" t="s">
        <v>1724</v>
      </c>
      <c r="E1182" s="7">
        <v>0.0</v>
      </c>
      <c r="F1182" s="7"/>
      <c r="G1182" s="7" t="s">
        <v>312</v>
      </c>
      <c r="H1182" s="7" t="s">
        <v>313</v>
      </c>
      <c r="I1182" s="10"/>
      <c r="J1182" s="11"/>
      <c r="K1182" s="12"/>
      <c r="L1182" s="12"/>
      <c r="M1182" s="10"/>
      <c r="N1182" s="10"/>
      <c r="O1182" s="10"/>
      <c r="P1182" s="10"/>
      <c r="Q1182" s="10"/>
      <c r="R1182" s="10"/>
      <c r="S1182" s="10"/>
      <c r="T1182" s="10"/>
      <c r="U1182" s="10"/>
      <c r="V1182" s="10"/>
      <c r="W1182" s="10"/>
      <c r="X1182" s="10"/>
      <c r="Y1182" s="10"/>
      <c r="Z1182" s="10"/>
      <c r="AA1182" s="10"/>
      <c r="AB1182" s="10"/>
      <c r="AC1182" s="10"/>
      <c r="AD1182" s="10"/>
      <c r="AE1182" s="10"/>
      <c r="AF1182" s="10"/>
    </row>
    <row r="1183">
      <c r="A1183" s="7"/>
      <c r="B1183" s="8">
        <v>104.0</v>
      </c>
      <c r="C1183" s="8">
        <v>44.0</v>
      </c>
      <c r="D1183" s="8" t="s">
        <v>1725</v>
      </c>
      <c r="E1183" s="7">
        <v>0.0</v>
      </c>
      <c r="F1183" s="7"/>
      <c r="G1183" s="7" t="s">
        <v>312</v>
      </c>
      <c r="H1183" s="7" t="s">
        <v>313</v>
      </c>
      <c r="I1183" s="10"/>
      <c r="J1183" s="11"/>
      <c r="K1183" s="12"/>
      <c r="L1183" s="12"/>
      <c r="M1183" s="10"/>
      <c r="N1183" s="10"/>
      <c r="O1183" s="10"/>
      <c r="P1183" s="10"/>
      <c r="Q1183" s="10"/>
      <c r="R1183" s="10"/>
      <c r="S1183" s="10"/>
      <c r="T1183" s="10"/>
      <c r="U1183" s="10"/>
      <c r="V1183" s="10"/>
      <c r="W1183" s="10"/>
      <c r="X1183" s="10"/>
      <c r="Y1183" s="10"/>
      <c r="Z1183" s="10"/>
      <c r="AA1183" s="10"/>
      <c r="AB1183" s="10"/>
      <c r="AC1183" s="10"/>
      <c r="AD1183" s="10"/>
      <c r="AE1183" s="10"/>
      <c r="AF1183" s="10"/>
    </row>
    <row r="1184">
      <c r="A1184" s="7"/>
      <c r="B1184" s="8">
        <v>104.0</v>
      </c>
      <c r="C1184" s="8">
        <v>45.0</v>
      </c>
      <c r="D1184" s="8" t="s">
        <v>1726</v>
      </c>
      <c r="E1184" s="7">
        <v>0.0</v>
      </c>
      <c r="F1184" s="7"/>
      <c r="G1184" s="7" t="s">
        <v>312</v>
      </c>
      <c r="H1184" s="7" t="s">
        <v>313</v>
      </c>
      <c r="I1184" s="10"/>
      <c r="J1184" s="11"/>
      <c r="K1184" s="12"/>
      <c r="L1184" s="12"/>
      <c r="M1184" s="10"/>
      <c r="N1184" s="10"/>
      <c r="O1184" s="10"/>
      <c r="P1184" s="10"/>
      <c r="Q1184" s="10"/>
      <c r="R1184" s="10"/>
      <c r="S1184" s="10"/>
      <c r="T1184" s="10"/>
      <c r="U1184" s="10"/>
      <c r="V1184" s="10"/>
      <c r="W1184" s="10"/>
      <c r="X1184" s="10"/>
      <c r="Y1184" s="10"/>
      <c r="Z1184" s="10"/>
      <c r="AA1184" s="10"/>
      <c r="AB1184" s="10"/>
      <c r="AC1184" s="10"/>
      <c r="AD1184" s="10"/>
      <c r="AE1184" s="10"/>
      <c r="AF1184" s="10"/>
    </row>
    <row r="1185">
      <c r="A1185" s="7"/>
      <c r="B1185" s="8">
        <v>104.0</v>
      </c>
      <c r="C1185" s="8">
        <v>46.0</v>
      </c>
      <c r="D1185" s="8" t="s">
        <v>1727</v>
      </c>
      <c r="E1185" s="7">
        <v>0.0</v>
      </c>
      <c r="F1185" s="7"/>
      <c r="G1185" s="7" t="s">
        <v>312</v>
      </c>
      <c r="H1185" s="7" t="s">
        <v>313</v>
      </c>
      <c r="I1185" s="10"/>
      <c r="J1185" s="11"/>
      <c r="K1185" s="12"/>
      <c r="L1185" s="12"/>
      <c r="M1185" s="10"/>
      <c r="N1185" s="10"/>
      <c r="O1185" s="10"/>
      <c r="P1185" s="10"/>
      <c r="Q1185" s="10"/>
      <c r="R1185" s="10"/>
      <c r="S1185" s="10"/>
      <c r="T1185" s="10"/>
      <c r="U1185" s="10"/>
      <c r="V1185" s="10"/>
      <c r="W1185" s="10"/>
      <c r="X1185" s="10"/>
      <c r="Y1185" s="10"/>
      <c r="Z1185" s="10"/>
      <c r="AA1185" s="10"/>
      <c r="AB1185" s="10"/>
      <c r="AC1185" s="10"/>
      <c r="AD1185" s="10"/>
      <c r="AE1185" s="10"/>
      <c r="AF1185" s="10"/>
    </row>
    <row r="1186">
      <c r="A1186" s="7"/>
      <c r="B1186" s="8">
        <v>104.0</v>
      </c>
      <c r="C1186" s="8">
        <v>47.0</v>
      </c>
      <c r="D1186" s="8" t="s">
        <v>1728</v>
      </c>
      <c r="E1186" s="7">
        <v>0.0</v>
      </c>
      <c r="F1186" s="7"/>
      <c r="G1186" s="7" t="s">
        <v>312</v>
      </c>
      <c r="H1186" s="7" t="s">
        <v>313</v>
      </c>
      <c r="I1186" s="10"/>
      <c r="J1186" s="11"/>
      <c r="K1186" s="12"/>
      <c r="L1186" s="12"/>
      <c r="M1186" s="10"/>
      <c r="N1186" s="10"/>
      <c r="O1186" s="10"/>
      <c r="P1186" s="10"/>
      <c r="Q1186" s="10"/>
      <c r="R1186" s="10"/>
      <c r="S1186" s="10"/>
      <c r="T1186" s="10"/>
      <c r="U1186" s="10"/>
      <c r="V1186" s="10"/>
      <c r="W1186" s="10"/>
      <c r="X1186" s="10"/>
      <c r="Y1186" s="10"/>
      <c r="Z1186" s="10"/>
      <c r="AA1186" s="10"/>
      <c r="AB1186" s="10"/>
      <c r="AC1186" s="10"/>
      <c r="AD1186" s="10"/>
      <c r="AE1186" s="10"/>
      <c r="AF1186" s="10"/>
    </row>
    <row r="1187">
      <c r="A1187" s="7"/>
      <c r="B1187" s="8">
        <v>104.0</v>
      </c>
      <c r="C1187" s="8">
        <v>48.0</v>
      </c>
      <c r="D1187" s="8" t="s">
        <v>1729</v>
      </c>
      <c r="E1187" s="7">
        <v>0.0</v>
      </c>
      <c r="F1187" s="7"/>
      <c r="G1187" s="7" t="s">
        <v>312</v>
      </c>
      <c r="H1187" s="7" t="s">
        <v>313</v>
      </c>
      <c r="I1187" s="10"/>
      <c r="J1187" s="11"/>
      <c r="K1187" s="12"/>
      <c r="L1187" s="12"/>
      <c r="M1187" s="10"/>
      <c r="N1187" s="10"/>
      <c r="O1187" s="10"/>
      <c r="P1187" s="10"/>
      <c r="Q1187" s="10"/>
      <c r="R1187" s="10"/>
      <c r="S1187" s="10"/>
      <c r="T1187" s="10"/>
      <c r="U1187" s="10"/>
      <c r="V1187" s="10"/>
      <c r="W1187" s="10"/>
      <c r="X1187" s="10"/>
      <c r="Y1187" s="10"/>
      <c r="Z1187" s="10"/>
      <c r="AA1187" s="10"/>
      <c r="AB1187" s="10"/>
      <c r="AC1187" s="10"/>
      <c r="AD1187" s="10"/>
      <c r="AE1187" s="10"/>
      <c r="AF1187" s="10"/>
    </row>
    <row r="1188">
      <c r="A1188" s="7"/>
      <c r="B1188" s="8">
        <v>104.0</v>
      </c>
      <c r="C1188" s="8">
        <v>49.0</v>
      </c>
      <c r="D1188" s="8" t="s">
        <v>1730</v>
      </c>
      <c r="E1188" s="7">
        <v>0.0</v>
      </c>
      <c r="F1188" s="7"/>
      <c r="G1188" s="7" t="s">
        <v>312</v>
      </c>
      <c r="H1188" s="7" t="s">
        <v>313</v>
      </c>
      <c r="I1188" s="10"/>
      <c r="J1188" s="11"/>
      <c r="K1188" s="12"/>
      <c r="L1188" s="12"/>
      <c r="M1188" s="10"/>
      <c r="N1188" s="10"/>
      <c r="O1188" s="10"/>
      <c r="P1188" s="10"/>
      <c r="Q1188" s="10"/>
      <c r="R1188" s="10"/>
      <c r="S1188" s="10"/>
      <c r="T1188" s="10"/>
      <c r="U1188" s="10"/>
      <c r="V1188" s="10"/>
      <c r="W1188" s="10"/>
      <c r="X1188" s="10"/>
      <c r="Y1188" s="10"/>
      <c r="Z1188" s="10"/>
      <c r="AA1188" s="10"/>
      <c r="AB1188" s="10"/>
      <c r="AC1188" s="10"/>
      <c r="AD1188" s="10"/>
      <c r="AE1188" s="10"/>
      <c r="AF1188" s="10"/>
    </row>
    <row r="1189">
      <c r="A1189" s="7"/>
      <c r="B1189" s="8">
        <v>104.0</v>
      </c>
      <c r="C1189" s="8">
        <v>50.0</v>
      </c>
      <c r="D1189" s="8" t="s">
        <v>1731</v>
      </c>
      <c r="E1189" s="7">
        <v>0.0</v>
      </c>
      <c r="F1189" s="7"/>
      <c r="G1189" s="7" t="s">
        <v>312</v>
      </c>
      <c r="H1189" s="7" t="s">
        <v>313</v>
      </c>
      <c r="I1189" s="10"/>
      <c r="J1189" s="11"/>
      <c r="K1189" s="12"/>
      <c r="L1189" s="12"/>
      <c r="M1189" s="10"/>
      <c r="N1189" s="10"/>
      <c r="O1189" s="10"/>
      <c r="P1189" s="10"/>
      <c r="Q1189" s="10"/>
      <c r="R1189" s="10"/>
      <c r="S1189" s="10"/>
      <c r="T1189" s="10"/>
      <c r="U1189" s="10"/>
      <c r="V1189" s="10"/>
      <c r="W1189" s="10"/>
      <c r="X1189" s="10"/>
      <c r="Y1189" s="10"/>
      <c r="Z1189" s="10"/>
      <c r="AA1189" s="10"/>
      <c r="AB1189" s="10"/>
      <c r="AC1189" s="10"/>
      <c r="AD1189" s="10"/>
      <c r="AE1189" s="10"/>
      <c r="AF1189" s="10"/>
    </row>
    <row r="1190">
      <c r="A1190" s="7"/>
      <c r="B1190" s="8">
        <v>104.0</v>
      </c>
      <c r="C1190" s="8">
        <v>51.0</v>
      </c>
      <c r="D1190" s="8" t="s">
        <v>1732</v>
      </c>
      <c r="E1190" s="7">
        <v>0.0</v>
      </c>
      <c r="F1190" s="7"/>
      <c r="G1190" s="7" t="s">
        <v>312</v>
      </c>
      <c r="H1190" s="7" t="s">
        <v>313</v>
      </c>
      <c r="I1190" s="10"/>
      <c r="J1190" s="11"/>
      <c r="K1190" s="12"/>
      <c r="L1190" s="12"/>
      <c r="M1190" s="10"/>
      <c r="N1190" s="10"/>
      <c r="O1190" s="10"/>
      <c r="P1190" s="10"/>
      <c r="Q1190" s="10"/>
      <c r="R1190" s="10"/>
      <c r="S1190" s="10"/>
      <c r="T1190" s="10"/>
      <c r="U1190" s="10"/>
      <c r="V1190" s="10"/>
      <c r="W1190" s="10"/>
      <c r="X1190" s="10"/>
      <c r="Y1190" s="10"/>
      <c r="Z1190" s="10"/>
      <c r="AA1190" s="10"/>
      <c r="AB1190" s="10"/>
      <c r="AC1190" s="10"/>
      <c r="AD1190" s="10"/>
      <c r="AE1190" s="10"/>
      <c r="AF1190" s="10"/>
    </row>
    <row r="1191">
      <c r="A1191" s="7"/>
      <c r="B1191" s="8">
        <v>104.0</v>
      </c>
      <c r="C1191" s="8">
        <v>52.0</v>
      </c>
      <c r="D1191" s="8" t="s">
        <v>1733</v>
      </c>
      <c r="E1191" s="7">
        <v>0.0</v>
      </c>
      <c r="F1191" s="7"/>
      <c r="G1191" s="7" t="s">
        <v>312</v>
      </c>
      <c r="H1191" s="7" t="s">
        <v>313</v>
      </c>
      <c r="I1191" s="10"/>
      <c r="J1191" s="11"/>
      <c r="K1191" s="12"/>
      <c r="L1191" s="12"/>
      <c r="M1191" s="10"/>
      <c r="N1191" s="10"/>
      <c r="O1191" s="10"/>
      <c r="P1191" s="10"/>
      <c r="Q1191" s="10"/>
      <c r="R1191" s="10"/>
      <c r="S1191" s="10"/>
      <c r="T1191" s="10"/>
      <c r="U1191" s="10"/>
      <c r="V1191" s="10"/>
      <c r="W1191" s="10"/>
      <c r="X1191" s="10"/>
      <c r="Y1191" s="10"/>
      <c r="Z1191" s="10"/>
      <c r="AA1191" s="10"/>
      <c r="AB1191" s="10"/>
      <c r="AC1191" s="10"/>
      <c r="AD1191" s="10"/>
      <c r="AE1191" s="10"/>
      <c r="AF1191" s="10"/>
    </row>
    <row r="1192">
      <c r="A1192" s="7"/>
      <c r="B1192" s="8">
        <v>104.0</v>
      </c>
      <c r="C1192" s="8">
        <v>53.0</v>
      </c>
      <c r="D1192" s="8" t="s">
        <v>1734</v>
      </c>
      <c r="E1192" s="7">
        <v>0.0</v>
      </c>
      <c r="F1192" s="7"/>
      <c r="G1192" s="7" t="s">
        <v>312</v>
      </c>
      <c r="H1192" s="7" t="s">
        <v>313</v>
      </c>
      <c r="I1192" s="10"/>
      <c r="J1192" s="11"/>
      <c r="K1192" s="12"/>
      <c r="L1192" s="12"/>
      <c r="M1192" s="10"/>
      <c r="N1192" s="10"/>
      <c r="O1192" s="10"/>
      <c r="P1192" s="10"/>
      <c r="Q1192" s="10"/>
      <c r="R1192" s="10"/>
      <c r="S1192" s="10"/>
      <c r="T1192" s="10"/>
      <c r="U1192" s="10"/>
      <c r="V1192" s="10"/>
      <c r="W1192" s="10"/>
      <c r="X1192" s="10"/>
      <c r="Y1192" s="10"/>
      <c r="Z1192" s="10"/>
      <c r="AA1192" s="10"/>
      <c r="AB1192" s="10"/>
      <c r="AC1192" s="10"/>
      <c r="AD1192" s="10"/>
      <c r="AE1192" s="10"/>
      <c r="AF1192" s="10"/>
    </row>
    <row r="1193">
      <c r="A1193" s="7"/>
      <c r="B1193" s="8">
        <v>104.0</v>
      </c>
      <c r="C1193" s="8">
        <v>54.0</v>
      </c>
      <c r="D1193" s="8" t="s">
        <v>1735</v>
      </c>
      <c r="E1193" s="7">
        <v>0.0</v>
      </c>
      <c r="F1193" s="7"/>
      <c r="G1193" s="7" t="s">
        <v>312</v>
      </c>
      <c r="H1193" s="7" t="s">
        <v>313</v>
      </c>
      <c r="I1193" s="10"/>
      <c r="J1193" s="11"/>
      <c r="K1193" s="12"/>
      <c r="L1193" s="12"/>
      <c r="M1193" s="10"/>
      <c r="N1193" s="10"/>
      <c r="O1193" s="10"/>
      <c r="P1193" s="10"/>
      <c r="Q1193" s="10"/>
      <c r="R1193" s="10"/>
      <c r="S1193" s="10"/>
      <c r="T1193" s="10"/>
      <c r="U1193" s="10"/>
      <c r="V1193" s="10"/>
      <c r="W1193" s="10"/>
      <c r="X1193" s="10"/>
      <c r="Y1193" s="10"/>
      <c r="Z1193" s="10"/>
      <c r="AA1193" s="10"/>
      <c r="AB1193" s="10"/>
      <c r="AC1193" s="10"/>
      <c r="AD1193" s="10"/>
      <c r="AE1193" s="10"/>
      <c r="AF1193" s="10"/>
    </row>
    <row r="1194">
      <c r="A1194" s="7"/>
      <c r="B1194" s="8">
        <v>104.0</v>
      </c>
      <c r="C1194" s="8">
        <v>55.0</v>
      </c>
      <c r="D1194" s="8" t="s">
        <v>1736</v>
      </c>
      <c r="E1194" s="7">
        <v>2.0</v>
      </c>
      <c r="F1194" s="7" t="s">
        <v>320</v>
      </c>
      <c r="G1194" s="7" t="s">
        <v>312</v>
      </c>
      <c r="H1194" s="7" t="s">
        <v>313</v>
      </c>
      <c r="I1194" s="10"/>
      <c r="J1194" s="9" t="s">
        <v>1579</v>
      </c>
      <c r="K1194" s="12"/>
      <c r="L1194" s="12"/>
      <c r="M1194" s="10"/>
      <c r="N1194" s="10"/>
      <c r="O1194" s="10"/>
      <c r="P1194" s="10"/>
      <c r="Q1194" s="10"/>
      <c r="R1194" s="10"/>
      <c r="S1194" s="10"/>
      <c r="T1194" s="10"/>
      <c r="U1194" s="10"/>
      <c r="V1194" s="10"/>
      <c r="W1194" s="10"/>
      <c r="X1194" s="10"/>
      <c r="Y1194" s="10"/>
      <c r="Z1194" s="10"/>
      <c r="AA1194" s="10"/>
      <c r="AB1194" s="10"/>
      <c r="AC1194" s="10"/>
      <c r="AD1194" s="10"/>
      <c r="AE1194" s="10"/>
      <c r="AF1194" s="10"/>
    </row>
    <row r="1195">
      <c r="A1195" s="10"/>
      <c r="B1195" s="12"/>
      <c r="C1195" s="12"/>
      <c r="D1195" s="12"/>
      <c r="E1195" s="10"/>
      <c r="F1195" s="10"/>
      <c r="G1195" s="10"/>
      <c r="H1195" s="10"/>
      <c r="I1195" s="10"/>
      <c r="J1195" s="11"/>
      <c r="K1195" s="12"/>
      <c r="L1195" s="12"/>
      <c r="M1195" s="10"/>
      <c r="N1195" s="10"/>
      <c r="O1195" s="10"/>
      <c r="P1195" s="10"/>
      <c r="Q1195" s="10"/>
      <c r="R1195" s="10"/>
      <c r="S1195" s="10"/>
      <c r="T1195" s="10"/>
      <c r="U1195" s="10"/>
      <c r="V1195" s="10"/>
      <c r="W1195" s="10"/>
      <c r="X1195" s="10"/>
      <c r="Y1195" s="10"/>
      <c r="Z1195" s="10"/>
      <c r="AA1195" s="10"/>
      <c r="AB1195" s="10"/>
      <c r="AC1195" s="10"/>
      <c r="AD1195" s="10"/>
      <c r="AE1195" s="10"/>
      <c r="AF1195" s="10"/>
    </row>
    <row r="1196">
      <c r="A1196" s="7"/>
      <c r="B1196" s="8">
        <v>105.0</v>
      </c>
      <c r="C1196" s="8">
        <v>1.0</v>
      </c>
      <c r="D1196" s="8" t="s">
        <v>1737</v>
      </c>
      <c r="E1196" s="7">
        <v>2.0</v>
      </c>
      <c r="F1196" s="7" t="s">
        <v>320</v>
      </c>
      <c r="G1196" s="7" t="s">
        <v>312</v>
      </c>
      <c r="H1196" s="7" t="s">
        <v>313</v>
      </c>
      <c r="I1196" s="7" t="s">
        <v>366</v>
      </c>
      <c r="J1196" s="9" t="s">
        <v>1738</v>
      </c>
      <c r="K1196" s="8" t="s">
        <v>1664</v>
      </c>
      <c r="L1196" s="12"/>
      <c r="M1196" s="10"/>
      <c r="N1196" s="10"/>
      <c r="O1196" s="10"/>
      <c r="P1196" s="10"/>
      <c r="Q1196" s="10"/>
      <c r="R1196" s="10"/>
      <c r="S1196" s="10"/>
      <c r="T1196" s="10"/>
      <c r="U1196" s="10"/>
      <c r="V1196" s="10"/>
      <c r="W1196" s="10"/>
      <c r="X1196" s="10"/>
      <c r="Y1196" s="10"/>
      <c r="Z1196" s="10"/>
      <c r="AA1196" s="10"/>
      <c r="AB1196" s="10"/>
      <c r="AC1196" s="10"/>
      <c r="AD1196" s="10"/>
      <c r="AE1196" s="10"/>
      <c r="AF1196" s="10"/>
    </row>
    <row r="1197">
      <c r="A1197" s="7"/>
      <c r="B1197" s="8">
        <v>105.0</v>
      </c>
      <c r="C1197" s="8">
        <v>2.0</v>
      </c>
      <c r="D1197" s="8" t="s">
        <v>1739</v>
      </c>
      <c r="E1197" s="7">
        <v>2.0</v>
      </c>
      <c r="F1197" s="7" t="s">
        <v>320</v>
      </c>
      <c r="G1197" s="7" t="s">
        <v>312</v>
      </c>
      <c r="H1197" s="7" t="s">
        <v>313</v>
      </c>
      <c r="I1197" s="7" t="s">
        <v>366</v>
      </c>
      <c r="J1197" s="23" t="s">
        <v>1740</v>
      </c>
      <c r="K1197" s="12"/>
      <c r="L1197" s="12"/>
      <c r="M1197" s="10"/>
      <c r="N1197" s="10"/>
      <c r="O1197" s="10"/>
      <c r="P1197" s="10"/>
      <c r="Q1197" s="10"/>
      <c r="R1197" s="10"/>
      <c r="S1197" s="10"/>
      <c r="T1197" s="10"/>
      <c r="U1197" s="10"/>
      <c r="V1197" s="10"/>
      <c r="W1197" s="10"/>
      <c r="X1197" s="10"/>
      <c r="Y1197" s="10"/>
      <c r="Z1197" s="10"/>
      <c r="AA1197" s="10"/>
      <c r="AB1197" s="10"/>
      <c r="AC1197" s="10"/>
      <c r="AD1197" s="10"/>
      <c r="AE1197" s="10"/>
      <c r="AF1197" s="10"/>
    </row>
    <row r="1198">
      <c r="A1198" s="7"/>
      <c r="B1198" s="8">
        <v>105.0</v>
      </c>
      <c r="C1198" s="8">
        <v>3.0</v>
      </c>
      <c r="D1198" s="8" t="s">
        <v>1741</v>
      </c>
      <c r="E1198" s="7">
        <v>0.0</v>
      </c>
      <c r="F1198" s="7"/>
      <c r="G1198" s="7" t="s">
        <v>312</v>
      </c>
      <c r="H1198" s="7" t="s">
        <v>313</v>
      </c>
      <c r="I1198" s="10"/>
      <c r="J1198" s="9" t="s">
        <v>1742</v>
      </c>
      <c r="K1198" s="12"/>
      <c r="L1198" s="12"/>
      <c r="M1198" s="10"/>
      <c r="N1198" s="10"/>
      <c r="O1198" s="10"/>
      <c r="P1198" s="10"/>
      <c r="Q1198" s="10"/>
      <c r="R1198" s="10"/>
      <c r="S1198" s="10"/>
      <c r="T1198" s="10"/>
      <c r="U1198" s="10"/>
      <c r="V1198" s="10"/>
      <c r="W1198" s="10"/>
      <c r="X1198" s="10"/>
      <c r="Y1198" s="10"/>
      <c r="Z1198" s="10"/>
      <c r="AA1198" s="10"/>
      <c r="AB1198" s="10"/>
      <c r="AC1198" s="10"/>
      <c r="AD1198" s="10"/>
      <c r="AE1198" s="10"/>
      <c r="AF1198" s="10"/>
    </row>
    <row r="1199">
      <c r="A1199" s="7"/>
      <c r="B1199" s="8">
        <v>105.0</v>
      </c>
      <c r="C1199" s="8">
        <v>4.0</v>
      </c>
      <c r="D1199" s="8" t="s">
        <v>1743</v>
      </c>
      <c r="E1199" s="7">
        <v>0.0</v>
      </c>
      <c r="F1199" s="7"/>
      <c r="G1199" s="7" t="s">
        <v>312</v>
      </c>
      <c r="H1199" s="7" t="s">
        <v>313</v>
      </c>
      <c r="I1199" s="10"/>
      <c r="J1199" s="9" t="s">
        <v>1744</v>
      </c>
      <c r="K1199" s="12"/>
      <c r="L1199" s="12"/>
      <c r="M1199" s="10"/>
      <c r="N1199" s="10"/>
      <c r="O1199" s="10"/>
      <c r="P1199" s="10"/>
      <c r="Q1199" s="10"/>
      <c r="R1199" s="10"/>
      <c r="S1199" s="10"/>
      <c r="T1199" s="10"/>
      <c r="U1199" s="10"/>
      <c r="V1199" s="10"/>
      <c r="W1199" s="10"/>
      <c r="X1199" s="10"/>
      <c r="Y1199" s="10"/>
      <c r="Z1199" s="10"/>
      <c r="AA1199" s="10"/>
      <c r="AB1199" s="10"/>
      <c r="AC1199" s="10"/>
      <c r="AD1199" s="10"/>
      <c r="AE1199" s="10"/>
      <c r="AF1199" s="10"/>
    </row>
    <row r="1200">
      <c r="A1200" s="7"/>
      <c r="B1200" s="8">
        <v>105.0</v>
      </c>
      <c r="C1200" s="8">
        <v>5.0</v>
      </c>
      <c r="D1200" s="8" t="s">
        <v>1745</v>
      </c>
      <c r="E1200" s="7">
        <v>0.0</v>
      </c>
      <c r="F1200" s="7"/>
      <c r="G1200" s="7" t="s">
        <v>312</v>
      </c>
      <c r="H1200" s="7" t="s">
        <v>313</v>
      </c>
      <c r="I1200" s="10"/>
      <c r="J1200" s="11"/>
      <c r="K1200" s="12"/>
      <c r="L1200" s="12"/>
      <c r="M1200" s="10"/>
      <c r="N1200" s="10"/>
      <c r="O1200" s="10"/>
      <c r="P1200" s="10"/>
      <c r="Q1200" s="10"/>
      <c r="R1200" s="10"/>
      <c r="S1200" s="10"/>
      <c r="T1200" s="10"/>
      <c r="U1200" s="10"/>
      <c r="V1200" s="10"/>
      <c r="W1200" s="10"/>
      <c r="X1200" s="10"/>
      <c r="Y1200" s="10"/>
      <c r="Z1200" s="10"/>
      <c r="AA1200" s="10"/>
      <c r="AB1200" s="10"/>
      <c r="AC1200" s="10"/>
      <c r="AD1200" s="10"/>
      <c r="AE1200" s="10"/>
      <c r="AF1200" s="10"/>
    </row>
    <row r="1201">
      <c r="A1201" s="7"/>
      <c r="B1201" s="8">
        <v>105.0</v>
      </c>
      <c r="C1201" s="8">
        <v>6.0</v>
      </c>
      <c r="D1201" s="8" t="s">
        <v>1746</v>
      </c>
      <c r="E1201" s="7">
        <v>0.0</v>
      </c>
      <c r="F1201" s="7"/>
      <c r="G1201" s="7" t="s">
        <v>312</v>
      </c>
      <c r="H1201" s="7" t="s">
        <v>313</v>
      </c>
      <c r="I1201" s="10"/>
      <c r="J1201" s="11"/>
      <c r="K1201" s="12"/>
      <c r="L1201" s="12"/>
      <c r="M1201" s="10"/>
      <c r="N1201" s="10"/>
      <c r="O1201" s="10"/>
      <c r="P1201" s="10"/>
      <c r="Q1201" s="10"/>
      <c r="R1201" s="10"/>
      <c r="S1201" s="10"/>
      <c r="T1201" s="10"/>
      <c r="U1201" s="10"/>
      <c r="V1201" s="10"/>
      <c r="W1201" s="10"/>
      <c r="X1201" s="10"/>
      <c r="Y1201" s="10"/>
      <c r="Z1201" s="10"/>
      <c r="AA1201" s="10"/>
      <c r="AB1201" s="10"/>
      <c r="AC1201" s="10"/>
      <c r="AD1201" s="10"/>
      <c r="AE1201" s="10"/>
      <c r="AF1201" s="10"/>
    </row>
    <row r="1202">
      <c r="A1202" s="7"/>
      <c r="B1202" s="8">
        <v>105.0</v>
      </c>
      <c r="C1202" s="8">
        <v>7.0</v>
      </c>
      <c r="D1202" s="8" t="s">
        <v>1747</v>
      </c>
      <c r="E1202" s="7">
        <v>0.0</v>
      </c>
      <c r="F1202" s="7"/>
      <c r="G1202" s="7" t="s">
        <v>312</v>
      </c>
      <c r="H1202" s="7" t="s">
        <v>313</v>
      </c>
      <c r="I1202" s="10"/>
      <c r="J1202" s="11"/>
      <c r="K1202" s="12"/>
      <c r="L1202" s="12"/>
      <c r="M1202" s="10"/>
      <c r="N1202" s="10"/>
      <c r="O1202" s="10"/>
      <c r="P1202" s="10"/>
      <c r="Q1202" s="10"/>
      <c r="R1202" s="10"/>
      <c r="S1202" s="10"/>
      <c r="T1202" s="10"/>
      <c r="U1202" s="10"/>
      <c r="V1202" s="10"/>
      <c r="W1202" s="10"/>
      <c r="X1202" s="10"/>
      <c r="Y1202" s="10"/>
      <c r="Z1202" s="10"/>
      <c r="AA1202" s="10"/>
      <c r="AB1202" s="10"/>
      <c r="AC1202" s="10"/>
      <c r="AD1202" s="10"/>
      <c r="AE1202" s="10"/>
      <c r="AF1202" s="10"/>
    </row>
    <row r="1203">
      <c r="A1203" s="7"/>
      <c r="B1203" s="8">
        <v>105.0</v>
      </c>
      <c r="C1203" s="8">
        <v>8.0</v>
      </c>
      <c r="D1203" s="8" t="s">
        <v>1748</v>
      </c>
      <c r="E1203" s="7">
        <v>2.0</v>
      </c>
      <c r="F1203" s="7" t="s">
        <v>320</v>
      </c>
      <c r="G1203" s="7" t="s">
        <v>312</v>
      </c>
      <c r="H1203" s="7" t="s">
        <v>313</v>
      </c>
      <c r="I1203" s="7" t="s">
        <v>366</v>
      </c>
      <c r="J1203" s="23" t="s">
        <v>1749</v>
      </c>
      <c r="K1203" s="12"/>
      <c r="L1203" s="12"/>
      <c r="M1203" s="10"/>
      <c r="N1203" s="10"/>
      <c r="O1203" s="10"/>
      <c r="P1203" s="10"/>
      <c r="Q1203" s="10"/>
      <c r="R1203" s="10"/>
      <c r="S1203" s="10"/>
      <c r="T1203" s="10"/>
      <c r="U1203" s="10"/>
      <c r="V1203" s="10"/>
      <c r="W1203" s="10"/>
      <c r="X1203" s="10"/>
      <c r="Y1203" s="10"/>
      <c r="Z1203" s="10"/>
      <c r="AA1203" s="10"/>
      <c r="AB1203" s="10"/>
      <c r="AC1203" s="10"/>
      <c r="AD1203" s="10"/>
      <c r="AE1203" s="10"/>
      <c r="AF1203" s="10"/>
    </row>
    <row r="1204">
      <c r="A1204" s="7"/>
      <c r="B1204" s="8">
        <v>105.0</v>
      </c>
      <c r="C1204" s="8">
        <v>9.0</v>
      </c>
      <c r="D1204" s="8" t="s">
        <v>1750</v>
      </c>
      <c r="E1204" s="7">
        <v>2.0</v>
      </c>
      <c r="F1204" s="7" t="s">
        <v>320</v>
      </c>
      <c r="G1204" s="7" t="s">
        <v>312</v>
      </c>
      <c r="H1204" s="7" t="s">
        <v>313</v>
      </c>
      <c r="I1204" s="7" t="s">
        <v>366</v>
      </c>
      <c r="J1204" s="23" t="s">
        <v>1751</v>
      </c>
      <c r="K1204" s="12"/>
      <c r="L1204" s="12"/>
      <c r="M1204" s="10"/>
      <c r="N1204" s="10"/>
      <c r="O1204" s="10"/>
      <c r="P1204" s="10"/>
      <c r="Q1204" s="10"/>
      <c r="R1204" s="10"/>
      <c r="S1204" s="10"/>
      <c r="T1204" s="10"/>
      <c r="U1204" s="10"/>
      <c r="V1204" s="10"/>
      <c r="W1204" s="10"/>
      <c r="X1204" s="10"/>
      <c r="Y1204" s="10"/>
      <c r="Z1204" s="10"/>
      <c r="AA1204" s="10"/>
      <c r="AB1204" s="10"/>
      <c r="AC1204" s="10"/>
      <c r="AD1204" s="10"/>
      <c r="AE1204" s="10"/>
      <c r="AF1204" s="10"/>
    </row>
    <row r="1205">
      <c r="A1205" s="7"/>
      <c r="B1205" s="8">
        <v>105.0</v>
      </c>
      <c r="C1205" s="8">
        <v>10.0</v>
      </c>
      <c r="D1205" s="8" t="s">
        <v>1752</v>
      </c>
      <c r="E1205" s="7">
        <v>2.0</v>
      </c>
      <c r="F1205" s="7" t="s">
        <v>320</v>
      </c>
      <c r="G1205" s="7" t="s">
        <v>312</v>
      </c>
      <c r="H1205" s="7" t="s">
        <v>313</v>
      </c>
      <c r="I1205" s="7" t="s">
        <v>366</v>
      </c>
      <c r="J1205" s="23" t="s">
        <v>1751</v>
      </c>
      <c r="K1205" s="12"/>
      <c r="L1205" s="12"/>
      <c r="M1205" s="10"/>
      <c r="N1205" s="10"/>
      <c r="O1205" s="10"/>
      <c r="P1205" s="10"/>
      <c r="Q1205" s="10"/>
      <c r="R1205" s="10"/>
      <c r="S1205" s="10"/>
      <c r="T1205" s="10"/>
      <c r="U1205" s="10"/>
      <c r="V1205" s="10"/>
      <c r="W1205" s="10"/>
      <c r="X1205" s="10"/>
      <c r="Y1205" s="10"/>
      <c r="Z1205" s="10"/>
      <c r="AA1205" s="10"/>
      <c r="AB1205" s="10"/>
      <c r="AC1205" s="10"/>
      <c r="AD1205" s="10"/>
      <c r="AE1205" s="10"/>
      <c r="AF1205" s="10"/>
    </row>
    <row r="1206">
      <c r="A1206" s="7"/>
      <c r="B1206" s="8">
        <v>105.0</v>
      </c>
      <c r="C1206" s="8">
        <v>11.0</v>
      </c>
      <c r="D1206" s="8" t="s">
        <v>1753</v>
      </c>
      <c r="E1206" s="7">
        <v>2.0</v>
      </c>
      <c r="F1206" s="7" t="s">
        <v>320</v>
      </c>
      <c r="G1206" s="7" t="s">
        <v>312</v>
      </c>
      <c r="H1206" s="7" t="s">
        <v>313</v>
      </c>
      <c r="I1206" s="7" t="s">
        <v>366</v>
      </c>
      <c r="J1206" s="23" t="s">
        <v>1751</v>
      </c>
      <c r="K1206" s="12"/>
      <c r="L1206" s="12"/>
      <c r="M1206" s="10"/>
      <c r="N1206" s="10"/>
      <c r="O1206" s="10"/>
      <c r="P1206" s="10"/>
      <c r="Q1206" s="10"/>
      <c r="R1206" s="10"/>
      <c r="S1206" s="10"/>
      <c r="T1206" s="10"/>
      <c r="U1206" s="10"/>
      <c r="V1206" s="10"/>
      <c r="W1206" s="10"/>
      <c r="X1206" s="10"/>
      <c r="Y1206" s="10"/>
      <c r="Z1206" s="10"/>
      <c r="AA1206" s="10"/>
      <c r="AB1206" s="10"/>
      <c r="AC1206" s="10"/>
      <c r="AD1206" s="10"/>
      <c r="AE1206" s="10"/>
      <c r="AF1206" s="10"/>
    </row>
    <row r="1207">
      <c r="A1207" s="7"/>
      <c r="B1207" s="8">
        <v>105.0</v>
      </c>
      <c r="C1207" s="8">
        <v>12.0</v>
      </c>
      <c r="D1207" s="8" t="s">
        <v>1754</v>
      </c>
      <c r="E1207" s="7">
        <v>2.0</v>
      </c>
      <c r="F1207" s="7" t="s">
        <v>320</v>
      </c>
      <c r="G1207" s="7" t="s">
        <v>312</v>
      </c>
      <c r="H1207" s="7" t="s">
        <v>313</v>
      </c>
      <c r="I1207" s="7" t="s">
        <v>366</v>
      </c>
      <c r="J1207" s="11"/>
      <c r="K1207" s="8" t="s">
        <v>1664</v>
      </c>
      <c r="L1207" s="12"/>
      <c r="M1207" s="10"/>
      <c r="N1207" s="10"/>
      <c r="O1207" s="10"/>
      <c r="P1207" s="10"/>
      <c r="Q1207" s="10"/>
      <c r="R1207" s="10"/>
      <c r="S1207" s="10"/>
      <c r="T1207" s="10"/>
      <c r="U1207" s="10"/>
      <c r="V1207" s="10"/>
      <c r="W1207" s="10"/>
      <c r="X1207" s="10"/>
      <c r="Y1207" s="10"/>
      <c r="Z1207" s="10"/>
      <c r="AA1207" s="10"/>
      <c r="AB1207" s="10"/>
      <c r="AC1207" s="10"/>
      <c r="AD1207" s="10"/>
      <c r="AE1207" s="10"/>
      <c r="AF1207" s="10"/>
    </row>
    <row r="1208">
      <c r="A1208" s="7"/>
      <c r="B1208" s="8">
        <v>105.0</v>
      </c>
      <c r="C1208" s="8">
        <v>13.0</v>
      </c>
      <c r="D1208" s="8" t="s">
        <v>1755</v>
      </c>
      <c r="E1208" s="7">
        <v>2.0</v>
      </c>
      <c r="F1208" s="7" t="s">
        <v>320</v>
      </c>
      <c r="G1208" s="7" t="s">
        <v>312</v>
      </c>
      <c r="H1208" s="7" t="s">
        <v>313</v>
      </c>
      <c r="I1208" s="7" t="s">
        <v>366</v>
      </c>
      <c r="J1208" s="11"/>
      <c r="K1208" s="8" t="s">
        <v>1664</v>
      </c>
      <c r="L1208" s="12"/>
      <c r="M1208" s="10"/>
      <c r="N1208" s="10"/>
      <c r="O1208" s="10"/>
      <c r="P1208" s="10"/>
      <c r="Q1208" s="10"/>
      <c r="R1208" s="10"/>
      <c r="S1208" s="10"/>
      <c r="T1208" s="10"/>
      <c r="U1208" s="10"/>
      <c r="V1208" s="10"/>
      <c r="W1208" s="10"/>
      <c r="X1208" s="10"/>
      <c r="Y1208" s="10"/>
      <c r="Z1208" s="10"/>
      <c r="AA1208" s="10"/>
      <c r="AB1208" s="10"/>
      <c r="AC1208" s="10"/>
      <c r="AD1208" s="10"/>
      <c r="AE1208" s="10"/>
      <c r="AF1208" s="10"/>
    </row>
    <row r="1209">
      <c r="A1209" s="7"/>
      <c r="B1209" s="8">
        <v>105.0</v>
      </c>
      <c r="C1209" s="8">
        <v>14.0</v>
      </c>
      <c r="D1209" s="8" t="s">
        <v>1756</v>
      </c>
      <c r="E1209" s="7">
        <v>2.0</v>
      </c>
      <c r="F1209" s="7" t="s">
        <v>320</v>
      </c>
      <c r="G1209" s="7" t="s">
        <v>312</v>
      </c>
      <c r="H1209" s="7" t="s">
        <v>313</v>
      </c>
      <c r="I1209" s="7" t="s">
        <v>366</v>
      </c>
      <c r="J1209" s="11"/>
      <c r="K1209" s="8" t="s">
        <v>1664</v>
      </c>
      <c r="L1209" s="12"/>
      <c r="M1209" s="10"/>
      <c r="N1209" s="10"/>
      <c r="O1209" s="10"/>
      <c r="P1209" s="10"/>
      <c r="Q1209" s="10"/>
      <c r="R1209" s="10"/>
      <c r="S1209" s="10"/>
      <c r="T1209" s="10"/>
      <c r="U1209" s="10"/>
      <c r="V1209" s="10"/>
      <c r="W1209" s="10"/>
      <c r="X1209" s="10"/>
      <c r="Y1209" s="10"/>
      <c r="Z1209" s="10"/>
      <c r="AA1209" s="10"/>
      <c r="AB1209" s="10"/>
      <c r="AC1209" s="10"/>
      <c r="AD1209" s="10"/>
      <c r="AE1209" s="10"/>
      <c r="AF1209" s="10"/>
    </row>
    <row r="1210">
      <c r="A1210" s="7"/>
      <c r="B1210" s="8">
        <v>105.0</v>
      </c>
      <c r="C1210" s="8">
        <v>15.0</v>
      </c>
      <c r="D1210" s="8" t="s">
        <v>1757</v>
      </c>
      <c r="E1210" s="7">
        <v>2.0</v>
      </c>
      <c r="F1210" s="7" t="s">
        <v>320</v>
      </c>
      <c r="G1210" s="7" t="s">
        <v>312</v>
      </c>
      <c r="H1210" s="7" t="s">
        <v>313</v>
      </c>
      <c r="I1210" s="7" t="s">
        <v>366</v>
      </c>
      <c r="J1210" s="11"/>
      <c r="K1210" s="8" t="s">
        <v>1664</v>
      </c>
      <c r="L1210" s="12"/>
      <c r="M1210" s="10"/>
      <c r="N1210" s="10"/>
      <c r="O1210" s="10"/>
      <c r="P1210" s="10"/>
      <c r="Q1210" s="10"/>
      <c r="R1210" s="10"/>
      <c r="S1210" s="10"/>
      <c r="T1210" s="10"/>
      <c r="U1210" s="10"/>
      <c r="V1210" s="10"/>
      <c r="W1210" s="10"/>
      <c r="X1210" s="10"/>
      <c r="Y1210" s="10"/>
      <c r="Z1210" s="10"/>
      <c r="AA1210" s="10"/>
      <c r="AB1210" s="10"/>
      <c r="AC1210" s="10"/>
      <c r="AD1210" s="10"/>
      <c r="AE1210" s="10"/>
      <c r="AF1210" s="10"/>
    </row>
    <row r="1211">
      <c r="A1211" s="7"/>
      <c r="B1211" s="8">
        <v>105.0</v>
      </c>
      <c r="C1211" s="8">
        <v>16.0</v>
      </c>
      <c r="D1211" s="8" t="s">
        <v>1758</v>
      </c>
      <c r="E1211" s="7">
        <v>0.0</v>
      </c>
      <c r="F1211" s="7"/>
      <c r="G1211" s="7" t="s">
        <v>312</v>
      </c>
      <c r="H1211" s="7" t="s">
        <v>313</v>
      </c>
      <c r="I1211" s="10"/>
      <c r="J1211" s="11"/>
      <c r="K1211" s="12"/>
      <c r="L1211" s="12"/>
      <c r="M1211" s="10"/>
      <c r="N1211" s="10"/>
      <c r="O1211" s="10"/>
      <c r="P1211" s="10"/>
      <c r="Q1211" s="10"/>
      <c r="R1211" s="10"/>
      <c r="S1211" s="10"/>
      <c r="T1211" s="10"/>
      <c r="U1211" s="10"/>
      <c r="V1211" s="10"/>
      <c r="W1211" s="10"/>
      <c r="X1211" s="10"/>
      <c r="Y1211" s="10"/>
      <c r="Z1211" s="10"/>
      <c r="AA1211" s="10"/>
      <c r="AB1211" s="10"/>
      <c r="AC1211" s="10"/>
      <c r="AD1211" s="10"/>
      <c r="AE1211" s="10"/>
      <c r="AF1211" s="10"/>
    </row>
    <row r="1212">
      <c r="A1212" s="7"/>
      <c r="B1212" s="8">
        <v>105.0</v>
      </c>
      <c r="C1212" s="8">
        <v>17.0</v>
      </c>
      <c r="D1212" s="8" t="s">
        <v>1759</v>
      </c>
      <c r="E1212" s="7">
        <v>0.0</v>
      </c>
      <c r="F1212" s="7"/>
      <c r="G1212" s="7" t="s">
        <v>312</v>
      </c>
      <c r="H1212" s="7" t="s">
        <v>313</v>
      </c>
      <c r="I1212" s="10"/>
      <c r="J1212" s="11"/>
      <c r="K1212" s="12"/>
      <c r="L1212" s="12"/>
      <c r="M1212" s="10"/>
      <c r="N1212" s="10"/>
      <c r="O1212" s="10"/>
      <c r="P1212" s="10"/>
      <c r="Q1212" s="10"/>
      <c r="R1212" s="10"/>
      <c r="S1212" s="10"/>
      <c r="T1212" s="10"/>
      <c r="U1212" s="10"/>
      <c r="V1212" s="10"/>
      <c r="W1212" s="10"/>
      <c r="X1212" s="10"/>
      <c r="Y1212" s="10"/>
      <c r="Z1212" s="10"/>
      <c r="AA1212" s="10"/>
      <c r="AB1212" s="10"/>
      <c r="AC1212" s="10"/>
      <c r="AD1212" s="10"/>
      <c r="AE1212" s="10"/>
      <c r="AF1212" s="10"/>
    </row>
    <row r="1213">
      <c r="A1213" s="7"/>
      <c r="B1213" s="8">
        <v>105.0</v>
      </c>
      <c r="C1213" s="8">
        <v>18.0</v>
      </c>
      <c r="D1213" s="8" t="s">
        <v>1760</v>
      </c>
      <c r="E1213" s="7">
        <v>0.0</v>
      </c>
      <c r="F1213" s="7"/>
      <c r="G1213" s="7" t="s">
        <v>312</v>
      </c>
      <c r="H1213" s="7" t="s">
        <v>313</v>
      </c>
      <c r="I1213" s="10"/>
      <c r="J1213" s="11"/>
      <c r="K1213" s="12"/>
      <c r="L1213" s="12"/>
      <c r="M1213" s="10"/>
      <c r="N1213" s="10"/>
      <c r="O1213" s="10"/>
      <c r="P1213" s="10"/>
      <c r="Q1213" s="10"/>
      <c r="R1213" s="10"/>
      <c r="S1213" s="10"/>
      <c r="T1213" s="10"/>
      <c r="U1213" s="10"/>
      <c r="V1213" s="10"/>
      <c r="W1213" s="10"/>
      <c r="X1213" s="10"/>
      <c r="Y1213" s="10"/>
      <c r="Z1213" s="10"/>
      <c r="AA1213" s="10"/>
      <c r="AB1213" s="10"/>
      <c r="AC1213" s="10"/>
      <c r="AD1213" s="10"/>
      <c r="AE1213" s="10"/>
      <c r="AF1213" s="10"/>
    </row>
    <row r="1214">
      <c r="A1214" s="7"/>
      <c r="B1214" s="8">
        <v>105.0</v>
      </c>
      <c r="C1214" s="8">
        <v>19.0</v>
      </c>
      <c r="D1214" s="8" t="s">
        <v>1761</v>
      </c>
      <c r="E1214" s="7">
        <v>0.0</v>
      </c>
      <c r="F1214" s="7"/>
      <c r="G1214" s="7" t="s">
        <v>312</v>
      </c>
      <c r="H1214" s="7" t="s">
        <v>313</v>
      </c>
      <c r="I1214" s="10"/>
      <c r="J1214" s="11"/>
      <c r="K1214" s="12"/>
      <c r="L1214" s="12"/>
      <c r="M1214" s="10"/>
      <c r="N1214" s="10"/>
      <c r="O1214" s="10"/>
      <c r="P1214" s="10"/>
      <c r="Q1214" s="10"/>
      <c r="R1214" s="10"/>
      <c r="S1214" s="10"/>
      <c r="T1214" s="10"/>
      <c r="U1214" s="10"/>
      <c r="V1214" s="10"/>
      <c r="W1214" s="10"/>
      <c r="X1214" s="10"/>
      <c r="Y1214" s="10"/>
      <c r="Z1214" s="10"/>
      <c r="AA1214" s="10"/>
      <c r="AB1214" s="10"/>
      <c r="AC1214" s="10"/>
      <c r="AD1214" s="10"/>
      <c r="AE1214" s="10"/>
      <c r="AF1214" s="10"/>
    </row>
    <row r="1215">
      <c r="A1215" s="7"/>
      <c r="B1215" s="8">
        <v>105.0</v>
      </c>
      <c r="C1215" s="8">
        <v>20.0</v>
      </c>
      <c r="D1215" s="8" t="s">
        <v>1762</v>
      </c>
      <c r="E1215" s="7">
        <v>0.0</v>
      </c>
      <c r="F1215" s="7"/>
      <c r="G1215" s="7" t="s">
        <v>312</v>
      </c>
      <c r="H1215" s="7" t="s">
        <v>313</v>
      </c>
      <c r="I1215" s="10"/>
      <c r="J1215" s="11"/>
      <c r="K1215" s="12"/>
      <c r="L1215" s="12"/>
      <c r="M1215" s="10"/>
      <c r="N1215" s="10"/>
      <c r="O1215" s="10"/>
      <c r="P1215" s="10"/>
      <c r="Q1215" s="10"/>
      <c r="R1215" s="10"/>
      <c r="S1215" s="10"/>
      <c r="T1215" s="10"/>
      <c r="U1215" s="10"/>
      <c r="V1215" s="10"/>
      <c r="W1215" s="10"/>
      <c r="X1215" s="10"/>
      <c r="Y1215" s="10"/>
      <c r="Z1215" s="10"/>
      <c r="AA1215" s="10"/>
      <c r="AB1215" s="10"/>
      <c r="AC1215" s="10"/>
      <c r="AD1215" s="10"/>
      <c r="AE1215" s="10"/>
      <c r="AF1215" s="10"/>
    </row>
    <row r="1216">
      <c r="A1216" s="7"/>
      <c r="B1216" s="8">
        <v>105.0</v>
      </c>
      <c r="C1216" s="8">
        <v>21.0</v>
      </c>
      <c r="D1216" s="8" t="s">
        <v>1763</v>
      </c>
      <c r="E1216" s="7">
        <v>0.0</v>
      </c>
      <c r="F1216" s="7"/>
      <c r="G1216" s="7" t="s">
        <v>312</v>
      </c>
      <c r="H1216" s="7" t="s">
        <v>313</v>
      </c>
      <c r="I1216" s="10"/>
      <c r="J1216" s="11"/>
      <c r="K1216" s="12"/>
      <c r="L1216" s="12"/>
      <c r="M1216" s="10"/>
      <c r="N1216" s="10"/>
      <c r="O1216" s="10"/>
      <c r="P1216" s="10"/>
      <c r="Q1216" s="10"/>
      <c r="R1216" s="10"/>
      <c r="S1216" s="10"/>
      <c r="T1216" s="10"/>
      <c r="U1216" s="10"/>
      <c r="V1216" s="10"/>
      <c r="W1216" s="10"/>
      <c r="X1216" s="10"/>
      <c r="Y1216" s="10"/>
      <c r="Z1216" s="10"/>
      <c r="AA1216" s="10"/>
      <c r="AB1216" s="10"/>
      <c r="AC1216" s="10"/>
      <c r="AD1216" s="10"/>
      <c r="AE1216" s="10"/>
      <c r="AF1216" s="10"/>
    </row>
    <row r="1217">
      <c r="A1217" s="10"/>
      <c r="B1217" s="12"/>
      <c r="C1217" s="12"/>
      <c r="D1217" s="12"/>
      <c r="E1217" s="10"/>
      <c r="F1217" s="10"/>
      <c r="G1217" s="10"/>
      <c r="H1217" s="10"/>
      <c r="I1217" s="10"/>
      <c r="J1217" s="11"/>
      <c r="K1217" s="12"/>
      <c r="L1217" s="12"/>
      <c r="M1217" s="10"/>
      <c r="N1217" s="10"/>
      <c r="O1217" s="10"/>
      <c r="P1217" s="10"/>
      <c r="Q1217" s="10"/>
      <c r="R1217" s="10"/>
      <c r="S1217" s="10"/>
      <c r="T1217" s="10"/>
      <c r="U1217" s="10"/>
      <c r="V1217" s="10"/>
      <c r="W1217" s="10"/>
      <c r="X1217" s="10"/>
      <c r="Y1217" s="10"/>
      <c r="Z1217" s="10"/>
      <c r="AA1217" s="10"/>
      <c r="AB1217" s="10"/>
      <c r="AC1217" s="10"/>
      <c r="AD1217" s="10"/>
      <c r="AE1217" s="10"/>
      <c r="AF1217" s="10"/>
    </row>
    <row r="1218">
      <c r="A1218" s="7"/>
      <c r="B1218" s="8">
        <v>106.0</v>
      </c>
      <c r="C1218" s="8">
        <v>1.0</v>
      </c>
      <c r="D1218" s="8" t="s">
        <v>1764</v>
      </c>
      <c r="E1218" s="7">
        <v>0.0</v>
      </c>
      <c r="F1218" s="7"/>
      <c r="G1218" s="7" t="s">
        <v>312</v>
      </c>
      <c r="H1218" s="7" t="s">
        <v>313</v>
      </c>
      <c r="I1218" s="10"/>
      <c r="J1218" s="9" t="s">
        <v>1765</v>
      </c>
      <c r="K1218" s="12"/>
      <c r="L1218" s="12"/>
      <c r="M1218" s="10"/>
      <c r="N1218" s="10"/>
      <c r="O1218" s="10"/>
      <c r="P1218" s="10"/>
      <c r="Q1218" s="10"/>
      <c r="R1218" s="10"/>
      <c r="S1218" s="10"/>
      <c r="T1218" s="10"/>
      <c r="U1218" s="10"/>
      <c r="V1218" s="10"/>
      <c r="W1218" s="10"/>
      <c r="X1218" s="10"/>
      <c r="Y1218" s="10"/>
      <c r="Z1218" s="10"/>
      <c r="AA1218" s="10"/>
      <c r="AB1218" s="10"/>
      <c r="AC1218" s="10"/>
      <c r="AD1218" s="10"/>
      <c r="AE1218" s="10"/>
      <c r="AF1218" s="10"/>
    </row>
    <row r="1219">
      <c r="A1219" s="7"/>
      <c r="B1219" s="8">
        <v>106.0</v>
      </c>
      <c r="C1219" s="8">
        <v>2.0</v>
      </c>
      <c r="D1219" s="8" t="s">
        <v>1766</v>
      </c>
      <c r="E1219" s="7">
        <v>2.0</v>
      </c>
      <c r="F1219" s="7" t="s">
        <v>320</v>
      </c>
      <c r="G1219" s="7" t="s">
        <v>312</v>
      </c>
      <c r="H1219" s="7" t="s">
        <v>313</v>
      </c>
      <c r="I1219" s="10"/>
      <c r="J1219" s="11"/>
      <c r="K1219" s="8" t="s">
        <v>1579</v>
      </c>
      <c r="L1219" s="12"/>
      <c r="M1219" s="10"/>
      <c r="N1219" s="10"/>
      <c r="O1219" s="10"/>
      <c r="P1219" s="10"/>
      <c r="Q1219" s="10"/>
      <c r="R1219" s="10"/>
      <c r="S1219" s="10"/>
      <c r="T1219" s="10"/>
      <c r="U1219" s="10"/>
      <c r="V1219" s="10"/>
      <c r="W1219" s="10"/>
      <c r="X1219" s="10"/>
      <c r="Y1219" s="10"/>
      <c r="Z1219" s="10"/>
      <c r="AA1219" s="10"/>
      <c r="AB1219" s="10"/>
      <c r="AC1219" s="10"/>
      <c r="AD1219" s="10"/>
      <c r="AE1219" s="10"/>
      <c r="AF1219" s="10"/>
    </row>
    <row r="1220">
      <c r="A1220" s="7"/>
      <c r="B1220" s="8">
        <v>106.0</v>
      </c>
      <c r="C1220" s="8">
        <v>3.0</v>
      </c>
      <c r="D1220" s="8" t="s">
        <v>1767</v>
      </c>
      <c r="E1220" s="7">
        <v>2.0</v>
      </c>
      <c r="F1220" s="7" t="s">
        <v>320</v>
      </c>
      <c r="G1220" s="7" t="s">
        <v>312</v>
      </c>
      <c r="H1220" s="7" t="s">
        <v>313</v>
      </c>
      <c r="I1220" s="10"/>
      <c r="J1220" s="11"/>
      <c r="K1220" s="8" t="s">
        <v>1579</v>
      </c>
      <c r="L1220" s="12"/>
      <c r="M1220" s="10"/>
      <c r="N1220" s="10"/>
      <c r="O1220" s="10"/>
      <c r="P1220" s="10"/>
      <c r="Q1220" s="10"/>
      <c r="R1220" s="10"/>
      <c r="S1220" s="10"/>
      <c r="T1220" s="10"/>
      <c r="U1220" s="10"/>
      <c r="V1220" s="10"/>
      <c r="W1220" s="10"/>
      <c r="X1220" s="10"/>
      <c r="Y1220" s="10"/>
      <c r="Z1220" s="10"/>
      <c r="AA1220" s="10"/>
      <c r="AB1220" s="10"/>
      <c r="AC1220" s="10"/>
      <c r="AD1220" s="10"/>
      <c r="AE1220" s="10"/>
      <c r="AF1220" s="10"/>
    </row>
    <row r="1221">
      <c r="A1221" s="10"/>
      <c r="B1221" s="12"/>
      <c r="C1221" s="12"/>
      <c r="D1221" s="12"/>
      <c r="E1221" s="10"/>
      <c r="F1221" s="10"/>
      <c r="G1221" s="10"/>
      <c r="H1221" s="10"/>
      <c r="I1221" s="10"/>
      <c r="J1221" s="11"/>
      <c r="K1221" s="12"/>
      <c r="L1221" s="12"/>
      <c r="M1221" s="10"/>
      <c r="N1221" s="10"/>
      <c r="O1221" s="10"/>
      <c r="P1221" s="10"/>
      <c r="Q1221" s="10"/>
      <c r="R1221" s="10"/>
      <c r="S1221" s="10"/>
      <c r="T1221" s="10"/>
      <c r="U1221" s="10"/>
      <c r="V1221" s="10"/>
      <c r="W1221" s="10"/>
      <c r="X1221" s="10"/>
      <c r="Y1221" s="10"/>
      <c r="Z1221" s="10"/>
      <c r="AA1221" s="10"/>
      <c r="AB1221" s="10"/>
      <c r="AC1221" s="10"/>
      <c r="AD1221" s="10"/>
      <c r="AE1221" s="10"/>
      <c r="AF1221" s="10"/>
    </row>
    <row r="1222">
      <c r="A1222" s="7"/>
      <c r="B1222" s="8">
        <v>107.0</v>
      </c>
      <c r="C1222" s="8">
        <v>1.0</v>
      </c>
      <c r="D1222" s="8" t="s">
        <v>1768</v>
      </c>
      <c r="E1222" s="7">
        <v>2.0</v>
      </c>
      <c r="F1222" s="7" t="s">
        <v>320</v>
      </c>
      <c r="G1222" s="7" t="s">
        <v>312</v>
      </c>
      <c r="H1222" s="7" t="s">
        <v>313</v>
      </c>
      <c r="I1222" s="10"/>
      <c r="J1222" s="9" t="s">
        <v>1769</v>
      </c>
      <c r="K1222" s="8" t="s">
        <v>1579</v>
      </c>
      <c r="L1222" s="12"/>
      <c r="M1222" s="10"/>
      <c r="N1222" s="10"/>
      <c r="O1222" s="10"/>
      <c r="P1222" s="10"/>
      <c r="Q1222" s="10"/>
      <c r="R1222" s="10"/>
      <c r="S1222" s="10"/>
      <c r="T1222" s="10"/>
      <c r="U1222" s="10"/>
      <c r="V1222" s="10"/>
      <c r="W1222" s="10"/>
      <c r="X1222" s="10"/>
      <c r="Y1222" s="10"/>
      <c r="Z1222" s="10"/>
      <c r="AA1222" s="10"/>
      <c r="AB1222" s="10"/>
      <c r="AC1222" s="10"/>
      <c r="AD1222" s="10"/>
      <c r="AE1222" s="10"/>
      <c r="AF1222" s="10"/>
    </row>
    <row r="1223">
      <c r="A1223" s="7"/>
      <c r="B1223" s="8">
        <v>107.0</v>
      </c>
      <c r="C1223" s="8">
        <v>2.0</v>
      </c>
      <c r="D1223" s="8" t="s">
        <v>1770</v>
      </c>
      <c r="E1223" s="7">
        <v>2.0</v>
      </c>
      <c r="F1223" s="7" t="s">
        <v>320</v>
      </c>
      <c r="G1223" s="7" t="s">
        <v>312</v>
      </c>
      <c r="H1223" s="7" t="s">
        <v>313</v>
      </c>
      <c r="I1223" s="10"/>
      <c r="J1223" s="24"/>
      <c r="K1223" s="8" t="s">
        <v>1579</v>
      </c>
      <c r="L1223" s="12"/>
      <c r="M1223" s="10"/>
      <c r="N1223" s="10"/>
      <c r="O1223" s="10"/>
      <c r="P1223" s="10"/>
      <c r="Q1223" s="10"/>
      <c r="R1223" s="10"/>
      <c r="S1223" s="10"/>
      <c r="T1223" s="10"/>
      <c r="U1223" s="10"/>
      <c r="V1223" s="10"/>
      <c r="W1223" s="10"/>
      <c r="X1223" s="10"/>
      <c r="Y1223" s="10"/>
      <c r="Z1223" s="10"/>
      <c r="AA1223" s="10"/>
      <c r="AB1223" s="10"/>
      <c r="AC1223" s="10"/>
      <c r="AD1223" s="10"/>
      <c r="AE1223" s="10"/>
      <c r="AF1223" s="10"/>
    </row>
    <row r="1224">
      <c r="A1224" s="7"/>
      <c r="B1224" s="8">
        <v>107.0</v>
      </c>
      <c r="C1224" s="8">
        <v>3.0</v>
      </c>
      <c r="D1224" s="8" t="s">
        <v>1771</v>
      </c>
      <c r="E1224" s="7">
        <v>0.0</v>
      </c>
      <c r="F1224" s="7"/>
      <c r="G1224" s="7" t="s">
        <v>312</v>
      </c>
      <c r="H1224" s="7" t="s">
        <v>313</v>
      </c>
      <c r="I1224" s="10"/>
      <c r="J1224" s="11"/>
      <c r="K1224" s="12"/>
      <c r="L1224" s="12"/>
      <c r="M1224" s="10"/>
      <c r="N1224" s="10"/>
      <c r="O1224" s="10"/>
      <c r="P1224" s="10"/>
      <c r="Q1224" s="10"/>
      <c r="R1224" s="10"/>
      <c r="S1224" s="10"/>
      <c r="T1224" s="10"/>
      <c r="U1224" s="10"/>
      <c r="V1224" s="10"/>
      <c r="W1224" s="10"/>
      <c r="X1224" s="10"/>
      <c r="Y1224" s="10"/>
      <c r="Z1224" s="10"/>
      <c r="AA1224" s="10"/>
      <c r="AB1224" s="10"/>
      <c r="AC1224" s="10"/>
      <c r="AD1224" s="10"/>
      <c r="AE1224" s="10"/>
      <c r="AF1224" s="10"/>
    </row>
    <row r="1225">
      <c r="A1225" s="7"/>
      <c r="B1225" s="8">
        <v>107.0</v>
      </c>
      <c r="C1225" s="8">
        <v>4.0</v>
      </c>
      <c r="D1225" s="8" t="s">
        <v>1772</v>
      </c>
      <c r="E1225" s="7">
        <v>0.0</v>
      </c>
      <c r="F1225" s="7"/>
      <c r="G1225" s="7" t="s">
        <v>312</v>
      </c>
      <c r="H1225" s="7" t="s">
        <v>313</v>
      </c>
      <c r="I1225" s="10"/>
      <c r="J1225" s="11"/>
      <c r="K1225" s="12"/>
      <c r="L1225" s="12"/>
      <c r="M1225" s="10"/>
      <c r="N1225" s="10"/>
      <c r="O1225" s="10"/>
      <c r="P1225" s="10"/>
      <c r="Q1225" s="10"/>
      <c r="R1225" s="10"/>
      <c r="S1225" s="10"/>
      <c r="T1225" s="10"/>
      <c r="U1225" s="10"/>
      <c r="V1225" s="10"/>
      <c r="W1225" s="10"/>
      <c r="X1225" s="10"/>
      <c r="Y1225" s="10"/>
      <c r="Z1225" s="10"/>
      <c r="AA1225" s="10"/>
      <c r="AB1225" s="10"/>
      <c r="AC1225" s="10"/>
      <c r="AD1225" s="10"/>
      <c r="AE1225" s="10"/>
      <c r="AF1225" s="10"/>
    </row>
    <row r="1226">
      <c r="A1226" s="7"/>
      <c r="B1226" s="8">
        <v>107.0</v>
      </c>
      <c r="C1226" s="8">
        <v>5.0</v>
      </c>
      <c r="D1226" s="8" t="s">
        <v>1773</v>
      </c>
      <c r="E1226" s="7">
        <v>0.0</v>
      </c>
      <c r="F1226" s="7"/>
      <c r="G1226" s="7" t="s">
        <v>312</v>
      </c>
      <c r="H1226" s="7" t="s">
        <v>313</v>
      </c>
      <c r="I1226" s="10"/>
      <c r="J1226" s="11"/>
      <c r="K1226" s="12"/>
      <c r="L1226" s="12"/>
      <c r="M1226" s="10"/>
      <c r="N1226" s="10"/>
      <c r="O1226" s="10"/>
      <c r="P1226" s="10"/>
      <c r="Q1226" s="10"/>
      <c r="R1226" s="10"/>
      <c r="S1226" s="10"/>
      <c r="T1226" s="10"/>
      <c r="U1226" s="10"/>
      <c r="V1226" s="10"/>
      <c r="W1226" s="10"/>
      <c r="X1226" s="10"/>
      <c r="Y1226" s="10"/>
      <c r="Z1226" s="10"/>
      <c r="AA1226" s="10"/>
      <c r="AB1226" s="10"/>
      <c r="AC1226" s="10"/>
      <c r="AD1226" s="10"/>
      <c r="AE1226" s="10"/>
      <c r="AF1226" s="10"/>
    </row>
    <row r="1227">
      <c r="A1227" s="7"/>
      <c r="B1227" s="8">
        <v>107.0</v>
      </c>
      <c r="C1227" s="8">
        <v>6.0</v>
      </c>
      <c r="D1227" s="8" t="s">
        <v>1774</v>
      </c>
      <c r="E1227" s="7">
        <v>0.0</v>
      </c>
      <c r="F1227" s="7"/>
      <c r="G1227" s="7" t="s">
        <v>312</v>
      </c>
      <c r="H1227" s="7" t="s">
        <v>313</v>
      </c>
      <c r="I1227" s="10"/>
      <c r="J1227" s="11"/>
      <c r="K1227" s="12"/>
      <c r="L1227" s="12"/>
      <c r="M1227" s="10"/>
      <c r="N1227" s="10"/>
      <c r="O1227" s="10"/>
      <c r="P1227" s="10"/>
      <c r="Q1227" s="10"/>
      <c r="R1227" s="10"/>
      <c r="S1227" s="10"/>
      <c r="T1227" s="10"/>
      <c r="U1227" s="10"/>
      <c r="V1227" s="10"/>
      <c r="W1227" s="10"/>
      <c r="X1227" s="10"/>
      <c r="Y1227" s="10"/>
      <c r="Z1227" s="10"/>
      <c r="AA1227" s="10"/>
      <c r="AB1227" s="10"/>
      <c r="AC1227" s="10"/>
      <c r="AD1227" s="10"/>
      <c r="AE1227" s="10"/>
      <c r="AF1227" s="10"/>
    </row>
    <row r="1228">
      <c r="A1228" s="7"/>
      <c r="B1228" s="8">
        <v>107.0</v>
      </c>
      <c r="C1228" s="8">
        <v>7.0</v>
      </c>
      <c r="D1228" s="8" t="s">
        <v>1775</v>
      </c>
      <c r="E1228" s="7">
        <v>0.0</v>
      </c>
      <c r="F1228" s="7"/>
      <c r="G1228" s="7" t="s">
        <v>312</v>
      </c>
      <c r="H1228" s="7" t="s">
        <v>313</v>
      </c>
      <c r="I1228" s="10"/>
      <c r="J1228" s="11"/>
      <c r="K1228" s="12"/>
      <c r="L1228" s="12"/>
      <c r="M1228" s="10"/>
      <c r="N1228" s="10"/>
      <c r="O1228" s="10"/>
      <c r="P1228" s="10"/>
      <c r="Q1228" s="10"/>
      <c r="R1228" s="10"/>
      <c r="S1228" s="10"/>
      <c r="T1228" s="10"/>
      <c r="U1228" s="10"/>
      <c r="V1228" s="10"/>
      <c r="W1228" s="10"/>
      <c r="X1228" s="10"/>
      <c r="Y1228" s="10"/>
      <c r="Z1228" s="10"/>
      <c r="AA1228" s="10"/>
      <c r="AB1228" s="10"/>
      <c r="AC1228" s="10"/>
      <c r="AD1228" s="10"/>
      <c r="AE1228" s="10"/>
      <c r="AF1228" s="10"/>
    </row>
    <row r="1229">
      <c r="A1229" s="7"/>
      <c r="B1229" s="8">
        <v>107.0</v>
      </c>
      <c r="C1229" s="8">
        <v>8.0</v>
      </c>
      <c r="D1229" s="8" t="s">
        <v>1776</v>
      </c>
      <c r="E1229" s="7">
        <v>0.0</v>
      </c>
      <c r="F1229" s="7"/>
      <c r="G1229" s="7" t="s">
        <v>312</v>
      </c>
      <c r="H1229" s="7" t="s">
        <v>313</v>
      </c>
      <c r="I1229" s="10"/>
      <c r="J1229" s="11"/>
      <c r="K1229" s="8" t="s">
        <v>1777</v>
      </c>
      <c r="L1229" s="12"/>
      <c r="M1229" s="10"/>
      <c r="N1229" s="10"/>
      <c r="O1229" s="10"/>
      <c r="P1229" s="10"/>
      <c r="Q1229" s="10"/>
      <c r="R1229" s="10"/>
      <c r="S1229" s="10"/>
      <c r="T1229" s="10"/>
      <c r="U1229" s="10"/>
      <c r="V1229" s="10"/>
      <c r="W1229" s="10"/>
      <c r="X1229" s="10"/>
      <c r="Y1229" s="10"/>
      <c r="Z1229" s="10"/>
      <c r="AA1229" s="10"/>
      <c r="AB1229" s="10"/>
      <c r="AC1229" s="10"/>
      <c r="AD1229" s="10"/>
      <c r="AE1229" s="10"/>
      <c r="AF1229" s="10"/>
    </row>
    <row r="1230">
      <c r="A1230" s="7"/>
      <c r="B1230" s="8">
        <v>107.0</v>
      </c>
      <c r="C1230" s="8">
        <v>9.0</v>
      </c>
      <c r="D1230" s="8" t="s">
        <v>1778</v>
      </c>
      <c r="E1230" s="7">
        <v>0.0</v>
      </c>
      <c r="F1230" s="7"/>
      <c r="G1230" s="7" t="s">
        <v>312</v>
      </c>
      <c r="H1230" s="7" t="s">
        <v>313</v>
      </c>
      <c r="I1230" s="10"/>
      <c r="J1230" s="11"/>
      <c r="K1230" s="8" t="s">
        <v>1777</v>
      </c>
      <c r="L1230" s="12"/>
      <c r="M1230" s="10"/>
      <c r="N1230" s="10"/>
      <c r="O1230" s="10"/>
      <c r="P1230" s="10"/>
      <c r="Q1230" s="10"/>
      <c r="R1230" s="10"/>
      <c r="S1230" s="10"/>
      <c r="T1230" s="10"/>
      <c r="U1230" s="10"/>
      <c r="V1230" s="10"/>
      <c r="W1230" s="10"/>
      <c r="X1230" s="10"/>
      <c r="Y1230" s="10"/>
      <c r="Z1230" s="10"/>
      <c r="AA1230" s="10"/>
      <c r="AB1230" s="10"/>
      <c r="AC1230" s="10"/>
      <c r="AD1230" s="10"/>
      <c r="AE1230" s="10"/>
      <c r="AF1230" s="10"/>
    </row>
    <row r="1231">
      <c r="A1231" s="7"/>
      <c r="B1231" s="8">
        <v>107.0</v>
      </c>
      <c r="C1231" s="8">
        <v>10.0</v>
      </c>
      <c r="D1231" s="8" t="s">
        <v>1779</v>
      </c>
      <c r="E1231" s="7">
        <v>0.0</v>
      </c>
      <c r="F1231" s="7"/>
      <c r="G1231" s="7" t="s">
        <v>312</v>
      </c>
      <c r="H1231" s="7" t="s">
        <v>313</v>
      </c>
      <c r="I1231" s="10"/>
      <c r="J1231" s="11"/>
      <c r="K1231" s="8" t="s">
        <v>1777</v>
      </c>
      <c r="L1231" s="12"/>
      <c r="M1231" s="10"/>
      <c r="N1231" s="10"/>
      <c r="O1231" s="10"/>
      <c r="P1231" s="10"/>
      <c r="Q1231" s="10"/>
      <c r="R1231" s="10"/>
      <c r="S1231" s="10"/>
      <c r="T1231" s="10"/>
      <c r="U1231" s="10"/>
      <c r="V1231" s="10"/>
      <c r="W1231" s="10"/>
      <c r="X1231" s="10"/>
      <c r="Y1231" s="10"/>
      <c r="Z1231" s="10"/>
      <c r="AA1231" s="10"/>
      <c r="AB1231" s="10"/>
      <c r="AC1231" s="10"/>
      <c r="AD1231" s="10"/>
      <c r="AE1231" s="10"/>
      <c r="AF1231" s="10"/>
    </row>
    <row r="1232">
      <c r="A1232" s="7"/>
      <c r="B1232" s="8">
        <v>107.0</v>
      </c>
      <c r="C1232" s="8">
        <v>11.0</v>
      </c>
      <c r="D1232" s="8" t="s">
        <v>1780</v>
      </c>
      <c r="E1232" s="7">
        <v>0.0</v>
      </c>
      <c r="F1232" s="7"/>
      <c r="G1232" s="7" t="s">
        <v>312</v>
      </c>
      <c r="H1232" s="7" t="s">
        <v>313</v>
      </c>
      <c r="I1232" s="10"/>
      <c r="J1232" s="11"/>
      <c r="K1232" s="8" t="s">
        <v>1777</v>
      </c>
      <c r="L1232" s="12"/>
      <c r="M1232" s="10"/>
      <c r="N1232" s="10"/>
      <c r="O1232" s="10"/>
      <c r="P1232" s="10"/>
      <c r="Q1232" s="10"/>
      <c r="R1232" s="10"/>
      <c r="S1232" s="10"/>
      <c r="T1232" s="10"/>
      <c r="U1232" s="10"/>
      <c r="V1232" s="10"/>
      <c r="W1232" s="10"/>
      <c r="X1232" s="10"/>
      <c r="Y1232" s="10"/>
      <c r="Z1232" s="10"/>
      <c r="AA1232" s="10"/>
      <c r="AB1232" s="10"/>
      <c r="AC1232" s="10"/>
      <c r="AD1232" s="10"/>
      <c r="AE1232" s="10"/>
      <c r="AF1232" s="10"/>
    </row>
    <row r="1233">
      <c r="A1233" s="7"/>
      <c r="B1233" s="8">
        <v>107.0</v>
      </c>
      <c r="C1233" s="8">
        <v>12.0</v>
      </c>
      <c r="D1233" s="8" t="s">
        <v>1781</v>
      </c>
      <c r="E1233" s="7">
        <v>0.0</v>
      </c>
      <c r="F1233" s="7"/>
      <c r="G1233" s="7" t="s">
        <v>312</v>
      </c>
      <c r="H1233" s="7" t="s">
        <v>313</v>
      </c>
      <c r="I1233" s="10"/>
      <c r="J1233" s="11"/>
      <c r="K1233" s="8" t="s">
        <v>1777</v>
      </c>
      <c r="L1233" s="12"/>
      <c r="M1233" s="10"/>
      <c r="N1233" s="10"/>
      <c r="O1233" s="10"/>
      <c r="P1233" s="10"/>
      <c r="Q1233" s="10"/>
      <c r="R1233" s="10"/>
      <c r="S1233" s="10"/>
      <c r="T1233" s="10"/>
      <c r="U1233" s="10"/>
      <c r="V1233" s="10"/>
      <c r="W1233" s="10"/>
      <c r="X1233" s="10"/>
      <c r="Y1233" s="10"/>
      <c r="Z1233" s="10"/>
      <c r="AA1233" s="10"/>
      <c r="AB1233" s="10"/>
      <c r="AC1233" s="10"/>
      <c r="AD1233" s="10"/>
      <c r="AE1233" s="10"/>
      <c r="AF1233" s="10"/>
    </row>
    <row r="1234">
      <c r="A1234" s="7"/>
      <c r="B1234" s="8">
        <v>107.0</v>
      </c>
      <c r="C1234" s="8">
        <v>13.0</v>
      </c>
      <c r="D1234" s="8" t="s">
        <v>1782</v>
      </c>
      <c r="E1234" s="7">
        <v>2.0</v>
      </c>
      <c r="F1234" s="7" t="s">
        <v>320</v>
      </c>
      <c r="G1234" s="7" t="s">
        <v>312</v>
      </c>
      <c r="H1234" s="7" t="s">
        <v>313</v>
      </c>
      <c r="I1234" s="10"/>
      <c r="J1234" s="9" t="s">
        <v>1783</v>
      </c>
      <c r="K1234" s="8" t="s">
        <v>1579</v>
      </c>
      <c r="L1234" s="12"/>
      <c r="M1234" s="10"/>
      <c r="N1234" s="10"/>
      <c r="O1234" s="10"/>
      <c r="P1234" s="10"/>
      <c r="Q1234" s="10"/>
      <c r="R1234" s="10"/>
      <c r="S1234" s="10"/>
      <c r="T1234" s="10"/>
      <c r="U1234" s="10"/>
      <c r="V1234" s="10"/>
      <c r="W1234" s="10"/>
      <c r="X1234" s="10"/>
      <c r="Y1234" s="10"/>
      <c r="Z1234" s="10"/>
      <c r="AA1234" s="10"/>
      <c r="AB1234" s="10"/>
      <c r="AC1234" s="10"/>
      <c r="AD1234" s="10"/>
      <c r="AE1234" s="10"/>
      <c r="AF1234" s="10"/>
    </row>
    <row r="1235">
      <c r="A1235" s="7"/>
      <c r="B1235" s="8">
        <v>107.0</v>
      </c>
      <c r="C1235" s="8">
        <v>14.0</v>
      </c>
      <c r="D1235" s="8" t="s">
        <v>1784</v>
      </c>
      <c r="E1235" s="7">
        <v>2.0</v>
      </c>
      <c r="F1235" s="7" t="s">
        <v>320</v>
      </c>
      <c r="G1235" s="7" t="s">
        <v>312</v>
      </c>
      <c r="H1235" s="7" t="s">
        <v>313</v>
      </c>
      <c r="I1235" s="10"/>
      <c r="J1235" s="11"/>
      <c r="K1235" s="8" t="s">
        <v>1579</v>
      </c>
      <c r="L1235" s="12"/>
      <c r="M1235" s="10"/>
      <c r="N1235" s="10"/>
      <c r="O1235" s="10"/>
      <c r="P1235" s="10"/>
      <c r="Q1235" s="10"/>
      <c r="R1235" s="10"/>
      <c r="S1235" s="10"/>
      <c r="T1235" s="10"/>
      <c r="U1235" s="10"/>
      <c r="V1235" s="10"/>
      <c r="W1235" s="10"/>
      <c r="X1235" s="10"/>
      <c r="Y1235" s="10"/>
      <c r="Z1235" s="10"/>
      <c r="AA1235" s="10"/>
      <c r="AB1235" s="10"/>
      <c r="AC1235" s="10"/>
      <c r="AD1235" s="10"/>
      <c r="AE1235" s="10"/>
      <c r="AF1235" s="10"/>
    </row>
    <row r="1236">
      <c r="A1236" s="7"/>
      <c r="B1236" s="8">
        <v>107.0</v>
      </c>
      <c r="C1236" s="8">
        <v>15.0</v>
      </c>
      <c r="D1236" s="8" t="s">
        <v>1785</v>
      </c>
      <c r="E1236" s="7">
        <v>0.0</v>
      </c>
      <c r="F1236" s="7"/>
      <c r="G1236" s="7" t="s">
        <v>312</v>
      </c>
      <c r="H1236" s="7" t="s">
        <v>313</v>
      </c>
      <c r="I1236" s="10"/>
      <c r="J1236" s="11"/>
      <c r="K1236" s="12"/>
      <c r="L1236" s="12"/>
      <c r="M1236" s="10"/>
      <c r="N1236" s="10"/>
      <c r="O1236" s="10"/>
      <c r="P1236" s="10"/>
      <c r="Q1236" s="10"/>
      <c r="R1236" s="10"/>
      <c r="S1236" s="10"/>
      <c r="T1236" s="10"/>
      <c r="U1236" s="10"/>
      <c r="V1236" s="10"/>
      <c r="W1236" s="10"/>
      <c r="X1236" s="10"/>
      <c r="Y1236" s="10"/>
      <c r="Z1236" s="10"/>
      <c r="AA1236" s="10"/>
      <c r="AB1236" s="10"/>
      <c r="AC1236" s="10"/>
      <c r="AD1236" s="10"/>
      <c r="AE1236" s="10"/>
      <c r="AF1236" s="10"/>
    </row>
    <row r="1237">
      <c r="A1237" s="10"/>
      <c r="B1237" s="12"/>
      <c r="C1237" s="12"/>
      <c r="D1237" s="12"/>
      <c r="E1237" s="10"/>
      <c r="F1237" s="10"/>
      <c r="G1237" s="10"/>
      <c r="H1237" s="10"/>
      <c r="I1237" s="10"/>
      <c r="J1237" s="11"/>
      <c r="K1237" s="12"/>
      <c r="L1237" s="12"/>
      <c r="M1237" s="10"/>
      <c r="N1237" s="10"/>
      <c r="O1237" s="10"/>
      <c r="P1237" s="10"/>
      <c r="Q1237" s="10"/>
      <c r="R1237" s="10"/>
      <c r="S1237" s="10"/>
      <c r="T1237" s="10"/>
      <c r="U1237" s="10"/>
      <c r="V1237" s="10"/>
      <c r="W1237" s="10"/>
      <c r="X1237" s="10"/>
      <c r="Y1237" s="10"/>
      <c r="Z1237" s="10"/>
      <c r="AA1237" s="10"/>
      <c r="AB1237" s="10"/>
      <c r="AC1237" s="10"/>
      <c r="AD1237" s="10"/>
      <c r="AE1237" s="10"/>
      <c r="AF1237" s="10"/>
    </row>
    <row r="1238">
      <c r="A1238" s="7"/>
      <c r="B1238" s="8">
        <v>108.0</v>
      </c>
      <c r="C1238" s="8">
        <v>1.0</v>
      </c>
      <c r="D1238" s="8" t="s">
        <v>1786</v>
      </c>
      <c r="E1238" s="7">
        <v>0.0</v>
      </c>
      <c r="F1238" s="7"/>
      <c r="G1238" s="7" t="s">
        <v>312</v>
      </c>
      <c r="H1238" s="7" t="s">
        <v>313</v>
      </c>
      <c r="I1238" s="10"/>
      <c r="J1238" s="9" t="s">
        <v>1787</v>
      </c>
      <c r="K1238" s="12"/>
      <c r="L1238" s="12"/>
      <c r="M1238" s="10"/>
      <c r="N1238" s="10"/>
      <c r="O1238" s="10"/>
      <c r="P1238" s="10"/>
      <c r="Q1238" s="10"/>
      <c r="R1238" s="10"/>
      <c r="S1238" s="10"/>
      <c r="T1238" s="10"/>
      <c r="U1238" s="10"/>
      <c r="V1238" s="10"/>
      <c r="W1238" s="10"/>
      <c r="X1238" s="10"/>
      <c r="Y1238" s="10"/>
      <c r="Z1238" s="10"/>
      <c r="AA1238" s="10"/>
      <c r="AB1238" s="10"/>
      <c r="AC1238" s="10"/>
      <c r="AD1238" s="10"/>
      <c r="AE1238" s="10"/>
      <c r="AF1238" s="10"/>
    </row>
    <row r="1239">
      <c r="A1239" s="7"/>
      <c r="B1239" s="8">
        <v>108.0</v>
      </c>
      <c r="C1239" s="8">
        <v>2.0</v>
      </c>
      <c r="D1239" s="8" t="s">
        <v>1788</v>
      </c>
      <c r="E1239" s="7">
        <v>2.0</v>
      </c>
      <c r="F1239" s="7" t="s">
        <v>320</v>
      </c>
      <c r="G1239" s="7" t="s">
        <v>312</v>
      </c>
      <c r="H1239" s="7" t="s">
        <v>313</v>
      </c>
      <c r="I1239" s="10"/>
      <c r="J1239" s="11"/>
      <c r="K1239" s="8" t="s">
        <v>1579</v>
      </c>
      <c r="L1239" s="12"/>
      <c r="M1239" s="10"/>
      <c r="N1239" s="10"/>
      <c r="O1239" s="10"/>
      <c r="P1239" s="10"/>
      <c r="Q1239" s="10"/>
      <c r="R1239" s="10"/>
      <c r="S1239" s="10"/>
      <c r="T1239" s="10"/>
      <c r="U1239" s="10"/>
      <c r="V1239" s="10"/>
      <c r="W1239" s="10"/>
      <c r="X1239" s="10"/>
      <c r="Y1239" s="10"/>
      <c r="Z1239" s="10"/>
      <c r="AA1239" s="10"/>
      <c r="AB1239" s="10"/>
      <c r="AC1239" s="10"/>
      <c r="AD1239" s="10"/>
      <c r="AE1239" s="10"/>
      <c r="AF1239" s="10"/>
    </row>
    <row r="1240">
      <c r="A1240" s="7"/>
      <c r="B1240" s="8">
        <v>108.0</v>
      </c>
      <c r="C1240" s="8">
        <v>3.0</v>
      </c>
      <c r="D1240" s="8" t="s">
        <v>1789</v>
      </c>
      <c r="E1240" s="7">
        <v>2.0</v>
      </c>
      <c r="F1240" s="7" t="s">
        <v>320</v>
      </c>
      <c r="G1240" s="7" t="s">
        <v>312</v>
      </c>
      <c r="H1240" s="7" t="s">
        <v>313</v>
      </c>
      <c r="I1240" s="7" t="s">
        <v>366</v>
      </c>
      <c r="J1240" s="9" t="s">
        <v>1790</v>
      </c>
      <c r="K1240" s="12"/>
      <c r="L1240" s="12"/>
      <c r="M1240" s="10"/>
      <c r="N1240" s="10"/>
      <c r="O1240" s="10"/>
      <c r="P1240" s="10"/>
      <c r="Q1240" s="10"/>
      <c r="R1240" s="10"/>
      <c r="S1240" s="10"/>
      <c r="T1240" s="10"/>
      <c r="U1240" s="10"/>
      <c r="V1240" s="10"/>
      <c r="W1240" s="10"/>
      <c r="X1240" s="10"/>
      <c r="Y1240" s="10"/>
      <c r="Z1240" s="10"/>
      <c r="AA1240" s="10"/>
      <c r="AB1240" s="10"/>
      <c r="AC1240" s="10"/>
      <c r="AD1240" s="10"/>
      <c r="AE1240" s="10"/>
      <c r="AF1240" s="10"/>
    </row>
    <row r="1241">
      <c r="A1241" s="7"/>
      <c r="B1241" s="8">
        <v>108.0</v>
      </c>
      <c r="C1241" s="8">
        <v>4.0</v>
      </c>
      <c r="D1241" s="8" t="s">
        <v>1791</v>
      </c>
      <c r="E1241" s="7">
        <v>0.0</v>
      </c>
      <c r="F1241" s="7" t="s">
        <v>320</v>
      </c>
      <c r="G1241" s="7" t="s">
        <v>312</v>
      </c>
      <c r="H1241" s="7" t="s">
        <v>313</v>
      </c>
      <c r="I1241" s="7" t="s">
        <v>366</v>
      </c>
      <c r="K1241" s="8" t="s">
        <v>1579</v>
      </c>
      <c r="L1241" s="12"/>
      <c r="M1241" s="10"/>
      <c r="N1241" s="10"/>
      <c r="O1241" s="10"/>
      <c r="P1241" s="10"/>
      <c r="Q1241" s="10"/>
      <c r="R1241" s="10"/>
      <c r="S1241" s="10"/>
      <c r="T1241" s="10"/>
      <c r="U1241" s="10"/>
      <c r="V1241" s="10"/>
      <c r="W1241" s="10"/>
      <c r="X1241" s="10"/>
      <c r="Y1241" s="10"/>
      <c r="Z1241" s="10"/>
      <c r="AA1241" s="10"/>
      <c r="AB1241" s="10"/>
      <c r="AC1241" s="10"/>
      <c r="AD1241" s="10"/>
      <c r="AE1241" s="10"/>
      <c r="AF1241" s="10"/>
    </row>
    <row r="1242">
      <c r="A1242" s="7"/>
      <c r="B1242" s="8">
        <v>108.0</v>
      </c>
      <c r="C1242" s="8">
        <v>5.0</v>
      </c>
      <c r="D1242" s="8" t="s">
        <v>1792</v>
      </c>
      <c r="E1242" s="7">
        <v>2.0</v>
      </c>
      <c r="F1242" s="7" t="s">
        <v>320</v>
      </c>
      <c r="G1242" s="7" t="s">
        <v>312</v>
      </c>
      <c r="H1242" s="7" t="s">
        <v>313</v>
      </c>
      <c r="I1242" s="7" t="s">
        <v>366</v>
      </c>
      <c r="J1242" s="16" t="s">
        <v>1793</v>
      </c>
      <c r="K1242" s="8" t="s">
        <v>1579</v>
      </c>
      <c r="L1242" s="12"/>
      <c r="M1242" s="10"/>
      <c r="N1242" s="10"/>
      <c r="O1242" s="10"/>
      <c r="P1242" s="10"/>
      <c r="Q1242" s="10"/>
      <c r="R1242" s="10"/>
      <c r="S1242" s="10"/>
      <c r="T1242" s="10"/>
      <c r="U1242" s="10"/>
      <c r="V1242" s="10"/>
      <c r="W1242" s="10"/>
      <c r="X1242" s="10"/>
      <c r="Y1242" s="10"/>
      <c r="Z1242" s="10"/>
      <c r="AA1242" s="10"/>
      <c r="AB1242" s="10"/>
      <c r="AC1242" s="10"/>
      <c r="AD1242" s="10"/>
      <c r="AE1242" s="10"/>
      <c r="AF1242" s="10"/>
    </row>
    <row r="1243">
      <c r="A1243" s="7"/>
      <c r="B1243" s="8">
        <v>108.0</v>
      </c>
      <c r="C1243" s="8">
        <v>6.0</v>
      </c>
      <c r="D1243" s="8" t="s">
        <v>1794</v>
      </c>
      <c r="E1243" s="7">
        <v>2.0</v>
      </c>
      <c r="F1243" s="7" t="s">
        <v>320</v>
      </c>
      <c r="G1243" s="7" t="s">
        <v>312</v>
      </c>
      <c r="H1243" s="7" t="s">
        <v>313</v>
      </c>
      <c r="I1243" s="7" t="s">
        <v>366</v>
      </c>
      <c r="J1243" s="9" t="s">
        <v>1790</v>
      </c>
      <c r="K1243" s="12"/>
      <c r="L1243" s="12"/>
      <c r="M1243" s="10"/>
      <c r="N1243" s="10"/>
      <c r="O1243" s="10"/>
      <c r="P1243" s="10"/>
      <c r="Q1243" s="10"/>
      <c r="R1243" s="10"/>
      <c r="S1243" s="10"/>
      <c r="T1243" s="10"/>
      <c r="U1243" s="10"/>
      <c r="V1243" s="10"/>
      <c r="W1243" s="10"/>
      <c r="X1243" s="10"/>
      <c r="Y1243" s="10"/>
      <c r="Z1243" s="10"/>
      <c r="AA1243" s="10"/>
      <c r="AB1243" s="10"/>
      <c r="AC1243" s="10"/>
      <c r="AD1243" s="10"/>
      <c r="AE1243" s="10"/>
      <c r="AF1243" s="10"/>
    </row>
    <row r="1244">
      <c r="A1244" s="7"/>
      <c r="B1244" s="8">
        <v>108.0</v>
      </c>
      <c r="C1244" s="8">
        <v>7.0</v>
      </c>
      <c r="D1244" s="8" t="s">
        <v>1795</v>
      </c>
      <c r="E1244" s="7">
        <v>2.0</v>
      </c>
      <c r="F1244" s="7" t="s">
        <v>320</v>
      </c>
      <c r="G1244" s="7" t="s">
        <v>312</v>
      </c>
      <c r="H1244" s="7" t="s">
        <v>313</v>
      </c>
      <c r="I1244" s="7"/>
      <c r="J1244" s="16"/>
      <c r="K1244" s="8" t="s">
        <v>1579</v>
      </c>
      <c r="L1244" s="12"/>
      <c r="M1244" s="10"/>
      <c r="N1244" s="10"/>
      <c r="O1244" s="10"/>
      <c r="P1244" s="10"/>
      <c r="Q1244" s="10"/>
      <c r="R1244" s="10"/>
      <c r="S1244" s="10"/>
      <c r="T1244" s="10"/>
      <c r="U1244" s="10"/>
      <c r="V1244" s="10"/>
      <c r="W1244" s="10"/>
      <c r="X1244" s="10"/>
      <c r="Y1244" s="10"/>
      <c r="Z1244" s="10"/>
      <c r="AA1244" s="10"/>
      <c r="AB1244" s="10"/>
      <c r="AC1244" s="10"/>
      <c r="AD1244" s="10"/>
      <c r="AE1244" s="10"/>
      <c r="AF1244" s="10"/>
    </row>
    <row r="1245">
      <c r="A1245" s="7"/>
      <c r="B1245" s="8">
        <v>108.0</v>
      </c>
      <c r="C1245" s="8">
        <v>8.0</v>
      </c>
      <c r="D1245" s="8" t="s">
        <v>1796</v>
      </c>
      <c r="E1245" s="7">
        <v>0.0</v>
      </c>
      <c r="F1245" s="7" t="s">
        <v>320</v>
      </c>
      <c r="G1245" s="7" t="s">
        <v>312</v>
      </c>
      <c r="H1245" s="7" t="s">
        <v>313</v>
      </c>
      <c r="I1245" s="7"/>
      <c r="J1245" s="11"/>
      <c r="K1245" s="8" t="s">
        <v>1579</v>
      </c>
      <c r="L1245" s="12"/>
      <c r="M1245" s="10"/>
      <c r="N1245" s="10"/>
      <c r="O1245" s="10"/>
      <c r="P1245" s="10"/>
      <c r="Q1245" s="10"/>
      <c r="R1245" s="10"/>
      <c r="S1245" s="10"/>
      <c r="T1245" s="10"/>
      <c r="U1245" s="10"/>
      <c r="V1245" s="10"/>
      <c r="W1245" s="10"/>
      <c r="X1245" s="10"/>
      <c r="Y1245" s="10"/>
      <c r="Z1245" s="10"/>
      <c r="AA1245" s="10"/>
      <c r="AB1245" s="10"/>
      <c r="AC1245" s="10"/>
      <c r="AD1245" s="10"/>
      <c r="AE1245" s="10"/>
      <c r="AF1245" s="10"/>
    </row>
    <row r="1246">
      <c r="A1246" s="7"/>
      <c r="B1246" s="8">
        <v>108.0</v>
      </c>
      <c r="C1246" s="8">
        <v>9.0</v>
      </c>
      <c r="D1246" s="8" t="s">
        <v>1797</v>
      </c>
      <c r="E1246" s="7">
        <v>0.0</v>
      </c>
      <c r="F1246" s="7"/>
      <c r="G1246" s="7" t="s">
        <v>312</v>
      </c>
      <c r="H1246" s="7" t="s">
        <v>313</v>
      </c>
      <c r="I1246" s="10"/>
      <c r="J1246" s="11"/>
      <c r="K1246" s="12"/>
      <c r="L1246" s="12"/>
      <c r="M1246" s="10"/>
      <c r="N1246" s="10"/>
      <c r="O1246" s="10"/>
      <c r="P1246" s="10"/>
      <c r="Q1246" s="10"/>
      <c r="R1246" s="10"/>
      <c r="S1246" s="10"/>
      <c r="T1246" s="10"/>
      <c r="U1246" s="10"/>
      <c r="V1246" s="10"/>
      <c r="W1246" s="10"/>
      <c r="X1246" s="10"/>
      <c r="Y1246" s="10"/>
      <c r="Z1246" s="10"/>
      <c r="AA1246" s="10"/>
      <c r="AB1246" s="10"/>
      <c r="AC1246" s="10"/>
      <c r="AD1246" s="10"/>
      <c r="AE1246" s="10"/>
      <c r="AF1246" s="10"/>
    </row>
    <row r="1247">
      <c r="A1247" s="7"/>
      <c r="B1247" s="8">
        <v>108.0</v>
      </c>
      <c r="C1247" s="8">
        <v>10.0</v>
      </c>
      <c r="D1247" s="8" t="s">
        <v>1798</v>
      </c>
      <c r="E1247" s="7">
        <v>0.0</v>
      </c>
      <c r="F1247" s="7" t="s">
        <v>320</v>
      </c>
      <c r="G1247" s="7" t="s">
        <v>312</v>
      </c>
      <c r="H1247" s="7" t="s">
        <v>313</v>
      </c>
      <c r="I1247" s="7" t="s">
        <v>366</v>
      </c>
      <c r="J1247" s="16" t="s">
        <v>1799</v>
      </c>
      <c r="K1247" s="8" t="s">
        <v>1579</v>
      </c>
      <c r="L1247" s="12"/>
      <c r="M1247" s="10"/>
      <c r="N1247" s="10"/>
      <c r="O1247" s="10"/>
      <c r="P1247" s="10"/>
      <c r="Q1247" s="10"/>
      <c r="R1247" s="10"/>
      <c r="S1247" s="10"/>
      <c r="T1247" s="10"/>
      <c r="U1247" s="10"/>
      <c r="V1247" s="10"/>
      <c r="W1247" s="10"/>
      <c r="X1247" s="10"/>
      <c r="Y1247" s="10"/>
      <c r="Z1247" s="10"/>
      <c r="AA1247" s="10"/>
      <c r="AB1247" s="10"/>
      <c r="AC1247" s="10"/>
      <c r="AD1247" s="10"/>
      <c r="AE1247" s="10"/>
      <c r="AF1247" s="10"/>
    </row>
    <row r="1248">
      <c r="A1248" s="10"/>
      <c r="B1248" s="12"/>
      <c r="C1248" s="12"/>
      <c r="D1248" s="12"/>
      <c r="E1248" s="10"/>
      <c r="F1248" s="10"/>
      <c r="G1248" s="10"/>
      <c r="H1248" s="10"/>
      <c r="I1248" s="10"/>
      <c r="J1248" s="11"/>
      <c r="K1248" s="12"/>
      <c r="L1248" s="12"/>
      <c r="M1248" s="10"/>
      <c r="N1248" s="10"/>
      <c r="O1248" s="10"/>
      <c r="P1248" s="10"/>
      <c r="Q1248" s="10"/>
      <c r="R1248" s="10"/>
      <c r="S1248" s="10"/>
      <c r="T1248" s="10"/>
      <c r="U1248" s="10"/>
      <c r="V1248" s="10"/>
      <c r="W1248" s="10"/>
      <c r="X1248" s="10"/>
      <c r="Y1248" s="10"/>
      <c r="Z1248" s="10"/>
      <c r="AA1248" s="10"/>
      <c r="AB1248" s="10"/>
      <c r="AC1248" s="10"/>
      <c r="AD1248" s="10"/>
      <c r="AE1248" s="10"/>
      <c r="AF1248" s="10"/>
    </row>
    <row r="1249">
      <c r="A1249" s="7"/>
      <c r="B1249" s="8">
        <v>109.0</v>
      </c>
      <c r="C1249" s="8">
        <v>1.0</v>
      </c>
      <c r="D1249" s="8" t="s">
        <v>1800</v>
      </c>
      <c r="E1249" s="7">
        <v>2.0</v>
      </c>
      <c r="F1249" s="7" t="s">
        <v>320</v>
      </c>
      <c r="G1249" s="7" t="s">
        <v>312</v>
      </c>
      <c r="H1249" s="7" t="s">
        <v>313</v>
      </c>
      <c r="I1249" s="10"/>
      <c r="J1249" s="9" t="s">
        <v>1801</v>
      </c>
      <c r="K1249" s="8" t="s">
        <v>1579</v>
      </c>
      <c r="L1249" s="12"/>
      <c r="M1249" s="10"/>
      <c r="N1249" s="10"/>
      <c r="O1249" s="10"/>
      <c r="P1249" s="10"/>
      <c r="Q1249" s="10"/>
      <c r="R1249" s="10"/>
      <c r="S1249" s="10"/>
      <c r="T1249" s="10"/>
      <c r="U1249" s="10"/>
      <c r="V1249" s="10"/>
      <c r="W1249" s="10"/>
      <c r="X1249" s="10"/>
      <c r="Y1249" s="10"/>
      <c r="Z1249" s="10"/>
      <c r="AA1249" s="10"/>
      <c r="AB1249" s="10"/>
      <c r="AC1249" s="10"/>
      <c r="AD1249" s="10"/>
      <c r="AE1249" s="10"/>
      <c r="AF1249" s="10"/>
    </row>
    <row r="1250">
      <c r="A1250" s="7"/>
      <c r="B1250" s="8">
        <v>109.0</v>
      </c>
      <c r="C1250" s="8">
        <v>2.0</v>
      </c>
      <c r="D1250" s="8" t="s">
        <v>1802</v>
      </c>
      <c r="E1250" s="7">
        <v>0.0</v>
      </c>
      <c r="F1250" s="7"/>
      <c r="G1250" s="7" t="s">
        <v>312</v>
      </c>
      <c r="H1250" s="7" t="s">
        <v>313</v>
      </c>
      <c r="I1250" s="10"/>
      <c r="J1250" s="24"/>
      <c r="K1250" s="12"/>
      <c r="L1250" s="12"/>
      <c r="M1250" s="10"/>
      <c r="N1250" s="10"/>
      <c r="O1250" s="10"/>
      <c r="P1250" s="10"/>
      <c r="Q1250" s="10"/>
      <c r="R1250" s="10"/>
      <c r="S1250" s="10"/>
      <c r="T1250" s="10"/>
      <c r="U1250" s="10"/>
      <c r="V1250" s="10"/>
      <c r="W1250" s="10"/>
      <c r="X1250" s="10"/>
      <c r="Y1250" s="10"/>
      <c r="Z1250" s="10"/>
      <c r="AA1250" s="10"/>
      <c r="AB1250" s="10"/>
      <c r="AC1250" s="10"/>
      <c r="AD1250" s="10"/>
      <c r="AE1250" s="10"/>
      <c r="AF1250" s="10"/>
    </row>
    <row r="1251">
      <c r="A1251" s="7"/>
      <c r="B1251" s="8">
        <v>109.0</v>
      </c>
      <c r="C1251" s="8">
        <v>3.0</v>
      </c>
      <c r="D1251" s="8" t="s">
        <v>1803</v>
      </c>
      <c r="E1251" s="7">
        <v>2.0</v>
      </c>
      <c r="F1251" s="7" t="s">
        <v>320</v>
      </c>
      <c r="G1251" s="7" t="s">
        <v>312</v>
      </c>
      <c r="H1251" s="7" t="s">
        <v>313</v>
      </c>
      <c r="I1251" s="7" t="s">
        <v>366</v>
      </c>
      <c r="J1251" s="23" t="s">
        <v>1804</v>
      </c>
      <c r="K1251" s="12"/>
      <c r="L1251" s="12"/>
      <c r="M1251" s="10"/>
      <c r="N1251" s="10"/>
      <c r="O1251" s="10"/>
      <c r="P1251" s="10"/>
      <c r="Q1251" s="10"/>
      <c r="R1251" s="10"/>
      <c r="S1251" s="10"/>
      <c r="T1251" s="10"/>
      <c r="U1251" s="10"/>
      <c r="V1251" s="10"/>
      <c r="W1251" s="10"/>
      <c r="X1251" s="10"/>
      <c r="Y1251" s="10"/>
      <c r="Z1251" s="10"/>
      <c r="AA1251" s="10"/>
      <c r="AB1251" s="10"/>
      <c r="AC1251" s="10"/>
      <c r="AD1251" s="10"/>
      <c r="AE1251" s="10"/>
      <c r="AF1251" s="10"/>
    </row>
    <row r="1252">
      <c r="A1252" s="7"/>
      <c r="B1252" s="8">
        <v>109.0</v>
      </c>
      <c r="C1252" s="8">
        <v>4.0</v>
      </c>
      <c r="D1252" s="8" t="s">
        <v>1805</v>
      </c>
      <c r="E1252" s="7">
        <v>0.0</v>
      </c>
      <c r="F1252" s="7"/>
      <c r="G1252" s="7" t="s">
        <v>312</v>
      </c>
      <c r="H1252" s="7" t="s">
        <v>313</v>
      </c>
      <c r="I1252" s="10"/>
      <c r="J1252" s="24"/>
      <c r="K1252" s="12"/>
      <c r="L1252" s="12"/>
      <c r="M1252" s="10"/>
      <c r="N1252" s="10"/>
      <c r="O1252" s="10"/>
      <c r="P1252" s="10"/>
      <c r="Q1252" s="10"/>
      <c r="R1252" s="10"/>
      <c r="S1252" s="10"/>
      <c r="T1252" s="10"/>
      <c r="U1252" s="10"/>
      <c r="V1252" s="10"/>
      <c r="W1252" s="10"/>
      <c r="X1252" s="10"/>
      <c r="Y1252" s="10"/>
      <c r="Z1252" s="10"/>
      <c r="AA1252" s="10"/>
      <c r="AB1252" s="10"/>
      <c r="AC1252" s="10"/>
      <c r="AD1252" s="10"/>
      <c r="AE1252" s="10"/>
      <c r="AF1252" s="10"/>
    </row>
    <row r="1253">
      <c r="A1253" s="7"/>
      <c r="B1253" s="8">
        <v>109.0</v>
      </c>
      <c r="C1253" s="8">
        <v>5.0</v>
      </c>
      <c r="D1253" s="8" t="s">
        <v>1806</v>
      </c>
      <c r="E1253" s="7">
        <v>2.0</v>
      </c>
      <c r="F1253" s="7" t="s">
        <v>320</v>
      </c>
      <c r="G1253" s="7" t="s">
        <v>312</v>
      </c>
      <c r="H1253" s="7" t="s">
        <v>313</v>
      </c>
      <c r="I1253" s="7" t="s">
        <v>366</v>
      </c>
      <c r="J1253" s="23" t="s">
        <v>1807</v>
      </c>
      <c r="K1253" s="12"/>
      <c r="L1253" s="12"/>
      <c r="M1253" s="10"/>
      <c r="N1253" s="10"/>
      <c r="O1253" s="10"/>
      <c r="P1253" s="10"/>
      <c r="Q1253" s="10"/>
      <c r="R1253" s="10"/>
      <c r="S1253" s="10"/>
      <c r="T1253" s="10"/>
      <c r="U1253" s="10"/>
      <c r="V1253" s="10"/>
      <c r="W1253" s="10"/>
      <c r="X1253" s="10"/>
      <c r="Y1253" s="10"/>
      <c r="Z1253" s="10"/>
      <c r="AA1253" s="10"/>
      <c r="AB1253" s="10"/>
      <c r="AC1253" s="10"/>
      <c r="AD1253" s="10"/>
      <c r="AE1253" s="10"/>
      <c r="AF1253" s="10"/>
    </row>
    <row r="1254">
      <c r="A1254" s="7"/>
      <c r="B1254" s="8">
        <v>109.0</v>
      </c>
      <c r="C1254" s="8">
        <v>6.0</v>
      </c>
      <c r="D1254" s="8" t="s">
        <v>1808</v>
      </c>
      <c r="E1254" s="7">
        <v>0.0</v>
      </c>
      <c r="F1254" s="7"/>
      <c r="G1254" s="7" t="s">
        <v>312</v>
      </c>
      <c r="H1254" s="7" t="s">
        <v>313</v>
      </c>
      <c r="I1254" s="10"/>
      <c r="J1254" s="11"/>
      <c r="K1254" s="12"/>
      <c r="L1254" s="12"/>
      <c r="M1254" s="10"/>
      <c r="N1254" s="10"/>
      <c r="O1254" s="10"/>
      <c r="P1254" s="10"/>
      <c r="Q1254" s="10"/>
      <c r="R1254" s="10"/>
      <c r="S1254" s="10"/>
      <c r="T1254" s="10"/>
      <c r="U1254" s="10"/>
      <c r="V1254" s="10"/>
      <c r="W1254" s="10"/>
      <c r="X1254" s="10"/>
      <c r="Y1254" s="10"/>
      <c r="Z1254" s="10"/>
      <c r="AA1254" s="10"/>
      <c r="AB1254" s="10"/>
      <c r="AC1254" s="10"/>
      <c r="AD1254" s="10"/>
      <c r="AE1254" s="10"/>
      <c r="AF1254" s="10"/>
    </row>
    <row r="1255">
      <c r="A1255" s="7"/>
      <c r="B1255" s="8">
        <v>109.0</v>
      </c>
      <c r="C1255" s="8">
        <v>7.0</v>
      </c>
      <c r="D1255" s="8" t="s">
        <v>1809</v>
      </c>
      <c r="E1255" s="7">
        <v>2.0</v>
      </c>
      <c r="F1255" s="7" t="s">
        <v>320</v>
      </c>
      <c r="G1255" s="7" t="s">
        <v>312</v>
      </c>
      <c r="H1255" s="7" t="s">
        <v>313</v>
      </c>
      <c r="I1255" s="7" t="s">
        <v>366</v>
      </c>
      <c r="J1255" s="23" t="s">
        <v>1810</v>
      </c>
      <c r="K1255" s="12"/>
      <c r="L1255" s="12"/>
      <c r="M1255" s="10"/>
      <c r="N1255" s="10"/>
      <c r="O1255" s="10"/>
      <c r="P1255" s="10"/>
      <c r="Q1255" s="10"/>
      <c r="R1255" s="10"/>
      <c r="S1255" s="10"/>
      <c r="T1255" s="10"/>
      <c r="U1255" s="10"/>
      <c r="V1255" s="10"/>
      <c r="W1255" s="10"/>
      <c r="X1255" s="10"/>
      <c r="Y1255" s="10"/>
      <c r="Z1255" s="10"/>
      <c r="AA1255" s="10"/>
      <c r="AB1255" s="10"/>
      <c r="AC1255" s="10"/>
      <c r="AD1255" s="10"/>
      <c r="AE1255" s="10"/>
      <c r="AF1255" s="10"/>
    </row>
    <row r="1256">
      <c r="A1256" s="7"/>
      <c r="B1256" s="8">
        <v>109.0</v>
      </c>
      <c r="C1256" s="8">
        <v>8.0</v>
      </c>
      <c r="D1256" s="8" t="s">
        <v>1811</v>
      </c>
      <c r="E1256" s="7">
        <v>2.0</v>
      </c>
      <c r="F1256" s="7" t="s">
        <v>320</v>
      </c>
      <c r="G1256" s="7" t="s">
        <v>312</v>
      </c>
      <c r="H1256" s="7" t="s">
        <v>313</v>
      </c>
      <c r="I1256" s="7" t="s">
        <v>366</v>
      </c>
      <c r="J1256" s="23" t="s">
        <v>1812</v>
      </c>
      <c r="K1256" s="3"/>
      <c r="L1256" s="12"/>
      <c r="M1256" s="10"/>
      <c r="N1256" s="10"/>
      <c r="O1256" s="10"/>
      <c r="P1256" s="10"/>
      <c r="Q1256" s="10"/>
      <c r="R1256" s="10"/>
      <c r="S1256" s="10"/>
      <c r="T1256" s="10"/>
      <c r="U1256" s="10"/>
      <c r="V1256" s="10"/>
      <c r="W1256" s="10"/>
      <c r="X1256" s="10"/>
      <c r="Y1256" s="10"/>
      <c r="Z1256" s="10"/>
      <c r="AA1256" s="10"/>
      <c r="AB1256" s="10"/>
      <c r="AC1256" s="10"/>
      <c r="AD1256" s="10"/>
      <c r="AE1256" s="10"/>
      <c r="AF1256" s="10"/>
    </row>
    <row r="1257">
      <c r="A1257" s="7"/>
      <c r="B1257" s="8">
        <v>109.0</v>
      </c>
      <c r="C1257" s="8">
        <v>9.0</v>
      </c>
      <c r="D1257" s="8" t="s">
        <v>1813</v>
      </c>
      <c r="E1257" s="7">
        <v>0.0</v>
      </c>
      <c r="F1257" s="7"/>
      <c r="G1257" s="7" t="s">
        <v>312</v>
      </c>
      <c r="H1257" s="7" t="s">
        <v>313</v>
      </c>
      <c r="I1257" s="10"/>
      <c r="J1257" s="24"/>
      <c r="K1257" s="12"/>
      <c r="L1257" s="12"/>
      <c r="M1257" s="10"/>
      <c r="N1257" s="10"/>
      <c r="O1257" s="10"/>
      <c r="P1257" s="10"/>
      <c r="Q1257" s="10"/>
      <c r="R1257" s="10"/>
      <c r="S1257" s="10"/>
      <c r="T1257" s="10"/>
      <c r="U1257" s="10"/>
      <c r="V1257" s="10"/>
      <c r="W1257" s="10"/>
      <c r="X1257" s="10"/>
      <c r="Y1257" s="10"/>
      <c r="Z1257" s="10"/>
      <c r="AA1257" s="10"/>
      <c r="AB1257" s="10"/>
      <c r="AC1257" s="10"/>
      <c r="AD1257" s="10"/>
      <c r="AE1257" s="10"/>
      <c r="AF1257" s="10"/>
    </row>
    <row r="1258">
      <c r="A1258" s="7"/>
      <c r="B1258" s="8">
        <v>109.0</v>
      </c>
      <c r="C1258" s="8">
        <v>10.0</v>
      </c>
      <c r="D1258" s="8" t="s">
        <v>1814</v>
      </c>
      <c r="E1258" s="7">
        <v>2.0</v>
      </c>
      <c r="F1258" s="7" t="s">
        <v>320</v>
      </c>
      <c r="G1258" s="7" t="s">
        <v>312</v>
      </c>
      <c r="H1258" s="7" t="s">
        <v>313</v>
      </c>
      <c r="I1258" s="7" t="s">
        <v>366</v>
      </c>
      <c r="J1258" s="23" t="s">
        <v>1815</v>
      </c>
      <c r="K1258" s="12"/>
      <c r="L1258" s="12"/>
      <c r="M1258" s="10"/>
      <c r="N1258" s="10"/>
      <c r="O1258" s="10"/>
      <c r="P1258" s="10"/>
      <c r="Q1258" s="10"/>
      <c r="R1258" s="10"/>
      <c r="S1258" s="10"/>
      <c r="T1258" s="10"/>
      <c r="U1258" s="10"/>
      <c r="V1258" s="10"/>
      <c r="W1258" s="10"/>
      <c r="X1258" s="10"/>
      <c r="Y1258" s="10"/>
      <c r="Z1258" s="10"/>
      <c r="AA1258" s="10"/>
      <c r="AB1258" s="10"/>
      <c r="AC1258" s="10"/>
      <c r="AD1258" s="10"/>
      <c r="AE1258" s="10"/>
      <c r="AF1258" s="10"/>
    </row>
    <row r="1259">
      <c r="A1259" s="7"/>
      <c r="B1259" s="8">
        <v>109.0</v>
      </c>
      <c r="C1259" s="8">
        <v>11.0</v>
      </c>
      <c r="D1259" s="8" t="s">
        <v>1816</v>
      </c>
      <c r="E1259" s="7">
        <v>0.0</v>
      </c>
      <c r="F1259" s="7"/>
      <c r="G1259" s="7" t="s">
        <v>312</v>
      </c>
      <c r="H1259" s="7" t="s">
        <v>313</v>
      </c>
      <c r="I1259" s="10"/>
      <c r="J1259" s="11"/>
      <c r="K1259" s="12"/>
      <c r="L1259" s="12"/>
      <c r="M1259" s="10"/>
      <c r="N1259" s="10"/>
      <c r="O1259" s="10"/>
      <c r="P1259" s="10"/>
      <c r="Q1259" s="10"/>
      <c r="R1259" s="10"/>
      <c r="S1259" s="10"/>
      <c r="T1259" s="10"/>
      <c r="U1259" s="10"/>
      <c r="V1259" s="10"/>
      <c r="W1259" s="10"/>
      <c r="X1259" s="10"/>
      <c r="Y1259" s="10"/>
      <c r="Z1259" s="10"/>
      <c r="AA1259" s="10"/>
      <c r="AB1259" s="10"/>
      <c r="AC1259" s="10"/>
      <c r="AD1259" s="10"/>
      <c r="AE1259" s="10"/>
      <c r="AF1259" s="10"/>
    </row>
    <row r="1260">
      <c r="A1260" s="7"/>
      <c r="B1260" s="8">
        <v>109.0</v>
      </c>
      <c r="C1260" s="8">
        <v>12.0</v>
      </c>
      <c r="D1260" s="8" t="s">
        <v>1817</v>
      </c>
      <c r="E1260" s="7">
        <v>2.0</v>
      </c>
      <c r="F1260" s="7" t="s">
        <v>320</v>
      </c>
      <c r="G1260" s="7" t="s">
        <v>312</v>
      </c>
      <c r="H1260" s="7" t="s">
        <v>313</v>
      </c>
      <c r="I1260" s="7" t="s">
        <v>366</v>
      </c>
      <c r="J1260" s="23" t="s">
        <v>1818</v>
      </c>
      <c r="K1260" s="12"/>
      <c r="L1260" s="12"/>
      <c r="M1260" s="10"/>
      <c r="N1260" s="10"/>
      <c r="O1260" s="10"/>
      <c r="P1260" s="10"/>
      <c r="Q1260" s="10"/>
      <c r="R1260" s="10"/>
      <c r="S1260" s="10"/>
      <c r="T1260" s="10"/>
      <c r="U1260" s="10"/>
      <c r="V1260" s="10"/>
      <c r="W1260" s="10"/>
      <c r="X1260" s="10"/>
      <c r="Y1260" s="10"/>
      <c r="Z1260" s="10"/>
      <c r="AA1260" s="10"/>
      <c r="AB1260" s="10"/>
      <c r="AC1260" s="10"/>
      <c r="AD1260" s="10"/>
      <c r="AE1260" s="10"/>
      <c r="AF1260" s="10"/>
    </row>
    <row r="1261">
      <c r="A1261" s="7"/>
      <c r="B1261" s="8">
        <v>109.0</v>
      </c>
      <c r="C1261" s="8">
        <v>13.0</v>
      </c>
      <c r="D1261" s="8" t="s">
        <v>1819</v>
      </c>
      <c r="E1261" s="7">
        <v>0.0</v>
      </c>
      <c r="F1261" s="7"/>
      <c r="G1261" s="7" t="s">
        <v>312</v>
      </c>
      <c r="H1261" s="7" t="s">
        <v>313</v>
      </c>
      <c r="I1261" s="10"/>
      <c r="J1261" s="11"/>
      <c r="K1261" s="12"/>
      <c r="L1261" s="12"/>
      <c r="M1261" s="10"/>
      <c r="N1261" s="10"/>
      <c r="O1261" s="10"/>
      <c r="P1261" s="10"/>
      <c r="Q1261" s="10"/>
      <c r="R1261" s="10"/>
      <c r="S1261" s="10"/>
      <c r="T1261" s="10"/>
      <c r="U1261" s="10"/>
      <c r="V1261" s="10"/>
      <c r="W1261" s="10"/>
      <c r="X1261" s="10"/>
      <c r="Y1261" s="10"/>
      <c r="Z1261" s="10"/>
      <c r="AA1261" s="10"/>
      <c r="AB1261" s="10"/>
      <c r="AC1261" s="10"/>
      <c r="AD1261" s="10"/>
      <c r="AE1261" s="10"/>
      <c r="AF1261" s="10"/>
    </row>
    <row r="1262">
      <c r="A1262" s="7"/>
      <c r="B1262" s="8">
        <v>109.0</v>
      </c>
      <c r="C1262" s="8">
        <v>14.0</v>
      </c>
      <c r="D1262" s="8" t="s">
        <v>1820</v>
      </c>
      <c r="E1262" s="7">
        <v>2.0</v>
      </c>
      <c r="F1262" s="7" t="s">
        <v>320</v>
      </c>
      <c r="G1262" s="7" t="s">
        <v>312</v>
      </c>
      <c r="H1262" s="7" t="s">
        <v>313</v>
      </c>
      <c r="I1262" s="7" t="s">
        <v>366</v>
      </c>
      <c r="J1262" s="9" t="s">
        <v>1821</v>
      </c>
      <c r="K1262" s="8" t="s">
        <v>1579</v>
      </c>
      <c r="L1262" s="12"/>
      <c r="M1262" s="10"/>
      <c r="N1262" s="10"/>
      <c r="O1262" s="10"/>
      <c r="P1262" s="10"/>
      <c r="Q1262" s="10"/>
      <c r="R1262" s="10"/>
      <c r="S1262" s="10"/>
      <c r="T1262" s="10"/>
      <c r="U1262" s="10"/>
      <c r="V1262" s="10"/>
      <c r="W1262" s="10"/>
      <c r="X1262" s="10"/>
      <c r="Y1262" s="10"/>
      <c r="Z1262" s="10"/>
      <c r="AA1262" s="10"/>
      <c r="AB1262" s="10"/>
      <c r="AC1262" s="10"/>
      <c r="AD1262" s="10"/>
      <c r="AE1262" s="10"/>
      <c r="AF1262" s="10"/>
    </row>
    <row r="1263">
      <c r="A1263" s="7"/>
      <c r="B1263" s="8">
        <v>109.0</v>
      </c>
      <c r="C1263" s="8">
        <v>15.0</v>
      </c>
      <c r="D1263" s="8" t="s">
        <v>1822</v>
      </c>
      <c r="E1263" s="7">
        <v>0.0</v>
      </c>
      <c r="F1263" s="7"/>
      <c r="G1263" s="7" t="s">
        <v>312</v>
      </c>
      <c r="H1263" s="7" t="s">
        <v>313</v>
      </c>
      <c r="I1263" s="10"/>
      <c r="J1263" s="11"/>
      <c r="K1263" s="12"/>
      <c r="L1263" s="12"/>
      <c r="M1263" s="10"/>
      <c r="N1263" s="10"/>
      <c r="O1263" s="10"/>
      <c r="P1263" s="10"/>
      <c r="Q1263" s="10"/>
      <c r="R1263" s="10"/>
      <c r="S1263" s="10"/>
      <c r="T1263" s="10"/>
      <c r="U1263" s="10"/>
      <c r="V1263" s="10"/>
      <c r="W1263" s="10"/>
      <c r="X1263" s="10"/>
      <c r="Y1263" s="10"/>
      <c r="Z1263" s="10"/>
      <c r="AA1263" s="10"/>
      <c r="AB1263" s="10"/>
      <c r="AC1263" s="10"/>
      <c r="AD1263" s="10"/>
      <c r="AE1263" s="10"/>
      <c r="AF1263" s="10"/>
    </row>
    <row r="1264">
      <c r="A1264" s="7"/>
      <c r="B1264" s="8">
        <v>109.0</v>
      </c>
      <c r="C1264" s="8">
        <v>16.0</v>
      </c>
      <c r="D1264" s="8" t="s">
        <v>1823</v>
      </c>
      <c r="E1264" s="7">
        <v>2.0</v>
      </c>
      <c r="F1264" s="7" t="s">
        <v>320</v>
      </c>
      <c r="G1264" s="7" t="s">
        <v>312</v>
      </c>
      <c r="H1264" s="7" t="s">
        <v>313</v>
      </c>
      <c r="I1264" s="7" t="s">
        <v>366</v>
      </c>
      <c r="J1264" s="23" t="s">
        <v>1824</v>
      </c>
      <c r="K1264" s="12"/>
      <c r="L1264" s="12"/>
      <c r="M1264" s="10"/>
      <c r="N1264" s="10"/>
      <c r="O1264" s="10"/>
      <c r="P1264" s="10"/>
      <c r="Q1264" s="10"/>
      <c r="R1264" s="10"/>
      <c r="S1264" s="10"/>
      <c r="T1264" s="10"/>
      <c r="U1264" s="10"/>
      <c r="V1264" s="10"/>
      <c r="W1264" s="10"/>
      <c r="X1264" s="10"/>
      <c r="Y1264" s="10"/>
      <c r="Z1264" s="10"/>
      <c r="AA1264" s="10"/>
      <c r="AB1264" s="10"/>
      <c r="AC1264" s="10"/>
      <c r="AD1264" s="10"/>
      <c r="AE1264" s="10"/>
      <c r="AF1264" s="10"/>
    </row>
    <row r="1265">
      <c r="A1265" s="7"/>
      <c r="B1265" s="8">
        <v>109.0</v>
      </c>
      <c r="C1265" s="8">
        <v>17.0</v>
      </c>
      <c r="D1265" s="8" t="s">
        <v>1825</v>
      </c>
      <c r="E1265" s="7">
        <v>0.0</v>
      </c>
      <c r="F1265" s="7"/>
      <c r="G1265" s="7" t="s">
        <v>312</v>
      </c>
      <c r="H1265" s="7" t="s">
        <v>313</v>
      </c>
      <c r="I1265" s="10"/>
      <c r="J1265" s="11"/>
      <c r="K1265" s="12"/>
      <c r="L1265" s="12"/>
      <c r="M1265" s="10"/>
      <c r="N1265" s="10"/>
      <c r="O1265" s="10"/>
      <c r="P1265" s="10"/>
      <c r="Q1265" s="10"/>
      <c r="R1265" s="10"/>
      <c r="S1265" s="10"/>
      <c r="T1265" s="10"/>
      <c r="U1265" s="10"/>
      <c r="V1265" s="10"/>
      <c r="W1265" s="10"/>
      <c r="X1265" s="10"/>
      <c r="Y1265" s="10"/>
      <c r="Z1265" s="10"/>
      <c r="AA1265" s="10"/>
      <c r="AB1265" s="10"/>
      <c r="AC1265" s="10"/>
      <c r="AD1265" s="10"/>
      <c r="AE1265" s="10"/>
      <c r="AF1265" s="10"/>
    </row>
    <row r="1266">
      <c r="A1266" s="7"/>
      <c r="B1266" s="8">
        <v>109.0</v>
      </c>
      <c r="C1266" s="8">
        <v>18.0</v>
      </c>
      <c r="D1266" s="8" t="s">
        <v>1826</v>
      </c>
      <c r="E1266" s="7">
        <v>2.0</v>
      </c>
      <c r="F1266" s="7" t="s">
        <v>320</v>
      </c>
      <c r="G1266" s="7" t="s">
        <v>312</v>
      </c>
      <c r="H1266" s="7" t="s">
        <v>313</v>
      </c>
      <c r="I1266" s="7" t="s">
        <v>366</v>
      </c>
      <c r="J1266" s="23" t="s">
        <v>1827</v>
      </c>
      <c r="K1266" s="12"/>
      <c r="L1266" s="12"/>
      <c r="M1266" s="10"/>
      <c r="N1266" s="10"/>
      <c r="O1266" s="10"/>
      <c r="P1266" s="10"/>
      <c r="Q1266" s="10"/>
      <c r="R1266" s="10"/>
      <c r="S1266" s="10"/>
      <c r="T1266" s="10"/>
      <c r="U1266" s="10"/>
      <c r="V1266" s="10"/>
      <c r="W1266" s="10"/>
      <c r="X1266" s="10"/>
      <c r="Y1266" s="10"/>
      <c r="Z1266" s="10"/>
      <c r="AA1266" s="10"/>
      <c r="AB1266" s="10"/>
      <c r="AC1266" s="10"/>
      <c r="AD1266" s="10"/>
      <c r="AE1266" s="10"/>
      <c r="AF1266" s="10"/>
    </row>
    <row r="1267">
      <c r="A1267" s="7"/>
      <c r="B1267" s="8">
        <v>109.0</v>
      </c>
      <c r="C1267" s="8">
        <v>19.0</v>
      </c>
      <c r="D1267" s="8" t="s">
        <v>1828</v>
      </c>
      <c r="E1267" s="7">
        <v>2.0</v>
      </c>
      <c r="F1267" s="7" t="s">
        <v>320</v>
      </c>
      <c r="G1267" s="7" t="s">
        <v>312</v>
      </c>
      <c r="H1267" s="7" t="s">
        <v>313</v>
      </c>
      <c r="I1267" s="7" t="s">
        <v>366</v>
      </c>
      <c r="J1267" s="23" t="s">
        <v>1829</v>
      </c>
      <c r="K1267" s="12"/>
      <c r="L1267" s="12"/>
      <c r="M1267" s="10"/>
      <c r="N1267" s="10"/>
      <c r="O1267" s="10"/>
      <c r="P1267" s="10"/>
      <c r="Q1267" s="10"/>
      <c r="R1267" s="10"/>
      <c r="S1267" s="10"/>
      <c r="T1267" s="10"/>
      <c r="U1267" s="10"/>
      <c r="V1267" s="10"/>
      <c r="W1267" s="10"/>
      <c r="X1267" s="10"/>
      <c r="Y1267" s="10"/>
      <c r="Z1267" s="10"/>
      <c r="AA1267" s="10"/>
      <c r="AB1267" s="10"/>
      <c r="AC1267" s="10"/>
      <c r="AD1267" s="10"/>
      <c r="AE1267" s="10"/>
      <c r="AF1267" s="10"/>
    </row>
    <row r="1268">
      <c r="A1268" s="7"/>
      <c r="B1268" s="8">
        <v>109.0</v>
      </c>
      <c r="C1268" s="8">
        <v>20.0</v>
      </c>
      <c r="D1268" s="8" t="s">
        <v>1830</v>
      </c>
      <c r="E1268" s="7">
        <v>0.0</v>
      </c>
      <c r="F1268" s="7"/>
      <c r="G1268" s="7" t="s">
        <v>312</v>
      </c>
      <c r="H1268" s="7" t="s">
        <v>313</v>
      </c>
      <c r="I1268" s="10"/>
      <c r="J1268" s="11"/>
      <c r="K1268" s="12"/>
      <c r="L1268" s="12"/>
      <c r="M1268" s="10"/>
      <c r="N1268" s="10"/>
      <c r="O1268" s="10"/>
      <c r="P1268" s="10"/>
      <c r="Q1268" s="10"/>
      <c r="R1268" s="10"/>
      <c r="S1268" s="10"/>
      <c r="T1268" s="10"/>
      <c r="U1268" s="10"/>
      <c r="V1268" s="10"/>
      <c r="W1268" s="10"/>
      <c r="X1268" s="10"/>
      <c r="Y1268" s="10"/>
      <c r="Z1268" s="10"/>
      <c r="AA1268" s="10"/>
      <c r="AB1268" s="10"/>
      <c r="AC1268" s="10"/>
      <c r="AD1268" s="10"/>
      <c r="AE1268" s="10"/>
      <c r="AF1268" s="10"/>
    </row>
    <row r="1269">
      <c r="A1269" s="7"/>
      <c r="B1269" s="8">
        <v>109.0</v>
      </c>
      <c r="C1269" s="8">
        <v>21.0</v>
      </c>
      <c r="D1269" s="8" t="s">
        <v>1831</v>
      </c>
      <c r="E1269" s="7">
        <v>2.0</v>
      </c>
      <c r="F1269" s="7" t="s">
        <v>320</v>
      </c>
      <c r="G1269" s="7" t="s">
        <v>312</v>
      </c>
      <c r="H1269" s="7" t="s">
        <v>313</v>
      </c>
      <c r="I1269" s="7" t="s">
        <v>366</v>
      </c>
      <c r="J1269" s="23" t="s">
        <v>1832</v>
      </c>
      <c r="K1269" s="12"/>
      <c r="L1269" s="12"/>
      <c r="M1269" s="10"/>
      <c r="N1269" s="10"/>
      <c r="O1269" s="10"/>
      <c r="P1269" s="10"/>
      <c r="Q1269" s="10"/>
      <c r="R1269" s="10"/>
      <c r="S1269" s="10"/>
      <c r="T1269" s="10"/>
      <c r="U1269" s="10"/>
      <c r="V1269" s="10"/>
      <c r="W1269" s="10"/>
      <c r="X1269" s="10"/>
      <c r="Y1269" s="10"/>
      <c r="Z1269" s="10"/>
      <c r="AA1269" s="10"/>
      <c r="AB1269" s="10"/>
      <c r="AC1269" s="10"/>
      <c r="AD1269" s="10"/>
      <c r="AE1269" s="10"/>
      <c r="AF1269" s="10"/>
    </row>
    <row r="1270">
      <c r="A1270" s="7"/>
      <c r="B1270" s="8">
        <v>109.0</v>
      </c>
      <c r="C1270" s="8">
        <v>22.0</v>
      </c>
      <c r="D1270" s="8" t="s">
        <v>1833</v>
      </c>
      <c r="E1270" s="7">
        <v>0.0</v>
      </c>
      <c r="F1270" s="7"/>
      <c r="G1270" s="7" t="s">
        <v>312</v>
      </c>
      <c r="H1270" s="7" t="s">
        <v>313</v>
      </c>
      <c r="I1270" s="10"/>
      <c r="J1270" s="11"/>
      <c r="K1270" s="12"/>
      <c r="L1270" s="12"/>
      <c r="M1270" s="10"/>
      <c r="N1270" s="10"/>
      <c r="O1270" s="10"/>
      <c r="P1270" s="10"/>
      <c r="Q1270" s="10"/>
      <c r="R1270" s="10"/>
      <c r="S1270" s="10"/>
      <c r="T1270" s="10"/>
      <c r="U1270" s="10"/>
      <c r="V1270" s="10"/>
      <c r="W1270" s="10"/>
      <c r="X1270" s="10"/>
      <c r="Y1270" s="10"/>
      <c r="Z1270" s="10"/>
      <c r="AA1270" s="10"/>
      <c r="AB1270" s="10"/>
      <c r="AC1270" s="10"/>
      <c r="AD1270" s="10"/>
      <c r="AE1270" s="10"/>
      <c r="AF1270" s="10"/>
    </row>
    <row r="1271">
      <c r="A1271" s="7"/>
      <c r="B1271" s="8">
        <v>109.0</v>
      </c>
      <c r="C1271" s="8">
        <v>23.0</v>
      </c>
      <c r="D1271" s="8" t="s">
        <v>1834</v>
      </c>
      <c r="E1271" s="7">
        <v>2.0</v>
      </c>
      <c r="F1271" s="7" t="s">
        <v>320</v>
      </c>
      <c r="G1271" s="7" t="s">
        <v>312</v>
      </c>
      <c r="H1271" s="7" t="s">
        <v>313</v>
      </c>
      <c r="I1271" s="7"/>
      <c r="J1271" s="9" t="s">
        <v>1835</v>
      </c>
      <c r="K1271" s="8" t="s">
        <v>1579</v>
      </c>
      <c r="L1271" s="12"/>
      <c r="M1271" s="10"/>
      <c r="N1271" s="10"/>
      <c r="O1271" s="10"/>
      <c r="P1271" s="10"/>
      <c r="Q1271" s="10"/>
      <c r="R1271" s="10"/>
      <c r="S1271" s="10"/>
      <c r="T1271" s="10"/>
      <c r="U1271" s="10"/>
      <c r="V1271" s="10"/>
      <c r="W1271" s="10"/>
      <c r="X1271" s="10"/>
      <c r="Y1271" s="10"/>
      <c r="Z1271" s="10"/>
      <c r="AA1271" s="10"/>
      <c r="AB1271" s="10"/>
      <c r="AC1271" s="10"/>
      <c r="AD1271" s="10"/>
      <c r="AE1271" s="10"/>
      <c r="AF1271" s="10"/>
    </row>
    <row r="1272">
      <c r="A1272" s="7"/>
      <c r="B1272" s="8">
        <v>109.0</v>
      </c>
      <c r="C1272" s="8">
        <v>24.0</v>
      </c>
      <c r="D1272" s="8" t="s">
        <v>1836</v>
      </c>
      <c r="E1272" s="7">
        <v>0.0</v>
      </c>
      <c r="F1272" s="7"/>
      <c r="G1272" s="7" t="s">
        <v>312</v>
      </c>
      <c r="H1272" s="7" t="s">
        <v>313</v>
      </c>
      <c r="I1272" s="10"/>
      <c r="J1272" s="24"/>
      <c r="K1272" s="12"/>
      <c r="L1272" s="12"/>
      <c r="M1272" s="10"/>
      <c r="N1272" s="10"/>
      <c r="O1272" s="10"/>
      <c r="P1272" s="10"/>
      <c r="Q1272" s="10"/>
      <c r="R1272" s="10"/>
      <c r="S1272" s="10"/>
      <c r="T1272" s="10"/>
      <c r="U1272" s="10"/>
      <c r="V1272" s="10"/>
      <c r="W1272" s="10"/>
      <c r="X1272" s="10"/>
      <c r="Y1272" s="10"/>
      <c r="Z1272" s="10"/>
      <c r="AA1272" s="10"/>
      <c r="AB1272" s="10"/>
      <c r="AC1272" s="10"/>
      <c r="AD1272" s="10"/>
      <c r="AE1272" s="10"/>
      <c r="AF1272" s="10"/>
    </row>
    <row r="1273">
      <c r="A1273" s="7"/>
      <c r="B1273" s="8">
        <v>109.0</v>
      </c>
      <c r="C1273" s="8">
        <v>25.0</v>
      </c>
      <c r="D1273" s="8" t="s">
        <v>1837</v>
      </c>
      <c r="E1273" s="7">
        <v>2.0</v>
      </c>
      <c r="F1273" s="7" t="s">
        <v>320</v>
      </c>
      <c r="G1273" s="7" t="s">
        <v>312</v>
      </c>
      <c r="H1273" s="7" t="s">
        <v>313</v>
      </c>
      <c r="I1273" s="7" t="s">
        <v>366</v>
      </c>
      <c r="J1273" s="23" t="s">
        <v>1838</v>
      </c>
      <c r="K1273" s="12"/>
      <c r="L1273" s="12"/>
      <c r="M1273" s="10"/>
      <c r="N1273" s="10"/>
      <c r="O1273" s="10"/>
      <c r="P1273" s="10"/>
      <c r="Q1273" s="10"/>
      <c r="R1273" s="10"/>
      <c r="S1273" s="10"/>
      <c r="T1273" s="10"/>
      <c r="U1273" s="10"/>
      <c r="V1273" s="10"/>
      <c r="W1273" s="10"/>
      <c r="X1273" s="10"/>
      <c r="Y1273" s="10"/>
      <c r="Z1273" s="10"/>
      <c r="AA1273" s="10"/>
      <c r="AB1273" s="10"/>
      <c r="AC1273" s="10"/>
      <c r="AD1273" s="10"/>
      <c r="AE1273" s="10"/>
      <c r="AF1273" s="10"/>
    </row>
    <row r="1274">
      <c r="A1274" s="7"/>
      <c r="B1274" s="8">
        <v>109.0</v>
      </c>
      <c r="C1274" s="8">
        <v>26.0</v>
      </c>
      <c r="D1274" s="8" t="s">
        <v>1839</v>
      </c>
      <c r="E1274" s="7">
        <v>2.0</v>
      </c>
      <c r="F1274" s="7" t="s">
        <v>320</v>
      </c>
      <c r="G1274" s="7" t="s">
        <v>312</v>
      </c>
      <c r="H1274" s="7" t="s">
        <v>313</v>
      </c>
      <c r="I1274" s="7" t="s">
        <v>366</v>
      </c>
      <c r="J1274" s="23" t="s">
        <v>1840</v>
      </c>
      <c r="K1274" s="12"/>
      <c r="L1274" s="12"/>
      <c r="M1274" s="10"/>
      <c r="N1274" s="10"/>
      <c r="O1274" s="10"/>
      <c r="P1274" s="10"/>
      <c r="Q1274" s="10"/>
      <c r="R1274" s="10"/>
      <c r="S1274" s="10"/>
      <c r="T1274" s="10"/>
      <c r="U1274" s="10"/>
      <c r="V1274" s="10"/>
      <c r="W1274" s="10"/>
      <c r="X1274" s="10"/>
      <c r="Y1274" s="10"/>
      <c r="Z1274" s="10"/>
      <c r="AA1274" s="10"/>
      <c r="AB1274" s="10"/>
      <c r="AC1274" s="10"/>
      <c r="AD1274" s="10"/>
      <c r="AE1274" s="10"/>
      <c r="AF1274" s="10"/>
    </row>
    <row r="1275">
      <c r="A1275" s="7"/>
      <c r="B1275" s="8">
        <v>109.0</v>
      </c>
      <c r="C1275" s="8">
        <v>27.0</v>
      </c>
      <c r="D1275" s="8" t="s">
        <v>1841</v>
      </c>
      <c r="E1275" s="7">
        <v>0.0</v>
      </c>
      <c r="F1275" s="7"/>
      <c r="G1275" s="7" t="s">
        <v>312</v>
      </c>
      <c r="H1275" s="7" t="s">
        <v>313</v>
      </c>
      <c r="I1275" s="10"/>
      <c r="J1275" s="11"/>
      <c r="K1275" s="12"/>
      <c r="L1275" s="12"/>
      <c r="M1275" s="10"/>
      <c r="N1275" s="10"/>
      <c r="O1275" s="10"/>
      <c r="P1275" s="10"/>
      <c r="Q1275" s="10"/>
      <c r="R1275" s="10"/>
      <c r="S1275" s="10"/>
      <c r="T1275" s="10"/>
      <c r="U1275" s="10"/>
      <c r="V1275" s="10"/>
      <c r="W1275" s="10"/>
      <c r="X1275" s="10"/>
      <c r="Y1275" s="10"/>
      <c r="Z1275" s="10"/>
      <c r="AA1275" s="10"/>
      <c r="AB1275" s="10"/>
      <c r="AC1275" s="10"/>
      <c r="AD1275" s="10"/>
      <c r="AE1275" s="10"/>
      <c r="AF1275" s="10"/>
    </row>
    <row r="1276">
      <c r="A1276" s="7"/>
      <c r="B1276" s="8">
        <v>109.0</v>
      </c>
      <c r="C1276" s="8">
        <v>28.0</v>
      </c>
      <c r="D1276" s="8" t="s">
        <v>1842</v>
      </c>
      <c r="E1276" s="7">
        <v>2.0</v>
      </c>
      <c r="F1276" s="7" t="s">
        <v>320</v>
      </c>
      <c r="G1276" s="7" t="s">
        <v>312</v>
      </c>
      <c r="H1276" s="7" t="s">
        <v>313</v>
      </c>
      <c r="I1276" s="10"/>
      <c r="J1276" s="9" t="s">
        <v>1843</v>
      </c>
      <c r="K1276" s="8" t="s">
        <v>1579</v>
      </c>
      <c r="L1276" s="12"/>
      <c r="M1276" s="10"/>
      <c r="N1276" s="10"/>
      <c r="O1276" s="10"/>
      <c r="P1276" s="10"/>
      <c r="Q1276" s="10"/>
      <c r="R1276" s="10"/>
      <c r="S1276" s="10"/>
      <c r="T1276" s="10"/>
      <c r="U1276" s="10"/>
      <c r="V1276" s="10"/>
      <c r="W1276" s="10"/>
      <c r="X1276" s="10"/>
      <c r="Y1276" s="10"/>
      <c r="Z1276" s="10"/>
      <c r="AA1276" s="10"/>
      <c r="AB1276" s="10"/>
      <c r="AC1276" s="10"/>
      <c r="AD1276" s="10"/>
      <c r="AE1276" s="10"/>
      <c r="AF1276" s="10"/>
    </row>
    <row r="1277">
      <c r="A1277" s="10"/>
      <c r="B1277" s="12"/>
      <c r="C1277" s="12"/>
      <c r="D1277" s="12"/>
      <c r="E1277" s="10"/>
      <c r="F1277" s="10"/>
      <c r="G1277" s="10"/>
      <c r="H1277" s="10"/>
      <c r="I1277" s="10"/>
      <c r="J1277" s="11"/>
      <c r="K1277" s="12"/>
      <c r="L1277" s="12"/>
      <c r="M1277" s="10"/>
      <c r="N1277" s="10"/>
      <c r="O1277" s="10"/>
      <c r="P1277" s="10"/>
      <c r="Q1277" s="10"/>
      <c r="R1277" s="10"/>
      <c r="S1277" s="10"/>
      <c r="T1277" s="10"/>
      <c r="U1277" s="10"/>
      <c r="V1277" s="10"/>
      <c r="W1277" s="10"/>
      <c r="X1277" s="10"/>
      <c r="Y1277" s="10"/>
      <c r="Z1277" s="10"/>
      <c r="AA1277" s="10"/>
      <c r="AB1277" s="10"/>
      <c r="AC1277" s="10"/>
      <c r="AD1277" s="10"/>
      <c r="AE1277" s="10"/>
      <c r="AF1277" s="10"/>
    </row>
    <row r="1278">
      <c r="A1278" s="7"/>
      <c r="B1278" s="8">
        <v>110.0</v>
      </c>
      <c r="C1278" s="8">
        <v>1.0</v>
      </c>
      <c r="D1278" s="8" t="s">
        <v>1844</v>
      </c>
      <c r="E1278" s="7">
        <v>0.0</v>
      </c>
      <c r="F1278" s="7"/>
      <c r="G1278" s="7" t="s">
        <v>312</v>
      </c>
      <c r="H1278" s="7" t="s">
        <v>313</v>
      </c>
      <c r="I1278" s="10"/>
      <c r="J1278" s="24"/>
      <c r="K1278" s="12"/>
      <c r="L1278" s="12"/>
      <c r="M1278" s="10"/>
      <c r="N1278" s="10"/>
      <c r="O1278" s="10"/>
      <c r="P1278" s="10"/>
      <c r="Q1278" s="10"/>
      <c r="R1278" s="10"/>
      <c r="S1278" s="10"/>
      <c r="T1278" s="10"/>
      <c r="U1278" s="10"/>
      <c r="V1278" s="10"/>
      <c r="W1278" s="10"/>
      <c r="X1278" s="10"/>
      <c r="Y1278" s="10"/>
      <c r="Z1278" s="10"/>
      <c r="AA1278" s="10"/>
      <c r="AB1278" s="10"/>
      <c r="AC1278" s="10"/>
      <c r="AD1278" s="10"/>
      <c r="AE1278" s="10"/>
      <c r="AF1278" s="10"/>
    </row>
    <row r="1279">
      <c r="A1279" s="7"/>
      <c r="B1279" s="8">
        <v>110.0</v>
      </c>
      <c r="C1279" s="8">
        <v>2.0</v>
      </c>
      <c r="D1279" s="8" t="s">
        <v>1845</v>
      </c>
      <c r="E1279" s="7">
        <v>2.0</v>
      </c>
      <c r="F1279" s="7" t="s">
        <v>320</v>
      </c>
      <c r="G1279" s="7" t="s">
        <v>312</v>
      </c>
      <c r="H1279" s="7" t="s">
        <v>313</v>
      </c>
      <c r="I1279" s="10"/>
      <c r="J1279" s="9" t="s">
        <v>1846</v>
      </c>
      <c r="K1279" s="8" t="s">
        <v>1579</v>
      </c>
      <c r="L1279" s="12"/>
      <c r="M1279" s="10"/>
      <c r="N1279" s="10"/>
      <c r="O1279" s="10"/>
      <c r="P1279" s="10"/>
      <c r="Q1279" s="10"/>
      <c r="R1279" s="10"/>
      <c r="S1279" s="10"/>
      <c r="T1279" s="10"/>
      <c r="U1279" s="10"/>
      <c r="V1279" s="10"/>
      <c r="W1279" s="10"/>
      <c r="X1279" s="10"/>
      <c r="Y1279" s="10"/>
      <c r="Z1279" s="10"/>
      <c r="AA1279" s="10"/>
      <c r="AB1279" s="10"/>
      <c r="AC1279" s="10"/>
      <c r="AD1279" s="10"/>
      <c r="AE1279" s="10"/>
      <c r="AF1279" s="10"/>
    </row>
    <row r="1280">
      <c r="A1280" s="7"/>
      <c r="B1280" s="8">
        <v>110.0</v>
      </c>
      <c r="C1280" s="8">
        <v>3.0</v>
      </c>
      <c r="D1280" s="8" t="s">
        <v>1847</v>
      </c>
      <c r="E1280" s="7">
        <v>2.0</v>
      </c>
      <c r="F1280" s="7" t="s">
        <v>320</v>
      </c>
      <c r="G1280" s="7" t="s">
        <v>312</v>
      </c>
      <c r="H1280" s="7" t="s">
        <v>313</v>
      </c>
      <c r="I1280" s="10"/>
      <c r="J1280" s="9" t="s">
        <v>1848</v>
      </c>
      <c r="K1280" s="8" t="s">
        <v>1579</v>
      </c>
      <c r="L1280" s="12"/>
      <c r="M1280" s="10"/>
      <c r="N1280" s="10"/>
      <c r="O1280" s="10"/>
      <c r="P1280" s="10"/>
      <c r="Q1280" s="10"/>
      <c r="R1280" s="10"/>
      <c r="S1280" s="10"/>
      <c r="T1280" s="10"/>
      <c r="U1280" s="10"/>
      <c r="V1280" s="10"/>
      <c r="W1280" s="10"/>
      <c r="X1280" s="10"/>
      <c r="Y1280" s="10"/>
      <c r="Z1280" s="10"/>
      <c r="AA1280" s="10"/>
      <c r="AB1280" s="10"/>
      <c r="AC1280" s="10"/>
      <c r="AD1280" s="10"/>
      <c r="AE1280" s="10"/>
      <c r="AF1280" s="10"/>
    </row>
    <row r="1281">
      <c r="A1281" s="10"/>
      <c r="B1281" s="12"/>
      <c r="C1281" s="12"/>
      <c r="D1281" s="12"/>
      <c r="E1281" s="10"/>
      <c r="F1281" s="10"/>
      <c r="G1281" s="10"/>
      <c r="H1281" s="10"/>
      <c r="I1281" s="10"/>
      <c r="J1281" s="11"/>
      <c r="K1281" s="12"/>
      <c r="L1281" s="12"/>
      <c r="M1281" s="10"/>
      <c r="N1281" s="10"/>
      <c r="O1281" s="10"/>
      <c r="P1281" s="10"/>
      <c r="Q1281" s="10"/>
      <c r="R1281" s="10"/>
      <c r="S1281" s="10"/>
      <c r="T1281" s="10"/>
      <c r="U1281" s="10"/>
      <c r="V1281" s="10"/>
      <c r="W1281" s="10"/>
      <c r="X1281" s="10"/>
      <c r="Y1281" s="10"/>
      <c r="Z1281" s="10"/>
      <c r="AA1281" s="10"/>
      <c r="AB1281" s="10"/>
      <c r="AC1281" s="10"/>
      <c r="AD1281" s="10"/>
      <c r="AE1281" s="10"/>
      <c r="AF1281" s="10"/>
    </row>
    <row r="1282">
      <c r="A1282" s="7"/>
      <c r="B1282" s="8">
        <v>111.0</v>
      </c>
      <c r="C1282" s="8">
        <v>1.0</v>
      </c>
      <c r="D1282" s="8" t="s">
        <v>1849</v>
      </c>
      <c r="E1282" s="7">
        <v>0.0</v>
      </c>
      <c r="F1282" s="7"/>
      <c r="G1282" s="7" t="s">
        <v>312</v>
      </c>
      <c r="H1282" s="7" t="s">
        <v>313</v>
      </c>
      <c r="I1282" s="10"/>
      <c r="J1282" s="9" t="s">
        <v>1850</v>
      </c>
      <c r="K1282" s="12"/>
      <c r="L1282" s="12"/>
      <c r="M1282" s="10"/>
      <c r="N1282" s="10"/>
      <c r="O1282" s="10"/>
      <c r="P1282" s="10"/>
      <c r="Q1282" s="10"/>
      <c r="R1282" s="10"/>
      <c r="S1282" s="10"/>
      <c r="T1282" s="10"/>
      <c r="U1282" s="10"/>
      <c r="V1282" s="10"/>
      <c r="W1282" s="10"/>
      <c r="X1282" s="10"/>
      <c r="Y1282" s="10"/>
      <c r="Z1282" s="10"/>
      <c r="AA1282" s="10"/>
      <c r="AB1282" s="10"/>
      <c r="AC1282" s="10"/>
      <c r="AD1282" s="10"/>
      <c r="AE1282" s="10"/>
      <c r="AF1282" s="10"/>
    </row>
    <row r="1283">
      <c r="A1283" s="7"/>
      <c r="B1283" s="8">
        <v>111.0</v>
      </c>
      <c r="C1283" s="8">
        <v>2.0</v>
      </c>
      <c r="D1283" s="8" t="s">
        <v>1851</v>
      </c>
      <c r="E1283" s="7">
        <v>0.0</v>
      </c>
      <c r="F1283" s="7"/>
      <c r="G1283" s="7" t="s">
        <v>312</v>
      </c>
      <c r="H1283" s="7" t="s">
        <v>313</v>
      </c>
      <c r="I1283" s="10"/>
      <c r="J1283" s="9" t="s">
        <v>1852</v>
      </c>
      <c r="K1283" s="12"/>
      <c r="L1283" s="12"/>
      <c r="M1283" s="10"/>
      <c r="N1283" s="10"/>
      <c r="O1283" s="10"/>
      <c r="P1283" s="10"/>
      <c r="Q1283" s="10"/>
      <c r="R1283" s="10"/>
      <c r="S1283" s="10"/>
      <c r="T1283" s="10"/>
      <c r="U1283" s="10"/>
      <c r="V1283" s="10"/>
      <c r="W1283" s="10"/>
      <c r="X1283" s="10"/>
      <c r="Y1283" s="10"/>
      <c r="Z1283" s="10"/>
      <c r="AA1283" s="10"/>
      <c r="AB1283" s="10"/>
      <c r="AC1283" s="10"/>
      <c r="AD1283" s="10"/>
      <c r="AE1283" s="10"/>
      <c r="AF1283" s="10"/>
    </row>
    <row r="1284">
      <c r="A1284" s="7"/>
      <c r="B1284" s="8">
        <v>111.0</v>
      </c>
      <c r="C1284" s="8">
        <v>3.0</v>
      </c>
      <c r="D1284" s="8" t="s">
        <v>1853</v>
      </c>
      <c r="E1284" s="7">
        <v>0.0</v>
      </c>
      <c r="F1284" s="7"/>
      <c r="G1284" s="7" t="s">
        <v>312</v>
      </c>
      <c r="H1284" s="7" t="s">
        <v>313</v>
      </c>
      <c r="I1284" s="10"/>
      <c r="J1284" s="11"/>
      <c r="K1284" s="12"/>
      <c r="L1284" s="12"/>
      <c r="M1284" s="10"/>
      <c r="N1284" s="10"/>
      <c r="O1284" s="10"/>
      <c r="P1284" s="10"/>
      <c r="Q1284" s="10"/>
      <c r="R1284" s="10"/>
      <c r="S1284" s="10"/>
      <c r="T1284" s="10"/>
      <c r="U1284" s="10"/>
      <c r="V1284" s="10"/>
      <c r="W1284" s="10"/>
      <c r="X1284" s="10"/>
      <c r="Y1284" s="10"/>
      <c r="Z1284" s="10"/>
      <c r="AA1284" s="10"/>
      <c r="AB1284" s="10"/>
      <c r="AC1284" s="10"/>
      <c r="AD1284" s="10"/>
      <c r="AE1284" s="10"/>
      <c r="AF1284" s="10"/>
    </row>
    <row r="1285">
      <c r="A1285" s="7"/>
      <c r="B1285" s="8">
        <v>111.0</v>
      </c>
      <c r="C1285" s="8">
        <v>4.0</v>
      </c>
      <c r="D1285" s="8" t="s">
        <v>1854</v>
      </c>
      <c r="E1285" s="7">
        <v>0.0</v>
      </c>
      <c r="F1285" s="7"/>
      <c r="G1285" s="7" t="s">
        <v>312</v>
      </c>
      <c r="H1285" s="7" t="s">
        <v>313</v>
      </c>
      <c r="I1285" s="10"/>
      <c r="J1285" s="11"/>
      <c r="K1285" s="12"/>
      <c r="L1285" s="12"/>
      <c r="M1285" s="10"/>
      <c r="N1285" s="10"/>
      <c r="O1285" s="10"/>
      <c r="P1285" s="10"/>
      <c r="Q1285" s="10"/>
      <c r="R1285" s="10"/>
      <c r="S1285" s="10"/>
      <c r="T1285" s="10"/>
      <c r="U1285" s="10"/>
      <c r="V1285" s="10"/>
      <c r="W1285" s="10"/>
      <c r="X1285" s="10"/>
      <c r="Y1285" s="10"/>
      <c r="Z1285" s="10"/>
      <c r="AA1285" s="10"/>
      <c r="AB1285" s="10"/>
      <c r="AC1285" s="10"/>
      <c r="AD1285" s="10"/>
      <c r="AE1285" s="10"/>
      <c r="AF1285" s="10"/>
    </row>
    <row r="1286">
      <c r="A1286" s="7"/>
      <c r="B1286" s="8">
        <v>111.0</v>
      </c>
      <c r="C1286" s="8">
        <v>5.0</v>
      </c>
      <c r="D1286" s="8" t="s">
        <v>1855</v>
      </c>
      <c r="E1286" s="7">
        <v>2.0</v>
      </c>
      <c r="F1286" s="7" t="s">
        <v>320</v>
      </c>
      <c r="G1286" s="7" t="s">
        <v>312</v>
      </c>
      <c r="H1286" s="7" t="s">
        <v>313</v>
      </c>
      <c r="I1286" s="10"/>
      <c r="J1286" s="11"/>
      <c r="K1286" s="8" t="s">
        <v>1579</v>
      </c>
      <c r="L1286" s="12"/>
      <c r="M1286" s="10"/>
      <c r="N1286" s="10"/>
      <c r="O1286" s="10"/>
      <c r="P1286" s="10"/>
      <c r="Q1286" s="10"/>
      <c r="R1286" s="10"/>
      <c r="S1286" s="10"/>
      <c r="T1286" s="10"/>
      <c r="U1286" s="10"/>
      <c r="V1286" s="10"/>
      <c r="W1286" s="10"/>
      <c r="X1286" s="10"/>
      <c r="Y1286" s="10"/>
      <c r="Z1286" s="10"/>
      <c r="AA1286" s="10"/>
      <c r="AB1286" s="10"/>
      <c r="AC1286" s="10"/>
      <c r="AD1286" s="10"/>
      <c r="AE1286" s="10"/>
      <c r="AF1286" s="10"/>
    </row>
    <row r="1287">
      <c r="A1287" s="7"/>
      <c r="B1287" s="8">
        <v>111.0</v>
      </c>
      <c r="C1287" s="8">
        <v>6.0</v>
      </c>
      <c r="D1287" s="8" t="s">
        <v>1856</v>
      </c>
      <c r="E1287" s="7">
        <v>0.0</v>
      </c>
      <c r="F1287" s="7"/>
      <c r="G1287" s="7" t="s">
        <v>312</v>
      </c>
      <c r="H1287" s="7" t="s">
        <v>313</v>
      </c>
      <c r="I1287" s="10"/>
      <c r="J1287" s="11"/>
      <c r="K1287" s="12"/>
      <c r="L1287" s="12"/>
      <c r="M1287" s="10"/>
      <c r="N1287" s="10"/>
      <c r="O1287" s="10"/>
      <c r="P1287" s="10"/>
      <c r="Q1287" s="10"/>
      <c r="R1287" s="10"/>
      <c r="S1287" s="10"/>
      <c r="T1287" s="10"/>
      <c r="U1287" s="10"/>
      <c r="V1287" s="10"/>
      <c r="W1287" s="10"/>
      <c r="X1287" s="10"/>
      <c r="Y1287" s="10"/>
      <c r="Z1287" s="10"/>
      <c r="AA1287" s="10"/>
      <c r="AB1287" s="10"/>
      <c r="AC1287" s="10"/>
      <c r="AD1287" s="10"/>
      <c r="AE1287" s="10"/>
      <c r="AF1287" s="10"/>
    </row>
    <row r="1288">
      <c r="A1288" s="7"/>
      <c r="B1288" s="8">
        <v>111.0</v>
      </c>
      <c r="C1288" s="8">
        <v>7.0</v>
      </c>
      <c r="D1288" s="8" t="s">
        <v>1857</v>
      </c>
      <c r="E1288" s="7">
        <v>0.0</v>
      </c>
      <c r="F1288" s="7"/>
      <c r="G1288" s="7" t="s">
        <v>312</v>
      </c>
      <c r="H1288" s="7" t="s">
        <v>313</v>
      </c>
      <c r="I1288" s="10"/>
      <c r="J1288" s="11"/>
      <c r="K1288" s="12"/>
      <c r="L1288" s="12"/>
      <c r="M1288" s="10"/>
      <c r="N1288" s="10"/>
      <c r="O1288" s="10"/>
      <c r="P1288" s="10"/>
      <c r="Q1288" s="10"/>
      <c r="R1288" s="10"/>
      <c r="S1288" s="10"/>
      <c r="T1288" s="10"/>
      <c r="U1288" s="10"/>
      <c r="V1288" s="10"/>
      <c r="W1288" s="10"/>
      <c r="X1288" s="10"/>
      <c r="Y1288" s="10"/>
      <c r="Z1288" s="10"/>
      <c r="AA1288" s="10"/>
      <c r="AB1288" s="10"/>
      <c r="AC1288" s="10"/>
      <c r="AD1288" s="10"/>
      <c r="AE1288" s="10"/>
      <c r="AF1288" s="10"/>
    </row>
    <row r="1289">
      <c r="A1289" s="7"/>
      <c r="B1289" s="8">
        <v>111.0</v>
      </c>
      <c r="C1289" s="8">
        <v>8.0</v>
      </c>
      <c r="D1289" s="8" t="s">
        <v>1858</v>
      </c>
      <c r="E1289" s="7">
        <v>0.0</v>
      </c>
      <c r="F1289" s="7"/>
      <c r="G1289" s="7" t="s">
        <v>312</v>
      </c>
      <c r="H1289" s="7" t="s">
        <v>313</v>
      </c>
      <c r="I1289" s="10"/>
      <c r="J1289" s="11"/>
      <c r="K1289" s="12"/>
      <c r="L1289" s="12"/>
      <c r="M1289" s="10"/>
      <c r="N1289" s="10"/>
      <c r="O1289" s="10"/>
      <c r="P1289" s="10"/>
      <c r="Q1289" s="10"/>
      <c r="R1289" s="10"/>
      <c r="S1289" s="10"/>
      <c r="T1289" s="10"/>
      <c r="U1289" s="10"/>
      <c r="V1289" s="10"/>
      <c r="W1289" s="10"/>
      <c r="X1289" s="10"/>
      <c r="Y1289" s="10"/>
      <c r="Z1289" s="10"/>
      <c r="AA1289" s="10"/>
      <c r="AB1289" s="10"/>
      <c r="AC1289" s="10"/>
      <c r="AD1289" s="10"/>
      <c r="AE1289" s="10"/>
      <c r="AF1289" s="10"/>
    </row>
    <row r="1290">
      <c r="A1290" s="7"/>
      <c r="B1290" s="8">
        <v>111.0</v>
      </c>
      <c r="C1290" s="8">
        <v>9.0</v>
      </c>
      <c r="D1290" s="8" t="s">
        <v>1859</v>
      </c>
      <c r="E1290" s="7">
        <v>2.0</v>
      </c>
      <c r="F1290" s="7" t="s">
        <v>320</v>
      </c>
      <c r="G1290" s="7" t="s">
        <v>312</v>
      </c>
      <c r="H1290" s="7" t="s">
        <v>313</v>
      </c>
      <c r="I1290" s="10"/>
      <c r="J1290" s="11"/>
      <c r="K1290" s="8" t="s">
        <v>1579</v>
      </c>
      <c r="L1290" s="12"/>
      <c r="M1290" s="10"/>
      <c r="N1290" s="10"/>
      <c r="O1290" s="10"/>
      <c r="P1290" s="10"/>
      <c r="Q1290" s="10"/>
      <c r="R1290" s="10"/>
      <c r="S1290" s="10"/>
      <c r="T1290" s="10"/>
      <c r="U1290" s="10"/>
      <c r="V1290" s="10"/>
      <c r="W1290" s="10"/>
      <c r="X1290" s="10"/>
      <c r="Y1290" s="10"/>
      <c r="Z1290" s="10"/>
      <c r="AA1290" s="10"/>
      <c r="AB1290" s="10"/>
      <c r="AC1290" s="10"/>
      <c r="AD1290" s="10"/>
      <c r="AE1290" s="10"/>
      <c r="AF1290" s="10"/>
    </row>
    <row r="1291">
      <c r="A1291" s="7"/>
      <c r="B1291" s="8">
        <v>111.0</v>
      </c>
      <c r="C1291" s="8">
        <v>10.0</v>
      </c>
      <c r="D1291" s="8" t="s">
        <v>1860</v>
      </c>
      <c r="E1291" s="7">
        <v>0.0</v>
      </c>
      <c r="F1291" s="7"/>
      <c r="G1291" s="7" t="s">
        <v>312</v>
      </c>
      <c r="H1291" s="7" t="s">
        <v>313</v>
      </c>
      <c r="I1291" s="10"/>
      <c r="J1291" s="11"/>
      <c r="K1291" s="12"/>
      <c r="L1291" s="12"/>
      <c r="M1291" s="10"/>
      <c r="N1291" s="10"/>
      <c r="O1291" s="10"/>
      <c r="P1291" s="10"/>
      <c r="Q1291" s="10"/>
      <c r="R1291" s="10"/>
      <c r="S1291" s="10"/>
      <c r="T1291" s="10"/>
      <c r="U1291" s="10"/>
      <c r="V1291" s="10"/>
      <c r="W1291" s="10"/>
      <c r="X1291" s="10"/>
      <c r="Y1291" s="10"/>
      <c r="Z1291" s="10"/>
      <c r="AA1291" s="10"/>
      <c r="AB1291" s="10"/>
      <c r="AC1291" s="10"/>
      <c r="AD1291" s="10"/>
      <c r="AE1291" s="10"/>
      <c r="AF1291" s="10"/>
    </row>
    <row r="1292">
      <c r="A1292" s="7"/>
      <c r="B1292" s="8">
        <v>111.0</v>
      </c>
      <c r="C1292" s="8">
        <v>11.0</v>
      </c>
      <c r="D1292" s="8" t="s">
        <v>1861</v>
      </c>
      <c r="E1292" s="7">
        <v>0.0</v>
      </c>
      <c r="F1292" s="7"/>
      <c r="G1292" s="7" t="s">
        <v>312</v>
      </c>
      <c r="H1292" s="7" t="s">
        <v>313</v>
      </c>
      <c r="I1292" s="10"/>
      <c r="J1292" s="11"/>
      <c r="K1292" s="12"/>
      <c r="L1292" s="12"/>
      <c r="M1292" s="10"/>
      <c r="N1292" s="10"/>
      <c r="O1292" s="10"/>
      <c r="P1292" s="10"/>
      <c r="Q1292" s="10"/>
      <c r="R1292" s="10"/>
      <c r="S1292" s="10"/>
      <c r="T1292" s="10"/>
      <c r="U1292" s="10"/>
      <c r="V1292" s="10"/>
      <c r="W1292" s="10"/>
      <c r="X1292" s="10"/>
      <c r="Y1292" s="10"/>
      <c r="Z1292" s="10"/>
      <c r="AA1292" s="10"/>
      <c r="AB1292" s="10"/>
      <c r="AC1292" s="10"/>
      <c r="AD1292" s="10"/>
      <c r="AE1292" s="10"/>
      <c r="AF1292" s="10"/>
    </row>
    <row r="1293">
      <c r="A1293" s="7"/>
      <c r="B1293" s="8">
        <v>111.0</v>
      </c>
      <c r="C1293" s="8">
        <v>12.0</v>
      </c>
      <c r="D1293" s="8" t="s">
        <v>1862</v>
      </c>
      <c r="E1293" s="7">
        <v>2.0</v>
      </c>
      <c r="F1293" s="7" t="s">
        <v>320</v>
      </c>
      <c r="G1293" s="7" t="s">
        <v>312</v>
      </c>
      <c r="H1293" s="7" t="s">
        <v>313</v>
      </c>
      <c r="I1293" s="10"/>
      <c r="J1293" s="11"/>
      <c r="K1293" s="8" t="s">
        <v>1579</v>
      </c>
      <c r="L1293" s="12"/>
      <c r="M1293" s="10"/>
      <c r="N1293" s="10"/>
      <c r="O1293" s="10"/>
      <c r="P1293" s="10"/>
      <c r="Q1293" s="10"/>
      <c r="R1293" s="10"/>
      <c r="S1293" s="10"/>
      <c r="T1293" s="10"/>
      <c r="U1293" s="10"/>
      <c r="V1293" s="10"/>
      <c r="W1293" s="10"/>
      <c r="X1293" s="10"/>
      <c r="Y1293" s="10"/>
      <c r="Z1293" s="10"/>
      <c r="AA1293" s="10"/>
      <c r="AB1293" s="10"/>
      <c r="AC1293" s="10"/>
      <c r="AD1293" s="10"/>
      <c r="AE1293" s="10"/>
      <c r="AF1293" s="10"/>
    </row>
    <row r="1294">
      <c r="A1294" s="7"/>
      <c r="B1294" s="8">
        <v>111.0</v>
      </c>
      <c r="C1294" s="8">
        <v>13.0</v>
      </c>
      <c r="D1294" s="8" t="s">
        <v>1863</v>
      </c>
      <c r="E1294" s="7">
        <v>0.0</v>
      </c>
      <c r="F1294" s="7"/>
      <c r="G1294" s="7" t="s">
        <v>312</v>
      </c>
      <c r="H1294" s="7" t="s">
        <v>313</v>
      </c>
      <c r="I1294" s="10"/>
      <c r="J1294" s="11"/>
      <c r="K1294" s="12"/>
      <c r="L1294" s="12"/>
      <c r="M1294" s="10"/>
      <c r="N1294" s="10"/>
      <c r="O1294" s="10"/>
      <c r="P1294" s="10"/>
      <c r="Q1294" s="10"/>
      <c r="R1294" s="10"/>
      <c r="S1294" s="10"/>
      <c r="T1294" s="10"/>
      <c r="U1294" s="10"/>
      <c r="V1294" s="10"/>
      <c r="W1294" s="10"/>
      <c r="X1294" s="10"/>
      <c r="Y1294" s="10"/>
      <c r="Z1294" s="10"/>
      <c r="AA1294" s="10"/>
      <c r="AB1294" s="10"/>
      <c r="AC1294" s="10"/>
      <c r="AD1294" s="10"/>
      <c r="AE1294" s="10"/>
      <c r="AF1294" s="10"/>
    </row>
    <row r="1295">
      <c r="A1295" s="7"/>
      <c r="B1295" s="8">
        <v>111.0</v>
      </c>
      <c r="C1295" s="8">
        <v>14.0</v>
      </c>
      <c r="D1295" s="8" t="s">
        <v>1864</v>
      </c>
      <c r="E1295" s="7">
        <v>2.0</v>
      </c>
      <c r="F1295" s="7" t="s">
        <v>320</v>
      </c>
      <c r="G1295" s="7" t="s">
        <v>312</v>
      </c>
      <c r="H1295" s="7" t="s">
        <v>313</v>
      </c>
      <c r="I1295" s="7" t="s">
        <v>366</v>
      </c>
      <c r="J1295" s="9" t="s">
        <v>1865</v>
      </c>
      <c r="K1295" s="12"/>
      <c r="L1295" s="12"/>
      <c r="M1295" s="10"/>
      <c r="N1295" s="10"/>
      <c r="O1295" s="10"/>
      <c r="P1295" s="10"/>
      <c r="Q1295" s="10"/>
      <c r="R1295" s="10"/>
      <c r="S1295" s="10"/>
      <c r="T1295" s="10"/>
      <c r="U1295" s="10"/>
      <c r="V1295" s="10"/>
      <c r="W1295" s="10"/>
      <c r="X1295" s="10"/>
      <c r="Y1295" s="10"/>
      <c r="Z1295" s="10"/>
      <c r="AA1295" s="10"/>
      <c r="AB1295" s="10"/>
      <c r="AC1295" s="10"/>
      <c r="AD1295" s="10"/>
      <c r="AE1295" s="10"/>
      <c r="AF1295" s="10"/>
    </row>
    <row r="1296">
      <c r="A1296" s="7"/>
      <c r="B1296" s="8">
        <v>111.0</v>
      </c>
      <c r="C1296" s="8">
        <v>15.0</v>
      </c>
      <c r="D1296" s="8" t="s">
        <v>1866</v>
      </c>
      <c r="E1296" s="7">
        <v>2.0</v>
      </c>
      <c r="F1296" s="7" t="s">
        <v>320</v>
      </c>
      <c r="G1296" s="7" t="s">
        <v>312</v>
      </c>
      <c r="H1296" s="7" t="s">
        <v>313</v>
      </c>
      <c r="I1296" s="7" t="s">
        <v>366</v>
      </c>
      <c r="J1296" s="16" t="s">
        <v>1867</v>
      </c>
      <c r="K1296" s="8" t="s">
        <v>1868</v>
      </c>
      <c r="L1296" s="12"/>
      <c r="M1296" s="10"/>
      <c r="N1296" s="10"/>
      <c r="O1296" s="10"/>
      <c r="P1296" s="10"/>
      <c r="Q1296" s="10"/>
      <c r="R1296" s="10"/>
      <c r="S1296" s="10"/>
      <c r="T1296" s="10"/>
      <c r="U1296" s="10"/>
      <c r="V1296" s="10"/>
      <c r="W1296" s="10"/>
      <c r="X1296" s="10"/>
      <c r="Y1296" s="10"/>
      <c r="Z1296" s="10"/>
      <c r="AA1296" s="10"/>
      <c r="AB1296" s="10"/>
      <c r="AC1296" s="10"/>
      <c r="AD1296" s="10"/>
      <c r="AE1296" s="10"/>
      <c r="AF1296" s="10"/>
    </row>
    <row r="1297">
      <c r="A1297" s="10"/>
      <c r="B1297" s="12"/>
      <c r="C1297" s="12"/>
      <c r="D1297" s="12"/>
      <c r="E1297" s="10"/>
      <c r="F1297" s="10"/>
      <c r="G1297" s="10"/>
      <c r="H1297" s="10"/>
      <c r="I1297" s="10"/>
      <c r="J1297" s="11"/>
      <c r="K1297" s="12"/>
      <c r="L1297" s="12"/>
      <c r="M1297" s="10"/>
      <c r="N1297" s="10"/>
      <c r="O1297" s="10"/>
      <c r="P1297" s="10"/>
      <c r="Q1297" s="10"/>
      <c r="R1297" s="10"/>
      <c r="S1297" s="10"/>
      <c r="T1297" s="10"/>
      <c r="U1297" s="10"/>
      <c r="V1297" s="10"/>
      <c r="W1297" s="10"/>
      <c r="X1297" s="10"/>
      <c r="Y1297" s="10"/>
      <c r="Z1297" s="10"/>
      <c r="AA1297" s="10"/>
      <c r="AB1297" s="10"/>
      <c r="AC1297" s="10"/>
      <c r="AD1297" s="10"/>
      <c r="AE1297" s="10"/>
      <c r="AF1297" s="10"/>
    </row>
    <row r="1298">
      <c r="A1298" s="7"/>
      <c r="B1298" s="8">
        <v>112.0</v>
      </c>
      <c r="C1298" s="8">
        <v>1.0</v>
      </c>
      <c r="D1298" s="8" t="s">
        <v>1869</v>
      </c>
      <c r="E1298" s="7">
        <v>0.0</v>
      </c>
      <c r="F1298" s="7"/>
      <c r="G1298" s="7" t="s">
        <v>312</v>
      </c>
      <c r="H1298" s="7" t="s">
        <v>313</v>
      </c>
      <c r="I1298" s="10"/>
      <c r="J1298" s="9" t="s">
        <v>1870</v>
      </c>
      <c r="K1298" s="12"/>
      <c r="L1298" s="12"/>
      <c r="M1298" s="10"/>
      <c r="N1298" s="10"/>
      <c r="O1298" s="10"/>
      <c r="P1298" s="10"/>
      <c r="Q1298" s="10"/>
      <c r="R1298" s="10"/>
      <c r="S1298" s="10"/>
      <c r="T1298" s="10"/>
      <c r="U1298" s="10"/>
      <c r="V1298" s="10"/>
      <c r="W1298" s="10"/>
      <c r="X1298" s="10"/>
      <c r="Y1298" s="10"/>
      <c r="Z1298" s="10"/>
      <c r="AA1298" s="10"/>
      <c r="AB1298" s="10"/>
      <c r="AC1298" s="10"/>
      <c r="AD1298" s="10"/>
      <c r="AE1298" s="10"/>
      <c r="AF1298" s="10"/>
    </row>
    <row r="1299">
      <c r="A1299" s="7"/>
      <c r="B1299" s="8">
        <v>112.0</v>
      </c>
      <c r="C1299" s="8">
        <v>2.0</v>
      </c>
      <c r="D1299" s="8" t="s">
        <v>1871</v>
      </c>
      <c r="E1299" s="7">
        <v>2.0</v>
      </c>
      <c r="F1299" s="7" t="s">
        <v>320</v>
      </c>
      <c r="G1299" s="7" t="s">
        <v>312</v>
      </c>
      <c r="H1299" s="7" t="s">
        <v>313</v>
      </c>
      <c r="I1299" s="10"/>
      <c r="J1299" s="11"/>
      <c r="K1299" s="8" t="s">
        <v>1664</v>
      </c>
      <c r="L1299" s="12"/>
      <c r="M1299" s="10"/>
      <c r="N1299" s="10"/>
      <c r="O1299" s="10"/>
      <c r="P1299" s="10"/>
      <c r="Q1299" s="10"/>
      <c r="R1299" s="10"/>
      <c r="S1299" s="10"/>
      <c r="T1299" s="10"/>
      <c r="U1299" s="10"/>
      <c r="V1299" s="10"/>
      <c r="W1299" s="10"/>
      <c r="X1299" s="10"/>
      <c r="Y1299" s="10"/>
      <c r="Z1299" s="10"/>
      <c r="AA1299" s="10"/>
      <c r="AB1299" s="10"/>
      <c r="AC1299" s="10"/>
      <c r="AD1299" s="10"/>
      <c r="AE1299" s="10"/>
      <c r="AF1299" s="10"/>
    </row>
    <row r="1300">
      <c r="A1300" s="7"/>
      <c r="B1300" s="8">
        <v>112.0</v>
      </c>
      <c r="C1300" s="8">
        <v>3.0</v>
      </c>
      <c r="D1300" s="8" t="s">
        <v>1872</v>
      </c>
      <c r="E1300" s="7">
        <v>2.0</v>
      </c>
      <c r="F1300" s="7" t="s">
        <v>320</v>
      </c>
      <c r="G1300" s="7" t="s">
        <v>312</v>
      </c>
      <c r="H1300" s="7" t="s">
        <v>313</v>
      </c>
      <c r="I1300" s="10"/>
      <c r="J1300" s="11"/>
      <c r="K1300" s="8" t="s">
        <v>1664</v>
      </c>
      <c r="L1300" s="12"/>
      <c r="M1300" s="10"/>
      <c r="N1300" s="10"/>
      <c r="O1300" s="10"/>
      <c r="P1300" s="10"/>
      <c r="Q1300" s="10"/>
      <c r="R1300" s="10"/>
      <c r="S1300" s="10"/>
      <c r="T1300" s="10"/>
      <c r="U1300" s="10"/>
      <c r="V1300" s="10"/>
      <c r="W1300" s="10"/>
      <c r="X1300" s="10"/>
      <c r="Y1300" s="10"/>
      <c r="Z1300" s="10"/>
      <c r="AA1300" s="10"/>
      <c r="AB1300" s="10"/>
      <c r="AC1300" s="10"/>
      <c r="AD1300" s="10"/>
      <c r="AE1300" s="10"/>
      <c r="AF1300" s="10"/>
    </row>
    <row r="1301">
      <c r="A1301" s="7"/>
      <c r="B1301" s="8">
        <v>112.0</v>
      </c>
      <c r="C1301" s="8">
        <v>4.0</v>
      </c>
      <c r="D1301" s="8" t="s">
        <v>1873</v>
      </c>
      <c r="E1301" s="7">
        <v>2.0</v>
      </c>
      <c r="F1301" s="7" t="s">
        <v>320</v>
      </c>
      <c r="G1301" s="7" t="s">
        <v>312</v>
      </c>
      <c r="H1301" s="7" t="s">
        <v>313</v>
      </c>
      <c r="I1301" s="10"/>
      <c r="J1301" s="11"/>
      <c r="K1301" s="8" t="s">
        <v>1664</v>
      </c>
      <c r="L1301" s="12"/>
      <c r="M1301" s="10"/>
      <c r="N1301" s="10"/>
      <c r="O1301" s="10"/>
      <c r="P1301" s="10"/>
      <c r="Q1301" s="10"/>
      <c r="R1301" s="10"/>
      <c r="S1301" s="10"/>
      <c r="T1301" s="10"/>
      <c r="U1301" s="10"/>
      <c r="V1301" s="10"/>
      <c r="W1301" s="10"/>
      <c r="X1301" s="10"/>
      <c r="Y1301" s="10"/>
      <c r="Z1301" s="10"/>
      <c r="AA1301" s="10"/>
      <c r="AB1301" s="10"/>
      <c r="AC1301" s="10"/>
      <c r="AD1301" s="10"/>
      <c r="AE1301" s="10"/>
      <c r="AF1301" s="10"/>
    </row>
    <row r="1302">
      <c r="A1302" s="7"/>
      <c r="B1302" s="8">
        <v>112.0</v>
      </c>
      <c r="C1302" s="8">
        <v>5.0</v>
      </c>
      <c r="D1302" s="8" t="s">
        <v>1874</v>
      </c>
      <c r="E1302" s="7">
        <v>2.0</v>
      </c>
      <c r="F1302" s="7" t="s">
        <v>320</v>
      </c>
      <c r="G1302" s="7" t="s">
        <v>312</v>
      </c>
      <c r="H1302" s="7" t="s">
        <v>313</v>
      </c>
      <c r="I1302" s="10"/>
      <c r="J1302" s="11"/>
      <c r="K1302" s="8" t="s">
        <v>1664</v>
      </c>
      <c r="L1302" s="12"/>
      <c r="M1302" s="10"/>
      <c r="N1302" s="10"/>
      <c r="O1302" s="10"/>
      <c r="P1302" s="10"/>
      <c r="Q1302" s="10"/>
      <c r="R1302" s="10"/>
      <c r="S1302" s="10"/>
      <c r="T1302" s="10"/>
      <c r="U1302" s="10"/>
      <c r="V1302" s="10"/>
      <c r="W1302" s="10"/>
      <c r="X1302" s="10"/>
      <c r="Y1302" s="10"/>
      <c r="Z1302" s="10"/>
      <c r="AA1302" s="10"/>
      <c r="AB1302" s="10"/>
      <c r="AC1302" s="10"/>
      <c r="AD1302" s="10"/>
      <c r="AE1302" s="10"/>
      <c r="AF1302" s="10"/>
    </row>
    <row r="1303">
      <c r="A1303" s="7"/>
      <c r="B1303" s="8">
        <v>112.0</v>
      </c>
      <c r="C1303" s="8">
        <v>6.0</v>
      </c>
      <c r="D1303" s="8" t="s">
        <v>1875</v>
      </c>
      <c r="E1303" s="7">
        <v>0.0</v>
      </c>
      <c r="F1303" s="7"/>
      <c r="G1303" s="7" t="s">
        <v>312</v>
      </c>
      <c r="H1303" s="7" t="s">
        <v>313</v>
      </c>
      <c r="I1303" s="10"/>
      <c r="J1303" s="11"/>
      <c r="K1303" s="12"/>
      <c r="L1303" s="12"/>
      <c r="M1303" s="10"/>
      <c r="N1303" s="10"/>
      <c r="O1303" s="10"/>
      <c r="P1303" s="10"/>
      <c r="Q1303" s="10"/>
      <c r="R1303" s="10"/>
      <c r="S1303" s="10"/>
      <c r="T1303" s="10"/>
      <c r="U1303" s="10"/>
      <c r="V1303" s="10"/>
      <c r="W1303" s="10"/>
      <c r="X1303" s="10"/>
      <c r="Y1303" s="10"/>
      <c r="Z1303" s="10"/>
      <c r="AA1303" s="10"/>
      <c r="AB1303" s="10"/>
      <c r="AC1303" s="10"/>
      <c r="AD1303" s="10"/>
      <c r="AE1303" s="10"/>
      <c r="AF1303" s="10"/>
    </row>
    <row r="1304">
      <c r="A1304" s="10"/>
      <c r="B1304" s="12"/>
      <c r="C1304" s="12"/>
      <c r="D1304" s="12"/>
      <c r="E1304" s="10"/>
      <c r="F1304" s="10"/>
      <c r="G1304" s="10"/>
      <c r="H1304" s="10"/>
      <c r="I1304" s="10"/>
      <c r="J1304" s="11"/>
      <c r="K1304" s="12"/>
      <c r="L1304" s="12"/>
      <c r="M1304" s="10"/>
      <c r="N1304" s="10"/>
      <c r="O1304" s="10"/>
      <c r="P1304" s="10"/>
      <c r="Q1304" s="10"/>
      <c r="R1304" s="10"/>
      <c r="S1304" s="10"/>
      <c r="T1304" s="10"/>
      <c r="U1304" s="10"/>
      <c r="V1304" s="10"/>
      <c r="W1304" s="10"/>
      <c r="X1304" s="10"/>
      <c r="Y1304" s="10"/>
      <c r="Z1304" s="10"/>
      <c r="AA1304" s="10"/>
      <c r="AB1304" s="10"/>
      <c r="AC1304" s="10"/>
      <c r="AD1304" s="10"/>
      <c r="AE1304" s="10"/>
      <c r="AF1304" s="10"/>
    </row>
    <row r="1305">
      <c r="A1305" s="7"/>
      <c r="B1305" s="8">
        <v>113.0</v>
      </c>
      <c r="C1305" s="8">
        <v>1.0</v>
      </c>
      <c r="D1305" s="8" t="s">
        <v>1876</v>
      </c>
      <c r="E1305" s="7">
        <v>0.0</v>
      </c>
      <c r="F1305" s="7"/>
      <c r="G1305" s="7" t="s">
        <v>312</v>
      </c>
      <c r="H1305" s="7" t="s">
        <v>313</v>
      </c>
      <c r="I1305" s="10"/>
      <c r="J1305" s="9" t="s">
        <v>1877</v>
      </c>
      <c r="K1305" s="12"/>
      <c r="L1305" s="12"/>
      <c r="M1305" s="10"/>
      <c r="N1305" s="10"/>
      <c r="O1305" s="10"/>
      <c r="P1305" s="10"/>
      <c r="Q1305" s="10"/>
      <c r="R1305" s="10"/>
      <c r="S1305" s="10"/>
      <c r="T1305" s="10"/>
      <c r="U1305" s="10"/>
      <c r="V1305" s="10"/>
      <c r="W1305" s="10"/>
      <c r="X1305" s="10"/>
      <c r="Y1305" s="10"/>
      <c r="Z1305" s="10"/>
      <c r="AA1305" s="10"/>
      <c r="AB1305" s="10"/>
      <c r="AC1305" s="10"/>
      <c r="AD1305" s="10"/>
      <c r="AE1305" s="10"/>
      <c r="AF1305" s="10"/>
    </row>
    <row r="1306">
      <c r="A1306" s="7"/>
      <c r="B1306" s="8">
        <v>113.0</v>
      </c>
      <c r="C1306" s="8">
        <v>2.0</v>
      </c>
      <c r="D1306" s="8" t="s">
        <v>1878</v>
      </c>
      <c r="E1306" s="7">
        <v>0.0</v>
      </c>
      <c r="F1306" s="7"/>
      <c r="G1306" s="7" t="s">
        <v>312</v>
      </c>
      <c r="H1306" s="7" t="s">
        <v>313</v>
      </c>
      <c r="I1306" s="10"/>
      <c r="J1306" s="9" t="s">
        <v>1879</v>
      </c>
      <c r="K1306" s="12"/>
      <c r="L1306" s="12"/>
      <c r="M1306" s="10"/>
      <c r="N1306" s="10"/>
      <c r="O1306" s="10"/>
      <c r="P1306" s="10"/>
      <c r="Q1306" s="10"/>
      <c r="R1306" s="10"/>
      <c r="S1306" s="10"/>
      <c r="T1306" s="10"/>
      <c r="U1306" s="10"/>
      <c r="V1306" s="10"/>
      <c r="W1306" s="10"/>
      <c r="X1306" s="10"/>
      <c r="Y1306" s="10"/>
      <c r="Z1306" s="10"/>
      <c r="AA1306" s="10"/>
      <c r="AB1306" s="10"/>
      <c r="AC1306" s="10"/>
      <c r="AD1306" s="10"/>
      <c r="AE1306" s="10"/>
      <c r="AF1306" s="10"/>
    </row>
    <row r="1307">
      <c r="A1307" s="7"/>
      <c r="B1307" s="8">
        <v>113.0</v>
      </c>
      <c r="C1307" s="8">
        <v>3.0</v>
      </c>
      <c r="D1307" s="8" t="s">
        <v>1880</v>
      </c>
      <c r="E1307" s="7">
        <v>2.0</v>
      </c>
      <c r="F1307" s="7" t="s">
        <v>320</v>
      </c>
      <c r="G1307" s="7" t="s">
        <v>312</v>
      </c>
      <c r="H1307" s="7" t="s">
        <v>313</v>
      </c>
      <c r="I1307" s="10"/>
      <c r="J1307" s="11"/>
      <c r="K1307" s="8" t="s">
        <v>1664</v>
      </c>
      <c r="L1307" s="12"/>
      <c r="M1307" s="10"/>
      <c r="N1307" s="10"/>
      <c r="O1307" s="10"/>
      <c r="P1307" s="10"/>
      <c r="Q1307" s="10"/>
      <c r="R1307" s="10"/>
      <c r="S1307" s="10"/>
      <c r="T1307" s="10"/>
      <c r="U1307" s="10"/>
      <c r="V1307" s="10"/>
      <c r="W1307" s="10"/>
      <c r="X1307" s="10"/>
      <c r="Y1307" s="10"/>
      <c r="Z1307" s="10"/>
      <c r="AA1307" s="10"/>
      <c r="AB1307" s="10"/>
      <c r="AC1307" s="10"/>
      <c r="AD1307" s="10"/>
      <c r="AE1307" s="10"/>
      <c r="AF1307" s="10"/>
    </row>
    <row r="1308">
      <c r="A1308" s="7"/>
      <c r="B1308" s="8">
        <v>113.0</v>
      </c>
      <c r="C1308" s="8">
        <v>4.0</v>
      </c>
      <c r="D1308" s="8" t="s">
        <v>1881</v>
      </c>
      <c r="E1308" s="7">
        <v>0.0</v>
      </c>
      <c r="F1308" s="7"/>
      <c r="G1308" s="7" t="s">
        <v>312</v>
      </c>
      <c r="H1308" s="7" t="s">
        <v>313</v>
      </c>
      <c r="I1308" s="10"/>
      <c r="J1308" s="11"/>
      <c r="K1308" s="12"/>
      <c r="L1308" s="12"/>
      <c r="M1308" s="10"/>
      <c r="N1308" s="10"/>
      <c r="O1308" s="10"/>
      <c r="P1308" s="10"/>
      <c r="Q1308" s="10"/>
      <c r="R1308" s="10"/>
      <c r="S1308" s="10"/>
      <c r="T1308" s="10"/>
      <c r="U1308" s="10"/>
      <c r="V1308" s="10"/>
      <c r="W1308" s="10"/>
      <c r="X1308" s="10"/>
      <c r="Y1308" s="10"/>
      <c r="Z1308" s="10"/>
      <c r="AA1308" s="10"/>
      <c r="AB1308" s="10"/>
      <c r="AC1308" s="10"/>
      <c r="AD1308" s="10"/>
      <c r="AE1308" s="10"/>
      <c r="AF1308" s="10"/>
    </row>
    <row r="1309">
      <c r="A1309" s="7"/>
      <c r="B1309" s="8">
        <v>113.0</v>
      </c>
      <c r="C1309" s="8">
        <v>5.0</v>
      </c>
      <c r="D1309" s="8" t="s">
        <v>1882</v>
      </c>
      <c r="E1309" s="7">
        <v>0.0</v>
      </c>
      <c r="F1309" s="7"/>
      <c r="G1309" s="7" t="s">
        <v>312</v>
      </c>
      <c r="H1309" s="7" t="s">
        <v>313</v>
      </c>
      <c r="I1309" s="10"/>
      <c r="J1309" s="11"/>
      <c r="K1309" s="12"/>
      <c r="L1309" s="15" t="s">
        <v>1883</v>
      </c>
      <c r="M1309" s="10"/>
      <c r="N1309" s="10"/>
      <c r="O1309" s="10"/>
      <c r="P1309" s="10"/>
      <c r="Q1309" s="10"/>
      <c r="R1309" s="10"/>
      <c r="S1309" s="10"/>
      <c r="T1309" s="10"/>
      <c r="U1309" s="10"/>
      <c r="V1309" s="10"/>
      <c r="W1309" s="10"/>
      <c r="X1309" s="10"/>
      <c r="Y1309" s="10"/>
      <c r="Z1309" s="10"/>
      <c r="AA1309" s="10"/>
      <c r="AB1309" s="10"/>
      <c r="AC1309" s="10"/>
      <c r="AD1309" s="10"/>
      <c r="AE1309" s="10"/>
      <c r="AF1309" s="10"/>
    </row>
    <row r="1310">
      <c r="A1310" s="7"/>
      <c r="B1310" s="8">
        <v>113.0</v>
      </c>
      <c r="C1310" s="8">
        <v>6.0</v>
      </c>
      <c r="D1310" s="8" t="s">
        <v>1884</v>
      </c>
      <c r="E1310" s="7">
        <v>0.0</v>
      </c>
      <c r="F1310" s="7"/>
      <c r="G1310" s="7" t="s">
        <v>312</v>
      </c>
      <c r="H1310" s="7" t="s">
        <v>313</v>
      </c>
      <c r="I1310" s="10"/>
      <c r="J1310" s="11"/>
      <c r="K1310" s="12"/>
      <c r="L1310" s="15" t="s">
        <v>1883</v>
      </c>
      <c r="M1310" s="10"/>
      <c r="N1310" s="10"/>
      <c r="O1310" s="10"/>
      <c r="P1310" s="10"/>
      <c r="Q1310" s="10"/>
      <c r="R1310" s="10"/>
      <c r="S1310" s="10"/>
      <c r="T1310" s="10"/>
      <c r="U1310" s="10"/>
      <c r="V1310" s="10"/>
      <c r="W1310" s="10"/>
      <c r="X1310" s="10"/>
      <c r="Y1310" s="10"/>
      <c r="Z1310" s="10"/>
      <c r="AA1310" s="10"/>
      <c r="AB1310" s="10"/>
      <c r="AC1310" s="10"/>
      <c r="AD1310" s="10"/>
      <c r="AE1310" s="10"/>
      <c r="AF1310" s="10"/>
    </row>
    <row r="1311">
      <c r="A1311" s="7"/>
      <c r="B1311" s="8">
        <v>113.0</v>
      </c>
      <c r="C1311" s="8">
        <v>7.0</v>
      </c>
      <c r="D1311" s="8" t="s">
        <v>1885</v>
      </c>
      <c r="E1311" s="7">
        <v>2.0</v>
      </c>
      <c r="F1311" s="7" t="s">
        <v>320</v>
      </c>
      <c r="G1311" s="7" t="s">
        <v>312</v>
      </c>
      <c r="H1311" s="7" t="s">
        <v>313</v>
      </c>
      <c r="I1311" s="7" t="s">
        <v>366</v>
      </c>
      <c r="J1311" s="9" t="s">
        <v>1886</v>
      </c>
      <c r="K1311" s="12"/>
      <c r="L1311" s="15" t="s">
        <v>1883</v>
      </c>
      <c r="M1311" s="10"/>
      <c r="N1311" s="10"/>
      <c r="O1311" s="10"/>
      <c r="P1311" s="10"/>
      <c r="Q1311" s="10"/>
      <c r="R1311" s="10"/>
      <c r="S1311" s="10"/>
      <c r="T1311" s="10"/>
      <c r="U1311" s="10"/>
      <c r="V1311" s="10"/>
      <c r="W1311" s="10"/>
      <c r="X1311" s="10"/>
      <c r="Y1311" s="10"/>
      <c r="Z1311" s="10"/>
      <c r="AA1311" s="10"/>
      <c r="AB1311" s="10"/>
      <c r="AC1311" s="10"/>
      <c r="AD1311" s="10"/>
      <c r="AE1311" s="10"/>
      <c r="AF1311" s="10"/>
    </row>
    <row r="1312">
      <c r="A1312" s="7"/>
      <c r="B1312" s="8">
        <v>113.0</v>
      </c>
      <c r="C1312" s="8">
        <v>8.0</v>
      </c>
      <c r="D1312" s="8" t="s">
        <v>1887</v>
      </c>
      <c r="E1312" s="7">
        <v>0.0</v>
      </c>
      <c r="F1312" s="7"/>
      <c r="G1312" s="7" t="s">
        <v>312</v>
      </c>
      <c r="H1312" s="7" t="s">
        <v>313</v>
      </c>
      <c r="I1312" s="10"/>
      <c r="J1312" s="11"/>
      <c r="K1312" s="12"/>
      <c r="L1312" s="12"/>
      <c r="M1312" s="10"/>
      <c r="N1312" s="10"/>
      <c r="O1312" s="10"/>
      <c r="P1312" s="10"/>
      <c r="Q1312" s="10"/>
      <c r="R1312" s="10"/>
      <c r="S1312" s="10"/>
      <c r="T1312" s="10"/>
      <c r="U1312" s="10"/>
      <c r="V1312" s="10"/>
      <c r="W1312" s="10"/>
      <c r="X1312" s="10"/>
      <c r="Y1312" s="10"/>
      <c r="Z1312" s="10"/>
      <c r="AA1312" s="10"/>
      <c r="AB1312" s="10"/>
      <c r="AC1312" s="10"/>
      <c r="AD1312" s="10"/>
      <c r="AE1312" s="10"/>
      <c r="AF1312" s="10"/>
    </row>
    <row r="1313">
      <c r="A1313" s="7"/>
      <c r="B1313" s="8">
        <v>113.0</v>
      </c>
      <c r="C1313" s="8">
        <v>9.0</v>
      </c>
      <c r="D1313" s="8" t="s">
        <v>1888</v>
      </c>
      <c r="E1313" s="7">
        <v>2.0</v>
      </c>
      <c r="F1313" s="7" t="s">
        <v>320</v>
      </c>
      <c r="G1313" s="7" t="s">
        <v>312</v>
      </c>
      <c r="H1313" s="7" t="s">
        <v>313</v>
      </c>
      <c r="I1313" s="10"/>
      <c r="J1313" s="11"/>
      <c r="K1313" s="8" t="s">
        <v>1664</v>
      </c>
      <c r="L1313" s="12"/>
      <c r="M1313" s="10"/>
      <c r="N1313" s="10"/>
      <c r="O1313" s="10"/>
      <c r="P1313" s="10"/>
      <c r="Q1313" s="10"/>
      <c r="R1313" s="10"/>
      <c r="S1313" s="10"/>
      <c r="T1313" s="10"/>
      <c r="U1313" s="10"/>
      <c r="V1313" s="10"/>
      <c r="W1313" s="10"/>
      <c r="X1313" s="10"/>
      <c r="Y1313" s="10"/>
      <c r="Z1313" s="10"/>
      <c r="AA1313" s="10"/>
      <c r="AB1313" s="10"/>
      <c r="AC1313" s="10"/>
      <c r="AD1313" s="10"/>
      <c r="AE1313" s="10"/>
      <c r="AF1313" s="10"/>
    </row>
    <row r="1314">
      <c r="A1314" s="7"/>
      <c r="B1314" s="8">
        <v>113.0</v>
      </c>
      <c r="C1314" s="8">
        <v>10.0</v>
      </c>
      <c r="D1314" s="8" t="s">
        <v>1889</v>
      </c>
      <c r="E1314" s="7">
        <v>0.0</v>
      </c>
      <c r="F1314" s="7"/>
      <c r="G1314" s="7" t="s">
        <v>312</v>
      </c>
      <c r="H1314" s="7" t="s">
        <v>313</v>
      </c>
      <c r="I1314" s="10"/>
      <c r="J1314" s="11"/>
      <c r="K1314" s="12"/>
      <c r="L1314" s="12"/>
      <c r="M1314" s="10"/>
      <c r="N1314" s="10"/>
      <c r="O1314" s="10"/>
      <c r="P1314" s="10"/>
      <c r="Q1314" s="10"/>
      <c r="R1314" s="10"/>
      <c r="S1314" s="10"/>
      <c r="T1314" s="10"/>
      <c r="U1314" s="10"/>
      <c r="V1314" s="10"/>
      <c r="W1314" s="10"/>
      <c r="X1314" s="10"/>
      <c r="Y1314" s="10"/>
      <c r="Z1314" s="10"/>
      <c r="AA1314" s="10"/>
      <c r="AB1314" s="10"/>
      <c r="AC1314" s="10"/>
      <c r="AD1314" s="10"/>
      <c r="AE1314" s="10"/>
      <c r="AF1314" s="10"/>
    </row>
    <row r="1315">
      <c r="A1315" s="10"/>
      <c r="B1315" s="12"/>
      <c r="C1315" s="12"/>
      <c r="D1315" s="12"/>
      <c r="E1315" s="10"/>
      <c r="F1315" s="10"/>
      <c r="G1315" s="10"/>
      <c r="H1315" s="10"/>
      <c r="I1315" s="10"/>
      <c r="J1315" s="11"/>
      <c r="K1315" s="12"/>
      <c r="L1315" s="12"/>
      <c r="M1315" s="10"/>
      <c r="N1315" s="10"/>
      <c r="O1315" s="10"/>
      <c r="P1315" s="10"/>
      <c r="Q1315" s="10"/>
      <c r="R1315" s="10"/>
      <c r="S1315" s="10"/>
      <c r="T1315" s="10"/>
      <c r="U1315" s="10"/>
      <c r="V1315" s="10"/>
      <c r="W1315" s="10"/>
      <c r="X1315" s="10"/>
      <c r="Y1315" s="10"/>
      <c r="Z1315" s="10"/>
      <c r="AA1315" s="10"/>
      <c r="AB1315" s="10"/>
      <c r="AC1315" s="10"/>
      <c r="AD1315" s="10"/>
      <c r="AE1315" s="10"/>
      <c r="AF1315" s="10"/>
    </row>
    <row r="1316">
      <c r="A1316" s="7"/>
      <c r="B1316" s="8">
        <v>114.0</v>
      </c>
      <c r="C1316" s="8">
        <v>1.0</v>
      </c>
      <c r="D1316" s="8" t="s">
        <v>1890</v>
      </c>
      <c r="E1316" s="7">
        <v>2.0</v>
      </c>
      <c r="F1316" s="7" t="s">
        <v>320</v>
      </c>
      <c r="G1316" s="7" t="s">
        <v>312</v>
      </c>
      <c r="H1316" s="7" t="s">
        <v>313</v>
      </c>
      <c r="I1316" s="7" t="s">
        <v>366</v>
      </c>
      <c r="J1316" s="16" t="s">
        <v>1891</v>
      </c>
      <c r="K1316" s="8" t="s">
        <v>1892</v>
      </c>
      <c r="L1316" s="12"/>
      <c r="M1316" s="10"/>
      <c r="N1316" s="10"/>
      <c r="O1316" s="10"/>
      <c r="P1316" s="10"/>
      <c r="Q1316" s="10"/>
      <c r="R1316" s="10"/>
      <c r="S1316" s="10"/>
      <c r="T1316" s="10"/>
      <c r="U1316" s="10"/>
      <c r="V1316" s="10"/>
      <c r="W1316" s="10"/>
      <c r="X1316" s="10"/>
      <c r="Y1316" s="10"/>
      <c r="Z1316" s="10"/>
      <c r="AA1316" s="10"/>
      <c r="AB1316" s="10"/>
      <c r="AC1316" s="10"/>
      <c r="AD1316" s="10"/>
      <c r="AE1316" s="10"/>
      <c r="AF1316" s="10"/>
    </row>
    <row r="1317">
      <c r="A1317" s="7"/>
      <c r="B1317" s="8">
        <v>114.0</v>
      </c>
      <c r="C1317" s="8">
        <v>2.0</v>
      </c>
      <c r="D1317" s="8" t="s">
        <v>1893</v>
      </c>
      <c r="E1317" s="7">
        <v>2.0</v>
      </c>
      <c r="F1317" s="7" t="s">
        <v>320</v>
      </c>
      <c r="G1317" s="7" t="s">
        <v>312</v>
      </c>
      <c r="H1317" s="7" t="s">
        <v>313</v>
      </c>
      <c r="I1317" s="7" t="s">
        <v>366</v>
      </c>
      <c r="J1317" s="16" t="s">
        <v>1894</v>
      </c>
      <c r="K1317" s="8" t="s">
        <v>1664</v>
      </c>
      <c r="L1317" s="12"/>
      <c r="M1317" s="10"/>
      <c r="N1317" s="10"/>
      <c r="O1317" s="10"/>
      <c r="P1317" s="10"/>
      <c r="Q1317" s="10"/>
      <c r="R1317" s="10"/>
      <c r="S1317" s="10"/>
      <c r="T1317" s="10"/>
      <c r="U1317" s="10"/>
      <c r="V1317" s="10"/>
      <c r="W1317" s="10"/>
      <c r="X1317" s="10"/>
      <c r="Y1317" s="10"/>
      <c r="Z1317" s="10"/>
      <c r="AA1317" s="10"/>
      <c r="AB1317" s="10"/>
      <c r="AC1317" s="10"/>
      <c r="AD1317" s="10"/>
      <c r="AE1317" s="10"/>
      <c r="AF1317" s="10"/>
    </row>
    <row r="1318">
      <c r="A1318" s="7"/>
      <c r="B1318" s="8">
        <v>114.0</v>
      </c>
      <c r="C1318" s="8">
        <v>3.0</v>
      </c>
      <c r="D1318" s="8" t="s">
        <v>1895</v>
      </c>
      <c r="E1318" s="7">
        <v>2.0</v>
      </c>
      <c r="F1318" s="7" t="s">
        <v>320</v>
      </c>
      <c r="G1318" s="7" t="s">
        <v>312</v>
      </c>
      <c r="H1318" s="7" t="s">
        <v>313</v>
      </c>
      <c r="I1318" s="7" t="s">
        <v>366</v>
      </c>
      <c r="J1318" s="16" t="s">
        <v>1894</v>
      </c>
      <c r="K1318" s="8" t="s">
        <v>1664</v>
      </c>
      <c r="L1318" s="12"/>
      <c r="M1318" s="10"/>
      <c r="N1318" s="10"/>
      <c r="O1318" s="10"/>
      <c r="P1318" s="10"/>
      <c r="Q1318" s="10"/>
      <c r="R1318" s="10"/>
      <c r="S1318" s="10"/>
      <c r="T1318" s="10"/>
      <c r="U1318" s="10"/>
      <c r="V1318" s="10"/>
      <c r="W1318" s="10"/>
      <c r="X1318" s="10"/>
      <c r="Y1318" s="10"/>
      <c r="Z1318" s="10"/>
      <c r="AA1318" s="10"/>
      <c r="AB1318" s="10"/>
      <c r="AC1318" s="10"/>
      <c r="AD1318" s="10"/>
      <c r="AE1318" s="10"/>
      <c r="AF1318" s="10"/>
    </row>
    <row r="1319">
      <c r="A1319" s="7"/>
      <c r="B1319" s="8">
        <v>114.0</v>
      </c>
      <c r="C1319" s="8">
        <v>4.0</v>
      </c>
      <c r="D1319" s="8" t="s">
        <v>1896</v>
      </c>
      <c r="E1319" s="7">
        <v>2.0</v>
      </c>
      <c r="F1319" s="7" t="s">
        <v>320</v>
      </c>
      <c r="G1319" s="7" t="s">
        <v>312</v>
      </c>
      <c r="H1319" s="7" t="s">
        <v>313</v>
      </c>
      <c r="I1319" s="7" t="s">
        <v>366</v>
      </c>
      <c r="J1319" s="16" t="s">
        <v>1894</v>
      </c>
      <c r="K1319" s="8" t="s">
        <v>1664</v>
      </c>
      <c r="L1319" s="12"/>
      <c r="M1319" s="10"/>
      <c r="N1319" s="10"/>
      <c r="O1319" s="10"/>
      <c r="P1319" s="10"/>
      <c r="Q1319" s="10"/>
      <c r="R1319" s="10"/>
      <c r="S1319" s="10"/>
      <c r="T1319" s="10"/>
      <c r="U1319" s="10"/>
      <c r="V1319" s="10"/>
      <c r="W1319" s="10"/>
      <c r="X1319" s="10"/>
      <c r="Y1319" s="10"/>
      <c r="Z1319" s="10"/>
      <c r="AA1319" s="10"/>
      <c r="AB1319" s="10"/>
      <c r="AC1319" s="10"/>
      <c r="AD1319" s="10"/>
      <c r="AE1319" s="10"/>
      <c r="AF1319" s="10"/>
    </row>
    <row r="1320">
      <c r="A1320" s="7"/>
      <c r="B1320" s="8">
        <v>114.0</v>
      </c>
      <c r="C1320" s="8">
        <v>5.0</v>
      </c>
      <c r="D1320" s="8" t="s">
        <v>1897</v>
      </c>
      <c r="E1320" s="7">
        <v>0.0</v>
      </c>
      <c r="F1320" s="7"/>
      <c r="G1320" s="7" t="s">
        <v>312</v>
      </c>
      <c r="H1320" s="7" t="s">
        <v>313</v>
      </c>
      <c r="I1320" s="10"/>
      <c r="J1320" s="11"/>
      <c r="K1320" s="12"/>
      <c r="L1320" s="12"/>
      <c r="M1320" s="10"/>
      <c r="N1320" s="10"/>
      <c r="O1320" s="10"/>
      <c r="P1320" s="10"/>
      <c r="Q1320" s="10"/>
      <c r="R1320" s="10"/>
      <c r="S1320" s="10"/>
      <c r="T1320" s="10"/>
      <c r="U1320" s="10"/>
      <c r="V1320" s="10"/>
      <c r="W1320" s="10"/>
      <c r="X1320" s="10"/>
      <c r="Y1320" s="10"/>
      <c r="Z1320" s="10"/>
      <c r="AA1320" s="10"/>
      <c r="AB1320" s="10"/>
      <c r="AC1320" s="10"/>
      <c r="AD1320" s="10"/>
      <c r="AE1320" s="10"/>
      <c r="AF1320" s="10"/>
    </row>
    <row r="1321">
      <c r="A1321" s="7"/>
      <c r="B1321" s="8">
        <v>114.0</v>
      </c>
      <c r="C1321" s="8">
        <v>6.0</v>
      </c>
      <c r="D1321" s="8" t="s">
        <v>1898</v>
      </c>
      <c r="E1321" s="7">
        <v>0.0</v>
      </c>
      <c r="F1321" s="7"/>
      <c r="G1321" s="7" t="s">
        <v>312</v>
      </c>
      <c r="H1321" s="7" t="s">
        <v>313</v>
      </c>
      <c r="I1321" s="10"/>
      <c r="J1321" s="11"/>
      <c r="K1321" s="12"/>
      <c r="L1321" s="12"/>
      <c r="M1321" s="10"/>
      <c r="N1321" s="10"/>
      <c r="O1321" s="10"/>
      <c r="P1321" s="10"/>
      <c r="Q1321" s="10"/>
      <c r="R1321" s="10"/>
      <c r="S1321" s="10"/>
      <c r="T1321" s="10"/>
      <c r="U1321" s="10"/>
      <c r="V1321" s="10"/>
      <c r="W1321" s="10"/>
      <c r="X1321" s="10"/>
      <c r="Y1321" s="10"/>
      <c r="Z1321" s="10"/>
      <c r="AA1321" s="10"/>
      <c r="AB1321" s="10"/>
      <c r="AC1321" s="10"/>
      <c r="AD1321" s="10"/>
      <c r="AE1321" s="10"/>
      <c r="AF1321" s="10"/>
    </row>
    <row r="1322">
      <c r="A1322" s="7"/>
      <c r="B1322" s="8">
        <v>114.0</v>
      </c>
      <c r="C1322" s="8">
        <v>7.0</v>
      </c>
      <c r="D1322" s="8" t="s">
        <v>1899</v>
      </c>
      <c r="E1322" s="7">
        <v>0.0</v>
      </c>
      <c r="F1322" s="7"/>
      <c r="G1322" s="7" t="s">
        <v>312</v>
      </c>
      <c r="H1322" s="7" t="s">
        <v>313</v>
      </c>
      <c r="I1322" s="10"/>
      <c r="J1322" s="11"/>
      <c r="K1322" s="12"/>
      <c r="L1322" s="12"/>
      <c r="M1322" s="10"/>
      <c r="N1322" s="10"/>
      <c r="O1322" s="10"/>
      <c r="P1322" s="10"/>
      <c r="Q1322" s="10"/>
      <c r="R1322" s="10"/>
      <c r="S1322" s="10"/>
      <c r="T1322" s="10"/>
      <c r="U1322" s="10"/>
      <c r="V1322" s="10"/>
      <c r="W1322" s="10"/>
      <c r="X1322" s="10"/>
      <c r="Y1322" s="10"/>
      <c r="Z1322" s="10"/>
      <c r="AA1322" s="10"/>
      <c r="AB1322" s="10"/>
      <c r="AC1322" s="10"/>
      <c r="AD1322" s="10"/>
      <c r="AE1322" s="10"/>
      <c r="AF1322" s="10"/>
    </row>
    <row r="1323">
      <c r="A1323" s="7"/>
      <c r="B1323" s="8">
        <v>114.0</v>
      </c>
      <c r="C1323" s="8">
        <v>8.0</v>
      </c>
      <c r="D1323" s="8" t="s">
        <v>1900</v>
      </c>
      <c r="E1323" s="7">
        <v>0.0</v>
      </c>
      <c r="F1323" s="7"/>
      <c r="G1323" s="7" t="s">
        <v>312</v>
      </c>
      <c r="H1323" s="7" t="s">
        <v>313</v>
      </c>
      <c r="I1323" s="10"/>
      <c r="J1323" s="11"/>
      <c r="K1323" s="12"/>
      <c r="L1323" s="12"/>
      <c r="M1323" s="10"/>
      <c r="N1323" s="10"/>
      <c r="O1323" s="10"/>
      <c r="P1323" s="10"/>
      <c r="Q1323" s="10"/>
      <c r="R1323" s="10"/>
      <c r="S1323" s="10"/>
      <c r="T1323" s="10"/>
      <c r="U1323" s="10"/>
      <c r="V1323" s="10"/>
      <c r="W1323" s="10"/>
      <c r="X1323" s="10"/>
      <c r="Y1323" s="10"/>
      <c r="Z1323" s="10"/>
      <c r="AA1323" s="10"/>
      <c r="AB1323" s="10"/>
      <c r="AC1323" s="10"/>
      <c r="AD1323" s="10"/>
      <c r="AE1323" s="10"/>
      <c r="AF1323" s="10"/>
    </row>
    <row r="1324">
      <c r="A1324" s="7"/>
      <c r="B1324" s="8">
        <v>114.0</v>
      </c>
      <c r="C1324" s="8">
        <v>9.0</v>
      </c>
      <c r="D1324" s="8" t="s">
        <v>1901</v>
      </c>
      <c r="E1324" s="7">
        <v>0.0</v>
      </c>
      <c r="F1324" s="7"/>
      <c r="G1324" s="7" t="s">
        <v>312</v>
      </c>
      <c r="H1324" s="7" t="s">
        <v>313</v>
      </c>
      <c r="I1324" s="10"/>
      <c r="J1324" s="11"/>
      <c r="K1324" s="12"/>
      <c r="L1324" s="12"/>
      <c r="M1324" s="10"/>
      <c r="N1324" s="10"/>
      <c r="O1324" s="10"/>
      <c r="P1324" s="10"/>
      <c r="Q1324" s="10"/>
      <c r="R1324" s="10"/>
      <c r="S1324" s="10"/>
      <c r="T1324" s="10"/>
      <c r="U1324" s="10"/>
      <c r="V1324" s="10"/>
      <c r="W1324" s="10"/>
      <c r="X1324" s="10"/>
      <c r="Y1324" s="10"/>
      <c r="Z1324" s="10"/>
      <c r="AA1324" s="10"/>
      <c r="AB1324" s="10"/>
      <c r="AC1324" s="10"/>
      <c r="AD1324" s="10"/>
      <c r="AE1324" s="10"/>
      <c r="AF1324" s="10"/>
    </row>
    <row r="1325">
      <c r="A1325" s="7"/>
      <c r="B1325" s="8">
        <v>114.0</v>
      </c>
      <c r="C1325" s="8">
        <v>10.0</v>
      </c>
      <c r="D1325" s="8" t="s">
        <v>1902</v>
      </c>
      <c r="E1325" s="7">
        <v>0.0</v>
      </c>
      <c r="F1325" s="7"/>
      <c r="G1325" s="7" t="s">
        <v>312</v>
      </c>
      <c r="H1325" s="7" t="s">
        <v>313</v>
      </c>
      <c r="I1325" s="10"/>
      <c r="J1325" s="11"/>
      <c r="K1325" s="12"/>
      <c r="L1325" s="12"/>
      <c r="M1325" s="10"/>
      <c r="N1325" s="10"/>
      <c r="O1325" s="10"/>
      <c r="P1325" s="10"/>
      <c r="Q1325" s="10"/>
      <c r="R1325" s="10"/>
      <c r="S1325" s="10"/>
      <c r="T1325" s="10"/>
      <c r="U1325" s="10"/>
      <c r="V1325" s="10"/>
      <c r="W1325" s="10"/>
      <c r="X1325" s="10"/>
      <c r="Y1325" s="10"/>
      <c r="Z1325" s="10"/>
      <c r="AA1325" s="10"/>
      <c r="AB1325" s="10"/>
      <c r="AC1325" s="10"/>
      <c r="AD1325" s="10"/>
      <c r="AE1325" s="10"/>
      <c r="AF1325" s="10"/>
    </row>
    <row r="1326">
      <c r="A1326" s="10"/>
      <c r="B1326" s="8"/>
      <c r="C1326" s="8"/>
      <c r="D1326" s="12"/>
      <c r="E1326" s="10"/>
      <c r="F1326" s="10"/>
      <c r="G1326" s="10"/>
      <c r="H1326" s="10"/>
      <c r="I1326" s="10"/>
      <c r="J1326" s="11"/>
      <c r="K1326" s="12"/>
      <c r="L1326" s="12"/>
      <c r="M1326" s="10"/>
      <c r="N1326" s="10"/>
      <c r="O1326" s="10"/>
      <c r="P1326" s="10"/>
      <c r="Q1326" s="10"/>
      <c r="R1326" s="10"/>
      <c r="S1326" s="10"/>
      <c r="T1326" s="10"/>
      <c r="U1326" s="10"/>
      <c r="V1326" s="10"/>
      <c r="W1326" s="10"/>
      <c r="X1326" s="10"/>
      <c r="Y1326" s="10"/>
      <c r="Z1326" s="10"/>
      <c r="AA1326" s="10"/>
      <c r="AB1326" s="10"/>
      <c r="AC1326" s="10"/>
      <c r="AD1326" s="10"/>
      <c r="AE1326" s="10"/>
      <c r="AF1326" s="10"/>
    </row>
    <row r="1327">
      <c r="A1327" s="7"/>
      <c r="B1327" s="8">
        <v>115.0</v>
      </c>
      <c r="C1327" s="8">
        <v>1.0</v>
      </c>
      <c r="D1327" s="8" t="s">
        <v>1903</v>
      </c>
      <c r="E1327" s="7">
        <v>2.0</v>
      </c>
      <c r="F1327" s="7" t="s">
        <v>320</v>
      </c>
      <c r="G1327" s="7" t="s">
        <v>312</v>
      </c>
      <c r="H1327" s="7" t="s">
        <v>313</v>
      </c>
      <c r="I1327" s="7" t="s">
        <v>366</v>
      </c>
      <c r="J1327" s="9" t="s">
        <v>1904</v>
      </c>
      <c r="K1327" s="8" t="s">
        <v>1664</v>
      </c>
      <c r="L1327" s="12"/>
      <c r="M1327" s="10"/>
      <c r="N1327" s="10"/>
      <c r="O1327" s="10"/>
      <c r="P1327" s="10"/>
      <c r="Q1327" s="10"/>
      <c r="R1327" s="10"/>
      <c r="S1327" s="10"/>
      <c r="T1327" s="10"/>
      <c r="U1327" s="10"/>
      <c r="V1327" s="10"/>
      <c r="W1327" s="10"/>
      <c r="X1327" s="10"/>
      <c r="Y1327" s="10"/>
      <c r="Z1327" s="10"/>
      <c r="AA1327" s="10"/>
      <c r="AB1327" s="10"/>
      <c r="AC1327" s="10"/>
      <c r="AD1327" s="10"/>
      <c r="AE1327" s="10"/>
      <c r="AF1327" s="10"/>
    </row>
    <row r="1328">
      <c r="A1328" s="7"/>
      <c r="B1328" s="8">
        <v>115.0</v>
      </c>
      <c r="C1328" s="8">
        <v>2.0</v>
      </c>
      <c r="D1328" s="8" t="s">
        <v>1905</v>
      </c>
      <c r="E1328" s="7">
        <v>2.0</v>
      </c>
      <c r="F1328" s="7" t="s">
        <v>320</v>
      </c>
      <c r="G1328" s="7" t="s">
        <v>312</v>
      </c>
      <c r="H1328" s="7" t="s">
        <v>313</v>
      </c>
      <c r="I1328" s="7" t="s">
        <v>366</v>
      </c>
      <c r="J1328" s="11"/>
      <c r="K1328" s="8" t="s">
        <v>1664</v>
      </c>
      <c r="L1328" s="12"/>
      <c r="M1328" s="10"/>
      <c r="N1328" s="10"/>
      <c r="O1328" s="10"/>
      <c r="P1328" s="10"/>
      <c r="Q1328" s="10"/>
      <c r="R1328" s="10"/>
      <c r="S1328" s="10"/>
      <c r="T1328" s="10"/>
      <c r="U1328" s="10"/>
      <c r="V1328" s="10"/>
      <c r="W1328" s="10"/>
      <c r="X1328" s="10"/>
      <c r="Y1328" s="10"/>
      <c r="Z1328" s="10"/>
      <c r="AA1328" s="10"/>
      <c r="AB1328" s="10"/>
      <c r="AC1328" s="10"/>
      <c r="AD1328" s="10"/>
      <c r="AE1328" s="10"/>
      <c r="AF1328" s="10"/>
    </row>
    <row r="1329">
      <c r="A1329" s="7"/>
      <c r="B1329" s="8">
        <v>115.0</v>
      </c>
      <c r="C1329" s="8">
        <v>3.0</v>
      </c>
      <c r="D1329" s="8" t="s">
        <v>1906</v>
      </c>
      <c r="E1329" s="7">
        <v>0.0</v>
      </c>
      <c r="F1329" s="7"/>
      <c r="G1329" s="7" t="s">
        <v>312</v>
      </c>
      <c r="H1329" s="7" t="s">
        <v>313</v>
      </c>
      <c r="I1329" s="10"/>
      <c r="J1329" s="11"/>
      <c r="K1329" s="12"/>
      <c r="L1329" s="12"/>
      <c r="M1329" s="10"/>
      <c r="N1329" s="10"/>
      <c r="O1329" s="10"/>
      <c r="P1329" s="10"/>
      <c r="Q1329" s="10"/>
      <c r="R1329" s="10"/>
      <c r="S1329" s="10"/>
      <c r="T1329" s="10"/>
      <c r="U1329" s="10"/>
      <c r="V1329" s="10"/>
      <c r="W1329" s="10"/>
      <c r="X1329" s="10"/>
      <c r="Y1329" s="10"/>
      <c r="Z1329" s="10"/>
      <c r="AA1329" s="10"/>
      <c r="AB1329" s="10"/>
      <c r="AC1329" s="10"/>
      <c r="AD1329" s="10"/>
      <c r="AE1329" s="10"/>
      <c r="AF1329" s="10"/>
    </row>
    <row r="1330">
      <c r="A1330" s="10"/>
      <c r="B1330" s="12"/>
      <c r="C1330" s="12"/>
      <c r="D1330" s="12"/>
      <c r="E1330" s="10"/>
      <c r="F1330" s="10"/>
      <c r="G1330" s="10"/>
      <c r="H1330" s="10"/>
      <c r="I1330" s="10"/>
      <c r="J1330" s="11"/>
      <c r="K1330" s="12"/>
      <c r="L1330" s="12"/>
      <c r="M1330" s="10"/>
      <c r="N1330" s="10"/>
      <c r="O1330" s="10"/>
      <c r="P1330" s="10"/>
      <c r="Q1330" s="10"/>
      <c r="R1330" s="10"/>
      <c r="S1330" s="10"/>
      <c r="T1330" s="10"/>
      <c r="U1330" s="10"/>
      <c r="V1330" s="10"/>
      <c r="W1330" s="10"/>
      <c r="X1330" s="10"/>
      <c r="Y1330" s="10"/>
      <c r="Z1330" s="10"/>
      <c r="AA1330" s="10"/>
      <c r="AB1330" s="10"/>
      <c r="AC1330" s="10"/>
      <c r="AD1330" s="10"/>
      <c r="AE1330" s="10"/>
      <c r="AF1330" s="10"/>
    </row>
    <row r="1331">
      <c r="A1331" s="7"/>
      <c r="B1331" s="8">
        <v>116.0</v>
      </c>
      <c r="C1331" s="8">
        <v>1.0</v>
      </c>
      <c r="D1331" s="8" t="s">
        <v>1907</v>
      </c>
      <c r="E1331" s="7">
        <v>2.0</v>
      </c>
      <c r="F1331" s="7" t="s">
        <v>320</v>
      </c>
      <c r="G1331" s="7" t="s">
        <v>312</v>
      </c>
      <c r="H1331" s="7" t="s">
        <v>313</v>
      </c>
      <c r="I1331" s="7"/>
      <c r="J1331" s="24"/>
      <c r="K1331" s="8" t="s">
        <v>1579</v>
      </c>
      <c r="L1331" s="12"/>
      <c r="M1331" s="10"/>
      <c r="N1331" s="10"/>
      <c r="O1331" s="10"/>
      <c r="P1331" s="10"/>
      <c r="Q1331" s="10"/>
      <c r="R1331" s="10"/>
      <c r="S1331" s="10"/>
      <c r="T1331" s="10"/>
      <c r="U1331" s="10"/>
      <c r="V1331" s="10"/>
      <c r="W1331" s="10"/>
      <c r="X1331" s="10"/>
      <c r="Y1331" s="10"/>
      <c r="Z1331" s="10"/>
      <c r="AA1331" s="10"/>
      <c r="AB1331" s="10"/>
      <c r="AC1331" s="10"/>
      <c r="AD1331" s="10"/>
      <c r="AE1331" s="10"/>
      <c r="AF1331" s="10"/>
    </row>
    <row r="1332">
      <c r="A1332" s="7"/>
      <c r="B1332" s="8">
        <v>116.0</v>
      </c>
      <c r="C1332" s="8">
        <v>2.0</v>
      </c>
      <c r="D1332" s="8" t="s">
        <v>1908</v>
      </c>
      <c r="E1332" s="7">
        <v>2.0</v>
      </c>
      <c r="F1332" s="7" t="s">
        <v>320</v>
      </c>
      <c r="G1332" s="7" t="s">
        <v>312</v>
      </c>
      <c r="H1332" s="7" t="s">
        <v>313</v>
      </c>
      <c r="I1332" s="7" t="s">
        <v>366</v>
      </c>
      <c r="J1332" s="9" t="s">
        <v>1909</v>
      </c>
      <c r="K1332" s="12"/>
      <c r="L1332" s="12"/>
      <c r="M1332" s="10"/>
      <c r="N1332" s="10"/>
      <c r="O1332" s="10"/>
      <c r="P1332" s="10"/>
      <c r="Q1332" s="10"/>
      <c r="R1332" s="10"/>
      <c r="S1332" s="10"/>
      <c r="T1332" s="10"/>
      <c r="U1332" s="10"/>
      <c r="V1332" s="10"/>
      <c r="W1332" s="10"/>
      <c r="X1332" s="10"/>
      <c r="Y1332" s="10"/>
      <c r="Z1332" s="10"/>
      <c r="AA1332" s="10"/>
      <c r="AB1332" s="10"/>
      <c r="AC1332" s="10"/>
      <c r="AD1332" s="10"/>
      <c r="AE1332" s="10"/>
      <c r="AF1332" s="10"/>
    </row>
    <row r="1333">
      <c r="A1333" s="7"/>
      <c r="B1333" s="8">
        <v>116.0</v>
      </c>
      <c r="C1333" s="8">
        <v>3.0</v>
      </c>
      <c r="D1333" s="8" t="s">
        <v>1910</v>
      </c>
      <c r="E1333" s="7">
        <v>2.0</v>
      </c>
      <c r="F1333" s="7" t="s">
        <v>320</v>
      </c>
      <c r="G1333" s="7" t="s">
        <v>312</v>
      </c>
      <c r="H1333" s="7" t="s">
        <v>313</v>
      </c>
      <c r="I1333" s="10"/>
      <c r="J1333" s="9" t="s">
        <v>1911</v>
      </c>
      <c r="K1333" s="8" t="s">
        <v>1579</v>
      </c>
      <c r="L1333" s="12"/>
      <c r="M1333" s="10"/>
      <c r="N1333" s="10"/>
      <c r="O1333" s="10"/>
      <c r="P1333" s="10"/>
      <c r="Q1333" s="10"/>
      <c r="R1333" s="10"/>
      <c r="S1333" s="10"/>
      <c r="T1333" s="10"/>
      <c r="U1333" s="10"/>
      <c r="V1333" s="10"/>
      <c r="W1333" s="10"/>
      <c r="X1333" s="10"/>
      <c r="Y1333" s="10"/>
      <c r="Z1333" s="10"/>
      <c r="AA1333" s="10"/>
      <c r="AB1333" s="10"/>
      <c r="AC1333" s="10"/>
      <c r="AD1333" s="10"/>
      <c r="AE1333" s="10"/>
      <c r="AF1333" s="10"/>
    </row>
    <row r="1334">
      <c r="A1334" s="7"/>
      <c r="B1334" s="8">
        <v>116.0</v>
      </c>
      <c r="C1334" s="8">
        <v>4.0</v>
      </c>
      <c r="D1334" s="8" t="s">
        <v>1912</v>
      </c>
      <c r="E1334" s="7">
        <v>0.0</v>
      </c>
      <c r="F1334" s="7"/>
      <c r="G1334" s="7" t="s">
        <v>312</v>
      </c>
      <c r="H1334" s="7" t="s">
        <v>313</v>
      </c>
      <c r="I1334" s="10"/>
      <c r="J1334" s="11"/>
      <c r="K1334" s="12"/>
      <c r="L1334" s="12"/>
      <c r="M1334" s="10"/>
      <c r="N1334" s="10"/>
      <c r="O1334" s="10"/>
      <c r="P1334" s="10"/>
      <c r="Q1334" s="10"/>
      <c r="R1334" s="10"/>
      <c r="S1334" s="10"/>
      <c r="T1334" s="10"/>
      <c r="U1334" s="10"/>
      <c r="V1334" s="10"/>
      <c r="W1334" s="10"/>
      <c r="X1334" s="10"/>
      <c r="Y1334" s="10"/>
      <c r="Z1334" s="10"/>
      <c r="AA1334" s="10"/>
      <c r="AB1334" s="10"/>
      <c r="AC1334" s="10"/>
      <c r="AD1334" s="10"/>
      <c r="AE1334" s="10"/>
      <c r="AF1334" s="10"/>
    </row>
    <row r="1335">
      <c r="A1335" s="7"/>
      <c r="B1335" s="8">
        <v>116.0</v>
      </c>
      <c r="C1335" s="8">
        <v>5.0</v>
      </c>
      <c r="D1335" s="8" t="s">
        <v>1913</v>
      </c>
      <c r="E1335" s="7">
        <v>0.0</v>
      </c>
      <c r="F1335" s="7"/>
      <c r="G1335" s="7" t="s">
        <v>312</v>
      </c>
      <c r="H1335" s="7" t="s">
        <v>313</v>
      </c>
      <c r="I1335" s="10"/>
      <c r="J1335" s="11"/>
      <c r="K1335" s="12"/>
      <c r="L1335" s="12"/>
      <c r="M1335" s="10"/>
      <c r="N1335" s="10"/>
      <c r="O1335" s="10"/>
      <c r="P1335" s="10"/>
      <c r="Q1335" s="10"/>
      <c r="R1335" s="10"/>
      <c r="S1335" s="10"/>
      <c r="T1335" s="10"/>
      <c r="U1335" s="10"/>
      <c r="V1335" s="10"/>
      <c r="W1335" s="10"/>
      <c r="X1335" s="10"/>
      <c r="Y1335" s="10"/>
      <c r="Z1335" s="10"/>
      <c r="AA1335" s="10"/>
      <c r="AB1335" s="10"/>
      <c r="AC1335" s="10"/>
      <c r="AD1335" s="10"/>
      <c r="AE1335" s="10"/>
      <c r="AF1335" s="10"/>
    </row>
    <row r="1336">
      <c r="A1336" s="7"/>
      <c r="B1336" s="8">
        <v>116.0</v>
      </c>
      <c r="C1336" s="8">
        <v>6.0</v>
      </c>
      <c r="D1336" s="8" t="s">
        <v>1914</v>
      </c>
      <c r="E1336" s="7">
        <v>0.0</v>
      </c>
      <c r="F1336" s="7"/>
      <c r="G1336" s="7" t="s">
        <v>312</v>
      </c>
      <c r="H1336" s="7" t="s">
        <v>313</v>
      </c>
      <c r="I1336" s="10"/>
      <c r="J1336" s="11"/>
      <c r="K1336" s="12"/>
      <c r="L1336" s="12"/>
      <c r="M1336" s="10"/>
      <c r="N1336" s="10"/>
      <c r="O1336" s="10"/>
      <c r="P1336" s="10"/>
      <c r="Q1336" s="10"/>
      <c r="R1336" s="10"/>
      <c r="S1336" s="10"/>
      <c r="T1336" s="10"/>
      <c r="U1336" s="10"/>
      <c r="V1336" s="10"/>
      <c r="W1336" s="10"/>
      <c r="X1336" s="10"/>
      <c r="Y1336" s="10"/>
      <c r="Z1336" s="10"/>
      <c r="AA1336" s="10"/>
      <c r="AB1336" s="10"/>
      <c r="AC1336" s="10"/>
      <c r="AD1336" s="10"/>
      <c r="AE1336" s="10"/>
      <c r="AF1336" s="10"/>
    </row>
    <row r="1337">
      <c r="A1337" s="10"/>
      <c r="B1337" s="12"/>
      <c r="C1337" s="12"/>
      <c r="D1337" s="12"/>
      <c r="E1337" s="10"/>
      <c r="F1337" s="10"/>
      <c r="G1337" s="10"/>
      <c r="H1337" s="10"/>
      <c r="I1337" s="10"/>
      <c r="J1337" s="11"/>
      <c r="K1337" s="12"/>
      <c r="L1337" s="12"/>
      <c r="M1337" s="10"/>
      <c r="N1337" s="10"/>
      <c r="O1337" s="10"/>
      <c r="P1337" s="10"/>
      <c r="Q1337" s="10"/>
      <c r="R1337" s="10"/>
      <c r="S1337" s="10"/>
      <c r="T1337" s="10"/>
      <c r="U1337" s="10"/>
      <c r="V1337" s="10"/>
      <c r="W1337" s="10"/>
      <c r="X1337" s="10"/>
      <c r="Y1337" s="10"/>
      <c r="Z1337" s="10"/>
      <c r="AA1337" s="10"/>
      <c r="AB1337" s="10"/>
      <c r="AC1337" s="10"/>
      <c r="AD1337" s="10"/>
      <c r="AE1337" s="10"/>
      <c r="AF1337" s="10"/>
    </row>
    <row r="1338">
      <c r="A1338" s="7"/>
      <c r="B1338" s="8">
        <v>117.0</v>
      </c>
      <c r="C1338" s="8">
        <v>1.0</v>
      </c>
      <c r="D1338" s="8" t="s">
        <v>1915</v>
      </c>
      <c r="E1338" s="7">
        <v>0.0</v>
      </c>
      <c r="F1338" s="7"/>
      <c r="G1338" s="7" t="s">
        <v>312</v>
      </c>
      <c r="H1338" s="7" t="s">
        <v>313</v>
      </c>
      <c r="I1338" s="10"/>
      <c r="J1338" s="9" t="s">
        <v>1916</v>
      </c>
      <c r="K1338" s="12"/>
      <c r="L1338" s="12"/>
      <c r="M1338" s="10"/>
      <c r="N1338" s="10"/>
      <c r="O1338" s="10"/>
      <c r="P1338" s="10"/>
      <c r="Q1338" s="10"/>
      <c r="R1338" s="10"/>
      <c r="S1338" s="10"/>
      <c r="T1338" s="10"/>
      <c r="U1338" s="10"/>
      <c r="V1338" s="10"/>
      <c r="W1338" s="10"/>
      <c r="X1338" s="10"/>
      <c r="Y1338" s="10"/>
      <c r="Z1338" s="10"/>
      <c r="AA1338" s="10"/>
      <c r="AB1338" s="10"/>
      <c r="AC1338" s="10"/>
      <c r="AD1338" s="10"/>
      <c r="AE1338" s="10"/>
      <c r="AF1338" s="10"/>
    </row>
    <row r="1339">
      <c r="A1339" s="7"/>
      <c r="B1339" s="8">
        <v>117.0</v>
      </c>
      <c r="C1339" s="8">
        <v>2.0</v>
      </c>
      <c r="D1339" s="8" t="s">
        <v>1917</v>
      </c>
      <c r="E1339" s="7">
        <v>2.0</v>
      </c>
      <c r="F1339" s="7" t="s">
        <v>320</v>
      </c>
      <c r="G1339" s="7" t="s">
        <v>312</v>
      </c>
      <c r="H1339" s="7" t="s">
        <v>313</v>
      </c>
      <c r="I1339" s="7" t="s">
        <v>366</v>
      </c>
      <c r="J1339" s="16" t="s">
        <v>1918</v>
      </c>
      <c r="K1339" s="8" t="s">
        <v>1579</v>
      </c>
      <c r="L1339" s="15" t="s">
        <v>1919</v>
      </c>
      <c r="M1339" s="10"/>
      <c r="N1339" s="10"/>
      <c r="O1339" s="10"/>
      <c r="P1339" s="10"/>
      <c r="Q1339" s="10"/>
      <c r="R1339" s="10"/>
      <c r="S1339" s="10"/>
      <c r="T1339" s="10"/>
      <c r="U1339" s="10"/>
      <c r="V1339" s="10"/>
      <c r="W1339" s="10"/>
      <c r="X1339" s="10"/>
      <c r="Y1339" s="10"/>
      <c r="Z1339" s="10"/>
      <c r="AA1339" s="10"/>
      <c r="AB1339" s="10"/>
      <c r="AC1339" s="10"/>
      <c r="AD1339" s="10"/>
      <c r="AE1339" s="10"/>
      <c r="AF1339" s="10"/>
    </row>
    <row r="1340">
      <c r="A1340" s="7"/>
      <c r="B1340" s="8">
        <v>117.0</v>
      </c>
      <c r="C1340" s="8">
        <v>3.0</v>
      </c>
      <c r="D1340" s="8" t="s">
        <v>1920</v>
      </c>
      <c r="E1340" s="7">
        <v>2.0</v>
      </c>
      <c r="F1340" s="7" t="s">
        <v>320</v>
      </c>
      <c r="G1340" s="7" t="s">
        <v>312</v>
      </c>
      <c r="H1340" s="7" t="s">
        <v>313</v>
      </c>
      <c r="I1340" s="10"/>
      <c r="J1340" s="11"/>
      <c r="K1340" s="8" t="s">
        <v>1579</v>
      </c>
      <c r="L1340" s="12"/>
      <c r="M1340" s="10"/>
      <c r="N1340" s="10"/>
      <c r="O1340" s="10"/>
      <c r="P1340" s="10"/>
      <c r="Q1340" s="10"/>
      <c r="R1340" s="10"/>
      <c r="S1340" s="10"/>
      <c r="T1340" s="10"/>
      <c r="U1340" s="10"/>
      <c r="V1340" s="10"/>
      <c r="W1340" s="10"/>
      <c r="X1340" s="10"/>
      <c r="Y1340" s="10"/>
      <c r="Z1340" s="10"/>
      <c r="AA1340" s="10"/>
      <c r="AB1340" s="10"/>
      <c r="AC1340" s="10"/>
      <c r="AD1340" s="10"/>
      <c r="AE1340" s="10"/>
      <c r="AF1340" s="10"/>
    </row>
    <row r="1341">
      <c r="A1341" s="7"/>
      <c r="B1341" s="8">
        <v>117.0</v>
      </c>
      <c r="C1341" s="8">
        <v>4.0</v>
      </c>
      <c r="D1341" s="8" t="s">
        <v>1921</v>
      </c>
      <c r="E1341" s="7">
        <v>2.0</v>
      </c>
      <c r="F1341" s="7" t="s">
        <v>320</v>
      </c>
      <c r="G1341" s="7" t="s">
        <v>312</v>
      </c>
      <c r="H1341" s="7" t="s">
        <v>313</v>
      </c>
      <c r="I1341" s="7" t="s">
        <v>366</v>
      </c>
      <c r="J1341" s="16" t="s">
        <v>1918</v>
      </c>
      <c r="K1341" s="8" t="s">
        <v>1579</v>
      </c>
      <c r="L1341" s="15" t="s">
        <v>1919</v>
      </c>
      <c r="M1341" s="10"/>
      <c r="N1341" s="10"/>
      <c r="O1341" s="10"/>
      <c r="P1341" s="10"/>
      <c r="Q1341" s="10"/>
      <c r="R1341" s="10"/>
      <c r="S1341" s="10"/>
      <c r="T1341" s="10"/>
      <c r="U1341" s="10"/>
      <c r="V1341" s="10"/>
      <c r="W1341" s="10"/>
      <c r="X1341" s="10"/>
      <c r="Y1341" s="10"/>
      <c r="Z1341" s="10"/>
      <c r="AA1341" s="10"/>
      <c r="AB1341" s="10"/>
      <c r="AC1341" s="10"/>
      <c r="AD1341" s="10"/>
      <c r="AE1341" s="10"/>
      <c r="AF1341" s="10"/>
    </row>
    <row r="1342">
      <c r="A1342" s="7"/>
      <c r="B1342" s="8">
        <v>117.0</v>
      </c>
      <c r="C1342" s="8">
        <v>5.0</v>
      </c>
      <c r="D1342" s="8" t="s">
        <v>1922</v>
      </c>
      <c r="E1342" s="7">
        <v>2.0</v>
      </c>
      <c r="F1342" s="7" t="s">
        <v>320</v>
      </c>
      <c r="G1342" s="7" t="s">
        <v>312</v>
      </c>
      <c r="H1342" s="7" t="s">
        <v>313</v>
      </c>
      <c r="I1342" s="10"/>
      <c r="J1342" s="11"/>
      <c r="K1342" s="8" t="s">
        <v>1579</v>
      </c>
      <c r="L1342" s="12"/>
      <c r="M1342" s="10"/>
      <c r="N1342" s="10"/>
      <c r="O1342" s="10"/>
      <c r="P1342" s="10"/>
      <c r="Q1342" s="10"/>
      <c r="R1342" s="10"/>
      <c r="S1342" s="10"/>
      <c r="T1342" s="10"/>
      <c r="U1342" s="10"/>
      <c r="V1342" s="10"/>
      <c r="W1342" s="10"/>
      <c r="X1342" s="10"/>
      <c r="Y1342" s="10"/>
      <c r="Z1342" s="10"/>
      <c r="AA1342" s="10"/>
      <c r="AB1342" s="10"/>
      <c r="AC1342" s="10"/>
      <c r="AD1342" s="10"/>
      <c r="AE1342" s="10"/>
      <c r="AF1342" s="10"/>
    </row>
    <row r="1343">
      <c r="A1343" s="7"/>
      <c r="B1343" s="8">
        <v>117.0</v>
      </c>
      <c r="C1343" s="8">
        <v>6.0</v>
      </c>
      <c r="D1343" s="8" t="s">
        <v>1923</v>
      </c>
      <c r="E1343" s="7">
        <v>0.0</v>
      </c>
      <c r="F1343" s="7"/>
      <c r="G1343" s="7" t="s">
        <v>312</v>
      </c>
      <c r="H1343" s="7" t="s">
        <v>313</v>
      </c>
      <c r="I1343" s="10"/>
      <c r="J1343" s="11"/>
      <c r="K1343" s="12"/>
      <c r="L1343" s="12"/>
      <c r="M1343" s="10"/>
      <c r="N1343" s="10"/>
      <c r="O1343" s="10"/>
      <c r="P1343" s="10"/>
      <c r="Q1343" s="10"/>
      <c r="R1343" s="10"/>
      <c r="S1343" s="10"/>
      <c r="T1343" s="10"/>
      <c r="U1343" s="10"/>
      <c r="V1343" s="10"/>
      <c r="W1343" s="10"/>
      <c r="X1343" s="10"/>
      <c r="Y1343" s="10"/>
      <c r="Z1343" s="10"/>
      <c r="AA1343" s="10"/>
      <c r="AB1343" s="10"/>
      <c r="AC1343" s="10"/>
      <c r="AD1343" s="10"/>
      <c r="AE1343" s="10"/>
      <c r="AF1343" s="10"/>
    </row>
    <row r="1344">
      <c r="A1344" s="10"/>
      <c r="B1344" s="12"/>
      <c r="C1344" s="12"/>
      <c r="D1344" s="12"/>
      <c r="E1344" s="10"/>
      <c r="F1344" s="10"/>
      <c r="G1344" s="10"/>
      <c r="H1344" s="10"/>
      <c r="I1344" s="10"/>
      <c r="J1344" s="11"/>
      <c r="K1344" s="12"/>
      <c r="L1344" s="12"/>
      <c r="M1344" s="10"/>
      <c r="N1344" s="10"/>
      <c r="O1344" s="10"/>
      <c r="P1344" s="10"/>
      <c r="Q1344" s="10"/>
      <c r="R1344" s="10"/>
      <c r="S1344" s="10"/>
      <c r="T1344" s="10"/>
      <c r="U1344" s="10"/>
      <c r="V1344" s="10"/>
      <c r="W1344" s="10"/>
      <c r="X1344" s="10"/>
      <c r="Y1344" s="10"/>
      <c r="Z1344" s="10"/>
      <c r="AA1344" s="10"/>
      <c r="AB1344" s="10"/>
      <c r="AC1344" s="10"/>
      <c r="AD1344" s="10"/>
      <c r="AE1344" s="10"/>
      <c r="AF1344" s="10"/>
    </row>
    <row r="1345">
      <c r="A1345" s="7"/>
      <c r="B1345" s="8">
        <v>118.0</v>
      </c>
      <c r="C1345" s="8">
        <v>1.0</v>
      </c>
      <c r="D1345" s="8" t="s">
        <v>1924</v>
      </c>
      <c r="E1345" s="7">
        <v>2.0</v>
      </c>
      <c r="F1345" s="7" t="s">
        <v>320</v>
      </c>
      <c r="G1345" s="7" t="s">
        <v>312</v>
      </c>
      <c r="H1345" s="7" t="s">
        <v>313</v>
      </c>
      <c r="I1345" s="10"/>
      <c r="J1345" s="9" t="s">
        <v>1925</v>
      </c>
      <c r="K1345" s="8" t="s">
        <v>1579</v>
      </c>
      <c r="L1345" s="12"/>
      <c r="M1345" s="10"/>
      <c r="N1345" s="10"/>
      <c r="O1345" s="10"/>
      <c r="P1345" s="10"/>
      <c r="Q1345" s="10"/>
      <c r="R1345" s="10"/>
      <c r="S1345" s="10"/>
      <c r="T1345" s="10"/>
      <c r="U1345" s="10"/>
      <c r="V1345" s="10"/>
      <c r="W1345" s="10"/>
      <c r="X1345" s="10"/>
      <c r="Y1345" s="10"/>
      <c r="Z1345" s="10"/>
      <c r="AA1345" s="10"/>
      <c r="AB1345" s="10"/>
      <c r="AC1345" s="10"/>
      <c r="AD1345" s="10"/>
      <c r="AE1345" s="10"/>
      <c r="AF1345" s="10"/>
    </row>
    <row r="1346">
      <c r="A1346" s="7"/>
      <c r="B1346" s="8">
        <v>118.0</v>
      </c>
      <c r="C1346" s="8">
        <v>2.0</v>
      </c>
      <c r="D1346" s="8" t="s">
        <v>1926</v>
      </c>
      <c r="E1346" s="7">
        <v>2.0</v>
      </c>
      <c r="F1346" s="7" t="s">
        <v>320</v>
      </c>
      <c r="G1346" s="7" t="s">
        <v>312</v>
      </c>
      <c r="H1346" s="7" t="s">
        <v>313</v>
      </c>
      <c r="I1346" s="10"/>
      <c r="J1346" s="9" t="s">
        <v>1927</v>
      </c>
      <c r="K1346" s="8" t="s">
        <v>1579</v>
      </c>
      <c r="L1346" s="12"/>
      <c r="M1346" s="10"/>
      <c r="N1346" s="10"/>
      <c r="O1346" s="10"/>
      <c r="P1346" s="10"/>
      <c r="Q1346" s="10"/>
      <c r="R1346" s="10"/>
      <c r="S1346" s="10"/>
      <c r="T1346" s="10"/>
      <c r="U1346" s="10"/>
      <c r="V1346" s="10"/>
      <c r="W1346" s="10"/>
      <c r="X1346" s="10"/>
      <c r="Y1346" s="10"/>
      <c r="Z1346" s="10"/>
      <c r="AA1346" s="10"/>
      <c r="AB1346" s="10"/>
      <c r="AC1346" s="10"/>
      <c r="AD1346" s="10"/>
      <c r="AE1346" s="10"/>
      <c r="AF1346" s="10"/>
    </row>
    <row r="1347">
      <c r="A1347" s="7"/>
      <c r="B1347" s="8">
        <v>118.0</v>
      </c>
      <c r="C1347" s="8">
        <v>3.0</v>
      </c>
      <c r="D1347" s="8" t="s">
        <v>1928</v>
      </c>
      <c r="E1347" s="7">
        <v>2.0</v>
      </c>
      <c r="F1347" s="7" t="s">
        <v>320</v>
      </c>
      <c r="G1347" s="7" t="s">
        <v>312</v>
      </c>
      <c r="H1347" s="7" t="s">
        <v>313</v>
      </c>
      <c r="I1347" s="10"/>
      <c r="J1347" s="11"/>
      <c r="K1347" s="8" t="s">
        <v>1579</v>
      </c>
      <c r="L1347" s="12"/>
      <c r="M1347" s="10"/>
      <c r="N1347" s="10"/>
      <c r="O1347" s="10"/>
      <c r="P1347" s="10"/>
      <c r="Q1347" s="10"/>
      <c r="R1347" s="10"/>
      <c r="S1347" s="10"/>
      <c r="T1347" s="10"/>
      <c r="U1347" s="10"/>
      <c r="V1347" s="10"/>
      <c r="W1347" s="10"/>
      <c r="X1347" s="10"/>
      <c r="Y1347" s="10"/>
      <c r="Z1347" s="10"/>
      <c r="AA1347" s="10"/>
      <c r="AB1347" s="10"/>
      <c r="AC1347" s="10"/>
      <c r="AD1347" s="10"/>
      <c r="AE1347" s="10"/>
      <c r="AF1347" s="10"/>
    </row>
    <row r="1348">
      <c r="A1348" s="7"/>
      <c r="B1348" s="8">
        <v>118.0</v>
      </c>
      <c r="C1348" s="8">
        <v>4.0</v>
      </c>
      <c r="D1348" s="8" t="s">
        <v>1929</v>
      </c>
      <c r="E1348" s="7">
        <v>2.0</v>
      </c>
      <c r="F1348" s="7" t="s">
        <v>320</v>
      </c>
      <c r="G1348" s="7" t="s">
        <v>312</v>
      </c>
      <c r="H1348" s="7" t="s">
        <v>313</v>
      </c>
      <c r="I1348" s="10"/>
      <c r="J1348" s="11"/>
      <c r="K1348" s="8" t="s">
        <v>1579</v>
      </c>
      <c r="L1348" s="12"/>
      <c r="M1348" s="10"/>
      <c r="N1348" s="10"/>
      <c r="O1348" s="10"/>
      <c r="P1348" s="10"/>
      <c r="Q1348" s="10"/>
      <c r="R1348" s="10"/>
      <c r="S1348" s="10"/>
      <c r="T1348" s="10"/>
      <c r="U1348" s="10"/>
      <c r="V1348" s="10"/>
      <c r="W1348" s="10"/>
      <c r="X1348" s="10"/>
      <c r="Y1348" s="10"/>
      <c r="Z1348" s="10"/>
      <c r="AA1348" s="10"/>
      <c r="AB1348" s="10"/>
      <c r="AC1348" s="10"/>
      <c r="AD1348" s="10"/>
      <c r="AE1348" s="10"/>
      <c r="AF1348" s="10"/>
    </row>
    <row r="1349">
      <c r="A1349" s="7"/>
      <c r="B1349" s="8">
        <v>118.0</v>
      </c>
      <c r="C1349" s="8">
        <v>5.0</v>
      </c>
      <c r="D1349" s="8" t="s">
        <v>1930</v>
      </c>
      <c r="E1349" s="7">
        <v>0.0</v>
      </c>
      <c r="F1349" s="7"/>
      <c r="G1349" s="7" t="s">
        <v>312</v>
      </c>
      <c r="H1349" s="7" t="s">
        <v>313</v>
      </c>
      <c r="I1349" s="10"/>
      <c r="J1349" s="11"/>
      <c r="K1349" s="12"/>
      <c r="L1349" s="12"/>
      <c r="M1349" s="10"/>
      <c r="N1349" s="10"/>
      <c r="O1349" s="10"/>
      <c r="P1349" s="10"/>
      <c r="Q1349" s="10"/>
      <c r="R1349" s="10"/>
      <c r="S1349" s="10"/>
      <c r="T1349" s="10"/>
      <c r="U1349" s="10"/>
      <c r="V1349" s="10"/>
      <c r="W1349" s="10"/>
      <c r="X1349" s="10"/>
      <c r="Y1349" s="10"/>
      <c r="Z1349" s="10"/>
      <c r="AA1349" s="10"/>
      <c r="AB1349" s="10"/>
      <c r="AC1349" s="10"/>
      <c r="AD1349" s="10"/>
      <c r="AE1349" s="10"/>
      <c r="AF1349" s="10"/>
    </row>
    <row r="1350">
      <c r="A1350" s="7"/>
      <c r="B1350" s="8">
        <v>118.0</v>
      </c>
      <c r="C1350" s="8">
        <v>6.0</v>
      </c>
      <c r="D1350" s="8" t="s">
        <v>1931</v>
      </c>
      <c r="E1350" s="7">
        <v>0.0</v>
      </c>
      <c r="F1350" s="7"/>
      <c r="G1350" s="7" t="s">
        <v>312</v>
      </c>
      <c r="H1350" s="7" t="s">
        <v>313</v>
      </c>
      <c r="I1350" s="10"/>
      <c r="J1350" s="11"/>
      <c r="K1350" s="12"/>
      <c r="L1350" s="12"/>
      <c r="M1350" s="10"/>
      <c r="N1350" s="10"/>
      <c r="O1350" s="10"/>
      <c r="P1350" s="10"/>
      <c r="Q1350" s="10"/>
      <c r="R1350" s="10"/>
      <c r="S1350" s="10"/>
      <c r="T1350" s="10"/>
      <c r="U1350" s="10"/>
      <c r="V1350" s="10"/>
      <c r="W1350" s="10"/>
      <c r="X1350" s="10"/>
      <c r="Y1350" s="10"/>
      <c r="Z1350" s="10"/>
      <c r="AA1350" s="10"/>
      <c r="AB1350" s="10"/>
      <c r="AC1350" s="10"/>
      <c r="AD1350" s="10"/>
      <c r="AE1350" s="10"/>
      <c r="AF1350" s="10"/>
    </row>
    <row r="1351">
      <c r="A1351" s="7"/>
      <c r="B1351" s="8">
        <v>118.0</v>
      </c>
      <c r="C1351" s="8">
        <v>7.0</v>
      </c>
      <c r="D1351" s="8" t="s">
        <v>1932</v>
      </c>
      <c r="E1351" s="7">
        <v>0.0</v>
      </c>
      <c r="F1351" s="7"/>
      <c r="G1351" s="7" t="s">
        <v>312</v>
      </c>
      <c r="H1351" s="7" t="s">
        <v>313</v>
      </c>
      <c r="I1351" s="10"/>
      <c r="J1351" s="11"/>
      <c r="K1351" s="12"/>
      <c r="L1351" s="12"/>
      <c r="M1351" s="10"/>
      <c r="N1351" s="10"/>
      <c r="O1351" s="10"/>
      <c r="P1351" s="10"/>
      <c r="Q1351" s="10"/>
      <c r="R1351" s="10"/>
      <c r="S1351" s="10"/>
      <c r="T1351" s="10"/>
      <c r="U1351" s="10"/>
      <c r="V1351" s="10"/>
      <c r="W1351" s="10"/>
      <c r="X1351" s="10"/>
      <c r="Y1351" s="10"/>
      <c r="Z1351" s="10"/>
      <c r="AA1351" s="10"/>
      <c r="AB1351" s="10"/>
      <c r="AC1351" s="10"/>
      <c r="AD1351" s="10"/>
      <c r="AE1351" s="10"/>
      <c r="AF1351" s="10"/>
    </row>
    <row r="1352">
      <c r="A1352" s="7"/>
      <c r="B1352" s="8">
        <v>118.0</v>
      </c>
      <c r="C1352" s="8">
        <v>8.0</v>
      </c>
      <c r="D1352" s="8" t="s">
        <v>1933</v>
      </c>
      <c r="E1352" s="7">
        <v>0.0</v>
      </c>
      <c r="F1352" s="7"/>
      <c r="G1352" s="7" t="s">
        <v>312</v>
      </c>
      <c r="H1352" s="7" t="s">
        <v>313</v>
      </c>
      <c r="I1352" s="10"/>
      <c r="J1352" s="11"/>
      <c r="K1352" s="12"/>
      <c r="L1352" s="12"/>
      <c r="M1352" s="10"/>
      <c r="N1352" s="10"/>
      <c r="O1352" s="10"/>
      <c r="P1352" s="10"/>
      <c r="Q1352" s="10"/>
      <c r="R1352" s="10"/>
      <c r="S1352" s="10"/>
      <c r="T1352" s="10"/>
      <c r="U1352" s="10"/>
      <c r="V1352" s="10"/>
      <c r="W1352" s="10"/>
      <c r="X1352" s="10"/>
      <c r="Y1352" s="10"/>
      <c r="Z1352" s="10"/>
      <c r="AA1352" s="10"/>
      <c r="AB1352" s="10"/>
      <c r="AC1352" s="10"/>
      <c r="AD1352" s="10"/>
      <c r="AE1352" s="10"/>
      <c r="AF1352" s="10"/>
    </row>
    <row r="1353">
      <c r="A1353" s="7"/>
      <c r="B1353" s="8">
        <v>118.0</v>
      </c>
      <c r="C1353" s="8">
        <v>9.0</v>
      </c>
      <c r="D1353" s="8" t="s">
        <v>1934</v>
      </c>
      <c r="E1353" s="7">
        <v>0.0</v>
      </c>
      <c r="F1353" s="7"/>
      <c r="G1353" s="7" t="s">
        <v>312</v>
      </c>
      <c r="H1353" s="7" t="s">
        <v>313</v>
      </c>
      <c r="I1353" s="10"/>
      <c r="J1353" s="11"/>
      <c r="K1353" s="12"/>
      <c r="L1353" s="12"/>
      <c r="M1353" s="10"/>
      <c r="N1353" s="10"/>
      <c r="O1353" s="10"/>
      <c r="P1353" s="10"/>
      <c r="Q1353" s="10"/>
      <c r="R1353" s="10"/>
      <c r="S1353" s="10"/>
      <c r="T1353" s="10"/>
      <c r="U1353" s="10"/>
      <c r="V1353" s="10"/>
      <c r="W1353" s="10"/>
      <c r="X1353" s="10"/>
      <c r="Y1353" s="10"/>
      <c r="Z1353" s="10"/>
      <c r="AA1353" s="10"/>
      <c r="AB1353" s="10"/>
      <c r="AC1353" s="10"/>
      <c r="AD1353" s="10"/>
      <c r="AE1353" s="10"/>
      <c r="AF1353" s="10"/>
    </row>
    <row r="1354">
      <c r="A1354" s="7"/>
      <c r="B1354" s="8">
        <v>118.0</v>
      </c>
      <c r="C1354" s="8">
        <v>10.0</v>
      </c>
      <c r="D1354" s="8" t="s">
        <v>1935</v>
      </c>
      <c r="E1354" s="7">
        <v>0.0</v>
      </c>
      <c r="F1354" s="7"/>
      <c r="G1354" s="7" t="s">
        <v>312</v>
      </c>
      <c r="H1354" s="7" t="s">
        <v>313</v>
      </c>
      <c r="I1354" s="10"/>
      <c r="J1354" s="11"/>
      <c r="K1354" s="12"/>
      <c r="L1354" s="12"/>
      <c r="M1354" s="10"/>
      <c r="N1354" s="10"/>
      <c r="O1354" s="10"/>
      <c r="P1354" s="10"/>
      <c r="Q1354" s="10"/>
      <c r="R1354" s="10"/>
      <c r="S1354" s="10"/>
      <c r="T1354" s="10"/>
      <c r="U1354" s="10"/>
      <c r="V1354" s="10"/>
      <c r="W1354" s="10"/>
      <c r="X1354" s="10"/>
      <c r="Y1354" s="10"/>
      <c r="Z1354" s="10"/>
      <c r="AA1354" s="10"/>
      <c r="AB1354" s="10"/>
      <c r="AC1354" s="10"/>
      <c r="AD1354" s="10"/>
      <c r="AE1354" s="10"/>
      <c r="AF1354" s="10"/>
    </row>
    <row r="1355">
      <c r="A1355" s="10"/>
      <c r="B1355" s="12"/>
      <c r="C1355" s="12"/>
      <c r="D1355" s="12"/>
      <c r="E1355" s="10"/>
      <c r="F1355" s="10"/>
      <c r="G1355" s="10"/>
      <c r="H1355" s="10"/>
      <c r="I1355" s="10"/>
      <c r="J1355" s="11"/>
      <c r="K1355" s="12"/>
      <c r="L1355" s="12"/>
      <c r="M1355" s="10"/>
      <c r="N1355" s="10"/>
      <c r="O1355" s="10"/>
      <c r="P1355" s="10"/>
      <c r="Q1355" s="10"/>
      <c r="R1355" s="10"/>
      <c r="S1355" s="10"/>
      <c r="T1355" s="10"/>
      <c r="U1355" s="10"/>
      <c r="V1355" s="10"/>
      <c r="W1355" s="10"/>
      <c r="X1355" s="10"/>
      <c r="Y1355" s="10"/>
      <c r="Z1355" s="10"/>
      <c r="AA1355" s="10"/>
      <c r="AB1355" s="10"/>
      <c r="AC1355" s="10"/>
      <c r="AD1355" s="10"/>
      <c r="AE1355" s="10"/>
      <c r="AF1355" s="10"/>
    </row>
    <row r="1356">
      <c r="A1356" s="7"/>
      <c r="B1356" s="8">
        <v>119.0</v>
      </c>
      <c r="C1356" s="8">
        <v>1.0</v>
      </c>
      <c r="D1356" s="8" t="s">
        <v>1936</v>
      </c>
      <c r="E1356" s="7">
        <v>2.0</v>
      </c>
      <c r="F1356" s="7" t="s">
        <v>320</v>
      </c>
      <c r="G1356" s="7" t="s">
        <v>312</v>
      </c>
      <c r="H1356" s="7" t="s">
        <v>313</v>
      </c>
      <c r="I1356" s="7" t="s">
        <v>366</v>
      </c>
      <c r="J1356" s="9" t="s">
        <v>1937</v>
      </c>
      <c r="K1356" s="8" t="s">
        <v>1938</v>
      </c>
      <c r="L1356" s="12"/>
      <c r="M1356" s="10"/>
      <c r="N1356" s="10"/>
      <c r="O1356" s="10"/>
      <c r="P1356" s="10"/>
      <c r="Q1356" s="10"/>
      <c r="R1356" s="10"/>
      <c r="S1356" s="10"/>
      <c r="T1356" s="10"/>
      <c r="U1356" s="10"/>
      <c r="V1356" s="10"/>
      <c r="W1356" s="10"/>
      <c r="X1356" s="10"/>
      <c r="Y1356" s="10"/>
      <c r="Z1356" s="10"/>
      <c r="AA1356" s="10"/>
      <c r="AB1356" s="10"/>
      <c r="AC1356" s="10"/>
      <c r="AD1356" s="10"/>
      <c r="AE1356" s="10"/>
      <c r="AF1356" s="10"/>
    </row>
    <row r="1357">
      <c r="A1357" s="7"/>
      <c r="B1357" s="8">
        <v>119.0</v>
      </c>
      <c r="C1357" s="8">
        <v>2.0</v>
      </c>
      <c r="D1357" s="8" t="s">
        <v>1939</v>
      </c>
      <c r="E1357" s="7">
        <v>2.0</v>
      </c>
      <c r="F1357" s="7" t="s">
        <v>320</v>
      </c>
      <c r="G1357" s="7" t="s">
        <v>312</v>
      </c>
      <c r="H1357" s="7" t="s">
        <v>313</v>
      </c>
      <c r="I1357" s="7" t="s">
        <v>366</v>
      </c>
      <c r="J1357" s="9" t="s">
        <v>1940</v>
      </c>
      <c r="K1357" s="8" t="s">
        <v>1941</v>
      </c>
      <c r="L1357" s="12"/>
      <c r="M1357" s="10"/>
      <c r="N1357" s="10"/>
      <c r="O1357" s="10"/>
      <c r="P1357" s="10"/>
      <c r="Q1357" s="10"/>
      <c r="R1357" s="10"/>
      <c r="S1357" s="10"/>
      <c r="T1357" s="10"/>
      <c r="U1357" s="10"/>
      <c r="V1357" s="10"/>
      <c r="W1357" s="10"/>
      <c r="X1357" s="10"/>
      <c r="Y1357" s="10"/>
      <c r="Z1357" s="10"/>
      <c r="AA1357" s="10"/>
      <c r="AB1357" s="10"/>
      <c r="AC1357" s="10"/>
      <c r="AD1357" s="10"/>
      <c r="AE1357" s="10"/>
      <c r="AF1357" s="10"/>
    </row>
    <row r="1358">
      <c r="A1358" s="7"/>
      <c r="B1358" s="8">
        <v>119.0</v>
      </c>
      <c r="C1358" s="8">
        <v>3.0</v>
      </c>
      <c r="D1358" s="8" t="s">
        <v>1942</v>
      </c>
      <c r="E1358" s="7">
        <v>0.0</v>
      </c>
      <c r="F1358" s="7"/>
      <c r="G1358" s="7" t="s">
        <v>312</v>
      </c>
      <c r="H1358" s="7" t="s">
        <v>313</v>
      </c>
      <c r="I1358" s="10"/>
      <c r="J1358" s="11"/>
      <c r="K1358" s="12"/>
      <c r="L1358" s="12"/>
      <c r="M1358" s="10"/>
      <c r="N1358" s="10"/>
      <c r="O1358" s="10"/>
      <c r="P1358" s="10"/>
      <c r="Q1358" s="10"/>
      <c r="R1358" s="10"/>
      <c r="S1358" s="10"/>
      <c r="T1358" s="10"/>
      <c r="U1358" s="10"/>
      <c r="V1358" s="10"/>
      <c r="W1358" s="10"/>
      <c r="X1358" s="10"/>
      <c r="Y1358" s="10"/>
      <c r="Z1358" s="10"/>
      <c r="AA1358" s="10"/>
      <c r="AB1358" s="10"/>
      <c r="AC1358" s="10"/>
      <c r="AD1358" s="10"/>
      <c r="AE1358" s="10"/>
      <c r="AF1358" s="10"/>
    </row>
    <row r="1359">
      <c r="A1359" s="10"/>
      <c r="B1359" s="12"/>
      <c r="C1359" s="12"/>
      <c r="D1359" s="12"/>
      <c r="E1359" s="10"/>
      <c r="F1359" s="10"/>
      <c r="G1359" s="10"/>
      <c r="H1359" s="10"/>
      <c r="I1359" s="10"/>
      <c r="J1359" s="11"/>
      <c r="K1359" s="12"/>
      <c r="L1359" s="12"/>
      <c r="M1359" s="10"/>
      <c r="N1359" s="10"/>
      <c r="O1359" s="10"/>
      <c r="P1359" s="10"/>
      <c r="Q1359" s="10"/>
      <c r="R1359" s="10"/>
      <c r="S1359" s="10"/>
      <c r="T1359" s="10"/>
      <c r="U1359" s="10"/>
      <c r="V1359" s="10"/>
      <c r="W1359" s="10"/>
      <c r="X1359" s="10"/>
      <c r="Y1359" s="10"/>
      <c r="Z1359" s="10"/>
      <c r="AA1359" s="10"/>
      <c r="AB1359" s="10"/>
      <c r="AC1359" s="10"/>
      <c r="AD1359" s="10"/>
      <c r="AE1359" s="10"/>
      <c r="AF1359" s="10"/>
    </row>
    <row r="1360">
      <c r="A1360" s="7"/>
      <c r="B1360" s="8">
        <v>120.0</v>
      </c>
      <c r="C1360" s="8">
        <v>1.0</v>
      </c>
      <c r="D1360" s="8" t="s">
        <v>1943</v>
      </c>
      <c r="E1360" s="7">
        <v>0.0</v>
      </c>
      <c r="F1360" s="7"/>
      <c r="G1360" s="7" t="s">
        <v>312</v>
      </c>
      <c r="H1360" s="7" t="s">
        <v>313</v>
      </c>
      <c r="I1360" s="10"/>
      <c r="J1360" s="24"/>
      <c r="K1360" s="12"/>
      <c r="L1360" s="12"/>
      <c r="M1360" s="10"/>
      <c r="N1360" s="10"/>
      <c r="O1360" s="10"/>
      <c r="P1360" s="10"/>
      <c r="Q1360" s="10"/>
      <c r="R1360" s="10"/>
      <c r="S1360" s="10"/>
      <c r="T1360" s="10"/>
      <c r="U1360" s="10"/>
      <c r="V1360" s="10"/>
      <c r="W1360" s="10"/>
      <c r="X1360" s="10"/>
      <c r="Y1360" s="10"/>
      <c r="Z1360" s="10"/>
      <c r="AA1360" s="10"/>
      <c r="AB1360" s="10"/>
      <c r="AC1360" s="10"/>
      <c r="AD1360" s="10"/>
      <c r="AE1360" s="10"/>
      <c r="AF1360" s="10"/>
    </row>
    <row r="1361">
      <c r="A1361" s="7"/>
      <c r="B1361" s="8">
        <v>120.0</v>
      </c>
      <c r="C1361" s="8">
        <v>2.0</v>
      </c>
      <c r="D1361" s="8" t="s">
        <v>1944</v>
      </c>
      <c r="E1361" s="7">
        <v>0.0</v>
      </c>
      <c r="F1361" s="7"/>
      <c r="G1361" s="7" t="s">
        <v>312</v>
      </c>
      <c r="H1361" s="7" t="s">
        <v>313</v>
      </c>
      <c r="I1361" s="10"/>
      <c r="J1361" s="24"/>
      <c r="K1361" s="12"/>
      <c r="L1361" s="12"/>
      <c r="M1361" s="10"/>
      <c r="N1361" s="10"/>
      <c r="O1361" s="10"/>
      <c r="P1361" s="10"/>
      <c r="Q1361" s="10"/>
      <c r="R1361" s="10"/>
      <c r="S1361" s="10"/>
      <c r="T1361" s="10"/>
      <c r="U1361" s="10"/>
      <c r="V1361" s="10"/>
      <c r="W1361" s="10"/>
      <c r="X1361" s="10"/>
      <c r="Y1361" s="10"/>
      <c r="Z1361" s="10"/>
      <c r="AA1361" s="10"/>
      <c r="AB1361" s="10"/>
      <c r="AC1361" s="10"/>
      <c r="AD1361" s="10"/>
      <c r="AE1361" s="10"/>
      <c r="AF1361" s="10"/>
    </row>
    <row r="1362">
      <c r="A1362" s="7"/>
      <c r="B1362" s="8">
        <v>120.0</v>
      </c>
      <c r="C1362" s="8">
        <v>3.0</v>
      </c>
      <c r="D1362" s="8" t="s">
        <v>1945</v>
      </c>
      <c r="E1362" s="7">
        <v>0.0</v>
      </c>
      <c r="F1362" s="7"/>
      <c r="G1362" s="7" t="s">
        <v>312</v>
      </c>
      <c r="H1362" s="7" t="s">
        <v>313</v>
      </c>
      <c r="I1362" s="10"/>
      <c r="J1362" s="11"/>
      <c r="K1362" s="12"/>
      <c r="L1362" s="12"/>
      <c r="M1362" s="10"/>
      <c r="N1362" s="10"/>
      <c r="O1362" s="10"/>
      <c r="P1362" s="10"/>
      <c r="Q1362" s="10"/>
      <c r="R1362" s="10"/>
      <c r="S1362" s="10"/>
      <c r="T1362" s="10"/>
      <c r="U1362" s="10"/>
      <c r="V1362" s="10"/>
      <c r="W1362" s="10"/>
      <c r="X1362" s="10"/>
      <c r="Y1362" s="10"/>
      <c r="Z1362" s="10"/>
      <c r="AA1362" s="10"/>
      <c r="AB1362" s="10"/>
      <c r="AC1362" s="10"/>
      <c r="AD1362" s="10"/>
      <c r="AE1362" s="10"/>
      <c r="AF1362" s="10"/>
    </row>
    <row r="1363">
      <c r="A1363" s="7"/>
      <c r="B1363" s="8">
        <v>120.0</v>
      </c>
      <c r="C1363" s="8">
        <v>4.0</v>
      </c>
      <c r="D1363" s="8" t="s">
        <v>1946</v>
      </c>
      <c r="E1363" s="7">
        <v>2.0</v>
      </c>
      <c r="F1363" s="7" t="s">
        <v>320</v>
      </c>
      <c r="G1363" s="7" t="s">
        <v>312</v>
      </c>
      <c r="H1363" s="7" t="s">
        <v>313</v>
      </c>
      <c r="I1363" s="10"/>
      <c r="J1363" s="9" t="s">
        <v>1947</v>
      </c>
      <c r="K1363" s="8" t="s">
        <v>1664</v>
      </c>
      <c r="L1363" s="12"/>
      <c r="M1363" s="10"/>
      <c r="N1363" s="10"/>
      <c r="O1363" s="10"/>
      <c r="P1363" s="10"/>
      <c r="Q1363" s="10"/>
      <c r="R1363" s="10"/>
      <c r="S1363" s="10"/>
      <c r="T1363" s="10"/>
      <c r="U1363" s="10"/>
      <c r="V1363" s="10"/>
      <c r="W1363" s="10"/>
      <c r="X1363" s="10"/>
      <c r="Y1363" s="10"/>
      <c r="Z1363" s="10"/>
      <c r="AA1363" s="10"/>
      <c r="AB1363" s="10"/>
      <c r="AC1363" s="10"/>
      <c r="AD1363" s="10"/>
      <c r="AE1363" s="10"/>
      <c r="AF1363" s="10"/>
    </row>
    <row r="1364">
      <c r="A1364" s="7"/>
      <c r="B1364" s="8">
        <v>120.0</v>
      </c>
      <c r="C1364" s="8">
        <v>5.0</v>
      </c>
      <c r="D1364" s="8" t="s">
        <v>1948</v>
      </c>
      <c r="E1364" s="7">
        <v>2.0</v>
      </c>
      <c r="F1364" s="7" t="s">
        <v>320</v>
      </c>
      <c r="G1364" s="7" t="s">
        <v>312</v>
      </c>
      <c r="H1364" s="7" t="s">
        <v>313</v>
      </c>
      <c r="I1364" s="10"/>
      <c r="J1364" s="11"/>
      <c r="K1364" s="8" t="s">
        <v>1664</v>
      </c>
      <c r="L1364" s="12"/>
      <c r="M1364" s="10"/>
      <c r="N1364" s="10"/>
      <c r="O1364" s="10"/>
      <c r="P1364" s="10"/>
      <c r="Q1364" s="10"/>
      <c r="R1364" s="10"/>
      <c r="S1364" s="10"/>
      <c r="T1364" s="10"/>
      <c r="U1364" s="10"/>
      <c r="V1364" s="10"/>
      <c r="W1364" s="10"/>
      <c r="X1364" s="10"/>
      <c r="Y1364" s="10"/>
      <c r="Z1364" s="10"/>
      <c r="AA1364" s="10"/>
      <c r="AB1364" s="10"/>
      <c r="AC1364" s="10"/>
      <c r="AD1364" s="10"/>
      <c r="AE1364" s="10"/>
      <c r="AF1364" s="10"/>
    </row>
    <row r="1365">
      <c r="A1365" s="7"/>
      <c r="B1365" s="8">
        <v>120.0</v>
      </c>
      <c r="C1365" s="8">
        <v>6.0</v>
      </c>
      <c r="D1365" s="8" t="s">
        <v>1949</v>
      </c>
      <c r="E1365" s="7">
        <v>0.0</v>
      </c>
      <c r="F1365" s="7"/>
      <c r="G1365" s="7" t="s">
        <v>312</v>
      </c>
      <c r="H1365" s="7" t="s">
        <v>313</v>
      </c>
      <c r="I1365" s="10"/>
      <c r="J1365" s="11"/>
      <c r="K1365" s="12"/>
      <c r="L1365" s="12"/>
      <c r="M1365" s="10"/>
      <c r="N1365" s="10"/>
      <c r="O1365" s="10"/>
      <c r="P1365" s="10"/>
      <c r="Q1365" s="10"/>
      <c r="R1365" s="10"/>
      <c r="S1365" s="10"/>
      <c r="T1365" s="10"/>
      <c r="U1365" s="10"/>
      <c r="V1365" s="10"/>
      <c r="W1365" s="10"/>
      <c r="X1365" s="10"/>
      <c r="Y1365" s="10"/>
      <c r="Z1365" s="10"/>
      <c r="AA1365" s="10"/>
      <c r="AB1365" s="10"/>
      <c r="AC1365" s="10"/>
      <c r="AD1365" s="10"/>
      <c r="AE1365" s="10"/>
      <c r="AF1365" s="10"/>
    </row>
    <row r="1366">
      <c r="A1366" s="7"/>
      <c r="B1366" s="8">
        <v>120.0</v>
      </c>
      <c r="C1366" s="8">
        <v>7.0</v>
      </c>
      <c r="D1366" s="8" t="s">
        <v>1950</v>
      </c>
      <c r="E1366" s="7">
        <v>0.0</v>
      </c>
      <c r="F1366" s="7"/>
      <c r="G1366" s="7" t="s">
        <v>312</v>
      </c>
      <c r="H1366" s="7" t="s">
        <v>313</v>
      </c>
      <c r="I1366" s="10"/>
      <c r="J1366" s="11"/>
      <c r="K1366" s="12"/>
      <c r="L1366" s="12"/>
      <c r="M1366" s="10"/>
      <c r="N1366" s="10"/>
      <c r="O1366" s="10"/>
      <c r="P1366" s="10"/>
      <c r="Q1366" s="10"/>
      <c r="R1366" s="10"/>
      <c r="S1366" s="10"/>
      <c r="T1366" s="10"/>
      <c r="U1366" s="10"/>
      <c r="V1366" s="10"/>
      <c r="W1366" s="10"/>
      <c r="X1366" s="10"/>
      <c r="Y1366" s="10"/>
      <c r="Z1366" s="10"/>
      <c r="AA1366" s="10"/>
      <c r="AB1366" s="10"/>
      <c r="AC1366" s="10"/>
      <c r="AD1366" s="10"/>
      <c r="AE1366" s="10"/>
      <c r="AF1366" s="10"/>
    </row>
    <row r="1367">
      <c r="A1367" s="7"/>
      <c r="B1367" s="8">
        <v>120.0</v>
      </c>
      <c r="C1367" s="8">
        <v>8.0</v>
      </c>
      <c r="D1367" s="8" t="s">
        <v>1951</v>
      </c>
      <c r="E1367" s="7">
        <v>0.0</v>
      </c>
      <c r="F1367" s="7"/>
      <c r="G1367" s="7" t="s">
        <v>312</v>
      </c>
      <c r="H1367" s="7" t="s">
        <v>313</v>
      </c>
      <c r="I1367" s="10"/>
      <c r="J1367" s="11"/>
      <c r="K1367" s="12"/>
      <c r="L1367" s="12"/>
      <c r="M1367" s="10"/>
      <c r="N1367" s="10"/>
      <c r="O1367" s="10"/>
      <c r="P1367" s="10"/>
      <c r="Q1367" s="10"/>
      <c r="R1367" s="10"/>
      <c r="S1367" s="10"/>
      <c r="T1367" s="10"/>
      <c r="U1367" s="10"/>
      <c r="V1367" s="10"/>
      <c r="W1367" s="10"/>
      <c r="X1367" s="10"/>
      <c r="Y1367" s="10"/>
      <c r="Z1367" s="10"/>
      <c r="AA1367" s="10"/>
      <c r="AB1367" s="10"/>
      <c r="AC1367" s="10"/>
      <c r="AD1367" s="10"/>
      <c r="AE1367" s="10"/>
      <c r="AF1367" s="10"/>
    </row>
    <row r="1368">
      <c r="A1368" s="7"/>
      <c r="B1368" s="8">
        <v>120.0</v>
      </c>
      <c r="C1368" s="8">
        <v>9.0</v>
      </c>
      <c r="D1368" s="8" t="s">
        <v>1952</v>
      </c>
      <c r="E1368" s="7">
        <v>0.0</v>
      </c>
      <c r="F1368" s="7"/>
      <c r="G1368" s="7" t="s">
        <v>312</v>
      </c>
      <c r="H1368" s="7" t="s">
        <v>313</v>
      </c>
      <c r="I1368" s="10"/>
      <c r="J1368" s="11"/>
      <c r="K1368" s="12"/>
      <c r="L1368" s="12"/>
      <c r="M1368" s="10"/>
      <c r="N1368" s="10"/>
      <c r="O1368" s="10"/>
      <c r="P1368" s="10"/>
      <c r="Q1368" s="10"/>
      <c r="R1368" s="10"/>
      <c r="S1368" s="10"/>
      <c r="T1368" s="10"/>
      <c r="U1368" s="10"/>
      <c r="V1368" s="10"/>
      <c r="W1368" s="10"/>
      <c r="X1368" s="10"/>
      <c r="Y1368" s="10"/>
      <c r="Z1368" s="10"/>
      <c r="AA1368" s="10"/>
      <c r="AB1368" s="10"/>
      <c r="AC1368" s="10"/>
      <c r="AD1368" s="10"/>
      <c r="AE1368" s="10"/>
      <c r="AF1368" s="10"/>
    </row>
    <row r="1369">
      <c r="A1369" s="7"/>
      <c r="B1369" s="8">
        <v>120.0</v>
      </c>
      <c r="C1369" s="8">
        <v>10.0</v>
      </c>
      <c r="D1369" s="8" t="s">
        <v>1953</v>
      </c>
      <c r="E1369" s="7">
        <v>2.0</v>
      </c>
      <c r="F1369" s="7" t="s">
        <v>320</v>
      </c>
      <c r="G1369" s="7" t="s">
        <v>312</v>
      </c>
      <c r="H1369" s="7" t="s">
        <v>313</v>
      </c>
      <c r="I1369" s="10"/>
      <c r="J1369" s="11"/>
      <c r="K1369" s="8" t="s">
        <v>1664</v>
      </c>
      <c r="L1369" s="12"/>
      <c r="M1369" s="10"/>
      <c r="N1369" s="10"/>
      <c r="O1369" s="10"/>
      <c r="P1369" s="10"/>
      <c r="Q1369" s="10"/>
      <c r="R1369" s="10"/>
      <c r="S1369" s="10"/>
      <c r="T1369" s="10"/>
      <c r="U1369" s="10"/>
      <c r="V1369" s="10"/>
      <c r="W1369" s="10"/>
      <c r="X1369" s="10"/>
      <c r="Y1369" s="10"/>
      <c r="Z1369" s="10"/>
      <c r="AA1369" s="10"/>
      <c r="AB1369" s="10"/>
      <c r="AC1369" s="10"/>
      <c r="AD1369" s="10"/>
      <c r="AE1369" s="10"/>
      <c r="AF1369" s="10"/>
    </row>
    <row r="1370">
      <c r="A1370" s="7"/>
      <c r="B1370" s="8">
        <v>120.0</v>
      </c>
      <c r="C1370" s="8">
        <v>11.0</v>
      </c>
      <c r="D1370" s="8" t="s">
        <v>1954</v>
      </c>
      <c r="E1370" s="7">
        <v>2.0</v>
      </c>
      <c r="F1370" s="7" t="s">
        <v>320</v>
      </c>
      <c r="G1370" s="7" t="s">
        <v>312</v>
      </c>
      <c r="H1370" s="7" t="s">
        <v>313</v>
      </c>
      <c r="I1370" s="10"/>
      <c r="J1370" s="11"/>
      <c r="K1370" s="8" t="s">
        <v>1664</v>
      </c>
      <c r="L1370" s="12"/>
      <c r="M1370" s="10"/>
      <c r="N1370" s="10"/>
      <c r="O1370" s="10"/>
      <c r="P1370" s="10"/>
      <c r="Q1370" s="10"/>
      <c r="R1370" s="10"/>
      <c r="S1370" s="10"/>
      <c r="T1370" s="10"/>
      <c r="U1370" s="10"/>
      <c r="V1370" s="10"/>
      <c r="W1370" s="10"/>
      <c r="X1370" s="10"/>
      <c r="Y1370" s="10"/>
      <c r="Z1370" s="10"/>
      <c r="AA1370" s="10"/>
      <c r="AB1370" s="10"/>
      <c r="AC1370" s="10"/>
      <c r="AD1370" s="10"/>
      <c r="AE1370" s="10"/>
      <c r="AF1370" s="10"/>
    </row>
    <row r="1371">
      <c r="A1371" s="7"/>
      <c r="B1371" s="8">
        <v>120.0</v>
      </c>
      <c r="C1371" s="8">
        <v>12.0</v>
      </c>
      <c r="D1371" s="8" t="s">
        <v>1955</v>
      </c>
      <c r="E1371" s="7">
        <v>0.0</v>
      </c>
      <c r="F1371" s="7"/>
      <c r="G1371" s="7" t="s">
        <v>312</v>
      </c>
      <c r="H1371" s="7" t="s">
        <v>313</v>
      </c>
      <c r="I1371" s="10"/>
      <c r="J1371" s="11"/>
      <c r="K1371" s="12"/>
      <c r="L1371" s="12"/>
      <c r="M1371" s="10"/>
      <c r="N1371" s="10"/>
      <c r="O1371" s="10"/>
      <c r="P1371" s="10"/>
      <c r="Q1371" s="10"/>
      <c r="R1371" s="10"/>
      <c r="S1371" s="10"/>
      <c r="T1371" s="10"/>
      <c r="U1371" s="10"/>
      <c r="V1371" s="10"/>
      <c r="W1371" s="10"/>
      <c r="X1371" s="10"/>
      <c r="Y1371" s="10"/>
      <c r="Z1371" s="10"/>
      <c r="AA1371" s="10"/>
      <c r="AB1371" s="10"/>
      <c r="AC1371" s="10"/>
      <c r="AD1371" s="10"/>
      <c r="AE1371" s="10"/>
      <c r="AF1371" s="10"/>
    </row>
    <row r="1372">
      <c r="A1372" s="7"/>
      <c r="B1372" s="8">
        <v>120.0</v>
      </c>
      <c r="C1372" s="8">
        <v>13.0</v>
      </c>
      <c r="D1372" s="8" t="s">
        <v>1956</v>
      </c>
      <c r="E1372" s="7">
        <v>0.0</v>
      </c>
      <c r="F1372" s="7"/>
      <c r="G1372" s="7" t="s">
        <v>312</v>
      </c>
      <c r="H1372" s="7" t="s">
        <v>313</v>
      </c>
      <c r="I1372" s="10"/>
      <c r="J1372" s="11"/>
      <c r="K1372" s="12"/>
      <c r="L1372" s="12"/>
      <c r="M1372" s="10"/>
      <c r="N1372" s="10"/>
      <c r="O1372" s="10"/>
      <c r="P1372" s="10"/>
      <c r="Q1372" s="10"/>
      <c r="R1372" s="10"/>
      <c r="S1372" s="10"/>
      <c r="T1372" s="10"/>
      <c r="U1372" s="10"/>
      <c r="V1372" s="10"/>
      <c r="W1372" s="10"/>
      <c r="X1372" s="10"/>
      <c r="Y1372" s="10"/>
      <c r="Z1372" s="10"/>
      <c r="AA1372" s="10"/>
      <c r="AB1372" s="10"/>
      <c r="AC1372" s="10"/>
      <c r="AD1372" s="10"/>
      <c r="AE1372" s="10"/>
      <c r="AF1372" s="10"/>
    </row>
    <row r="1373">
      <c r="A1373" s="7"/>
      <c r="B1373" s="8">
        <v>120.0</v>
      </c>
      <c r="C1373" s="8">
        <v>14.0</v>
      </c>
      <c r="D1373" s="8" t="s">
        <v>1957</v>
      </c>
      <c r="E1373" s="7">
        <v>0.0</v>
      </c>
      <c r="F1373" s="7"/>
      <c r="G1373" s="7" t="s">
        <v>312</v>
      </c>
      <c r="H1373" s="7" t="s">
        <v>313</v>
      </c>
      <c r="I1373" s="10"/>
      <c r="J1373" s="11"/>
      <c r="K1373" s="12"/>
      <c r="L1373" s="12"/>
      <c r="M1373" s="10"/>
      <c r="N1373" s="10"/>
      <c r="O1373" s="10"/>
      <c r="P1373" s="10"/>
      <c r="Q1373" s="10"/>
      <c r="R1373" s="10"/>
      <c r="S1373" s="10"/>
      <c r="T1373" s="10"/>
      <c r="U1373" s="10"/>
      <c r="V1373" s="10"/>
      <c r="W1373" s="10"/>
      <c r="X1373" s="10"/>
      <c r="Y1373" s="10"/>
      <c r="Z1373" s="10"/>
      <c r="AA1373" s="10"/>
      <c r="AB1373" s="10"/>
      <c r="AC1373" s="10"/>
      <c r="AD1373" s="10"/>
      <c r="AE1373" s="10"/>
      <c r="AF1373" s="10"/>
    </row>
    <row r="1374">
      <c r="A1374" s="7"/>
      <c r="B1374" s="8">
        <v>120.0</v>
      </c>
      <c r="C1374" s="8">
        <v>15.0</v>
      </c>
      <c r="D1374" s="8" t="s">
        <v>1958</v>
      </c>
      <c r="E1374" s="7">
        <v>0.0</v>
      </c>
      <c r="F1374" s="7"/>
      <c r="G1374" s="7" t="s">
        <v>312</v>
      </c>
      <c r="H1374" s="7" t="s">
        <v>313</v>
      </c>
      <c r="I1374" s="10"/>
      <c r="J1374" s="11"/>
      <c r="K1374" s="12"/>
      <c r="L1374" s="12"/>
      <c r="M1374" s="10"/>
      <c r="N1374" s="10"/>
      <c r="O1374" s="10"/>
      <c r="P1374" s="10"/>
      <c r="Q1374" s="10"/>
      <c r="R1374" s="10"/>
      <c r="S1374" s="10"/>
      <c r="T1374" s="10"/>
      <c r="U1374" s="10"/>
      <c r="V1374" s="10"/>
      <c r="W1374" s="10"/>
      <c r="X1374" s="10"/>
      <c r="Y1374" s="10"/>
      <c r="Z1374" s="10"/>
      <c r="AA1374" s="10"/>
      <c r="AB1374" s="10"/>
      <c r="AC1374" s="10"/>
      <c r="AD1374" s="10"/>
      <c r="AE1374" s="10"/>
      <c r="AF1374" s="10"/>
    </row>
    <row r="1375">
      <c r="A1375" s="7"/>
      <c r="B1375" s="8">
        <v>120.0</v>
      </c>
      <c r="C1375" s="8">
        <v>16.0</v>
      </c>
      <c r="D1375" s="8" t="s">
        <v>1959</v>
      </c>
      <c r="E1375" s="7">
        <v>0.0</v>
      </c>
      <c r="F1375" s="7"/>
      <c r="G1375" s="7" t="s">
        <v>312</v>
      </c>
      <c r="H1375" s="7" t="s">
        <v>313</v>
      </c>
      <c r="I1375" s="10"/>
      <c r="J1375" s="11"/>
      <c r="K1375" s="12"/>
      <c r="L1375" s="12"/>
      <c r="M1375" s="10"/>
      <c r="N1375" s="10"/>
      <c r="O1375" s="10"/>
      <c r="P1375" s="10"/>
      <c r="Q1375" s="10"/>
      <c r="R1375" s="10"/>
      <c r="S1375" s="10"/>
      <c r="T1375" s="10"/>
      <c r="U1375" s="10"/>
      <c r="V1375" s="10"/>
      <c r="W1375" s="10"/>
      <c r="X1375" s="10"/>
      <c r="Y1375" s="10"/>
      <c r="Z1375" s="10"/>
      <c r="AA1375" s="10"/>
      <c r="AB1375" s="10"/>
      <c r="AC1375" s="10"/>
      <c r="AD1375" s="10"/>
      <c r="AE1375" s="10"/>
      <c r="AF1375" s="10"/>
    </row>
    <row r="1376">
      <c r="A1376" s="7"/>
      <c r="B1376" s="8">
        <v>120.0</v>
      </c>
      <c r="C1376" s="8">
        <v>17.0</v>
      </c>
      <c r="D1376" s="8" t="s">
        <v>1960</v>
      </c>
      <c r="E1376" s="7">
        <v>2.0</v>
      </c>
      <c r="F1376" s="7" t="s">
        <v>320</v>
      </c>
      <c r="G1376" s="7" t="s">
        <v>312</v>
      </c>
      <c r="H1376" s="7" t="s">
        <v>313</v>
      </c>
      <c r="I1376" s="10"/>
      <c r="J1376" s="9" t="s">
        <v>1961</v>
      </c>
      <c r="K1376" s="8" t="s">
        <v>1664</v>
      </c>
      <c r="L1376" s="12"/>
      <c r="M1376" s="10"/>
      <c r="N1376" s="10"/>
      <c r="O1376" s="10"/>
      <c r="P1376" s="10"/>
      <c r="Q1376" s="10"/>
      <c r="R1376" s="10"/>
      <c r="S1376" s="10"/>
      <c r="T1376" s="10"/>
      <c r="U1376" s="10"/>
      <c r="V1376" s="10"/>
      <c r="W1376" s="10"/>
      <c r="X1376" s="10"/>
      <c r="Y1376" s="10"/>
      <c r="Z1376" s="10"/>
      <c r="AA1376" s="10"/>
      <c r="AB1376" s="10"/>
      <c r="AC1376" s="10"/>
      <c r="AD1376" s="10"/>
      <c r="AE1376" s="10"/>
      <c r="AF1376" s="10"/>
    </row>
    <row r="1377">
      <c r="A1377" s="7"/>
      <c r="B1377" s="8">
        <v>120.0</v>
      </c>
      <c r="C1377" s="8">
        <v>18.0</v>
      </c>
      <c r="D1377" s="8" t="s">
        <v>1962</v>
      </c>
      <c r="E1377" s="7">
        <v>2.0</v>
      </c>
      <c r="F1377" s="7" t="s">
        <v>320</v>
      </c>
      <c r="G1377" s="7" t="s">
        <v>312</v>
      </c>
      <c r="H1377" s="7" t="s">
        <v>313</v>
      </c>
      <c r="I1377" s="10"/>
      <c r="J1377" s="11"/>
      <c r="K1377" s="8" t="s">
        <v>1664</v>
      </c>
      <c r="L1377" s="12"/>
      <c r="M1377" s="10"/>
      <c r="N1377" s="10"/>
      <c r="O1377" s="10"/>
      <c r="P1377" s="10"/>
      <c r="Q1377" s="10"/>
      <c r="R1377" s="10"/>
      <c r="S1377" s="10"/>
      <c r="T1377" s="10"/>
      <c r="U1377" s="10"/>
      <c r="V1377" s="10"/>
      <c r="W1377" s="10"/>
      <c r="X1377" s="10"/>
      <c r="Y1377" s="10"/>
      <c r="Z1377" s="10"/>
      <c r="AA1377" s="10"/>
      <c r="AB1377" s="10"/>
      <c r="AC1377" s="10"/>
      <c r="AD1377" s="10"/>
      <c r="AE1377" s="10"/>
      <c r="AF1377" s="10"/>
    </row>
    <row r="1378">
      <c r="A1378" s="7"/>
      <c r="B1378" s="8">
        <v>120.0</v>
      </c>
      <c r="C1378" s="8">
        <v>19.0</v>
      </c>
      <c r="D1378" s="8" t="s">
        <v>1963</v>
      </c>
      <c r="E1378" s="7">
        <v>0.0</v>
      </c>
      <c r="F1378" s="7"/>
      <c r="G1378" s="7" t="s">
        <v>312</v>
      </c>
      <c r="H1378" s="7" t="s">
        <v>313</v>
      </c>
      <c r="I1378" s="10"/>
      <c r="J1378" s="11"/>
      <c r="K1378" s="12"/>
      <c r="L1378" s="12"/>
      <c r="M1378" s="10"/>
      <c r="N1378" s="10"/>
      <c r="O1378" s="10"/>
      <c r="P1378" s="10"/>
      <c r="Q1378" s="10"/>
      <c r="R1378" s="10"/>
      <c r="S1378" s="10"/>
      <c r="T1378" s="10"/>
      <c r="U1378" s="10"/>
      <c r="V1378" s="10"/>
      <c r="W1378" s="10"/>
      <c r="X1378" s="10"/>
      <c r="Y1378" s="10"/>
      <c r="Z1378" s="10"/>
      <c r="AA1378" s="10"/>
      <c r="AB1378" s="10"/>
      <c r="AC1378" s="10"/>
      <c r="AD1378" s="10"/>
      <c r="AE1378" s="10"/>
      <c r="AF1378" s="10"/>
    </row>
    <row r="1379">
      <c r="A1379" s="7"/>
      <c r="B1379" s="8">
        <v>120.0</v>
      </c>
      <c r="C1379" s="8">
        <v>20.0</v>
      </c>
      <c r="D1379" s="8" t="s">
        <v>1964</v>
      </c>
      <c r="E1379" s="7">
        <v>0.0</v>
      </c>
      <c r="F1379" s="7"/>
      <c r="G1379" s="7" t="s">
        <v>312</v>
      </c>
      <c r="H1379" s="7" t="s">
        <v>313</v>
      </c>
      <c r="I1379" s="10"/>
      <c r="J1379" s="11"/>
      <c r="K1379" s="12"/>
      <c r="L1379" s="12"/>
      <c r="M1379" s="10"/>
      <c r="N1379" s="10"/>
      <c r="O1379" s="10"/>
      <c r="P1379" s="10"/>
      <c r="Q1379" s="10"/>
      <c r="R1379" s="10"/>
      <c r="S1379" s="10"/>
      <c r="T1379" s="10"/>
      <c r="U1379" s="10"/>
      <c r="V1379" s="10"/>
      <c r="W1379" s="10"/>
      <c r="X1379" s="10"/>
      <c r="Y1379" s="10"/>
      <c r="Z1379" s="10"/>
      <c r="AA1379" s="10"/>
      <c r="AB1379" s="10"/>
      <c r="AC1379" s="10"/>
      <c r="AD1379" s="10"/>
      <c r="AE1379" s="10"/>
      <c r="AF1379" s="10"/>
    </row>
    <row r="1380">
      <c r="A1380" s="7"/>
      <c r="B1380" s="8">
        <v>120.0</v>
      </c>
      <c r="C1380" s="8">
        <v>21.0</v>
      </c>
      <c r="D1380" s="8" t="s">
        <v>1965</v>
      </c>
      <c r="E1380" s="7">
        <v>2.0</v>
      </c>
      <c r="F1380" s="7" t="s">
        <v>320</v>
      </c>
      <c r="G1380" s="7" t="s">
        <v>312</v>
      </c>
      <c r="H1380" s="7" t="s">
        <v>313</v>
      </c>
      <c r="I1380" s="10"/>
      <c r="J1380" s="11"/>
      <c r="K1380" s="8" t="s">
        <v>1664</v>
      </c>
      <c r="L1380" s="12"/>
      <c r="M1380" s="10"/>
      <c r="N1380" s="10"/>
      <c r="O1380" s="10"/>
      <c r="P1380" s="10"/>
      <c r="Q1380" s="10"/>
      <c r="R1380" s="10"/>
      <c r="S1380" s="10"/>
      <c r="T1380" s="10"/>
      <c r="U1380" s="10"/>
      <c r="V1380" s="10"/>
      <c r="W1380" s="10"/>
      <c r="X1380" s="10"/>
      <c r="Y1380" s="10"/>
      <c r="Z1380" s="10"/>
      <c r="AA1380" s="10"/>
      <c r="AB1380" s="10"/>
      <c r="AC1380" s="10"/>
      <c r="AD1380" s="10"/>
      <c r="AE1380" s="10"/>
      <c r="AF1380" s="10"/>
    </row>
    <row r="1381">
      <c r="A1381" s="7"/>
      <c r="B1381" s="8">
        <v>120.0</v>
      </c>
      <c r="C1381" s="8">
        <v>22.0</v>
      </c>
      <c r="D1381" s="8" t="s">
        <v>1966</v>
      </c>
      <c r="E1381" s="7">
        <v>2.0</v>
      </c>
      <c r="F1381" s="7" t="s">
        <v>320</v>
      </c>
      <c r="G1381" s="7" t="s">
        <v>312</v>
      </c>
      <c r="H1381" s="7" t="s">
        <v>313</v>
      </c>
      <c r="I1381" s="10"/>
      <c r="J1381" s="11"/>
      <c r="K1381" s="8" t="s">
        <v>1664</v>
      </c>
      <c r="L1381" s="12"/>
      <c r="M1381" s="10"/>
      <c r="N1381" s="10"/>
      <c r="O1381" s="10"/>
      <c r="P1381" s="10"/>
      <c r="Q1381" s="10"/>
      <c r="R1381" s="10"/>
      <c r="S1381" s="10"/>
      <c r="T1381" s="10"/>
      <c r="U1381" s="10"/>
      <c r="V1381" s="10"/>
      <c r="W1381" s="10"/>
      <c r="X1381" s="10"/>
      <c r="Y1381" s="10"/>
      <c r="Z1381" s="10"/>
      <c r="AA1381" s="10"/>
      <c r="AB1381" s="10"/>
      <c r="AC1381" s="10"/>
      <c r="AD1381" s="10"/>
      <c r="AE1381" s="10"/>
      <c r="AF1381" s="10"/>
    </row>
    <row r="1382">
      <c r="A1382" s="7"/>
      <c r="B1382" s="8">
        <v>120.0</v>
      </c>
      <c r="C1382" s="8">
        <v>23.0</v>
      </c>
      <c r="D1382" s="8" t="s">
        <v>1967</v>
      </c>
      <c r="E1382" s="7">
        <v>0.0</v>
      </c>
      <c r="F1382" s="7"/>
      <c r="G1382" s="7" t="s">
        <v>312</v>
      </c>
      <c r="H1382" s="7" t="s">
        <v>313</v>
      </c>
      <c r="I1382" s="10"/>
      <c r="J1382" s="11"/>
      <c r="K1382" s="12"/>
      <c r="L1382" s="12"/>
      <c r="M1382" s="10"/>
      <c r="N1382" s="10"/>
      <c r="O1382" s="10"/>
      <c r="P1382" s="10"/>
      <c r="Q1382" s="10"/>
      <c r="R1382" s="10"/>
      <c r="S1382" s="10"/>
      <c r="T1382" s="10"/>
      <c r="U1382" s="10"/>
      <c r="V1382" s="10"/>
      <c r="W1382" s="10"/>
      <c r="X1382" s="10"/>
      <c r="Y1382" s="10"/>
      <c r="Z1382" s="10"/>
      <c r="AA1382" s="10"/>
      <c r="AB1382" s="10"/>
      <c r="AC1382" s="10"/>
      <c r="AD1382" s="10"/>
      <c r="AE1382" s="10"/>
      <c r="AF1382" s="10"/>
    </row>
    <row r="1383">
      <c r="A1383" s="7"/>
      <c r="B1383" s="8">
        <v>120.0</v>
      </c>
      <c r="C1383" s="8">
        <v>24.0</v>
      </c>
      <c r="D1383" s="8" t="s">
        <v>1968</v>
      </c>
      <c r="E1383" s="7">
        <v>0.0</v>
      </c>
      <c r="F1383" s="7"/>
      <c r="G1383" s="7" t="s">
        <v>312</v>
      </c>
      <c r="H1383" s="7" t="s">
        <v>313</v>
      </c>
      <c r="I1383" s="10"/>
      <c r="J1383" s="11"/>
      <c r="K1383" s="12"/>
      <c r="L1383" s="12"/>
      <c r="M1383" s="10"/>
      <c r="N1383" s="10"/>
      <c r="O1383" s="10"/>
      <c r="P1383" s="10"/>
      <c r="Q1383" s="10"/>
      <c r="R1383" s="10"/>
      <c r="S1383" s="10"/>
      <c r="T1383" s="10"/>
      <c r="U1383" s="10"/>
      <c r="V1383" s="10"/>
      <c r="W1383" s="10"/>
      <c r="X1383" s="10"/>
      <c r="Y1383" s="10"/>
      <c r="Z1383" s="10"/>
      <c r="AA1383" s="10"/>
      <c r="AB1383" s="10"/>
      <c r="AC1383" s="10"/>
      <c r="AD1383" s="10"/>
      <c r="AE1383" s="10"/>
      <c r="AF1383" s="10"/>
    </row>
    <row r="1384">
      <c r="A1384" s="7"/>
      <c r="B1384" s="8">
        <v>120.0</v>
      </c>
      <c r="C1384" s="8">
        <v>25.0</v>
      </c>
      <c r="D1384" s="8" t="s">
        <v>1969</v>
      </c>
      <c r="E1384" s="7">
        <v>0.0</v>
      </c>
      <c r="F1384" s="7"/>
      <c r="G1384" s="7" t="s">
        <v>312</v>
      </c>
      <c r="H1384" s="7" t="s">
        <v>313</v>
      </c>
      <c r="I1384" s="10"/>
      <c r="J1384" s="11"/>
      <c r="K1384" s="12"/>
      <c r="L1384" s="12"/>
      <c r="M1384" s="10"/>
      <c r="N1384" s="10"/>
      <c r="O1384" s="10"/>
      <c r="P1384" s="10"/>
      <c r="Q1384" s="10"/>
      <c r="R1384" s="10"/>
      <c r="S1384" s="10"/>
      <c r="T1384" s="10"/>
      <c r="U1384" s="10"/>
      <c r="V1384" s="10"/>
      <c r="W1384" s="10"/>
      <c r="X1384" s="10"/>
      <c r="Y1384" s="10"/>
      <c r="Z1384" s="10"/>
      <c r="AA1384" s="10"/>
      <c r="AB1384" s="10"/>
      <c r="AC1384" s="10"/>
      <c r="AD1384" s="10"/>
      <c r="AE1384" s="10"/>
      <c r="AF1384" s="10"/>
    </row>
    <row r="1385">
      <c r="A1385" s="7"/>
      <c r="B1385" s="8">
        <v>120.0</v>
      </c>
      <c r="C1385" s="8">
        <v>26.0</v>
      </c>
      <c r="D1385" s="8" t="s">
        <v>1970</v>
      </c>
      <c r="E1385" s="7">
        <v>0.0</v>
      </c>
      <c r="F1385" s="7"/>
      <c r="G1385" s="7" t="s">
        <v>312</v>
      </c>
      <c r="H1385" s="7" t="s">
        <v>313</v>
      </c>
      <c r="I1385" s="10"/>
      <c r="J1385" s="11"/>
      <c r="K1385" s="12"/>
      <c r="L1385" s="12"/>
      <c r="M1385" s="10"/>
      <c r="N1385" s="10"/>
      <c r="O1385" s="10"/>
      <c r="P1385" s="10"/>
      <c r="Q1385" s="10"/>
      <c r="R1385" s="10"/>
      <c r="S1385" s="10"/>
      <c r="T1385" s="10"/>
      <c r="U1385" s="10"/>
      <c r="V1385" s="10"/>
      <c r="W1385" s="10"/>
      <c r="X1385" s="10"/>
      <c r="Y1385" s="10"/>
      <c r="Z1385" s="10"/>
      <c r="AA1385" s="10"/>
      <c r="AB1385" s="10"/>
      <c r="AC1385" s="10"/>
      <c r="AD1385" s="10"/>
      <c r="AE1385" s="10"/>
      <c r="AF1385" s="10"/>
    </row>
    <row r="1386">
      <c r="A1386" s="7"/>
      <c r="B1386" s="8">
        <v>120.0</v>
      </c>
      <c r="C1386" s="8">
        <v>27.0</v>
      </c>
      <c r="D1386" s="8" t="s">
        <v>1971</v>
      </c>
      <c r="E1386" s="7">
        <v>0.0</v>
      </c>
      <c r="F1386" s="7"/>
      <c r="G1386" s="7" t="s">
        <v>312</v>
      </c>
      <c r="H1386" s="7" t="s">
        <v>313</v>
      </c>
      <c r="I1386" s="10"/>
      <c r="J1386" s="11"/>
      <c r="K1386" s="12"/>
      <c r="L1386" s="12"/>
      <c r="M1386" s="10"/>
      <c r="N1386" s="10"/>
      <c r="O1386" s="10"/>
      <c r="P1386" s="10"/>
      <c r="Q1386" s="10"/>
      <c r="R1386" s="10"/>
      <c r="S1386" s="10"/>
      <c r="T1386" s="10"/>
      <c r="U1386" s="10"/>
      <c r="V1386" s="10"/>
      <c r="W1386" s="10"/>
      <c r="X1386" s="10"/>
      <c r="Y1386" s="10"/>
      <c r="Z1386" s="10"/>
      <c r="AA1386" s="10"/>
      <c r="AB1386" s="10"/>
      <c r="AC1386" s="10"/>
      <c r="AD1386" s="10"/>
      <c r="AE1386" s="10"/>
      <c r="AF1386" s="10"/>
    </row>
    <row r="1387">
      <c r="A1387" s="7"/>
      <c r="B1387" s="8">
        <v>120.0</v>
      </c>
      <c r="C1387" s="8">
        <v>28.0</v>
      </c>
      <c r="D1387" s="8" t="s">
        <v>1972</v>
      </c>
      <c r="E1387" s="7">
        <v>0.0</v>
      </c>
      <c r="F1387" s="7"/>
      <c r="G1387" s="7" t="s">
        <v>312</v>
      </c>
      <c r="H1387" s="7" t="s">
        <v>313</v>
      </c>
      <c r="I1387" s="10"/>
      <c r="J1387" s="11"/>
      <c r="K1387" s="12"/>
      <c r="L1387" s="12"/>
      <c r="M1387" s="10"/>
      <c r="N1387" s="10"/>
      <c r="O1387" s="10"/>
      <c r="P1387" s="10"/>
      <c r="Q1387" s="10"/>
      <c r="R1387" s="10"/>
      <c r="S1387" s="10"/>
      <c r="T1387" s="10"/>
      <c r="U1387" s="10"/>
      <c r="V1387" s="10"/>
      <c r="W1387" s="10"/>
      <c r="X1387" s="10"/>
      <c r="Y1387" s="10"/>
      <c r="Z1387" s="10"/>
      <c r="AA1387" s="10"/>
      <c r="AB1387" s="10"/>
      <c r="AC1387" s="10"/>
      <c r="AD1387" s="10"/>
      <c r="AE1387" s="10"/>
      <c r="AF1387" s="10"/>
    </row>
    <row r="1388">
      <c r="A1388" s="10"/>
      <c r="B1388" s="12"/>
      <c r="C1388" s="12"/>
      <c r="D1388" s="12"/>
      <c r="E1388" s="10"/>
      <c r="F1388" s="10"/>
      <c r="G1388" s="10"/>
      <c r="H1388" s="10"/>
      <c r="I1388" s="10"/>
      <c r="J1388" s="11"/>
      <c r="K1388" s="12"/>
      <c r="L1388" s="12"/>
      <c r="M1388" s="10"/>
      <c r="N1388" s="10"/>
      <c r="O1388" s="10"/>
      <c r="P1388" s="10"/>
      <c r="Q1388" s="10"/>
      <c r="R1388" s="10"/>
      <c r="S1388" s="10"/>
      <c r="T1388" s="10"/>
      <c r="U1388" s="10"/>
      <c r="V1388" s="10"/>
      <c r="W1388" s="10"/>
      <c r="X1388" s="10"/>
      <c r="Y1388" s="10"/>
      <c r="Z1388" s="10"/>
      <c r="AA1388" s="10"/>
      <c r="AB1388" s="10"/>
      <c r="AC1388" s="10"/>
      <c r="AD1388" s="10"/>
      <c r="AE1388" s="10"/>
      <c r="AF1388" s="10"/>
    </row>
    <row r="1389">
      <c r="A1389" s="7"/>
      <c r="B1389" s="8">
        <v>121.0</v>
      </c>
      <c r="C1389" s="8">
        <v>1.0</v>
      </c>
      <c r="D1389" s="8" t="s">
        <v>1973</v>
      </c>
      <c r="E1389" s="7">
        <v>2.0</v>
      </c>
      <c r="F1389" s="7" t="s">
        <v>320</v>
      </c>
      <c r="G1389" s="7" t="s">
        <v>312</v>
      </c>
      <c r="H1389" s="7" t="s">
        <v>313</v>
      </c>
      <c r="I1389" s="10"/>
      <c r="J1389" s="9" t="s">
        <v>1974</v>
      </c>
      <c r="K1389" s="8" t="s">
        <v>1579</v>
      </c>
      <c r="L1389" s="12"/>
      <c r="M1389" s="10"/>
      <c r="N1389" s="10"/>
      <c r="O1389" s="10"/>
      <c r="P1389" s="10"/>
      <c r="Q1389" s="10"/>
      <c r="R1389" s="10"/>
      <c r="S1389" s="10"/>
      <c r="T1389" s="10"/>
      <c r="U1389" s="10"/>
      <c r="V1389" s="10"/>
      <c r="W1389" s="10"/>
      <c r="X1389" s="10"/>
      <c r="Y1389" s="10"/>
      <c r="Z1389" s="10"/>
      <c r="AA1389" s="10"/>
      <c r="AB1389" s="10"/>
      <c r="AC1389" s="10"/>
      <c r="AD1389" s="10"/>
      <c r="AE1389" s="10"/>
      <c r="AF1389" s="10"/>
    </row>
    <row r="1390">
      <c r="A1390" s="10"/>
      <c r="B1390" s="12"/>
      <c r="C1390" s="12"/>
      <c r="D1390" s="12"/>
      <c r="E1390" s="10"/>
      <c r="F1390" s="10"/>
      <c r="G1390" s="10"/>
      <c r="H1390" s="10"/>
      <c r="I1390" s="10"/>
      <c r="J1390" s="11"/>
      <c r="K1390" s="12"/>
      <c r="L1390" s="12"/>
      <c r="M1390" s="10"/>
      <c r="N1390" s="10"/>
      <c r="O1390" s="10"/>
      <c r="P1390" s="10"/>
      <c r="Q1390" s="10"/>
      <c r="R1390" s="10"/>
      <c r="S1390" s="10"/>
      <c r="T1390" s="10"/>
      <c r="U1390" s="10"/>
      <c r="V1390" s="10"/>
      <c r="W1390" s="10"/>
      <c r="X1390" s="10"/>
      <c r="Y1390" s="10"/>
      <c r="Z1390" s="10"/>
      <c r="AA1390" s="10"/>
      <c r="AB1390" s="10"/>
      <c r="AC1390" s="10"/>
      <c r="AD1390" s="10"/>
      <c r="AE1390" s="10"/>
      <c r="AF1390" s="10"/>
    </row>
    <row r="1391">
      <c r="A1391" s="7"/>
      <c r="B1391" s="8">
        <v>122.0</v>
      </c>
      <c r="C1391" s="8">
        <v>1.0</v>
      </c>
      <c r="D1391" s="8" t="s">
        <v>1975</v>
      </c>
      <c r="E1391" s="7">
        <v>0.0</v>
      </c>
      <c r="F1391" s="7"/>
      <c r="G1391" s="7" t="s">
        <v>312</v>
      </c>
      <c r="H1391" s="7" t="s">
        <v>313</v>
      </c>
      <c r="I1391" s="10"/>
      <c r="J1391" s="24"/>
      <c r="K1391" s="12"/>
      <c r="L1391" s="12"/>
      <c r="M1391" s="10"/>
      <c r="N1391" s="10"/>
      <c r="O1391" s="10"/>
      <c r="P1391" s="10"/>
      <c r="Q1391" s="10"/>
      <c r="R1391" s="10"/>
      <c r="S1391" s="10"/>
      <c r="T1391" s="10"/>
      <c r="U1391" s="10"/>
      <c r="V1391" s="10"/>
      <c r="W1391" s="10"/>
      <c r="X1391" s="10"/>
      <c r="Y1391" s="10"/>
      <c r="Z1391" s="10"/>
      <c r="AA1391" s="10"/>
      <c r="AB1391" s="10"/>
      <c r="AC1391" s="10"/>
      <c r="AD1391" s="10"/>
      <c r="AE1391" s="10"/>
      <c r="AF1391" s="10"/>
    </row>
    <row r="1392">
      <c r="A1392" s="7"/>
      <c r="B1392" s="8">
        <v>122.0</v>
      </c>
      <c r="C1392" s="8">
        <v>2.0</v>
      </c>
      <c r="D1392" s="8" t="s">
        <v>1976</v>
      </c>
      <c r="E1392" s="7">
        <v>2.0</v>
      </c>
      <c r="F1392" s="7"/>
      <c r="G1392" s="7" t="s">
        <v>312</v>
      </c>
      <c r="H1392" s="7" t="s">
        <v>313</v>
      </c>
      <c r="I1392" s="7" t="s">
        <v>366</v>
      </c>
      <c r="J1392" s="9" t="s">
        <v>1977</v>
      </c>
      <c r="K1392" s="8" t="s">
        <v>1664</v>
      </c>
      <c r="L1392" s="12"/>
      <c r="M1392" s="10"/>
      <c r="N1392" s="10"/>
      <c r="O1392" s="10"/>
      <c r="P1392" s="10"/>
      <c r="Q1392" s="10"/>
      <c r="R1392" s="10"/>
      <c r="S1392" s="10"/>
      <c r="T1392" s="10"/>
      <c r="U1392" s="10"/>
      <c r="V1392" s="10"/>
      <c r="W1392" s="10"/>
      <c r="X1392" s="10"/>
      <c r="Y1392" s="10"/>
      <c r="Z1392" s="10"/>
      <c r="AA1392" s="10"/>
      <c r="AB1392" s="10"/>
      <c r="AC1392" s="10"/>
      <c r="AD1392" s="10"/>
      <c r="AE1392" s="10"/>
      <c r="AF1392" s="10"/>
    </row>
    <row r="1393">
      <c r="A1393" s="7"/>
      <c r="B1393" s="8">
        <v>122.0</v>
      </c>
      <c r="C1393" s="8">
        <v>3.0</v>
      </c>
      <c r="D1393" s="8" t="s">
        <v>1978</v>
      </c>
      <c r="E1393" s="7">
        <v>2.0</v>
      </c>
      <c r="F1393" s="7"/>
      <c r="G1393" s="7" t="s">
        <v>312</v>
      </c>
      <c r="H1393" s="7" t="s">
        <v>313</v>
      </c>
      <c r="I1393" s="7" t="s">
        <v>366</v>
      </c>
      <c r="J1393" s="24"/>
      <c r="K1393" s="8" t="s">
        <v>1664</v>
      </c>
      <c r="L1393" s="12"/>
      <c r="M1393" s="10"/>
      <c r="N1393" s="10"/>
      <c r="O1393" s="10"/>
      <c r="P1393" s="10"/>
      <c r="Q1393" s="10"/>
      <c r="R1393" s="10"/>
      <c r="S1393" s="10"/>
      <c r="T1393" s="10"/>
      <c r="U1393" s="10"/>
      <c r="V1393" s="10"/>
      <c r="W1393" s="10"/>
      <c r="X1393" s="10"/>
      <c r="Y1393" s="10"/>
      <c r="Z1393" s="10"/>
      <c r="AA1393" s="10"/>
      <c r="AB1393" s="10"/>
      <c r="AC1393" s="10"/>
      <c r="AD1393" s="10"/>
      <c r="AE1393" s="10"/>
      <c r="AF1393" s="10"/>
    </row>
    <row r="1394">
      <c r="A1394" s="7"/>
      <c r="B1394" s="8">
        <v>122.0</v>
      </c>
      <c r="C1394" s="8">
        <v>4.0</v>
      </c>
      <c r="D1394" s="8" t="s">
        <v>1979</v>
      </c>
      <c r="E1394" s="7">
        <v>2.0</v>
      </c>
      <c r="F1394" s="7"/>
      <c r="G1394" s="7" t="s">
        <v>312</v>
      </c>
      <c r="H1394" s="7" t="s">
        <v>313</v>
      </c>
      <c r="I1394" s="7" t="s">
        <v>366</v>
      </c>
      <c r="J1394" s="24"/>
      <c r="K1394" s="8" t="s">
        <v>1664</v>
      </c>
      <c r="L1394" s="12"/>
      <c r="M1394" s="10"/>
      <c r="N1394" s="10"/>
      <c r="O1394" s="10"/>
      <c r="P1394" s="10"/>
      <c r="Q1394" s="10"/>
      <c r="R1394" s="10"/>
      <c r="S1394" s="10"/>
      <c r="T1394" s="10"/>
      <c r="U1394" s="10"/>
      <c r="V1394" s="10"/>
      <c r="W1394" s="10"/>
      <c r="X1394" s="10"/>
      <c r="Y1394" s="10"/>
      <c r="Z1394" s="10"/>
      <c r="AA1394" s="10"/>
      <c r="AB1394" s="10"/>
      <c r="AC1394" s="10"/>
      <c r="AD1394" s="10"/>
      <c r="AE1394" s="10"/>
      <c r="AF1394" s="10"/>
    </row>
    <row r="1395">
      <c r="A1395" s="7"/>
      <c r="B1395" s="8">
        <v>122.0</v>
      </c>
      <c r="C1395" s="8">
        <v>5.0</v>
      </c>
      <c r="D1395" s="8" t="s">
        <v>1980</v>
      </c>
      <c r="E1395" s="7">
        <v>2.0</v>
      </c>
      <c r="F1395" s="7"/>
      <c r="G1395" s="7" t="s">
        <v>312</v>
      </c>
      <c r="H1395" s="7" t="s">
        <v>313</v>
      </c>
      <c r="I1395" s="7" t="s">
        <v>366</v>
      </c>
      <c r="J1395" s="9" t="s">
        <v>1981</v>
      </c>
      <c r="K1395" s="8" t="s">
        <v>1664</v>
      </c>
      <c r="L1395" s="12"/>
      <c r="M1395" s="10"/>
      <c r="N1395" s="10"/>
      <c r="O1395" s="10"/>
      <c r="P1395" s="10"/>
      <c r="Q1395" s="10"/>
      <c r="R1395" s="10"/>
      <c r="S1395" s="10"/>
      <c r="T1395" s="10"/>
      <c r="U1395" s="10"/>
      <c r="V1395" s="10"/>
      <c r="W1395" s="10"/>
      <c r="X1395" s="10"/>
      <c r="Y1395" s="10"/>
      <c r="Z1395" s="10"/>
      <c r="AA1395" s="10"/>
      <c r="AB1395" s="10"/>
      <c r="AC1395" s="10"/>
      <c r="AD1395" s="10"/>
      <c r="AE1395" s="10"/>
      <c r="AF1395" s="10"/>
    </row>
    <row r="1396">
      <c r="A1396" s="7"/>
      <c r="B1396" s="8">
        <v>122.0</v>
      </c>
      <c r="C1396" s="8">
        <v>6.0</v>
      </c>
      <c r="D1396" s="8" t="s">
        <v>1982</v>
      </c>
      <c r="E1396" s="7">
        <v>2.0</v>
      </c>
      <c r="F1396" s="7"/>
      <c r="G1396" s="7" t="s">
        <v>312</v>
      </c>
      <c r="H1396" s="7" t="s">
        <v>313</v>
      </c>
      <c r="I1396" s="7" t="s">
        <v>366</v>
      </c>
      <c r="J1396" s="9" t="s">
        <v>1983</v>
      </c>
      <c r="K1396" s="8" t="s">
        <v>1579</v>
      </c>
      <c r="L1396" s="12"/>
      <c r="M1396" s="10"/>
      <c r="N1396" s="10"/>
      <c r="O1396" s="10"/>
      <c r="P1396" s="10"/>
      <c r="Q1396" s="10"/>
      <c r="R1396" s="10"/>
      <c r="S1396" s="10"/>
      <c r="T1396" s="10"/>
      <c r="U1396" s="10"/>
      <c r="V1396" s="10"/>
      <c r="W1396" s="10"/>
      <c r="X1396" s="10"/>
      <c r="Y1396" s="10"/>
      <c r="Z1396" s="10"/>
      <c r="AA1396" s="10"/>
      <c r="AB1396" s="10"/>
      <c r="AC1396" s="10"/>
      <c r="AD1396" s="10"/>
      <c r="AE1396" s="10"/>
      <c r="AF1396" s="10"/>
    </row>
    <row r="1397">
      <c r="A1397" s="7"/>
      <c r="B1397" s="8">
        <v>122.0</v>
      </c>
      <c r="C1397" s="8">
        <v>7.0</v>
      </c>
      <c r="D1397" s="8" t="s">
        <v>1984</v>
      </c>
      <c r="E1397" s="7">
        <v>2.0</v>
      </c>
      <c r="F1397" s="7"/>
      <c r="G1397" s="7" t="s">
        <v>312</v>
      </c>
      <c r="H1397" s="7" t="s">
        <v>313</v>
      </c>
      <c r="I1397" s="7" t="s">
        <v>366</v>
      </c>
      <c r="J1397" s="11"/>
      <c r="K1397" s="8" t="s">
        <v>1579</v>
      </c>
      <c r="L1397" s="12"/>
      <c r="M1397" s="10"/>
      <c r="N1397" s="10"/>
      <c r="O1397" s="10"/>
      <c r="P1397" s="10"/>
      <c r="Q1397" s="10"/>
      <c r="R1397" s="10"/>
      <c r="S1397" s="10"/>
      <c r="T1397" s="10"/>
      <c r="U1397" s="10"/>
      <c r="V1397" s="10"/>
      <c r="W1397" s="10"/>
      <c r="X1397" s="10"/>
      <c r="Y1397" s="10"/>
      <c r="Z1397" s="10"/>
      <c r="AA1397" s="10"/>
      <c r="AB1397" s="10"/>
      <c r="AC1397" s="10"/>
      <c r="AD1397" s="10"/>
      <c r="AE1397" s="10"/>
      <c r="AF1397" s="10"/>
    </row>
    <row r="1398">
      <c r="A1398" s="7"/>
      <c r="B1398" s="8">
        <v>122.0</v>
      </c>
      <c r="C1398" s="8">
        <v>8.0</v>
      </c>
      <c r="D1398" s="8" t="s">
        <v>1985</v>
      </c>
      <c r="E1398" s="7">
        <v>2.0</v>
      </c>
      <c r="F1398" s="7"/>
      <c r="G1398" s="7" t="s">
        <v>312</v>
      </c>
      <c r="H1398" s="7" t="s">
        <v>313</v>
      </c>
      <c r="I1398" s="7" t="s">
        <v>366</v>
      </c>
      <c r="J1398" s="11"/>
      <c r="K1398" s="8" t="s">
        <v>1664</v>
      </c>
      <c r="L1398" s="12"/>
      <c r="M1398" s="10"/>
      <c r="N1398" s="10"/>
      <c r="O1398" s="10"/>
      <c r="P1398" s="10"/>
      <c r="Q1398" s="10"/>
      <c r="R1398" s="10"/>
      <c r="S1398" s="10"/>
      <c r="T1398" s="10"/>
      <c r="U1398" s="10"/>
      <c r="V1398" s="10"/>
      <c r="W1398" s="10"/>
      <c r="X1398" s="10"/>
      <c r="Y1398" s="10"/>
      <c r="Z1398" s="10"/>
      <c r="AA1398" s="10"/>
      <c r="AB1398" s="10"/>
      <c r="AC1398" s="10"/>
      <c r="AD1398" s="10"/>
      <c r="AE1398" s="10"/>
      <c r="AF1398" s="10"/>
    </row>
    <row r="1399">
      <c r="A1399" s="7"/>
      <c r="B1399" s="8">
        <v>122.0</v>
      </c>
      <c r="C1399" s="8">
        <v>9.0</v>
      </c>
      <c r="D1399" s="8" t="s">
        <v>1986</v>
      </c>
      <c r="E1399" s="7">
        <v>2.0</v>
      </c>
      <c r="F1399" s="7"/>
      <c r="G1399" s="7" t="s">
        <v>312</v>
      </c>
      <c r="H1399" s="7" t="s">
        <v>313</v>
      </c>
      <c r="I1399" s="7" t="s">
        <v>366</v>
      </c>
      <c r="J1399" s="11"/>
      <c r="K1399" s="8" t="s">
        <v>1664</v>
      </c>
      <c r="L1399" s="12"/>
      <c r="M1399" s="10"/>
      <c r="N1399" s="10"/>
      <c r="O1399" s="10"/>
      <c r="P1399" s="10"/>
      <c r="Q1399" s="10"/>
      <c r="R1399" s="10"/>
      <c r="S1399" s="10"/>
      <c r="T1399" s="10"/>
      <c r="U1399" s="10"/>
      <c r="V1399" s="10"/>
      <c r="W1399" s="10"/>
      <c r="X1399" s="10"/>
      <c r="Y1399" s="10"/>
      <c r="Z1399" s="10"/>
      <c r="AA1399" s="10"/>
      <c r="AB1399" s="10"/>
      <c r="AC1399" s="10"/>
      <c r="AD1399" s="10"/>
      <c r="AE1399" s="10"/>
      <c r="AF1399" s="10"/>
    </row>
    <row r="1400">
      <c r="A1400" s="7"/>
      <c r="B1400" s="8">
        <v>122.0</v>
      </c>
      <c r="C1400" s="8">
        <v>10.0</v>
      </c>
      <c r="D1400" s="8" t="s">
        <v>1987</v>
      </c>
      <c r="E1400" s="7">
        <v>2.0</v>
      </c>
      <c r="F1400" s="7"/>
      <c r="G1400" s="7" t="s">
        <v>312</v>
      </c>
      <c r="H1400" s="7" t="s">
        <v>313</v>
      </c>
      <c r="I1400" s="7" t="s">
        <v>366</v>
      </c>
      <c r="J1400" s="11"/>
      <c r="K1400" s="8" t="s">
        <v>1664</v>
      </c>
      <c r="L1400" s="12"/>
      <c r="M1400" s="10"/>
      <c r="N1400" s="10"/>
      <c r="O1400" s="10"/>
      <c r="P1400" s="10"/>
      <c r="Q1400" s="10"/>
      <c r="R1400" s="10"/>
      <c r="S1400" s="10"/>
      <c r="T1400" s="10"/>
      <c r="U1400" s="10"/>
      <c r="V1400" s="10"/>
      <c r="W1400" s="10"/>
      <c r="X1400" s="10"/>
      <c r="Y1400" s="10"/>
      <c r="Z1400" s="10"/>
      <c r="AA1400" s="10"/>
      <c r="AB1400" s="10"/>
      <c r="AC1400" s="10"/>
      <c r="AD1400" s="10"/>
      <c r="AE1400" s="10"/>
      <c r="AF1400" s="10"/>
    </row>
    <row r="1401">
      <c r="A1401" s="7"/>
      <c r="B1401" s="8">
        <v>122.0</v>
      </c>
      <c r="C1401" s="8">
        <v>11.0</v>
      </c>
      <c r="D1401" s="8" t="s">
        <v>1988</v>
      </c>
      <c r="E1401" s="7">
        <v>2.0</v>
      </c>
      <c r="F1401" s="7"/>
      <c r="G1401" s="7" t="s">
        <v>312</v>
      </c>
      <c r="H1401" s="7" t="s">
        <v>313</v>
      </c>
      <c r="I1401" s="7" t="s">
        <v>366</v>
      </c>
      <c r="J1401" s="11"/>
      <c r="K1401" s="8" t="s">
        <v>1664</v>
      </c>
      <c r="L1401" s="12"/>
      <c r="M1401" s="10"/>
      <c r="N1401" s="10"/>
      <c r="O1401" s="10"/>
      <c r="P1401" s="10"/>
      <c r="Q1401" s="10"/>
      <c r="R1401" s="10"/>
      <c r="S1401" s="10"/>
      <c r="T1401" s="10"/>
      <c r="U1401" s="10"/>
      <c r="V1401" s="10"/>
      <c r="W1401" s="10"/>
      <c r="X1401" s="10"/>
      <c r="Y1401" s="10"/>
      <c r="Z1401" s="10"/>
      <c r="AA1401" s="10"/>
      <c r="AB1401" s="10"/>
      <c r="AC1401" s="10"/>
      <c r="AD1401" s="10"/>
      <c r="AE1401" s="10"/>
      <c r="AF1401" s="10"/>
    </row>
    <row r="1402">
      <c r="A1402" s="7"/>
      <c r="B1402" s="8">
        <v>122.0</v>
      </c>
      <c r="C1402" s="8">
        <v>12.0</v>
      </c>
      <c r="D1402" s="8" t="s">
        <v>1989</v>
      </c>
      <c r="E1402" s="7">
        <v>2.0</v>
      </c>
      <c r="F1402" s="7"/>
      <c r="G1402" s="7" t="s">
        <v>312</v>
      </c>
      <c r="H1402" s="7" t="s">
        <v>313</v>
      </c>
      <c r="I1402" s="7" t="s">
        <v>366</v>
      </c>
      <c r="J1402" s="11"/>
      <c r="K1402" s="8" t="s">
        <v>1579</v>
      </c>
      <c r="L1402" s="12"/>
      <c r="M1402" s="10"/>
      <c r="N1402" s="10"/>
      <c r="O1402" s="10"/>
      <c r="P1402" s="10"/>
      <c r="Q1402" s="10"/>
      <c r="R1402" s="10"/>
      <c r="S1402" s="10"/>
      <c r="T1402" s="10"/>
      <c r="U1402" s="10"/>
      <c r="V1402" s="10"/>
      <c r="W1402" s="10"/>
      <c r="X1402" s="10"/>
      <c r="Y1402" s="10"/>
      <c r="Z1402" s="10"/>
      <c r="AA1402" s="10"/>
      <c r="AB1402" s="10"/>
      <c r="AC1402" s="10"/>
      <c r="AD1402" s="10"/>
      <c r="AE1402" s="10"/>
      <c r="AF1402" s="10"/>
    </row>
    <row r="1403">
      <c r="A1403" s="7"/>
      <c r="B1403" s="8">
        <v>122.0</v>
      </c>
      <c r="C1403" s="8">
        <v>13.0</v>
      </c>
      <c r="D1403" s="8" t="s">
        <v>1990</v>
      </c>
      <c r="E1403" s="7">
        <v>2.0</v>
      </c>
      <c r="F1403" s="7"/>
      <c r="G1403" s="7" t="s">
        <v>312</v>
      </c>
      <c r="H1403" s="7" t="s">
        <v>313</v>
      </c>
      <c r="I1403" s="7" t="s">
        <v>366</v>
      </c>
      <c r="J1403" s="11"/>
      <c r="K1403" s="8" t="s">
        <v>1579</v>
      </c>
      <c r="L1403" s="12"/>
      <c r="M1403" s="10"/>
      <c r="N1403" s="10"/>
      <c r="O1403" s="10"/>
      <c r="P1403" s="10"/>
      <c r="Q1403" s="10"/>
      <c r="R1403" s="10"/>
      <c r="S1403" s="10"/>
      <c r="T1403" s="10"/>
      <c r="U1403" s="10"/>
      <c r="V1403" s="10"/>
      <c r="W1403" s="10"/>
      <c r="X1403" s="10"/>
      <c r="Y1403" s="10"/>
      <c r="Z1403" s="10"/>
      <c r="AA1403" s="10"/>
      <c r="AB1403" s="10"/>
      <c r="AC1403" s="10"/>
      <c r="AD1403" s="10"/>
      <c r="AE1403" s="10"/>
      <c r="AF1403" s="10"/>
    </row>
    <row r="1404">
      <c r="A1404" s="7"/>
      <c r="B1404" s="8">
        <v>122.0</v>
      </c>
      <c r="C1404" s="8">
        <v>14.0</v>
      </c>
      <c r="D1404" s="8" t="s">
        <v>1991</v>
      </c>
      <c r="E1404" s="7">
        <v>0.0</v>
      </c>
      <c r="F1404" s="7"/>
      <c r="G1404" s="7" t="s">
        <v>312</v>
      </c>
      <c r="H1404" s="7" t="s">
        <v>313</v>
      </c>
      <c r="I1404" s="10"/>
      <c r="J1404" s="11"/>
      <c r="K1404" s="12"/>
      <c r="L1404" s="12"/>
      <c r="M1404" s="10"/>
      <c r="N1404" s="10"/>
      <c r="O1404" s="10"/>
      <c r="P1404" s="10"/>
      <c r="Q1404" s="10"/>
      <c r="R1404" s="10"/>
      <c r="S1404" s="10"/>
      <c r="T1404" s="10"/>
      <c r="U1404" s="10"/>
      <c r="V1404" s="10"/>
      <c r="W1404" s="10"/>
      <c r="X1404" s="10"/>
      <c r="Y1404" s="10"/>
      <c r="Z1404" s="10"/>
      <c r="AA1404" s="10"/>
      <c r="AB1404" s="10"/>
      <c r="AC1404" s="10"/>
      <c r="AD1404" s="10"/>
      <c r="AE1404" s="10"/>
      <c r="AF1404" s="10"/>
    </row>
    <row r="1405">
      <c r="A1405" s="7"/>
      <c r="B1405" s="8">
        <v>122.0</v>
      </c>
      <c r="C1405" s="8">
        <v>15.0</v>
      </c>
      <c r="D1405" s="8" t="s">
        <v>1992</v>
      </c>
      <c r="E1405" s="7">
        <v>0.0</v>
      </c>
      <c r="F1405" s="7"/>
      <c r="G1405" s="7" t="s">
        <v>312</v>
      </c>
      <c r="H1405" s="7" t="s">
        <v>313</v>
      </c>
      <c r="I1405" s="10"/>
      <c r="J1405" s="11"/>
      <c r="K1405" s="12"/>
      <c r="L1405" s="12"/>
      <c r="M1405" s="10"/>
      <c r="N1405" s="10"/>
      <c r="O1405" s="10"/>
      <c r="P1405" s="10"/>
      <c r="Q1405" s="10"/>
      <c r="R1405" s="10"/>
      <c r="S1405" s="10"/>
      <c r="T1405" s="10"/>
      <c r="U1405" s="10"/>
      <c r="V1405" s="10"/>
      <c r="W1405" s="10"/>
      <c r="X1405" s="10"/>
      <c r="Y1405" s="10"/>
      <c r="Z1405" s="10"/>
      <c r="AA1405" s="10"/>
      <c r="AB1405" s="10"/>
      <c r="AC1405" s="10"/>
      <c r="AD1405" s="10"/>
      <c r="AE1405" s="10"/>
      <c r="AF1405" s="10"/>
    </row>
    <row r="1406">
      <c r="A1406" s="7"/>
      <c r="B1406" s="8">
        <v>122.0</v>
      </c>
      <c r="C1406" s="8">
        <v>16.0</v>
      </c>
      <c r="D1406" s="8" t="s">
        <v>1993</v>
      </c>
      <c r="E1406" s="7">
        <v>0.0</v>
      </c>
      <c r="F1406" s="7"/>
      <c r="G1406" s="7" t="s">
        <v>312</v>
      </c>
      <c r="H1406" s="7" t="s">
        <v>313</v>
      </c>
      <c r="I1406" s="10"/>
      <c r="J1406" s="11"/>
      <c r="K1406" s="12"/>
      <c r="L1406" s="12"/>
      <c r="M1406" s="10"/>
      <c r="N1406" s="10"/>
      <c r="O1406" s="10"/>
      <c r="P1406" s="10"/>
      <c r="Q1406" s="10"/>
      <c r="R1406" s="10"/>
      <c r="S1406" s="10"/>
      <c r="T1406" s="10"/>
      <c r="U1406" s="10"/>
      <c r="V1406" s="10"/>
      <c r="W1406" s="10"/>
      <c r="X1406" s="10"/>
      <c r="Y1406" s="10"/>
      <c r="Z1406" s="10"/>
      <c r="AA1406" s="10"/>
      <c r="AB1406" s="10"/>
      <c r="AC1406" s="10"/>
      <c r="AD1406" s="10"/>
      <c r="AE1406" s="10"/>
      <c r="AF1406" s="10"/>
    </row>
    <row r="1407">
      <c r="A1407" s="7"/>
      <c r="B1407" s="8">
        <v>122.0</v>
      </c>
      <c r="C1407" s="8">
        <v>17.0</v>
      </c>
      <c r="D1407" s="8" t="s">
        <v>1994</v>
      </c>
      <c r="E1407" s="7">
        <v>0.0</v>
      </c>
      <c r="F1407" s="7"/>
      <c r="G1407" s="7" t="s">
        <v>312</v>
      </c>
      <c r="H1407" s="7" t="s">
        <v>313</v>
      </c>
      <c r="I1407" s="10"/>
      <c r="J1407" s="11"/>
      <c r="K1407" s="12"/>
      <c r="L1407" s="12"/>
      <c r="M1407" s="10"/>
      <c r="N1407" s="10"/>
      <c r="O1407" s="10"/>
      <c r="P1407" s="10"/>
      <c r="Q1407" s="10"/>
      <c r="R1407" s="10"/>
      <c r="S1407" s="10"/>
      <c r="T1407" s="10"/>
      <c r="U1407" s="10"/>
      <c r="V1407" s="10"/>
      <c r="W1407" s="10"/>
      <c r="X1407" s="10"/>
      <c r="Y1407" s="10"/>
      <c r="Z1407" s="10"/>
      <c r="AA1407" s="10"/>
      <c r="AB1407" s="10"/>
      <c r="AC1407" s="10"/>
      <c r="AD1407" s="10"/>
      <c r="AE1407" s="10"/>
      <c r="AF1407" s="10"/>
    </row>
    <row r="1408">
      <c r="A1408" s="7"/>
      <c r="B1408" s="8">
        <v>122.0</v>
      </c>
      <c r="C1408" s="8">
        <v>18.0</v>
      </c>
      <c r="D1408" s="8" t="s">
        <v>1995</v>
      </c>
      <c r="E1408" s="7">
        <v>0.0</v>
      </c>
      <c r="F1408" s="7"/>
      <c r="G1408" s="7" t="s">
        <v>312</v>
      </c>
      <c r="H1408" s="7" t="s">
        <v>313</v>
      </c>
      <c r="I1408" s="10"/>
      <c r="J1408" s="11"/>
      <c r="K1408" s="12"/>
      <c r="L1408" s="12"/>
      <c r="M1408" s="10"/>
      <c r="N1408" s="10"/>
      <c r="O1408" s="10"/>
      <c r="P1408" s="10"/>
      <c r="Q1408" s="10"/>
      <c r="R1408" s="10"/>
      <c r="S1408" s="10"/>
      <c r="T1408" s="10"/>
      <c r="U1408" s="10"/>
      <c r="V1408" s="10"/>
      <c r="W1408" s="10"/>
      <c r="X1408" s="10"/>
      <c r="Y1408" s="10"/>
      <c r="Z1408" s="10"/>
      <c r="AA1408" s="10"/>
      <c r="AB1408" s="10"/>
      <c r="AC1408" s="10"/>
      <c r="AD1408" s="10"/>
      <c r="AE1408" s="10"/>
      <c r="AF1408" s="10"/>
    </row>
    <row r="1409">
      <c r="A1409" s="7"/>
      <c r="B1409" s="8">
        <v>122.0</v>
      </c>
      <c r="C1409" s="8">
        <v>19.0</v>
      </c>
      <c r="D1409" s="8" t="s">
        <v>1996</v>
      </c>
      <c r="E1409" s="7">
        <v>0.0</v>
      </c>
      <c r="F1409" s="7"/>
      <c r="G1409" s="7" t="s">
        <v>312</v>
      </c>
      <c r="H1409" s="7" t="s">
        <v>313</v>
      </c>
      <c r="I1409" s="10"/>
      <c r="J1409" s="11"/>
      <c r="K1409" s="12"/>
      <c r="L1409" s="12"/>
      <c r="M1409" s="10"/>
      <c r="N1409" s="10"/>
      <c r="O1409" s="10"/>
      <c r="P1409" s="10"/>
      <c r="Q1409" s="10"/>
      <c r="R1409" s="10"/>
      <c r="S1409" s="10"/>
      <c r="T1409" s="10"/>
      <c r="U1409" s="10"/>
      <c r="V1409" s="10"/>
      <c r="W1409" s="10"/>
      <c r="X1409" s="10"/>
      <c r="Y1409" s="10"/>
      <c r="Z1409" s="10"/>
      <c r="AA1409" s="10"/>
      <c r="AB1409" s="10"/>
      <c r="AC1409" s="10"/>
      <c r="AD1409" s="10"/>
      <c r="AE1409" s="10"/>
      <c r="AF1409" s="10"/>
    </row>
    <row r="1410">
      <c r="A1410" s="7"/>
      <c r="B1410" s="8">
        <v>122.0</v>
      </c>
      <c r="C1410" s="8">
        <v>20.0</v>
      </c>
      <c r="D1410" s="8" t="s">
        <v>1997</v>
      </c>
      <c r="E1410" s="7">
        <v>0.0</v>
      </c>
      <c r="F1410" s="7"/>
      <c r="G1410" s="7" t="s">
        <v>312</v>
      </c>
      <c r="H1410" s="7" t="s">
        <v>313</v>
      </c>
      <c r="I1410" s="10"/>
      <c r="J1410" s="11"/>
      <c r="K1410" s="12"/>
      <c r="L1410" s="12"/>
      <c r="M1410" s="10"/>
      <c r="N1410" s="10"/>
      <c r="O1410" s="10"/>
      <c r="P1410" s="10"/>
      <c r="Q1410" s="10"/>
      <c r="R1410" s="10"/>
      <c r="S1410" s="10"/>
      <c r="T1410" s="10"/>
      <c r="U1410" s="10"/>
      <c r="V1410" s="10"/>
      <c r="W1410" s="10"/>
      <c r="X1410" s="10"/>
      <c r="Y1410" s="10"/>
      <c r="Z1410" s="10"/>
      <c r="AA1410" s="10"/>
      <c r="AB1410" s="10"/>
      <c r="AC1410" s="10"/>
      <c r="AD1410" s="10"/>
      <c r="AE1410" s="10"/>
      <c r="AF1410" s="10"/>
    </row>
    <row r="1411">
      <c r="A1411" s="7"/>
      <c r="B1411" s="8">
        <v>122.0</v>
      </c>
      <c r="C1411" s="8">
        <v>21.0</v>
      </c>
      <c r="D1411" s="8" t="s">
        <v>1998</v>
      </c>
      <c r="E1411" s="7">
        <v>0.0</v>
      </c>
      <c r="F1411" s="7"/>
      <c r="G1411" s="7" t="s">
        <v>312</v>
      </c>
      <c r="H1411" s="7" t="s">
        <v>313</v>
      </c>
      <c r="I1411" s="10"/>
      <c r="J1411" s="11"/>
      <c r="K1411" s="12"/>
      <c r="L1411" s="12"/>
      <c r="M1411" s="10"/>
      <c r="N1411" s="10"/>
      <c r="O1411" s="10"/>
      <c r="P1411" s="10"/>
      <c r="Q1411" s="10"/>
      <c r="R1411" s="10"/>
      <c r="S1411" s="10"/>
      <c r="T1411" s="10"/>
      <c r="U1411" s="10"/>
      <c r="V1411" s="10"/>
      <c r="W1411" s="10"/>
      <c r="X1411" s="10"/>
      <c r="Y1411" s="10"/>
      <c r="Z1411" s="10"/>
      <c r="AA1411" s="10"/>
      <c r="AB1411" s="10"/>
      <c r="AC1411" s="10"/>
      <c r="AD1411" s="10"/>
      <c r="AE1411" s="10"/>
      <c r="AF1411" s="10"/>
    </row>
    <row r="1412">
      <c r="A1412" s="7"/>
      <c r="B1412" s="8">
        <v>122.0</v>
      </c>
      <c r="C1412" s="8">
        <v>22.0</v>
      </c>
      <c r="D1412" s="8" t="s">
        <v>1999</v>
      </c>
      <c r="E1412" s="7">
        <v>0.0</v>
      </c>
      <c r="F1412" s="7"/>
      <c r="G1412" s="7" t="s">
        <v>312</v>
      </c>
      <c r="H1412" s="7" t="s">
        <v>313</v>
      </c>
      <c r="I1412" s="10"/>
      <c r="J1412" s="11"/>
      <c r="K1412" s="12"/>
      <c r="L1412" s="12"/>
      <c r="M1412" s="10"/>
      <c r="N1412" s="10"/>
      <c r="O1412" s="10"/>
      <c r="P1412" s="10"/>
      <c r="Q1412" s="10"/>
      <c r="R1412" s="10"/>
      <c r="S1412" s="10"/>
      <c r="T1412" s="10"/>
      <c r="U1412" s="10"/>
      <c r="V1412" s="10"/>
      <c r="W1412" s="10"/>
      <c r="X1412" s="10"/>
      <c r="Y1412" s="10"/>
      <c r="Z1412" s="10"/>
      <c r="AA1412" s="10"/>
      <c r="AB1412" s="10"/>
      <c r="AC1412" s="10"/>
      <c r="AD1412" s="10"/>
      <c r="AE1412" s="10"/>
      <c r="AF1412" s="10"/>
    </row>
    <row r="1413">
      <c r="A1413" s="7"/>
      <c r="B1413" s="8">
        <v>122.0</v>
      </c>
      <c r="C1413" s="8">
        <v>23.0</v>
      </c>
      <c r="D1413" s="8" t="s">
        <v>2000</v>
      </c>
      <c r="E1413" s="7">
        <v>0.0</v>
      </c>
      <c r="F1413" s="7"/>
      <c r="G1413" s="7" t="s">
        <v>312</v>
      </c>
      <c r="H1413" s="7" t="s">
        <v>313</v>
      </c>
      <c r="I1413" s="10"/>
      <c r="J1413" s="11"/>
      <c r="K1413" s="12"/>
      <c r="L1413" s="12"/>
      <c r="M1413" s="10"/>
      <c r="N1413" s="10"/>
      <c r="O1413" s="10"/>
      <c r="P1413" s="10"/>
      <c r="Q1413" s="10"/>
      <c r="R1413" s="10"/>
      <c r="S1413" s="10"/>
      <c r="T1413" s="10"/>
      <c r="U1413" s="10"/>
      <c r="V1413" s="10"/>
      <c r="W1413" s="10"/>
      <c r="X1413" s="10"/>
      <c r="Y1413" s="10"/>
      <c r="Z1413" s="10"/>
      <c r="AA1413" s="10"/>
      <c r="AB1413" s="10"/>
      <c r="AC1413" s="10"/>
      <c r="AD1413" s="10"/>
      <c r="AE1413" s="10"/>
      <c r="AF1413" s="10"/>
    </row>
    <row r="1414">
      <c r="A1414" s="7"/>
      <c r="B1414" s="8">
        <v>122.0</v>
      </c>
      <c r="C1414" s="8">
        <v>24.0</v>
      </c>
      <c r="D1414" s="8" t="s">
        <v>2001</v>
      </c>
      <c r="E1414" s="7">
        <v>0.0</v>
      </c>
      <c r="F1414" s="7"/>
      <c r="G1414" s="7" t="s">
        <v>312</v>
      </c>
      <c r="H1414" s="7" t="s">
        <v>313</v>
      </c>
      <c r="I1414" s="10"/>
      <c r="J1414" s="11"/>
      <c r="K1414" s="12"/>
      <c r="L1414" s="12"/>
      <c r="M1414" s="10"/>
      <c r="N1414" s="10"/>
      <c r="O1414" s="10"/>
      <c r="P1414" s="10"/>
      <c r="Q1414" s="10"/>
      <c r="R1414" s="10"/>
      <c r="S1414" s="10"/>
      <c r="T1414" s="10"/>
      <c r="U1414" s="10"/>
      <c r="V1414" s="10"/>
      <c r="W1414" s="10"/>
      <c r="X1414" s="10"/>
      <c r="Y1414" s="10"/>
      <c r="Z1414" s="10"/>
      <c r="AA1414" s="10"/>
      <c r="AB1414" s="10"/>
      <c r="AC1414" s="10"/>
      <c r="AD1414" s="10"/>
      <c r="AE1414" s="10"/>
      <c r="AF1414" s="10"/>
    </row>
    <row r="1415">
      <c r="A1415" s="7"/>
      <c r="B1415" s="8">
        <v>122.0</v>
      </c>
      <c r="C1415" s="8">
        <v>25.0</v>
      </c>
      <c r="D1415" s="8" t="s">
        <v>2002</v>
      </c>
      <c r="E1415" s="7">
        <v>0.0</v>
      </c>
      <c r="F1415" s="7"/>
      <c r="G1415" s="7" t="s">
        <v>312</v>
      </c>
      <c r="H1415" s="7" t="s">
        <v>313</v>
      </c>
      <c r="I1415" s="10"/>
      <c r="J1415" s="11"/>
      <c r="K1415" s="12"/>
      <c r="L1415" s="12"/>
      <c r="M1415" s="10"/>
      <c r="N1415" s="10"/>
      <c r="O1415" s="10"/>
      <c r="P1415" s="10"/>
      <c r="Q1415" s="10"/>
      <c r="R1415" s="10"/>
      <c r="S1415" s="10"/>
      <c r="T1415" s="10"/>
      <c r="U1415" s="10"/>
      <c r="V1415" s="10"/>
      <c r="W1415" s="10"/>
      <c r="X1415" s="10"/>
      <c r="Y1415" s="10"/>
      <c r="Z1415" s="10"/>
      <c r="AA1415" s="10"/>
      <c r="AB1415" s="10"/>
      <c r="AC1415" s="10"/>
      <c r="AD1415" s="10"/>
      <c r="AE1415" s="10"/>
      <c r="AF1415" s="10"/>
    </row>
    <row r="1416">
      <c r="A1416" s="7"/>
      <c r="B1416" s="8">
        <v>122.0</v>
      </c>
      <c r="C1416" s="8">
        <v>26.0</v>
      </c>
      <c r="D1416" s="8" t="s">
        <v>2003</v>
      </c>
      <c r="E1416" s="7">
        <v>0.0</v>
      </c>
      <c r="F1416" s="7"/>
      <c r="G1416" s="7" t="s">
        <v>312</v>
      </c>
      <c r="H1416" s="7" t="s">
        <v>313</v>
      </c>
      <c r="I1416" s="10"/>
      <c r="J1416" s="11"/>
      <c r="K1416" s="12"/>
      <c r="L1416" s="12"/>
      <c r="M1416" s="10"/>
      <c r="N1416" s="10"/>
      <c r="O1416" s="10"/>
      <c r="P1416" s="10"/>
      <c r="Q1416" s="10"/>
      <c r="R1416" s="10"/>
      <c r="S1416" s="10"/>
      <c r="T1416" s="10"/>
      <c r="U1416" s="10"/>
      <c r="V1416" s="10"/>
      <c r="W1416" s="10"/>
      <c r="X1416" s="10"/>
      <c r="Y1416" s="10"/>
      <c r="Z1416" s="10"/>
      <c r="AA1416" s="10"/>
      <c r="AB1416" s="10"/>
      <c r="AC1416" s="10"/>
      <c r="AD1416" s="10"/>
      <c r="AE1416" s="10"/>
      <c r="AF1416" s="10"/>
    </row>
    <row r="1417">
      <c r="A1417" s="7"/>
      <c r="B1417" s="8">
        <v>122.0</v>
      </c>
      <c r="C1417" s="8">
        <v>27.0</v>
      </c>
      <c r="D1417" s="8" t="s">
        <v>2004</v>
      </c>
      <c r="E1417" s="7">
        <v>0.0</v>
      </c>
      <c r="F1417" s="7"/>
      <c r="G1417" s="7" t="s">
        <v>312</v>
      </c>
      <c r="H1417" s="7" t="s">
        <v>313</v>
      </c>
      <c r="I1417" s="10"/>
      <c r="J1417" s="11"/>
      <c r="K1417" s="12"/>
      <c r="L1417" s="12"/>
      <c r="M1417" s="10"/>
      <c r="N1417" s="10"/>
      <c r="O1417" s="10"/>
      <c r="P1417" s="10"/>
      <c r="Q1417" s="10"/>
      <c r="R1417" s="10"/>
      <c r="S1417" s="10"/>
      <c r="T1417" s="10"/>
      <c r="U1417" s="10"/>
      <c r="V1417" s="10"/>
      <c r="W1417" s="10"/>
      <c r="X1417" s="10"/>
      <c r="Y1417" s="10"/>
      <c r="Z1417" s="10"/>
      <c r="AA1417" s="10"/>
      <c r="AB1417" s="10"/>
      <c r="AC1417" s="10"/>
      <c r="AD1417" s="10"/>
      <c r="AE1417" s="10"/>
      <c r="AF1417" s="10"/>
    </row>
    <row r="1418">
      <c r="A1418" s="7"/>
      <c r="B1418" s="8">
        <v>122.0</v>
      </c>
      <c r="C1418" s="8">
        <v>28.0</v>
      </c>
      <c r="D1418" s="8" t="s">
        <v>2005</v>
      </c>
      <c r="E1418" s="7">
        <v>0.0</v>
      </c>
      <c r="F1418" s="7"/>
      <c r="G1418" s="7" t="s">
        <v>312</v>
      </c>
      <c r="H1418" s="7" t="s">
        <v>313</v>
      </c>
      <c r="I1418" s="10"/>
      <c r="J1418" s="11"/>
      <c r="K1418" s="12"/>
      <c r="L1418" s="12"/>
      <c r="M1418" s="10"/>
      <c r="N1418" s="10"/>
      <c r="O1418" s="10"/>
      <c r="P1418" s="10"/>
      <c r="Q1418" s="10"/>
      <c r="R1418" s="10"/>
      <c r="S1418" s="10"/>
      <c r="T1418" s="10"/>
      <c r="U1418" s="10"/>
      <c r="V1418" s="10"/>
      <c r="W1418" s="10"/>
      <c r="X1418" s="10"/>
      <c r="Y1418" s="10"/>
      <c r="Z1418" s="10"/>
      <c r="AA1418" s="10"/>
      <c r="AB1418" s="10"/>
      <c r="AC1418" s="10"/>
      <c r="AD1418" s="10"/>
      <c r="AE1418" s="10"/>
      <c r="AF1418" s="10"/>
    </row>
    <row r="1419">
      <c r="A1419" s="10"/>
      <c r="B1419" s="12"/>
      <c r="C1419" s="12"/>
      <c r="D1419" s="12"/>
      <c r="E1419" s="10"/>
      <c r="F1419" s="10"/>
      <c r="G1419" s="10"/>
      <c r="H1419" s="10"/>
      <c r="I1419" s="10"/>
      <c r="J1419" s="11"/>
      <c r="K1419" s="12"/>
      <c r="L1419" s="12"/>
      <c r="M1419" s="10"/>
      <c r="N1419" s="10"/>
      <c r="O1419" s="10"/>
      <c r="P1419" s="10"/>
      <c r="Q1419" s="10"/>
      <c r="R1419" s="10"/>
      <c r="S1419" s="10"/>
      <c r="T1419" s="10"/>
      <c r="U1419" s="10"/>
      <c r="V1419" s="10"/>
      <c r="W1419" s="10"/>
      <c r="X1419" s="10"/>
      <c r="Y1419" s="10"/>
      <c r="Z1419" s="10"/>
      <c r="AA1419" s="10"/>
      <c r="AB1419" s="10"/>
      <c r="AC1419" s="10"/>
      <c r="AD1419" s="10"/>
      <c r="AE1419" s="10"/>
      <c r="AF1419" s="10"/>
    </row>
    <row r="1420">
      <c r="A1420" s="7"/>
      <c r="B1420" s="8">
        <v>123.0</v>
      </c>
      <c r="C1420" s="8">
        <v>1.0</v>
      </c>
      <c r="D1420" s="8" t="s">
        <v>2006</v>
      </c>
      <c r="E1420" s="7">
        <v>0.0</v>
      </c>
      <c r="F1420" s="7"/>
      <c r="G1420" s="7" t="s">
        <v>312</v>
      </c>
      <c r="H1420" s="7" t="s">
        <v>313</v>
      </c>
      <c r="I1420" s="10"/>
      <c r="J1420" s="24"/>
      <c r="K1420" s="12"/>
      <c r="L1420" s="12"/>
      <c r="M1420" s="10"/>
      <c r="N1420" s="10"/>
      <c r="O1420" s="10"/>
      <c r="P1420" s="10"/>
      <c r="Q1420" s="10"/>
      <c r="R1420" s="10"/>
      <c r="S1420" s="10"/>
      <c r="T1420" s="10"/>
      <c r="U1420" s="10"/>
      <c r="V1420" s="10"/>
      <c r="W1420" s="10"/>
      <c r="X1420" s="10"/>
      <c r="Y1420" s="10"/>
      <c r="Z1420" s="10"/>
      <c r="AA1420" s="10"/>
      <c r="AB1420" s="10"/>
      <c r="AC1420" s="10"/>
      <c r="AD1420" s="10"/>
      <c r="AE1420" s="10"/>
      <c r="AF1420" s="10"/>
    </row>
    <row r="1421">
      <c r="A1421" s="7"/>
      <c r="B1421" s="8">
        <v>123.0</v>
      </c>
      <c r="C1421" s="8">
        <v>2.0</v>
      </c>
      <c r="D1421" s="8" t="s">
        <v>2007</v>
      </c>
      <c r="E1421" s="7">
        <v>0.0</v>
      </c>
      <c r="F1421" s="7"/>
      <c r="G1421" s="7" t="s">
        <v>312</v>
      </c>
      <c r="H1421" s="7" t="s">
        <v>313</v>
      </c>
      <c r="I1421" s="10"/>
      <c r="J1421" s="24"/>
      <c r="K1421" s="12"/>
      <c r="L1421" s="12"/>
      <c r="M1421" s="10"/>
      <c r="N1421" s="10"/>
      <c r="O1421" s="10"/>
      <c r="P1421" s="10"/>
      <c r="Q1421" s="10"/>
      <c r="R1421" s="10"/>
      <c r="S1421" s="10"/>
      <c r="T1421" s="10"/>
      <c r="U1421" s="10"/>
      <c r="V1421" s="10"/>
      <c r="W1421" s="10"/>
      <c r="X1421" s="10"/>
      <c r="Y1421" s="10"/>
      <c r="Z1421" s="10"/>
      <c r="AA1421" s="10"/>
      <c r="AB1421" s="10"/>
      <c r="AC1421" s="10"/>
      <c r="AD1421" s="10"/>
      <c r="AE1421" s="10"/>
      <c r="AF1421" s="10"/>
    </row>
    <row r="1422">
      <c r="A1422" s="7"/>
      <c r="B1422" s="8">
        <v>123.0</v>
      </c>
      <c r="C1422" s="8">
        <v>3.0</v>
      </c>
      <c r="D1422" s="8" t="s">
        <v>2008</v>
      </c>
      <c r="E1422" s="7">
        <v>0.0</v>
      </c>
      <c r="F1422" s="7"/>
      <c r="G1422" s="7" t="s">
        <v>312</v>
      </c>
      <c r="H1422" s="7" t="s">
        <v>313</v>
      </c>
      <c r="I1422" s="10"/>
      <c r="J1422" s="11"/>
      <c r="K1422" s="12"/>
      <c r="L1422" s="12"/>
      <c r="M1422" s="10"/>
      <c r="N1422" s="10"/>
      <c r="O1422" s="10"/>
      <c r="P1422" s="10"/>
      <c r="Q1422" s="10"/>
      <c r="R1422" s="10"/>
      <c r="S1422" s="10"/>
      <c r="T1422" s="10"/>
      <c r="U1422" s="10"/>
      <c r="V1422" s="10"/>
      <c r="W1422" s="10"/>
      <c r="X1422" s="10"/>
      <c r="Y1422" s="10"/>
      <c r="Z1422" s="10"/>
      <c r="AA1422" s="10"/>
      <c r="AB1422" s="10"/>
      <c r="AC1422" s="10"/>
      <c r="AD1422" s="10"/>
      <c r="AE1422" s="10"/>
      <c r="AF1422" s="10"/>
    </row>
    <row r="1423">
      <c r="A1423" s="7"/>
      <c r="B1423" s="8">
        <v>123.0</v>
      </c>
      <c r="C1423" s="8">
        <v>4.0</v>
      </c>
      <c r="D1423" s="8" t="s">
        <v>2009</v>
      </c>
      <c r="E1423" s="7">
        <v>2.0</v>
      </c>
      <c r="F1423" s="7" t="s">
        <v>320</v>
      </c>
      <c r="G1423" s="7" t="s">
        <v>312</v>
      </c>
      <c r="H1423" s="7" t="s">
        <v>313</v>
      </c>
      <c r="I1423" s="7" t="s">
        <v>366</v>
      </c>
      <c r="J1423" s="9" t="s">
        <v>2010</v>
      </c>
      <c r="K1423" s="12"/>
      <c r="L1423" s="12"/>
      <c r="M1423" s="10"/>
      <c r="N1423" s="10"/>
      <c r="O1423" s="10"/>
      <c r="P1423" s="10"/>
      <c r="Q1423" s="10"/>
      <c r="R1423" s="10"/>
      <c r="S1423" s="10"/>
      <c r="T1423" s="10"/>
      <c r="U1423" s="10"/>
      <c r="V1423" s="10"/>
      <c r="W1423" s="10"/>
      <c r="X1423" s="10"/>
      <c r="Y1423" s="10"/>
      <c r="Z1423" s="10"/>
      <c r="AA1423" s="10"/>
      <c r="AB1423" s="10"/>
      <c r="AC1423" s="10"/>
      <c r="AD1423" s="10"/>
      <c r="AE1423" s="10"/>
      <c r="AF1423" s="10"/>
    </row>
    <row r="1424">
      <c r="A1424" s="7"/>
      <c r="B1424" s="8">
        <v>123.0</v>
      </c>
      <c r="C1424" s="8">
        <v>5.0</v>
      </c>
      <c r="D1424" s="8" t="s">
        <v>2011</v>
      </c>
      <c r="E1424" s="7">
        <v>2.0</v>
      </c>
      <c r="F1424" s="7" t="s">
        <v>320</v>
      </c>
      <c r="G1424" s="7" t="s">
        <v>312</v>
      </c>
      <c r="H1424" s="7" t="s">
        <v>313</v>
      </c>
      <c r="I1424" s="7" t="s">
        <v>366</v>
      </c>
      <c r="J1424" s="9" t="s">
        <v>2012</v>
      </c>
      <c r="K1424" s="12"/>
      <c r="L1424" s="12"/>
      <c r="M1424" s="10"/>
      <c r="N1424" s="10"/>
      <c r="O1424" s="10"/>
      <c r="P1424" s="10"/>
      <c r="Q1424" s="10"/>
      <c r="R1424" s="10"/>
      <c r="S1424" s="10"/>
      <c r="T1424" s="10"/>
      <c r="U1424" s="10"/>
      <c r="V1424" s="10"/>
      <c r="W1424" s="10"/>
      <c r="X1424" s="10"/>
      <c r="Y1424" s="10"/>
      <c r="Z1424" s="10"/>
      <c r="AA1424" s="10"/>
      <c r="AB1424" s="10"/>
      <c r="AC1424" s="10"/>
      <c r="AD1424" s="10"/>
      <c r="AE1424" s="10"/>
      <c r="AF1424" s="10"/>
    </row>
    <row r="1425">
      <c r="A1425" s="7"/>
      <c r="B1425" s="8">
        <v>123.0</v>
      </c>
      <c r="C1425" s="8">
        <v>6.0</v>
      </c>
      <c r="D1425" s="8" t="s">
        <v>2013</v>
      </c>
      <c r="E1425" s="7">
        <v>2.0</v>
      </c>
      <c r="F1425" s="7" t="s">
        <v>320</v>
      </c>
      <c r="G1425" s="7" t="s">
        <v>312</v>
      </c>
      <c r="H1425" s="7" t="s">
        <v>313</v>
      </c>
      <c r="I1425" s="7" t="s">
        <v>366</v>
      </c>
      <c r="J1425" s="9" t="s">
        <v>2012</v>
      </c>
      <c r="K1425" s="12"/>
      <c r="L1425" s="12"/>
      <c r="M1425" s="10"/>
      <c r="N1425" s="10"/>
      <c r="O1425" s="10"/>
      <c r="P1425" s="10"/>
      <c r="Q1425" s="10"/>
      <c r="R1425" s="10"/>
      <c r="S1425" s="10"/>
      <c r="T1425" s="10"/>
      <c r="U1425" s="10"/>
      <c r="V1425" s="10"/>
      <c r="W1425" s="10"/>
      <c r="X1425" s="10"/>
      <c r="Y1425" s="10"/>
      <c r="Z1425" s="10"/>
      <c r="AA1425" s="10"/>
      <c r="AB1425" s="10"/>
      <c r="AC1425" s="10"/>
      <c r="AD1425" s="10"/>
      <c r="AE1425" s="10"/>
      <c r="AF1425" s="10"/>
    </row>
    <row r="1426">
      <c r="A1426" s="7"/>
      <c r="B1426" s="8">
        <v>123.0</v>
      </c>
      <c r="C1426" s="8">
        <v>7.0</v>
      </c>
      <c r="D1426" s="8" t="s">
        <v>2014</v>
      </c>
      <c r="E1426" s="7">
        <v>0.0</v>
      </c>
      <c r="F1426" s="7"/>
      <c r="G1426" s="7" t="s">
        <v>312</v>
      </c>
      <c r="H1426" s="7" t="s">
        <v>313</v>
      </c>
      <c r="I1426" s="10"/>
      <c r="J1426" s="11"/>
      <c r="K1426" s="12"/>
      <c r="L1426" s="12"/>
      <c r="M1426" s="10"/>
      <c r="N1426" s="10"/>
      <c r="O1426" s="10"/>
      <c r="P1426" s="10"/>
      <c r="Q1426" s="10"/>
      <c r="R1426" s="10"/>
      <c r="S1426" s="10"/>
      <c r="T1426" s="10"/>
      <c r="U1426" s="10"/>
      <c r="V1426" s="10"/>
      <c r="W1426" s="10"/>
      <c r="X1426" s="10"/>
      <c r="Y1426" s="10"/>
      <c r="Z1426" s="10"/>
      <c r="AA1426" s="10"/>
      <c r="AB1426" s="10"/>
      <c r="AC1426" s="10"/>
      <c r="AD1426" s="10"/>
      <c r="AE1426" s="10"/>
      <c r="AF1426" s="10"/>
    </row>
    <row r="1427">
      <c r="A1427" s="7"/>
      <c r="B1427" s="8">
        <v>123.0</v>
      </c>
      <c r="C1427" s="8">
        <v>8.0</v>
      </c>
      <c r="D1427" s="8" t="s">
        <v>2015</v>
      </c>
      <c r="E1427" s="7">
        <v>0.0</v>
      </c>
      <c r="F1427" s="7"/>
      <c r="G1427" s="7" t="s">
        <v>312</v>
      </c>
      <c r="H1427" s="7" t="s">
        <v>313</v>
      </c>
      <c r="I1427" s="10"/>
      <c r="J1427" s="11"/>
      <c r="K1427" s="12"/>
      <c r="L1427" s="12"/>
      <c r="M1427" s="10"/>
      <c r="N1427" s="10"/>
      <c r="O1427" s="10"/>
      <c r="P1427" s="10"/>
      <c r="Q1427" s="10"/>
      <c r="R1427" s="10"/>
      <c r="S1427" s="10"/>
      <c r="T1427" s="10"/>
      <c r="U1427" s="10"/>
      <c r="V1427" s="10"/>
      <c r="W1427" s="10"/>
      <c r="X1427" s="10"/>
      <c r="Y1427" s="10"/>
      <c r="Z1427" s="10"/>
      <c r="AA1427" s="10"/>
      <c r="AB1427" s="10"/>
      <c r="AC1427" s="10"/>
      <c r="AD1427" s="10"/>
      <c r="AE1427" s="10"/>
      <c r="AF1427" s="10"/>
    </row>
    <row r="1428">
      <c r="A1428" s="7"/>
      <c r="B1428" s="8">
        <v>123.0</v>
      </c>
      <c r="C1428" s="8">
        <v>9.0</v>
      </c>
      <c r="D1428" s="8" t="s">
        <v>2016</v>
      </c>
      <c r="E1428" s="7">
        <v>0.0</v>
      </c>
      <c r="F1428" s="7"/>
      <c r="G1428" s="7" t="s">
        <v>312</v>
      </c>
      <c r="H1428" s="7" t="s">
        <v>313</v>
      </c>
      <c r="I1428" s="10"/>
      <c r="J1428" s="11"/>
      <c r="K1428" s="12"/>
      <c r="L1428" s="12"/>
      <c r="M1428" s="10"/>
      <c r="N1428" s="10"/>
      <c r="O1428" s="10"/>
      <c r="P1428" s="10"/>
      <c r="Q1428" s="10"/>
      <c r="R1428" s="10"/>
      <c r="S1428" s="10"/>
      <c r="T1428" s="10"/>
      <c r="U1428" s="10"/>
      <c r="V1428" s="10"/>
      <c r="W1428" s="10"/>
      <c r="X1428" s="10"/>
      <c r="Y1428" s="10"/>
      <c r="Z1428" s="10"/>
      <c r="AA1428" s="10"/>
      <c r="AB1428" s="10"/>
      <c r="AC1428" s="10"/>
      <c r="AD1428" s="10"/>
      <c r="AE1428" s="10"/>
      <c r="AF1428" s="10"/>
    </row>
    <row r="1429">
      <c r="A1429" s="7"/>
      <c r="B1429" s="8">
        <v>123.0</v>
      </c>
      <c r="C1429" s="8">
        <v>10.0</v>
      </c>
      <c r="D1429" s="8" t="s">
        <v>2017</v>
      </c>
      <c r="E1429" s="7">
        <v>2.0</v>
      </c>
      <c r="F1429" s="7" t="s">
        <v>320</v>
      </c>
      <c r="G1429" s="7" t="s">
        <v>312</v>
      </c>
      <c r="H1429" s="7" t="s">
        <v>313</v>
      </c>
      <c r="I1429" s="7" t="s">
        <v>366</v>
      </c>
      <c r="J1429" s="9" t="s">
        <v>2018</v>
      </c>
      <c r="K1429" s="12"/>
      <c r="L1429" s="12"/>
      <c r="M1429" s="10"/>
      <c r="N1429" s="10"/>
      <c r="O1429" s="10"/>
      <c r="P1429" s="10"/>
      <c r="Q1429" s="10"/>
      <c r="R1429" s="10"/>
      <c r="S1429" s="10"/>
      <c r="T1429" s="10"/>
      <c r="U1429" s="10"/>
      <c r="V1429" s="10"/>
      <c r="W1429" s="10"/>
      <c r="X1429" s="10"/>
      <c r="Y1429" s="10"/>
      <c r="Z1429" s="10"/>
      <c r="AA1429" s="10"/>
      <c r="AB1429" s="10"/>
      <c r="AC1429" s="10"/>
      <c r="AD1429" s="10"/>
      <c r="AE1429" s="10"/>
      <c r="AF1429" s="10"/>
    </row>
    <row r="1430">
      <c r="A1430" s="7"/>
      <c r="B1430" s="8">
        <v>123.0</v>
      </c>
      <c r="C1430" s="8">
        <v>11.0</v>
      </c>
      <c r="D1430" s="8" t="s">
        <v>2019</v>
      </c>
      <c r="E1430" s="7">
        <v>2.0</v>
      </c>
      <c r="F1430" s="7"/>
      <c r="G1430" s="7" t="s">
        <v>312</v>
      </c>
      <c r="H1430" s="7" t="s">
        <v>313</v>
      </c>
      <c r="I1430" s="10"/>
      <c r="J1430" s="9" t="s">
        <v>2020</v>
      </c>
      <c r="K1430" s="8" t="s">
        <v>1664</v>
      </c>
      <c r="L1430" s="12"/>
      <c r="M1430" s="10"/>
      <c r="N1430" s="10"/>
      <c r="O1430" s="10"/>
      <c r="P1430" s="10"/>
      <c r="Q1430" s="10"/>
      <c r="R1430" s="10"/>
      <c r="S1430" s="10"/>
      <c r="T1430" s="10"/>
      <c r="U1430" s="10"/>
      <c r="V1430" s="10"/>
      <c r="W1430" s="10"/>
      <c r="X1430" s="10"/>
      <c r="Y1430" s="10"/>
      <c r="Z1430" s="10"/>
      <c r="AA1430" s="10"/>
      <c r="AB1430" s="10"/>
      <c r="AC1430" s="10"/>
      <c r="AD1430" s="10"/>
      <c r="AE1430" s="10"/>
      <c r="AF1430" s="10"/>
    </row>
    <row r="1431">
      <c r="A1431" s="7"/>
      <c r="B1431" s="8">
        <v>123.0</v>
      </c>
      <c r="C1431" s="8">
        <v>12.0</v>
      </c>
      <c r="D1431" s="8" t="s">
        <v>2021</v>
      </c>
      <c r="E1431" s="7">
        <v>2.0</v>
      </c>
      <c r="F1431" s="7"/>
      <c r="G1431" s="7" t="s">
        <v>312</v>
      </c>
      <c r="H1431" s="7" t="s">
        <v>313</v>
      </c>
      <c r="I1431" s="10"/>
      <c r="J1431" s="9" t="s">
        <v>2022</v>
      </c>
      <c r="K1431" s="8" t="s">
        <v>1664</v>
      </c>
      <c r="L1431" s="12"/>
      <c r="M1431" s="10"/>
      <c r="N1431" s="10"/>
      <c r="O1431" s="10"/>
      <c r="P1431" s="10"/>
      <c r="Q1431" s="10"/>
      <c r="R1431" s="10"/>
      <c r="S1431" s="10"/>
      <c r="T1431" s="10"/>
      <c r="U1431" s="10"/>
      <c r="V1431" s="10"/>
      <c r="W1431" s="10"/>
      <c r="X1431" s="10"/>
      <c r="Y1431" s="10"/>
      <c r="Z1431" s="10"/>
      <c r="AA1431" s="10"/>
      <c r="AB1431" s="10"/>
      <c r="AC1431" s="10"/>
      <c r="AD1431" s="10"/>
      <c r="AE1431" s="10"/>
      <c r="AF1431" s="10"/>
    </row>
    <row r="1432">
      <c r="A1432" s="7"/>
      <c r="B1432" s="8">
        <v>123.0</v>
      </c>
      <c r="C1432" s="8">
        <v>13.0</v>
      </c>
      <c r="D1432" s="8" t="s">
        <v>2023</v>
      </c>
      <c r="E1432" s="7">
        <v>0.0</v>
      </c>
      <c r="F1432" s="7"/>
      <c r="G1432" s="7" t="s">
        <v>312</v>
      </c>
      <c r="H1432" s="7" t="s">
        <v>313</v>
      </c>
      <c r="I1432" s="10"/>
      <c r="J1432" s="11"/>
      <c r="K1432" s="8" t="s">
        <v>2024</v>
      </c>
      <c r="L1432" s="12"/>
      <c r="M1432" s="10"/>
      <c r="N1432" s="10"/>
      <c r="O1432" s="10"/>
      <c r="P1432" s="10"/>
      <c r="Q1432" s="10"/>
      <c r="R1432" s="10"/>
      <c r="S1432" s="10"/>
      <c r="T1432" s="10"/>
      <c r="U1432" s="10"/>
      <c r="V1432" s="10"/>
      <c r="W1432" s="10"/>
      <c r="X1432" s="10"/>
      <c r="Y1432" s="10"/>
      <c r="Z1432" s="10"/>
      <c r="AA1432" s="10"/>
      <c r="AB1432" s="10"/>
      <c r="AC1432" s="10"/>
      <c r="AD1432" s="10"/>
      <c r="AE1432" s="10"/>
      <c r="AF1432" s="10"/>
    </row>
    <row r="1433">
      <c r="A1433" s="7"/>
      <c r="B1433" s="8">
        <v>123.0</v>
      </c>
      <c r="C1433" s="8">
        <v>14.0</v>
      </c>
      <c r="D1433" s="8" t="s">
        <v>2025</v>
      </c>
      <c r="E1433" s="7">
        <v>0.0</v>
      </c>
      <c r="F1433" s="7"/>
      <c r="G1433" s="7" t="s">
        <v>312</v>
      </c>
      <c r="H1433" s="7" t="s">
        <v>313</v>
      </c>
      <c r="I1433" s="10"/>
      <c r="J1433" s="11"/>
      <c r="K1433" s="12"/>
      <c r="L1433" s="12"/>
      <c r="M1433" s="10"/>
      <c r="N1433" s="10"/>
      <c r="O1433" s="10"/>
      <c r="P1433" s="10"/>
      <c r="Q1433" s="10"/>
      <c r="R1433" s="10"/>
      <c r="S1433" s="10"/>
      <c r="T1433" s="10"/>
      <c r="U1433" s="10"/>
      <c r="V1433" s="10"/>
      <c r="W1433" s="10"/>
      <c r="X1433" s="10"/>
      <c r="Y1433" s="10"/>
      <c r="Z1433" s="10"/>
      <c r="AA1433" s="10"/>
      <c r="AB1433" s="10"/>
      <c r="AC1433" s="10"/>
      <c r="AD1433" s="10"/>
      <c r="AE1433" s="10"/>
      <c r="AF1433" s="10"/>
    </row>
    <row r="1434">
      <c r="A1434" s="7"/>
      <c r="B1434" s="8">
        <v>123.0</v>
      </c>
      <c r="C1434" s="8">
        <v>15.0</v>
      </c>
      <c r="D1434" s="8" t="s">
        <v>2026</v>
      </c>
      <c r="E1434" s="7">
        <v>2.0</v>
      </c>
      <c r="F1434" s="7" t="s">
        <v>320</v>
      </c>
      <c r="G1434" s="7" t="s">
        <v>312</v>
      </c>
      <c r="H1434" s="7" t="s">
        <v>313</v>
      </c>
      <c r="I1434" s="7" t="s">
        <v>366</v>
      </c>
      <c r="J1434" s="9" t="s">
        <v>2018</v>
      </c>
      <c r="K1434" s="12"/>
      <c r="L1434" s="12"/>
      <c r="M1434" s="10"/>
      <c r="N1434" s="10"/>
      <c r="O1434" s="10"/>
      <c r="P1434" s="10"/>
      <c r="Q1434" s="10"/>
      <c r="R1434" s="10"/>
      <c r="S1434" s="10"/>
      <c r="T1434" s="10"/>
      <c r="U1434" s="10"/>
      <c r="V1434" s="10"/>
      <c r="W1434" s="10"/>
      <c r="X1434" s="10"/>
      <c r="Y1434" s="10"/>
      <c r="Z1434" s="10"/>
      <c r="AA1434" s="10"/>
      <c r="AB1434" s="10"/>
      <c r="AC1434" s="10"/>
      <c r="AD1434" s="10"/>
      <c r="AE1434" s="10"/>
      <c r="AF1434" s="10"/>
    </row>
    <row r="1435">
      <c r="A1435" s="7"/>
      <c r="B1435" s="8">
        <v>123.0</v>
      </c>
      <c r="C1435" s="8">
        <v>16.0</v>
      </c>
      <c r="D1435" s="8" t="s">
        <v>2027</v>
      </c>
      <c r="E1435" s="7">
        <v>2.0</v>
      </c>
      <c r="F1435" s="7"/>
      <c r="G1435" s="7" t="s">
        <v>312</v>
      </c>
      <c r="H1435" s="7" t="s">
        <v>313</v>
      </c>
      <c r="I1435" s="10"/>
      <c r="J1435" s="9"/>
      <c r="K1435" s="8" t="s">
        <v>1664</v>
      </c>
      <c r="L1435" s="12"/>
      <c r="M1435" s="10"/>
      <c r="N1435" s="10"/>
      <c r="O1435" s="10"/>
      <c r="P1435" s="10"/>
      <c r="Q1435" s="10"/>
      <c r="R1435" s="10"/>
      <c r="S1435" s="10"/>
      <c r="T1435" s="10"/>
      <c r="U1435" s="10"/>
      <c r="V1435" s="10"/>
      <c r="W1435" s="10"/>
      <c r="X1435" s="10"/>
      <c r="Y1435" s="10"/>
      <c r="Z1435" s="10"/>
      <c r="AA1435" s="10"/>
      <c r="AB1435" s="10"/>
      <c r="AC1435" s="10"/>
      <c r="AD1435" s="10"/>
      <c r="AE1435" s="10"/>
      <c r="AF1435" s="10"/>
    </row>
    <row r="1436">
      <c r="A1436" s="7"/>
      <c r="B1436" s="8">
        <v>123.0</v>
      </c>
      <c r="C1436" s="8">
        <v>17.0</v>
      </c>
      <c r="D1436" s="8" t="s">
        <v>2028</v>
      </c>
      <c r="E1436" s="7">
        <v>2.0</v>
      </c>
      <c r="F1436" s="7"/>
      <c r="G1436" s="7" t="s">
        <v>312</v>
      </c>
      <c r="H1436" s="7" t="s">
        <v>313</v>
      </c>
      <c r="I1436" s="10"/>
      <c r="J1436" s="9"/>
      <c r="K1436" s="8" t="s">
        <v>1664</v>
      </c>
      <c r="L1436" s="12"/>
      <c r="M1436" s="10"/>
      <c r="N1436" s="10"/>
      <c r="O1436" s="10"/>
      <c r="P1436" s="10"/>
      <c r="Q1436" s="10"/>
      <c r="R1436" s="10"/>
      <c r="S1436" s="10"/>
      <c r="T1436" s="10"/>
      <c r="U1436" s="10"/>
      <c r="V1436" s="10"/>
      <c r="W1436" s="10"/>
      <c r="X1436" s="10"/>
      <c r="Y1436" s="10"/>
      <c r="Z1436" s="10"/>
      <c r="AA1436" s="10"/>
      <c r="AB1436" s="10"/>
      <c r="AC1436" s="10"/>
      <c r="AD1436" s="10"/>
      <c r="AE1436" s="10"/>
      <c r="AF1436" s="10"/>
    </row>
    <row r="1437">
      <c r="A1437" s="7"/>
      <c r="B1437" s="8">
        <v>123.0</v>
      </c>
      <c r="C1437" s="8">
        <v>18.0</v>
      </c>
      <c r="D1437" s="8" t="s">
        <v>2029</v>
      </c>
      <c r="E1437" s="7">
        <v>0.0</v>
      </c>
      <c r="F1437" s="7"/>
      <c r="G1437" s="7" t="s">
        <v>312</v>
      </c>
      <c r="H1437" s="7" t="s">
        <v>313</v>
      </c>
      <c r="I1437" s="10"/>
      <c r="J1437" s="11"/>
      <c r="K1437" s="8" t="s">
        <v>2030</v>
      </c>
      <c r="L1437" s="12"/>
      <c r="M1437" s="10"/>
      <c r="N1437" s="10"/>
      <c r="O1437" s="10"/>
      <c r="P1437" s="10"/>
      <c r="Q1437" s="10"/>
      <c r="R1437" s="10"/>
      <c r="S1437" s="10"/>
      <c r="T1437" s="10"/>
      <c r="U1437" s="10"/>
      <c r="V1437" s="10"/>
      <c r="W1437" s="10"/>
      <c r="X1437" s="10"/>
      <c r="Y1437" s="10"/>
      <c r="Z1437" s="10"/>
      <c r="AA1437" s="10"/>
      <c r="AB1437" s="10"/>
      <c r="AC1437" s="10"/>
      <c r="AD1437" s="10"/>
      <c r="AE1437" s="10"/>
      <c r="AF1437" s="10"/>
    </row>
    <row r="1438">
      <c r="A1438" s="7"/>
      <c r="B1438" s="8">
        <v>123.0</v>
      </c>
      <c r="C1438" s="8">
        <v>19.0</v>
      </c>
      <c r="D1438" s="8" t="s">
        <v>2031</v>
      </c>
      <c r="E1438" s="7">
        <v>2.0</v>
      </c>
      <c r="F1438" s="7" t="s">
        <v>320</v>
      </c>
      <c r="G1438" s="7" t="s">
        <v>312</v>
      </c>
      <c r="H1438" s="7" t="s">
        <v>313</v>
      </c>
      <c r="I1438" s="7" t="s">
        <v>366</v>
      </c>
      <c r="J1438" s="9" t="s">
        <v>2018</v>
      </c>
      <c r="K1438" s="12"/>
      <c r="L1438" s="12"/>
      <c r="M1438" s="10"/>
      <c r="N1438" s="10"/>
      <c r="O1438" s="10"/>
      <c r="P1438" s="10"/>
      <c r="Q1438" s="10"/>
      <c r="R1438" s="10"/>
      <c r="S1438" s="10"/>
      <c r="T1438" s="10"/>
      <c r="U1438" s="10"/>
      <c r="V1438" s="10"/>
      <c r="W1438" s="10"/>
      <c r="X1438" s="10"/>
      <c r="Y1438" s="10"/>
      <c r="Z1438" s="10"/>
      <c r="AA1438" s="10"/>
      <c r="AB1438" s="10"/>
      <c r="AC1438" s="10"/>
      <c r="AD1438" s="10"/>
      <c r="AE1438" s="10"/>
      <c r="AF1438" s="10"/>
    </row>
    <row r="1439">
      <c r="A1439" s="7"/>
      <c r="B1439" s="8">
        <v>123.0</v>
      </c>
      <c r="C1439" s="8">
        <v>20.0</v>
      </c>
      <c r="D1439" s="8" t="s">
        <v>2032</v>
      </c>
      <c r="E1439" s="7">
        <v>2.0</v>
      </c>
      <c r="F1439" s="7"/>
      <c r="G1439" s="7" t="s">
        <v>312</v>
      </c>
      <c r="H1439" s="7" t="s">
        <v>313</v>
      </c>
      <c r="I1439" s="10"/>
      <c r="J1439" s="9"/>
      <c r="K1439" s="8" t="s">
        <v>1664</v>
      </c>
      <c r="L1439" s="12"/>
      <c r="M1439" s="10"/>
      <c r="N1439" s="10"/>
      <c r="O1439" s="10"/>
      <c r="P1439" s="10"/>
      <c r="Q1439" s="10"/>
      <c r="R1439" s="10"/>
      <c r="S1439" s="10"/>
      <c r="T1439" s="10"/>
      <c r="U1439" s="10"/>
      <c r="V1439" s="10"/>
      <c r="W1439" s="10"/>
      <c r="X1439" s="10"/>
      <c r="Y1439" s="10"/>
      <c r="Z1439" s="10"/>
      <c r="AA1439" s="10"/>
      <c r="AB1439" s="10"/>
      <c r="AC1439" s="10"/>
      <c r="AD1439" s="10"/>
      <c r="AE1439" s="10"/>
      <c r="AF1439" s="10"/>
    </row>
    <row r="1440">
      <c r="A1440" s="7"/>
      <c r="B1440" s="8">
        <v>123.0</v>
      </c>
      <c r="C1440" s="8">
        <v>21.0</v>
      </c>
      <c r="D1440" s="8" t="s">
        <v>2033</v>
      </c>
      <c r="E1440" s="7">
        <v>2.0</v>
      </c>
      <c r="F1440" s="7"/>
      <c r="G1440" s="7" t="s">
        <v>312</v>
      </c>
      <c r="H1440" s="7" t="s">
        <v>313</v>
      </c>
      <c r="I1440" s="10"/>
      <c r="J1440" s="9"/>
      <c r="K1440" s="8" t="s">
        <v>1664</v>
      </c>
      <c r="L1440" s="12"/>
      <c r="M1440" s="10"/>
      <c r="N1440" s="10"/>
      <c r="O1440" s="10"/>
      <c r="P1440" s="10"/>
      <c r="Q1440" s="10"/>
      <c r="R1440" s="10"/>
      <c r="S1440" s="10"/>
      <c r="T1440" s="10"/>
      <c r="U1440" s="10"/>
      <c r="V1440" s="10"/>
      <c r="W1440" s="10"/>
      <c r="X1440" s="10"/>
      <c r="Y1440" s="10"/>
      <c r="Z1440" s="10"/>
      <c r="AA1440" s="10"/>
      <c r="AB1440" s="10"/>
      <c r="AC1440" s="10"/>
      <c r="AD1440" s="10"/>
      <c r="AE1440" s="10"/>
      <c r="AF1440" s="10"/>
    </row>
    <row r="1441">
      <c r="A1441" s="7"/>
      <c r="B1441" s="8">
        <v>123.0</v>
      </c>
      <c r="C1441" s="8">
        <v>22.0</v>
      </c>
      <c r="D1441" s="8" t="s">
        <v>2034</v>
      </c>
      <c r="E1441" s="7">
        <v>0.0</v>
      </c>
      <c r="F1441" s="7"/>
      <c r="G1441" s="7" t="s">
        <v>312</v>
      </c>
      <c r="H1441" s="7" t="s">
        <v>313</v>
      </c>
      <c r="I1441" s="10"/>
      <c r="J1441" s="11"/>
      <c r="K1441" s="8" t="s">
        <v>2030</v>
      </c>
      <c r="L1441" s="12"/>
      <c r="M1441" s="10"/>
      <c r="N1441" s="10"/>
      <c r="O1441" s="10"/>
      <c r="P1441" s="10"/>
      <c r="Q1441" s="10"/>
      <c r="R1441" s="10"/>
      <c r="S1441" s="10"/>
      <c r="T1441" s="10"/>
      <c r="U1441" s="10"/>
      <c r="V1441" s="10"/>
      <c r="W1441" s="10"/>
      <c r="X1441" s="10"/>
      <c r="Y1441" s="10"/>
      <c r="Z1441" s="10"/>
      <c r="AA1441" s="10"/>
      <c r="AB1441" s="10"/>
      <c r="AC1441" s="10"/>
      <c r="AD1441" s="10"/>
      <c r="AE1441" s="10"/>
      <c r="AF1441" s="10"/>
    </row>
    <row r="1442">
      <c r="A1442" s="7"/>
      <c r="B1442" s="8">
        <v>123.0</v>
      </c>
      <c r="C1442" s="8">
        <v>23.0</v>
      </c>
      <c r="D1442" s="8" t="s">
        <v>2035</v>
      </c>
      <c r="E1442" s="7">
        <v>0.0</v>
      </c>
      <c r="F1442" s="7"/>
      <c r="G1442" s="7" t="s">
        <v>312</v>
      </c>
      <c r="H1442" s="7" t="s">
        <v>313</v>
      </c>
      <c r="I1442" s="10"/>
      <c r="J1442" s="11"/>
      <c r="K1442" s="12"/>
      <c r="L1442" s="12"/>
      <c r="M1442" s="10"/>
      <c r="N1442" s="10"/>
      <c r="O1442" s="10"/>
      <c r="P1442" s="10"/>
      <c r="Q1442" s="10"/>
      <c r="R1442" s="10"/>
      <c r="S1442" s="10"/>
      <c r="T1442" s="10"/>
      <c r="U1442" s="10"/>
      <c r="V1442" s="10"/>
      <c r="W1442" s="10"/>
      <c r="X1442" s="10"/>
      <c r="Y1442" s="10"/>
      <c r="Z1442" s="10"/>
      <c r="AA1442" s="10"/>
      <c r="AB1442" s="10"/>
      <c r="AC1442" s="10"/>
      <c r="AD1442" s="10"/>
      <c r="AE1442" s="10"/>
      <c r="AF1442" s="10"/>
    </row>
    <row r="1443">
      <c r="A1443" s="7"/>
      <c r="B1443" s="8">
        <v>123.0</v>
      </c>
      <c r="C1443" s="8">
        <v>24.0</v>
      </c>
      <c r="D1443" s="8" t="s">
        <v>2036</v>
      </c>
      <c r="E1443" s="7">
        <v>0.0</v>
      </c>
      <c r="F1443" s="7"/>
      <c r="G1443" s="7" t="s">
        <v>312</v>
      </c>
      <c r="H1443" s="7" t="s">
        <v>313</v>
      </c>
      <c r="I1443" s="10"/>
      <c r="J1443" s="11"/>
      <c r="K1443" s="12"/>
      <c r="L1443" s="12"/>
      <c r="M1443" s="10"/>
      <c r="N1443" s="10"/>
      <c r="O1443" s="10"/>
      <c r="P1443" s="10"/>
      <c r="Q1443" s="10"/>
      <c r="R1443" s="10"/>
      <c r="S1443" s="10"/>
      <c r="T1443" s="10"/>
      <c r="U1443" s="10"/>
      <c r="V1443" s="10"/>
      <c r="W1443" s="10"/>
      <c r="X1443" s="10"/>
      <c r="Y1443" s="10"/>
      <c r="Z1443" s="10"/>
      <c r="AA1443" s="10"/>
      <c r="AB1443" s="10"/>
      <c r="AC1443" s="10"/>
      <c r="AD1443" s="10"/>
      <c r="AE1443" s="10"/>
      <c r="AF1443" s="10"/>
    </row>
    <row r="1444">
      <c r="A1444" s="7"/>
      <c r="B1444" s="8">
        <v>123.0</v>
      </c>
      <c r="C1444" s="8">
        <v>25.0</v>
      </c>
      <c r="D1444" s="8" t="s">
        <v>2037</v>
      </c>
      <c r="E1444" s="7">
        <v>0.0</v>
      </c>
      <c r="F1444" s="7"/>
      <c r="G1444" s="7" t="s">
        <v>312</v>
      </c>
      <c r="H1444" s="7" t="s">
        <v>313</v>
      </c>
      <c r="I1444" s="10"/>
      <c r="J1444" s="11"/>
      <c r="K1444" s="12"/>
      <c r="L1444" s="12"/>
      <c r="M1444" s="10"/>
      <c r="N1444" s="10"/>
      <c r="O1444" s="10"/>
      <c r="P1444" s="10"/>
      <c r="Q1444" s="10"/>
      <c r="R1444" s="10"/>
      <c r="S1444" s="10"/>
      <c r="T1444" s="10"/>
      <c r="U1444" s="10"/>
      <c r="V1444" s="10"/>
      <c r="W1444" s="10"/>
      <c r="X1444" s="10"/>
      <c r="Y1444" s="10"/>
      <c r="Z1444" s="10"/>
      <c r="AA1444" s="10"/>
      <c r="AB1444" s="10"/>
      <c r="AC1444" s="10"/>
      <c r="AD1444" s="10"/>
      <c r="AE1444" s="10"/>
      <c r="AF1444" s="10"/>
    </row>
    <row r="1445">
      <c r="A1445" s="7"/>
      <c r="B1445" s="8">
        <v>123.0</v>
      </c>
      <c r="C1445" s="8">
        <v>26.0</v>
      </c>
      <c r="D1445" s="8" t="s">
        <v>2038</v>
      </c>
      <c r="E1445" s="7">
        <v>0.0</v>
      </c>
      <c r="F1445" s="7"/>
      <c r="G1445" s="7" t="s">
        <v>312</v>
      </c>
      <c r="H1445" s="7" t="s">
        <v>313</v>
      </c>
      <c r="I1445" s="10"/>
      <c r="J1445" s="11"/>
      <c r="K1445" s="12"/>
      <c r="L1445" s="12"/>
      <c r="M1445" s="10"/>
      <c r="N1445" s="10"/>
      <c r="O1445" s="10"/>
      <c r="P1445" s="10"/>
      <c r="Q1445" s="10"/>
      <c r="R1445" s="10"/>
      <c r="S1445" s="10"/>
      <c r="T1445" s="10"/>
      <c r="U1445" s="10"/>
      <c r="V1445" s="10"/>
      <c r="W1445" s="10"/>
      <c r="X1445" s="10"/>
      <c r="Y1445" s="10"/>
      <c r="Z1445" s="10"/>
      <c r="AA1445" s="10"/>
      <c r="AB1445" s="10"/>
      <c r="AC1445" s="10"/>
      <c r="AD1445" s="10"/>
      <c r="AE1445" s="10"/>
      <c r="AF1445" s="10"/>
    </row>
    <row r="1446">
      <c r="A1446" s="7"/>
      <c r="B1446" s="8">
        <v>123.0</v>
      </c>
      <c r="C1446" s="8">
        <v>27.0</v>
      </c>
      <c r="D1446" s="8" t="s">
        <v>2039</v>
      </c>
      <c r="E1446" s="7">
        <v>0.0</v>
      </c>
      <c r="F1446" s="7"/>
      <c r="G1446" s="7" t="s">
        <v>312</v>
      </c>
      <c r="H1446" s="7" t="s">
        <v>313</v>
      </c>
      <c r="I1446" s="10"/>
      <c r="J1446" s="11"/>
      <c r="K1446" s="12"/>
      <c r="L1446" s="12"/>
      <c r="M1446" s="10"/>
      <c r="N1446" s="10"/>
      <c r="O1446" s="10"/>
      <c r="P1446" s="10"/>
      <c r="Q1446" s="10"/>
      <c r="R1446" s="10"/>
      <c r="S1446" s="10"/>
      <c r="T1446" s="10"/>
      <c r="U1446" s="10"/>
      <c r="V1446" s="10"/>
      <c r="W1446" s="10"/>
      <c r="X1446" s="10"/>
      <c r="Y1446" s="10"/>
      <c r="Z1446" s="10"/>
      <c r="AA1446" s="10"/>
      <c r="AB1446" s="10"/>
      <c r="AC1446" s="10"/>
      <c r="AD1446" s="10"/>
      <c r="AE1446" s="10"/>
      <c r="AF1446" s="10"/>
    </row>
    <row r="1447">
      <c r="A1447" s="7"/>
      <c r="B1447" s="8">
        <v>123.0</v>
      </c>
      <c r="C1447" s="8">
        <v>28.0</v>
      </c>
      <c r="D1447" s="8" t="s">
        <v>2040</v>
      </c>
      <c r="E1447" s="7">
        <v>0.0</v>
      </c>
      <c r="F1447" s="7"/>
      <c r="G1447" s="7" t="s">
        <v>312</v>
      </c>
      <c r="H1447" s="7" t="s">
        <v>313</v>
      </c>
      <c r="I1447" s="10"/>
      <c r="J1447" s="11"/>
      <c r="K1447" s="12"/>
      <c r="L1447" s="12"/>
      <c r="M1447" s="10"/>
      <c r="N1447" s="10"/>
      <c r="O1447" s="10"/>
      <c r="P1447" s="10"/>
      <c r="Q1447" s="10"/>
      <c r="R1447" s="10"/>
      <c r="S1447" s="10"/>
      <c r="T1447" s="10"/>
      <c r="U1447" s="10"/>
      <c r="V1447" s="10"/>
      <c r="W1447" s="10"/>
      <c r="X1447" s="10"/>
      <c r="Y1447" s="10"/>
      <c r="Z1447" s="10"/>
      <c r="AA1447" s="10"/>
      <c r="AB1447" s="10"/>
      <c r="AC1447" s="10"/>
      <c r="AD1447" s="10"/>
      <c r="AE1447" s="10"/>
      <c r="AF1447" s="10"/>
    </row>
    <row r="1448">
      <c r="A1448" s="10"/>
      <c r="B1448" s="12"/>
      <c r="C1448" s="12"/>
      <c r="D1448" s="12"/>
      <c r="E1448" s="10"/>
      <c r="F1448" s="10"/>
      <c r="G1448" s="10"/>
      <c r="H1448" s="10"/>
      <c r="I1448" s="10"/>
      <c r="J1448" s="11"/>
      <c r="K1448" s="12"/>
      <c r="L1448" s="12"/>
      <c r="M1448" s="10"/>
      <c r="N1448" s="10"/>
      <c r="O1448" s="10"/>
      <c r="P1448" s="10"/>
      <c r="Q1448" s="10"/>
      <c r="R1448" s="10"/>
      <c r="S1448" s="10"/>
      <c r="T1448" s="10"/>
      <c r="U1448" s="10"/>
      <c r="V1448" s="10"/>
      <c r="W1448" s="10"/>
      <c r="X1448" s="10"/>
      <c r="Y1448" s="10"/>
      <c r="Z1448" s="10"/>
      <c r="AA1448" s="10"/>
      <c r="AB1448" s="10"/>
      <c r="AC1448" s="10"/>
      <c r="AD1448" s="10"/>
      <c r="AE1448" s="10"/>
      <c r="AF1448" s="10"/>
    </row>
    <row r="1449">
      <c r="A1449" s="7"/>
      <c r="B1449" s="8">
        <v>124.0</v>
      </c>
      <c r="C1449" s="8">
        <v>1.0</v>
      </c>
      <c r="D1449" s="8" t="s">
        <v>2041</v>
      </c>
      <c r="E1449" s="7">
        <v>0.0</v>
      </c>
      <c r="F1449" s="7"/>
      <c r="G1449" s="7" t="s">
        <v>312</v>
      </c>
      <c r="H1449" s="7" t="s">
        <v>313</v>
      </c>
      <c r="I1449" s="10"/>
      <c r="J1449" s="9" t="s">
        <v>2042</v>
      </c>
      <c r="K1449" s="12"/>
      <c r="L1449" s="12"/>
      <c r="M1449" s="10"/>
      <c r="N1449" s="10"/>
      <c r="O1449" s="10"/>
      <c r="P1449" s="10"/>
      <c r="Q1449" s="10"/>
      <c r="R1449" s="10"/>
      <c r="S1449" s="10"/>
      <c r="T1449" s="10"/>
      <c r="U1449" s="10"/>
      <c r="V1449" s="10"/>
      <c r="W1449" s="10"/>
      <c r="X1449" s="10"/>
      <c r="Y1449" s="10"/>
      <c r="Z1449" s="10"/>
      <c r="AA1449" s="10"/>
      <c r="AB1449" s="10"/>
      <c r="AC1449" s="10"/>
      <c r="AD1449" s="10"/>
      <c r="AE1449" s="10"/>
      <c r="AF1449" s="10"/>
    </row>
    <row r="1450">
      <c r="A1450" s="7"/>
      <c r="B1450" s="8">
        <v>124.0</v>
      </c>
      <c r="C1450" s="8">
        <v>2.0</v>
      </c>
      <c r="D1450" s="8" t="s">
        <v>2043</v>
      </c>
      <c r="E1450" s="7">
        <v>2.0</v>
      </c>
      <c r="F1450" s="7"/>
      <c r="G1450" s="7" t="s">
        <v>312</v>
      </c>
      <c r="H1450" s="7" t="s">
        <v>313</v>
      </c>
      <c r="I1450" s="10"/>
      <c r="J1450" s="9"/>
      <c r="K1450" s="8" t="s">
        <v>1664</v>
      </c>
      <c r="L1450" s="12"/>
      <c r="M1450" s="10"/>
      <c r="N1450" s="10"/>
      <c r="O1450" s="10"/>
      <c r="P1450" s="10"/>
      <c r="Q1450" s="10"/>
      <c r="R1450" s="10"/>
      <c r="S1450" s="10"/>
      <c r="T1450" s="10"/>
      <c r="U1450" s="10"/>
      <c r="V1450" s="10"/>
      <c r="W1450" s="10"/>
      <c r="X1450" s="10"/>
      <c r="Y1450" s="10"/>
      <c r="Z1450" s="10"/>
      <c r="AA1450" s="10"/>
      <c r="AB1450" s="10"/>
      <c r="AC1450" s="10"/>
      <c r="AD1450" s="10"/>
      <c r="AE1450" s="10"/>
      <c r="AF1450" s="10"/>
    </row>
    <row r="1451">
      <c r="A1451" s="7"/>
      <c r="B1451" s="8">
        <v>124.0</v>
      </c>
      <c r="C1451" s="8">
        <v>3.0</v>
      </c>
      <c r="D1451" s="8" t="s">
        <v>2044</v>
      </c>
      <c r="E1451" s="7">
        <v>2.0</v>
      </c>
      <c r="F1451" s="7"/>
      <c r="G1451" s="7" t="s">
        <v>312</v>
      </c>
      <c r="H1451" s="7" t="s">
        <v>313</v>
      </c>
      <c r="I1451" s="10"/>
      <c r="J1451" s="9"/>
      <c r="K1451" s="8" t="s">
        <v>1664</v>
      </c>
      <c r="L1451" s="12"/>
      <c r="M1451" s="10"/>
      <c r="N1451" s="10"/>
      <c r="O1451" s="10"/>
      <c r="P1451" s="10"/>
      <c r="Q1451" s="10"/>
      <c r="R1451" s="10"/>
      <c r="S1451" s="10"/>
      <c r="T1451" s="10"/>
      <c r="U1451" s="10"/>
      <c r="V1451" s="10"/>
      <c r="W1451" s="10"/>
      <c r="X1451" s="10"/>
      <c r="Y1451" s="10"/>
      <c r="Z1451" s="10"/>
      <c r="AA1451" s="10"/>
      <c r="AB1451" s="10"/>
      <c r="AC1451" s="10"/>
      <c r="AD1451" s="10"/>
      <c r="AE1451" s="10"/>
      <c r="AF1451" s="10"/>
    </row>
    <row r="1452">
      <c r="A1452" s="10"/>
      <c r="B1452" s="12"/>
      <c r="C1452" s="12"/>
      <c r="D1452" s="12"/>
      <c r="E1452" s="10"/>
      <c r="F1452" s="10"/>
      <c r="G1452" s="10"/>
      <c r="H1452" s="10"/>
      <c r="I1452" s="10"/>
      <c r="J1452" s="11"/>
      <c r="K1452" s="12"/>
      <c r="L1452" s="12"/>
      <c r="M1452" s="10"/>
      <c r="N1452" s="10"/>
      <c r="O1452" s="10"/>
      <c r="P1452" s="10"/>
      <c r="Q1452" s="10"/>
      <c r="R1452" s="10"/>
      <c r="S1452" s="10"/>
      <c r="T1452" s="10"/>
      <c r="U1452" s="10"/>
      <c r="V1452" s="10"/>
      <c r="W1452" s="10"/>
      <c r="X1452" s="10"/>
      <c r="Y1452" s="10"/>
      <c r="Z1452" s="10"/>
      <c r="AA1452" s="10"/>
      <c r="AB1452" s="10"/>
      <c r="AC1452" s="10"/>
      <c r="AD1452" s="10"/>
      <c r="AE1452" s="10"/>
      <c r="AF1452" s="10"/>
    </row>
    <row r="1453">
      <c r="A1453" s="7"/>
      <c r="B1453" s="8">
        <v>125.0</v>
      </c>
      <c r="C1453" s="8">
        <v>1.0</v>
      </c>
      <c r="D1453" s="8" t="s">
        <v>2045</v>
      </c>
      <c r="E1453" s="7">
        <v>2.0</v>
      </c>
      <c r="F1453" s="7" t="s">
        <v>320</v>
      </c>
      <c r="G1453" s="7" t="s">
        <v>312</v>
      </c>
      <c r="H1453" s="7" t="s">
        <v>313</v>
      </c>
      <c r="I1453" s="7" t="s">
        <v>366</v>
      </c>
      <c r="J1453" s="9" t="s">
        <v>2046</v>
      </c>
      <c r="K1453" s="12"/>
      <c r="L1453" s="20" t="s">
        <v>2047</v>
      </c>
      <c r="M1453" s="10"/>
      <c r="N1453" s="10"/>
      <c r="O1453" s="10"/>
      <c r="P1453" s="10"/>
      <c r="Q1453" s="10"/>
      <c r="R1453" s="10"/>
      <c r="S1453" s="10"/>
      <c r="T1453" s="10"/>
      <c r="U1453" s="10"/>
      <c r="V1453" s="10"/>
      <c r="W1453" s="10"/>
      <c r="X1453" s="10"/>
      <c r="Y1453" s="10"/>
      <c r="Z1453" s="10"/>
      <c r="AA1453" s="10"/>
      <c r="AB1453" s="10"/>
      <c r="AC1453" s="10"/>
      <c r="AD1453" s="10"/>
      <c r="AE1453" s="10"/>
      <c r="AF1453" s="10"/>
    </row>
    <row r="1454">
      <c r="A1454" s="7"/>
      <c r="B1454" s="8">
        <v>125.0</v>
      </c>
      <c r="C1454" s="8">
        <v>2.0</v>
      </c>
      <c r="D1454" s="8" t="s">
        <v>2048</v>
      </c>
      <c r="E1454" s="7">
        <v>2.0</v>
      </c>
      <c r="F1454" s="7"/>
      <c r="G1454" s="7" t="s">
        <v>312</v>
      </c>
      <c r="H1454" s="7" t="s">
        <v>313</v>
      </c>
      <c r="I1454" s="10"/>
      <c r="J1454" s="9" t="s">
        <v>2049</v>
      </c>
      <c r="K1454" s="8" t="s">
        <v>1664</v>
      </c>
      <c r="L1454" s="12"/>
      <c r="M1454" s="10"/>
      <c r="N1454" s="10"/>
      <c r="O1454" s="10"/>
      <c r="P1454" s="10"/>
      <c r="Q1454" s="10"/>
      <c r="R1454" s="10"/>
      <c r="S1454" s="10"/>
      <c r="T1454" s="10"/>
      <c r="U1454" s="10"/>
      <c r="V1454" s="10"/>
      <c r="W1454" s="10"/>
      <c r="X1454" s="10"/>
      <c r="Y1454" s="10"/>
      <c r="Z1454" s="10"/>
      <c r="AA1454" s="10"/>
      <c r="AB1454" s="10"/>
      <c r="AC1454" s="10"/>
      <c r="AD1454" s="10"/>
      <c r="AE1454" s="10"/>
      <c r="AF1454" s="10"/>
    </row>
    <row r="1455">
      <c r="A1455" s="7"/>
      <c r="B1455" s="8">
        <v>125.0</v>
      </c>
      <c r="C1455" s="8">
        <v>3.0</v>
      </c>
      <c r="D1455" s="8" t="s">
        <v>2050</v>
      </c>
      <c r="E1455" s="7">
        <v>2.0</v>
      </c>
      <c r="F1455" s="7" t="s">
        <v>320</v>
      </c>
      <c r="G1455" s="7" t="s">
        <v>312</v>
      </c>
      <c r="H1455" s="7" t="s">
        <v>313</v>
      </c>
      <c r="I1455" s="7" t="s">
        <v>366</v>
      </c>
      <c r="J1455" s="9" t="s">
        <v>2046</v>
      </c>
      <c r="K1455" s="12"/>
      <c r="L1455" s="20" t="s">
        <v>2047</v>
      </c>
      <c r="M1455" s="10"/>
      <c r="N1455" s="10"/>
      <c r="O1455" s="10"/>
      <c r="P1455" s="10"/>
      <c r="Q1455" s="10"/>
      <c r="R1455" s="10"/>
      <c r="S1455" s="10"/>
      <c r="T1455" s="10"/>
      <c r="U1455" s="10"/>
      <c r="V1455" s="10"/>
      <c r="W1455" s="10"/>
      <c r="X1455" s="10"/>
      <c r="Y1455" s="10"/>
      <c r="Z1455" s="10"/>
      <c r="AA1455" s="10"/>
      <c r="AB1455" s="10"/>
      <c r="AC1455" s="10"/>
      <c r="AD1455" s="10"/>
      <c r="AE1455" s="10"/>
      <c r="AF1455" s="10"/>
    </row>
    <row r="1456">
      <c r="A1456" s="7"/>
      <c r="B1456" s="8">
        <v>125.0</v>
      </c>
      <c r="C1456" s="8">
        <v>4.0</v>
      </c>
      <c r="D1456" s="8" t="s">
        <v>2051</v>
      </c>
      <c r="E1456" s="7">
        <v>2.0</v>
      </c>
      <c r="F1456" s="7"/>
      <c r="G1456" s="7" t="s">
        <v>312</v>
      </c>
      <c r="H1456" s="7" t="s">
        <v>313</v>
      </c>
      <c r="I1456" s="10"/>
      <c r="J1456" s="9" t="s">
        <v>2052</v>
      </c>
      <c r="K1456" s="8" t="s">
        <v>1664</v>
      </c>
      <c r="L1456" s="12"/>
      <c r="M1456" s="10"/>
      <c r="N1456" s="10"/>
      <c r="O1456" s="10"/>
      <c r="P1456" s="10"/>
      <c r="Q1456" s="10"/>
      <c r="R1456" s="10"/>
      <c r="S1456" s="10"/>
      <c r="T1456" s="10"/>
      <c r="U1456" s="10"/>
      <c r="V1456" s="10"/>
      <c r="W1456" s="10"/>
      <c r="X1456" s="10"/>
      <c r="Y1456" s="10"/>
      <c r="Z1456" s="10"/>
      <c r="AA1456" s="10"/>
      <c r="AB1456" s="10"/>
      <c r="AC1456" s="10"/>
      <c r="AD1456" s="10"/>
      <c r="AE1456" s="10"/>
      <c r="AF1456" s="10"/>
    </row>
    <row r="1457">
      <c r="A1457" s="7"/>
      <c r="B1457" s="8">
        <v>125.0</v>
      </c>
      <c r="C1457" s="8">
        <v>5.0</v>
      </c>
      <c r="D1457" s="8" t="s">
        <v>2053</v>
      </c>
      <c r="E1457" s="7">
        <v>0.0</v>
      </c>
      <c r="F1457" s="7"/>
      <c r="G1457" s="7" t="s">
        <v>312</v>
      </c>
      <c r="H1457" s="7" t="s">
        <v>313</v>
      </c>
      <c r="I1457" s="10"/>
      <c r="J1457" s="11"/>
      <c r="K1457" s="12"/>
      <c r="L1457" s="12"/>
      <c r="M1457" s="10"/>
      <c r="N1457" s="10"/>
      <c r="O1457" s="10"/>
      <c r="P1457" s="10"/>
      <c r="Q1457" s="10"/>
      <c r="R1457" s="10"/>
      <c r="S1457" s="10"/>
      <c r="T1457" s="10"/>
      <c r="U1457" s="10"/>
      <c r="V1457" s="10"/>
      <c r="W1457" s="10"/>
      <c r="X1457" s="10"/>
      <c r="Y1457" s="10"/>
      <c r="Z1457" s="10"/>
      <c r="AA1457" s="10"/>
      <c r="AB1457" s="10"/>
      <c r="AC1457" s="10"/>
      <c r="AD1457" s="10"/>
      <c r="AE1457" s="10"/>
      <c r="AF1457" s="10"/>
    </row>
    <row r="1458">
      <c r="A1458" s="7"/>
      <c r="B1458" s="8">
        <v>125.0</v>
      </c>
      <c r="C1458" s="8">
        <v>6.0</v>
      </c>
      <c r="D1458" s="8" t="s">
        <v>2054</v>
      </c>
      <c r="E1458" s="7">
        <v>0.0</v>
      </c>
      <c r="F1458" s="7"/>
      <c r="G1458" s="7" t="s">
        <v>312</v>
      </c>
      <c r="H1458" s="7" t="s">
        <v>313</v>
      </c>
      <c r="I1458" s="10"/>
      <c r="J1458" s="11"/>
      <c r="K1458" s="12"/>
      <c r="L1458" s="12"/>
      <c r="M1458" s="10"/>
      <c r="N1458" s="10"/>
      <c r="O1458" s="10"/>
      <c r="P1458" s="10"/>
      <c r="Q1458" s="10"/>
      <c r="R1458" s="10"/>
      <c r="S1458" s="10"/>
      <c r="T1458" s="10"/>
      <c r="U1458" s="10"/>
      <c r="V1458" s="10"/>
      <c r="W1458" s="10"/>
      <c r="X1458" s="10"/>
      <c r="Y1458" s="10"/>
      <c r="Z1458" s="10"/>
      <c r="AA1458" s="10"/>
      <c r="AB1458" s="10"/>
      <c r="AC1458" s="10"/>
      <c r="AD1458" s="10"/>
      <c r="AE1458" s="10"/>
      <c r="AF1458" s="10"/>
    </row>
    <row r="1459">
      <c r="A1459" s="7"/>
      <c r="B1459" s="8">
        <v>125.0</v>
      </c>
      <c r="C1459" s="8">
        <v>7.0</v>
      </c>
      <c r="D1459" s="8" t="s">
        <v>2055</v>
      </c>
      <c r="E1459" s="7">
        <v>0.0</v>
      </c>
      <c r="F1459" s="7"/>
      <c r="G1459" s="7" t="s">
        <v>312</v>
      </c>
      <c r="H1459" s="7" t="s">
        <v>313</v>
      </c>
      <c r="I1459" s="10"/>
      <c r="J1459" s="11"/>
      <c r="K1459" s="12"/>
      <c r="L1459" s="12"/>
      <c r="M1459" s="10"/>
      <c r="N1459" s="10"/>
      <c r="O1459" s="10"/>
      <c r="P1459" s="10"/>
      <c r="Q1459" s="10"/>
      <c r="R1459" s="10"/>
      <c r="S1459" s="10"/>
      <c r="T1459" s="10"/>
      <c r="U1459" s="10"/>
      <c r="V1459" s="10"/>
      <c r="W1459" s="10"/>
      <c r="X1459" s="10"/>
      <c r="Y1459" s="10"/>
      <c r="Z1459" s="10"/>
      <c r="AA1459" s="10"/>
      <c r="AB1459" s="10"/>
      <c r="AC1459" s="10"/>
      <c r="AD1459" s="10"/>
      <c r="AE1459" s="10"/>
      <c r="AF1459" s="10"/>
    </row>
    <row r="1460">
      <c r="A1460" s="7"/>
      <c r="B1460" s="8">
        <v>125.0</v>
      </c>
      <c r="C1460" s="8">
        <v>8.0</v>
      </c>
      <c r="D1460" s="8" t="s">
        <v>2056</v>
      </c>
      <c r="E1460" s="7">
        <v>0.0</v>
      </c>
      <c r="F1460" s="7"/>
      <c r="G1460" s="7" t="s">
        <v>312</v>
      </c>
      <c r="H1460" s="7" t="s">
        <v>313</v>
      </c>
      <c r="I1460" s="10"/>
      <c r="J1460" s="11"/>
      <c r="K1460" s="12"/>
      <c r="L1460" s="12"/>
      <c r="M1460" s="10"/>
      <c r="N1460" s="10"/>
      <c r="O1460" s="10"/>
      <c r="P1460" s="10"/>
      <c r="Q1460" s="10"/>
      <c r="R1460" s="10"/>
      <c r="S1460" s="10"/>
      <c r="T1460" s="10"/>
      <c r="U1460" s="10"/>
      <c r="V1460" s="10"/>
      <c r="W1460" s="10"/>
      <c r="X1460" s="10"/>
      <c r="Y1460" s="10"/>
      <c r="Z1460" s="10"/>
      <c r="AA1460" s="10"/>
      <c r="AB1460" s="10"/>
      <c r="AC1460" s="10"/>
      <c r="AD1460" s="10"/>
      <c r="AE1460" s="10"/>
      <c r="AF1460" s="10"/>
    </row>
    <row r="1461">
      <c r="A1461" s="7"/>
      <c r="B1461" s="8">
        <v>125.0</v>
      </c>
      <c r="C1461" s="8">
        <v>9.0</v>
      </c>
      <c r="D1461" s="8" t="s">
        <v>2057</v>
      </c>
      <c r="E1461" s="7">
        <v>0.0</v>
      </c>
      <c r="F1461" s="7"/>
      <c r="G1461" s="7" t="s">
        <v>312</v>
      </c>
      <c r="H1461" s="7" t="s">
        <v>313</v>
      </c>
      <c r="I1461" s="10"/>
      <c r="J1461" s="11"/>
      <c r="K1461" s="12"/>
      <c r="L1461" s="12"/>
      <c r="M1461" s="10"/>
      <c r="N1461" s="10"/>
      <c r="O1461" s="10"/>
      <c r="P1461" s="10"/>
      <c r="Q1461" s="10"/>
      <c r="R1461" s="10"/>
      <c r="S1461" s="10"/>
      <c r="T1461" s="10"/>
      <c r="U1461" s="10"/>
      <c r="V1461" s="10"/>
      <c r="W1461" s="10"/>
      <c r="X1461" s="10"/>
      <c r="Y1461" s="10"/>
      <c r="Z1461" s="10"/>
      <c r="AA1461" s="10"/>
      <c r="AB1461" s="10"/>
      <c r="AC1461" s="10"/>
      <c r="AD1461" s="10"/>
      <c r="AE1461" s="10"/>
      <c r="AF1461" s="10"/>
    </row>
    <row r="1462">
      <c r="A1462" s="7"/>
      <c r="B1462" s="8">
        <v>125.0</v>
      </c>
      <c r="C1462" s="8">
        <v>10.0</v>
      </c>
      <c r="D1462" s="8" t="s">
        <v>2058</v>
      </c>
      <c r="E1462" s="7">
        <v>0.0</v>
      </c>
      <c r="F1462" s="7"/>
      <c r="G1462" s="7" t="s">
        <v>312</v>
      </c>
      <c r="H1462" s="7" t="s">
        <v>313</v>
      </c>
      <c r="I1462" s="10"/>
      <c r="J1462" s="11"/>
      <c r="K1462" s="12"/>
      <c r="L1462" s="12"/>
      <c r="M1462" s="10"/>
      <c r="N1462" s="10"/>
      <c r="O1462" s="10"/>
      <c r="P1462" s="10"/>
      <c r="Q1462" s="10"/>
      <c r="R1462" s="10"/>
      <c r="S1462" s="10"/>
      <c r="T1462" s="10"/>
      <c r="U1462" s="10"/>
      <c r="V1462" s="10"/>
      <c r="W1462" s="10"/>
      <c r="X1462" s="10"/>
      <c r="Y1462" s="10"/>
      <c r="Z1462" s="10"/>
      <c r="AA1462" s="10"/>
      <c r="AB1462" s="10"/>
      <c r="AC1462" s="10"/>
      <c r="AD1462" s="10"/>
      <c r="AE1462" s="10"/>
      <c r="AF1462" s="10"/>
    </row>
    <row r="1463">
      <c r="A1463" s="10"/>
      <c r="B1463" s="12"/>
      <c r="C1463" s="12"/>
      <c r="D1463" s="12"/>
      <c r="E1463" s="10"/>
      <c r="F1463" s="10"/>
      <c r="G1463" s="10"/>
      <c r="H1463" s="10"/>
      <c r="I1463" s="10"/>
      <c r="J1463" s="11"/>
      <c r="K1463" s="12"/>
      <c r="L1463" s="12"/>
      <c r="M1463" s="10"/>
      <c r="N1463" s="10"/>
      <c r="O1463" s="10"/>
      <c r="P1463" s="10"/>
      <c r="Q1463" s="10"/>
      <c r="R1463" s="10"/>
      <c r="S1463" s="10"/>
      <c r="T1463" s="10"/>
      <c r="U1463" s="10"/>
      <c r="V1463" s="10"/>
      <c r="W1463" s="10"/>
      <c r="X1463" s="10"/>
      <c r="Y1463" s="10"/>
      <c r="Z1463" s="10"/>
      <c r="AA1463" s="10"/>
      <c r="AB1463" s="10"/>
      <c r="AC1463" s="10"/>
      <c r="AD1463" s="10"/>
      <c r="AE1463" s="10"/>
      <c r="AF1463" s="10"/>
    </row>
    <row r="1464">
      <c r="A1464" s="7"/>
      <c r="B1464" s="8">
        <v>126.0</v>
      </c>
      <c r="C1464" s="8">
        <v>1.0</v>
      </c>
      <c r="D1464" s="8" t="s">
        <v>2059</v>
      </c>
      <c r="E1464" s="7">
        <v>0.0</v>
      </c>
      <c r="F1464" s="7"/>
      <c r="G1464" s="7" t="s">
        <v>312</v>
      </c>
      <c r="H1464" s="7" t="s">
        <v>313</v>
      </c>
      <c r="I1464" s="10"/>
      <c r="J1464" s="24"/>
      <c r="K1464" s="12"/>
      <c r="L1464" s="12"/>
      <c r="M1464" s="10"/>
      <c r="N1464" s="10"/>
      <c r="O1464" s="10"/>
      <c r="P1464" s="10"/>
      <c r="Q1464" s="10"/>
      <c r="R1464" s="10"/>
      <c r="S1464" s="10"/>
      <c r="T1464" s="10"/>
      <c r="U1464" s="10"/>
      <c r="V1464" s="10"/>
      <c r="W1464" s="10"/>
      <c r="X1464" s="10"/>
      <c r="Y1464" s="10"/>
      <c r="Z1464" s="10"/>
      <c r="AA1464" s="10"/>
      <c r="AB1464" s="10"/>
      <c r="AC1464" s="10"/>
      <c r="AD1464" s="10"/>
      <c r="AE1464" s="10"/>
      <c r="AF1464" s="10"/>
    </row>
    <row r="1465">
      <c r="A1465" s="7"/>
      <c r="B1465" s="8">
        <v>126.0</v>
      </c>
      <c r="C1465" s="8">
        <v>2.0</v>
      </c>
      <c r="D1465" s="8" t="s">
        <v>2060</v>
      </c>
      <c r="E1465" s="7">
        <v>0.0</v>
      </c>
      <c r="F1465" s="7"/>
      <c r="G1465" s="7" t="s">
        <v>312</v>
      </c>
      <c r="H1465" s="7" t="s">
        <v>313</v>
      </c>
      <c r="I1465" s="10"/>
      <c r="J1465" s="11"/>
      <c r="K1465" s="12"/>
      <c r="L1465" s="12"/>
      <c r="M1465" s="10"/>
      <c r="N1465" s="10"/>
      <c r="O1465" s="10"/>
      <c r="P1465" s="10"/>
      <c r="Q1465" s="10"/>
      <c r="R1465" s="10"/>
      <c r="S1465" s="10"/>
      <c r="T1465" s="10"/>
      <c r="U1465" s="10"/>
      <c r="V1465" s="10"/>
      <c r="W1465" s="10"/>
      <c r="X1465" s="10"/>
      <c r="Y1465" s="10"/>
      <c r="Z1465" s="10"/>
      <c r="AA1465" s="10"/>
      <c r="AB1465" s="10"/>
      <c r="AC1465" s="10"/>
      <c r="AD1465" s="10"/>
      <c r="AE1465" s="10"/>
      <c r="AF1465" s="10"/>
    </row>
    <row r="1466">
      <c r="A1466" s="7"/>
      <c r="B1466" s="8">
        <v>126.0</v>
      </c>
      <c r="C1466" s="8">
        <v>3.0</v>
      </c>
      <c r="D1466" s="8" t="s">
        <v>2061</v>
      </c>
      <c r="E1466" s="7">
        <v>0.0</v>
      </c>
      <c r="F1466" s="7"/>
      <c r="G1466" s="7" t="s">
        <v>312</v>
      </c>
      <c r="H1466" s="7" t="s">
        <v>313</v>
      </c>
      <c r="I1466" s="10"/>
      <c r="J1466" s="11"/>
      <c r="K1466" s="12"/>
      <c r="L1466" s="12"/>
      <c r="M1466" s="10"/>
      <c r="N1466" s="10"/>
      <c r="O1466" s="10"/>
      <c r="P1466" s="10"/>
      <c r="Q1466" s="10"/>
      <c r="R1466" s="10"/>
      <c r="S1466" s="10"/>
      <c r="T1466" s="10"/>
      <c r="U1466" s="10"/>
      <c r="V1466" s="10"/>
      <c r="W1466" s="10"/>
      <c r="X1466" s="10"/>
      <c r="Y1466" s="10"/>
      <c r="Z1466" s="10"/>
      <c r="AA1466" s="10"/>
      <c r="AB1466" s="10"/>
      <c r="AC1466" s="10"/>
      <c r="AD1466" s="10"/>
      <c r="AE1466" s="10"/>
      <c r="AF1466" s="10"/>
    </row>
    <row r="1467">
      <c r="A1467" s="7"/>
      <c r="B1467" s="8">
        <v>126.0</v>
      </c>
      <c r="C1467" s="8">
        <v>4.0</v>
      </c>
      <c r="D1467" s="8" t="s">
        <v>2062</v>
      </c>
      <c r="E1467" s="7">
        <v>0.0</v>
      </c>
      <c r="F1467" s="7"/>
      <c r="G1467" s="7" t="s">
        <v>312</v>
      </c>
      <c r="H1467" s="7" t="s">
        <v>313</v>
      </c>
      <c r="I1467" s="10"/>
      <c r="J1467" s="11"/>
      <c r="K1467" s="12"/>
      <c r="L1467" s="12"/>
      <c r="M1467" s="10"/>
      <c r="N1467" s="10"/>
      <c r="O1467" s="10"/>
      <c r="P1467" s="10"/>
      <c r="Q1467" s="10"/>
      <c r="R1467" s="10"/>
      <c r="S1467" s="10"/>
      <c r="T1467" s="10"/>
      <c r="U1467" s="10"/>
      <c r="V1467" s="10"/>
      <c r="W1467" s="10"/>
      <c r="X1467" s="10"/>
      <c r="Y1467" s="10"/>
      <c r="Z1467" s="10"/>
      <c r="AA1467" s="10"/>
      <c r="AB1467" s="10"/>
      <c r="AC1467" s="10"/>
      <c r="AD1467" s="10"/>
      <c r="AE1467" s="10"/>
      <c r="AF1467" s="10"/>
    </row>
    <row r="1468">
      <c r="A1468" s="7"/>
      <c r="B1468" s="8">
        <v>126.0</v>
      </c>
      <c r="C1468" s="8">
        <v>5.0</v>
      </c>
      <c r="D1468" s="8" t="s">
        <v>2063</v>
      </c>
      <c r="E1468" s="7">
        <v>0.0</v>
      </c>
      <c r="F1468" s="7"/>
      <c r="G1468" s="7" t="s">
        <v>312</v>
      </c>
      <c r="H1468" s="7" t="s">
        <v>313</v>
      </c>
      <c r="I1468" s="10"/>
      <c r="J1468" s="11"/>
      <c r="K1468" s="12"/>
      <c r="L1468" s="12"/>
      <c r="M1468" s="10"/>
      <c r="N1468" s="10"/>
      <c r="O1468" s="10"/>
      <c r="P1468" s="10"/>
      <c r="Q1468" s="10"/>
      <c r="R1468" s="10"/>
      <c r="S1468" s="10"/>
      <c r="T1468" s="10"/>
      <c r="U1468" s="10"/>
      <c r="V1468" s="10"/>
      <c r="W1468" s="10"/>
      <c r="X1468" s="10"/>
      <c r="Y1468" s="10"/>
      <c r="Z1468" s="10"/>
      <c r="AA1468" s="10"/>
      <c r="AB1468" s="10"/>
      <c r="AC1468" s="10"/>
      <c r="AD1468" s="10"/>
      <c r="AE1468" s="10"/>
      <c r="AF1468" s="10"/>
    </row>
    <row r="1469">
      <c r="A1469" s="7"/>
      <c r="B1469" s="8">
        <v>126.0</v>
      </c>
      <c r="C1469" s="8">
        <v>6.0</v>
      </c>
      <c r="D1469" s="8" t="s">
        <v>2064</v>
      </c>
      <c r="E1469" s="7">
        <v>2.0</v>
      </c>
      <c r="F1469" s="7"/>
      <c r="G1469" s="7" t="s">
        <v>312</v>
      </c>
      <c r="H1469" s="7" t="s">
        <v>313</v>
      </c>
      <c r="I1469" s="10"/>
      <c r="J1469" s="9" t="s">
        <v>2065</v>
      </c>
      <c r="K1469" s="8" t="s">
        <v>1664</v>
      </c>
      <c r="L1469" s="14" t="s">
        <v>2066</v>
      </c>
      <c r="M1469" s="10"/>
      <c r="N1469" s="10"/>
      <c r="O1469" s="10"/>
      <c r="P1469" s="10"/>
      <c r="Q1469" s="10"/>
      <c r="R1469" s="10"/>
      <c r="S1469" s="10"/>
      <c r="T1469" s="10"/>
      <c r="U1469" s="10"/>
      <c r="V1469" s="10"/>
      <c r="W1469" s="10"/>
      <c r="X1469" s="10"/>
      <c r="Y1469" s="10"/>
      <c r="Z1469" s="10"/>
      <c r="AA1469" s="10"/>
      <c r="AB1469" s="10"/>
      <c r="AC1469" s="10"/>
      <c r="AD1469" s="10"/>
      <c r="AE1469" s="10"/>
      <c r="AF1469" s="10"/>
    </row>
    <row r="1470">
      <c r="A1470" s="10"/>
      <c r="B1470" s="12"/>
      <c r="C1470" s="12"/>
      <c r="D1470" s="12"/>
      <c r="E1470" s="10"/>
      <c r="F1470" s="10"/>
      <c r="G1470" s="10"/>
      <c r="H1470" s="10"/>
      <c r="I1470" s="10"/>
      <c r="J1470" s="11"/>
      <c r="K1470" s="12"/>
      <c r="L1470" s="12"/>
      <c r="M1470" s="10"/>
      <c r="N1470" s="10"/>
      <c r="O1470" s="10"/>
      <c r="P1470" s="10"/>
      <c r="Q1470" s="10"/>
      <c r="R1470" s="10"/>
      <c r="S1470" s="10"/>
      <c r="T1470" s="10"/>
      <c r="U1470" s="10"/>
      <c r="V1470" s="10"/>
      <c r="W1470" s="10"/>
      <c r="X1470" s="10"/>
      <c r="Y1470" s="10"/>
      <c r="Z1470" s="10"/>
      <c r="AA1470" s="10"/>
      <c r="AB1470" s="10"/>
      <c r="AC1470" s="10"/>
      <c r="AD1470" s="10"/>
      <c r="AE1470" s="10"/>
      <c r="AF1470" s="10"/>
    </row>
    <row r="1471">
      <c r="A1471" s="7"/>
      <c r="B1471" s="8">
        <v>127.0</v>
      </c>
      <c r="C1471" s="8">
        <v>1.0</v>
      </c>
      <c r="D1471" s="8" t="s">
        <v>2067</v>
      </c>
      <c r="E1471" s="7">
        <v>0.0</v>
      </c>
      <c r="F1471" s="7"/>
      <c r="G1471" s="7" t="s">
        <v>312</v>
      </c>
      <c r="H1471" s="7" t="s">
        <v>313</v>
      </c>
      <c r="I1471" s="10"/>
      <c r="J1471" s="24"/>
      <c r="K1471" s="12"/>
      <c r="L1471" s="12"/>
      <c r="M1471" s="10"/>
      <c r="N1471" s="10"/>
      <c r="O1471" s="10"/>
      <c r="P1471" s="10"/>
      <c r="Q1471" s="10"/>
      <c r="R1471" s="10"/>
      <c r="S1471" s="10"/>
      <c r="T1471" s="10"/>
      <c r="U1471" s="10"/>
      <c r="V1471" s="10"/>
      <c r="W1471" s="10"/>
      <c r="X1471" s="10"/>
      <c r="Y1471" s="10"/>
      <c r="Z1471" s="10"/>
      <c r="AA1471" s="10"/>
      <c r="AB1471" s="10"/>
      <c r="AC1471" s="10"/>
      <c r="AD1471" s="10"/>
      <c r="AE1471" s="10"/>
      <c r="AF1471" s="10"/>
    </row>
    <row r="1472">
      <c r="A1472" s="7"/>
      <c r="B1472" s="8">
        <v>127.0</v>
      </c>
      <c r="C1472" s="8">
        <v>2.0</v>
      </c>
      <c r="D1472" s="8" t="s">
        <v>2068</v>
      </c>
      <c r="E1472" s="7">
        <v>2.0</v>
      </c>
      <c r="F1472" s="7"/>
      <c r="G1472" s="7" t="s">
        <v>312</v>
      </c>
      <c r="H1472" s="7" t="s">
        <v>313</v>
      </c>
      <c r="I1472" s="10"/>
      <c r="J1472" s="9" t="s">
        <v>2069</v>
      </c>
      <c r="K1472" s="8" t="s">
        <v>1664</v>
      </c>
      <c r="L1472" s="12"/>
      <c r="M1472" s="10"/>
      <c r="N1472" s="10"/>
      <c r="O1472" s="10"/>
      <c r="P1472" s="10"/>
      <c r="Q1472" s="10"/>
      <c r="R1472" s="10"/>
      <c r="S1472" s="10"/>
      <c r="T1472" s="10"/>
      <c r="U1472" s="10"/>
      <c r="V1472" s="10"/>
      <c r="W1472" s="10"/>
      <c r="X1472" s="10"/>
      <c r="Y1472" s="10"/>
      <c r="Z1472" s="10"/>
      <c r="AA1472" s="10"/>
      <c r="AB1472" s="10"/>
      <c r="AC1472" s="10"/>
      <c r="AD1472" s="10"/>
      <c r="AE1472" s="10"/>
      <c r="AF1472" s="10"/>
    </row>
    <row r="1473">
      <c r="A1473" s="7"/>
      <c r="B1473" s="8">
        <v>127.0</v>
      </c>
      <c r="C1473" s="8">
        <v>3.0</v>
      </c>
      <c r="D1473" s="8" t="s">
        <v>2070</v>
      </c>
      <c r="E1473" s="7">
        <v>2.0</v>
      </c>
      <c r="F1473" s="7"/>
      <c r="G1473" s="7" t="s">
        <v>312</v>
      </c>
      <c r="H1473" s="7" t="s">
        <v>313</v>
      </c>
      <c r="I1473" s="10"/>
      <c r="J1473" s="9" t="s">
        <v>2071</v>
      </c>
      <c r="K1473" s="8" t="s">
        <v>1664</v>
      </c>
      <c r="L1473" s="12"/>
      <c r="M1473" s="10"/>
      <c r="N1473" s="10"/>
      <c r="O1473" s="10"/>
      <c r="P1473" s="10"/>
      <c r="Q1473" s="10"/>
      <c r="R1473" s="10"/>
      <c r="S1473" s="10"/>
      <c r="T1473" s="10"/>
      <c r="U1473" s="10"/>
      <c r="V1473" s="10"/>
      <c r="W1473" s="10"/>
      <c r="X1473" s="10"/>
      <c r="Y1473" s="10"/>
      <c r="Z1473" s="10"/>
      <c r="AA1473" s="10"/>
      <c r="AB1473" s="10"/>
      <c r="AC1473" s="10"/>
      <c r="AD1473" s="10"/>
      <c r="AE1473" s="10"/>
      <c r="AF1473" s="10"/>
    </row>
    <row r="1474">
      <c r="A1474" s="7"/>
      <c r="B1474" s="8">
        <v>127.0</v>
      </c>
      <c r="C1474" s="8">
        <v>4.0</v>
      </c>
      <c r="D1474" s="8" t="s">
        <v>2072</v>
      </c>
      <c r="E1474" s="7">
        <v>2.0</v>
      </c>
      <c r="F1474" s="7"/>
      <c r="G1474" s="7" t="s">
        <v>312</v>
      </c>
      <c r="H1474" s="7" t="s">
        <v>313</v>
      </c>
      <c r="I1474" s="10"/>
      <c r="J1474" s="9" t="s">
        <v>2073</v>
      </c>
      <c r="K1474" s="8" t="s">
        <v>1664</v>
      </c>
      <c r="L1474" s="12"/>
      <c r="M1474" s="10"/>
      <c r="N1474" s="10"/>
      <c r="O1474" s="10"/>
      <c r="P1474" s="10"/>
      <c r="Q1474" s="10"/>
      <c r="R1474" s="10"/>
      <c r="S1474" s="10"/>
      <c r="T1474" s="10"/>
      <c r="U1474" s="10"/>
      <c r="V1474" s="10"/>
      <c r="W1474" s="10"/>
      <c r="X1474" s="10"/>
      <c r="Y1474" s="10"/>
      <c r="Z1474" s="10"/>
      <c r="AA1474" s="10"/>
      <c r="AB1474" s="10"/>
      <c r="AC1474" s="10"/>
      <c r="AD1474" s="10"/>
      <c r="AE1474" s="10"/>
      <c r="AF1474" s="10"/>
    </row>
    <row r="1475">
      <c r="A1475" s="7"/>
      <c r="B1475" s="8">
        <v>127.0</v>
      </c>
      <c r="C1475" s="8">
        <v>5.0</v>
      </c>
      <c r="D1475" s="8" t="s">
        <v>2074</v>
      </c>
      <c r="E1475" s="7">
        <v>2.0</v>
      </c>
      <c r="F1475" s="7"/>
      <c r="G1475" s="7" t="s">
        <v>312</v>
      </c>
      <c r="H1475" s="7" t="s">
        <v>313</v>
      </c>
      <c r="I1475" s="10"/>
      <c r="J1475" s="9" t="s">
        <v>2075</v>
      </c>
      <c r="K1475" s="8" t="s">
        <v>1664</v>
      </c>
      <c r="L1475" s="12"/>
      <c r="M1475" s="10"/>
      <c r="N1475" s="10"/>
      <c r="O1475" s="10"/>
      <c r="P1475" s="10"/>
      <c r="Q1475" s="10"/>
      <c r="R1475" s="10"/>
      <c r="S1475" s="10"/>
      <c r="T1475" s="10"/>
      <c r="U1475" s="10"/>
      <c r="V1475" s="10"/>
      <c r="W1475" s="10"/>
      <c r="X1475" s="10"/>
      <c r="Y1475" s="10"/>
      <c r="Z1475" s="10"/>
      <c r="AA1475" s="10"/>
      <c r="AB1475" s="10"/>
      <c r="AC1475" s="10"/>
      <c r="AD1475" s="10"/>
      <c r="AE1475" s="10"/>
      <c r="AF1475" s="10"/>
    </row>
    <row r="1476">
      <c r="A1476" s="7"/>
      <c r="B1476" s="8">
        <v>127.0</v>
      </c>
      <c r="C1476" s="8">
        <v>6.0</v>
      </c>
      <c r="D1476" s="8" t="s">
        <v>2076</v>
      </c>
      <c r="E1476" s="7">
        <v>0.0</v>
      </c>
      <c r="F1476" s="7"/>
      <c r="G1476" s="7" t="s">
        <v>312</v>
      </c>
      <c r="H1476" s="7" t="s">
        <v>313</v>
      </c>
      <c r="I1476" s="10"/>
      <c r="J1476" s="11"/>
      <c r="K1476" s="12"/>
      <c r="L1476" s="12"/>
      <c r="M1476" s="10"/>
      <c r="N1476" s="10"/>
      <c r="O1476" s="10"/>
      <c r="P1476" s="10"/>
      <c r="Q1476" s="10"/>
      <c r="R1476" s="10"/>
      <c r="S1476" s="10"/>
      <c r="T1476" s="10"/>
      <c r="U1476" s="10"/>
      <c r="V1476" s="10"/>
      <c r="W1476" s="10"/>
      <c r="X1476" s="10"/>
      <c r="Y1476" s="10"/>
      <c r="Z1476" s="10"/>
      <c r="AA1476" s="10"/>
      <c r="AB1476" s="10"/>
      <c r="AC1476" s="10"/>
      <c r="AD1476" s="10"/>
      <c r="AE1476" s="10"/>
      <c r="AF1476" s="10"/>
    </row>
    <row r="1477">
      <c r="A1477" s="10"/>
      <c r="B1477" s="12"/>
      <c r="C1477" s="12"/>
      <c r="D1477" s="12"/>
      <c r="E1477" s="10"/>
      <c r="F1477" s="10"/>
      <c r="G1477" s="10"/>
      <c r="H1477" s="10"/>
      <c r="I1477" s="10"/>
      <c r="J1477" s="11"/>
      <c r="K1477" s="12"/>
      <c r="L1477" s="12"/>
      <c r="M1477" s="10"/>
      <c r="N1477" s="10"/>
      <c r="O1477" s="10"/>
      <c r="P1477" s="10"/>
      <c r="Q1477" s="10"/>
      <c r="R1477" s="10"/>
      <c r="S1477" s="10"/>
      <c r="T1477" s="10"/>
      <c r="U1477" s="10"/>
      <c r="V1477" s="10"/>
      <c r="W1477" s="10"/>
      <c r="X1477" s="10"/>
      <c r="Y1477" s="10"/>
      <c r="Z1477" s="10"/>
      <c r="AA1477" s="10"/>
      <c r="AB1477" s="10"/>
      <c r="AC1477" s="10"/>
      <c r="AD1477" s="10"/>
      <c r="AE1477" s="10"/>
      <c r="AF1477" s="10"/>
    </row>
    <row r="1478">
      <c r="A1478" s="7"/>
      <c r="B1478" s="8">
        <v>128.0</v>
      </c>
      <c r="C1478" s="8">
        <v>1.0</v>
      </c>
      <c r="D1478" s="8" t="s">
        <v>2077</v>
      </c>
      <c r="E1478" s="7">
        <v>0.0</v>
      </c>
      <c r="F1478" s="7"/>
      <c r="G1478" s="7" t="s">
        <v>312</v>
      </c>
      <c r="H1478" s="7" t="s">
        <v>313</v>
      </c>
      <c r="I1478" s="10"/>
      <c r="J1478" s="24"/>
      <c r="K1478" s="8" t="s">
        <v>2078</v>
      </c>
      <c r="L1478" s="12"/>
      <c r="M1478" s="10"/>
      <c r="N1478" s="10"/>
      <c r="O1478" s="10"/>
      <c r="P1478" s="10"/>
      <c r="Q1478" s="10"/>
      <c r="R1478" s="10"/>
      <c r="S1478" s="10"/>
      <c r="T1478" s="10"/>
      <c r="U1478" s="10"/>
      <c r="V1478" s="10"/>
      <c r="W1478" s="10"/>
      <c r="X1478" s="10"/>
      <c r="Y1478" s="10"/>
      <c r="Z1478" s="10"/>
      <c r="AA1478" s="10"/>
      <c r="AB1478" s="10"/>
      <c r="AC1478" s="10"/>
      <c r="AD1478" s="10"/>
      <c r="AE1478" s="10"/>
      <c r="AF1478" s="10"/>
    </row>
    <row r="1479">
      <c r="A1479" s="7"/>
      <c r="B1479" s="8">
        <v>128.0</v>
      </c>
      <c r="C1479" s="8">
        <v>2.0</v>
      </c>
      <c r="D1479" s="8" t="s">
        <v>2079</v>
      </c>
      <c r="E1479" s="7">
        <v>0.0</v>
      </c>
      <c r="F1479" s="7"/>
      <c r="G1479" s="7" t="s">
        <v>312</v>
      </c>
      <c r="H1479" s="7" t="s">
        <v>313</v>
      </c>
      <c r="I1479" s="10"/>
      <c r="J1479" s="24"/>
      <c r="K1479" s="8" t="s">
        <v>2078</v>
      </c>
      <c r="L1479" s="12"/>
      <c r="M1479" s="10"/>
      <c r="N1479" s="10"/>
      <c r="O1479" s="10"/>
      <c r="P1479" s="10"/>
      <c r="Q1479" s="10"/>
      <c r="R1479" s="10"/>
      <c r="S1479" s="10"/>
      <c r="T1479" s="10"/>
      <c r="U1479" s="10"/>
      <c r="V1479" s="10"/>
      <c r="W1479" s="10"/>
      <c r="X1479" s="10"/>
      <c r="Y1479" s="10"/>
      <c r="Z1479" s="10"/>
      <c r="AA1479" s="10"/>
      <c r="AB1479" s="10"/>
      <c r="AC1479" s="10"/>
      <c r="AD1479" s="10"/>
      <c r="AE1479" s="10"/>
      <c r="AF1479" s="10"/>
    </row>
    <row r="1480">
      <c r="A1480" s="7"/>
      <c r="B1480" s="8">
        <v>128.0</v>
      </c>
      <c r="C1480" s="8">
        <v>3.0</v>
      </c>
      <c r="D1480" s="8" t="s">
        <v>2080</v>
      </c>
      <c r="E1480" s="7">
        <v>2.0</v>
      </c>
      <c r="F1480" s="7"/>
      <c r="G1480" s="7" t="s">
        <v>312</v>
      </c>
      <c r="H1480" s="7" t="s">
        <v>313</v>
      </c>
      <c r="I1480" s="10"/>
      <c r="J1480" s="9" t="s">
        <v>2081</v>
      </c>
      <c r="K1480" s="8" t="s">
        <v>1664</v>
      </c>
      <c r="L1480" s="12"/>
      <c r="M1480" s="10"/>
      <c r="N1480" s="10"/>
      <c r="O1480" s="10"/>
      <c r="P1480" s="10"/>
      <c r="Q1480" s="10"/>
      <c r="R1480" s="10"/>
      <c r="S1480" s="10"/>
      <c r="T1480" s="10"/>
      <c r="U1480" s="10"/>
      <c r="V1480" s="10"/>
      <c r="W1480" s="10"/>
      <c r="X1480" s="10"/>
      <c r="Y1480" s="10"/>
      <c r="Z1480" s="10"/>
      <c r="AA1480" s="10"/>
      <c r="AB1480" s="10"/>
      <c r="AC1480" s="10"/>
      <c r="AD1480" s="10"/>
      <c r="AE1480" s="10"/>
      <c r="AF1480" s="10"/>
    </row>
    <row r="1481">
      <c r="A1481" s="7"/>
      <c r="B1481" s="8">
        <v>128.0</v>
      </c>
      <c r="C1481" s="8">
        <v>4.0</v>
      </c>
      <c r="D1481" s="8" t="s">
        <v>2082</v>
      </c>
      <c r="E1481" s="7">
        <v>0.0</v>
      </c>
      <c r="F1481" s="7"/>
      <c r="G1481" s="7" t="s">
        <v>312</v>
      </c>
      <c r="H1481" s="7" t="s">
        <v>313</v>
      </c>
      <c r="I1481" s="10"/>
      <c r="J1481" s="11"/>
      <c r="K1481" s="8" t="s">
        <v>2078</v>
      </c>
      <c r="L1481" s="12"/>
      <c r="M1481" s="10"/>
      <c r="N1481" s="10"/>
      <c r="O1481" s="10"/>
      <c r="P1481" s="10"/>
      <c r="Q1481" s="10"/>
      <c r="R1481" s="10"/>
      <c r="S1481" s="10"/>
      <c r="T1481" s="10"/>
      <c r="U1481" s="10"/>
      <c r="V1481" s="10"/>
      <c r="W1481" s="10"/>
      <c r="X1481" s="10"/>
      <c r="Y1481" s="10"/>
      <c r="Z1481" s="10"/>
      <c r="AA1481" s="10"/>
      <c r="AB1481" s="10"/>
      <c r="AC1481" s="10"/>
      <c r="AD1481" s="10"/>
      <c r="AE1481" s="10"/>
      <c r="AF1481" s="10"/>
    </row>
    <row r="1482">
      <c r="A1482" s="7"/>
      <c r="B1482" s="8">
        <v>128.0</v>
      </c>
      <c r="C1482" s="8">
        <v>5.0</v>
      </c>
      <c r="D1482" s="8" t="s">
        <v>2083</v>
      </c>
      <c r="E1482" s="7">
        <v>2.0</v>
      </c>
      <c r="F1482" s="7"/>
      <c r="G1482" s="7" t="s">
        <v>312</v>
      </c>
      <c r="H1482" s="7" t="s">
        <v>313</v>
      </c>
      <c r="I1482" s="10"/>
      <c r="J1482" s="9" t="s">
        <v>2084</v>
      </c>
      <c r="K1482" s="8" t="s">
        <v>1664</v>
      </c>
      <c r="L1482" s="12"/>
      <c r="M1482" s="10"/>
      <c r="N1482" s="10"/>
      <c r="O1482" s="10"/>
      <c r="P1482" s="10"/>
      <c r="Q1482" s="10"/>
      <c r="R1482" s="10"/>
      <c r="S1482" s="10"/>
      <c r="T1482" s="10"/>
      <c r="U1482" s="10"/>
      <c r="V1482" s="10"/>
      <c r="W1482" s="10"/>
      <c r="X1482" s="10"/>
      <c r="Y1482" s="10"/>
      <c r="Z1482" s="10"/>
      <c r="AA1482" s="10"/>
      <c r="AB1482" s="10"/>
      <c r="AC1482" s="10"/>
      <c r="AD1482" s="10"/>
      <c r="AE1482" s="10"/>
      <c r="AF1482" s="10"/>
    </row>
    <row r="1483">
      <c r="A1483" s="7"/>
      <c r="B1483" s="8">
        <v>128.0</v>
      </c>
      <c r="C1483" s="8">
        <v>6.0</v>
      </c>
      <c r="D1483" s="8" t="s">
        <v>2085</v>
      </c>
      <c r="E1483" s="7">
        <v>2.0</v>
      </c>
      <c r="F1483" s="7"/>
      <c r="G1483" s="7" t="s">
        <v>312</v>
      </c>
      <c r="H1483" s="7" t="s">
        <v>313</v>
      </c>
      <c r="I1483" s="10"/>
      <c r="J1483" s="9" t="s">
        <v>2086</v>
      </c>
      <c r="K1483" s="8" t="s">
        <v>1664</v>
      </c>
      <c r="L1483" s="12"/>
      <c r="M1483" s="10"/>
      <c r="N1483" s="10"/>
      <c r="O1483" s="10"/>
      <c r="P1483" s="10"/>
      <c r="Q1483" s="10"/>
      <c r="R1483" s="10"/>
      <c r="S1483" s="10"/>
      <c r="T1483" s="10"/>
      <c r="U1483" s="10"/>
      <c r="V1483" s="10"/>
      <c r="W1483" s="10"/>
      <c r="X1483" s="10"/>
      <c r="Y1483" s="10"/>
      <c r="Z1483" s="10"/>
      <c r="AA1483" s="10"/>
      <c r="AB1483" s="10"/>
      <c r="AC1483" s="10"/>
      <c r="AD1483" s="10"/>
      <c r="AE1483" s="10"/>
      <c r="AF1483" s="10"/>
    </row>
    <row r="1484">
      <c r="A1484" s="10"/>
      <c r="B1484" s="12"/>
      <c r="C1484" s="12"/>
      <c r="D1484" s="12"/>
      <c r="E1484" s="10"/>
      <c r="F1484" s="10"/>
      <c r="G1484" s="10"/>
      <c r="H1484" s="10"/>
      <c r="I1484" s="10"/>
      <c r="J1484" s="11"/>
      <c r="K1484" s="12"/>
      <c r="L1484" s="12"/>
      <c r="M1484" s="10"/>
      <c r="N1484" s="10"/>
      <c r="O1484" s="10"/>
      <c r="P1484" s="10"/>
      <c r="Q1484" s="10"/>
      <c r="R1484" s="10"/>
      <c r="S1484" s="10"/>
      <c r="T1484" s="10"/>
      <c r="U1484" s="10"/>
      <c r="V1484" s="10"/>
      <c r="W1484" s="10"/>
      <c r="X1484" s="10"/>
      <c r="Y1484" s="10"/>
      <c r="Z1484" s="10"/>
      <c r="AA1484" s="10"/>
      <c r="AB1484" s="10"/>
      <c r="AC1484" s="10"/>
      <c r="AD1484" s="10"/>
      <c r="AE1484" s="10"/>
      <c r="AF1484" s="10"/>
    </row>
    <row r="1485">
      <c r="A1485" s="7"/>
      <c r="B1485" s="8">
        <v>129.0</v>
      </c>
      <c r="C1485" s="8">
        <v>1.0</v>
      </c>
      <c r="D1485" s="8" t="s">
        <v>2087</v>
      </c>
      <c r="E1485" s="7">
        <v>0.0</v>
      </c>
      <c r="F1485" s="7"/>
      <c r="G1485" s="7" t="s">
        <v>312</v>
      </c>
      <c r="H1485" s="7" t="s">
        <v>313</v>
      </c>
      <c r="I1485" s="10"/>
      <c r="J1485" s="24"/>
      <c r="K1485" s="12"/>
      <c r="L1485" s="12"/>
      <c r="M1485" s="10"/>
      <c r="N1485" s="10"/>
      <c r="O1485" s="10"/>
      <c r="P1485" s="10"/>
      <c r="Q1485" s="10"/>
      <c r="R1485" s="10"/>
      <c r="S1485" s="10"/>
      <c r="T1485" s="10"/>
      <c r="U1485" s="10"/>
      <c r="V1485" s="10"/>
      <c r="W1485" s="10"/>
      <c r="X1485" s="10"/>
      <c r="Y1485" s="10"/>
      <c r="Z1485" s="10"/>
      <c r="AA1485" s="10"/>
      <c r="AB1485" s="10"/>
      <c r="AC1485" s="10"/>
      <c r="AD1485" s="10"/>
      <c r="AE1485" s="10"/>
      <c r="AF1485" s="10"/>
    </row>
    <row r="1486">
      <c r="A1486" s="7"/>
      <c r="B1486" s="8">
        <v>129.0</v>
      </c>
      <c r="C1486" s="8">
        <v>2.0</v>
      </c>
      <c r="D1486" s="8" t="s">
        <v>2088</v>
      </c>
      <c r="E1486" s="7">
        <v>0.0</v>
      </c>
      <c r="F1486" s="7"/>
      <c r="G1486" s="7" t="s">
        <v>312</v>
      </c>
      <c r="H1486" s="7" t="s">
        <v>313</v>
      </c>
      <c r="I1486" s="10"/>
      <c r="J1486" s="24"/>
      <c r="K1486" s="8" t="s">
        <v>2089</v>
      </c>
      <c r="L1486" s="12"/>
      <c r="M1486" s="10"/>
      <c r="N1486" s="10"/>
      <c r="O1486" s="10"/>
      <c r="P1486" s="10"/>
      <c r="Q1486" s="10"/>
      <c r="R1486" s="10"/>
      <c r="S1486" s="10"/>
      <c r="T1486" s="10"/>
      <c r="U1486" s="10"/>
      <c r="V1486" s="10"/>
      <c r="W1486" s="10"/>
      <c r="X1486" s="10"/>
      <c r="Y1486" s="10"/>
      <c r="Z1486" s="10"/>
      <c r="AA1486" s="10"/>
      <c r="AB1486" s="10"/>
      <c r="AC1486" s="10"/>
      <c r="AD1486" s="10"/>
      <c r="AE1486" s="10"/>
      <c r="AF1486" s="10"/>
    </row>
    <row r="1487">
      <c r="A1487" s="7"/>
      <c r="B1487" s="8">
        <v>129.0</v>
      </c>
      <c r="C1487" s="8">
        <v>3.0</v>
      </c>
      <c r="D1487" s="8" t="s">
        <v>2090</v>
      </c>
      <c r="E1487" s="7">
        <v>2.0</v>
      </c>
      <c r="F1487" s="7"/>
      <c r="G1487" s="7" t="s">
        <v>312</v>
      </c>
      <c r="H1487" s="7" t="s">
        <v>313</v>
      </c>
      <c r="I1487" s="10"/>
      <c r="J1487" s="9" t="s">
        <v>2091</v>
      </c>
      <c r="K1487" s="8" t="s">
        <v>1664</v>
      </c>
      <c r="L1487" s="12"/>
      <c r="M1487" s="10"/>
      <c r="N1487" s="10"/>
      <c r="O1487" s="10"/>
      <c r="P1487" s="10"/>
      <c r="Q1487" s="10"/>
      <c r="R1487" s="10"/>
      <c r="S1487" s="10"/>
      <c r="T1487" s="10"/>
      <c r="U1487" s="10"/>
      <c r="V1487" s="10"/>
      <c r="W1487" s="10"/>
      <c r="X1487" s="10"/>
      <c r="Y1487" s="10"/>
      <c r="Z1487" s="10"/>
      <c r="AA1487" s="10"/>
      <c r="AB1487" s="10"/>
      <c r="AC1487" s="10"/>
      <c r="AD1487" s="10"/>
      <c r="AE1487" s="10"/>
      <c r="AF1487" s="10"/>
    </row>
    <row r="1488">
      <c r="A1488" s="7"/>
      <c r="B1488" s="8">
        <v>129.0</v>
      </c>
      <c r="C1488" s="8">
        <v>4.0</v>
      </c>
      <c r="D1488" s="8" t="s">
        <v>2092</v>
      </c>
      <c r="E1488" s="7">
        <v>2.0</v>
      </c>
      <c r="F1488" s="7"/>
      <c r="G1488" s="7" t="s">
        <v>312</v>
      </c>
      <c r="H1488" s="7" t="s">
        <v>313</v>
      </c>
      <c r="I1488" s="10"/>
      <c r="J1488" s="9" t="s">
        <v>2093</v>
      </c>
      <c r="K1488" s="8" t="s">
        <v>1664</v>
      </c>
      <c r="L1488" s="12"/>
      <c r="M1488" s="10"/>
      <c r="N1488" s="10"/>
      <c r="O1488" s="10"/>
      <c r="P1488" s="10"/>
      <c r="Q1488" s="10"/>
      <c r="R1488" s="10"/>
      <c r="S1488" s="10"/>
      <c r="T1488" s="10"/>
      <c r="U1488" s="10"/>
      <c r="V1488" s="10"/>
      <c r="W1488" s="10"/>
      <c r="X1488" s="10"/>
      <c r="Y1488" s="10"/>
      <c r="Z1488" s="10"/>
      <c r="AA1488" s="10"/>
      <c r="AB1488" s="10"/>
      <c r="AC1488" s="10"/>
      <c r="AD1488" s="10"/>
      <c r="AE1488" s="10"/>
      <c r="AF1488" s="10"/>
    </row>
    <row r="1489">
      <c r="A1489" s="7"/>
      <c r="B1489" s="8">
        <v>129.0</v>
      </c>
      <c r="C1489" s="8">
        <v>5.0</v>
      </c>
      <c r="D1489" s="8" t="s">
        <v>2094</v>
      </c>
      <c r="E1489" s="7">
        <v>0.0</v>
      </c>
      <c r="F1489" s="7"/>
      <c r="G1489" s="7" t="s">
        <v>312</v>
      </c>
      <c r="H1489" s="7" t="s">
        <v>313</v>
      </c>
      <c r="I1489" s="10"/>
      <c r="J1489" s="24"/>
      <c r="K1489" s="8" t="s">
        <v>2095</v>
      </c>
      <c r="L1489" s="12"/>
      <c r="M1489" s="10"/>
      <c r="N1489" s="10"/>
      <c r="O1489" s="10"/>
      <c r="P1489" s="10"/>
      <c r="Q1489" s="10"/>
      <c r="R1489" s="10"/>
      <c r="S1489" s="10"/>
      <c r="T1489" s="10"/>
      <c r="U1489" s="10"/>
      <c r="V1489" s="10"/>
      <c r="W1489" s="10"/>
      <c r="X1489" s="10"/>
      <c r="Y1489" s="10"/>
      <c r="Z1489" s="10"/>
      <c r="AA1489" s="10"/>
      <c r="AB1489" s="10"/>
      <c r="AC1489" s="10"/>
      <c r="AD1489" s="10"/>
      <c r="AE1489" s="10"/>
      <c r="AF1489" s="10"/>
    </row>
    <row r="1490">
      <c r="A1490" s="7"/>
      <c r="B1490" s="8">
        <v>129.0</v>
      </c>
      <c r="C1490" s="8">
        <v>6.0</v>
      </c>
      <c r="D1490" s="8" t="s">
        <v>2096</v>
      </c>
      <c r="E1490" s="7">
        <v>0.0</v>
      </c>
      <c r="F1490" s="7"/>
      <c r="G1490" s="7" t="s">
        <v>312</v>
      </c>
      <c r="H1490" s="7" t="s">
        <v>313</v>
      </c>
      <c r="I1490" s="10"/>
      <c r="J1490" s="24"/>
      <c r="K1490" s="8" t="s">
        <v>2089</v>
      </c>
      <c r="L1490" s="12"/>
      <c r="M1490" s="10"/>
      <c r="N1490" s="10"/>
      <c r="O1490" s="10"/>
      <c r="P1490" s="10"/>
      <c r="Q1490" s="10"/>
      <c r="R1490" s="10"/>
      <c r="S1490" s="10"/>
      <c r="T1490" s="10"/>
      <c r="U1490" s="10"/>
      <c r="V1490" s="10"/>
      <c r="W1490" s="10"/>
      <c r="X1490" s="10"/>
      <c r="Y1490" s="10"/>
      <c r="Z1490" s="10"/>
      <c r="AA1490" s="10"/>
      <c r="AB1490" s="10"/>
      <c r="AC1490" s="10"/>
      <c r="AD1490" s="10"/>
      <c r="AE1490" s="10"/>
      <c r="AF1490" s="10"/>
    </row>
    <row r="1491">
      <c r="A1491" s="7"/>
      <c r="B1491" s="8">
        <v>129.0</v>
      </c>
      <c r="C1491" s="8">
        <v>7.0</v>
      </c>
      <c r="D1491" s="8" t="s">
        <v>2097</v>
      </c>
      <c r="E1491" s="7">
        <v>2.0</v>
      </c>
      <c r="F1491" s="7"/>
      <c r="G1491" s="7" t="s">
        <v>312</v>
      </c>
      <c r="H1491" s="7" t="s">
        <v>313</v>
      </c>
      <c r="I1491" s="10"/>
      <c r="J1491" s="9" t="s">
        <v>2098</v>
      </c>
      <c r="K1491" s="8" t="s">
        <v>1664</v>
      </c>
      <c r="L1491" s="12"/>
      <c r="M1491" s="10"/>
      <c r="N1491" s="10"/>
      <c r="O1491" s="10"/>
      <c r="P1491" s="10"/>
      <c r="Q1491" s="10"/>
      <c r="R1491" s="10"/>
      <c r="S1491" s="10"/>
      <c r="T1491" s="10"/>
      <c r="U1491" s="10"/>
      <c r="V1491" s="10"/>
      <c r="W1491" s="10"/>
      <c r="X1491" s="10"/>
      <c r="Y1491" s="10"/>
      <c r="Z1491" s="10"/>
      <c r="AA1491" s="10"/>
      <c r="AB1491" s="10"/>
      <c r="AC1491" s="10"/>
      <c r="AD1491" s="10"/>
      <c r="AE1491" s="10"/>
      <c r="AF1491" s="10"/>
    </row>
    <row r="1492">
      <c r="A1492" s="7"/>
      <c r="B1492" s="8">
        <v>129.0</v>
      </c>
      <c r="C1492" s="8">
        <v>8.0</v>
      </c>
      <c r="D1492" s="8" t="s">
        <v>2099</v>
      </c>
      <c r="E1492" s="7">
        <v>2.0</v>
      </c>
      <c r="F1492" s="7"/>
      <c r="G1492" s="7" t="s">
        <v>312</v>
      </c>
      <c r="H1492" s="7" t="s">
        <v>313</v>
      </c>
      <c r="I1492" s="10"/>
      <c r="J1492" s="9" t="s">
        <v>2100</v>
      </c>
      <c r="K1492" s="8" t="s">
        <v>1664</v>
      </c>
      <c r="L1492" s="12"/>
      <c r="M1492" s="10"/>
      <c r="N1492" s="10"/>
      <c r="O1492" s="10"/>
      <c r="P1492" s="10"/>
      <c r="Q1492" s="10"/>
      <c r="R1492" s="10"/>
      <c r="S1492" s="10"/>
      <c r="T1492" s="10"/>
      <c r="U1492" s="10"/>
      <c r="V1492" s="10"/>
      <c r="W1492" s="10"/>
      <c r="X1492" s="10"/>
      <c r="Y1492" s="10"/>
      <c r="Z1492" s="10"/>
      <c r="AA1492" s="10"/>
      <c r="AB1492" s="10"/>
      <c r="AC1492" s="10"/>
      <c r="AD1492" s="10"/>
      <c r="AE1492" s="10"/>
      <c r="AF1492" s="10"/>
    </row>
    <row r="1493">
      <c r="A1493" s="7"/>
      <c r="B1493" s="8">
        <v>129.0</v>
      </c>
      <c r="C1493" s="8">
        <v>9.0</v>
      </c>
      <c r="D1493" s="8" t="s">
        <v>2101</v>
      </c>
      <c r="E1493" s="7">
        <v>0.0</v>
      </c>
      <c r="F1493" s="7"/>
      <c r="G1493" s="7" t="s">
        <v>312</v>
      </c>
      <c r="H1493" s="7" t="s">
        <v>313</v>
      </c>
      <c r="I1493" s="10"/>
      <c r="J1493" s="11"/>
      <c r="K1493" s="8" t="s">
        <v>2095</v>
      </c>
      <c r="L1493" s="12"/>
      <c r="M1493" s="10"/>
      <c r="N1493" s="10"/>
      <c r="O1493" s="10"/>
      <c r="P1493" s="10"/>
      <c r="Q1493" s="10"/>
      <c r="R1493" s="10"/>
      <c r="S1493" s="10"/>
      <c r="T1493" s="10"/>
      <c r="U1493" s="10"/>
      <c r="V1493" s="10"/>
      <c r="W1493" s="10"/>
      <c r="X1493" s="10"/>
      <c r="Y1493" s="10"/>
      <c r="Z1493" s="10"/>
      <c r="AA1493" s="10"/>
      <c r="AB1493" s="10"/>
      <c r="AC1493" s="10"/>
      <c r="AD1493" s="10"/>
      <c r="AE1493" s="10"/>
      <c r="AF1493" s="10"/>
    </row>
    <row r="1494">
      <c r="A1494" s="7"/>
      <c r="B1494" s="8">
        <v>129.0</v>
      </c>
      <c r="C1494" s="8">
        <v>10.0</v>
      </c>
      <c r="D1494" s="8" t="s">
        <v>2102</v>
      </c>
      <c r="E1494" s="7">
        <v>2.0</v>
      </c>
      <c r="F1494" s="7"/>
      <c r="G1494" s="7" t="s">
        <v>312</v>
      </c>
      <c r="H1494" s="7" t="s">
        <v>313</v>
      </c>
      <c r="I1494" s="10"/>
      <c r="J1494" s="9" t="s">
        <v>2103</v>
      </c>
      <c r="K1494" s="8" t="s">
        <v>1664</v>
      </c>
      <c r="L1494" s="12"/>
      <c r="M1494" s="10"/>
      <c r="N1494" s="10"/>
      <c r="O1494" s="10"/>
      <c r="P1494" s="10"/>
      <c r="Q1494" s="10"/>
      <c r="R1494" s="10"/>
      <c r="S1494" s="10"/>
      <c r="T1494" s="10"/>
      <c r="U1494" s="10"/>
      <c r="V1494" s="10"/>
      <c r="W1494" s="10"/>
      <c r="X1494" s="10"/>
      <c r="Y1494" s="10"/>
      <c r="Z1494" s="10"/>
      <c r="AA1494" s="10"/>
      <c r="AB1494" s="10"/>
      <c r="AC1494" s="10"/>
      <c r="AD1494" s="10"/>
      <c r="AE1494" s="10"/>
      <c r="AF1494" s="10"/>
    </row>
    <row r="1495">
      <c r="A1495" s="7"/>
      <c r="B1495" s="8">
        <v>129.0</v>
      </c>
      <c r="C1495" s="8">
        <v>11.0</v>
      </c>
      <c r="D1495" s="8" t="s">
        <v>2104</v>
      </c>
      <c r="E1495" s="7">
        <v>2.0</v>
      </c>
      <c r="F1495" s="7"/>
      <c r="G1495" s="7" t="s">
        <v>312</v>
      </c>
      <c r="H1495" s="7" t="s">
        <v>313</v>
      </c>
      <c r="I1495" s="10"/>
      <c r="J1495" s="9" t="s">
        <v>2105</v>
      </c>
      <c r="K1495" s="8" t="s">
        <v>1664</v>
      </c>
      <c r="L1495" s="12"/>
      <c r="M1495" s="10"/>
      <c r="N1495" s="10"/>
      <c r="O1495" s="10"/>
      <c r="P1495" s="10"/>
      <c r="Q1495" s="10"/>
      <c r="R1495" s="10"/>
      <c r="S1495" s="10"/>
      <c r="T1495" s="10"/>
      <c r="U1495" s="10"/>
      <c r="V1495" s="10"/>
      <c r="W1495" s="10"/>
      <c r="X1495" s="10"/>
      <c r="Y1495" s="10"/>
      <c r="Z1495" s="10"/>
      <c r="AA1495" s="10"/>
      <c r="AB1495" s="10"/>
      <c r="AC1495" s="10"/>
      <c r="AD1495" s="10"/>
      <c r="AE1495" s="10"/>
      <c r="AF1495" s="10"/>
    </row>
    <row r="1496">
      <c r="A1496" s="7"/>
      <c r="B1496" s="8">
        <v>129.0</v>
      </c>
      <c r="C1496" s="8">
        <v>12.0</v>
      </c>
      <c r="D1496" s="8" t="s">
        <v>2106</v>
      </c>
      <c r="E1496" s="7">
        <v>0.0</v>
      </c>
      <c r="F1496" s="7"/>
      <c r="G1496" s="7" t="s">
        <v>312</v>
      </c>
      <c r="H1496" s="7" t="s">
        <v>313</v>
      </c>
      <c r="I1496" s="10"/>
      <c r="J1496" s="11"/>
      <c r="K1496" s="12"/>
      <c r="L1496" s="12"/>
      <c r="M1496" s="10"/>
      <c r="N1496" s="10"/>
      <c r="O1496" s="10"/>
      <c r="P1496" s="10"/>
      <c r="Q1496" s="10"/>
      <c r="R1496" s="10"/>
      <c r="S1496" s="10"/>
      <c r="T1496" s="10"/>
      <c r="U1496" s="10"/>
      <c r="V1496" s="10"/>
      <c r="W1496" s="10"/>
      <c r="X1496" s="10"/>
      <c r="Y1496" s="10"/>
      <c r="Z1496" s="10"/>
      <c r="AA1496" s="10"/>
      <c r="AB1496" s="10"/>
      <c r="AC1496" s="10"/>
      <c r="AD1496" s="10"/>
      <c r="AE1496" s="10"/>
      <c r="AF1496" s="10"/>
    </row>
    <row r="1497">
      <c r="A1497" s="7"/>
      <c r="B1497" s="8">
        <v>129.0</v>
      </c>
      <c r="C1497" s="8">
        <v>13.0</v>
      </c>
      <c r="D1497" s="8" t="s">
        <v>2107</v>
      </c>
      <c r="E1497" s="7">
        <v>0.0</v>
      </c>
      <c r="F1497" s="7"/>
      <c r="G1497" s="7" t="s">
        <v>312</v>
      </c>
      <c r="H1497" s="7" t="s">
        <v>313</v>
      </c>
      <c r="I1497" s="10"/>
      <c r="J1497" s="11"/>
      <c r="K1497" s="12"/>
      <c r="L1497" s="12"/>
      <c r="M1497" s="10"/>
      <c r="N1497" s="10"/>
      <c r="O1497" s="10"/>
      <c r="P1497" s="10"/>
      <c r="Q1497" s="10"/>
      <c r="R1497" s="10"/>
      <c r="S1497" s="10"/>
      <c r="T1497" s="10"/>
      <c r="U1497" s="10"/>
      <c r="V1497" s="10"/>
      <c r="W1497" s="10"/>
      <c r="X1497" s="10"/>
      <c r="Y1497" s="10"/>
      <c r="Z1497" s="10"/>
      <c r="AA1497" s="10"/>
      <c r="AB1497" s="10"/>
      <c r="AC1497" s="10"/>
      <c r="AD1497" s="10"/>
      <c r="AE1497" s="10"/>
      <c r="AF1497" s="10"/>
    </row>
    <row r="1498">
      <c r="A1498" s="7"/>
      <c r="B1498" s="8">
        <v>129.0</v>
      </c>
      <c r="C1498" s="8">
        <v>14.0</v>
      </c>
      <c r="D1498" s="8" t="s">
        <v>2108</v>
      </c>
      <c r="E1498" s="7">
        <v>2.0</v>
      </c>
      <c r="F1498" s="7" t="s">
        <v>320</v>
      </c>
      <c r="G1498" s="7" t="s">
        <v>312</v>
      </c>
      <c r="H1498" s="7" t="s">
        <v>313</v>
      </c>
      <c r="I1498" s="7" t="s">
        <v>366</v>
      </c>
      <c r="J1498" s="16" t="s">
        <v>850</v>
      </c>
      <c r="K1498" s="8" t="s">
        <v>2109</v>
      </c>
      <c r="L1498" s="12"/>
      <c r="M1498" s="10"/>
      <c r="N1498" s="10"/>
      <c r="O1498" s="10"/>
      <c r="P1498" s="10"/>
      <c r="Q1498" s="10"/>
      <c r="R1498" s="10"/>
      <c r="S1498" s="10"/>
      <c r="T1498" s="10"/>
      <c r="U1498" s="10"/>
      <c r="V1498" s="10"/>
      <c r="W1498" s="10"/>
      <c r="X1498" s="10"/>
      <c r="Y1498" s="10"/>
      <c r="Z1498" s="10"/>
      <c r="AA1498" s="10"/>
      <c r="AB1498" s="10"/>
      <c r="AC1498" s="10"/>
      <c r="AD1498" s="10"/>
      <c r="AE1498" s="10"/>
      <c r="AF1498" s="10"/>
    </row>
    <row r="1499">
      <c r="A1499" s="7"/>
      <c r="B1499" s="8">
        <v>129.0</v>
      </c>
      <c r="C1499" s="8">
        <v>15.0</v>
      </c>
      <c r="D1499" s="8" t="s">
        <v>2110</v>
      </c>
      <c r="E1499" s="7">
        <v>2.0</v>
      </c>
      <c r="F1499" s="7" t="s">
        <v>320</v>
      </c>
      <c r="G1499" s="7" t="s">
        <v>312</v>
      </c>
      <c r="H1499" s="7" t="s">
        <v>313</v>
      </c>
      <c r="I1499" s="7" t="s">
        <v>366</v>
      </c>
      <c r="J1499" s="16" t="s">
        <v>850</v>
      </c>
      <c r="K1499" s="8" t="s">
        <v>2111</v>
      </c>
      <c r="L1499" s="12"/>
      <c r="M1499" s="10"/>
      <c r="N1499" s="10"/>
      <c r="O1499" s="10"/>
      <c r="P1499" s="10"/>
      <c r="Q1499" s="10"/>
      <c r="R1499" s="10"/>
      <c r="S1499" s="10"/>
      <c r="T1499" s="10"/>
      <c r="U1499" s="10"/>
      <c r="V1499" s="10"/>
      <c r="W1499" s="10"/>
      <c r="X1499" s="10"/>
      <c r="Y1499" s="10"/>
      <c r="Z1499" s="10"/>
      <c r="AA1499" s="10"/>
      <c r="AB1499" s="10"/>
      <c r="AC1499" s="10"/>
      <c r="AD1499" s="10"/>
      <c r="AE1499" s="10"/>
      <c r="AF1499" s="10"/>
    </row>
    <row r="1500">
      <c r="A1500" s="10"/>
      <c r="B1500" s="12"/>
      <c r="C1500" s="12"/>
      <c r="D1500" s="12"/>
      <c r="E1500" s="10"/>
      <c r="F1500" s="10"/>
      <c r="G1500" s="10"/>
      <c r="H1500" s="10"/>
      <c r="I1500" s="10"/>
      <c r="J1500" s="11"/>
      <c r="K1500" s="12"/>
      <c r="L1500" s="12"/>
      <c r="M1500" s="10"/>
      <c r="N1500" s="10"/>
      <c r="O1500" s="10"/>
      <c r="P1500" s="10"/>
      <c r="Q1500" s="10"/>
      <c r="R1500" s="10"/>
      <c r="S1500" s="10"/>
      <c r="T1500" s="10"/>
      <c r="U1500" s="10"/>
      <c r="V1500" s="10"/>
      <c r="W1500" s="10"/>
      <c r="X1500" s="10"/>
      <c r="Y1500" s="10"/>
      <c r="Z1500" s="10"/>
      <c r="AA1500" s="10"/>
      <c r="AB1500" s="10"/>
      <c r="AC1500" s="10"/>
      <c r="AD1500" s="10"/>
      <c r="AE1500" s="10"/>
      <c r="AF1500" s="10"/>
    </row>
    <row r="1501">
      <c r="A1501" s="7"/>
      <c r="B1501" s="8">
        <v>130.0</v>
      </c>
      <c r="C1501" s="8">
        <v>1.0</v>
      </c>
      <c r="D1501" s="8" t="s">
        <v>2112</v>
      </c>
      <c r="E1501" s="7">
        <v>0.0</v>
      </c>
      <c r="F1501" s="7"/>
      <c r="G1501" s="7" t="s">
        <v>312</v>
      </c>
      <c r="H1501" s="7" t="s">
        <v>313</v>
      </c>
      <c r="I1501" s="10"/>
      <c r="J1501" s="24"/>
      <c r="K1501" s="12"/>
      <c r="L1501" s="12"/>
      <c r="M1501" s="10"/>
      <c r="N1501" s="10"/>
      <c r="O1501" s="10"/>
      <c r="P1501" s="10"/>
      <c r="Q1501" s="10"/>
      <c r="R1501" s="10"/>
      <c r="S1501" s="10"/>
      <c r="T1501" s="10"/>
      <c r="U1501" s="10"/>
      <c r="V1501" s="10"/>
      <c r="W1501" s="10"/>
      <c r="X1501" s="10"/>
      <c r="Y1501" s="10"/>
      <c r="Z1501" s="10"/>
      <c r="AA1501" s="10"/>
      <c r="AB1501" s="10"/>
      <c r="AC1501" s="10"/>
      <c r="AD1501" s="10"/>
      <c r="AE1501" s="10"/>
      <c r="AF1501" s="10"/>
    </row>
    <row r="1502">
      <c r="A1502" s="7"/>
      <c r="B1502" s="8">
        <v>130.0</v>
      </c>
      <c r="C1502" s="8">
        <v>2.0</v>
      </c>
      <c r="D1502" s="8" t="s">
        <v>2113</v>
      </c>
      <c r="E1502" s="7">
        <v>0.0</v>
      </c>
      <c r="F1502" s="7"/>
      <c r="G1502" s="7" t="s">
        <v>312</v>
      </c>
      <c r="H1502" s="7" t="s">
        <v>313</v>
      </c>
      <c r="I1502" s="10"/>
      <c r="J1502" s="24"/>
      <c r="K1502" s="12"/>
      <c r="L1502" s="12"/>
      <c r="M1502" s="10"/>
      <c r="N1502" s="10"/>
      <c r="O1502" s="10"/>
      <c r="P1502" s="10"/>
      <c r="Q1502" s="10"/>
      <c r="R1502" s="10"/>
      <c r="S1502" s="10"/>
      <c r="T1502" s="10"/>
      <c r="U1502" s="10"/>
      <c r="V1502" s="10"/>
      <c r="W1502" s="10"/>
      <c r="X1502" s="10"/>
      <c r="Y1502" s="10"/>
      <c r="Z1502" s="10"/>
      <c r="AA1502" s="10"/>
      <c r="AB1502" s="10"/>
      <c r="AC1502" s="10"/>
      <c r="AD1502" s="10"/>
      <c r="AE1502" s="10"/>
      <c r="AF1502" s="10"/>
    </row>
    <row r="1503">
      <c r="A1503" s="7"/>
      <c r="B1503" s="8">
        <v>130.0</v>
      </c>
      <c r="C1503" s="8">
        <v>3.0</v>
      </c>
      <c r="D1503" s="8" t="s">
        <v>2114</v>
      </c>
      <c r="E1503" s="7">
        <v>0.0</v>
      </c>
      <c r="F1503" s="7"/>
      <c r="G1503" s="7" t="s">
        <v>312</v>
      </c>
      <c r="H1503" s="7" t="s">
        <v>313</v>
      </c>
      <c r="I1503" s="10"/>
      <c r="J1503" s="24"/>
      <c r="K1503" s="8" t="s">
        <v>2115</v>
      </c>
      <c r="L1503" s="14" t="s">
        <v>2116</v>
      </c>
      <c r="M1503" s="10"/>
      <c r="N1503" s="10"/>
      <c r="O1503" s="10"/>
      <c r="P1503" s="10"/>
      <c r="Q1503" s="10"/>
      <c r="R1503" s="10"/>
      <c r="S1503" s="10"/>
      <c r="T1503" s="10"/>
      <c r="U1503" s="10"/>
      <c r="V1503" s="10"/>
      <c r="W1503" s="10"/>
      <c r="X1503" s="10"/>
      <c r="Y1503" s="10"/>
      <c r="Z1503" s="10"/>
      <c r="AA1503" s="10"/>
      <c r="AB1503" s="10"/>
      <c r="AC1503" s="10"/>
      <c r="AD1503" s="10"/>
      <c r="AE1503" s="10"/>
      <c r="AF1503" s="10"/>
    </row>
    <row r="1504">
      <c r="A1504" s="7"/>
      <c r="B1504" s="8">
        <v>130.0</v>
      </c>
      <c r="C1504" s="8">
        <v>4.0</v>
      </c>
      <c r="D1504" s="8" t="s">
        <v>2117</v>
      </c>
      <c r="E1504" s="7">
        <v>2.0</v>
      </c>
      <c r="F1504" s="7" t="s">
        <v>320</v>
      </c>
      <c r="G1504" s="7" t="s">
        <v>312</v>
      </c>
      <c r="H1504" s="7" t="s">
        <v>313</v>
      </c>
      <c r="I1504" s="10"/>
      <c r="J1504" s="23" t="s">
        <v>2118</v>
      </c>
      <c r="K1504" s="12"/>
      <c r="L1504" s="12"/>
      <c r="M1504" s="10"/>
      <c r="N1504" s="10"/>
      <c r="O1504" s="10"/>
      <c r="P1504" s="10"/>
      <c r="Q1504" s="10"/>
      <c r="R1504" s="10"/>
      <c r="S1504" s="10"/>
      <c r="T1504" s="10"/>
      <c r="U1504" s="10"/>
      <c r="V1504" s="10"/>
      <c r="W1504" s="10"/>
      <c r="X1504" s="10"/>
      <c r="Y1504" s="10"/>
      <c r="Z1504" s="10"/>
      <c r="AA1504" s="10"/>
      <c r="AB1504" s="10"/>
      <c r="AC1504" s="10"/>
      <c r="AD1504" s="10"/>
      <c r="AE1504" s="10"/>
      <c r="AF1504" s="10"/>
    </row>
    <row r="1505">
      <c r="A1505" s="7"/>
      <c r="B1505" s="8">
        <v>130.0</v>
      </c>
      <c r="C1505" s="8">
        <v>5.0</v>
      </c>
      <c r="D1505" s="8" t="s">
        <v>2119</v>
      </c>
      <c r="E1505" s="7">
        <v>2.0</v>
      </c>
      <c r="F1505" s="7"/>
      <c r="G1505" s="7" t="s">
        <v>312</v>
      </c>
      <c r="H1505" s="7" t="s">
        <v>313</v>
      </c>
      <c r="I1505" s="10"/>
      <c r="J1505" s="9" t="s">
        <v>2120</v>
      </c>
      <c r="K1505" s="12"/>
      <c r="L1505" s="12"/>
      <c r="M1505" s="10"/>
      <c r="N1505" s="10"/>
      <c r="O1505" s="10"/>
      <c r="P1505" s="10"/>
      <c r="Q1505" s="10"/>
      <c r="R1505" s="10"/>
      <c r="S1505" s="10"/>
      <c r="T1505" s="10"/>
      <c r="U1505" s="10"/>
      <c r="V1505" s="10"/>
      <c r="W1505" s="10"/>
      <c r="X1505" s="10"/>
      <c r="Y1505" s="10"/>
      <c r="Z1505" s="10"/>
      <c r="AA1505" s="10"/>
      <c r="AB1505" s="10"/>
      <c r="AC1505" s="10"/>
      <c r="AD1505" s="10"/>
      <c r="AE1505" s="10"/>
      <c r="AF1505" s="10"/>
    </row>
    <row r="1506">
      <c r="A1506" s="7"/>
      <c r="B1506" s="8">
        <v>130.0</v>
      </c>
      <c r="C1506" s="8">
        <v>6.0</v>
      </c>
      <c r="D1506" s="8" t="s">
        <v>2121</v>
      </c>
      <c r="E1506" s="7">
        <v>2.0</v>
      </c>
      <c r="F1506" s="7"/>
      <c r="G1506" s="7" t="s">
        <v>312</v>
      </c>
      <c r="H1506" s="7" t="s">
        <v>313</v>
      </c>
      <c r="I1506" s="10"/>
      <c r="J1506" s="9" t="s">
        <v>2122</v>
      </c>
      <c r="K1506" s="12"/>
      <c r="L1506" s="12"/>
      <c r="M1506" s="10"/>
      <c r="N1506" s="10"/>
      <c r="O1506" s="10"/>
      <c r="P1506" s="10"/>
      <c r="Q1506" s="10"/>
      <c r="R1506" s="10"/>
      <c r="S1506" s="10"/>
      <c r="T1506" s="10"/>
      <c r="U1506" s="10"/>
      <c r="V1506" s="10"/>
      <c r="W1506" s="10"/>
      <c r="X1506" s="10"/>
      <c r="Y1506" s="10"/>
      <c r="Z1506" s="10"/>
      <c r="AA1506" s="10"/>
      <c r="AB1506" s="10"/>
      <c r="AC1506" s="10"/>
      <c r="AD1506" s="10"/>
      <c r="AE1506" s="10"/>
      <c r="AF1506" s="10"/>
    </row>
    <row r="1507">
      <c r="A1507" s="7"/>
      <c r="B1507" s="8">
        <v>130.0</v>
      </c>
      <c r="C1507" s="8">
        <v>7.0</v>
      </c>
      <c r="D1507" s="8" t="s">
        <v>2123</v>
      </c>
      <c r="E1507" s="7">
        <v>2.0</v>
      </c>
      <c r="F1507" s="7"/>
      <c r="G1507" s="7" t="s">
        <v>312</v>
      </c>
      <c r="H1507" s="7" t="s">
        <v>313</v>
      </c>
      <c r="I1507" s="10"/>
      <c r="J1507" s="9" t="s">
        <v>2124</v>
      </c>
      <c r="K1507" s="12"/>
      <c r="L1507" s="12"/>
      <c r="M1507" s="10"/>
      <c r="N1507" s="10"/>
      <c r="O1507" s="10"/>
      <c r="P1507" s="10"/>
      <c r="Q1507" s="10"/>
      <c r="R1507" s="10"/>
      <c r="S1507" s="10"/>
      <c r="T1507" s="10"/>
      <c r="U1507" s="10"/>
      <c r="V1507" s="10"/>
      <c r="W1507" s="10"/>
      <c r="X1507" s="10"/>
      <c r="Y1507" s="10"/>
      <c r="Z1507" s="10"/>
      <c r="AA1507" s="10"/>
      <c r="AB1507" s="10"/>
      <c r="AC1507" s="10"/>
      <c r="AD1507" s="10"/>
      <c r="AE1507" s="10"/>
      <c r="AF1507" s="10"/>
    </row>
    <row r="1508">
      <c r="A1508" s="7"/>
      <c r="B1508" s="8">
        <v>130.0</v>
      </c>
      <c r="C1508" s="8">
        <v>8.0</v>
      </c>
      <c r="D1508" s="8" t="s">
        <v>2125</v>
      </c>
      <c r="E1508" s="7">
        <v>0.0</v>
      </c>
      <c r="F1508" s="7"/>
      <c r="G1508" s="7" t="s">
        <v>312</v>
      </c>
      <c r="H1508" s="7" t="s">
        <v>313</v>
      </c>
      <c r="I1508" s="10"/>
      <c r="J1508" s="11"/>
      <c r="K1508" s="12"/>
      <c r="L1508" s="12"/>
      <c r="M1508" s="10"/>
      <c r="N1508" s="10"/>
      <c r="O1508" s="10"/>
      <c r="P1508" s="10"/>
      <c r="Q1508" s="10"/>
      <c r="R1508" s="10"/>
      <c r="S1508" s="10"/>
      <c r="T1508" s="10"/>
      <c r="U1508" s="10"/>
      <c r="V1508" s="10"/>
      <c r="W1508" s="10"/>
      <c r="X1508" s="10"/>
      <c r="Y1508" s="10"/>
      <c r="Z1508" s="10"/>
      <c r="AA1508" s="10"/>
      <c r="AB1508" s="10"/>
      <c r="AC1508" s="10"/>
      <c r="AD1508" s="10"/>
      <c r="AE1508" s="10"/>
      <c r="AF1508" s="10"/>
    </row>
    <row r="1509">
      <c r="A1509" s="7"/>
      <c r="B1509" s="8">
        <v>130.0</v>
      </c>
      <c r="C1509" s="8">
        <v>9.0</v>
      </c>
      <c r="D1509" s="8" t="s">
        <v>2126</v>
      </c>
      <c r="E1509" s="7">
        <v>0.0</v>
      </c>
      <c r="F1509" s="7"/>
      <c r="G1509" s="7" t="s">
        <v>312</v>
      </c>
      <c r="H1509" s="7" t="s">
        <v>313</v>
      </c>
      <c r="I1509" s="10"/>
      <c r="J1509" s="11"/>
      <c r="K1509" s="8" t="s">
        <v>2127</v>
      </c>
      <c r="L1509" s="14" t="s">
        <v>2116</v>
      </c>
      <c r="M1509" s="10"/>
      <c r="N1509" s="10"/>
      <c r="O1509" s="10"/>
      <c r="P1509" s="10"/>
      <c r="Q1509" s="10"/>
      <c r="R1509" s="10"/>
      <c r="S1509" s="10"/>
      <c r="T1509" s="10"/>
      <c r="U1509" s="10"/>
      <c r="V1509" s="10"/>
      <c r="W1509" s="10"/>
      <c r="X1509" s="10"/>
      <c r="Y1509" s="10"/>
      <c r="Z1509" s="10"/>
      <c r="AA1509" s="10"/>
      <c r="AB1509" s="10"/>
      <c r="AC1509" s="10"/>
      <c r="AD1509" s="10"/>
      <c r="AE1509" s="10"/>
      <c r="AF1509" s="10"/>
    </row>
    <row r="1510">
      <c r="A1510" s="7"/>
      <c r="B1510" s="8">
        <v>130.0</v>
      </c>
      <c r="C1510" s="8">
        <v>10.0</v>
      </c>
      <c r="D1510" s="8" t="s">
        <v>2128</v>
      </c>
      <c r="E1510" s="7">
        <v>2.0</v>
      </c>
      <c r="F1510" s="7" t="s">
        <v>320</v>
      </c>
      <c r="G1510" s="7" t="s">
        <v>312</v>
      </c>
      <c r="H1510" s="7" t="s">
        <v>313</v>
      </c>
      <c r="I1510" s="7" t="s">
        <v>366</v>
      </c>
      <c r="J1510" s="23" t="s">
        <v>2118</v>
      </c>
      <c r="K1510" s="12"/>
      <c r="L1510" s="12"/>
      <c r="M1510" s="10"/>
      <c r="N1510" s="10"/>
      <c r="O1510" s="10"/>
      <c r="P1510" s="10"/>
      <c r="Q1510" s="10"/>
      <c r="R1510" s="10"/>
      <c r="S1510" s="10"/>
      <c r="T1510" s="10"/>
      <c r="U1510" s="10"/>
      <c r="V1510" s="10"/>
      <c r="W1510" s="10"/>
      <c r="X1510" s="10"/>
      <c r="Y1510" s="10"/>
      <c r="Z1510" s="10"/>
      <c r="AA1510" s="10"/>
      <c r="AB1510" s="10"/>
      <c r="AC1510" s="10"/>
      <c r="AD1510" s="10"/>
      <c r="AE1510" s="10"/>
      <c r="AF1510" s="10"/>
    </row>
    <row r="1511">
      <c r="A1511" s="7"/>
      <c r="B1511" s="8">
        <v>130.0</v>
      </c>
      <c r="C1511" s="8">
        <v>11.0</v>
      </c>
      <c r="D1511" s="8" t="s">
        <v>2129</v>
      </c>
      <c r="E1511" s="7">
        <v>2.0</v>
      </c>
      <c r="F1511" s="7"/>
      <c r="G1511" s="7" t="s">
        <v>312</v>
      </c>
      <c r="H1511" s="7" t="s">
        <v>313</v>
      </c>
      <c r="I1511" s="10"/>
      <c r="J1511" s="9" t="s">
        <v>2130</v>
      </c>
      <c r="K1511" s="12"/>
      <c r="L1511" s="12"/>
      <c r="M1511" s="10"/>
      <c r="N1511" s="10"/>
      <c r="O1511" s="10"/>
      <c r="P1511" s="10"/>
      <c r="Q1511" s="10"/>
      <c r="R1511" s="10"/>
      <c r="S1511" s="10"/>
      <c r="T1511" s="10"/>
      <c r="U1511" s="10"/>
      <c r="V1511" s="10"/>
      <c r="W1511" s="10"/>
      <c r="X1511" s="10"/>
      <c r="Y1511" s="10"/>
      <c r="Z1511" s="10"/>
      <c r="AA1511" s="10"/>
      <c r="AB1511" s="10"/>
      <c r="AC1511" s="10"/>
      <c r="AD1511" s="10"/>
      <c r="AE1511" s="10"/>
      <c r="AF1511" s="10"/>
    </row>
    <row r="1512">
      <c r="A1512" s="7"/>
      <c r="B1512" s="8">
        <v>130.0</v>
      </c>
      <c r="C1512" s="8">
        <v>12.0</v>
      </c>
      <c r="D1512" s="8" t="s">
        <v>2131</v>
      </c>
      <c r="E1512" s="7">
        <v>2.0</v>
      </c>
      <c r="F1512" s="7"/>
      <c r="G1512" s="7" t="s">
        <v>312</v>
      </c>
      <c r="H1512" s="7" t="s">
        <v>313</v>
      </c>
      <c r="I1512" s="10"/>
      <c r="J1512" s="9" t="s">
        <v>2132</v>
      </c>
      <c r="K1512" s="12"/>
      <c r="L1512" s="12"/>
      <c r="M1512" s="10"/>
      <c r="N1512" s="10"/>
      <c r="O1512" s="10"/>
      <c r="P1512" s="10"/>
      <c r="Q1512" s="10"/>
      <c r="R1512" s="10"/>
      <c r="S1512" s="10"/>
      <c r="T1512" s="10"/>
      <c r="U1512" s="10"/>
      <c r="V1512" s="10"/>
      <c r="W1512" s="10"/>
      <c r="X1512" s="10"/>
      <c r="Y1512" s="10"/>
      <c r="Z1512" s="10"/>
      <c r="AA1512" s="10"/>
      <c r="AB1512" s="10"/>
      <c r="AC1512" s="10"/>
      <c r="AD1512" s="10"/>
      <c r="AE1512" s="10"/>
      <c r="AF1512" s="10"/>
    </row>
    <row r="1513">
      <c r="A1513" s="7"/>
      <c r="B1513" s="8">
        <v>130.0</v>
      </c>
      <c r="C1513" s="8">
        <v>13.0</v>
      </c>
      <c r="D1513" s="8" t="s">
        <v>2133</v>
      </c>
      <c r="E1513" s="7">
        <v>2.0</v>
      </c>
      <c r="F1513" s="7"/>
      <c r="G1513" s="7" t="s">
        <v>312</v>
      </c>
      <c r="H1513" s="7" t="s">
        <v>313</v>
      </c>
      <c r="I1513" s="10"/>
      <c r="J1513" s="9" t="s">
        <v>2134</v>
      </c>
      <c r="K1513" s="12"/>
      <c r="L1513" s="12"/>
      <c r="M1513" s="10"/>
      <c r="N1513" s="10"/>
      <c r="O1513" s="10"/>
      <c r="P1513" s="10"/>
      <c r="Q1513" s="10"/>
      <c r="R1513" s="10"/>
      <c r="S1513" s="10"/>
      <c r="T1513" s="10"/>
      <c r="U1513" s="10"/>
      <c r="V1513" s="10"/>
      <c r="W1513" s="10"/>
      <c r="X1513" s="10"/>
      <c r="Y1513" s="10"/>
      <c r="Z1513" s="10"/>
      <c r="AA1513" s="10"/>
      <c r="AB1513" s="10"/>
      <c r="AC1513" s="10"/>
      <c r="AD1513" s="10"/>
      <c r="AE1513" s="10"/>
      <c r="AF1513" s="10"/>
    </row>
    <row r="1514">
      <c r="A1514" s="7"/>
      <c r="B1514" s="8">
        <v>130.0</v>
      </c>
      <c r="C1514" s="8">
        <v>14.0</v>
      </c>
      <c r="D1514" s="8" t="s">
        <v>2135</v>
      </c>
      <c r="E1514" s="7">
        <v>0.0</v>
      </c>
      <c r="F1514" s="7"/>
      <c r="G1514" s="7" t="s">
        <v>312</v>
      </c>
      <c r="H1514" s="7" t="s">
        <v>313</v>
      </c>
      <c r="I1514" s="10"/>
      <c r="J1514" s="11"/>
      <c r="K1514" s="8" t="s">
        <v>2127</v>
      </c>
      <c r="L1514" s="14" t="s">
        <v>2116</v>
      </c>
      <c r="M1514" s="10"/>
      <c r="N1514" s="10"/>
      <c r="O1514" s="10"/>
      <c r="P1514" s="10"/>
      <c r="Q1514" s="10"/>
      <c r="R1514" s="10"/>
      <c r="S1514" s="10"/>
      <c r="T1514" s="10"/>
      <c r="U1514" s="10"/>
      <c r="V1514" s="10"/>
      <c r="W1514" s="10"/>
      <c r="X1514" s="10"/>
      <c r="Y1514" s="10"/>
      <c r="Z1514" s="10"/>
      <c r="AA1514" s="10"/>
      <c r="AB1514" s="10"/>
      <c r="AC1514" s="10"/>
      <c r="AD1514" s="10"/>
      <c r="AE1514" s="10"/>
      <c r="AF1514" s="10"/>
    </row>
    <row r="1515">
      <c r="A1515" s="7"/>
      <c r="B1515" s="8">
        <v>130.0</v>
      </c>
      <c r="C1515" s="8">
        <v>15.0</v>
      </c>
      <c r="D1515" s="8" t="s">
        <v>2136</v>
      </c>
      <c r="E1515" s="7">
        <v>2.0</v>
      </c>
      <c r="F1515" s="7" t="s">
        <v>320</v>
      </c>
      <c r="G1515" s="7" t="s">
        <v>312</v>
      </c>
      <c r="H1515" s="7" t="s">
        <v>313</v>
      </c>
      <c r="I1515" s="7" t="s">
        <v>366</v>
      </c>
      <c r="J1515" s="23" t="s">
        <v>2118</v>
      </c>
      <c r="K1515" s="12"/>
      <c r="L1515" s="12"/>
      <c r="M1515" s="10"/>
      <c r="N1515" s="10"/>
      <c r="O1515" s="10"/>
      <c r="P1515" s="10"/>
      <c r="Q1515" s="10"/>
      <c r="R1515" s="10"/>
      <c r="S1515" s="10"/>
      <c r="T1515" s="10"/>
      <c r="U1515" s="10"/>
      <c r="V1515" s="10"/>
      <c r="W1515" s="10"/>
      <c r="X1515" s="10"/>
      <c r="Y1515" s="10"/>
      <c r="Z1515" s="10"/>
      <c r="AA1515" s="10"/>
      <c r="AB1515" s="10"/>
      <c r="AC1515" s="10"/>
      <c r="AD1515" s="10"/>
      <c r="AE1515" s="10"/>
      <c r="AF1515" s="10"/>
    </row>
    <row r="1516">
      <c r="A1516" s="7"/>
      <c r="B1516" s="8">
        <v>130.0</v>
      </c>
      <c r="C1516" s="8">
        <v>16.0</v>
      </c>
      <c r="D1516" s="8" t="s">
        <v>2137</v>
      </c>
      <c r="E1516" s="7">
        <v>2.0</v>
      </c>
      <c r="F1516" s="7"/>
      <c r="G1516" s="7" t="s">
        <v>312</v>
      </c>
      <c r="H1516" s="7" t="s">
        <v>313</v>
      </c>
      <c r="I1516" s="7"/>
      <c r="J1516" s="9" t="s">
        <v>2130</v>
      </c>
      <c r="K1516" s="12"/>
      <c r="L1516" s="12"/>
      <c r="M1516" s="10"/>
      <c r="N1516" s="10"/>
      <c r="O1516" s="10"/>
      <c r="P1516" s="10"/>
      <c r="Q1516" s="10"/>
      <c r="R1516" s="10"/>
      <c r="S1516" s="10"/>
      <c r="T1516" s="10"/>
      <c r="U1516" s="10"/>
      <c r="V1516" s="10"/>
      <c r="W1516" s="10"/>
      <c r="X1516" s="10"/>
      <c r="Y1516" s="10"/>
      <c r="Z1516" s="10"/>
      <c r="AA1516" s="10"/>
      <c r="AB1516" s="10"/>
      <c r="AC1516" s="10"/>
      <c r="AD1516" s="10"/>
      <c r="AE1516" s="10"/>
      <c r="AF1516" s="10"/>
    </row>
    <row r="1517">
      <c r="A1517" s="7"/>
      <c r="B1517" s="8">
        <v>130.0</v>
      </c>
      <c r="C1517" s="8">
        <v>17.0</v>
      </c>
      <c r="D1517" s="8" t="s">
        <v>2138</v>
      </c>
      <c r="E1517" s="7">
        <v>2.0</v>
      </c>
      <c r="F1517" s="7"/>
      <c r="G1517" s="7" t="s">
        <v>312</v>
      </c>
      <c r="H1517" s="7" t="s">
        <v>313</v>
      </c>
      <c r="I1517" s="7"/>
      <c r="J1517" s="9" t="s">
        <v>2132</v>
      </c>
      <c r="K1517" s="12"/>
      <c r="L1517" s="12"/>
      <c r="M1517" s="10"/>
      <c r="N1517" s="10"/>
      <c r="O1517" s="10"/>
      <c r="P1517" s="10"/>
      <c r="Q1517" s="10"/>
      <c r="R1517" s="10"/>
      <c r="S1517" s="10"/>
      <c r="T1517" s="10"/>
      <c r="U1517" s="10"/>
      <c r="V1517" s="10"/>
      <c r="W1517" s="10"/>
      <c r="X1517" s="10"/>
      <c r="Y1517" s="10"/>
      <c r="Z1517" s="10"/>
      <c r="AA1517" s="10"/>
      <c r="AB1517" s="10"/>
      <c r="AC1517" s="10"/>
      <c r="AD1517" s="10"/>
      <c r="AE1517" s="10"/>
      <c r="AF1517" s="10"/>
    </row>
    <row r="1518">
      <c r="A1518" s="7"/>
      <c r="B1518" s="8">
        <v>130.0</v>
      </c>
      <c r="C1518" s="8">
        <v>18.0</v>
      </c>
      <c r="D1518" s="8" t="s">
        <v>2139</v>
      </c>
      <c r="E1518" s="7">
        <v>2.0</v>
      </c>
      <c r="F1518" s="7"/>
      <c r="G1518" s="7" t="s">
        <v>312</v>
      </c>
      <c r="H1518" s="7" t="s">
        <v>313</v>
      </c>
      <c r="I1518" s="7"/>
      <c r="J1518" s="9" t="s">
        <v>2134</v>
      </c>
      <c r="K1518" s="12"/>
      <c r="L1518" s="12"/>
      <c r="M1518" s="10"/>
      <c r="N1518" s="10"/>
      <c r="O1518" s="10"/>
      <c r="P1518" s="10"/>
      <c r="Q1518" s="10"/>
      <c r="R1518" s="10"/>
      <c r="S1518" s="10"/>
      <c r="T1518" s="10"/>
      <c r="U1518" s="10"/>
      <c r="V1518" s="10"/>
      <c r="W1518" s="10"/>
      <c r="X1518" s="10"/>
      <c r="Y1518" s="10"/>
      <c r="Z1518" s="10"/>
      <c r="AA1518" s="10"/>
      <c r="AB1518" s="10"/>
      <c r="AC1518" s="10"/>
      <c r="AD1518" s="10"/>
      <c r="AE1518" s="10"/>
      <c r="AF1518" s="10"/>
    </row>
    <row r="1519">
      <c r="A1519" s="7"/>
      <c r="B1519" s="8">
        <v>130.0</v>
      </c>
      <c r="C1519" s="8">
        <v>19.0</v>
      </c>
      <c r="D1519" s="8" t="s">
        <v>2140</v>
      </c>
      <c r="E1519" s="7">
        <v>0.0</v>
      </c>
      <c r="F1519" s="7"/>
      <c r="G1519" s="7" t="s">
        <v>312</v>
      </c>
      <c r="H1519" s="7" t="s">
        <v>313</v>
      </c>
      <c r="I1519" s="7"/>
      <c r="J1519" s="23" t="s">
        <v>2118</v>
      </c>
      <c r="K1519" s="12"/>
      <c r="L1519" s="12"/>
      <c r="M1519" s="10"/>
      <c r="N1519" s="10"/>
      <c r="O1519" s="10"/>
      <c r="P1519" s="10"/>
      <c r="Q1519" s="10"/>
      <c r="R1519" s="10"/>
      <c r="S1519" s="10"/>
      <c r="T1519" s="10"/>
      <c r="U1519" s="10"/>
      <c r="V1519" s="10"/>
      <c r="W1519" s="10"/>
      <c r="X1519" s="10"/>
      <c r="Y1519" s="10"/>
      <c r="Z1519" s="10"/>
      <c r="AA1519" s="10"/>
      <c r="AB1519" s="10"/>
      <c r="AC1519" s="10"/>
      <c r="AD1519" s="10"/>
      <c r="AE1519" s="10"/>
      <c r="AF1519" s="10"/>
    </row>
    <row r="1520">
      <c r="A1520" s="7"/>
      <c r="B1520" s="8">
        <v>130.0</v>
      </c>
      <c r="C1520" s="8">
        <v>20.0</v>
      </c>
      <c r="D1520" s="8" t="s">
        <v>2141</v>
      </c>
      <c r="E1520" s="7">
        <v>0.0</v>
      </c>
      <c r="F1520" s="7"/>
      <c r="G1520" s="7" t="s">
        <v>312</v>
      </c>
      <c r="H1520" s="7" t="s">
        <v>313</v>
      </c>
      <c r="I1520" s="10"/>
      <c r="J1520" s="11"/>
      <c r="K1520" s="8" t="s">
        <v>2142</v>
      </c>
      <c r="L1520" s="14" t="s">
        <v>2116</v>
      </c>
      <c r="M1520" s="10"/>
      <c r="N1520" s="10"/>
      <c r="O1520" s="10"/>
      <c r="P1520" s="10"/>
      <c r="Q1520" s="10"/>
      <c r="R1520" s="10"/>
      <c r="S1520" s="10"/>
      <c r="T1520" s="10"/>
      <c r="U1520" s="10"/>
      <c r="V1520" s="10"/>
      <c r="W1520" s="10"/>
      <c r="X1520" s="10"/>
      <c r="Y1520" s="10"/>
      <c r="Z1520" s="10"/>
      <c r="AA1520" s="10"/>
      <c r="AB1520" s="10"/>
      <c r="AC1520" s="10"/>
      <c r="AD1520" s="10"/>
      <c r="AE1520" s="10"/>
      <c r="AF1520" s="10"/>
    </row>
    <row r="1521">
      <c r="A1521" s="7"/>
      <c r="B1521" s="8">
        <v>130.0</v>
      </c>
      <c r="C1521" s="8">
        <v>21.0</v>
      </c>
      <c r="D1521" s="8" t="s">
        <v>2143</v>
      </c>
      <c r="E1521" s="7">
        <v>0.0</v>
      </c>
      <c r="F1521" s="7"/>
      <c r="G1521" s="7" t="s">
        <v>312</v>
      </c>
      <c r="H1521" s="7" t="s">
        <v>313</v>
      </c>
      <c r="I1521" s="10"/>
      <c r="J1521" s="11"/>
      <c r="K1521" s="8" t="s">
        <v>2142</v>
      </c>
      <c r="L1521" s="14" t="s">
        <v>2116</v>
      </c>
      <c r="M1521" s="10"/>
      <c r="N1521" s="10"/>
      <c r="O1521" s="10"/>
      <c r="P1521" s="10"/>
      <c r="Q1521" s="10"/>
      <c r="R1521" s="10"/>
      <c r="S1521" s="10"/>
      <c r="T1521" s="10"/>
      <c r="U1521" s="10"/>
      <c r="V1521" s="10"/>
      <c r="W1521" s="10"/>
      <c r="X1521" s="10"/>
      <c r="Y1521" s="10"/>
      <c r="Z1521" s="10"/>
      <c r="AA1521" s="10"/>
      <c r="AB1521" s="10"/>
      <c r="AC1521" s="10"/>
      <c r="AD1521" s="10"/>
      <c r="AE1521" s="10"/>
      <c r="AF1521" s="10"/>
    </row>
    <row r="1522">
      <c r="A1522" s="7"/>
      <c r="B1522" s="8">
        <v>130.0</v>
      </c>
      <c r="C1522" s="8">
        <v>22.0</v>
      </c>
      <c r="D1522" s="8" t="s">
        <v>2144</v>
      </c>
      <c r="E1522" s="7">
        <v>0.0</v>
      </c>
      <c r="F1522" s="7"/>
      <c r="G1522" s="7" t="s">
        <v>312</v>
      </c>
      <c r="H1522" s="7" t="s">
        <v>313</v>
      </c>
      <c r="I1522" s="10"/>
      <c r="J1522" s="11"/>
      <c r="K1522" s="8" t="s">
        <v>2142</v>
      </c>
      <c r="L1522" s="14" t="s">
        <v>2116</v>
      </c>
      <c r="M1522" s="10"/>
      <c r="N1522" s="10"/>
      <c r="O1522" s="10"/>
      <c r="P1522" s="10"/>
      <c r="Q1522" s="10"/>
      <c r="R1522" s="10"/>
      <c r="S1522" s="10"/>
      <c r="T1522" s="10"/>
      <c r="U1522" s="10"/>
      <c r="V1522" s="10"/>
      <c r="W1522" s="10"/>
      <c r="X1522" s="10"/>
      <c r="Y1522" s="10"/>
      <c r="Z1522" s="10"/>
      <c r="AA1522" s="10"/>
      <c r="AB1522" s="10"/>
      <c r="AC1522" s="10"/>
      <c r="AD1522" s="10"/>
      <c r="AE1522" s="10"/>
      <c r="AF1522" s="10"/>
    </row>
    <row r="1523">
      <c r="A1523" s="7"/>
      <c r="B1523" s="8">
        <v>130.0</v>
      </c>
      <c r="C1523" s="8">
        <v>23.0</v>
      </c>
      <c r="D1523" s="8" t="s">
        <v>2145</v>
      </c>
      <c r="E1523" s="7">
        <v>0.0</v>
      </c>
      <c r="F1523" s="7"/>
      <c r="G1523" s="7" t="s">
        <v>312</v>
      </c>
      <c r="H1523" s="7" t="s">
        <v>313</v>
      </c>
      <c r="I1523" s="10"/>
      <c r="J1523" s="11"/>
      <c r="K1523" s="12"/>
      <c r="L1523" s="12"/>
      <c r="M1523" s="10"/>
      <c r="N1523" s="10"/>
      <c r="O1523" s="10"/>
      <c r="P1523" s="10"/>
      <c r="Q1523" s="10"/>
      <c r="R1523" s="10"/>
      <c r="S1523" s="10"/>
      <c r="T1523" s="10"/>
      <c r="U1523" s="10"/>
      <c r="V1523" s="10"/>
      <c r="W1523" s="10"/>
      <c r="X1523" s="10"/>
      <c r="Y1523" s="10"/>
      <c r="Z1523" s="10"/>
      <c r="AA1523" s="10"/>
      <c r="AB1523" s="10"/>
      <c r="AC1523" s="10"/>
      <c r="AD1523" s="10"/>
      <c r="AE1523" s="10"/>
      <c r="AF1523" s="10"/>
    </row>
    <row r="1524">
      <c r="A1524" s="7"/>
      <c r="B1524" s="8">
        <v>130.0</v>
      </c>
      <c r="C1524" s="8">
        <v>24.0</v>
      </c>
      <c r="D1524" s="8" t="s">
        <v>2146</v>
      </c>
      <c r="E1524" s="7">
        <v>0.0</v>
      </c>
      <c r="F1524" s="7"/>
      <c r="G1524" s="7" t="s">
        <v>312</v>
      </c>
      <c r="H1524" s="7" t="s">
        <v>313</v>
      </c>
      <c r="I1524" s="10"/>
      <c r="J1524" s="11"/>
      <c r="K1524" s="12"/>
      <c r="L1524" s="12"/>
      <c r="M1524" s="10"/>
      <c r="N1524" s="10"/>
      <c r="O1524" s="10"/>
      <c r="P1524" s="10"/>
      <c r="Q1524" s="10"/>
      <c r="R1524" s="10"/>
      <c r="S1524" s="10"/>
      <c r="T1524" s="10"/>
      <c r="U1524" s="10"/>
      <c r="V1524" s="10"/>
      <c r="W1524" s="10"/>
      <c r="X1524" s="10"/>
      <c r="Y1524" s="10"/>
      <c r="Z1524" s="10"/>
      <c r="AA1524" s="10"/>
      <c r="AB1524" s="10"/>
      <c r="AC1524" s="10"/>
      <c r="AD1524" s="10"/>
      <c r="AE1524" s="10"/>
      <c r="AF1524" s="10"/>
    </row>
    <row r="1525">
      <c r="A1525" s="7"/>
      <c r="B1525" s="8">
        <v>130.0</v>
      </c>
      <c r="C1525" s="8">
        <v>25.0</v>
      </c>
      <c r="D1525" s="8" t="s">
        <v>2147</v>
      </c>
      <c r="E1525" s="7">
        <v>0.0</v>
      </c>
      <c r="F1525" s="7"/>
      <c r="G1525" s="7" t="s">
        <v>312</v>
      </c>
      <c r="H1525" s="7" t="s">
        <v>313</v>
      </c>
      <c r="I1525" s="10"/>
      <c r="J1525" s="11"/>
      <c r="K1525" s="12"/>
      <c r="L1525" s="12"/>
      <c r="M1525" s="10"/>
      <c r="N1525" s="10"/>
      <c r="O1525" s="10"/>
      <c r="P1525" s="10"/>
      <c r="Q1525" s="10"/>
      <c r="R1525" s="10"/>
      <c r="S1525" s="10"/>
      <c r="T1525" s="10"/>
      <c r="U1525" s="10"/>
      <c r="V1525" s="10"/>
      <c r="W1525" s="10"/>
      <c r="X1525" s="10"/>
      <c r="Y1525" s="10"/>
      <c r="Z1525" s="10"/>
      <c r="AA1525" s="10"/>
      <c r="AB1525" s="10"/>
      <c r="AC1525" s="10"/>
      <c r="AD1525" s="10"/>
      <c r="AE1525" s="10"/>
      <c r="AF1525" s="10"/>
    </row>
    <row r="1526">
      <c r="A1526" s="7"/>
      <c r="B1526" s="8">
        <v>130.0</v>
      </c>
      <c r="C1526" s="8">
        <v>26.0</v>
      </c>
      <c r="D1526" s="8" t="s">
        <v>2148</v>
      </c>
      <c r="E1526" s="7">
        <v>0.0</v>
      </c>
      <c r="F1526" s="7"/>
      <c r="G1526" s="7" t="s">
        <v>312</v>
      </c>
      <c r="H1526" s="7" t="s">
        <v>313</v>
      </c>
      <c r="I1526" s="10"/>
      <c r="J1526" s="11"/>
      <c r="K1526" s="12"/>
      <c r="L1526" s="12"/>
      <c r="M1526" s="10"/>
      <c r="N1526" s="10"/>
      <c r="O1526" s="10"/>
      <c r="P1526" s="10"/>
      <c r="Q1526" s="10"/>
      <c r="R1526" s="10"/>
      <c r="S1526" s="10"/>
      <c r="T1526" s="10"/>
      <c r="U1526" s="10"/>
      <c r="V1526" s="10"/>
      <c r="W1526" s="10"/>
      <c r="X1526" s="10"/>
      <c r="Y1526" s="10"/>
      <c r="Z1526" s="10"/>
      <c r="AA1526" s="10"/>
      <c r="AB1526" s="10"/>
      <c r="AC1526" s="10"/>
      <c r="AD1526" s="10"/>
      <c r="AE1526" s="10"/>
      <c r="AF1526" s="10"/>
    </row>
    <row r="1527">
      <c r="A1527" s="7"/>
      <c r="B1527" s="8">
        <v>130.0</v>
      </c>
      <c r="C1527" s="8">
        <v>27.0</v>
      </c>
      <c r="D1527" s="8" t="s">
        <v>2149</v>
      </c>
      <c r="E1527" s="7">
        <v>0.0</v>
      </c>
      <c r="F1527" s="7"/>
      <c r="G1527" s="7" t="s">
        <v>312</v>
      </c>
      <c r="H1527" s="7" t="s">
        <v>313</v>
      </c>
      <c r="I1527" s="10"/>
      <c r="J1527" s="11"/>
      <c r="K1527" s="12"/>
      <c r="L1527" s="12"/>
      <c r="M1527" s="10"/>
      <c r="N1527" s="10"/>
      <c r="O1527" s="10"/>
      <c r="P1527" s="10"/>
      <c r="Q1527" s="10"/>
      <c r="R1527" s="10"/>
      <c r="S1527" s="10"/>
      <c r="T1527" s="10"/>
      <c r="U1527" s="10"/>
      <c r="V1527" s="10"/>
      <c r="W1527" s="10"/>
      <c r="X1527" s="10"/>
      <c r="Y1527" s="10"/>
      <c r="Z1527" s="10"/>
      <c r="AA1527" s="10"/>
      <c r="AB1527" s="10"/>
      <c r="AC1527" s="10"/>
      <c r="AD1527" s="10"/>
      <c r="AE1527" s="10"/>
      <c r="AF1527" s="10"/>
    </row>
    <row r="1528">
      <c r="A1528" s="7"/>
      <c r="B1528" s="8">
        <v>130.0</v>
      </c>
      <c r="C1528" s="8">
        <v>28.0</v>
      </c>
      <c r="D1528" s="8" t="s">
        <v>2150</v>
      </c>
      <c r="E1528" s="7">
        <v>0.0</v>
      </c>
      <c r="F1528" s="7"/>
      <c r="G1528" s="7" t="s">
        <v>312</v>
      </c>
      <c r="H1528" s="7" t="s">
        <v>313</v>
      </c>
      <c r="I1528" s="10"/>
      <c r="J1528" s="11"/>
      <c r="K1528" s="12"/>
      <c r="L1528" s="12"/>
      <c r="M1528" s="10"/>
      <c r="N1528" s="10"/>
      <c r="O1528" s="10"/>
      <c r="P1528" s="10"/>
      <c r="Q1528" s="10"/>
      <c r="R1528" s="10"/>
      <c r="S1528" s="10"/>
      <c r="T1528" s="10"/>
      <c r="U1528" s="10"/>
      <c r="V1528" s="10"/>
      <c r="W1528" s="10"/>
      <c r="X1528" s="10"/>
      <c r="Y1528" s="10"/>
      <c r="Z1528" s="10"/>
      <c r="AA1528" s="10"/>
      <c r="AB1528" s="10"/>
      <c r="AC1528" s="10"/>
      <c r="AD1528" s="10"/>
      <c r="AE1528" s="10"/>
      <c r="AF1528" s="10"/>
    </row>
    <row r="1529">
      <c r="A1529" s="10"/>
      <c r="B1529" s="12"/>
      <c r="C1529" s="12"/>
      <c r="D1529" s="12"/>
      <c r="E1529" s="10"/>
      <c r="F1529" s="10"/>
      <c r="G1529" s="10"/>
      <c r="H1529" s="10"/>
      <c r="I1529" s="10"/>
      <c r="J1529" s="11"/>
      <c r="K1529" s="12"/>
      <c r="L1529" s="12"/>
      <c r="M1529" s="10"/>
      <c r="N1529" s="10"/>
      <c r="O1529" s="10"/>
      <c r="P1529" s="10"/>
      <c r="Q1529" s="10"/>
      <c r="R1529" s="10"/>
      <c r="S1529" s="10"/>
      <c r="T1529" s="10"/>
      <c r="U1529" s="10"/>
      <c r="V1529" s="10"/>
      <c r="W1529" s="10"/>
      <c r="X1529" s="10"/>
      <c r="Y1529" s="10"/>
      <c r="Z1529" s="10"/>
      <c r="AA1529" s="10"/>
      <c r="AB1529" s="10"/>
      <c r="AC1529" s="10"/>
      <c r="AD1529" s="10"/>
      <c r="AE1529" s="10"/>
      <c r="AF1529" s="10"/>
    </row>
    <row r="1530">
      <c r="A1530" s="7"/>
      <c r="B1530" s="8">
        <v>131.0</v>
      </c>
      <c r="C1530" s="8">
        <v>1.0</v>
      </c>
      <c r="D1530" s="8" t="s">
        <v>2151</v>
      </c>
      <c r="E1530" s="7">
        <v>0.0</v>
      </c>
      <c r="F1530" s="7"/>
      <c r="G1530" s="7" t="s">
        <v>312</v>
      </c>
      <c r="H1530" s="7" t="s">
        <v>313</v>
      </c>
      <c r="I1530" s="10"/>
      <c r="J1530" s="25"/>
      <c r="K1530" s="8" t="s">
        <v>2152</v>
      </c>
      <c r="L1530" s="14" t="s">
        <v>2116</v>
      </c>
      <c r="M1530" s="10"/>
      <c r="N1530" s="10"/>
      <c r="O1530" s="10"/>
      <c r="P1530" s="10"/>
      <c r="Q1530" s="10"/>
      <c r="R1530" s="10"/>
      <c r="S1530" s="10"/>
      <c r="T1530" s="10"/>
      <c r="U1530" s="10"/>
      <c r="V1530" s="10"/>
      <c r="W1530" s="10"/>
      <c r="X1530" s="10"/>
      <c r="Y1530" s="10"/>
      <c r="Z1530" s="10"/>
      <c r="AA1530" s="10"/>
      <c r="AB1530" s="10"/>
      <c r="AC1530" s="10"/>
      <c r="AD1530" s="10"/>
      <c r="AE1530" s="10"/>
      <c r="AF1530" s="10"/>
    </row>
    <row r="1531">
      <c r="A1531" s="7"/>
      <c r="B1531" s="8">
        <v>131.0</v>
      </c>
      <c r="C1531" s="8">
        <v>2.0</v>
      </c>
      <c r="D1531" s="8" t="s">
        <v>2153</v>
      </c>
      <c r="E1531" s="7">
        <v>2.0</v>
      </c>
      <c r="F1531" s="7" t="s">
        <v>320</v>
      </c>
      <c r="G1531" s="7" t="s">
        <v>312</v>
      </c>
      <c r="H1531" s="7" t="s">
        <v>313</v>
      </c>
      <c r="I1531" s="7" t="s">
        <v>366</v>
      </c>
      <c r="J1531" s="23" t="s">
        <v>2118</v>
      </c>
      <c r="K1531" s="12"/>
      <c r="L1531" s="12"/>
      <c r="M1531" s="10"/>
      <c r="N1531" s="10"/>
      <c r="O1531" s="10"/>
      <c r="P1531" s="10"/>
      <c r="Q1531" s="10"/>
      <c r="R1531" s="10"/>
      <c r="S1531" s="10"/>
      <c r="T1531" s="10"/>
      <c r="U1531" s="10"/>
      <c r="V1531" s="10"/>
      <c r="W1531" s="10"/>
      <c r="X1531" s="10"/>
      <c r="Y1531" s="10"/>
      <c r="Z1531" s="10"/>
      <c r="AA1531" s="10"/>
      <c r="AB1531" s="10"/>
      <c r="AC1531" s="10"/>
      <c r="AD1531" s="10"/>
      <c r="AE1531" s="10"/>
      <c r="AF1531" s="10"/>
    </row>
    <row r="1532">
      <c r="A1532" s="7"/>
      <c r="B1532" s="8">
        <v>131.0</v>
      </c>
      <c r="C1532" s="8">
        <v>3.0</v>
      </c>
      <c r="D1532" s="8" t="s">
        <v>2154</v>
      </c>
      <c r="E1532" s="7">
        <v>2.0</v>
      </c>
      <c r="F1532" s="7"/>
      <c r="G1532" s="7" t="s">
        <v>312</v>
      </c>
      <c r="H1532" s="7" t="s">
        <v>313</v>
      </c>
      <c r="I1532" s="10"/>
      <c r="J1532" s="9" t="s">
        <v>2155</v>
      </c>
      <c r="K1532" s="12"/>
      <c r="L1532" s="12"/>
      <c r="M1532" s="10"/>
      <c r="N1532" s="10"/>
      <c r="O1532" s="10"/>
      <c r="P1532" s="10"/>
      <c r="Q1532" s="10"/>
      <c r="R1532" s="10"/>
      <c r="S1532" s="10"/>
      <c r="T1532" s="10"/>
      <c r="U1532" s="10"/>
      <c r="V1532" s="10"/>
      <c r="W1532" s="10"/>
      <c r="X1532" s="10"/>
      <c r="Y1532" s="10"/>
      <c r="Z1532" s="10"/>
      <c r="AA1532" s="10"/>
      <c r="AB1532" s="10"/>
      <c r="AC1532" s="10"/>
      <c r="AD1532" s="10"/>
      <c r="AE1532" s="10"/>
      <c r="AF1532" s="10"/>
    </row>
    <row r="1533">
      <c r="A1533" s="7"/>
      <c r="B1533" s="8">
        <v>131.0</v>
      </c>
      <c r="C1533" s="8">
        <v>4.0</v>
      </c>
      <c r="D1533" s="8" t="s">
        <v>2156</v>
      </c>
      <c r="E1533" s="7">
        <v>0.0</v>
      </c>
      <c r="F1533" s="7"/>
      <c r="G1533" s="7" t="s">
        <v>312</v>
      </c>
      <c r="H1533" s="7" t="s">
        <v>313</v>
      </c>
      <c r="I1533" s="10"/>
      <c r="J1533" s="25"/>
      <c r="K1533" s="12"/>
      <c r="L1533" s="12"/>
      <c r="M1533" s="10"/>
      <c r="N1533" s="10"/>
      <c r="O1533" s="10"/>
      <c r="P1533" s="10"/>
      <c r="Q1533" s="10"/>
      <c r="R1533" s="10"/>
      <c r="S1533" s="10"/>
      <c r="T1533" s="10"/>
      <c r="U1533" s="10"/>
      <c r="V1533" s="10"/>
      <c r="W1533" s="10"/>
      <c r="X1533" s="10"/>
      <c r="Y1533" s="10"/>
      <c r="Z1533" s="10"/>
      <c r="AA1533" s="10"/>
      <c r="AB1533" s="10"/>
      <c r="AC1533" s="10"/>
      <c r="AD1533" s="10"/>
      <c r="AE1533" s="10"/>
      <c r="AF1533" s="10"/>
    </row>
    <row r="1534">
      <c r="A1534" s="7"/>
      <c r="B1534" s="8">
        <v>131.0</v>
      </c>
      <c r="C1534" s="8">
        <v>5.0</v>
      </c>
      <c r="D1534" s="8" t="s">
        <v>2157</v>
      </c>
      <c r="E1534" s="7">
        <v>2.0</v>
      </c>
      <c r="F1534" s="7" t="s">
        <v>320</v>
      </c>
      <c r="G1534" s="7" t="s">
        <v>312</v>
      </c>
      <c r="H1534" s="7" t="s">
        <v>313</v>
      </c>
      <c r="I1534" s="7" t="s">
        <v>366</v>
      </c>
      <c r="J1534" s="9" t="s">
        <v>2158</v>
      </c>
      <c r="K1534" s="12"/>
      <c r="L1534" s="12"/>
      <c r="M1534" s="10"/>
      <c r="N1534" s="10"/>
      <c r="O1534" s="10"/>
      <c r="P1534" s="10"/>
      <c r="Q1534" s="10"/>
      <c r="R1534" s="10"/>
      <c r="S1534" s="10"/>
      <c r="T1534" s="10"/>
      <c r="U1534" s="10"/>
      <c r="V1534" s="10"/>
      <c r="W1534" s="10"/>
      <c r="X1534" s="10"/>
      <c r="Y1534" s="10"/>
      <c r="Z1534" s="10"/>
      <c r="AA1534" s="10"/>
      <c r="AB1534" s="10"/>
      <c r="AC1534" s="10"/>
      <c r="AD1534" s="10"/>
      <c r="AE1534" s="10"/>
      <c r="AF1534" s="10"/>
    </row>
    <row r="1535">
      <c r="A1535" s="7"/>
      <c r="B1535" s="8">
        <v>131.0</v>
      </c>
      <c r="C1535" s="8">
        <v>6.0</v>
      </c>
      <c r="D1535" s="8" t="s">
        <v>2159</v>
      </c>
      <c r="E1535" s="7">
        <v>0.0</v>
      </c>
      <c r="F1535" s="7"/>
      <c r="G1535" s="7" t="s">
        <v>312</v>
      </c>
      <c r="H1535" s="7" t="s">
        <v>313</v>
      </c>
      <c r="I1535" s="10"/>
      <c r="J1535" s="11"/>
      <c r="K1535" s="12"/>
      <c r="L1535" s="12"/>
      <c r="M1535" s="10"/>
      <c r="N1535" s="10"/>
      <c r="O1535" s="10"/>
      <c r="P1535" s="10"/>
      <c r="Q1535" s="10"/>
      <c r="R1535" s="10"/>
      <c r="S1535" s="10"/>
      <c r="T1535" s="10"/>
      <c r="U1535" s="10"/>
      <c r="V1535" s="10"/>
      <c r="W1535" s="10"/>
      <c r="X1535" s="10"/>
      <c r="Y1535" s="10"/>
      <c r="Z1535" s="10"/>
      <c r="AA1535" s="10"/>
      <c r="AB1535" s="10"/>
      <c r="AC1535" s="10"/>
      <c r="AD1535" s="10"/>
      <c r="AE1535" s="10"/>
      <c r="AF1535" s="10"/>
    </row>
    <row r="1536">
      <c r="A1536" s="7"/>
      <c r="B1536" s="8">
        <v>131.0</v>
      </c>
      <c r="C1536" s="8">
        <v>7.0</v>
      </c>
      <c r="D1536" s="8" t="s">
        <v>2160</v>
      </c>
      <c r="E1536" s="7">
        <v>0.0</v>
      </c>
      <c r="F1536" s="7"/>
      <c r="G1536" s="7" t="s">
        <v>312</v>
      </c>
      <c r="H1536" s="7" t="s">
        <v>313</v>
      </c>
      <c r="I1536" s="10"/>
      <c r="J1536" s="11"/>
      <c r="K1536" s="12"/>
      <c r="L1536" s="12"/>
      <c r="M1536" s="10"/>
      <c r="N1536" s="10"/>
      <c r="O1536" s="10"/>
      <c r="P1536" s="10"/>
      <c r="Q1536" s="10"/>
      <c r="R1536" s="10"/>
      <c r="S1536" s="10"/>
      <c r="T1536" s="10"/>
      <c r="U1536" s="10"/>
      <c r="V1536" s="10"/>
      <c r="W1536" s="10"/>
      <c r="X1536" s="10"/>
      <c r="Y1536" s="10"/>
      <c r="Z1536" s="10"/>
      <c r="AA1536" s="10"/>
      <c r="AB1536" s="10"/>
      <c r="AC1536" s="10"/>
      <c r="AD1536" s="10"/>
      <c r="AE1536" s="10"/>
      <c r="AF1536" s="10"/>
    </row>
    <row r="1537">
      <c r="A1537" s="7"/>
      <c r="B1537" s="8">
        <v>131.0</v>
      </c>
      <c r="C1537" s="8">
        <v>8.0</v>
      </c>
      <c r="D1537" s="8" t="s">
        <v>2161</v>
      </c>
      <c r="E1537" s="7">
        <v>2.0</v>
      </c>
      <c r="F1537" s="7" t="s">
        <v>320</v>
      </c>
      <c r="G1537" s="7" t="s">
        <v>312</v>
      </c>
      <c r="H1537" s="7" t="s">
        <v>313</v>
      </c>
      <c r="I1537" s="7" t="s">
        <v>366</v>
      </c>
      <c r="J1537" s="9" t="s">
        <v>2162</v>
      </c>
      <c r="K1537" s="12"/>
      <c r="L1537" s="12"/>
      <c r="M1537" s="10"/>
      <c r="N1537" s="10"/>
      <c r="O1537" s="10"/>
      <c r="P1537" s="10"/>
      <c r="Q1537" s="10"/>
      <c r="R1537" s="10"/>
      <c r="S1537" s="10"/>
      <c r="T1537" s="10"/>
      <c r="U1537" s="10"/>
      <c r="V1537" s="10"/>
      <c r="W1537" s="10"/>
      <c r="X1537" s="10"/>
      <c r="Y1537" s="10"/>
      <c r="Z1537" s="10"/>
      <c r="AA1537" s="10"/>
      <c r="AB1537" s="10"/>
      <c r="AC1537" s="10"/>
      <c r="AD1537" s="10"/>
      <c r="AE1537" s="10"/>
      <c r="AF1537" s="10"/>
    </row>
    <row r="1538">
      <c r="A1538" s="7"/>
      <c r="B1538" s="8">
        <v>131.0</v>
      </c>
      <c r="C1538" s="8">
        <v>9.0</v>
      </c>
      <c r="D1538" s="8" t="s">
        <v>2163</v>
      </c>
      <c r="E1538" s="7">
        <v>0.0</v>
      </c>
      <c r="F1538" s="7"/>
      <c r="G1538" s="7" t="s">
        <v>312</v>
      </c>
      <c r="H1538" s="7" t="s">
        <v>313</v>
      </c>
      <c r="I1538" s="10"/>
      <c r="J1538" s="11"/>
      <c r="K1538" s="12"/>
      <c r="L1538" s="12"/>
      <c r="M1538" s="10"/>
      <c r="N1538" s="10"/>
      <c r="O1538" s="10"/>
      <c r="P1538" s="10"/>
      <c r="Q1538" s="10"/>
      <c r="R1538" s="10"/>
      <c r="S1538" s="10"/>
      <c r="T1538" s="10"/>
      <c r="U1538" s="10"/>
      <c r="V1538" s="10"/>
      <c r="W1538" s="10"/>
      <c r="X1538" s="10"/>
      <c r="Y1538" s="10"/>
      <c r="Z1538" s="10"/>
      <c r="AA1538" s="10"/>
      <c r="AB1538" s="10"/>
      <c r="AC1538" s="10"/>
      <c r="AD1538" s="10"/>
      <c r="AE1538" s="10"/>
      <c r="AF1538" s="10"/>
    </row>
    <row r="1539">
      <c r="A1539" s="7"/>
      <c r="B1539" s="8">
        <v>131.0</v>
      </c>
      <c r="C1539" s="8">
        <v>10.0</v>
      </c>
      <c r="D1539" s="8" t="s">
        <v>2164</v>
      </c>
      <c r="E1539" s="7">
        <v>0.0</v>
      </c>
      <c r="F1539" s="7"/>
      <c r="G1539" s="7" t="s">
        <v>312</v>
      </c>
      <c r="H1539" s="7" t="s">
        <v>313</v>
      </c>
      <c r="I1539" s="10"/>
      <c r="J1539" s="11"/>
      <c r="K1539" s="8" t="s">
        <v>2165</v>
      </c>
      <c r="L1539" s="12"/>
      <c r="M1539" s="10"/>
      <c r="N1539" s="10"/>
      <c r="O1539" s="10"/>
      <c r="P1539" s="10"/>
      <c r="Q1539" s="10"/>
      <c r="R1539" s="10"/>
      <c r="S1539" s="10"/>
      <c r="T1539" s="10"/>
      <c r="U1539" s="10"/>
      <c r="V1539" s="10"/>
      <c r="W1539" s="10"/>
      <c r="X1539" s="10"/>
      <c r="Y1539" s="10"/>
      <c r="Z1539" s="10"/>
      <c r="AA1539" s="10"/>
      <c r="AB1539" s="10"/>
      <c r="AC1539" s="10"/>
      <c r="AD1539" s="10"/>
      <c r="AE1539" s="10"/>
      <c r="AF1539" s="10"/>
    </row>
    <row r="1540">
      <c r="A1540" s="7"/>
      <c r="B1540" s="8">
        <v>131.0</v>
      </c>
      <c r="C1540" s="8">
        <v>11.0</v>
      </c>
      <c r="D1540" s="8" t="s">
        <v>2166</v>
      </c>
      <c r="E1540" s="7">
        <v>0.0</v>
      </c>
      <c r="F1540" s="7"/>
      <c r="G1540" s="7" t="s">
        <v>312</v>
      </c>
      <c r="H1540" s="7" t="s">
        <v>313</v>
      </c>
      <c r="I1540" s="10"/>
      <c r="J1540" s="11"/>
      <c r="K1540" s="12"/>
      <c r="L1540" s="12"/>
      <c r="M1540" s="10"/>
      <c r="N1540" s="10"/>
      <c r="O1540" s="10"/>
      <c r="P1540" s="10"/>
      <c r="Q1540" s="10"/>
      <c r="R1540" s="10"/>
      <c r="S1540" s="10"/>
      <c r="T1540" s="10"/>
      <c r="U1540" s="10"/>
      <c r="V1540" s="10"/>
      <c r="W1540" s="10"/>
      <c r="X1540" s="10"/>
      <c r="Y1540" s="10"/>
      <c r="Z1540" s="10"/>
      <c r="AA1540" s="10"/>
      <c r="AB1540" s="10"/>
      <c r="AC1540" s="10"/>
      <c r="AD1540" s="10"/>
      <c r="AE1540" s="10"/>
      <c r="AF1540" s="10"/>
    </row>
    <row r="1541">
      <c r="A1541" s="7"/>
      <c r="B1541" s="8">
        <v>131.0</v>
      </c>
      <c r="C1541" s="8">
        <v>12.0</v>
      </c>
      <c r="D1541" s="8" t="s">
        <v>2167</v>
      </c>
      <c r="E1541" s="7">
        <v>0.0</v>
      </c>
      <c r="F1541" s="7"/>
      <c r="G1541" s="7" t="s">
        <v>312</v>
      </c>
      <c r="H1541" s="7" t="s">
        <v>313</v>
      </c>
      <c r="I1541" s="10"/>
      <c r="J1541" s="11"/>
      <c r="K1541" s="12"/>
      <c r="L1541" s="12"/>
      <c r="M1541" s="10"/>
      <c r="N1541" s="10"/>
      <c r="O1541" s="10"/>
      <c r="P1541" s="10"/>
      <c r="Q1541" s="10"/>
      <c r="R1541" s="10"/>
      <c r="S1541" s="10"/>
      <c r="T1541" s="10"/>
      <c r="U1541" s="10"/>
      <c r="V1541" s="10"/>
      <c r="W1541" s="10"/>
      <c r="X1541" s="10"/>
      <c r="Y1541" s="10"/>
      <c r="Z1541" s="10"/>
      <c r="AA1541" s="10"/>
      <c r="AB1541" s="10"/>
      <c r="AC1541" s="10"/>
      <c r="AD1541" s="10"/>
      <c r="AE1541" s="10"/>
      <c r="AF1541" s="10"/>
    </row>
    <row r="1542">
      <c r="A1542" s="7"/>
      <c r="B1542" s="8">
        <v>131.0</v>
      </c>
      <c r="C1542" s="8">
        <v>13.0</v>
      </c>
      <c r="D1542" s="8" t="s">
        <v>2168</v>
      </c>
      <c r="E1542" s="7">
        <v>0.0</v>
      </c>
      <c r="F1542" s="7"/>
      <c r="G1542" s="7" t="s">
        <v>312</v>
      </c>
      <c r="H1542" s="7" t="s">
        <v>313</v>
      </c>
      <c r="I1542" s="10"/>
      <c r="J1542" s="11"/>
      <c r="K1542" s="12"/>
      <c r="L1542" s="12"/>
      <c r="M1542" s="10"/>
      <c r="N1542" s="10"/>
      <c r="O1542" s="10"/>
      <c r="P1542" s="10"/>
      <c r="Q1542" s="10"/>
      <c r="R1542" s="10"/>
      <c r="S1542" s="10"/>
      <c r="T1542" s="10"/>
      <c r="U1542" s="10"/>
      <c r="V1542" s="10"/>
      <c r="W1542" s="10"/>
      <c r="X1542" s="10"/>
      <c r="Y1542" s="10"/>
      <c r="Z1542" s="10"/>
      <c r="AA1542" s="10"/>
      <c r="AB1542" s="10"/>
      <c r="AC1542" s="10"/>
      <c r="AD1542" s="10"/>
      <c r="AE1542" s="10"/>
      <c r="AF1542" s="10"/>
    </row>
    <row r="1543">
      <c r="A1543" s="7"/>
      <c r="B1543" s="8">
        <v>131.0</v>
      </c>
      <c r="C1543" s="8">
        <v>14.0</v>
      </c>
      <c r="D1543" s="8" t="s">
        <v>2169</v>
      </c>
      <c r="E1543" s="7">
        <v>0.0</v>
      </c>
      <c r="F1543" s="7"/>
      <c r="G1543" s="7" t="s">
        <v>312</v>
      </c>
      <c r="H1543" s="7" t="s">
        <v>313</v>
      </c>
      <c r="I1543" s="10"/>
      <c r="J1543" s="11"/>
      <c r="K1543" s="12"/>
      <c r="L1543" s="12"/>
      <c r="M1543" s="10"/>
      <c r="N1543" s="10"/>
      <c r="O1543" s="10"/>
      <c r="P1543" s="10"/>
      <c r="Q1543" s="10"/>
      <c r="R1543" s="10"/>
      <c r="S1543" s="10"/>
      <c r="T1543" s="10"/>
      <c r="U1543" s="10"/>
      <c r="V1543" s="10"/>
      <c r="W1543" s="10"/>
      <c r="X1543" s="10"/>
      <c r="Y1543" s="10"/>
      <c r="Z1543" s="10"/>
      <c r="AA1543" s="10"/>
      <c r="AB1543" s="10"/>
      <c r="AC1543" s="10"/>
      <c r="AD1543" s="10"/>
      <c r="AE1543" s="10"/>
      <c r="AF1543" s="10"/>
    </row>
    <row r="1544">
      <c r="A1544" s="7"/>
      <c r="B1544" s="8">
        <v>131.0</v>
      </c>
      <c r="C1544" s="8">
        <v>15.0</v>
      </c>
      <c r="D1544" s="8" t="s">
        <v>2170</v>
      </c>
      <c r="E1544" s="7">
        <v>0.0</v>
      </c>
      <c r="F1544" s="7"/>
      <c r="G1544" s="7" t="s">
        <v>312</v>
      </c>
      <c r="H1544" s="7" t="s">
        <v>313</v>
      </c>
      <c r="I1544" s="10"/>
      <c r="J1544" s="25"/>
      <c r="K1544" s="12"/>
      <c r="L1544" s="12"/>
      <c r="M1544" s="10"/>
      <c r="N1544" s="10"/>
      <c r="O1544" s="10"/>
      <c r="P1544" s="10"/>
      <c r="Q1544" s="10"/>
      <c r="R1544" s="10"/>
      <c r="S1544" s="10"/>
      <c r="T1544" s="10"/>
      <c r="U1544" s="10"/>
      <c r="V1544" s="10"/>
      <c r="W1544" s="10"/>
      <c r="X1544" s="10"/>
      <c r="Y1544" s="10"/>
      <c r="Z1544" s="10"/>
      <c r="AA1544" s="10"/>
      <c r="AB1544" s="10"/>
      <c r="AC1544" s="10"/>
      <c r="AD1544" s="10"/>
      <c r="AE1544" s="10"/>
      <c r="AF1544" s="10"/>
    </row>
    <row r="1545">
      <c r="A1545" s="7"/>
      <c r="B1545" s="8">
        <v>131.0</v>
      </c>
      <c r="C1545" s="8">
        <v>16.0</v>
      </c>
      <c r="D1545" s="8" t="s">
        <v>2171</v>
      </c>
      <c r="E1545" s="7">
        <v>0.0</v>
      </c>
      <c r="F1545" s="7"/>
      <c r="G1545" s="7" t="s">
        <v>312</v>
      </c>
      <c r="H1545" s="7" t="s">
        <v>313</v>
      </c>
      <c r="I1545" s="10"/>
      <c r="J1545" s="25"/>
      <c r="K1545" s="12"/>
      <c r="L1545" s="12"/>
      <c r="M1545" s="10"/>
      <c r="N1545" s="10"/>
      <c r="O1545" s="10"/>
      <c r="P1545" s="10"/>
      <c r="Q1545" s="10"/>
      <c r="R1545" s="10"/>
      <c r="S1545" s="10"/>
      <c r="T1545" s="10"/>
      <c r="U1545" s="10"/>
      <c r="V1545" s="10"/>
      <c r="W1545" s="10"/>
      <c r="X1545" s="10"/>
      <c r="Y1545" s="10"/>
      <c r="Z1545" s="10"/>
      <c r="AA1545" s="10"/>
      <c r="AB1545" s="10"/>
      <c r="AC1545" s="10"/>
      <c r="AD1545" s="10"/>
      <c r="AE1545" s="10"/>
      <c r="AF1545" s="10"/>
    </row>
    <row r="1546">
      <c r="A1546" s="7"/>
      <c r="B1546" s="8">
        <v>131.0</v>
      </c>
      <c r="C1546" s="8">
        <v>17.0</v>
      </c>
      <c r="D1546" s="8" t="s">
        <v>2172</v>
      </c>
      <c r="E1546" s="7">
        <v>2.0</v>
      </c>
      <c r="F1546" s="7" t="s">
        <v>320</v>
      </c>
      <c r="G1546" s="7" t="s">
        <v>312</v>
      </c>
      <c r="H1546" s="7" t="s">
        <v>313</v>
      </c>
      <c r="I1546" s="7" t="s">
        <v>366</v>
      </c>
      <c r="J1546" s="23" t="s">
        <v>2173</v>
      </c>
      <c r="K1546" s="12"/>
      <c r="L1546" s="12"/>
      <c r="M1546" s="10"/>
      <c r="N1546" s="10"/>
      <c r="O1546" s="10"/>
      <c r="P1546" s="10"/>
      <c r="Q1546" s="10"/>
      <c r="R1546" s="10"/>
      <c r="S1546" s="10"/>
      <c r="T1546" s="10"/>
      <c r="U1546" s="10"/>
      <c r="V1546" s="10"/>
      <c r="W1546" s="10"/>
      <c r="X1546" s="10"/>
      <c r="Y1546" s="10"/>
      <c r="Z1546" s="10"/>
      <c r="AA1546" s="10"/>
      <c r="AB1546" s="10"/>
      <c r="AC1546" s="10"/>
      <c r="AD1546" s="10"/>
      <c r="AE1546" s="10"/>
      <c r="AF1546" s="10"/>
    </row>
    <row r="1547">
      <c r="A1547" s="7"/>
      <c r="B1547" s="8">
        <v>131.0</v>
      </c>
      <c r="C1547" s="8">
        <v>18.0</v>
      </c>
      <c r="D1547" s="8" t="s">
        <v>2174</v>
      </c>
      <c r="E1547" s="7">
        <v>0.0</v>
      </c>
      <c r="F1547" s="7"/>
      <c r="G1547" s="7" t="s">
        <v>312</v>
      </c>
      <c r="H1547" s="7" t="s">
        <v>313</v>
      </c>
      <c r="I1547" s="10"/>
      <c r="J1547" s="11"/>
      <c r="K1547" s="12"/>
      <c r="L1547" s="12"/>
      <c r="M1547" s="10"/>
      <c r="N1547" s="10"/>
      <c r="O1547" s="10"/>
      <c r="P1547" s="10"/>
      <c r="Q1547" s="10"/>
      <c r="R1547" s="10"/>
      <c r="S1547" s="10"/>
      <c r="T1547" s="10"/>
      <c r="U1547" s="10"/>
      <c r="V1547" s="10"/>
      <c r="W1547" s="10"/>
      <c r="X1547" s="10"/>
      <c r="Y1547" s="10"/>
      <c r="Z1547" s="10"/>
      <c r="AA1547" s="10"/>
      <c r="AB1547" s="10"/>
      <c r="AC1547" s="10"/>
      <c r="AD1547" s="10"/>
      <c r="AE1547" s="10"/>
      <c r="AF1547" s="10"/>
    </row>
    <row r="1548">
      <c r="A1548" s="7"/>
      <c r="B1548" s="8">
        <v>131.0</v>
      </c>
      <c r="C1548" s="8">
        <v>19.0</v>
      </c>
      <c r="D1548" s="8" t="s">
        <v>2175</v>
      </c>
      <c r="E1548" s="7">
        <v>0.0</v>
      </c>
      <c r="F1548" s="7"/>
      <c r="G1548" s="7" t="s">
        <v>312</v>
      </c>
      <c r="H1548" s="7" t="s">
        <v>313</v>
      </c>
      <c r="I1548" s="10"/>
      <c r="J1548" s="11"/>
      <c r="K1548" s="12"/>
      <c r="L1548" s="12"/>
      <c r="M1548" s="10"/>
      <c r="N1548" s="10"/>
      <c r="O1548" s="10"/>
      <c r="P1548" s="10"/>
      <c r="Q1548" s="10"/>
      <c r="R1548" s="10"/>
      <c r="S1548" s="10"/>
      <c r="T1548" s="10"/>
      <c r="U1548" s="10"/>
      <c r="V1548" s="10"/>
      <c r="W1548" s="10"/>
      <c r="X1548" s="10"/>
      <c r="Y1548" s="10"/>
      <c r="Z1548" s="10"/>
      <c r="AA1548" s="10"/>
      <c r="AB1548" s="10"/>
      <c r="AC1548" s="10"/>
      <c r="AD1548" s="10"/>
      <c r="AE1548" s="10"/>
      <c r="AF1548" s="10"/>
    </row>
    <row r="1549">
      <c r="A1549" s="7"/>
      <c r="B1549" s="8">
        <v>131.0</v>
      </c>
      <c r="C1549" s="8">
        <v>20.0</v>
      </c>
      <c r="D1549" s="8" t="s">
        <v>2176</v>
      </c>
      <c r="E1549" s="7">
        <v>0.0</v>
      </c>
      <c r="F1549" s="7"/>
      <c r="G1549" s="7" t="s">
        <v>312</v>
      </c>
      <c r="H1549" s="7" t="s">
        <v>313</v>
      </c>
      <c r="I1549" s="10"/>
      <c r="J1549" s="11"/>
      <c r="K1549" s="12"/>
      <c r="L1549" s="12"/>
      <c r="M1549" s="10"/>
      <c r="N1549" s="10"/>
      <c r="O1549" s="10"/>
      <c r="P1549" s="10"/>
      <c r="Q1549" s="10"/>
      <c r="R1549" s="10"/>
      <c r="S1549" s="10"/>
      <c r="T1549" s="10"/>
      <c r="U1549" s="10"/>
      <c r="V1549" s="10"/>
      <c r="W1549" s="10"/>
      <c r="X1549" s="10"/>
      <c r="Y1549" s="10"/>
      <c r="Z1549" s="10"/>
      <c r="AA1549" s="10"/>
      <c r="AB1549" s="10"/>
      <c r="AC1549" s="10"/>
      <c r="AD1549" s="10"/>
      <c r="AE1549" s="10"/>
      <c r="AF1549" s="10"/>
    </row>
    <row r="1550">
      <c r="A1550" s="7"/>
      <c r="B1550" s="8">
        <v>131.0</v>
      </c>
      <c r="C1550" s="8">
        <v>21.0</v>
      </c>
      <c r="D1550" s="8" t="s">
        <v>2177</v>
      </c>
      <c r="E1550" s="7">
        <v>0.0</v>
      </c>
      <c r="F1550" s="7"/>
      <c r="G1550" s="7" t="s">
        <v>312</v>
      </c>
      <c r="H1550" s="7" t="s">
        <v>313</v>
      </c>
      <c r="I1550" s="10"/>
      <c r="J1550" s="11"/>
      <c r="K1550" s="12"/>
      <c r="L1550" s="12"/>
      <c r="M1550" s="10"/>
      <c r="N1550" s="10"/>
      <c r="O1550" s="10"/>
      <c r="P1550" s="10"/>
      <c r="Q1550" s="10"/>
      <c r="R1550" s="10"/>
      <c r="S1550" s="10"/>
      <c r="T1550" s="10"/>
      <c r="U1550" s="10"/>
      <c r="V1550" s="10"/>
      <c r="W1550" s="10"/>
      <c r="X1550" s="10"/>
      <c r="Y1550" s="10"/>
      <c r="Z1550" s="10"/>
      <c r="AA1550" s="10"/>
      <c r="AB1550" s="10"/>
      <c r="AC1550" s="10"/>
      <c r="AD1550" s="10"/>
      <c r="AE1550" s="10"/>
      <c r="AF1550" s="10"/>
    </row>
    <row r="1551">
      <c r="A1551" s="7"/>
      <c r="B1551" s="8">
        <v>131.0</v>
      </c>
      <c r="C1551" s="8">
        <v>22.0</v>
      </c>
      <c r="D1551" s="8" t="s">
        <v>2178</v>
      </c>
      <c r="E1551" s="7">
        <v>2.0</v>
      </c>
      <c r="F1551" s="7" t="s">
        <v>320</v>
      </c>
      <c r="G1551" s="7" t="s">
        <v>312</v>
      </c>
      <c r="H1551" s="7" t="s">
        <v>313</v>
      </c>
      <c r="I1551" s="7" t="s">
        <v>366</v>
      </c>
      <c r="J1551" s="9" t="s">
        <v>2179</v>
      </c>
      <c r="K1551" s="12"/>
      <c r="L1551" s="12"/>
      <c r="M1551" s="10"/>
      <c r="N1551" s="10"/>
      <c r="O1551" s="10"/>
      <c r="P1551" s="10"/>
      <c r="Q1551" s="10"/>
      <c r="R1551" s="10"/>
      <c r="S1551" s="10"/>
      <c r="T1551" s="10"/>
      <c r="U1551" s="10"/>
      <c r="V1551" s="10"/>
      <c r="W1551" s="10"/>
      <c r="X1551" s="10"/>
      <c r="Y1551" s="10"/>
      <c r="Z1551" s="10"/>
      <c r="AA1551" s="10"/>
      <c r="AB1551" s="10"/>
      <c r="AC1551" s="10"/>
      <c r="AD1551" s="10"/>
      <c r="AE1551" s="10"/>
      <c r="AF1551" s="10"/>
    </row>
    <row r="1552">
      <c r="A1552" s="7"/>
      <c r="B1552" s="8">
        <v>131.0</v>
      </c>
      <c r="C1552" s="8">
        <v>23.0</v>
      </c>
      <c r="D1552" s="8" t="s">
        <v>2180</v>
      </c>
      <c r="E1552" s="7">
        <v>0.0</v>
      </c>
      <c r="F1552" s="7"/>
      <c r="G1552" s="7" t="s">
        <v>312</v>
      </c>
      <c r="H1552" s="7" t="s">
        <v>313</v>
      </c>
      <c r="I1552" s="10"/>
      <c r="J1552" s="11"/>
      <c r="K1552" s="12"/>
      <c r="L1552" s="12"/>
      <c r="M1552" s="10"/>
      <c r="N1552" s="10"/>
      <c r="O1552" s="10"/>
      <c r="P1552" s="10"/>
      <c r="Q1552" s="10"/>
      <c r="R1552" s="10"/>
      <c r="S1552" s="10"/>
      <c r="T1552" s="10"/>
      <c r="U1552" s="10"/>
      <c r="V1552" s="10"/>
      <c r="W1552" s="10"/>
      <c r="X1552" s="10"/>
      <c r="Y1552" s="10"/>
      <c r="Z1552" s="10"/>
      <c r="AA1552" s="10"/>
      <c r="AB1552" s="10"/>
      <c r="AC1552" s="10"/>
      <c r="AD1552" s="10"/>
      <c r="AE1552" s="10"/>
      <c r="AF1552" s="10"/>
    </row>
    <row r="1553">
      <c r="A1553" s="7"/>
      <c r="B1553" s="8">
        <v>131.0</v>
      </c>
      <c r="C1553" s="8">
        <v>24.0</v>
      </c>
      <c r="D1553" s="8" t="s">
        <v>2181</v>
      </c>
      <c r="E1553" s="7">
        <v>0.0</v>
      </c>
      <c r="F1553" s="7"/>
      <c r="G1553" s="7" t="s">
        <v>312</v>
      </c>
      <c r="H1553" s="7" t="s">
        <v>313</v>
      </c>
      <c r="I1553" s="10"/>
      <c r="J1553" s="11"/>
      <c r="K1553" s="12"/>
      <c r="L1553" s="12"/>
      <c r="M1553" s="10"/>
      <c r="N1553" s="10"/>
      <c r="O1553" s="10"/>
      <c r="P1553" s="10"/>
      <c r="Q1553" s="10"/>
      <c r="R1553" s="10"/>
      <c r="S1553" s="10"/>
      <c r="T1553" s="10"/>
      <c r="U1553" s="10"/>
      <c r="V1553" s="10"/>
      <c r="W1553" s="10"/>
      <c r="X1553" s="10"/>
      <c r="Y1553" s="10"/>
      <c r="Z1553" s="10"/>
      <c r="AA1553" s="10"/>
      <c r="AB1553" s="10"/>
      <c r="AC1553" s="10"/>
      <c r="AD1553" s="10"/>
      <c r="AE1553" s="10"/>
      <c r="AF1553" s="10"/>
    </row>
    <row r="1554">
      <c r="A1554" s="7"/>
      <c r="B1554" s="8">
        <v>131.0</v>
      </c>
      <c r="C1554" s="8">
        <v>25.0</v>
      </c>
      <c r="D1554" s="8" t="s">
        <v>2182</v>
      </c>
      <c r="E1554" s="7">
        <v>0.0</v>
      </c>
      <c r="F1554" s="7"/>
      <c r="G1554" s="7" t="s">
        <v>312</v>
      </c>
      <c r="H1554" s="7" t="s">
        <v>313</v>
      </c>
      <c r="I1554" s="10"/>
      <c r="J1554" s="11"/>
      <c r="K1554" s="12"/>
      <c r="L1554" s="12"/>
      <c r="M1554" s="10"/>
      <c r="N1554" s="10"/>
      <c r="O1554" s="10"/>
      <c r="P1554" s="10"/>
      <c r="Q1554" s="10"/>
      <c r="R1554" s="10"/>
      <c r="S1554" s="10"/>
      <c r="T1554" s="10"/>
      <c r="U1554" s="10"/>
      <c r="V1554" s="10"/>
      <c r="W1554" s="10"/>
      <c r="X1554" s="10"/>
      <c r="Y1554" s="10"/>
      <c r="Z1554" s="10"/>
      <c r="AA1554" s="10"/>
      <c r="AB1554" s="10"/>
      <c r="AC1554" s="10"/>
      <c r="AD1554" s="10"/>
      <c r="AE1554" s="10"/>
      <c r="AF1554" s="10"/>
    </row>
    <row r="1555">
      <c r="A1555" s="7"/>
      <c r="B1555" s="8">
        <v>131.0</v>
      </c>
      <c r="C1555" s="8">
        <v>26.0</v>
      </c>
      <c r="D1555" s="8" t="s">
        <v>2183</v>
      </c>
      <c r="E1555" s="7">
        <v>0.0</v>
      </c>
      <c r="F1555" s="7"/>
      <c r="G1555" s="7" t="s">
        <v>312</v>
      </c>
      <c r="H1555" s="7" t="s">
        <v>313</v>
      </c>
      <c r="I1555" s="10"/>
      <c r="J1555" s="11"/>
      <c r="K1555" s="12"/>
      <c r="L1555" s="12"/>
      <c r="M1555" s="10"/>
      <c r="N1555" s="10"/>
      <c r="O1555" s="10"/>
      <c r="P1555" s="10"/>
      <c r="Q1555" s="10"/>
      <c r="R1555" s="10"/>
      <c r="S1555" s="10"/>
      <c r="T1555" s="10"/>
      <c r="U1555" s="10"/>
      <c r="V1555" s="10"/>
      <c r="W1555" s="10"/>
      <c r="X1555" s="10"/>
      <c r="Y1555" s="10"/>
      <c r="Z1555" s="10"/>
      <c r="AA1555" s="10"/>
      <c r="AB1555" s="10"/>
      <c r="AC1555" s="10"/>
      <c r="AD1555" s="10"/>
      <c r="AE1555" s="10"/>
      <c r="AF1555" s="10"/>
    </row>
    <row r="1556">
      <c r="A1556" s="7"/>
      <c r="B1556" s="8">
        <v>131.0</v>
      </c>
      <c r="C1556" s="8">
        <v>27.0</v>
      </c>
      <c r="D1556" s="8" t="s">
        <v>2184</v>
      </c>
      <c r="E1556" s="7">
        <v>2.0</v>
      </c>
      <c r="F1556" s="7"/>
      <c r="G1556" s="7" t="s">
        <v>312</v>
      </c>
      <c r="H1556" s="7" t="s">
        <v>313</v>
      </c>
      <c r="I1556" s="7"/>
      <c r="J1556" s="9" t="s">
        <v>2185</v>
      </c>
      <c r="K1556" s="8" t="s">
        <v>1664</v>
      </c>
      <c r="L1556" s="12"/>
      <c r="M1556" s="10"/>
      <c r="N1556" s="10"/>
      <c r="O1556" s="10"/>
      <c r="P1556" s="10"/>
      <c r="Q1556" s="10"/>
      <c r="R1556" s="10"/>
      <c r="S1556" s="10"/>
      <c r="T1556" s="10"/>
      <c r="U1556" s="10"/>
      <c r="V1556" s="10"/>
      <c r="W1556" s="10"/>
      <c r="X1556" s="10"/>
      <c r="Y1556" s="10"/>
      <c r="Z1556" s="10"/>
      <c r="AA1556" s="10"/>
      <c r="AB1556" s="10"/>
      <c r="AC1556" s="10"/>
      <c r="AD1556" s="10"/>
      <c r="AE1556" s="10"/>
      <c r="AF1556" s="10"/>
    </row>
    <row r="1557">
      <c r="A1557" s="7"/>
      <c r="B1557" s="8">
        <v>131.0</v>
      </c>
      <c r="C1557" s="8">
        <v>28.0</v>
      </c>
      <c r="D1557" s="8" t="s">
        <v>2186</v>
      </c>
      <c r="E1557" s="7">
        <v>0.0</v>
      </c>
      <c r="F1557" s="7"/>
      <c r="G1557" s="7" t="s">
        <v>312</v>
      </c>
      <c r="H1557" s="7" t="s">
        <v>313</v>
      </c>
      <c r="I1557" s="10"/>
      <c r="J1557" s="11"/>
      <c r="K1557" s="8" t="s">
        <v>2187</v>
      </c>
      <c r="L1557" s="12"/>
      <c r="M1557" s="10"/>
      <c r="N1557" s="10"/>
      <c r="O1557" s="10"/>
      <c r="P1557" s="10"/>
      <c r="Q1557" s="10"/>
      <c r="R1557" s="10"/>
      <c r="S1557" s="10"/>
      <c r="T1557" s="10"/>
      <c r="U1557" s="10"/>
      <c r="V1557" s="10"/>
      <c r="W1557" s="10"/>
      <c r="X1557" s="10"/>
      <c r="Y1557" s="10"/>
      <c r="Z1557" s="10"/>
      <c r="AA1557" s="10"/>
      <c r="AB1557" s="10"/>
      <c r="AC1557" s="10"/>
      <c r="AD1557" s="10"/>
      <c r="AE1557" s="10"/>
      <c r="AF1557" s="10"/>
    </row>
    <row r="1558">
      <c r="A1558" s="7"/>
      <c r="B1558" s="8">
        <v>131.0</v>
      </c>
      <c r="C1558" s="8">
        <v>29.0</v>
      </c>
      <c r="D1558" s="8" t="s">
        <v>2188</v>
      </c>
      <c r="E1558" s="7">
        <v>0.0</v>
      </c>
      <c r="F1558" s="7"/>
      <c r="G1558" s="7" t="s">
        <v>312</v>
      </c>
      <c r="H1558" s="7" t="s">
        <v>313</v>
      </c>
      <c r="I1558" s="10"/>
      <c r="J1558" s="11"/>
      <c r="K1558" s="8" t="s">
        <v>2187</v>
      </c>
      <c r="L1558" s="12"/>
      <c r="M1558" s="10"/>
      <c r="N1558" s="10"/>
      <c r="O1558" s="10"/>
      <c r="P1558" s="10"/>
      <c r="Q1558" s="10"/>
      <c r="R1558" s="10"/>
      <c r="S1558" s="10"/>
      <c r="T1558" s="10"/>
      <c r="U1558" s="10"/>
      <c r="V1558" s="10"/>
      <c r="W1558" s="10"/>
      <c r="X1558" s="10"/>
      <c r="Y1558" s="10"/>
      <c r="Z1558" s="10"/>
      <c r="AA1558" s="10"/>
      <c r="AB1558" s="10"/>
      <c r="AC1558" s="10"/>
      <c r="AD1558" s="10"/>
      <c r="AE1558" s="10"/>
      <c r="AF1558" s="10"/>
    </row>
    <row r="1559">
      <c r="A1559" s="7"/>
      <c r="B1559" s="8">
        <v>131.0</v>
      </c>
      <c r="C1559" s="8">
        <v>30.0</v>
      </c>
      <c r="D1559" s="8" t="s">
        <v>2189</v>
      </c>
      <c r="E1559" s="7">
        <v>2.0</v>
      </c>
      <c r="F1559" s="7" t="s">
        <v>320</v>
      </c>
      <c r="G1559" s="7" t="s">
        <v>312</v>
      </c>
      <c r="H1559" s="7" t="s">
        <v>313</v>
      </c>
      <c r="I1559" s="7" t="s">
        <v>366</v>
      </c>
      <c r="J1559" s="9" t="s">
        <v>2190</v>
      </c>
      <c r="K1559" s="3"/>
      <c r="L1559" s="12"/>
      <c r="M1559" s="10"/>
      <c r="N1559" s="10"/>
      <c r="O1559" s="10"/>
      <c r="P1559" s="10"/>
      <c r="Q1559" s="10"/>
      <c r="R1559" s="10"/>
      <c r="S1559" s="10"/>
      <c r="T1559" s="10"/>
      <c r="U1559" s="10"/>
      <c r="V1559" s="10"/>
      <c r="W1559" s="10"/>
      <c r="X1559" s="10"/>
      <c r="Y1559" s="10"/>
      <c r="Z1559" s="10"/>
      <c r="AA1559" s="10"/>
      <c r="AB1559" s="10"/>
      <c r="AC1559" s="10"/>
      <c r="AD1559" s="10"/>
      <c r="AE1559" s="10"/>
      <c r="AF1559" s="10"/>
    </row>
    <row r="1560">
      <c r="A1560" s="7"/>
      <c r="B1560" s="8">
        <v>131.0</v>
      </c>
      <c r="C1560" s="8">
        <v>31.0</v>
      </c>
      <c r="D1560" s="8" t="s">
        <v>2191</v>
      </c>
      <c r="E1560" s="7">
        <v>2.0</v>
      </c>
      <c r="F1560" s="7" t="s">
        <v>320</v>
      </c>
      <c r="G1560" s="7" t="s">
        <v>312</v>
      </c>
      <c r="H1560" s="7" t="s">
        <v>313</v>
      </c>
      <c r="I1560" s="7" t="s">
        <v>366</v>
      </c>
      <c r="J1560" s="9" t="s">
        <v>2192</v>
      </c>
      <c r="K1560" s="8" t="s">
        <v>2193</v>
      </c>
      <c r="L1560" s="12"/>
      <c r="M1560" s="10"/>
      <c r="N1560" s="10"/>
      <c r="O1560" s="10"/>
      <c r="P1560" s="10"/>
      <c r="Q1560" s="10"/>
      <c r="R1560" s="10"/>
      <c r="S1560" s="10"/>
      <c r="T1560" s="10"/>
      <c r="U1560" s="10"/>
      <c r="V1560" s="10"/>
      <c r="W1560" s="10"/>
      <c r="X1560" s="10"/>
      <c r="Y1560" s="10"/>
      <c r="Z1560" s="10"/>
      <c r="AA1560" s="10"/>
      <c r="AB1560" s="10"/>
      <c r="AC1560" s="10"/>
      <c r="AD1560" s="10"/>
      <c r="AE1560" s="10"/>
      <c r="AF1560" s="10"/>
    </row>
    <row r="1561">
      <c r="A1561" s="7"/>
      <c r="B1561" s="8">
        <v>131.0</v>
      </c>
      <c r="C1561" s="8">
        <v>32.0</v>
      </c>
      <c r="D1561" s="8" t="s">
        <v>2194</v>
      </c>
      <c r="E1561" s="7">
        <v>2.0</v>
      </c>
      <c r="F1561" s="7" t="s">
        <v>320</v>
      </c>
      <c r="G1561" s="7" t="s">
        <v>312</v>
      </c>
      <c r="H1561" s="7" t="s">
        <v>313</v>
      </c>
      <c r="I1561" s="7" t="s">
        <v>366</v>
      </c>
      <c r="J1561" s="9" t="s">
        <v>2195</v>
      </c>
      <c r="K1561" s="8" t="s">
        <v>2193</v>
      </c>
      <c r="L1561" s="12"/>
      <c r="M1561" s="10"/>
      <c r="N1561" s="10"/>
      <c r="O1561" s="10"/>
      <c r="P1561" s="10"/>
      <c r="Q1561" s="10"/>
      <c r="R1561" s="10"/>
      <c r="S1561" s="10"/>
      <c r="T1561" s="10"/>
      <c r="U1561" s="10"/>
      <c r="V1561" s="10"/>
      <c r="W1561" s="10"/>
      <c r="X1561" s="10"/>
      <c r="Y1561" s="10"/>
      <c r="Z1561" s="10"/>
      <c r="AA1561" s="10"/>
      <c r="AB1561" s="10"/>
      <c r="AC1561" s="10"/>
      <c r="AD1561" s="10"/>
      <c r="AE1561" s="10"/>
      <c r="AF1561" s="10"/>
    </row>
    <row r="1562">
      <c r="A1562" s="7"/>
      <c r="B1562" s="8">
        <v>131.0</v>
      </c>
      <c r="C1562" s="8">
        <v>33.0</v>
      </c>
      <c r="D1562" s="8" t="s">
        <v>2196</v>
      </c>
      <c r="E1562" s="7">
        <v>0.0</v>
      </c>
      <c r="F1562" s="7"/>
      <c r="G1562" s="7" t="s">
        <v>312</v>
      </c>
      <c r="H1562" s="7" t="s">
        <v>313</v>
      </c>
      <c r="I1562" s="10"/>
      <c r="J1562" s="11"/>
      <c r="K1562" s="12"/>
      <c r="L1562" s="12"/>
      <c r="M1562" s="10"/>
      <c r="N1562" s="10"/>
      <c r="O1562" s="10"/>
      <c r="P1562" s="10"/>
      <c r="Q1562" s="10"/>
      <c r="R1562" s="10"/>
      <c r="S1562" s="10"/>
      <c r="T1562" s="10"/>
      <c r="U1562" s="10"/>
      <c r="V1562" s="10"/>
      <c r="W1562" s="10"/>
      <c r="X1562" s="10"/>
      <c r="Y1562" s="10"/>
      <c r="Z1562" s="10"/>
      <c r="AA1562" s="10"/>
      <c r="AB1562" s="10"/>
      <c r="AC1562" s="10"/>
      <c r="AD1562" s="10"/>
      <c r="AE1562" s="10"/>
      <c r="AF1562" s="10"/>
    </row>
    <row r="1563">
      <c r="A1563" s="7"/>
      <c r="B1563" s="8">
        <v>131.0</v>
      </c>
      <c r="C1563" s="8">
        <v>34.0</v>
      </c>
      <c r="D1563" s="8" t="s">
        <v>2197</v>
      </c>
      <c r="E1563" s="7">
        <v>0.0</v>
      </c>
      <c r="F1563" s="7"/>
      <c r="G1563" s="7" t="s">
        <v>312</v>
      </c>
      <c r="H1563" s="7" t="s">
        <v>313</v>
      </c>
      <c r="I1563" s="10"/>
      <c r="J1563" s="11"/>
      <c r="K1563" s="12"/>
      <c r="L1563" s="12"/>
      <c r="M1563" s="10"/>
      <c r="N1563" s="10"/>
      <c r="O1563" s="10"/>
      <c r="P1563" s="10"/>
      <c r="Q1563" s="10"/>
      <c r="R1563" s="10"/>
      <c r="S1563" s="10"/>
      <c r="T1563" s="10"/>
      <c r="U1563" s="10"/>
      <c r="V1563" s="10"/>
      <c r="W1563" s="10"/>
      <c r="X1563" s="10"/>
      <c r="Y1563" s="10"/>
      <c r="Z1563" s="10"/>
      <c r="AA1563" s="10"/>
      <c r="AB1563" s="10"/>
      <c r="AC1563" s="10"/>
      <c r="AD1563" s="10"/>
      <c r="AE1563" s="10"/>
      <c r="AF1563" s="10"/>
    </row>
    <row r="1564">
      <c r="A1564" s="7"/>
      <c r="B1564" s="8">
        <v>131.0</v>
      </c>
      <c r="C1564" s="8">
        <v>35.0</v>
      </c>
      <c r="D1564" s="8" t="s">
        <v>2198</v>
      </c>
      <c r="E1564" s="7">
        <v>2.0</v>
      </c>
      <c r="F1564" s="7" t="s">
        <v>320</v>
      </c>
      <c r="G1564" s="7" t="s">
        <v>312</v>
      </c>
      <c r="H1564" s="7" t="s">
        <v>313</v>
      </c>
      <c r="I1564" s="7" t="s">
        <v>366</v>
      </c>
      <c r="J1564" s="9" t="s">
        <v>2199</v>
      </c>
      <c r="K1564" s="8" t="s">
        <v>2193</v>
      </c>
      <c r="L1564" s="12"/>
      <c r="M1564" s="10"/>
      <c r="N1564" s="10"/>
      <c r="O1564" s="10"/>
      <c r="P1564" s="10"/>
      <c r="Q1564" s="10"/>
      <c r="R1564" s="10"/>
      <c r="S1564" s="10"/>
      <c r="T1564" s="10"/>
      <c r="U1564" s="10"/>
      <c r="V1564" s="10"/>
      <c r="W1564" s="10"/>
      <c r="X1564" s="10"/>
      <c r="Y1564" s="10"/>
      <c r="Z1564" s="10"/>
      <c r="AA1564" s="10"/>
      <c r="AB1564" s="10"/>
      <c r="AC1564" s="10"/>
      <c r="AD1564" s="10"/>
      <c r="AE1564" s="10"/>
      <c r="AF1564" s="10"/>
    </row>
    <row r="1565">
      <c r="A1565" s="7"/>
      <c r="B1565" s="8">
        <v>131.0</v>
      </c>
      <c r="C1565" s="8">
        <v>36.0</v>
      </c>
      <c r="D1565" s="8" t="s">
        <v>2200</v>
      </c>
      <c r="E1565" s="7">
        <v>2.0</v>
      </c>
      <c r="F1565" s="7" t="s">
        <v>320</v>
      </c>
      <c r="G1565" s="7" t="s">
        <v>312</v>
      </c>
      <c r="H1565" s="7" t="s">
        <v>313</v>
      </c>
      <c r="I1565" s="7" t="s">
        <v>366</v>
      </c>
      <c r="J1565" s="9" t="s">
        <v>2201</v>
      </c>
      <c r="K1565" s="8" t="s">
        <v>2193</v>
      </c>
      <c r="L1565" s="12"/>
      <c r="M1565" s="10"/>
      <c r="N1565" s="10"/>
      <c r="O1565" s="10"/>
      <c r="P1565" s="10"/>
      <c r="Q1565" s="10"/>
      <c r="R1565" s="10"/>
      <c r="S1565" s="10"/>
      <c r="T1565" s="10"/>
      <c r="U1565" s="10"/>
      <c r="V1565" s="10"/>
      <c r="W1565" s="10"/>
      <c r="X1565" s="10"/>
      <c r="Y1565" s="10"/>
      <c r="Z1565" s="10"/>
      <c r="AA1565" s="10"/>
      <c r="AB1565" s="10"/>
      <c r="AC1565" s="10"/>
      <c r="AD1565" s="10"/>
      <c r="AE1565" s="10"/>
      <c r="AF1565" s="10"/>
    </row>
    <row r="1566">
      <c r="A1566" s="10"/>
      <c r="B1566" s="12"/>
      <c r="C1566" s="12"/>
      <c r="D1566" s="12"/>
      <c r="E1566" s="10"/>
      <c r="F1566" s="10"/>
      <c r="G1566" s="10"/>
      <c r="H1566" s="7"/>
      <c r="I1566" s="10"/>
      <c r="J1566" s="11"/>
      <c r="K1566" s="12"/>
      <c r="L1566" s="12"/>
      <c r="M1566" s="10"/>
      <c r="N1566" s="10"/>
      <c r="O1566" s="10"/>
      <c r="P1566" s="10"/>
      <c r="Q1566" s="10"/>
      <c r="R1566" s="10"/>
      <c r="S1566" s="10"/>
      <c r="T1566" s="10"/>
      <c r="U1566" s="10"/>
      <c r="V1566" s="10"/>
      <c r="W1566" s="10"/>
      <c r="X1566" s="10"/>
      <c r="Y1566" s="10"/>
      <c r="Z1566" s="10"/>
      <c r="AA1566" s="10"/>
      <c r="AB1566" s="10"/>
      <c r="AC1566" s="10"/>
      <c r="AD1566" s="10"/>
      <c r="AE1566" s="10"/>
      <c r="AF1566" s="10"/>
    </row>
    <row r="1567">
      <c r="A1567" s="7"/>
      <c r="B1567" s="8">
        <v>132.0</v>
      </c>
      <c r="C1567" s="8">
        <v>1.0</v>
      </c>
      <c r="D1567" s="8" t="s">
        <v>2202</v>
      </c>
      <c r="E1567" s="7">
        <v>0.0</v>
      </c>
      <c r="F1567" s="7"/>
      <c r="G1567" s="7" t="s">
        <v>312</v>
      </c>
      <c r="H1567" s="7" t="s">
        <v>313</v>
      </c>
      <c r="I1567" s="10"/>
      <c r="J1567" s="25"/>
      <c r="K1567" s="12"/>
      <c r="L1567" s="12"/>
      <c r="M1567" s="10"/>
      <c r="N1567" s="10"/>
      <c r="O1567" s="10"/>
      <c r="P1567" s="10"/>
      <c r="Q1567" s="10"/>
      <c r="R1567" s="10"/>
      <c r="S1567" s="10"/>
      <c r="T1567" s="10"/>
      <c r="U1567" s="10"/>
      <c r="V1567" s="10"/>
      <c r="W1567" s="10"/>
      <c r="X1567" s="10"/>
      <c r="Y1567" s="10"/>
      <c r="Z1567" s="10"/>
      <c r="AA1567" s="10"/>
      <c r="AB1567" s="10"/>
      <c r="AC1567" s="10"/>
      <c r="AD1567" s="10"/>
      <c r="AE1567" s="10"/>
      <c r="AF1567" s="10"/>
    </row>
    <row r="1568">
      <c r="A1568" s="7"/>
      <c r="B1568" s="8">
        <v>132.0</v>
      </c>
      <c r="C1568" s="8">
        <v>2.0</v>
      </c>
      <c r="D1568" s="8" t="s">
        <v>2203</v>
      </c>
      <c r="E1568" s="7">
        <v>2.0</v>
      </c>
      <c r="F1568" s="7"/>
      <c r="G1568" s="7" t="s">
        <v>312</v>
      </c>
      <c r="H1568" s="7" t="s">
        <v>313</v>
      </c>
      <c r="I1568" s="10"/>
      <c r="J1568" s="9" t="s">
        <v>2204</v>
      </c>
      <c r="K1568" s="8" t="s">
        <v>1664</v>
      </c>
      <c r="L1568" s="12"/>
      <c r="M1568" s="10"/>
      <c r="N1568" s="10"/>
      <c r="O1568" s="10"/>
      <c r="P1568" s="10"/>
      <c r="Q1568" s="10"/>
      <c r="R1568" s="10"/>
      <c r="S1568" s="10"/>
      <c r="T1568" s="10"/>
      <c r="U1568" s="10"/>
      <c r="V1568" s="10"/>
      <c r="W1568" s="10"/>
      <c r="X1568" s="10"/>
      <c r="Y1568" s="10"/>
      <c r="Z1568" s="10"/>
      <c r="AA1568" s="10"/>
      <c r="AB1568" s="10"/>
      <c r="AC1568" s="10"/>
      <c r="AD1568" s="10"/>
      <c r="AE1568" s="10"/>
      <c r="AF1568" s="10"/>
    </row>
    <row r="1569">
      <c r="A1569" s="7"/>
      <c r="B1569" s="8">
        <v>132.0</v>
      </c>
      <c r="C1569" s="8">
        <v>3.0</v>
      </c>
      <c r="D1569" s="8" t="s">
        <v>2205</v>
      </c>
      <c r="E1569" s="7">
        <v>2.0</v>
      </c>
      <c r="F1569" s="7"/>
      <c r="G1569" s="7" t="s">
        <v>312</v>
      </c>
      <c r="H1569" s="7" t="s">
        <v>313</v>
      </c>
      <c r="I1569" s="10"/>
      <c r="J1569" s="11"/>
      <c r="K1569" s="8" t="s">
        <v>1664</v>
      </c>
      <c r="L1569" s="12"/>
      <c r="M1569" s="10"/>
      <c r="N1569" s="10"/>
      <c r="O1569" s="10"/>
      <c r="P1569" s="10"/>
      <c r="Q1569" s="10"/>
      <c r="R1569" s="10"/>
      <c r="S1569" s="10"/>
      <c r="T1569" s="10"/>
      <c r="U1569" s="10"/>
      <c r="V1569" s="10"/>
      <c r="W1569" s="10"/>
      <c r="X1569" s="10"/>
      <c r="Y1569" s="10"/>
      <c r="Z1569" s="10"/>
      <c r="AA1569" s="10"/>
      <c r="AB1569" s="10"/>
      <c r="AC1569" s="10"/>
      <c r="AD1569" s="10"/>
      <c r="AE1569" s="10"/>
      <c r="AF1569" s="10"/>
    </row>
    <row r="1570">
      <c r="A1570" s="7"/>
      <c r="B1570" s="8">
        <v>132.0</v>
      </c>
      <c r="C1570" s="8">
        <v>4.0</v>
      </c>
      <c r="D1570" s="8" t="s">
        <v>2206</v>
      </c>
      <c r="E1570" s="7">
        <v>2.0</v>
      </c>
      <c r="F1570" s="7"/>
      <c r="G1570" s="7" t="s">
        <v>312</v>
      </c>
      <c r="H1570" s="7" t="s">
        <v>313</v>
      </c>
      <c r="I1570" s="7" t="s">
        <v>366</v>
      </c>
      <c r="J1570" s="16" t="s">
        <v>2207</v>
      </c>
      <c r="K1570" s="8" t="s">
        <v>1664</v>
      </c>
      <c r="L1570" s="12"/>
      <c r="M1570" s="10"/>
      <c r="N1570" s="10"/>
      <c r="O1570" s="10"/>
      <c r="P1570" s="10"/>
      <c r="Q1570" s="10"/>
      <c r="R1570" s="10"/>
      <c r="S1570" s="10"/>
      <c r="T1570" s="10"/>
      <c r="U1570" s="10"/>
      <c r="V1570" s="10"/>
      <c r="W1570" s="10"/>
      <c r="X1570" s="10"/>
      <c r="Y1570" s="10"/>
      <c r="Z1570" s="10"/>
      <c r="AA1570" s="10"/>
      <c r="AB1570" s="10"/>
      <c r="AC1570" s="10"/>
      <c r="AD1570" s="10"/>
      <c r="AE1570" s="10"/>
      <c r="AF1570" s="10"/>
    </row>
    <row r="1571">
      <c r="A1571" s="7"/>
      <c r="B1571" s="8">
        <v>132.0</v>
      </c>
      <c r="C1571" s="8">
        <v>5.0</v>
      </c>
      <c r="D1571" s="8" t="s">
        <v>2208</v>
      </c>
      <c r="E1571" s="7">
        <v>2.0</v>
      </c>
      <c r="F1571" s="7"/>
      <c r="G1571" s="7" t="s">
        <v>312</v>
      </c>
      <c r="H1571" s="7" t="s">
        <v>313</v>
      </c>
      <c r="I1571" s="7" t="s">
        <v>366</v>
      </c>
      <c r="J1571" s="16" t="s">
        <v>2209</v>
      </c>
      <c r="K1571" s="8" t="s">
        <v>1664</v>
      </c>
      <c r="L1571" s="12"/>
      <c r="M1571" s="10"/>
      <c r="N1571" s="10"/>
      <c r="O1571" s="10"/>
      <c r="P1571" s="10"/>
      <c r="Q1571" s="10"/>
      <c r="R1571" s="10"/>
      <c r="S1571" s="10"/>
      <c r="T1571" s="10"/>
      <c r="U1571" s="10"/>
      <c r="V1571" s="10"/>
      <c r="W1571" s="10"/>
      <c r="X1571" s="10"/>
      <c r="Y1571" s="10"/>
      <c r="Z1571" s="10"/>
      <c r="AA1571" s="10"/>
      <c r="AB1571" s="10"/>
      <c r="AC1571" s="10"/>
      <c r="AD1571" s="10"/>
      <c r="AE1571" s="10"/>
      <c r="AF1571" s="10"/>
    </row>
    <row r="1572">
      <c r="A1572" s="7"/>
      <c r="B1572" s="8">
        <v>132.0</v>
      </c>
      <c r="C1572" s="8">
        <v>6.0</v>
      </c>
      <c r="D1572" s="8" t="s">
        <v>2210</v>
      </c>
      <c r="E1572" s="7">
        <v>2.0</v>
      </c>
      <c r="F1572" s="7"/>
      <c r="G1572" s="7" t="s">
        <v>312</v>
      </c>
      <c r="H1572" s="7" t="s">
        <v>313</v>
      </c>
      <c r="I1572" s="10"/>
      <c r="J1572" s="9" t="s">
        <v>2204</v>
      </c>
      <c r="K1572" s="8" t="s">
        <v>1664</v>
      </c>
      <c r="L1572" s="12"/>
      <c r="M1572" s="10"/>
      <c r="N1572" s="10"/>
      <c r="O1572" s="10"/>
      <c r="P1572" s="10"/>
      <c r="Q1572" s="10"/>
      <c r="R1572" s="10"/>
      <c r="S1572" s="10"/>
      <c r="T1572" s="10"/>
      <c r="U1572" s="10"/>
      <c r="V1572" s="10"/>
      <c r="W1572" s="10"/>
      <c r="X1572" s="10"/>
      <c r="Y1572" s="10"/>
      <c r="Z1572" s="10"/>
      <c r="AA1572" s="10"/>
      <c r="AB1572" s="10"/>
      <c r="AC1572" s="10"/>
      <c r="AD1572" s="10"/>
      <c r="AE1572" s="10"/>
      <c r="AF1572" s="10"/>
    </row>
    <row r="1573">
      <c r="A1573" s="7"/>
      <c r="B1573" s="8">
        <v>132.0</v>
      </c>
      <c r="C1573" s="8">
        <v>7.0</v>
      </c>
      <c r="D1573" s="8" t="s">
        <v>2211</v>
      </c>
      <c r="E1573" s="7">
        <v>2.0</v>
      </c>
      <c r="F1573" s="7"/>
      <c r="G1573" s="7" t="s">
        <v>312</v>
      </c>
      <c r="H1573" s="7" t="s">
        <v>313</v>
      </c>
      <c r="I1573" s="10"/>
      <c r="J1573" s="11"/>
      <c r="K1573" s="8" t="s">
        <v>1664</v>
      </c>
      <c r="L1573" s="12"/>
      <c r="M1573" s="10"/>
      <c r="N1573" s="10"/>
      <c r="O1573" s="10"/>
      <c r="P1573" s="10"/>
      <c r="Q1573" s="10"/>
      <c r="R1573" s="10"/>
      <c r="S1573" s="10"/>
      <c r="T1573" s="10"/>
      <c r="U1573" s="10"/>
      <c r="V1573" s="10"/>
      <c r="W1573" s="10"/>
      <c r="X1573" s="10"/>
      <c r="Y1573" s="10"/>
      <c r="Z1573" s="10"/>
      <c r="AA1573" s="10"/>
      <c r="AB1573" s="10"/>
      <c r="AC1573" s="10"/>
      <c r="AD1573" s="10"/>
      <c r="AE1573" s="10"/>
      <c r="AF1573" s="10"/>
    </row>
    <row r="1574">
      <c r="A1574" s="7"/>
      <c r="B1574" s="8">
        <v>132.0</v>
      </c>
      <c r="C1574" s="8">
        <v>8.0</v>
      </c>
      <c r="D1574" s="8" t="s">
        <v>2212</v>
      </c>
      <c r="E1574" s="7">
        <v>2.0</v>
      </c>
      <c r="F1574" s="7"/>
      <c r="G1574" s="7" t="s">
        <v>312</v>
      </c>
      <c r="H1574" s="7" t="s">
        <v>313</v>
      </c>
      <c r="I1574" s="7" t="s">
        <v>366</v>
      </c>
      <c r="J1574" s="16" t="s">
        <v>2207</v>
      </c>
      <c r="K1574" s="8" t="s">
        <v>1664</v>
      </c>
      <c r="L1574" s="12"/>
      <c r="M1574" s="10"/>
      <c r="N1574" s="10"/>
      <c r="O1574" s="10"/>
      <c r="P1574" s="10"/>
      <c r="Q1574" s="10"/>
      <c r="R1574" s="10"/>
      <c r="S1574" s="10"/>
      <c r="T1574" s="10"/>
      <c r="U1574" s="10"/>
      <c r="V1574" s="10"/>
      <c r="W1574" s="10"/>
      <c r="X1574" s="10"/>
      <c r="Y1574" s="10"/>
      <c r="Z1574" s="10"/>
      <c r="AA1574" s="10"/>
      <c r="AB1574" s="10"/>
      <c r="AC1574" s="10"/>
      <c r="AD1574" s="10"/>
      <c r="AE1574" s="10"/>
      <c r="AF1574" s="10"/>
    </row>
    <row r="1575">
      <c r="A1575" s="7"/>
      <c r="B1575" s="8">
        <v>132.0</v>
      </c>
      <c r="C1575" s="8">
        <v>9.0</v>
      </c>
      <c r="D1575" s="8" t="s">
        <v>2213</v>
      </c>
      <c r="E1575" s="7">
        <v>2.0</v>
      </c>
      <c r="F1575" s="7"/>
      <c r="G1575" s="7" t="s">
        <v>312</v>
      </c>
      <c r="H1575" s="7" t="s">
        <v>313</v>
      </c>
      <c r="I1575" s="7" t="s">
        <v>366</v>
      </c>
      <c r="J1575" s="16" t="s">
        <v>2209</v>
      </c>
      <c r="K1575" s="8" t="s">
        <v>1664</v>
      </c>
      <c r="L1575" s="12"/>
      <c r="M1575" s="10"/>
      <c r="N1575" s="10"/>
      <c r="O1575" s="10"/>
      <c r="P1575" s="10"/>
      <c r="Q1575" s="10"/>
      <c r="R1575" s="10"/>
      <c r="S1575" s="10"/>
      <c r="T1575" s="10"/>
      <c r="U1575" s="10"/>
      <c r="V1575" s="10"/>
      <c r="W1575" s="10"/>
      <c r="X1575" s="10"/>
      <c r="Y1575" s="10"/>
      <c r="Z1575" s="10"/>
      <c r="AA1575" s="10"/>
      <c r="AB1575" s="10"/>
      <c r="AC1575" s="10"/>
      <c r="AD1575" s="10"/>
      <c r="AE1575" s="10"/>
      <c r="AF1575" s="10"/>
    </row>
    <row r="1576">
      <c r="A1576" s="7"/>
      <c r="B1576" s="8">
        <v>132.0</v>
      </c>
      <c r="C1576" s="8">
        <v>10.0</v>
      </c>
      <c r="D1576" s="8" t="s">
        <v>2214</v>
      </c>
      <c r="E1576" s="7">
        <v>0.0</v>
      </c>
      <c r="F1576" s="7"/>
      <c r="G1576" s="7" t="s">
        <v>312</v>
      </c>
      <c r="H1576" s="7" t="s">
        <v>313</v>
      </c>
      <c r="I1576" s="10"/>
      <c r="J1576" s="11"/>
      <c r="K1576" s="12"/>
      <c r="L1576" s="12"/>
      <c r="M1576" s="10"/>
      <c r="N1576" s="10"/>
      <c r="O1576" s="10"/>
      <c r="P1576" s="10"/>
      <c r="Q1576" s="10"/>
      <c r="R1576" s="10"/>
      <c r="S1576" s="10"/>
      <c r="T1576" s="10"/>
      <c r="U1576" s="10"/>
      <c r="V1576" s="10"/>
      <c r="W1576" s="10"/>
      <c r="X1576" s="10"/>
      <c r="Y1576" s="10"/>
      <c r="Z1576" s="10"/>
      <c r="AA1576" s="10"/>
      <c r="AB1576" s="10"/>
      <c r="AC1576" s="10"/>
      <c r="AD1576" s="10"/>
      <c r="AE1576" s="10"/>
      <c r="AF1576" s="10"/>
    </row>
    <row r="1577">
      <c r="A1577" s="7"/>
      <c r="B1577" s="8">
        <v>132.0</v>
      </c>
      <c r="C1577" s="8">
        <v>11.0</v>
      </c>
      <c r="D1577" s="8" t="s">
        <v>2215</v>
      </c>
      <c r="E1577" s="7">
        <v>0.0</v>
      </c>
      <c r="F1577" s="7"/>
      <c r="G1577" s="7" t="s">
        <v>312</v>
      </c>
      <c r="H1577" s="7" t="s">
        <v>313</v>
      </c>
      <c r="I1577" s="10"/>
      <c r="J1577" s="11"/>
      <c r="K1577" s="12"/>
      <c r="L1577" s="12"/>
      <c r="M1577" s="10"/>
      <c r="N1577" s="10"/>
      <c r="O1577" s="10"/>
      <c r="P1577" s="10"/>
      <c r="Q1577" s="10"/>
      <c r="R1577" s="10"/>
      <c r="S1577" s="10"/>
      <c r="T1577" s="10"/>
      <c r="U1577" s="10"/>
      <c r="V1577" s="10"/>
      <c r="W1577" s="10"/>
      <c r="X1577" s="10"/>
      <c r="Y1577" s="10"/>
      <c r="Z1577" s="10"/>
      <c r="AA1577" s="10"/>
      <c r="AB1577" s="10"/>
      <c r="AC1577" s="10"/>
      <c r="AD1577" s="10"/>
      <c r="AE1577" s="10"/>
      <c r="AF1577" s="10"/>
    </row>
    <row r="1578">
      <c r="A1578" s="7"/>
      <c r="B1578" s="8">
        <v>132.0</v>
      </c>
      <c r="C1578" s="8">
        <v>12.0</v>
      </c>
      <c r="D1578" s="8" t="s">
        <v>2216</v>
      </c>
      <c r="E1578" s="7">
        <v>0.0</v>
      </c>
      <c r="F1578" s="7"/>
      <c r="G1578" s="7" t="s">
        <v>312</v>
      </c>
      <c r="H1578" s="7" t="s">
        <v>313</v>
      </c>
      <c r="I1578" s="10"/>
      <c r="J1578" s="11"/>
      <c r="K1578" s="12"/>
      <c r="L1578" s="12"/>
      <c r="M1578" s="10"/>
      <c r="N1578" s="10"/>
      <c r="O1578" s="10"/>
      <c r="P1578" s="10"/>
      <c r="Q1578" s="10"/>
      <c r="R1578" s="10"/>
      <c r="S1578" s="10"/>
      <c r="T1578" s="10"/>
      <c r="U1578" s="10"/>
      <c r="V1578" s="10"/>
      <c r="W1578" s="10"/>
      <c r="X1578" s="10"/>
      <c r="Y1578" s="10"/>
      <c r="Z1578" s="10"/>
      <c r="AA1578" s="10"/>
      <c r="AB1578" s="10"/>
      <c r="AC1578" s="10"/>
      <c r="AD1578" s="10"/>
      <c r="AE1578" s="10"/>
      <c r="AF1578" s="10"/>
    </row>
    <row r="1579">
      <c r="A1579" s="7"/>
      <c r="B1579" s="8">
        <v>132.0</v>
      </c>
      <c r="C1579" s="8">
        <v>13.0</v>
      </c>
      <c r="D1579" s="8" t="s">
        <v>2217</v>
      </c>
      <c r="E1579" s="7">
        <v>0.0</v>
      </c>
      <c r="F1579" s="7"/>
      <c r="G1579" s="7" t="s">
        <v>312</v>
      </c>
      <c r="H1579" s="7" t="s">
        <v>313</v>
      </c>
      <c r="I1579" s="10"/>
      <c r="J1579" s="11"/>
      <c r="K1579" s="12"/>
      <c r="L1579" s="12"/>
      <c r="M1579" s="10"/>
      <c r="N1579" s="10"/>
      <c r="O1579" s="10"/>
      <c r="P1579" s="10"/>
      <c r="Q1579" s="10"/>
      <c r="R1579" s="10"/>
      <c r="S1579" s="10"/>
      <c r="T1579" s="10"/>
      <c r="U1579" s="10"/>
      <c r="V1579" s="10"/>
      <c r="W1579" s="10"/>
      <c r="X1579" s="10"/>
      <c r="Y1579" s="10"/>
      <c r="Z1579" s="10"/>
      <c r="AA1579" s="10"/>
      <c r="AB1579" s="10"/>
      <c r="AC1579" s="10"/>
      <c r="AD1579" s="10"/>
      <c r="AE1579" s="10"/>
      <c r="AF1579" s="10"/>
    </row>
    <row r="1580">
      <c r="A1580" s="7"/>
      <c r="B1580" s="8">
        <v>132.0</v>
      </c>
      <c r="C1580" s="8">
        <v>14.0</v>
      </c>
      <c r="D1580" s="8" t="s">
        <v>2218</v>
      </c>
      <c r="E1580" s="7">
        <v>0.0</v>
      </c>
      <c r="F1580" s="7"/>
      <c r="G1580" s="7" t="s">
        <v>312</v>
      </c>
      <c r="H1580" s="7" t="s">
        <v>313</v>
      </c>
      <c r="I1580" s="10"/>
      <c r="J1580" s="11"/>
      <c r="K1580" s="12"/>
      <c r="L1580" s="12"/>
      <c r="M1580" s="10"/>
      <c r="N1580" s="10"/>
      <c r="O1580" s="10"/>
      <c r="P1580" s="10"/>
      <c r="Q1580" s="10"/>
      <c r="R1580" s="10"/>
      <c r="S1580" s="10"/>
      <c r="T1580" s="10"/>
      <c r="U1580" s="10"/>
      <c r="V1580" s="10"/>
      <c r="W1580" s="10"/>
      <c r="X1580" s="10"/>
      <c r="Y1580" s="10"/>
      <c r="Z1580" s="10"/>
      <c r="AA1580" s="10"/>
      <c r="AB1580" s="10"/>
      <c r="AC1580" s="10"/>
      <c r="AD1580" s="10"/>
      <c r="AE1580" s="10"/>
      <c r="AF1580" s="10"/>
    </row>
    <row r="1581">
      <c r="A1581" s="7"/>
      <c r="B1581" s="8">
        <v>132.0</v>
      </c>
      <c r="C1581" s="8">
        <v>15.0</v>
      </c>
      <c r="D1581" s="8" t="s">
        <v>2219</v>
      </c>
      <c r="E1581" s="7">
        <v>0.0</v>
      </c>
      <c r="F1581" s="7"/>
      <c r="G1581" s="7" t="s">
        <v>312</v>
      </c>
      <c r="H1581" s="7" t="s">
        <v>313</v>
      </c>
      <c r="I1581" s="10"/>
      <c r="J1581" s="11"/>
      <c r="K1581" s="12"/>
      <c r="L1581" s="12"/>
      <c r="M1581" s="10"/>
      <c r="N1581" s="10"/>
      <c r="O1581" s="10"/>
      <c r="P1581" s="10"/>
      <c r="Q1581" s="10"/>
      <c r="R1581" s="10"/>
      <c r="S1581" s="10"/>
      <c r="T1581" s="10"/>
      <c r="U1581" s="10"/>
      <c r="V1581" s="10"/>
      <c r="W1581" s="10"/>
      <c r="X1581" s="10"/>
      <c r="Y1581" s="10"/>
      <c r="Z1581" s="10"/>
      <c r="AA1581" s="10"/>
      <c r="AB1581" s="10"/>
      <c r="AC1581" s="10"/>
      <c r="AD1581" s="10"/>
      <c r="AE1581" s="10"/>
      <c r="AF1581" s="10"/>
    </row>
    <row r="1582">
      <c r="A1582" s="10"/>
      <c r="B1582" s="12"/>
      <c r="C1582" s="12"/>
      <c r="D1582" s="12"/>
      <c r="E1582" s="10"/>
      <c r="F1582" s="10"/>
      <c r="G1582" s="10"/>
      <c r="H1582" s="10"/>
      <c r="I1582" s="10"/>
      <c r="J1582" s="11"/>
      <c r="K1582" s="12"/>
      <c r="L1582" s="12"/>
      <c r="M1582" s="10"/>
      <c r="N1582" s="10"/>
      <c r="O1582" s="10"/>
      <c r="P1582" s="10"/>
      <c r="Q1582" s="10"/>
      <c r="R1582" s="10"/>
      <c r="S1582" s="10"/>
      <c r="T1582" s="10"/>
      <c r="U1582" s="10"/>
      <c r="V1582" s="10"/>
      <c r="W1582" s="10"/>
      <c r="X1582" s="10"/>
      <c r="Y1582" s="10"/>
      <c r="Z1582" s="10"/>
      <c r="AA1582" s="10"/>
      <c r="AB1582" s="10"/>
      <c r="AC1582" s="10"/>
      <c r="AD1582" s="10"/>
      <c r="AE1582" s="10"/>
      <c r="AF1582" s="10"/>
    </row>
    <row r="1583">
      <c r="A1583" s="7"/>
      <c r="B1583" s="8">
        <v>133.0</v>
      </c>
      <c r="C1583" s="8">
        <v>1.0</v>
      </c>
      <c r="D1583" s="8" t="s">
        <v>2220</v>
      </c>
      <c r="E1583" s="7">
        <v>2.0</v>
      </c>
      <c r="F1583" s="7"/>
      <c r="G1583" s="7" t="s">
        <v>312</v>
      </c>
      <c r="H1583" s="7" t="s">
        <v>313</v>
      </c>
      <c r="I1583" s="10"/>
      <c r="J1583" s="9" t="s">
        <v>2204</v>
      </c>
      <c r="K1583" s="8" t="s">
        <v>1664</v>
      </c>
      <c r="L1583" s="12"/>
      <c r="M1583" s="10"/>
      <c r="N1583" s="10"/>
      <c r="O1583" s="10"/>
      <c r="P1583" s="10"/>
      <c r="Q1583" s="10"/>
      <c r="R1583" s="10"/>
      <c r="S1583" s="10"/>
      <c r="T1583" s="10"/>
      <c r="U1583" s="10"/>
      <c r="V1583" s="10"/>
      <c r="W1583" s="10"/>
      <c r="X1583" s="10"/>
      <c r="Y1583" s="10"/>
      <c r="Z1583" s="10"/>
      <c r="AA1583" s="10"/>
      <c r="AB1583" s="10"/>
      <c r="AC1583" s="10"/>
      <c r="AD1583" s="10"/>
      <c r="AE1583" s="10"/>
      <c r="AF1583" s="10"/>
    </row>
    <row r="1584">
      <c r="A1584" s="7"/>
      <c r="B1584" s="8">
        <v>133.0</v>
      </c>
      <c r="C1584" s="8">
        <v>2.0</v>
      </c>
      <c r="D1584" s="8" t="s">
        <v>2221</v>
      </c>
      <c r="E1584" s="7">
        <v>2.0</v>
      </c>
      <c r="F1584" s="7"/>
      <c r="G1584" s="7" t="s">
        <v>312</v>
      </c>
      <c r="H1584" s="7" t="s">
        <v>313</v>
      </c>
      <c r="I1584" s="10"/>
      <c r="J1584" s="9" t="s">
        <v>2222</v>
      </c>
      <c r="K1584" s="8" t="s">
        <v>1664</v>
      </c>
      <c r="L1584" s="12"/>
      <c r="M1584" s="10"/>
      <c r="N1584" s="10"/>
      <c r="O1584" s="10"/>
      <c r="P1584" s="10"/>
      <c r="Q1584" s="10"/>
      <c r="R1584" s="10"/>
      <c r="S1584" s="10"/>
      <c r="T1584" s="10"/>
      <c r="U1584" s="10"/>
      <c r="V1584" s="10"/>
      <c r="W1584" s="10"/>
      <c r="X1584" s="10"/>
      <c r="Y1584" s="10"/>
      <c r="Z1584" s="10"/>
      <c r="AA1584" s="10"/>
      <c r="AB1584" s="10"/>
      <c r="AC1584" s="10"/>
      <c r="AD1584" s="10"/>
      <c r="AE1584" s="10"/>
      <c r="AF1584" s="10"/>
    </row>
    <row r="1585">
      <c r="A1585" s="7"/>
      <c r="B1585" s="8">
        <v>133.0</v>
      </c>
      <c r="C1585" s="8">
        <v>3.0</v>
      </c>
      <c r="D1585" s="8" t="s">
        <v>2223</v>
      </c>
      <c r="E1585" s="7">
        <v>2.0</v>
      </c>
      <c r="F1585" s="7" t="s">
        <v>320</v>
      </c>
      <c r="G1585" s="7" t="s">
        <v>312</v>
      </c>
      <c r="H1585" s="7" t="s">
        <v>313</v>
      </c>
      <c r="I1585" s="7" t="s">
        <v>320</v>
      </c>
      <c r="J1585" s="9" t="s">
        <v>2224</v>
      </c>
      <c r="K1585" s="12"/>
      <c r="L1585" s="12"/>
      <c r="M1585" s="10"/>
      <c r="N1585" s="10"/>
      <c r="O1585" s="10"/>
      <c r="P1585" s="10"/>
      <c r="Q1585" s="10"/>
      <c r="R1585" s="10"/>
      <c r="S1585" s="10"/>
      <c r="T1585" s="10"/>
      <c r="U1585" s="10"/>
      <c r="V1585" s="10"/>
      <c r="W1585" s="10"/>
      <c r="X1585" s="10"/>
      <c r="Y1585" s="10"/>
      <c r="Z1585" s="10"/>
      <c r="AA1585" s="10"/>
      <c r="AB1585" s="10"/>
      <c r="AC1585" s="10"/>
      <c r="AD1585" s="10"/>
      <c r="AE1585" s="10"/>
      <c r="AF1585" s="10"/>
    </row>
    <row r="1586">
      <c r="A1586" s="7"/>
      <c r="B1586" s="8">
        <v>133.0</v>
      </c>
      <c r="C1586" s="8">
        <v>4.0</v>
      </c>
      <c r="D1586" s="8" t="s">
        <v>2225</v>
      </c>
      <c r="E1586" s="7">
        <v>2.0</v>
      </c>
      <c r="F1586" s="7" t="s">
        <v>320</v>
      </c>
      <c r="G1586" s="7" t="s">
        <v>312</v>
      </c>
      <c r="H1586" s="7" t="s">
        <v>313</v>
      </c>
      <c r="I1586" s="7" t="s">
        <v>320</v>
      </c>
      <c r="J1586" s="9" t="s">
        <v>2226</v>
      </c>
      <c r="K1586" s="12"/>
      <c r="L1586" s="12"/>
      <c r="M1586" s="10"/>
      <c r="N1586" s="10"/>
      <c r="O1586" s="10"/>
      <c r="P1586" s="10"/>
      <c r="Q1586" s="10"/>
      <c r="R1586" s="10"/>
      <c r="S1586" s="10"/>
      <c r="T1586" s="10"/>
      <c r="U1586" s="10"/>
      <c r="V1586" s="10"/>
      <c r="W1586" s="10"/>
      <c r="X1586" s="10"/>
      <c r="Y1586" s="10"/>
      <c r="Z1586" s="10"/>
      <c r="AA1586" s="10"/>
      <c r="AB1586" s="10"/>
      <c r="AC1586" s="10"/>
      <c r="AD1586" s="10"/>
      <c r="AE1586" s="10"/>
      <c r="AF1586" s="10"/>
    </row>
    <row r="1587">
      <c r="A1587" s="7"/>
      <c r="B1587" s="8">
        <v>133.0</v>
      </c>
      <c r="C1587" s="8">
        <v>5.0</v>
      </c>
      <c r="D1587" s="8" t="s">
        <v>2227</v>
      </c>
      <c r="E1587" s="7">
        <v>0.0</v>
      </c>
      <c r="F1587" s="7"/>
      <c r="G1587" s="7" t="s">
        <v>312</v>
      </c>
      <c r="H1587" s="7" t="s">
        <v>313</v>
      </c>
      <c r="I1587" s="10"/>
      <c r="J1587" s="11"/>
      <c r="K1587" s="12"/>
      <c r="L1587" s="12"/>
      <c r="M1587" s="10"/>
      <c r="N1587" s="10"/>
      <c r="O1587" s="10"/>
      <c r="P1587" s="10"/>
      <c r="Q1587" s="10"/>
      <c r="R1587" s="10"/>
      <c r="S1587" s="10"/>
      <c r="T1587" s="10"/>
      <c r="U1587" s="10"/>
      <c r="V1587" s="10"/>
      <c r="W1587" s="10"/>
      <c r="X1587" s="10"/>
      <c r="Y1587" s="10"/>
      <c r="Z1587" s="10"/>
      <c r="AA1587" s="10"/>
      <c r="AB1587" s="10"/>
      <c r="AC1587" s="10"/>
      <c r="AD1587" s="10"/>
      <c r="AE1587" s="10"/>
      <c r="AF1587" s="10"/>
    </row>
    <row r="1588">
      <c r="A1588" s="7"/>
      <c r="B1588" s="8">
        <v>133.0</v>
      </c>
      <c r="C1588" s="8">
        <v>6.0</v>
      </c>
      <c r="D1588" s="8" t="s">
        <v>2228</v>
      </c>
      <c r="E1588" s="7">
        <v>2.0</v>
      </c>
      <c r="F1588" s="7" t="s">
        <v>320</v>
      </c>
      <c r="G1588" s="7" t="s">
        <v>312</v>
      </c>
      <c r="H1588" s="7" t="s">
        <v>313</v>
      </c>
      <c r="I1588" s="7" t="s">
        <v>366</v>
      </c>
      <c r="J1588" s="9" t="s">
        <v>2229</v>
      </c>
      <c r="K1588" s="12"/>
      <c r="L1588" s="12"/>
      <c r="M1588" s="10"/>
      <c r="N1588" s="10"/>
      <c r="O1588" s="10"/>
      <c r="P1588" s="10"/>
      <c r="Q1588" s="10"/>
      <c r="R1588" s="10"/>
      <c r="S1588" s="10"/>
      <c r="T1588" s="10"/>
      <c r="U1588" s="10"/>
      <c r="V1588" s="10"/>
      <c r="W1588" s="10"/>
      <c r="X1588" s="10"/>
      <c r="Y1588" s="10"/>
      <c r="Z1588" s="10"/>
      <c r="AA1588" s="10"/>
      <c r="AB1588" s="10"/>
      <c r="AC1588" s="10"/>
      <c r="AD1588" s="10"/>
      <c r="AE1588" s="10"/>
      <c r="AF1588" s="10"/>
    </row>
    <row r="1589">
      <c r="A1589" s="7"/>
      <c r="B1589" s="8">
        <v>133.0</v>
      </c>
      <c r="C1589" s="8">
        <v>7.0</v>
      </c>
      <c r="D1589" s="8" t="s">
        <v>2230</v>
      </c>
      <c r="E1589" s="7">
        <v>0.0</v>
      </c>
      <c r="F1589" s="7"/>
      <c r="G1589" s="7" t="s">
        <v>312</v>
      </c>
      <c r="H1589" s="7" t="s">
        <v>313</v>
      </c>
      <c r="I1589" s="10"/>
      <c r="J1589" s="11"/>
      <c r="K1589" s="12"/>
      <c r="L1589" s="12"/>
      <c r="M1589" s="10"/>
      <c r="N1589" s="10"/>
      <c r="O1589" s="10"/>
      <c r="P1589" s="10"/>
      <c r="Q1589" s="10"/>
      <c r="R1589" s="10"/>
      <c r="S1589" s="10"/>
      <c r="T1589" s="10"/>
      <c r="U1589" s="10"/>
      <c r="V1589" s="10"/>
      <c r="W1589" s="10"/>
      <c r="X1589" s="10"/>
      <c r="Y1589" s="10"/>
      <c r="Z1589" s="10"/>
      <c r="AA1589" s="10"/>
      <c r="AB1589" s="10"/>
      <c r="AC1589" s="10"/>
      <c r="AD1589" s="10"/>
      <c r="AE1589" s="10"/>
      <c r="AF1589" s="10"/>
    </row>
    <row r="1590">
      <c r="A1590" s="7"/>
      <c r="B1590" s="8">
        <v>133.0</v>
      </c>
      <c r="C1590" s="8">
        <v>8.0</v>
      </c>
      <c r="D1590" s="8" t="s">
        <v>2231</v>
      </c>
      <c r="E1590" s="7">
        <v>0.0</v>
      </c>
      <c r="F1590" s="7"/>
      <c r="G1590" s="7" t="s">
        <v>312</v>
      </c>
      <c r="H1590" s="7" t="s">
        <v>313</v>
      </c>
      <c r="I1590" s="10"/>
      <c r="J1590" s="11"/>
      <c r="K1590" s="12"/>
      <c r="L1590" s="12"/>
      <c r="M1590" s="10"/>
      <c r="N1590" s="10"/>
      <c r="O1590" s="10"/>
      <c r="P1590" s="10"/>
      <c r="Q1590" s="10"/>
      <c r="R1590" s="10"/>
      <c r="S1590" s="10"/>
      <c r="T1590" s="10"/>
      <c r="U1590" s="10"/>
      <c r="V1590" s="10"/>
      <c r="W1590" s="10"/>
      <c r="X1590" s="10"/>
      <c r="Y1590" s="10"/>
      <c r="Z1590" s="10"/>
      <c r="AA1590" s="10"/>
      <c r="AB1590" s="10"/>
      <c r="AC1590" s="10"/>
      <c r="AD1590" s="10"/>
      <c r="AE1590" s="10"/>
      <c r="AF1590" s="10"/>
    </row>
    <row r="1591">
      <c r="A1591" s="7"/>
      <c r="B1591" s="8">
        <v>133.0</v>
      </c>
      <c r="C1591" s="8">
        <v>9.0</v>
      </c>
      <c r="D1591" s="8" t="s">
        <v>2232</v>
      </c>
      <c r="E1591" s="7">
        <v>0.0</v>
      </c>
      <c r="F1591" s="7"/>
      <c r="G1591" s="7" t="s">
        <v>312</v>
      </c>
      <c r="H1591" s="7" t="s">
        <v>313</v>
      </c>
      <c r="I1591" s="10"/>
      <c r="J1591" s="11"/>
      <c r="K1591" s="12"/>
      <c r="L1591" s="12"/>
      <c r="M1591" s="10"/>
      <c r="N1591" s="10"/>
      <c r="O1591" s="10"/>
      <c r="P1591" s="10"/>
      <c r="Q1591" s="10"/>
      <c r="R1591" s="10"/>
      <c r="S1591" s="10"/>
      <c r="T1591" s="10"/>
      <c r="U1591" s="10"/>
      <c r="V1591" s="10"/>
      <c r="W1591" s="10"/>
      <c r="X1591" s="10"/>
      <c r="Y1591" s="10"/>
      <c r="Z1591" s="10"/>
      <c r="AA1591" s="10"/>
      <c r="AB1591" s="10"/>
      <c r="AC1591" s="10"/>
      <c r="AD1591" s="10"/>
      <c r="AE1591" s="10"/>
      <c r="AF1591" s="10"/>
    </row>
    <row r="1592">
      <c r="A1592" s="7"/>
      <c r="B1592" s="8">
        <v>133.0</v>
      </c>
      <c r="C1592" s="8">
        <v>10.0</v>
      </c>
      <c r="D1592" s="8" t="s">
        <v>2233</v>
      </c>
      <c r="E1592" s="7">
        <v>2.0</v>
      </c>
      <c r="F1592" s="7" t="s">
        <v>320</v>
      </c>
      <c r="G1592" s="7" t="s">
        <v>312</v>
      </c>
      <c r="H1592" s="7" t="s">
        <v>313</v>
      </c>
      <c r="I1592" s="7" t="s">
        <v>366</v>
      </c>
      <c r="J1592" s="9" t="s">
        <v>2234</v>
      </c>
      <c r="K1592" s="12"/>
      <c r="L1592" s="12"/>
      <c r="M1592" s="10"/>
      <c r="N1592" s="10"/>
      <c r="O1592" s="10"/>
      <c r="P1592" s="10"/>
      <c r="Q1592" s="10"/>
      <c r="R1592" s="10"/>
      <c r="S1592" s="10"/>
      <c r="T1592" s="10"/>
      <c r="U1592" s="10"/>
      <c r="V1592" s="10"/>
      <c r="W1592" s="10"/>
      <c r="X1592" s="10"/>
      <c r="Y1592" s="10"/>
      <c r="Z1592" s="10"/>
      <c r="AA1592" s="10"/>
      <c r="AB1592" s="10"/>
      <c r="AC1592" s="10"/>
      <c r="AD1592" s="10"/>
      <c r="AE1592" s="10"/>
      <c r="AF1592" s="10"/>
    </row>
    <row r="1593">
      <c r="A1593" s="7"/>
      <c r="B1593" s="8">
        <v>133.0</v>
      </c>
      <c r="C1593" s="8">
        <v>11.0</v>
      </c>
      <c r="D1593" s="8" t="s">
        <v>2235</v>
      </c>
      <c r="E1593" s="7">
        <v>0.0</v>
      </c>
      <c r="F1593" s="7"/>
      <c r="G1593" s="7" t="s">
        <v>312</v>
      </c>
      <c r="H1593" s="7" t="s">
        <v>313</v>
      </c>
      <c r="I1593" s="10"/>
      <c r="J1593" s="11"/>
      <c r="K1593" s="12"/>
      <c r="L1593" s="12"/>
      <c r="M1593" s="10"/>
      <c r="N1593" s="10"/>
      <c r="O1593" s="10"/>
      <c r="P1593" s="10"/>
      <c r="Q1593" s="10"/>
      <c r="R1593" s="10"/>
      <c r="S1593" s="10"/>
      <c r="T1593" s="10"/>
      <c r="U1593" s="10"/>
      <c r="V1593" s="10"/>
      <c r="W1593" s="10"/>
      <c r="X1593" s="10"/>
      <c r="Y1593" s="10"/>
      <c r="Z1593" s="10"/>
      <c r="AA1593" s="10"/>
      <c r="AB1593" s="10"/>
      <c r="AC1593" s="10"/>
      <c r="AD1593" s="10"/>
      <c r="AE1593" s="10"/>
      <c r="AF1593" s="10"/>
    </row>
    <row r="1594">
      <c r="A1594" s="7"/>
      <c r="B1594" s="8">
        <v>133.0</v>
      </c>
      <c r="C1594" s="8">
        <v>12.0</v>
      </c>
      <c r="D1594" s="8" t="s">
        <v>2236</v>
      </c>
      <c r="E1594" s="7">
        <v>0.0</v>
      </c>
      <c r="F1594" s="7"/>
      <c r="G1594" s="7" t="s">
        <v>312</v>
      </c>
      <c r="H1594" s="7" t="s">
        <v>313</v>
      </c>
      <c r="I1594" s="10"/>
      <c r="J1594" s="11"/>
      <c r="K1594" s="12"/>
      <c r="L1594" s="12"/>
      <c r="M1594" s="10"/>
      <c r="N1594" s="10"/>
      <c r="O1594" s="10"/>
      <c r="P1594" s="10"/>
      <c r="Q1594" s="10"/>
      <c r="R1594" s="10"/>
      <c r="S1594" s="10"/>
      <c r="T1594" s="10"/>
      <c r="U1594" s="10"/>
      <c r="V1594" s="10"/>
      <c r="W1594" s="10"/>
      <c r="X1594" s="10"/>
      <c r="Y1594" s="10"/>
      <c r="Z1594" s="10"/>
      <c r="AA1594" s="10"/>
      <c r="AB1594" s="10"/>
      <c r="AC1594" s="10"/>
      <c r="AD1594" s="10"/>
      <c r="AE1594" s="10"/>
      <c r="AF1594" s="10"/>
    </row>
    <row r="1595">
      <c r="A1595" s="7"/>
      <c r="B1595" s="8">
        <v>133.0</v>
      </c>
      <c r="C1595" s="8">
        <v>13.0</v>
      </c>
      <c r="D1595" s="8" t="s">
        <v>2237</v>
      </c>
      <c r="E1595" s="7">
        <v>0.0</v>
      </c>
      <c r="F1595" s="7"/>
      <c r="G1595" s="7" t="s">
        <v>312</v>
      </c>
      <c r="H1595" s="7" t="s">
        <v>313</v>
      </c>
      <c r="I1595" s="10"/>
      <c r="J1595" s="11"/>
      <c r="K1595" s="12"/>
      <c r="L1595" s="12"/>
      <c r="M1595" s="10"/>
      <c r="N1595" s="10"/>
      <c r="O1595" s="10"/>
      <c r="P1595" s="10"/>
      <c r="Q1595" s="10"/>
      <c r="R1595" s="10"/>
      <c r="S1595" s="10"/>
      <c r="T1595" s="10"/>
      <c r="U1595" s="10"/>
      <c r="V1595" s="10"/>
      <c r="W1595" s="10"/>
      <c r="X1595" s="10"/>
      <c r="Y1595" s="10"/>
      <c r="Z1595" s="10"/>
      <c r="AA1595" s="10"/>
      <c r="AB1595" s="10"/>
      <c r="AC1595" s="10"/>
      <c r="AD1595" s="10"/>
      <c r="AE1595" s="10"/>
      <c r="AF1595" s="10"/>
    </row>
    <row r="1596">
      <c r="A1596" s="7"/>
      <c r="B1596" s="8">
        <v>133.0</v>
      </c>
      <c r="C1596" s="8">
        <v>14.0</v>
      </c>
      <c r="D1596" s="8" t="s">
        <v>2238</v>
      </c>
      <c r="E1596" s="7">
        <v>2.0</v>
      </c>
      <c r="F1596" s="7" t="s">
        <v>320</v>
      </c>
      <c r="G1596" s="7" t="s">
        <v>312</v>
      </c>
      <c r="H1596" s="7" t="s">
        <v>313</v>
      </c>
      <c r="I1596" s="7" t="s">
        <v>366</v>
      </c>
      <c r="J1596" s="9" t="s">
        <v>2239</v>
      </c>
      <c r="K1596" s="12"/>
      <c r="L1596" s="12"/>
      <c r="M1596" s="10"/>
      <c r="N1596" s="10"/>
      <c r="O1596" s="10"/>
      <c r="P1596" s="10"/>
      <c r="Q1596" s="10"/>
      <c r="R1596" s="10"/>
      <c r="S1596" s="10"/>
      <c r="T1596" s="10"/>
      <c r="U1596" s="10"/>
      <c r="V1596" s="10"/>
      <c r="W1596" s="10"/>
      <c r="X1596" s="10"/>
      <c r="Y1596" s="10"/>
      <c r="Z1596" s="10"/>
      <c r="AA1596" s="10"/>
      <c r="AB1596" s="10"/>
      <c r="AC1596" s="10"/>
      <c r="AD1596" s="10"/>
      <c r="AE1596" s="10"/>
      <c r="AF1596" s="10"/>
    </row>
    <row r="1597">
      <c r="A1597" s="7"/>
      <c r="B1597" s="8">
        <v>133.0</v>
      </c>
      <c r="C1597" s="8">
        <v>15.0</v>
      </c>
      <c r="D1597" s="8" t="s">
        <v>2240</v>
      </c>
      <c r="E1597" s="7">
        <v>0.0</v>
      </c>
      <c r="F1597" s="7"/>
      <c r="G1597" s="7" t="s">
        <v>312</v>
      </c>
      <c r="H1597" s="7" t="s">
        <v>313</v>
      </c>
      <c r="I1597" s="10"/>
      <c r="J1597" s="11"/>
      <c r="K1597" s="12"/>
      <c r="L1597" s="12"/>
      <c r="M1597" s="10"/>
      <c r="N1597" s="10"/>
      <c r="O1597" s="10"/>
      <c r="P1597" s="10"/>
      <c r="Q1597" s="10"/>
      <c r="R1597" s="10"/>
      <c r="S1597" s="10"/>
      <c r="T1597" s="10"/>
      <c r="U1597" s="10"/>
      <c r="V1597" s="10"/>
      <c r="W1597" s="10"/>
      <c r="X1597" s="10"/>
      <c r="Y1597" s="10"/>
      <c r="Z1597" s="10"/>
      <c r="AA1597" s="10"/>
      <c r="AB1597" s="10"/>
      <c r="AC1597" s="10"/>
      <c r="AD1597" s="10"/>
      <c r="AE1597" s="10"/>
      <c r="AF1597" s="10"/>
    </row>
    <row r="1598">
      <c r="A1598" s="7"/>
      <c r="B1598" s="8">
        <v>133.0</v>
      </c>
      <c r="C1598" s="8">
        <v>16.0</v>
      </c>
      <c r="D1598" s="8" t="s">
        <v>2241</v>
      </c>
      <c r="E1598" s="7">
        <v>0.0</v>
      </c>
      <c r="F1598" s="7"/>
      <c r="G1598" s="7" t="s">
        <v>312</v>
      </c>
      <c r="H1598" s="7" t="s">
        <v>313</v>
      </c>
      <c r="I1598" s="10"/>
      <c r="J1598" s="11"/>
      <c r="K1598" s="12"/>
      <c r="L1598" s="12"/>
      <c r="M1598" s="10"/>
      <c r="N1598" s="10"/>
      <c r="O1598" s="10"/>
      <c r="P1598" s="10"/>
      <c r="Q1598" s="10"/>
      <c r="R1598" s="10"/>
      <c r="S1598" s="10"/>
      <c r="T1598" s="10"/>
      <c r="U1598" s="10"/>
      <c r="V1598" s="10"/>
      <c r="W1598" s="10"/>
      <c r="X1598" s="10"/>
      <c r="Y1598" s="10"/>
      <c r="Z1598" s="10"/>
      <c r="AA1598" s="10"/>
      <c r="AB1598" s="10"/>
      <c r="AC1598" s="10"/>
      <c r="AD1598" s="10"/>
      <c r="AE1598" s="10"/>
      <c r="AF1598" s="10"/>
    </row>
    <row r="1599">
      <c r="A1599" s="7"/>
      <c r="B1599" s="8">
        <v>133.0</v>
      </c>
      <c r="C1599" s="8">
        <v>17.0</v>
      </c>
      <c r="D1599" s="8" t="s">
        <v>2242</v>
      </c>
      <c r="E1599" s="7">
        <v>2.0</v>
      </c>
      <c r="F1599" s="7" t="s">
        <v>320</v>
      </c>
      <c r="G1599" s="7" t="s">
        <v>312</v>
      </c>
      <c r="H1599" s="7" t="s">
        <v>313</v>
      </c>
      <c r="I1599" s="7" t="s">
        <v>320</v>
      </c>
      <c r="J1599" s="9" t="s">
        <v>2243</v>
      </c>
      <c r="K1599" s="12"/>
      <c r="L1599" s="12"/>
      <c r="M1599" s="10"/>
      <c r="N1599" s="10"/>
      <c r="O1599" s="10"/>
      <c r="P1599" s="10"/>
      <c r="Q1599" s="10"/>
      <c r="R1599" s="10"/>
      <c r="S1599" s="10"/>
      <c r="T1599" s="10"/>
      <c r="U1599" s="10"/>
      <c r="V1599" s="10"/>
      <c r="W1599" s="10"/>
      <c r="X1599" s="10"/>
      <c r="Y1599" s="10"/>
      <c r="Z1599" s="10"/>
      <c r="AA1599" s="10"/>
      <c r="AB1599" s="10"/>
      <c r="AC1599" s="10"/>
      <c r="AD1599" s="10"/>
      <c r="AE1599" s="10"/>
      <c r="AF1599" s="10"/>
    </row>
    <row r="1600">
      <c r="A1600" s="7"/>
      <c r="B1600" s="8">
        <v>133.0</v>
      </c>
      <c r="C1600" s="8">
        <v>18.0</v>
      </c>
      <c r="D1600" s="8" t="s">
        <v>2244</v>
      </c>
      <c r="E1600" s="7">
        <v>0.0</v>
      </c>
      <c r="F1600" s="7" t="s">
        <v>320</v>
      </c>
      <c r="G1600" s="7" t="s">
        <v>312</v>
      </c>
      <c r="H1600" s="7" t="s">
        <v>313</v>
      </c>
      <c r="I1600" s="7" t="s">
        <v>366</v>
      </c>
      <c r="J1600" s="9" t="s">
        <v>2245</v>
      </c>
      <c r="K1600" s="8" t="s">
        <v>1664</v>
      </c>
      <c r="L1600" s="12"/>
      <c r="M1600" s="10"/>
      <c r="N1600" s="10"/>
      <c r="O1600" s="10"/>
      <c r="P1600" s="10"/>
      <c r="Q1600" s="10"/>
      <c r="R1600" s="10"/>
      <c r="S1600" s="10"/>
      <c r="T1600" s="10"/>
      <c r="U1600" s="10"/>
      <c r="V1600" s="10"/>
      <c r="W1600" s="10"/>
      <c r="X1600" s="10"/>
      <c r="Y1600" s="10"/>
      <c r="Z1600" s="10"/>
      <c r="AA1600" s="10"/>
      <c r="AB1600" s="10"/>
      <c r="AC1600" s="10"/>
      <c r="AD1600" s="10"/>
      <c r="AE1600" s="10"/>
      <c r="AF1600" s="10"/>
    </row>
    <row r="1601">
      <c r="A1601" s="7"/>
      <c r="B1601" s="8">
        <v>133.0</v>
      </c>
      <c r="C1601" s="8">
        <v>19.0</v>
      </c>
      <c r="D1601" s="8" t="s">
        <v>2246</v>
      </c>
      <c r="E1601" s="7">
        <v>2.0</v>
      </c>
      <c r="F1601" s="7" t="s">
        <v>320</v>
      </c>
      <c r="G1601" s="7" t="s">
        <v>312</v>
      </c>
      <c r="H1601" s="7" t="s">
        <v>313</v>
      </c>
      <c r="I1601" s="7" t="s">
        <v>320</v>
      </c>
      <c r="J1601" s="9" t="s">
        <v>2243</v>
      </c>
      <c r="K1601" s="12"/>
      <c r="L1601" s="12"/>
      <c r="M1601" s="10"/>
      <c r="N1601" s="10"/>
      <c r="O1601" s="10"/>
      <c r="P1601" s="10"/>
      <c r="Q1601" s="10"/>
      <c r="R1601" s="10"/>
      <c r="S1601" s="10"/>
      <c r="T1601" s="10"/>
      <c r="U1601" s="10"/>
      <c r="V1601" s="10"/>
      <c r="W1601" s="10"/>
      <c r="X1601" s="10"/>
      <c r="Y1601" s="10"/>
      <c r="Z1601" s="10"/>
      <c r="AA1601" s="10"/>
      <c r="AB1601" s="10"/>
      <c r="AC1601" s="10"/>
      <c r="AD1601" s="10"/>
      <c r="AE1601" s="10"/>
      <c r="AF1601" s="10"/>
    </row>
    <row r="1602">
      <c r="A1602" s="7"/>
      <c r="B1602" s="8">
        <v>133.0</v>
      </c>
      <c r="C1602" s="8">
        <v>20.0</v>
      </c>
      <c r="D1602" s="8" t="s">
        <v>2247</v>
      </c>
      <c r="E1602" s="7">
        <v>0.0</v>
      </c>
      <c r="F1602" s="7" t="s">
        <v>320</v>
      </c>
      <c r="G1602" s="7" t="s">
        <v>312</v>
      </c>
      <c r="H1602" s="7" t="s">
        <v>313</v>
      </c>
      <c r="I1602" s="7" t="s">
        <v>366</v>
      </c>
      <c r="J1602" s="9" t="s">
        <v>2245</v>
      </c>
      <c r="K1602" s="8" t="s">
        <v>1664</v>
      </c>
      <c r="L1602" s="12"/>
      <c r="M1602" s="10"/>
      <c r="N1602" s="10"/>
      <c r="O1602" s="10"/>
      <c r="P1602" s="10"/>
      <c r="Q1602" s="10"/>
      <c r="R1602" s="10"/>
      <c r="S1602" s="10"/>
      <c r="T1602" s="10"/>
      <c r="U1602" s="10"/>
      <c r="V1602" s="10"/>
      <c r="W1602" s="10"/>
      <c r="X1602" s="10"/>
      <c r="Y1602" s="10"/>
      <c r="Z1602" s="10"/>
      <c r="AA1602" s="10"/>
      <c r="AB1602" s="10"/>
      <c r="AC1602" s="10"/>
      <c r="AD1602" s="10"/>
      <c r="AE1602" s="10"/>
      <c r="AF1602" s="10"/>
    </row>
    <row r="1603">
      <c r="A1603" s="7"/>
      <c r="B1603" s="8">
        <v>133.0</v>
      </c>
      <c r="C1603" s="8">
        <v>21.0</v>
      </c>
      <c r="D1603" s="8" t="s">
        <v>2248</v>
      </c>
      <c r="E1603" s="7">
        <v>2.0</v>
      </c>
      <c r="F1603" s="7"/>
      <c r="G1603" s="7" t="s">
        <v>312</v>
      </c>
      <c r="H1603" s="7" t="s">
        <v>313</v>
      </c>
      <c r="I1603" s="10"/>
      <c r="J1603" s="11"/>
      <c r="K1603" s="8" t="s">
        <v>1664</v>
      </c>
      <c r="L1603" s="12"/>
      <c r="M1603" s="10"/>
      <c r="N1603" s="10"/>
      <c r="O1603" s="10"/>
      <c r="P1603" s="10"/>
      <c r="Q1603" s="10"/>
      <c r="R1603" s="10"/>
      <c r="S1603" s="10"/>
      <c r="T1603" s="10"/>
      <c r="U1603" s="10"/>
      <c r="V1603" s="10"/>
      <c r="W1603" s="10"/>
      <c r="X1603" s="10"/>
      <c r="Y1603" s="10"/>
      <c r="Z1603" s="10"/>
      <c r="AA1603" s="10"/>
      <c r="AB1603" s="10"/>
      <c r="AC1603" s="10"/>
      <c r="AD1603" s="10"/>
      <c r="AE1603" s="10"/>
      <c r="AF1603" s="10"/>
    </row>
    <row r="1604">
      <c r="A1604" s="10"/>
      <c r="B1604" s="12"/>
      <c r="C1604" s="12"/>
      <c r="D1604" s="12"/>
      <c r="E1604" s="10"/>
      <c r="F1604" s="10"/>
      <c r="G1604" s="10"/>
      <c r="H1604" s="10"/>
      <c r="I1604" s="10"/>
      <c r="J1604" s="11"/>
      <c r="K1604" s="12"/>
      <c r="L1604" s="12"/>
      <c r="M1604" s="10"/>
      <c r="N1604" s="10"/>
      <c r="O1604" s="10"/>
      <c r="P1604" s="10"/>
      <c r="Q1604" s="10"/>
      <c r="R1604" s="10"/>
      <c r="S1604" s="10"/>
      <c r="T1604" s="10"/>
      <c r="U1604" s="10"/>
      <c r="V1604" s="10"/>
      <c r="W1604" s="10"/>
      <c r="X1604" s="10"/>
      <c r="Y1604" s="10"/>
      <c r="Z1604" s="10"/>
      <c r="AA1604" s="10"/>
      <c r="AB1604" s="10"/>
      <c r="AC1604" s="10"/>
      <c r="AD1604" s="10"/>
      <c r="AE1604" s="10"/>
      <c r="AF1604" s="10"/>
    </row>
    <row r="1605">
      <c r="A1605" s="7"/>
      <c r="B1605" s="8">
        <v>134.0</v>
      </c>
      <c r="C1605" s="8">
        <v>1.0</v>
      </c>
      <c r="D1605" s="8" t="s">
        <v>2249</v>
      </c>
      <c r="E1605" s="7">
        <v>0.0</v>
      </c>
      <c r="F1605" s="7"/>
      <c r="G1605" s="7" t="s">
        <v>312</v>
      </c>
      <c r="H1605" s="7" t="s">
        <v>313</v>
      </c>
      <c r="I1605" s="10"/>
      <c r="J1605" s="9" t="s">
        <v>2250</v>
      </c>
      <c r="K1605" s="12"/>
      <c r="L1605" s="14" t="s">
        <v>2251</v>
      </c>
      <c r="M1605" s="10"/>
      <c r="N1605" s="10"/>
      <c r="O1605" s="10"/>
      <c r="P1605" s="10"/>
      <c r="Q1605" s="10"/>
      <c r="R1605" s="10"/>
      <c r="S1605" s="10"/>
      <c r="T1605" s="10"/>
      <c r="U1605" s="10"/>
      <c r="V1605" s="10"/>
      <c r="W1605" s="10"/>
      <c r="X1605" s="10"/>
      <c r="Y1605" s="10"/>
      <c r="Z1605" s="10"/>
      <c r="AA1605" s="10"/>
      <c r="AB1605" s="10"/>
      <c r="AC1605" s="10"/>
      <c r="AD1605" s="10"/>
      <c r="AE1605" s="10"/>
      <c r="AF1605" s="10"/>
    </row>
    <row r="1606">
      <c r="A1606" s="7"/>
      <c r="B1606" s="8">
        <v>134.0</v>
      </c>
      <c r="C1606" s="8">
        <v>2.0</v>
      </c>
      <c r="D1606" s="8" t="s">
        <v>2252</v>
      </c>
      <c r="E1606" s="7">
        <v>0.0</v>
      </c>
      <c r="F1606" s="7"/>
      <c r="G1606" s="7" t="s">
        <v>312</v>
      </c>
      <c r="H1606" s="7" t="s">
        <v>313</v>
      </c>
      <c r="I1606" s="10"/>
      <c r="J1606" s="9" t="s">
        <v>2253</v>
      </c>
      <c r="K1606" s="12"/>
      <c r="L1606" s="12"/>
      <c r="M1606" s="10"/>
      <c r="N1606" s="10"/>
      <c r="O1606" s="10"/>
      <c r="P1606" s="10"/>
      <c r="Q1606" s="10"/>
      <c r="R1606" s="10"/>
      <c r="S1606" s="10"/>
      <c r="T1606" s="10"/>
      <c r="U1606" s="10"/>
      <c r="V1606" s="10"/>
      <c r="W1606" s="10"/>
      <c r="X1606" s="10"/>
      <c r="Y1606" s="10"/>
      <c r="Z1606" s="10"/>
      <c r="AA1606" s="10"/>
      <c r="AB1606" s="10"/>
      <c r="AC1606" s="10"/>
      <c r="AD1606" s="10"/>
      <c r="AE1606" s="10"/>
      <c r="AF1606" s="10"/>
    </row>
    <row r="1607">
      <c r="A1607" s="7"/>
      <c r="B1607" s="8">
        <v>134.0</v>
      </c>
      <c r="C1607" s="8">
        <v>3.0</v>
      </c>
      <c r="D1607" s="8" t="s">
        <v>2254</v>
      </c>
      <c r="E1607" s="7">
        <v>0.0</v>
      </c>
      <c r="F1607" s="7"/>
      <c r="G1607" s="7" t="s">
        <v>312</v>
      </c>
      <c r="H1607" s="7" t="s">
        <v>313</v>
      </c>
      <c r="I1607" s="10"/>
      <c r="J1607" s="11"/>
      <c r="K1607" s="12"/>
      <c r="L1607" s="12"/>
      <c r="M1607" s="10"/>
      <c r="N1607" s="10"/>
      <c r="O1607" s="10"/>
      <c r="P1607" s="10"/>
      <c r="Q1607" s="10"/>
      <c r="R1607" s="10"/>
      <c r="S1607" s="10"/>
      <c r="T1607" s="10"/>
      <c r="U1607" s="10"/>
      <c r="V1607" s="10"/>
      <c r="W1607" s="10"/>
      <c r="X1607" s="10"/>
      <c r="Y1607" s="10"/>
      <c r="Z1607" s="10"/>
      <c r="AA1607" s="10"/>
      <c r="AB1607" s="10"/>
      <c r="AC1607" s="10"/>
      <c r="AD1607" s="10"/>
      <c r="AE1607" s="10"/>
      <c r="AF1607" s="10"/>
    </row>
    <row r="1608">
      <c r="A1608" s="7"/>
      <c r="B1608" s="8">
        <v>134.0</v>
      </c>
      <c r="C1608" s="8">
        <v>4.0</v>
      </c>
      <c r="D1608" s="8" t="s">
        <v>2255</v>
      </c>
      <c r="E1608" s="7">
        <v>0.0</v>
      </c>
      <c r="F1608" s="7"/>
      <c r="G1608" s="7" t="s">
        <v>312</v>
      </c>
      <c r="H1608" s="7" t="s">
        <v>313</v>
      </c>
      <c r="I1608" s="10"/>
      <c r="J1608" s="11"/>
      <c r="K1608" s="12"/>
      <c r="L1608" s="12"/>
      <c r="M1608" s="10"/>
      <c r="N1608" s="10"/>
      <c r="O1608" s="10"/>
      <c r="P1608" s="10"/>
      <c r="Q1608" s="10"/>
      <c r="R1608" s="10"/>
      <c r="S1608" s="10"/>
      <c r="T1608" s="10"/>
      <c r="U1608" s="10"/>
      <c r="V1608" s="10"/>
      <c r="W1608" s="10"/>
      <c r="X1608" s="10"/>
      <c r="Y1608" s="10"/>
      <c r="Z1608" s="10"/>
      <c r="AA1608" s="10"/>
      <c r="AB1608" s="10"/>
      <c r="AC1608" s="10"/>
      <c r="AD1608" s="10"/>
      <c r="AE1608" s="10"/>
      <c r="AF1608" s="10"/>
    </row>
    <row r="1609">
      <c r="A1609" s="7"/>
      <c r="B1609" s="8">
        <v>134.0</v>
      </c>
      <c r="C1609" s="8">
        <v>5.0</v>
      </c>
      <c r="D1609" s="8" t="s">
        <v>2256</v>
      </c>
      <c r="E1609" s="7">
        <v>0.0</v>
      </c>
      <c r="F1609" s="7"/>
      <c r="G1609" s="7" t="s">
        <v>312</v>
      </c>
      <c r="H1609" s="7" t="s">
        <v>313</v>
      </c>
      <c r="I1609" s="10"/>
      <c r="J1609" s="11"/>
      <c r="K1609" s="12"/>
      <c r="L1609" s="12"/>
      <c r="M1609" s="10"/>
      <c r="N1609" s="10"/>
      <c r="O1609" s="10"/>
      <c r="P1609" s="10"/>
      <c r="Q1609" s="10"/>
      <c r="R1609" s="10"/>
      <c r="S1609" s="10"/>
      <c r="T1609" s="10"/>
      <c r="U1609" s="10"/>
      <c r="V1609" s="10"/>
      <c r="W1609" s="10"/>
      <c r="X1609" s="10"/>
      <c r="Y1609" s="10"/>
      <c r="Z1609" s="10"/>
      <c r="AA1609" s="10"/>
      <c r="AB1609" s="10"/>
      <c r="AC1609" s="10"/>
      <c r="AD1609" s="10"/>
      <c r="AE1609" s="10"/>
      <c r="AF1609" s="10"/>
    </row>
    <row r="1610">
      <c r="A1610" s="7"/>
      <c r="B1610" s="8">
        <v>134.0</v>
      </c>
      <c r="C1610" s="8">
        <v>6.0</v>
      </c>
      <c r="D1610" s="8" t="s">
        <v>2257</v>
      </c>
      <c r="E1610" s="7">
        <v>0.0</v>
      </c>
      <c r="F1610" s="7"/>
      <c r="G1610" s="7" t="s">
        <v>312</v>
      </c>
      <c r="H1610" s="7" t="s">
        <v>313</v>
      </c>
      <c r="I1610" s="10"/>
      <c r="J1610" s="11"/>
      <c r="K1610" s="12"/>
      <c r="L1610" s="12"/>
      <c r="M1610" s="10"/>
      <c r="N1610" s="10"/>
      <c r="O1610" s="10"/>
      <c r="P1610" s="10"/>
      <c r="Q1610" s="10"/>
      <c r="R1610" s="10"/>
      <c r="S1610" s="10"/>
      <c r="T1610" s="10"/>
      <c r="U1610" s="10"/>
      <c r="V1610" s="10"/>
      <c r="W1610" s="10"/>
      <c r="X1610" s="10"/>
      <c r="Y1610" s="10"/>
      <c r="Z1610" s="10"/>
      <c r="AA1610" s="10"/>
      <c r="AB1610" s="10"/>
      <c r="AC1610" s="10"/>
      <c r="AD1610" s="10"/>
      <c r="AE1610" s="10"/>
      <c r="AF1610" s="10"/>
    </row>
    <row r="1611">
      <c r="A1611" s="7"/>
      <c r="B1611" s="8">
        <v>134.0</v>
      </c>
      <c r="C1611" s="8">
        <v>7.0</v>
      </c>
      <c r="D1611" s="8" t="s">
        <v>2258</v>
      </c>
      <c r="E1611" s="7">
        <v>0.0</v>
      </c>
      <c r="F1611" s="7"/>
      <c r="G1611" s="7" t="s">
        <v>312</v>
      </c>
      <c r="H1611" s="7" t="s">
        <v>313</v>
      </c>
      <c r="I1611" s="10"/>
      <c r="J1611" s="11"/>
      <c r="K1611" s="12"/>
      <c r="L1611" s="12"/>
      <c r="M1611" s="10"/>
      <c r="N1611" s="10"/>
      <c r="O1611" s="10"/>
      <c r="P1611" s="10"/>
      <c r="Q1611" s="10"/>
      <c r="R1611" s="10"/>
      <c r="S1611" s="10"/>
      <c r="T1611" s="10"/>
      <c r="U1611" s="10"/>
      <c r="V1611" s="10"/>
      <c r="W1611" s="10"/>
      <c r="X1611" s="10"/>
      <c r="Y1611" s="10"/>
      <c r="Z1611" s="10"/>
      <c r="AA1611" s="10"/>
      <c r="AB1611" s="10"/>
      <c r="AC1611" s="10"/>
      <c r="AD1611" s="10"/>
      <c r="AE1611" s="10"/>
      <c r="AF1611" s="10"/>
    </row>
    <row r="1612">
      <c r="A1612" s="7"/>
      <c r="B1612" s="8">
        <v>134.0</v>
      </c>
      <c r="C1612" s="8">
        <v>8.0</v>
      </c>
      <c r="D1612" s="8" t="s">
        <v>2259</v>
      </c>
      <c r="E1612" s="7">
        <v>0.0</v>
      </c>
      <c r="F1612" s="7"/>
      <c r="G1612" s="7" t="s">
        <v>312</v>
      </c>
      <c r="H1612" s="7" t="s">
        <v>313</v>
      </c>
      <c r="I1612" s="10"/>
      <c r="J1612" s="11"/>
      <c r="K1612" s="12"/>
      <c r="L1612" s="12"/>
      <c r="M1612" s="10"/>
      <c r="N1612" s="10"/>
      <c r="O1612" s="10"/>
      <c r="P1612" s="10"/>
      <c r="Q1612" s="10"/>
      <c r="R1612" s="10"/>
      <c r="S1612" s="10"/>
      <c r="T1612" s="10"/>
      <c r="U1612" s="10"/>
      <c r="V1612" s="10"/>
      <c r="W1612" s="10"/>
      <c r="X1612" s="10"/>
      <c r="Y1612" s="10"/>
      <c r="Z1612" s="10"/>
      <c r="AA1612" s="10"/>
      <c r="AB1612" s="10"/>
      <c r="AC1612" s="10"/>
      <c r="AD1612" s="10"/>
      <c r="AE1612" s="10"/>
      <c r="AF1612" s="10"/>
    </row>
    <row r="1613">
      <c r="A1613" s="7"/>
      <c r="B1613" s="8">
        <v>134.0</v>
      </c>
      <c r="C1613" s="8">
        <v>9.0</v>
      </c>
      <c r="D1613" s="8" t="s">
        <v>2260</v>
      </c>
      <c r="E1613" s="7">
        <v>0.0</v>
      </c>
      <c r="F1613" s="7"/>
      <c r="G1613" s="7" t="s">
        <v>312</v>
      </c>
      <c r="H1613" s="7" t="s">
        <v>313</v>
      </c>
      <c r="I1613" s="10"/>
      <c r="J1613" s="11"/>
      <c r="K1613" s="12"/>
      <c r="L1613" s="12"/>
      <c r="M1613" s="10"/>
      <c r="N1613" s="10"/>
      <c r="O1613" s="10"/>
      <c r="P1613" s="10"/>
      <c r="Q1613" s="10"/>
      <c r="R1613" s="10"/>
      <c r="S1613" s="10"/>
      <c r="T1613" s="10"/>
      <c r="U1613" s="10"/>
      <c r="V1613" s="10"/>
      <c r="W1613" s="10"/>
      <c r="X1613" s="10"/>
      <c r="Y1613" s="10"/>
      <c r="Z1613" s="10"/>
      <c r="AA1613" s="10"/>
      <c r="AB1613" s="10"/>
      <c r="AC1613" s="10"/>
      <c r="AD1613" s="10"/>
      <c r="AE1613" s="10"/>
      <c r="AF1613" s="10"/>
    </row>
    <row r="1614">
      <c r="A1614" s="7"/>
      <c r="B1614" s="8">
        <v>134.0</v>
      </c>
      <c r="C1614" s="8">
        <v>10.0</v>
      </c>
      <c r="D1614" s="8" t="s">
        <v>2261</v>
      </c>
      <c r="E1614" s="7">
        <v>0.0</v>
      </c>
      <c r="F1614" s="7"/>
      <c r="G1614" s="7" t="s">
        <v>312</v>
      </c>
      <c r="H1614" s="7" t="s">
        <v>313</v>
      </c>
      <c r="I1614" s="10"/>
      <c r="J1614" s="11"/>
      <c r="K1614" s="12"/>
      <c r="L1614" s="12"/>
      <c r="M1614" s="10"/>
      <c r="N1614" s="10"/>
      <c r="O1614" s="10"/>
      <c r="P1614" s="10"/>
      <c r="Q1614" s="10"/>
      <c r="R1614" s="10"/>
      <c r="S1614" s="10"/>
      <c r="T1614" s="10"/>
      <c r="U1614" s="10"/>
      <c r="V1614" s="10"/>
      <c r="W1614" s="10"/>
      <c r="X1614" s="10"/>
      <c r="Y1614" s="10"/>
      <c r="Z1614" s="10"/>
      <c r="AA1614" s="10"/>
      <c r="AB1614" s="10"/>
      <c r="AC1614" s="10"/>
      <c r="AD1614" s="10"/>
      <c r="AE1614" s="10"/>
      <c r="AF1614" s="10"/>
    </row>
    <row r="1615">
      <c r="A1615" s="10"/>
      <c r="B1615" s="12"/>
      <c r="C1615" s="12"/>
      <c r="D1615" s="12"/>
      <c r="E1615" s="10"/>
      <c r="F1615" s="10"/>
      <c r="G1615" s="10"/>
      <c r="H1615" s="10"/>
      <c r="I1615" s="10"/>
      <c r="J1615" s="11"/>
      <c r="K1615" s="12"/>
      <c r="L1615" s="12"/>
      <c r="M1615" s="10"/>
      <c r="N1615" s="10"/>
      <c r="O1615" s="10"/>
      <c r="P1615" s="10"/>
      <c r="Q1615" s="10"/>
      <c r="R1615" s="10"/>
      <c r="S1615" s="10"/>
      <c r="T1615" s="10"/>
      <c r="U1615" s="10"/>
      <c r="V1615" s="10"/>
      <c r="W1615" s="10"/>
      <c r="X1615" s="10"/>
      <c r="Y1615" s="10"/>
      <c r="Z1615" s="10"/>
      <c r="AA1615" s="10"/>
      <c r="AB1615" s="10"/>
      <c r="AC1615" s="10"/>
      <c r="AD1615" s="10"/>
      <c r="AE1615" s="10"/>
      <c r="AF1615" s="10"/>
    </row>
    <row r="1616">
      <c r="A1616" s="7"/>
      <c r="B1616" s="8">
        <v>135.0</v>
      </c>
      <c r="C1616" s="8">
        <v>1.0</v>
      </c>
      <c r="D1616" s="8" t="s">
        <v>2262</v>
      </c>
      <c r="E1616" s="7">
        <v>2.0</v>
      </c>
      <c r="F1616" s="7"/>
      <c r="G1616" s="7" t="s">
        <v>312</v>
      </c>
      <c r="H1616" s="7" t="s">
        <v>313</v>
      </c>
      <c r="I1616" s="10"/>
      <c r="J1616" s="9" t="s">
        <v>2263</v>
      </c>
      <c r="K1616" s="8" t="s">
        <v>1664</v>
      </c>
      <c r="L1616" s="12"/>
      <c r="M1616" s="10"/>
      <c r="N1616" s="10"/>
      <c r="O1616" s="10"/>
      <c r="P1616" s="10"/>
      <c r="Q1616" s="10"/>
      <c r="R1616" s="10"/>
      <c r="S1616" s="10"/>
      <c r="T1616" s="10"/>
      <c r="U1616" s="10"/>
      <c r="V1616" s="10"/>
      <c r="W1616" s="10"/>
      <c r="X1616" s="10"/>
      <c r="Y1616" s="10"/>
      <c r="Z1616" s="10"/>
      <c r="AA1616" s="10"/>
      <c r="AB1616" s="10"/>
      <c r="AC1616" s="10"/>
      <c r="AD1616" s="10"/>
      <c r="AE1616" s="10"/>
      <c r="AF1616" s="10"/>
    </row>
    <row r="1617">
      <c r="A1617" s="7"/>
      <c r="B1617" s="8">
        <v>135.0</v>
      </c>
      <c r="C1617" s="8">
        <v>2.0</v>
      </c>
      <c r="D1617" s="8" t="s">
        <v>2264</v>
      </c>
      <c r="E1617" s="7">
        <v>2.0</v>
      </c>
      <c r="F1617" s="7"/>
      <c r="G1617" s="7" t="s">
        <v>312</v>
      </c>
      <c r="H1617" s="7" t="s">
        <v>313</v>
      </c>
      <c r="I1617" s="10"/>
      <c r="J1617" s="25"/>
      <c r="K1617" s="8" t="s">
        <v>1664</v>
      </c>
      <c r="L1617" s="14"/>
      <c r="M1617" s="10"/>
      <c r="N1617" s="10"/>
      <c r="O1617" s="10"/>
      <c r="P1617" s="10"/>
      <c r="Q1617" s="10"/>
      <c r="R1617" s="10"/>
      <c r="S1617" s="10"/>
      <c r="T1617" s="10"/>
      <c r="U1617" s="10"/>
      <c r="V1617" s="10"/>
      <c r="W1617" s="10"/>
      <c r="X1617" s="10"/>
      <c r="Y1617" s="10"/>
      <c r="Z1617" s="10"/>
      <c r="AA1617" s="10"/>
      <c r="AB1617" s="10"/>
      <c r="AC1617" s="10"/>
      <c r="AD1617" s="10"/>
      <c r="AE1617" s="10"/>
      <c r="AF1617" s="10"/>
    </row>
    <row r="1618">
      <c r="A1618" s="7"/>
      <c r="B1618" s="8">
        <v>135.0</v>
      </c>
      <c r="C1618" s="8">
        <v>3.0</v>
      </c>
      <c r="D1618" s="8" t="s">
        <v>2265</v>
      </c>
      <c r="E1618" s="7">
        <v>2.0</v>
      </c>
      <c r="F1618" s="7"/>
      <c r="G1618" s="7" t="s">
        <v>312</v>
      </c>
      <c r="H1618" s="7" t="s">
        <v>313</v>
      </c>
      <c r="I1618" s="10"/>
      <c r="J1618" s="9" t="s">
        <v>2266</v>
      </c>
      <c r="K1618" s="8" t="s">
        <v>1664</v>
      </c>
      <c r="L1618" s="12"/>
      <c r="M1618" s="10"/>
      <c r="N1618" s="10"/>
      <c r="O1618" s="10"/>
      <c r="P1618" s="10"/>
      <c r="Q1618" s="10"/>
      <c r="R1618" s="10"/>
      <c r="S1618" s="10"/>
      <c r="T1618" s="10"/>
      <c r="U1618" s="10"/>
      <c r="V1618" s="10"/>
      <c r="W1618" s="10"/>
      <c r="X1618" s="10"/>
      <c r="Y1618" s="10"/>
      <c r="Z1618" s="10"/>
      <c r="AA1618" s="10"/>
      <c r="AB1618" s="10"/>
      <c r="AC1618" s="10"/>
      <c r="AD1618" s="10"/>
      <c r="AE1618" s="10"/>
      <c r="AF1618" s="10"/>
    </row>
    <row r="1619">
      <c r="A1619" s="7"/>
      <c r="B1619" s="8">
        <v>135.0</v>
      </c>
      <c r="C1619" s="8">
        <v>4.0</v>
      </c>
      <c r="D1619" s="8" t="s">
        <v>2267</v>
      </c>
      <c r="E1619" s="7">
        <v>2.0</v>
      </c>
      <c r="F1619" s="7"/>
      <c r="G1619" s="7" t="s">
        <v>312</v>
      </c>
      <c r="H1619" s="7" t="s">
        <v>313</v>
      </c>
      <c r="I1619" s="10"/>
      <c r="J1619" s="9" t="s">
        <v>2268</v>
      </c>
      <c r="K1619" s="8" t="s">
        <v>1664</v>
      </c>
      <c r="L1619" s="12"/>
      <c r="M1619" s="10"/>
      <c r="N1619" s="10"/>
      <c r="O1619" s="10"/>
      <c r="P1619" s="10"/>
      <c r="Q1619" s="10"/>
      <c r="R1619" s="10"/>
      <c r="S1619" s="10"/>
      <c r="T1619" s="10"/>
      <c r="U1619" s="10"/>
      <c r="V1619" s="10"/>
      <c r="W1619" s="10"/>
      <c r="X1619" s="10"/>
      <c r="Y1619" s="10"/>
      <c r="Z1619" s="10"/>
      <c r="AA1619" s="10"/>
      <c r="AB1619" s="10"/>
      <c r="AC1619" s="10"/>
      <c r="AD1619" s="10"/>
      <c r="AE1619" s="10"/>
      <c r="AF1619" s="10"/>
    </row>
    <row r="1620">
      <c r="A1620" s="7"/>
      <c r="B1620" s="8">
        <v>135.0</v>
      </c>
      <c r="C1620" s="8">
        <v>5.0</v>
      </c>
      <c r="D1620" s="8" t="s">
        <v>2269</v>
      </c>
      <c r="E1620" s="7">
        <v>2.0</v>
      </c>
      <c r="F1620" s="7"/>
      <c r="G1620" s="7" t="s">
        <v>312</v>
      </c>
      <c r="H1620" s="7" t="s">
        <v>313</v>
      </c>
      <c r="I1620" s="10"/>
      <c r="J1620" s="9" t="s">
        <v>2270</v>
      </c>
      <c r="K1620" s="8" t="s">
        <v>1664</v>
      </c>
      <c r="L1620" s="12"/>
      <c r="M1620" s="10"/>
      <c r="N1620" s="10"/>
      <c r="O1620" s="10"/>
      <c r="P1620" s="10"/>
      <c r="Q1620" s="10"/>
      <c r="R1620" s="10"/>
      <c r="S1620" s="10"/>
      <c r="T1620" s="10"/>
      <c r="U1620" s="10"/>
      <c r="V1620" s="10"/>
      <c r="W1620" s="10"/>
      <c r="X1620" s="10"/>
      <c r="Y1620" s="10"/>
      <c r="Z1620" s="10"/>
      <c r="AA1620" s="10"/>
      <c r="AB1620" s="10"/>
      <c r="AC1620" s="10"/>
      <c r="AD1620" s="10"/>
      <c r="AE1620" s="10"/>
      <c r="AF1620" s="10"/>
    </row>
    <row r="1621">
      <c r="A1621" s="7"/>
      <c r="B1621" s="8">
        <v>135.0</v>
      </c>
      <c r="C1621" s="8">
        <v>6.0</v>
      </c>
      <c r="D1621" s="8" t="s">
        <v>2271</v>
      </c>
      <c r="E1621" s="7">
        <v>2.0</v>
      </c>
      <c r="F1621" s="7"/>
      <c r="G1621" s="7" t="s">
        <v>312</v>
      </c>
      <c r="H1621" s="7" t="s">
        <v>313</v>
      </c>
      <c r="I1621" s="7" t="s">
        <v>366</v>
      </c>
      <c r="J1621" s="16" t="s">
        <v>2272</v>
      </c>
      <c r="K1621" s="8" t="s">
        <v>1664</v>
      </c>
      <c r="L1621" s="12"/>
      <c r="M1621" s="10"/>
      <c r="N1621" s="10"/>
      <c r="O1621" s="10"/>
      <c r="P1621" s="10"/>
      <c r="Q1621" s="10"/>
      <c r="R1621" s="10"/>
      <c r="S1621" s="10"/>
      <c r="T1621" s="10"/>
      <c r="U1621" s="10"/>
      <c r="V1621" s="10"/>
      <c r="W1621" s="10"/>
      <c r="X1621" s="10"/>
      <c r="Y1621" s="10"/>
      <c r="Z1621" s="10"/>
      <c r="AA1621" s="10"/>
      <c r="AB1621" s="10"/>
      <c r="AC1621" s="10"/>
      <c r="AD1621" s="10"/>
      <c r="AE1621" s="10"/>
      <c r="AF1621" s="10"/>
    </row>
    <row r="1622">
      <c r="A1622" s="7"/>
      <c r="B1622" s="8">
        <v>135.0</v>
      </c>
      <c r="C1622" s="8">
        <v>7.0</v>
      </c>
      <c r="D1622" s="8" t="s">
        <v>2273</v>
      </c>
      <c r="E1622" s="7">
        <v>0.0</v>
      </c>
      <c r="F1622" s="7"/>
      <c r="G1622" s="7" t="s">
        <v>312</v>
      </c>
      <c r="H1622" s="7" t="s">
        <v>313</v>
      </c>
      <c r="I1622" s="10"/>
      <c r="J1622" s="11"/>
      <c r="K1622" s="12"/>
      <c r="L1622" s="12"/>
      <c r="M1622" s="10"/>
      <c r="N1622" s="10"/>
      <c r="O1622" s="10"/>
      <c r="P1622" s="10"/>
      <c r="Q1622" s="10"/>
      <c r="R1622" s="10"/>
      <c r="S1622" s="10"/>
      <c r="T1622" s="10"/>
      <c r="U1622" s="10"/>
      <c r="V1622" s="10"/>
      <c r="W1622" s="10"/>
      <c r="X1622" s="10"/>
      <c r="Y1622" s="10"/>
      <c r="Z1622" s="10"/>
      <c r="AA1622" s="10"/>
      <c r="AB1622" s="10"/>
      <c r="AC1622" s="10"/>
      <c r="AD1622" s="10"/>
      <c r="AE1622" s="10"/>
      <c r="AF1622" s="10"/>
    </row>
    <row r="1623">
      <c r="A1623" s="7"/>
      <c r="B1623" s="8">
        <v>135.0</v>
      </c>
      <c r="C1623" s="8">
        <v>8.0</v>
      </c>
      <c r="D1623" s="8" t="s">
        <v>2274</v>
      </c>
      <c r="E1623" s="7">
        <v>0.0</v>
      </c>
      <c r="F1623" s="7"/>
      <c r="G1623" s="7" t="s">
        <v>312</v>
      </c>
      <c r="H1623" s="7" t="s">
        <v>313</v>
      </c>
      <c r="I1623" s="10"/>
      <c r="J1623" s="11"/>
      <c r="K1623" s="12"/>
      <c r="L1623" s="12"/>
      <c r="M1623" s="10"/>
      <c r="N1623" s="10"/>
      <c r="O1623" s="10"/>
      <c r="P1623" s="10"/>
      <c r="Q1623" s="10"/>
      <c r="R1623" s="10"/>
      <c r="S1623" s="10"/>
      <c r="T1623" s="10"/>
      <c r="U1623" s="10"/>
      <c r="V1623" s="10"/>
      <c r="W1623" s="10"/>
      <c r="X1623" s="10"/>
      <c r="Y1623" s="10"/>
      <c r="Z1623" s="10"/>
      <c r="AA1623" s="10"/>
      <c r="AB1623" s="10"/>
      <c r="AC1623" s="10"/>
      <c r="AD1623" s="10"/>
      <c r="AE1623" s="10"/>
      <c r="AF1623" s="10"/>
    </row>
    <row r="1624">
      <c r="A1624" s="7"/>
      <c r="B1624" s="8">
        <v>135.0</v>
      </c>
      <c r="C1624" s="8">
        <v>9.0</v>
      </c>
      <c r="D1624" s="8" t="s">
        <v>2275</v>
      </c>
      <c r="E1624" s="7">
        <v>0.0</v>
      </c>
      <c r="F1624" s="7"/>
      <c r="G1624" s="7" t="s">
        <v>312</v>
      </c>
      <c r="H1624" s="7" t="s">
        <v>313</v>
      </c>
      <c r="I1624" s="10"/>
      <c r="J1624" s="11"/>
      <c r="K1624" s="12"/>
      <c r="L1624" s="12"/>
      <c r="M1624" s="10"/>
      <c r="N1624" s="10"/>
      <c r="O1624" s="10"/>
      <c r="P1624" s="10"/>
      <c r="Q1624" s="10"/>
      <c r="R1624" s="10"/>
      <c r="S1624" s="10"/>
      <c r="T1624" s="10"/>
      <c r="U1624" s="10"/>
      <c r="V1624" s="10"/>
      <c r="W1624" s="10"/>
      <c r="X1624" s="10"/>
      <c r="Y1624" s="10"/>
      <c r="Z1624" s="10"/>
      <c r="AA1624" s="10"/>
      <c r="AB1624" s="10"/>
      <c r="AC1624" s="10"/>
      <c r="AD1624" s="10"/>
      <c r="AE1624" s="10"/>
      <c r="AF1624" s="10"/>
    </row>
    <row r="1625">
      <c r="A1625" s="7"/>
      <c r="B1625" s="8">
        <v>135.0</v>
      </c>
      <c r="C1625" s="8">
        <v>10.0</v>
      </c>
      <c r="D1625" s="8" t="s">
        <v>2276</v>
      </c>
      <c r="E1625" s="7">
        <v>0.0</v>
      </c>
      <c r="F1625" s="7"/>
      <c r="G1625" s="7" t="s">
        <v>312</v>
      </c>
      <c r="H1625" s="7" t="s">
        <v>313</v>
      </c>
      <c r="I1625" s="10"/>
      <c r="J1625" s="11"/>
      <c r="K1625" s="12"/>
      <c r="L1625" s="12"/>
      <c r="M1625" s="10"/>
      <c r="N1625" s="10"/>
      <c r="O1625" s="10"/>
      <c r="P1625" s="10"/>
      <c r="Q1625" s="10"/>
      <c r="R1625" s="10"/>
      <c r="S1625" s="10"/>
      <c r="T1625" s="10"/>
      <c r="U1625" s="10"/>
      <c r="V1625" s="10"/>
      <c r="W1625" s="10"/>
      <c r="X1625" s="10"/>
      <c r="Y1625" s="10"/>
      <c r="Z1625" s="10"/>
      <c r="AA1625" s="10"/>
      <c r="AB1625" s="10"/>
      <c r="AC1625" s="10"/>
      <c r="AD1625" s="10"/>
      <c r="AE1625" s="10"/>
      <c r="AF1625" s="10"/>
    </row>
    <row r="1626">
      <c r="A1626" s="7"/>
      <c r="B1626" s="8">
        <v>135.0</v>
      </c>
      <c r="C1626" s="8">
        <v>11.0</v>
      </c>
      <c r="D1626" s="8" t="s">
        <v>2277</v>
      </c>
      <c r="E1626" s="7">
        <v>0.0</v>
      </c>
      <c r="F1626" s="7"/>
      <c r="G1626" s="7" t="s">
        <v>312</v>
      </c>
      <c r="H1626" s="7" t="s">
        <v>313</v>
      </c>
      <c r="I1626" s="10"/>
      <c r="J1626" s="11"/>
      <c r="K1626" s="12"/>
      <c r="L1626" s="12"/>
      <c r="M1626" s="10"/>
      <c r="N1626" s="10"/>
      <c r="O1626" s="10"/>
      <c r="P1626" s="10"/>
      <c r="Q1626" s="10"/>
      <c r="R1626" s="10"/>
      <c r="S1626" s="10"/>
      <c r="T1626" s="10"/>
      <c r="U1626" s="10"/>
      <c r="V1626" s="10"/>
      <c r="W1626" s="10"/>
      <c r="X1626" s="10"/>
      <c r="Y1626" s="10"/>
      <c r="Z1626" s="10"/>
      <c r="AA1626" s="10"/>
      <c r="AB1626" s="10"/>
      <c r="AC1626" s="10"/>
      <c r="AD1626" s="10"/>
      <c r="AE1626" s="10"/>
      <c r="AF1626" s="10"/>
    </row>
    <row r="1627">
      <c r="A1627" s="7"/>
      <c r="B1627" s="8">
        <v>135.0</v>
      </c>
      <c r="C1627" s="8">
        <v>12.0</v>
      </c>
      <c r="D1627" s="8" t="s">
        <v>2278</v>
      </c>
      <c r="E1627" s="7">
        <v>0.0</v>
      </c>
      <c r="F1627" s="7"/>
      <c r="G1627" s="7" t="s">
        <v>312</v>
      </c>
      <c r="H1627" s="7" t="s">
        <v>313</v>
      </c>
      <c r="I1627" s="10"/>
      <c r="J1627" s="11"/>
      <c r="K1627" s="12"/>
      <c r="L1627" s="12"/>
      <c r="M1627" s="10"/>
      <c r="N1627" s="10"/>
      <c r="O1627" s="10"/>
      <c r="P1627" s="10"/>
      <c r="Q1627" s="10"/>
      <c r="R1627" s="10"/>
      <c r="S1627" s="10"/>
      <c r="T1627" s="10"/>
      <c r="U1627" s="10"/>
      <c r="V1627" s="10"/>
      <c r="W1627" s="10"/>
      <c r="X1627" s="10"/>
      <c r="Y1627" s="10"/>
      <c r="Z1627" s="10"/>
      <c r="AA1627" s="10"/>
      <c r="AB1627" s="10"/>
      <c r="AC1627" s="10"/>
      <c r="AD1627" s="10"/>
      <c r="AE1627" s="10"/>
      <c r="AF1627" s="10"/>
    </row>
    <row r="1628">
      <c r="A1628" s="7"/>
      <c r="B1628" s="8">
        <v>135.0</v>
      </c>
      <c r="C1628" s="8">
        <v>13.0</v>
      </c>
      <c r="D1628" s="8" t="s">
        <v>2279</v>
      </c>
      <c r="E1628" s="7">
        <v>0.0</v>
      </c>
      <c r="F1628" s="7"/>
      <c r="G1628" s="7" t="s">
        <v>312</v>
      </c>
      <c r="H1628" s="7" t="s">
        <v>313</v>
      </c>
      <c r="I1628" s="10"/>
      <c r="J1628" s="11"/>
      <c r="K1628" s="12"/>
      <c r="L1628" s="12"/>
      <c r="M1628" s="10"/>
      <c r="N1628" s="10"/>
      <c r="O1628" s="10"/>
      <c r="P1628" s="10"/>
      <c r="Q1628" s="10"/>
      <c r="R1628" s="10"/>
      <c r="S1628" s="10"/>
      <c r="T1628" s="10"/>
      <c r="U1628" s="10"/>
      <c r="V1628" s="10"/>
      <c r="W1628" s="10"/>
      <c r="X1628" s="10"/>
      <c r="Y1628" s="10"/>
      <c r="Z1628" s="10"/>
      <c r="AA1628" s="10"/>
      <c r="AB1628" s="10"/>
      <c r="AC1628" s="10"/>
      <c r="AD1628" s="10"/>
      <c r="AE1628" s="10"/>
      <c r="AF1628" s="10"/>
    </row>
    <row r="1629">
      <c r="A1629" s="7"/>
      <c r="B1629" s="8">
        <v>135.0</v>
      </c>
      <c r="C1629" s="8">
        <v>14.0</v>
      </c>
      <c r="D1629" s="8" t="s">
        <v>2280</v>
      </c>
      <c r="E1629" s="7">
        <v>0.0</v>
      </c>
      <c r="F1629" s="7"/>
      <c r="G1629" s="7" t="s">
        <v>312</v>
      </c>
      <c r="H1629" s="7" t="s">
        <v>313</v>
      </c>
      <c r="I1629" s="10"/>
      <c r="J1629" s="11"/>
      <c r="K1629" s="12"/>
      <c r="L1629" s="12"/>
      <c r="M1629" s="10"/>
      <c r="N1629" s="10"/>
      <c r="O1629" s="10"/>
      <c r="P1629" s="10"/>
      <c r="Q1629" s="10"/>
      <c r="R1629" s="10"/>
      <c r="S1629" s="10"/>
      <c r="T1629" s="10"/>
      <c r="U1629" s="10"/>
      <c r="V1629" s="10"/>
      <c r="W1629" s="10"/>
      <c r="X1629" s="10"/>
      <c r="Y1629" s="10"/>
      <c r="Z1629" s="10"/>
      <c r="AA1629" s="10"/>
      <c r="AB1629" s="10"/>
      <c r="AC1629" s="10"/>
      <c r="AD1629" s="10"/>
      <c r="AE1629" s="10"/>
      <c r="AF1629" s="10"/>
    </row>
    <row r="1630">
      <c r="A1630" s="7"/>
      <c r="B1630" s="8">
        <v>135.0</v>
      </c>
      <c r="C1630" s="8">
        <v>15.0</v>
      </c>
      <c r="D1630" s="8" t="s">
        <v>2281</v>
      </c>
      <c r="E1630" s="7">
        <v>0.0</v>
      </c>
      <c r="F1630" s="7"/>
      <c r="G1630" s="7" t="s">
        <v>312</v>
      </c>
      <c r="H1630" s="7" t="s">
        <v>313</v>
      </c>
      <c r="I1630" s="10"/>
      <c r="J1630" s="11"/>
      <c r="K1630" s="12"/>
      <c r="L1630" s="12"/>
      <c r="M1630" s="10"/>
      <c r="N1630" s="10"/>
      <c r="O1630" s="10"/>
      <c r="P1630" s="10"/>
      <c r="Q1630" s="10"/>
      <c r="R1630" s="10"/>
      <c r="S1630" s="10"/>
      <c r="T1630" s="10"/>
      <c r="U1630" s="10"/>
      <c r="V1630" s="10"/>
      <c r="W1630" s="10"/>
      <c r="X1630" s="10"/>
      <c r="Y1630" s="10"/>
      <c r="Z1630" s="10"/>
      <c r="AA1630" s="10"/>
      <c r="AB1630" s="10"/>
      <c r="AC1630" s="10"/>
      <c r="AD1630" s="10"/>
      <c r="AE1630" s="10"/>
      <c r="AF1630" s="10"/>
    </row>
    <row r="1631">
      <c r="A1631" s="7"/>
      <c r="B1631" s="8">
        <v>135.0</v>
      </c>
      <c r="C1631" s="8">
        <v>16.0</v>
      </c>
      <c r="D1631" s="8" t="s">
        <v>2282</v>
      </c>
      <c r="E1631" s="7">
        <v>0.0</v>
      </c>
      <c r="F1631" s="7"/>
      <c r="G1631" s="7" t="s">
        <v>312</v>
      </c>
      <c r="H1631" s="7" t="s">
        <v>313</v>
      </c>
      <c r="I1631" s="10"/>
      <c r="J1631" s="11"/>
      <c r="K1631" s="12"/>
      <c r="L1631" s="12"/>
      <c r="M1631" s="10"/>
      <c r="N1631" s="10"/>
      <c r="O1631" s="10"/>
      <c r="P1631" s="10"/>
      <c r="Q1631" s="10"/>
      <c r="R1631" s="10"/>
      <c r="S1631" s="10"/>
      <c r="T1631" s="10"/>
      <c r="U1631" s="10"/>
      <c r="V1631" s="10"/>
      <c r="W1631" s="10"/>
      <c r="X1631" s="10"/>
      <c r="Y1631" s="10"/>
      <c r="Z1631" s="10"/>
      <c r="AA1631" s="10"/>
      <c r="AB1631" s="10"/>
      <c r="AC1631" s="10"/>
      <c r="AD1631" s="10"/>
      <c r="AE1631" s="10"/>
      <c r="AF1631" s="10"/>
    </row>
    <row r="1632">
      <c r="A1632" s="7"/>
      <c r="B1632" s="8">
        <v>135.0</v>
      </c>
      <c r="C1632" s="8">
        <v>17.0</v>
      </c>
      <c r="D1632" s="8" t="s">
        <v>2283</v>
      </c>
      <c r="E1632" s="7">
        <v>0.0</v>
      </c>
      <c r="F1632" s="7"/>
      <c r="G1632" s="7" t="s">
        <v>312</v>
      </c>
      <c r="H1632" s="7" t="s">
        <v>313</v>
      </c>
      <c r="I1632" s="10"/>
      <c r="J1632" s="11"/>
      <c r="K1632" s="12"/>
      <c r="L1632" s="12"/>
      <c r="M1632" s="10"/>
      <c r="N1632" s="10"/>
      <c r="O1632" s="10"/>
      <c r="P1632" s="10"/>
      <c r="Q1632" s="10"/>
      <c r="R1632" s="10"/>
      <c r="S1632" s="10"/>
      <c r="T1632" s="10"/>
      <c r="U1632" s="10"/>
      <c r="V1632" s="10"/>
      <c r="W1632" s="10"/>
      <c r="X1632" s="10"/>
      <c r="Y1632" s="10"/>
      <c r="Z1632" s="10"/>
      <c r="AA1632" s="10"/>
      <c r="AB1632" s="10"/>
      <c r="AC1632" s="10"/>
      <c r="AD1632" s="10"/>
      <c r="AE1632" s="10"/>
      <c r="AF1632" s="10"/>
    </row>
    <row r="1633">
      <c r="A1633" s="7"/>
      <c r="B1633" s="8">
        <v>135.0</v>
      </c>
      <c r="C1633" s="8">
        <v>18.0</v>
      </c>
      <c r="D1633" s="8" t="s">
        <v>2284</v>
      </c>
      <c r="E1633" s="7">
        <v>0.0</v>
      </c>
      <c r="F1633" s="7"/>
      <c r="G1633" s="7" t="s">
        <v>312</v>
      </c>
      <c r="H1633" s="7" t="s">
        <v>313</v>
      </c>
      <c r="I1633" s="10"/>
      <c r="J1633" s="11"/>
      <c r="K1633" s="12"/>
      <c r="L1633" s="12"/>
      <c r="M1633" s="10"/>
      <c r="N1633" s="10"/>
      <c r="O1633" s="10"/>
      <c r="P1633" s="10"/>
      <c r="Q1633" s="10"/>
      <c r="R1633" s="10"/>
      <c r="S1633" s="10"/>
      <c r="T1633" s="10"/>
      <c r="U1633" s="10"/>
      <c r="V1633" s="10"/>
      <c r="W1633" s="10"/>
      <c r="X1633" s="10"/>
      <c r="Y1633" s="10"/>
      <c r="Z1633" s="10"/>
      <c r="AA1633" s="10"/>
      <c r="AB1633" s="10"/>
      <c r="AC1633" s="10"/>
      <c r="AD1633" s="10"/>
      <c r="AE1633" s="10"/>
      <c r="AF1633" s="10"/>
    </row>
    <row r="1634">
      <c r="A1634" s="7"/>
      <c r="B1634" s="8">
        <v>135.0</v>
      </c>
      <c r="C1634" s="8">
        <v>19.0</v>
      </c>
      <c r="D1634" s="8" t="s">
        <v>2285</v>
      </c>
      <c r="E1634" s="7">
        <v>0.0</v>
      </c>
      <c r="F1634" s="7"/>
      <c r="G1634" s="7" t="s">
        <v>312</v>
      </c>
      <c r="H1634" s="7" t="s">
        <v>313</v>
      </c>
      <c r="I1634" s="10"/>
      <c r="J1634" s="11"/>
      <c r="K1634" s="12"/>
      <c r="L1634" s="12"/>
      <c r="M1634" s="10"/>
      <c r="N1634" s="10"/>
      <c r="O1634" s="10"/>
      <c r="P1634" s="10"/>
      <c r="Q1634" s="10"/>
      <c r="R1634" s="10"/>
      <c r="S1634" s="10"/>
      <c r="T1634" s="10"/>
      <c r="U1634" s="10"/>
      <c r="V1634" s="10"/>
      <c r="W1634" s="10"/>
      <c r="X1634" s="10"/>
      <c r="Y1634" s="10"/>
      <c r="Z1634" s="10"/>
      <c r="AA1634" s="10"/>
      <c r="AB1634" s="10"/>
      <c r="AC1634" s="10"/>
      <c r="AD1634" s="10"/>
      <c r="AE1634" s="10"/>
      <c r="AF1634" s="10"/>
    </row>
    <row r="1635">
      <c r="A1635" s="7"/>
      <c r="B1635" s="8">
        <v>135.0</v>
      </c>
      <c r="C1635" s="8">
        <v>20.0</v>
      </c>
      <c r="D1635" s="8" t="s">
        <v>2286</v>
      </c>
      <c r="E1635" s="7">
        <v>0.0</v>
      </c>
      <c r="F1635" s="7"/>
      <c r="G1635" s="7" t="s">
        <v>312</v>
      </c>
      <c r="H1635" s="7" t="s">
        <v>313</v>
      </c>
      <c r="I1635" s="10"/>
      <c r="J1635" s="11"/>
      <c r="K1635" s="12"/>
      <c r="L1635" s="12"/>
      <c r="M1635" s="10"/>
      <c r="N1635" s="10"/>
      <c r="O1635" s="10"/>
      <c r="P1635" s="10"/>
      <c r="Q1635" s="10"/>
      <c r="R1635" s="10"/>
      <c r="S1635" s="10"/>
      <c r="T1635" s="10"/>
      <c r="U1635" s="10"/>
      <c r="V1635" s="10"/>
      <c r="W1635" s="10"/>
      <c r="X1635" s="10"/>
      <c r="Y1635" s="10"/>
      <c r="Z1635" s="10"/>
      <c r="AA1635" s="10"/>
      <c r="AB1635" s="10"/>
      <c r="AC1635" s="10"/>
      <c r="AD1635" s="10"/>
      <c r="AE1635" s="10"/>
      <c r="AF1635" s="10"/>
    </row>
    <row r="1636">
      <c r="A1636" s="7"/>
      <c r="B1636" s="8">
        <v>135.0</v>
      </c>
      <c r="C1636" s="8">
        <v>21.0</v>
      </c>
      <c r="D1636" s="8" t="s">
        <v>2287</v>
      </c>
      <c r="E1636" s="7">
        <v>0.0</v>
      </c>
      <c r="F1636" s="7"/>
      <c r="G1636" s="7" t="s">
        <v>312</v>
      </c>
      <c r="H1636" s="7" t="s">
        <v>313</v>
      </c>
      <c r="I1636" s="10"/>
      <c r="J1636" s="11"/>
      <c r="K1636" s="12"/>
      <c r="L1636" s="12"/>
      <c r="M1636" s="10"/>
      <c r="N1636" s="10"/>
      <c r="O1636" s="10"/>
      <c r="P1636" s="10"/>
      <c r="Q1636" s="10"/>
      <c r="R1636" s="10"/>
      <c r="S1636" s="10"/>
      <c r="T1636" s="10"/>
      <c r="U1636" s="10"/>
      <c r="V1636" s="10"/>
      <c r="W1636" s="10"/>
      <c r="X1636" s="10"/>
      <c r="Y1636" s="10"/>
      <c r="Z1636" s="10"/>
      <c r="AA1636" s="10"/>
      <c r="AB1636" s="10"/>
      <c r="AC1636" s="10"/>
      <c r="AD1636" s="10"/>
      <c r="AE1636" s="10"/>
      <c r="AF1636" s="10"/>
    </row>
    <row r="1637">
      <c r="A1637" s="10"/>
      <c r="B1637" s="12"/>
      <c r="C1637" s="12"/>
      <c r="D1637" s="12"/>
      <c r="E1637" s="10"/>
      <c r="F1637" s="10"/>
      <c r="G1637" s="10"/>
      <c r="H1637" s="10"/>
      <c r="I1637" s="10"/>
      <c r="J1637" s="11"/>
      <c r="K1637" s="12"/>
      <c r="L1637" s="12"/>
      <c r="M1637" s="10"/>
      <c r="N1637" s="10"/>
      <c r="O1637" s="10"/>
      <c r="P1637" s="10"/>
      <c r="Q1637" s="10"/>
      <c r="R1637" s="10"/>
      <c r="S1637" s="10"/>
      <c r="T1637" s="10"/>
      <c r="U1637" s="10"/>
      <c r="V1637" s="10"/>
      <c r="W1637" s="10"/>
      <c r="X1637" s="10"/>
      <c r="Y1637" s="10"/>
      <c r="Z1637" s="10"/>
      <c r="AA1637" s="10"/>
      <c r="AB1637" s="10"/>
      <c r="AC1637" s="10"/>
      <c r="AD1637" s="10"/>
      <c r="AE1637" s="10"/>
      <c r="AF1637" s="10"/>
    </row>
    <row r="1638">
      <c r="A1638" s="7"/>
      <c r="B1638" s="8">
        <v>136.0</v>
      </c>
      <c r="C1638" s="8">
        <v>1.0</v>
      </c>
      <c r="D1638" s="8" t="s">
        <v>2288</v>
      </c>
      <c r="E1638" s="7">
        <v>0.0</v>
      </c>
      <c r="F1638" s="7"/>
      <c r="G1638" s="7" t="s">
        <v>312</v>
      </c>
      <c r="H1638" s="7" t="s">
        <v>313</v>
      </c>
      <c r="I1638" s="10"/>
      <c r="J1638" s="25"/>
      <c r="K1638" s="12"/>
      <c r="L1638" s="12"/>
      <c r="M1638" s="10"/>
      <c r="N1638" s="10"/>
      <c r="O1638" s="10"/>
      <c r="P1638" s="10"/>
      <c r="Q1638" s="10"/>
      <c r="R1638" s="10"/>
      <c r="S1638" s="10"/>
      <c r="T1638" s="10"/>
      <c r="U1638" s="10"/>
      <c r="V1638" s="10"/>
      <c r="W1638" s="10"/>
      <c r="X1638" s="10"/>
      <c r="Y1638" s="10"/>
      <c r="Z1638" s="10"/>
      <c r="AA1638" s="10"/>
      <c r="AB1638" s="10"/>
      <c r="AC1638" s="10"/>
      <c r="AD1638" s="10"/>
      <c r="AE1638" s="10"/>
      <c r="AF1638" s="10"/>
    </row>
    <row r="1639">
      <c r="A1639" s="7"/>
      <c r="B1639" s="8">
        <v>136.0</v>
      </c>
      <c r="C1639" s="8">
        <v>2.0</v>
      </c>
      <c r="D1639" s="8" t="s">
        <v>2289</v>
      </c>
      <c r="E1639" s="7">
        <v>0.0</v>
      </c>
      <c r="F1639" s="7"/>
      <c r="G1639" s="7" t="s">
        <v>312</v>
      </c>
      <c r="H1639" s="7" t="s">
        <v>313</v>
      </c>
      <c r="I1639" s="10"/>
      <c r="J1639" s="25"/>
      <c r="K1639" s="12"/>
      <c r="L1639" s="12"/>
      <c r="M1639" s="10"/>
      <c r="N1639" s="10"/>
      <c r="O1639" s="10"/>
      <c r="P1639" s="10"/>
      <c r="Q1639" s="10"/>
      <c r="R1639" s="10"/>
      <c r="S1639" s="10"/>
      <c r="T1639" s="10"/>
      <c r="U1639" s="10"/>
      <c r="V1639" s="10"/>
      <c r="W1639" s="10"/>
      <c r="X1639" s="10"/>
      <c r="Y1639" s="10"/>
      <c r="Z1639" s="10"/>
      <c r="AA1639" s="10"/>
      <c r="AB1639" s="10"/>
      <c r="AC1639" s="10"/>
      <c r="AD1639" s="10"/>
      <c r="AE1639" s="10"/>
      <c r="AF1639" s="10"/>
    </row>
    <row r="1640">
      <c r="A1640" s="7"/>
      <c r="B1640" s="8">
        <v>136.0</v>
      </c>
      <c r="C1640" s="8">
        <v>3.0</v>
      </c>
      <c r="D1640" s="8" t="s">
        <v>2290</v>
      </c>
      <c r="E1640" s="7">
        <v>0.0</v>
      </c>
      <c r="F1640" s="7"/>
      <c r="G1640" s="7" t="s">
        <v>312</v>
      </c>
      <c r="H1640" s="7" t="s">
        <v>313</v>
      </c>
      <c r="I1640" s="10"/>
      <c r="J1640" s="25"/>
      <c r="K1640" s="12"/>
      <c r="L1640" s="12"/>
      <c r="M1640" s="10"/>
      <c r="N1640" s="10"/>
      <c r="O1640" s="10"/>
      <c r="P1640" s="10"/>
      <c r="Q1640" s="10"/>
      <c r="R1640" s="10"/>
      <c r="S1640" s="10"/>
      <c r="T1640" s="10"/>
      <c r="U1640" s="10"/>
      <c r="V1640" s="10"/>
      <c r="W1640" s="10"/>
      <c r="X1640" s="10"/>
      <c r="Y1640" s="10"/>
      <c r="Z1640" s="10"/>
      <c r="AA1640" s="10"/>
      <c r="AB1640" s="10"/>
      <c r="AC1640" s="10"/>
      <c r="AD1640" s="10"/>
      <c r="AE1640" s="10"/>
      <c r="AF1640" s="10"/>
    </row>
    <row r="1641">
      <c r="A1641" s="7"/>
      <c r="B1641" s="8">
        <v>136.0</v>
      </c>
      <c r="C1641" s="8">
        <v>4.0</v>
      </c>
      <c r="D1641" s="8" t="s">
        <v>2291</v>
      </c>
      <c r="E1641" s="7">
        <v>2.0</v>
      </c>
      <c r="F1641" s="7"/>
      <c r="G1641" s="7" t="s">
        <v>312</v>
      </c>
      <c r="H1641" s="7" t="s">
        <v>313</v>
      </c>
      <c r="I1641" s="10"/>
      <c r="J1641" s="9" t="s">
        <v>2292</v>
      </c>
      <c r="K1641" s="8" t="s">
        <v>1664</v>
      </c>
      <c r="L1641" s="14" t="s">
        <v>2293</v>
      </c>
      <c r="M1641" s="10"/>
      <c r="N1641" s="10"/>
      <c r="O1641" s="10"/>
      <c r="P1641" s="10"/>
      <c r="Q1641" s="10"/>
      <c r="R1641" s="10"/>
      <c r="S1641" s="10"/>
      <c r="T1641" s="10"/>
      <c r="U1641" s="10"/>
      <c r="V1641" s="10"/>
      <c r="W1641" s="10"/>
      <c r="X1641" s="10"/>
      <c r="Y1641" s="10"/>
      <c r="Z1641" s="10"/>
      <c r="AA1641" s="10"/>
      <c r="AB1641" s="10"/>
      <c r="AC1641" s="10"/>
      <c r="AD1641" s="10"/>
      <c r="AE1641" s="10"/>
      <c r="AF1641" s="10"/>
    </row>
    <row r="1642">
      <c r="A1642" s="7"/>
      <c r="B1642" s="8">
        <v>136.0</v>
      </c>
      <c r="C1642" s="8">
        <v>5.0</v>
      </c>
      <c r="D1642" s="8" t="s">
        <v>2294</v>
      </c>
      <c r="E1642" s="7">
        <v>0.0</v>
      </c>
      <c r="F1642" s="7"/>
      <c r="G1642" s="7" t="s">
        <v>312</v>
      </c>
      <c r="H1642" s="7" t="s">
        <v>313</v>
      </c>
      <c r="I1642" s="10"/>
      <c r="J1642" s="25"/>
      <c r="K1642" s="12"/>
      <c r="L1642" s="12"/>
      <c r="M1642" s="10"/>
      <c r="N1642" s="10"/>
      <c r="O1642" s="10"/>
      <c r="P1642" s="10"/>
      <c r="Q1642" s="10"/>
      <c r="R1642" s="10"/>
      <c r="S1642" s="10"/>
      <c r="T1642" s="10"/>
      <c r="U1642" s="10"/>
      <c r="V1642" s="10"/>
      <c r="W1642" s="10"/>
      <c r="X1642" s="10"/>
      <c r="Y1642" s="10"/>
      <c r="Z1642" s="10"/>
      <c r="AA1642" s="10"/>
      <c r="AB1642" s="10"/>
      <c r="AC1642" s="10"/>
      <c r="AD1642" s="10"/>
      <c r="AE1642" s="10"/>
      <c r="AF1642" s="10"/>
    </row>
    <row r="1643">
      <c r="A1643" s="7"/>
      <c r="B1643" s="8">
        <v>136.0</v>
      </c>
      <c r="C1643" s="8">
        <v>6.0</v>
      </c>
      <c r="D1643" s="8" t="s">
        <v>2295</v>
      </c>
      <c r="E1643" s="7">
        <v>0.0</v>
      </c>
      <c r="F1643" s="7"/>
      <c r="G1643" s="7" t="s">
        <v>312</v>
      </c>
      <c r="H1643" s="7" t="s">
        <v>313</v>
      </c>
      <c r="I1643" s="10"/>
      <c r="J1643" s="25"/>
      <c r="K1643" s="12"/>
      <c r="L1643" s="12"/>
      <c r="M1643" s="10"/>
      <c r="N1643" s="10"/>
      <c r="O1643" s="10"/>
      <c r="P1643" s="10"/>
      <c r="Q1643" s="10"/>
      <c r="R1643" s="10"/>
      <c r="S1643" s="10"/>
      <c r="T1643" s="10"/>
      <c r="U1643" s="10"/>
      <c r="V1643" s="10"/>
      <c r="W1643" s="10"/>
      <c r="X1643" s="10"/>
      <c r="Y1643" s="10"/>
      <c r="Z1643" s="10"/>
      <c r="AA1643" s="10"/>
      <c r="AB1643" s="10"/>
      <c r="AC1643" s="10"/>
      <c r="AD1643" s="10"/>
      <c r="AE1643" s="10"/>
      <c r="AF1643" s="10"/>
    </row>
    <row r="1644">
      <c r="A1644" s="7"/>
      <c r="B1644" s="8">
        <v>136.0</v>
      </c>
      <c r="C1644" s="8">
        <v>7.0</v>
      </c>
      <c r="D1644" s="8" t="s">
        <v>2296</v>
      </c>
      <c r="E1644" s="7">
        <v>2.0</v>
      </c>
      <c r="F1644" s="7"/>
      <c r="G1644" s="7" t="s">
        <v>312</v>
      </c>
      <c r="H1644" s="7" t="s">
        <v>313</v>
      </c>
      <c r="I1644" s="10"/>
      <c r="J1644" s="9" t="s">
        <v>2297</v>
      </c>
      <c r="K1644" s="8" t="s">
        <v>1664</v>
      </c>
      <c r="L1644" s="14" t="s">
        <v>2293</v>
      </c>
      <c r="M1644" s="10"/>
      <c r="N1644" s="10"/>
      <c r="O1644" s="10"/>
      <c r="P1644" s="10"/>
      <c r="Q1644" s="10"/>
      <c r="R1644" s="10"/>
      <c r="S1644" s="10"/>
      <c r="T1644" s="10"/>
      <c r="U1644" s="10"/>
      <c r="V1644" s="10"/>
      <c r="W1644" s="10"/>
      <c r="X1644" s="10"/>
      <c r="Y1644" s="10"/>
      <c r="Z1644" s="10"/>
      <c r="AA1644" s="10"/>
      <c r="AB1644" s="10"/>
      <c r="AC1644" s="10"/>
      <c r="AD1644" s="10"/>
      <c r="AE1644" s="10"/>
      <c r="AF1644" s="10"/>
    </row>
    <row r="1645">
      <c r="A1645" s="7"/>
      <c r="B1645" s="8">
        <v>136.0</v>
      </c>
      <c r="C1645" s="8">
        <v>8.0</v>
      </c>
      <c r="D1645" s="8" t="s">
        <v>2298</v>
      </c>
      <c r="E1645" s="7">
        <v>0.0</v>
      </c>
      <c r="F1645" s="7"/>
      <c r="G1645" s="7" t="s">
        <v>312</v>
      </c>
      <c r="H1645" s="7" t="s">
        <v>313</v>
      </c>
      <c r="I1645" s="10"/>
      <c r="J1645" s="11"/>
      <c r="K1645" s="12"/>
      <c r="L1645" s="12"/>
      <c r="M1645" s="10"/>
      <c r="N1645" s="10"/>
      <c r="O1645" s="10"/>
      <c r="P1645" s="10"/>
      <c r="Q1645" s="10"/>
      <c r="R1645" s="10"/>
      <c r="S1645" s="10"/>
      <c r="T1645" s="10"/>
      <c r="U1645" s="10"/>
      <c r="V1645" s="10"/>
      <c r="W1645" s="10"/>
      <c r="X1645" s="10"/>
      <c r="Y1645" s="10"/>
      <c r="Z1645" s="10"/>
      <c r="AA1645" s="10"/>
      <c r="AB1645" s="10"/>
      <c r="AC1645" s="10"/>
      <c r="AD1645" s="10"/>
      <c r="AE1645" s="10"/>
      <c r="AF1645" s="10"/>
    </row>
    <row r="1646">
      <c r="A1646" s="7"/>
      <c r="B1646" s="8">
        <v>136.0</v>
      </c>
      <c r="C1646" s="8">
        <v>9.0</v>
      </c>
      <c r="D1646" s="8" t="s">
        <v>2299</v>
      </c>
      <c r="E1646" s="7">
        <v>2.0</v>
      </c>
      <c r="F1646" s="7"/>
      <c r="G1646" s="7" t="s">
        <v>312</v>
      </c>
      <c r="H1646" s="7" t="s">
        <v>313</v>
      </c>
      <c r="I1646" s="10"/>
      <c r="J1646" s="9" t="s">
        <v>2300</v>
      </c>
      <c r="K1646" s="8" t="s">
        <v>1664</v>
      </c>
      <c r="L1646" s="14" t="s">
        <v>2293</v>
      </c>
      <c r="M1646" s="10"/>
      <c r="N1646" s="10"/>
      <c r="O1646" s="10"/>
      <c r="P1646" s="10"/>
      <c r="Q1646" s="10"/>
      <c r="R1646" s="10"/>
      <c r="S1646" s="10"/>
      <c r="T1646" s="10"/>
      <c r="U1646" s="10"/>
      <c r="V1646" s="10"/>
      <c r="W1646" s="10"/>
      <c r="X1646" s="10"/>
      <c r="Y1646" s="10"/>
      <c r="Z1646" s="10"/>
      <c r="AA1646" s="10"/>
      <c r="AB1646" s="10"/>
      <c r="AC1646" s="10"/>
      <c r="AD1646" s="10"/>
      <c r="AE1646" s="10"/>
      <c r="AF1646" s="10"/>
    </row>
    <row r="1647">
      <c r="A1647" s="7"/>
      <c r="B1647" s="8">
        <v>136.0</v>
      </c>
      <c r="C1647" s="8">
        <v>10.0</v>
      </c>
      <c r="D1647" s="8" t="s">
        <v>2301</v>
      </c>
      <c r="E1647" s="7">
        <v>2.0</v>
      </c>
      <c r="F1647" s="7"/>
      <c r="G1647" s="7" t="s">
        <v>312</v>
      </c>
      <c r="H1647" s="7" t="s">
        <v>313</v>
      </c>
      <c r="I1647" s="10"/>
      <c r="J1647" s="9" t="s">
        <v>2302</v>
      </c>
      <c r="K1647" s="8" t="s">
        <v>1664</v>
      </c>
      <c r="L1647" s="14" t="s">
        <v>2293</v>
      </c>
      <c r="M1647" s="10"/>
      <c r="N1647" s="10"/>
      <c r="O1647" s="10"/>
      <c r="P1647" s="10"/>
      <c r="Q1647" s="10"/>
      <c r="R1647" s="10"/>
      <c r="S1647" s="10"/>
      <c r="T1647" s="10"/>
      <c r="U1647" s="10"/>
      <c r="V1647" s="10"/>
      <c r="W1647" s="10"/>
      <c r="X1647" s="10"/>
      <c r="Y1647" s="10"/>
      <c r="Z1647" s="10"/>
      <c r="AA1647" s="10"/>
      <c r="AB1647" s="10"/>
      <c r="AC1647" s="10"/>
      <c r="AD1647" s="10"/>
      <c r="AE1647" s="10"/>
      <c r="AF1647" s="10"/>
    </row>
    <row r="1648">
      <c r="A1648" s="10"/>
      <c r="B1648" s="12"/>
      <c r="C1648" s="12"/>
      <c r="D1648" s="12"/>
      <c r="E1648" s="10"/>
      <c r="F1648" s="10"/>
      <c r="G1648" s="10"/>
      <c r="H1648" s="10"/>
      <c r="I1648" s="10"/>
      <c r="J1648" s="11"/>
      <c r="K1648" s="12"/>
      <c r="L1648" s="12"/>
      <c r="M1648" s="10"/>
      <c r="N1648" s="10"/>
      <c r="O1648" s="10"/>
      <c r="P1648" s="10"/>
      <c r="Q1648" s="10"/>
      <c r="R1648" s="10"/>
      <c r="S1648" s="10"/>
      <c r="T1648" s="10"/>
      <c r="U1648" s="10"/>
      <c r="V1648" s="10"/>
      <c r="W1648" s="10"/>
      <c r="X1648" s="10"/>
      <c r="Y1648" s="10"/>
      <c r="Z1648" s="10"/>
      <c r="AA1648" s="10"/>
      <c r="AB1648" s="10"/>
      <c r="AC1648" s="10"/>
      <c r="AD1648" s="10"/>
      <c r="AE1648" s="10"/>
      <c r="AF1648" s="10"/>
    </row>
    <row r="1649">
      <c r="A1649" s="7"/>
      <c r="B1649" s="8">
        <v>137.0</v>
      </c>
      <c r="C1649" s="8">
        <v>1.0</v>
      </c>
      <c r="D1649" s="8" t="s">
        <v>2303</v>
      </c>
      <c r="E1649" s="7">
        <v>0.0</v>
      </c>
      <c r="F1649" s="7"/>
      <c r="G1649" s="7" t="s">
        <v>312</v>
      </c>
      <c r="H1649" s="7" t="s">
        <v>313</v>
      </c>
      <c r="I1649" s="10"/>
      <c r="J1649" s="25"/>
      <c r="K1649" s="12"/>
      <c r="L1649" s="12"/>
      <c r="M1649" s="10"/>
      <c r="N1649" s="10"/>
      <c r="O1649" s="10"/>
      <c r="P1649" s="10"/>
      <c r="Q1649" s="10"/>
      <c r="R1649" s="10"/>
      <c r="S1649" s="10"/>
      <c r="T1649" s="10"/>
      <c r="U1649" s="10"/>
      <c r="V1649" s="10"/>
      <c r="W1649" s="10"/>
      <c r="X1649" s="10"/>
      <c r="Y1649" s="10"/>
      <c r="Z1649" s="10"/>
      <c r="AA1649" s="10"/>
      <c r="AB1649" s="10"/>
      <c r="AC1649" s="10"/>
      <c r="AD1649" s="10"/>
      <c r="AE1649" s="10"/>
      <c r="AF1649" s="10"/>
    </row>
    <row r="1650">
      <c r="A1650" s="7"/>
      <c r="B1650" s="8">
        <v>137.0</v>
      </c>
      <c r="C1650" s="8">
        <v>2.0</v>
      </c>
      <c r="D1650" s="8" t="s">
        <v>2304</v>
      </c>
      <c r="E1650" s="7">
        <v>0.0</v>
      </c>
      <c r="F1650" s="7"/>
      <c r="G1650" s="7" t="s">
        <v>312</v>
      </c>
      <c r="H1650" s="7" t="s">
        <v>313</v>
      </c>
      <c r="I1650" s="10"/>
      <c r="J1650" s="25"/>
      <c r="K1650" s="12"/>
      <c r="L1650" s="12"/>
      <c r="M1650" s="10"/>
      <c r="N1650" s="10"/>
      <c r="O1650" s="10"/>
      <c r="P1650" s="10"/>
      <c r="Q1650" s="10"/>
      <c r="R1650" s="10"/>
      <c r="S1650" s="10"/>
      <c r="T1650" s="10"/>
      <c r="U1650" s="10"/>
      <c r="V1650" s="10"/>
      <c r="W1650" s="10"/>
      <c r="X1650" s="10"/>
      <c r="Y1650" s="10"/>
      <c r="Z1650" s="10"/>
      <c r="AA1650" s="10"/>
      <c r="AB1650" s="10"/>
      <c r="AC1650" s="10"/>
      <c r="AD1650" s="10"/>
      <c r="AE1650" s="10"/>
      <c r="AF1650" s="10"/>
    </row>
    <row r="1651">
      <c r="A1651" s="7"/>
      <c r="B1651" s="8">
        <v>137.0</v>
      </c>
      <c r="C1651" s="8">
        <v>3.0</v>
      </c>
      <c r="D1651" s="8" t="s">
        <v>2305</v>
      </c>
      <c r="E1651" s="7">
        <v>0.0</v>
      </c>
      <c r="F1651" s="7"/>
      <c r="G1651" s="7" t="s">
        <v>312</v>
      </c>
      <c r="H1651" s="7" t="s">
        <v>313</v>
      </c>
      <c r="I1651" s="10"/>
      <c r="J1651" s="25"/>
      <c r="K1651" s="12"/>
      <c r="L1651" s="12"/>
      <c r="M1651" s="10"/>
      <c r="N1651" s="10"/>
      <c r="O1651" s="10"/>
      <c r="P1651" s="10"/>
      <c r="Q1651" s="10"/>
      <c r="R1651" s="10"/>
      <c r="S1651" s="10"/>
      <c r="T1651" s="10"/>
      <c r="U1651" s="10"/>
      <c r="V1651" s="10"/>
      <c r="W1651" s="10"/>
      <c r="X1651" s="10"/>
      <c r="Y1651" s="10"/>
      <c r="Z1651" s="10"/>
      <c r="AA1651" s="10"/>
      <c r="AB1651" s="10"/>
      <c r="AC1651" s="10"/>
      <c r="AD1651" s="10"/>
      <c r="AE1651" s="10"/>
      <c r="AF1651" s="10"/>
    </row>
    <row r="1652">
      <c r="A1652" s="7"/>
      <c r="B1652" s="8">
        <v>137.0</v>
      </c>
      <c r="C1652" s="8">
        <v>4.0</v>
      </c>
      <c r="D1652" s="8" t="s">
        <v>2306</v>
      </c>
      <c r="E1652" s="7">
        <v>0.0</v>
      </c>
      <c r="F1652" s="7"/>
      <c r="G1652" s="7" t="s">
        <v>312</v>
      </c>
      <c r="H1652" s="7" t="s">
        <v>313</v>
      </c>
      <c r="I1652" s="10"/>
      <c r="J1652" s="25"/>
      <c r="K1652" s="12"/>
      <c r="L1652" s="12"/>
      <c r="M1652" s="10"/>
      <c r="N1652" s="10"/>
      <c r="O1652" s="10"/>
      <c r="P1652" s="10"/>
      <c r="Q1652" s="10"/>
      <c r="R1652" s="10"/>
      <c r="S1652" s="10"/>
      <c r="T1652" s="10"/>
      <c r="U1652" s="10"/>
      <c r="V1652" s="10"/>
      <c r="W1652" s="10"/>
      <c r="X1652" s="10"/>
      <c r="Y1652" s="10"/>
      <c r="Z1652" s="10"/>
      <c r="AA1652" s="10"/>
      <c r="AB1652" s="10"/>
      <c r="AC1652" s="10"/>
      <c r="AD1652" s="10"/>
      <c r="AE1652" s="10"/>
      <c r="AF1652" s="10"/>
    </row>
    <row r="1653">
      <c r="A1653" s="7"/>
      <c r="B1653" s="8">
        <v>137.0</v>
      </c>
      <c r="C1653" s="8">
        <v>5.0</v>
      </c>
      <c r="D1653" s="8" t="s">
        <v>2307</v>
      </c>
      <c r="E1653" s="7">
        <v>0.0</v>
      </c>
      <c r="F1653" s="7"/>
      <c r="G1653" s="7" t="s">
        <v>312</v>
      </c>
      <c r="H1653" s="7" t="s">
        <v>313</v>
      </c>
      <c r="I1653" s="10"/>
      <c r="J1653" s="25"/>
      <c r="K1653" s="12"/>
      <c r="L1653" s="12"/>
      <c r="M1653" s="10"/>
      <c r="N1653" s="10"/>
      <c r="O1653" s="10"/>
      <c r="P1653" s="10"/>
      <c r="Q1653" s="10"/>
      <c r="R1653" s="10"/>
      <c r="S1653" s="10"/>
      <c r="T1653" s="10"/>
      <c r="U1653" s="10"/>
      <c r="V1653" s="10"/>
      <c r="W1653" s="10"/>
      <c r="X1653" s="10"/>
      <c r="Y1653" s="10"/>
      <c r="Z1653" s="10"/>
      <c r="AA1653" s="10"/>
      <c r="AB1653" s="10"/>
      <c r="AC1653" s="10"/>
      <c r="AD1653" s="10"/>
      <c r="AE1653" s="10"/>
      <c r="AF1653" s="10"/>
    </row>
    <row r="1654">
      <c r="A1654" s="7"/>
      <c r="B1654" s="8">
        <v>137.0</v>
      </c>
      <c r="C1654" s="8">
        <v>6.0</v>
      </c>
      <c r="D1654" s="8" t="s">
        <v>2308</v>
      </c>
      <c r="E1654" s="7">
        <v>0.0</v>
      </c>
      <c r="F1654" s="7"/>
      <c r="G1654" s="7" t="s">
        <v>312</v>
      </c>
      <c r="H1654" s="7" t="s">
        <v>313</v>
      </c>
      <c r="I1654" s="10"/>
      <c r="J1654" s="25"/>
      <c r="K1654" s="12"/>
      <c r="L1654" s="12"/>
      <c r="M1654" s="10"/>
      <c r="N1654" s="10"/>
      <c r="O1654" s="10"/>
      <c r="P1654" s="10"/>
      <c r="Q1654" s="10"/>
      <c r="R1654" s="10"/>
      <c r="S1654" s="10"/>
      <c r="T1654" s="10"/>
      <c r="U1654" s="10"/>
      <c r="V1654" s="10"/>
      <c r="W1654" s="10"/>
      <c r="X1654" s="10"/>
      <c r="Y1654" s="10"/>
      <c r="Z1654" s="10"/>
      <c r="AA1654" s="10"/>
      <c r="AB1654" s="10"/>
      <c r="AC1654" s="10"/>
      <c r="AD1654" s="10"/>
      <c r="AE1654" s="10"/>
      <c r="AF1654" s="10"/>
    </row>
    <row r="1655">
      <c r="A1655" s="7"/>
      <c r="B1655" s="8">
        <v>137.0</v>
      </c>
      <c r="C1655" s="8">
        <v>7.0</v>
      </c>
      <c r="D1655" s="8" t="s">
        <v>2309</v>
      </c>
      <c r="E1655" s="7">
        <v>0.0</v>
      </c>
      <c r="F1655" s="7"/>
      <c r="G1655" s="7" t="s">
        <v>312</v>
      </c>
      <c r="H1655" s="7" t="s">
        <v>313</v>
      </c>
      <c r="I1655" s="10"/>
      <c r="J1655" s="11"/>
      <c r="K1655" s="12"/>
      <c r="L1655" s="12"/>
      <c r="M1655" s="10"/>
      <c r="N1655" s="10"/>
      <c r="O1655" s="10"/>
      <c r="P1655" s="10"/>
      <c r="Q1655" s="10"/>
      <c r="R1655" s="10"/>
      <c r="S1655" s="10"/>
      <c r="T1655" s="10"/>
      <c r="U1655" s="10"/>
      <c r="V1655" s="10"/>
      <c r="W1655" s="10"/>
      <c r="X1655" s="10"/>
      <c r="Y1655" s="10"/>
      <c r="Z1655" s="10"/>
      <c r="AA1655" s="10"/>
      <c r="AB1655" s="10"/>
      <c r="AC1655" s="10"/>
      <c r="AD1655" s="10"/>
      <c r="AE1655" s="10"/>
      <c r="AF1655" s="10"/>
    </row>
    <row r="1656">
      <c r="A1656" s="7"/>
      <c r="B1656" s="8">
        <v>137.0</v>
      </c>
      <c r="C1656" s="8">
        <v>8.0</v>
      </c>
      <c r="D1656" s="8" t="s">
        <v>2310</v>
      </c>
      <c r="E1656" s="7">
        <v>0.0</v>
      </c>
      <c r="F1656" s="7"/>
      <c r="G1656" s="7" t="s">
        <v>312</v>
      </c>
      <c r="H1656" s="7" t="s">
        <v>313</v>
      </c>
      <c r="I1656" s="10"/>
      <c r="J1656" s="11"/>
      <c r="K1656" s="8" t="s">
        <v>2311</v>
      </c>
      <c r="L1656" s="12"/>
      <c r="M1656" s="10"/>
      <c r="N1656" s="10"/>
      <c r="O1656" s="10"/>
      <c r="P1656" s="10"/>
      <c r="Q1656" s="10"/>
      <c r="R1656" s="10"/>
      <c r="S1656" s="10"/>
      <c r="T1656" s="10"/>
      <c r="U1656" s="10"/>
      <c r="V1656" s="10"/>
      <c r="W1656" s="10"/>
      <c r="X1656" s="10"/>
      <c r="Y1656" s="10"/>
      <c r="Z1656" s="10"/>
      <c r="AA1656" s="10"/>
      <c r="AB1656" s="10"/>
      <c r="AC1656" s="10"/>
      <c r="AD1656" s="10"/>
      <c r="AE1656" s="10"/>
      <c r="AF1656" s="10"/>
    </row>
    <row r="1657">
      <c r="A1657" s="7"/>
      <c r="B1657" s="8">
        <v>137.0</v>
      </c>
      <c r="C1657" s="8">
        <v>9.0</v>
      </c>
      <c r="D1657" s="8" t="s">
        <v>2312</v>
      </c>
      <c r="E1657" s="7">
        <v>0.0</v>
      </c>
      <c r="F1657" s="7" t="s">
        <v>320</v>
      </c>
      <c r="G1657" s="7" t="s">
        <v>312</v>
      </c>
      <c r="H1657" s="7" t="s">
        <v>313</v>
      </c>
      <c r="I1657" s="7" t="s">
        <v>320</v>
      </c>
      <c r="J1657" s="9" t="s">
        <v>2313</v>
      </c>
      <c r="K1657" s="12"/>
      <c r="L1657" s="12"/>
      <c r="M1657" s="10"/>
      <c r="N1657" s="10"/>
      <c r="O1657" s="10"/>
      <c r="P1657" s="10"/>
      <c r="Q1657" s="10"/>
      <c r="R1657" s="10"/>
      <c r="S1657" s="10"/>
      <c r="T1657" s="10"/>
      <c r="U1657" s="10"/>
      <c r="V1657" s="10"/>
      <c r="W1657" s="10"/>
      <c r="X1657" s="10"/>
      <c r="Y1657" s="10"/>
      <c r="Z1657" s="10"/>
      <c r="AA1657" s="10"/>
      <c r="AB1657" s="10"/>
      <c r="AC1657" s="10"/>
      <c r="AD1657" s="10"/>
      <c r="AE1657" s="10"/>
      <c r="AF1657" s="10"/>
    </row>
    <row r="1658">
      <c r="A1658" s="7"/>
      <c r="B1658" s="8">
        <v>137.0</v>
      </c>
      <c r="C1658" s="8">
        <v>10.0</v>
      </c>
      <c r="D1658" s="8" t="s">
        <v>2314</v>
      </c>
      <c r="E1658" s="7">
        <v>2.0</v>
      </c>
      <c r="F1658" s="7"/>
      <c r="G1658" s="7" t="s">
        <v>312</v>
      </c>
      <c r="H1658" s="7" t="s">
        <v>313</v>
      </c>
      <c r="I1658" s="10"/>
      <c r="J1658" s="9" t="s">
        <v>2315</v>
      </c>
      <c r="K1658" s="8" t="s">
        <v>1664</v>
      </c>
      <c r="L1658" s="12"/>
      <c r="M1658" s="10"/>
      <c r="N1658" s="10"/>
      <c r="O1658" s="10"/>
      <c r="P1658" s="10"/>
      <c r="Q1658" s="10"/>
      <c r="R1658" s="10"/>
      <c r="S1658" s="10"/>
      <c r="T1658" s="10"/>
      <c r="U1658" s="10"/>
      <c r="V1658" s="10"/>
      <c r="W1658" s="10"/>
      <c r="X1658" s="10"/>
      <c r="Y1658" s="10"/>
      <c r="Z1658" s="10"/>
      <c r="AA1658" s="10"/>
      <c r="AB1658" s="10"/>
      <c r="AC1658" s="10"/>
      <c r="AD1658" s="10"/>
      <c r="AE1658" s="10"/>
      <c r="AF1658" s="10"/>
    </row>
    <row r="1659">
      <c r="A1659" s="7"/>
      <c r="B1659" s="8">
        <v>137.0</v>
      </c>
      <c r="C1659" s="8">
        <v>11.0</v>
      </c>
      <c r="D1659" s="8" t="s">
        <v>2316</v>
      </c>
      <c r="E1659" s="7">
        <v>2.0</v>
      </c>
      <c r="F1659" s="7"/>
      <c r="G1659" s="7" t="s">
        <v>312</v>
      </c>
      <c r="H1659" s="7" t="s">
        <v>313</v>
      </c>
      <c r="I1659" s="10"/>
      <c r="J1659" s="9" t="s">
        <v>2317</v>
      </c>
      <c r="K1659" s="8" t="s">
        <v>1664</v>
      </c>
      <c r="L1659" s="12"/>
      <c r="M1659" s="10"/>
      <c r="N1659" s="10"/>
      <c r="O1659" s="10"/>
      <c r="P1659" s="10"/>
      <c r="Q1659" s="10"/>
      <c r="R1659" s="10"/>
      <c r="S1659" s="10"/>
      <c r="T1659" s="10"/>
      <c r="U1659" s="10"/>
      <c r="V1659" s="10"/>
      <c r="W1659" s="10"/>
      <c r="X1659" s="10"/>
      <c r="Y1659" s="10"/>
      <c r="Z1659" s="10"/>
      <c r="AA1659" s="10"/>
      <c r="AB1659" s="10"/>
      <c r="AC1659" s="10"/>
      <c r="AD1659" s="10"/>
      <c r="AE1659" s="10"/>
      <c r="AF1659" s="10"/>
    </row>
    <row r="1660">
      <c r="A1660" s="7"/>
      <c r="B1660" s="8">
        <v>137.0</v>
      </c>
      <c r="C1660" s="8">
        <v>12.0</v>
      </c>
      <c r="D1660" s="8" t="s">
        <v>2318</v>
      </c>
      <c r="E1660" s="7">
        <v>0.0</v>
      </c>
      <c r="F1660" s="7"/>
      <c r="G1660" s="7" t="s">
        <v>312</v>
      </c>
      <c r="H1660" s="7" t="s">
        <v>313</v>
      </c>
      <c r="I1660" s="10"/>
      <c r="J1660" s="11"/>
      <c r="K1660" s="8" t="s">
        <v>2319</v>
      </c>
      <c r="L1660" s="12"/>
      <c r="M1660" s="10"/>
      <c r="N1660" s="10"/>
      <c r="O1660" s="10"/>
      <c r="P1660" s="10"/>
      <c r="Q1660" s="10"/>
      <c r="R1660" s="10"/>
      <c r="S1660" s="10"/>
      <c r="T1660" s="10"/>
      <c r="U1660" s="10"/>
      <c r="V1660" s="10"/>
      <c r="W1660" s="10"/>
      <c r="X1660" s="10"/>
      <c r="Y1660" s="10"/>
      <c r="Z1660" s="10"/>
      <c r="AA1660" s="10"/>
      <c r="AB1660" s="10"/>
      <c r="AC1660" s="10"/>
      <c r="AD1660" s="10"/>
      <c r="AE1660" s="10"/>
      <c r="AF1660" s="10"/>
    </row>
    <row r="1661">
      <c r="A1661" s="7"/>
      <c r="B1661" s="8">
        <v>137.0</v>
      </c>
      <c r="C1661" s="8">
        <v>13.0</v>
      </c>
      <c r="D1661" s="8" t="s">
        <v>2320</v>
      </c>
      <c r="E1661" s="7">
        <v>0.0</v>
      </c>
      <c r="F1661" s="7" t="s">
        <v>320</v>
      </c>
      <c r="G1661" s="7" t="s">
        <v>312</v>
      </c>
      <c r="H1661" s="7" t="s">
        <v>313</v>
      </c>
      <c r="I1661" s="7" t="s">
        <v>320</v>
      </c>
      <c r="J1661" s="9" t="s">
        <v>2321</v>
      </c>
      <c r="K1661" s="12"/>
      <c r="L1661" s="12"/>
      <c r="M1661" s="10"/>
      <c r="N1661" s="10"/>
      <c r="O1661" s="10"/>
      <c r="P1661" s="10"/>
      <c r="Q1661" s="10"/>
      <c r="R1661" s="10"/>
      <c r="S1661" s="10"/>
      <c r="T1661" s="10"/>
      <c r="U1661" s="10"/>
      <c r="V1661" s="10"/>
      <c r="W1661" s="10"/>
      <c r="X1661" s="10"/>
      <c r="Y1661" s="10"/>
      <c r="Z1661" s="10"/>
      <c r="AA1661" s="10"/>
      <c r="AB1661" s="10"/>
      <c r="AC1661" s="10"/>
      <c r="AD1661" s="10"/>
      <c r="AE1661" s="10"/>
      <c r="AF1661" s="10"/>
    </row>
    <row r="1662">
      <c r="A1662" s="7"/>
      <c r="B1662" s="8">
        <v>137.0</v>
      </c>
      <c r="C1662" s="8">
        <v>14.0</v>
      </c>
      <c r="D1662" s="8" t="s">
        <v>2322</v>
      </c>
      <c r="E1662" s="7">
        <v>2.0</v>
      </c>
      <c r="F1662" s="7"/>
      <c r="G1662" s="7" t="s">
        <v>312</v>
      </c>
      <c r="H1662" s="7" t="s">
        <v>313</v>
      </c>
      <c r="I1662" s="10"/>
      <c r="J1662" s="9" t="s">
        <v>2323</v>
      </c>
      <c r="K1662" s="8" t="s">
        <v>1664</v>
      </c>
      <c r="L1662" s="12"/>
      <c r="M1662" s="10"/>
      <c r="N1662" s="10"/>
      <c r="O1662" s="10"/>
      <c r="P1662" s="10"/>
      <c r="Q1662" s="10"/>
      <c r="R1662" s="10"/>
      <c r="S1662" s="10"/>
      <c r="T1662" s="10"/>
      <c r="U1662" s="10"/>
      <c r="V1662" s="10"/>
      <c r="W1662" s="10"/>
      <c r="X1662" s="10"/>
      <c r="Y1662" s="10"/>
      <c r="Z1662" s="10"/>
      <c r="AA1662" s="10"/>
      <c r="AB1662" s="10"/>
      <c r="AC1662" s="10"/>
      <c r="AD1662" s="10"/>
      <c r="AE1662" s="10"/>
      <c r="AF1662" s="10"/>
    </row>
    <row r="1663">
      <c r="A1663" s="7"/>
      <c r="B1663" s="8">
        <v>137.0</v>
      </c>
      <c r="C1663" s="8">
        <v>15.0</v>
      </c>
      <c r="D1663" s="8" t="s">
        <v>2324</v>
      </c>
      <c r="E1663" s="7">
        <v>2.0</v>
      </c>
      <c r="F1663" s="7"/>
      <c r="G1663" s="7" t="s">
        <v>312</v>
      </c>
      <c r="H1663" s="7" t="s">
        <v>313</v>
      </c>
      <c r="I1663" s="10"/>
      <c r="J1663" s="9" t="s">
        <v>2325</v>
      </c>
      <c r="K1663" s="8" t="s">
        <v>1664</v>
      </c>
      <c r="L1663" s="12"/>
      <c r="M1663" s="10"/>
      <c r="N1663" s="10"/>
      <c r="O1663" s="10"/>
      <c r="P1663" s="10"/>
      <c r="Q1663" s="10"/>
      <c r="R1663" s="10"/>
      <c r="S1663" s="10"/>
      <c r="T1663" s="10"/>
      <c r="U1663" s="10"/>
      <c r="V1663" s="10"/>
      <c r="W1663" s="10"/>
      <c r="X1663" s="10"/>
      <c r="Y1663" s="10"/>
      <c r="Z1663" s="10"/>
      <c r="AA1663" s="10"/>
      <c r="AB1663" s="10"/>
      <c r="AC1663" s="10"/>
      <c r="AD1663" s="10"/>
      <c r="AE1663" s="10"/>
      <c r="AF1663" s="10"/>
    </row>
    <row r="1664">
      <c r="A1664" s="7"/>
      <c r="B1664" s="8">
        <v>137.0</v>
      </c>
      <c r="C1664" s="8">
        <v>16.0</v>
      </c>
      <c r="D1664" s="8" t="s">
        <v>2326</v>
      </c>
      <c r="E1664" s="7">
        <v>0.0</v>
      </c>
      <c r="F1664" s="7"/>
      <c r="G1664" s="7" t="s">
        <v>312</v>
      </c>
      <c r="H1664" s="7" t="s">
        <v>313</v>
      </c>
      <c r="I1664" s="10"/>
      <c r="J1664" s="11"/>
      <c r="K1664" s="8" t="s">
        <v>2327</v>
      </c>
      <c r="L1664" s="12"/>
      <c r="M1664" s="10"/>
      <c r="N1664" s="10"/>
      <c r="O1664" s="10"/>
      <c r="P1664" s="10"/>
      <c r="Q1664" s="10"/>
      <c r="R1664" s="10"/>
      <c r="S1664" s="10"/>
      <c r="T1664" s="10"/>
      <c r="U1664" s="10"/>
      <c r="V1664" s="10"/>
      <c r="W1664" s="10"/>
      <c r="X1664" s="10"/>
      <c r="Y1664" s="10"/>
      <c r="Z1664" s="10"/>
      <c r="AA1664" s="10"/>
      <c r="AB1664" s="10"/>
      <c r="AC1664" s="10"/>
      <c r="AD1664" s="10"/>
      <c r="AE1664" s="10"/>
      <c r="AF1664" s="10"/>
    </row>
    <row r="1665">
      <c r="A1665" s="7"/>
      <c r="B1665" s="8">
        <v>137.0</v>
      </c>
      <c r="C1665" s="8">
        <v>17.0</v>
      </c>
      <c r="D1665" s="8" t="s">
        <v>2328</v>
      </c>
      <c r="E1665" s="7">
        <v>0.0</v>
      </c>
      <c r="F1665" s="7"/>
      <c r="G1665" s="7" t="s">
        <v>312</v>
      </c>
      <c r="H1665" s="7" t="s">
        <v>313</v>
      </c>
      <c r="I1665" s="10"/>
      <c r="J1665" s="11"/>
      <c r="K1665" s="12"/>
      <c r="L1665" s="12"/>
      <c r="M1665" s="10"/>
      <c r="N1665" s="10"/>
      <c r="O1665" s="10"/>
      <c r="P1665" s="10"/>
      <c r="Q1665" s="10"/>
      <c r="R1665" s="10"/>
      <c r="S1665" s="10"/>
      <c r="T1665" s="10"/>
      <c r="U1665" s="10"/>
      <c r="V1665" s="10"/>
      <c r="W1665" s="10"/>
      <c r="X1665" s="10"/>
      <c r="Y1665" s="10"/>
      <c r="Z1665" s="10"/>
      <c r="AA1665" s="10"/>
      <c r="AB1665" s="10"/>
      <c r="AC1665" s="10"/>
      <c r="AD1665" s="10"/>
      <c r="AE1665" s="10"/>
      <c r="AF1665" s="10"/>
    </row>
    <row r="1666">
      <c r="A1666" s="7"/>
      <c r="B1666" s="8">
        <v>137.0</v>
      </c>
      <c r="C1666" s="8">
        <v>18.0</v>
      </c>
      <c r="D1666" s="8" t="s">
        <v>2329</v>
      </c>
      <c r="E1666" s="7">
        <v>0.0</v>
      </c>
      <c r="F1666" s="7"/>
      <c r="G1666" s="7" t="s">
        <v>312</v>
      </c>
      <c r="H1666" s="7" t="s">
        <v>313</v>
      </c>
      <c r="I1666" s="10"/>
      <c r="J1666" s="11"/>
      <c r="K1666" s="12"/>
      <c r="L1666" s="12"/>
      <c r="M1666" s="10"/>
      <c r="N1666" s="10"/>
      <c r="O1666" s="10"/>
      <c r="P1666" s="10"/>
      <c r="Q1666" s="10"/>
      <c r="R1666" s="10"/>
      <c r="S1666" s="10"/>
      <c r="T1666" s="10"/>
      <c r="U1666" s="10"/>
      <c r="V1666" s="10"/>
      <c r="W1666" s="10"/>
      <c r="X1666" s="10"/>
      <c r="Y1666" s="10"/>
      <c r="Z1666" s="10"/>
      <c r="AA1666" s="10"/>
      <c r="AB1666" s="10"/>
      <c r="AC1666" s="10"/>
      <c r="AD1666" s="10"/>
      <c r="AE1666" s="10"/>
      <c r="AF1666" s="10"/>
    </row>
    <row r="1667">
      <c r="A1667" s="7"/>
      <c r="B1667" s="8">
        <v>137.0</v>
      </c>
      <c r="C1667" s="8">
        <v>19.0</v>
      </c>
      <c r="D1667" s="8" t="s">
        <v>2330</v>
      </c>
      <c r="E1667" s="7">
        <v>0.0</v>
      </c>
      <c r="F1667" s="7"/>
      <c r="G1667" s="7" t="s">
        <v>312</v>
      </c>
      <c r="H1667" s="7" t="s">
        <v>313</v>
      </c>
      <c r="I1667" s="10"/>
      <c r="J1667" s="11"/>
      <c r="K1667" s="12"/>
      <c r="L1667" s="12"/>
      <c r="M1667" s="10"/>
      <c r="N1667" s="10"/>
      <c r="O1667" s="10"/>
      <c r="P1667" s="10"/>
      <c r="Q1667" s="10"/>
      <c r="R1667" s="10"/>
      <c r="S1667" s="10"/>
      <c r="T1667" s="10"/>
      <c r="U1667" s="10"/>
      <c r="V1667" s="10"/>
      <c r="W1667" s="10"/>
      <c r="X1667" s="10"/>
      <c r="Y1667" s="10"/>
      <c r="Z1667" s="10"/>
      <c r="AA1667" s="10"/>
      <c r="AB1667" s="10"/>
      <c r="AC1667" s="10"/>
      <c r="AD1667" s="10"/>
      <c r="AE1667" s="10"/>
      <c r="AF1667" s="10"/>
    </row>
    <row r="1668">
      <c r="A1668" s="7"/>
      <c r="B1668" s="8">
        <v>137.0</v>
      </c>
      <c r="C1668" s="8">
        <v>20.0</v>
      </c>
      <c r="D1668" s="8" t="s">
        <v>2331</v>
      </c>
      <c r="E1668" s="7">
        <v>0.0</v>
      </c>
      <c r="F1668" s="7"/>
      <c r="G1668" s="7" t="s">
        <v>312</v>
      </c>
      <c r="H1668" s="7" t="s">
        <v>313</v>
      </c>
      <c r="I1668" s="10"/>
      <c r="J1668" s="11"/>
      <c r="K1668" s="12"/>
      <c r="L1668" s="12"/>
      <c r="M1668" s="10"/>
      <c r="N1668" s="10"/>
      <c r="O1668" s="10"/>
      <c r="P1668" s="10"/>
      <c r="Q1668" s="10"/>
      <c r="R1668" s="10"/>
      <c r="S1668" s="10"/>
      <c r="T1668" s="10"/>
      <c r="U1668" s="10"/>
      <c r="V1668" s="10"/>
      <c r="W1668" s="10"/>
      <c r="X1668" s="10"/>
      <c r="Y1668" s="10"/>
      <c r="Z1668" s="10"/>
      <c r="AA1668" s="10"/>
      <c r="AB1668" s="10"/>
      <c r="AC1668" s="10"/>
      <c r="AD1668" s="10"/>
      <c r="AE1668" s="10"/>
      <c r="AF1668" s="10"/>
    </row>
    <row r="1669">
      <c r="A1669" s="7"/>
      <c r="B1669" s="8">
        <v>137.0</v>
      </c>
      <c r="C1669" s="8">
        <v>21.0</v>
      </c>
      <c r="D1669" s="8" t="s">
        <v>2332</v>
      </c>
      <c r="E1669" s="7">
        <v>0.0</v>
      </c>
      <c r="F1669" s="7"/>
      <c r="G1669" s="7" t="s">
        <v>312</v>
      </c>
      <c r="H1669" s="7" t="s">
        <v>313</v>
      </c>
      <c r="I1669" s="10"/>
      <c r="J1669" s="11"/>
      <c r="K1669" s="12"/>
      <c r="L1669" s="12"/>
      <c r="M1669" s="10"/>
      <c r="N1669" s="10"/>
      <c r="O1669" s="10"/>
      <c r="P1669" s="10"/>
      <c r="Q1669" s="10"/>
      <c r="R1669" s="10"/>
      <c r="S1669" s="10"/>
      <c r="T1669" s="10"/>
      <c r="U1669" s="10"/>
      <c r="V1669" s="10"/>
      <c r="W1669" s="10"/>
      <c r="X1669" s="10"/>
      <c r="Y1669" s="10"/>
      <c r="Z1669" s="10"/>
      <c r="AA1669" s="10"/>
      <c r="AB1669" s="10"/>
      <c r="AC1669" s="10"/>
      <c r="AD1669" s="10"/>
      <c r="AE1669" s="10"/>
      <c r="AF1669" s="10"/>
    </row>
    <row r="1670">
      <c r="A1670" s="10"/>
      <c r="B1670" s="12"/>
      <c r="C1670" s="12"/>
      <c r="D1670" s="12"/>
      <c r="E1670" s="10"/>
      <c r="F1670" s="10"/>
      <c r="G1670" s="10"/>
      <c r="H1670" s="10"/>
      <c r="I1670" s="10"/>
      <c r="J1670" s="11"/>
      <c r="K1670" s="12"/>
      <c r="L1670" s="12"/>
      <c r="M1670" s="10"/>
      <c r="N1670" s="10"/>
      <c r="O1670" s="10"/>
      <c r="P1670" s="10"/>
      <c r="Q1670" s="10"/>
      <c r="R1670" s="10"/>
      <c r="S1670" s="10"/>
      <c r="T1670" s="10"/>
      <c r="U1670" s="10"/>
      <c r="V1670" s="10"/>
      <c r="W1670" s="10"/>
      <c r="X1670" s="10"/>
      <c r="Y1670" s="10"/>
      <c r="Z1670" s="10"/>
      <c r="AA1670" s="10"/>
      <c r="AB1670" s="10"/>
      <c r="AC1670" s="10"/>
      <c r="AD1670" s="10"/>
      <c r="AE1670" s="10"/>
      <c r="AF1670" s="10"/>
    </row>
    <row r="1671">
      <c r="A1671" s="7"/>
      <c r="B1671" s="8">
        <v>138.0</v>
      </c>
      <c r="C1671" s="8">
        <v>1.0</v>
      </c>
      <c r="D1671" s="8" t="s">
        <v>2333</v>
      </c>
      <c r="E1671" s="7">
        <v>0.0</v>
      </c>
      <c r="F1671" s="7"/>
      <c r="G1671" s="7" t="s">
        <v>312</v>
      </c>
      <c r="H1671" s="7" t="s">
        <v>313</v>
      </c>
      <c r="I1671" s="10"/>
      <c r="J1671" s="25"/>
      <c r="K1671" s="12"/>
      <c r="L1671" s="12"/>
      <c r="M1671" s="10"/>
      <c r="N1671" s="10"/>
      <c r="O1671" s="10"/>
      <c r="P1671" s="10"/>
      <c r="Q1671" s="10"/>
      <c r="R1671" s="10"/>
      <c r="S1671" s="10"/>
      <c r="T1671" s="10"/>
      <c r="U1671" s="10"/>
      <c r="V1671" s="10"/>
      <c r="W1671" s="10"/>
      <c r="X1671" s="10"/>
      <c r="Y1671" s="10"/>
      <c r="Z1671" s="10"/>
      <c r="AA1671" s="10"/>
      <c r="AB1671" s="10"/>
      <c r="AC1671" s="10"/>
      <c r="AD1671" s="10"/>
      <c r="AE1671" s="10"/>
      <c r="AF1671" s="10"/>
    </row>
    <row r="1672">
      <c r="A1672" s="7"/>
      <c r="B1672" s="8">
        <v>138.0</v>
      </c>
      <c r="C1672" s="8">
        <v>2.0</v>
      </c>
      <c r="D1672" s="8" t="s">
        <v>2334</v>
      </c>
      <c r="E1672" s="7">
        <v>2.0</v>
      </c>
      <c r="F1672" s="7" t="s">
        <v>320</v>
      </c>
      <c r="G1672" s="7" t="s">
        <v>312</v>
      </c>
      <c r="H1672" s="7" t="s">
        <v>313</v>
      </c>
      <c r="I1672" s="10"/>
      <c r="J1672" s="23" t="s">
        <v>2335</v>
      </c>
      <c r="K1672" s="12"/>
      <c r="L1672" s="12"/>
      <c r="M1672" s="10"/>
      <c r="N1672" s="10"/>
      <c r="O1672" s="10"/>
      <c r="P1672" s="10"/>
      <c r="Q1672" s="10"/>
      <c r="R1672" s="10"/>
      <c r="S1672" s="10"/>
      <c r="T1672" s="10"/>
      <c r="U1672" s="10"/>
      <c r="V1672" s="10"/>
      <c r="W1672" s="10"/>
      <c r="X1672" s="10"/>
      <c r="Y1672" s="10"/>
      <c r="Z1672" s="10"/>
      <c r="AA1672" s="10"/>
      <c r="AB1672" s="10"/>
      <c r="AC1672" s="10"/>
      <c r="AD1672" s="10"/>
      <c r="AE1672" s="10"/>
      <c r="AF1672" s="10"/>
    </row>
    <row r="1673">
      <c r="A1673" s="7"/>
      <c r="B1673" s="8">
        <v>138.0</v>
      </c>
      <c r="C1673" s="8">
        <v>3.0</v>
      </c>
      <c r="D1673" s="8" t="s">
        <v>2336</v>
      </c>
      <c r="E1673" s="7">
        <v>2.0</v>
      </c>
      <c r="F1673" s="7" t="s">
        <v>320</v>
      </c>
      <c r="G1673" s="7" t="s">
        <v>312</v>
      </c>
      <c r="H1673" s="7" t="s">
        <v>313</v>
      </c>
      <c r="I1673" s="10"/>
      <c r="J1673" s="23" t="s">
        <v>2335</v>
      </c>
      <c r="K1673" s="12"/>
      <c r="L1673" s="12"/>
      <c r="M1673" s="10"/>
      <c r="N1673" s="10"/>
      <c r="O1673" s="10"/>
      <c r="P1673" s="10"/>
      <c r="Q1673" s="10"/>
      <c r="R1673" s="10"/>
      <c r="S1673" s="10"/>
      <c r="T1673" s="10"/>
      <c r="U1673" s="10"/>
      <c r="V1673" s="10"/>
      <c r="W1673" s="10"/>
      <c r="X1673" s="10"/>
      <c r="Y1673" s="10"/>
      <c r="Z1673" s="10"/>
      <c r="AA1673" s="10"/>
      <c r="AB1673" s="10"/>
      <c r="AC1673" s="10"/>
      <c r="AD1673" s="10"/>
      <c r="AE1673" s="10"/>
      <c r="AF1673" s="10"/>
    </row>
    <row r="1674">
      <c r="A1674" s="7"/>
      <c r="B1674" s="8">
        <v>138.0</v>
      </c>
      <c r="C1674" s="8">
        <v>4.0</v>
      </c>
      <c r="D1674" s="8" t="s">
        <v>2337</v>
      </c>
      <c r="E1674" s="7">
        <v>2.0</v>
      </c>
      <c r="F1674" s="7" t="s">
        <v>320</v>
      </c>
      <c r="G1674" s="7" t="s">
        <v>312</v>
      </c>
      <c r="H1674" s="7" t="s">
        <v>313</v>
      </c>
      <c r="I1674" s="10"/>
      <c r="J1674" s="23" t="s">
        <v>2335</v>
      </c>
      <c r="K1674" s="12"/>
      <c r="L1674" s="12"/>
      <c r="M1674" s="10"/>
      <c r="N1674" s="10"/>
      <c r="O1674" s="10"/>
      <c r="P1674" s="10"/>
      <c r="Q1674" s="10"/>
      <c r="R1674" s="10"/>
      <c r="S1674" s="10"/>
      <c r="T1674" s="10"/>
      <c r="U1674" s="10"/>
      <c r="V1674" s="10"/>
      <c r="W1674" s="10"/>
      <c r="X1674" s="10"/>
      <c r="Y1674" s="10"/>
      <c r="Z1674" s="10"/>
      <c r="AA1674" s="10"/>
      <c r="AB1674" s="10"/>
      <c r="AC1674" s="10"/>
      <c r="AD1674" s="10"/>
      <c r="AE1674" s="10"/>
      <c r="AF1674" s="10"/>
    </row>
    <row r="1675">
      <c r="A1675" s="7"/>
      <c r="B1675" s="8">
        <v>138.0</v>
      </c>
      <c r="C1675" s="8">
        <v>5.0</v>
      </c>
      <c r="D1675" s="8" t="s">
        <v>2338</v>
      </c>
      <c r="E1675" s="7">
        <v>0.0</v>
      </c>
      <c r="F1675" s="7" t="s">
        <v>320</v>
      </c>
      <c r="G1675" s="7" t="s">
        <v>312</v>
      </c>
      <c r="H1675" s="7" t="s">
        <v>313</v>
      </c>
      <c r="I1675" s="7" t="s">
        <v>366</v>
      </c>
      <c r="J1675" s="23" t="s">
        <v>2339</v>
      </c>
      <c r="K1675" s="12"/>
      <c r="L1675" s="12"/>
      <c r="M1675" s="10"/>
      <c r="N1675" s="10"/>
      <c r="O1675" s="10"/>
      <c r="P1675" s="10"/>
      <c r="Q1675" s="10"/>
      <c r="R1675" s="10"/>
      <c r="S1675" s="10"/>
      <c r="T1675" s="10"/>
      <c r="U1675" s="10"/>
      <c r="V1675" s="10"/>
      <c r="W1675" s="10"/>
      <c r="X1675" s="10"/>
      <c r="Y1675" s="10"/>
      <c r="Z1675" s="10"/>
      <c r="AA1675" s="10"/>
      <c r="AB1675" s="10"/>
      <c r="AC1675" s="10"/>
      <c r="AD1675" s="10"/>
      <c r="AE1675" s="10"/>
      <c r="AF1675" s="10"/>
    </row>
    <row r="1676">
      <c r="A1676" s="7"/>
      <c r="B1676" s="8">
        <v>138.0</v>
      </c>
      <c r="C1676" s="8">
        <v>6.0</v>
      </c>
      <c r="D1676" s="8" t="s">
        <v>2340</v>
      </c>
      <c r="E1676" s="7">
        <v>0.0</v>
      </c>
      <c r="F1676" s="7" t="s">
        <v>320</v>
      </c>
      <c r="G1676" s="7" t="s">
        <v>312</v>
      </c>
      <c r="H1676" s="7" t="s">
        <v>313</v>
      </c>
      <c r="I1676" s="7" t="s">
        <v>366</v>
      </c>
      <c r="J1676" s="9" t="s">
        <v>2341</v>
      </c>
      <c r="K1676" s="12"/>
      <c r="L1676" s="12"/>
      <c r="M1676" s="10"/>
      <c r="N1676" s="10"/>
      <c r="O1676" s="10"/>
      <c r="P1676" s="10"/>
      <c r="Q1676" s="10"/>
      <c r="R1676" s="10"/>
      <c r="S1676" s="10"/>
      <c r="T1676" s="10"/>
      <c r="U1676" s="10"/>
      <c r="V1676" s="10"/>
      <c r="W1676" s="10"/>
      <c r="X1676" s="10"/>
      <c r="Y1676" s="10"/>
      <c r="Z1676" s="10"/>
      <c r="AA1676" s="10"/>
      <c r="AB1676" s="10"/>
      <c r="AC1676" s="10"/>
      <c r="AD1676" s="10"/>
      <c r="AE1676" s="10"/>
      <c r="AF1676" s="10"/>
    </row>
    <row r="1677">
      <c r="A1677" s="7"/>
      <c r="B1677" s="8">
        <v>138.0</v>
      </c>
      <c r="C1677" s="8">
        <v>7.0</v>
      </c>
      <c r="D1677" s="8" t="s">
        <v>2342</v>
      </c>
      <c r="E1677" s="7">
        <v>0.0</v>
      </c>
      <c r="F1677" s="7"/>
      <c r="G1677" s="7" t="s">
        <v>312</v>
      </c>
      <c r="H1677" s="7" t="s">
        <v>313</v>
      </c>
      <c r="I1677" s="10"/>
      <c r="J1677" s="11"/>
      <c r="K1677" s="8" t="s">
        <v>2343</v>
      </c>
      <c r="L1677" s="12"/>
      <c r="M1677" s="10"/>
      <c r="N1677" s="10"/>
      <c r="O1677" s="10"/>
      <c r="P1677" s="10"/>
      <c r="Q1677" s="10"/>
      <c r="R1677" s="10"/>
      <c r="S1677" s="10"/>
      <c r="T1677" s="10"/>
      <c r="U1677" s="10"/>
      <c r="V1677" s="10"/>
      <c r="W1677" s="10"/>
      <c r="X1677" s="10"/>
      <c r="Y1677" s="10"/>
      <c r="Z1677" s="10"/>
      <c r="AA1677" s="10"/>
      <c r="AB1677" s="10"/>
      <c r="AC1677" s="10"/>
      <c r="AD1677" s="10"/>
      <c r="AE1677" s="10"/>
      <c r="AF1677" s="10"/>
    </row>
    <row r="1678">
      <c r="A1678" s="7"/>
      <c r="B1678" s="8">
        <v>138.0</v>
      </c>
      <c r="C1678" s="8">
        <v>8.0</v>
      </c>
      <c r="D1678" s="8" t="s">
        <v>2344</v>
      </c>
      <c r="E1678" s="7">
        <v>2.0</v>
      </c>
      <c r="F1678" s="7"/>
      <c r="G1678" s="7" t="s">
        <v>312</v>
      </c>
      <c r="H1678" s="7" t="s">
        <v>313</v>
      </c>
      <c r="I1678" s="10"/>
      <c r="J1678" s="9" t="s">
        <v>2345</v>
      </c>
      <c r="K1678" s="8" t="s">
        <v>1664</v>
      </c>
      <c r="L1678" s="12"/>
      <c r="M1678" s="10"/>
      <c r="N1678" s="10"/>
      <c r="O1678" s="10"/>
      <c r="P1678" s="10"/>
      <c r="Q1678" s="10"/>
      <c r="R1678" s="10"/>
      <c r="S1678" s="10"/>
      <c r="T1678" s="10"/>
      <c r="U1678" s="10"/>
      <c r="V1678" s="10"/>
      <c r="W1678" s="10"/>
      <c r="X1678" s="10"/>
      <c r="Y1678" s="10"/>
      <c r="Z1678" s="10"/>
      <c r="AA1678" s="10"/>
      <c r="AB1678" s="10"/>
      <c r="AC1678" s="10"/>
      <c r="AD1678" s="10"/>
      <c r="AE1678" s="10"/>
      <c r="AF1678" s="10"/>
    </row>
    <row r="1679">
      <c r="A1679" s="7"/>
      <c r="B1679" s="8">
        <v>138.0</v>
      </c>
      <c r="C1679" s="8">
        <v>9.0</v>
      </c>
      <c r="D1679" s="8" t="s">
        <v>2346</v>
      </c>
      <c r="E1679" s="7">
        <v>2.0</v>
      </c>
      <c r="F1679" s="7"/>
      <c r="G1679" s="7" t="s">
        <v>312</v>
      </c>
      <c r="H1679" s="7" t="s">
        <v>313</v>
      </c>
      <c r="I1679" s="10"/>
      <c r="J1679" s="9" t="s">
        <v>2347</v>
      </c>
      <c r="K1679" s="8" t="s">
        <v>1664</v>
      </c>
      <c r="L1679" s="12"/>
      <c r="M1679" s="10"/>
      <c r="N1679" s="10"/>
      <c r="O1679" s="10"/>
      <c r="P1679" s="10"/>
      <c r="Q1679" s="10"/>
      <c r="R1679" s="10"/>
      <c r="S1679" s="10"/>
      <c r="T1679" s="10"/>
      <c r="U1679" s="10"/>
      <c r="V1679" s="10"/>
      <c r="W1679" s="10"/>
      <c r="X1679" s="10"/>
      <c r="Y1679" s="10"/>
      <c r="Z1679" s="10"/>
      <c r="AA1679" s="10"/>
      <c r="AB1679" s="10"/>
      <c r="AC1679" s="10"/>
      <c r="AD1679" s="10"/>
      <c r="AE1679" s="10"/>
      <c r="AF1679" s="10"/>
    </row>
    <row r="1680">
      <c r="A1680" s="7"/>
      <c r="B1680" s="8">
        <v>138.0</v>
      </c>
      <c r="C1680" s="8">
        <v>10.0</v>
      </c>
      <c r="D1680" s="8" t="s">
        <v>2348</v>
      </c>
      <c r="E1680" s="7">
        <v>2.0</v>
      </c>
      <c r="F1680" s="7"/>
      <c r="G1680" s="7" t="s">
        <v>312</v>
      </c>
      <c r="H1680" s="7" t="s">
        <v>313</v>
      </c>
      <c r="I1680" s="10"/>
      <c r="J1680" s="9" t="s">
        <v>2349</v>
      </c>
      <c r="K1680" s="8" t="s">
        <v>1664</v>
      </c>
      <c r="L1680" s="12"/>
      <c r="M1680" s="10"/>
      <c r="N1680" s="10"/>
      <c r="O1680" s="10"/>
      <c r="P1680" s="10"/>
      <c r="Q1680" s="10"/>
      <c r="R1680" s="10"/>
      <c r="S1680" s="10"/>
      <c r="T1680" s="10"/>
      <c r="U1680" s="10"/>
      <c r="V1680" s="10"/>
      <c r="W1680" s="10"/>
      <c r="X1680" s="10"/>
      <c r="Y1680" s="10"/>
      <c r="Z1680" s="10"/>
      <c r="AA1680" s="10"/>
      <c r="AB1680" s="10"/>
      <c r="AC1680" s="10"/>
      <c r="AD1680" s="10"/>
      <c r="AE1680" s="10"/>
      <c r="AF1680" s="10"/>
    </row>
    <row r="1681">
      <c r="A1681" s="7"/>
      <c r="B1681" s="8">
        <v>138.0</v>
      </c>
      <c r="C1681" s="8">
        <v>11.0</v>
      </c>
      <c r="D1681" s="8" t="s">
        <v>2350</v>
      </c>
      <c r="E1681" s="7">
        <v>0.0</v>
      </c>
      <c r="F1681" s="7" t="s">
        <v>320</v>
      </c>
      <c r="G1681" s="7" t="s">
        <v>312</v>
      </c>
      <c r="H1681" s="7" t="s">
        <v>313</v>
      </c>
      <c r="I1681" s="7" t="s">
        <v>366</v>
      </c>
      <c r="J1681" s="9" t="s">
        <v>2351</v>
      </c>
      <c r="K1681" s="8" t="s">
        <v>1664</v>
      </c>
      <c r="L1681" s="12"/>
      <c r="M1681" s="10"/>
      <c r="N1681" s="10"/>
      <c r="O1681" s="10"/>
      <c r="P1681" s="10"/>
      <c r="Q1681" s="10"/>
      <c r="R1681" s="10"/>
      <c r="S1681" s="10"/>
      <c r="T1681" s="10"/>
      <c r="U1681" s="10"/>
      <c r="V1681" s="10"/>
      <c r="W1681" s="10"/>
      <c r="X1681" s="10"/>
      <c r="Y1681" s="10"/>
      <c r="Z1681" s="10"/>
      <c r="AA1681" s="10"/>
      <c r="AB1681" s="10"/>
      <c r="AC1681" s="10"/>
      <c r="AD1681" s="10"/>
      <c r="AE1681" s="10"/>
      <c r="AF1681" s="10"/>
    </row>
    <row r="1682">
      <c r="A1682" s="7"/>
      <c r="B1682" s="8">
        <v>138.0</v>
      </c>
      <c r="C1682" s="8">
        <v>12.0</v>
      </c>
      <c r="D1682" s="8" t="s">
        <v>2352</v>
      </c>
      <c r="E1682" s="7">
        <v>0.0</v>
      </c>
      <c r="F1682" s="7" t="s">
        <v>320</v>
      </c>
      <c r="G1682" s="7" t="s">
        <v>312</v>
      </c>
      <c r="H1682" s="7" t="s">
        <v>313</v>
      </c>
      <c r="I1682" s="7" t="s">
        <v>366</v>
      </c>
      <c r="J1682" s="9" t="s">
        <v>2353</v>
      </c>
      <c r="K1682" s="12"/>
      <c r="L1682" s="12"/>
      <c r="M1682" s="10"/>
      <c r="N1682" s="10"/>
      <c r="O1682" s="10"/>
      <c r="P1682" s="10"/>
      <c r="Q1682" s="10"/>
      <c r="R1682" s="10"/>
      <c r="S1682" s="10"/>
      <c r="T1682" s="10"/>
      <c r="U1682" s="10"/>
      <c r="V1682" s="10"/>
      <c r="W1682" s="10"/>
      <c r="X1682" s="10"/>
      <c r="Y1682" s="10"/>
      <c r="Z1682" s="10"/>
      <c r="AA1682" s="10"/>
      <c r="AB1682" s="10"/>
      <c r="AC1682" s="10"/>
      <c r="AD1682" s="10"/>
      <c r="AE1682" s="10"/>
      <c r="AF1682" s="10"/>
    </row>
    <row r="1683">
      <c r="A1683" s="7"/>
      <c r="B1683" s="8">
        <v>138.0</v>
      </c>
      <c r="C1683" s="8">
        <v>13.0</v>
      </c>
      <c r="D1683" s="8" t="s">
        <v>2354</v>
      </c>
      <c r="E1683" s="7">
        <v>0.0</v>
      </c>
      <c r="F1683" s="7"/>
      <c r="G1683" s="7" t="s">
        <v>312</v>
      </c>
      <c r="H1683" s="7" t="s">
        <v>313</v>
      </c>
      <c r="I1683" s="10"/>
      <c r="J1683" s="11"/>
      <c r="K1683" s="8" t="s">
        <v>2343</v>
      </c>
      <c r="L1683" s="12"/>
      <c r="M1683" s="10"/>
      <c r="N1683" s="10"/>
      <c r="O1683" s="10"/>
      <c r="P1683" s="10"/>
      <c r="Q1683" s="10"/>
      <c r="R1683" s="10"/>
      <c r="S1683" s="10"/>
      <c r="T1683" s="10"/>
      <c r="U1683" s="10"/>
      <c r="V1683" s="10"/>
      <c r="W1683" s="10"/>
      <c r="X1683" s="10"/>
      <c r="Y1683" s="10"/>
      <c r="Z1683" s="10"/>
      <c r="AA1683" s="10"/>
      <c r="AB1683" s="10"/>
      <c r="AC1683" s="10"/>
      <c r="AD1683" s="10"/>
      <c r="AE1683" s="10"/>
      <c r="AF1683" s="10"/>
    </row>
    <row r="1684">
      <c r="A1684" s="7"/>
      <c r="B1684" s="8">
        <v>138.0</v>
      </c>
      <c r="C1684" s="8">
        <v>14.0</v>
      </c>
      <c r="D1684" s="8" t="s">
        <v>2355</v>
      </c>
      <c r="E1684" s="7">
        <v>0.0</v>
      </c>
      <c r="F1684" s="7"/>
      <c r="G1684" s="7" t="s">
        <v>312</v>
      </c>
      <c r="H1684" s="7" t="s">
        <v>313</v>
      </c>
      <c r="I1684" s="10"/>
      <c r="J1684" s="11"/>
      <c r="K1684" s="12"/>
      <c r="L1684" s="12"/>
      <c r="M1684" s="10"/>
      <c r="N1684" s="10"/>
      <c r="O1684" s="10"/>
      <c r="P1684" s="10"/>
      <c r="Q1684" s="10"/>
      <c r="R1684" s="10"/>
      <c r="S1684" s="10"/>
      <c r="T1684" s="10"/>
      <c r="U1684" s="10"/>
      <c r="V1684" s="10"/>
      <c r="W1684" s="10"/>
      <c r="X1684" s="10"/>
      <c r="Y1684" s="10"/>
      <c r="Z1684" s="10"/>
      <c r="AA1684" s="10"/>
      <c r="AB1684" s="10"/>
      <c r="AC1684" s="10"/>
      <c r="AD1684" s="10"/>
      <c r="AE1684" s="10"/>
      <c r="AF1684" s="10"/>
    </row>
    <row r="1685">
      <c r="A1685" s="7"/>
      <c r="B1685" s="8">
        <v>138.0</v>
      </c>
      <c r="C1685" s="8">
        <v>15.0</v>
      </c>
      <c r="D1685" s="8" t="s">
        <v>2356</v>
      </c>
      <c r="E1685" s="7">
        <v>0.0</v>
      </c>
      <c r="F1685" s="7"/>
      <c r="G1685" s="7" t="s">
        <v>312</v>
      </c>
      <c r="H1685" s="7" t="s">
        <v>313</v>
      </c>
      <c r="I1685" s="10"/>
      <c r="J1685" s="11"/>
      <c r="K1685" s="12"/>
      <c r="L1685" s="12"/>
      <c r="M1685" s="10"/>
      <c r="N1685" s="10"/>
      <c r="O1685" s="10"/>
      <c r="P1685" s="10"/>
      <c r="Q1685" s="10"/>
      <c r="R1685" s="10"/>
      <c r="S1685" s="10"/>
      <c r="T1685" s="10"/>
      <c r="U1685" s="10"/>
      <c r="V1685" s="10"/>
      <c r="W1685" s="10"/>
      <c r="X1685" s="10"/>
      <c r="Y1685" s="10"/>
      <c r="Z1685" s="10"/>
      <c r="AA1685" s="10"/>
      <c r="AB1685" s="10"/>
      <c r="AC1685" s="10"/>
      <c r="AD1685" s="10"/>
      <c r="AE1685" s="10"/>
      <c r="AF1685" s="10"/>
    </row>
    <row r="1686">
      <c r="A1686" s="7"/>
      <c r="B1686" s="8">
        <v>138.0</v>
      </c>
      <c r="C1686" s="8">
        <v>16.0</v>
      </c>
      <c r="D1686" s="8" t="s">
        <v>2357</v>
      </c>
      <c r="E1686" s="7">
        <v>0.0</v>
      </c>
      <c r="F1686" s="7"/>
      <c r="G1686" s="7" t="s">
        <v>312</v>
      </c>
      <c r="H1686" s="7" t="s">
        <v>313</v>
      </c>
      <c r="I1686" s="10"/>
      <c r="J1686" s="11"/>
      <c r="K1686" s="12"/>
      <c r="L1686" s="12"/>
      <c r="M1686" s="10"/>
      <c r="N1686" s="10"/>
      <c r="O1686" s="10"/>
      <c r="P1686" s="10"/>
      <c r="Q1686" s="10"/>
      <c r="R1686" s="10"/>
      <c r="S1686" s="10"/>
      <c r="T1686" s="10"/>
      <c r="U1686" s="10"/>
      <c r="V1686" s="10"/>
      <c r="W1686" s="10"/>
      <c r="X1686" s="10"/>
      <c r="Y1686" s="10"/>
      <c r="Z1686" s="10"/>
      <c r="AA1686" s="10"/>
      <c r="AB1686" s="10"/>
      <c r="AC1686" s="10"/>
      <c r="AD1686" s="10"/>
      <c r="AE1686" s="10"/>
      <c r="AF1686" s="10"/>
    </row>
    <row r="1687">
      <c r="A1687" s="7"/>
      <c r="B1687" s="8">
        <v>138.0</v>
      </c>
      <c r="C1687" s="8">
        <v>17.0</v>
      </c>
      <c r="D1687" s="8" t="s">
        <v>2358</v>
      </c>
      <c r="E1687" s="7">
        <v>0.0</v>
      </c>
      <c r="F1687" s="7"/>
      <c r="G1687" s="7" t="s">
        <v>312</v>
      </c>
      <c r="H1687" s="7" t="s">
        <v>313</v>
      </c>
      <c r="I1687" s="10"/>
      <c r="J1687" s="11"/>
      <c r="K1687" s="12"/>
      <c r="L1687" s="12"/>
      <c r="M1687" s="10"/>
      <c r="N1687" s="10"/>
      <c r="O1687" s="10"/>
      <c r="P1687" s="10"/>
      <c r="Q1687" s="10"/>
      <c r="R1687" s="10"/>
      <c r="S1687" s="10"/>
      <c r="T1687" s="10"/>
      <c r="U1687" s="10"/>
      <c r="V1687" s="10"/>
      <c r="W1687" s="10"/>
      <c r="X1687" s="10"/>
      <c r="Y1687" s="10"/>
      <c r="Z1687" s="10"/>
      <c r="AA1687" s="10"/>
      <c r="AB1687" s="10"/>
      <c r="AC1687" s="10"/>
      <c r="AD1687" s="10"/>
      <c r="AE1687" s="10"/>
      <c r="AF1687" s="10"/>
    </row>
    <row r="1688">
      <c r="A1688" s="7"/>
      <c r="B1688" s="8">
        <v>138.0</v>
      </c>
      <c r="C1688" s="8">
        <v>18.0</v>
      </c>
      <c r="D1688" s="8" t="s">
        <v>2359</v>
      </c>
      <c r="E1688" s="7">
        <v>0.0</v>
      </c>
      <c r="F1688" s="7"/>
      <c r="G1688" s="7" t="s">
        <v>312</v>
      </c>
      <c r="H1688" s="7" t="s">
        <v>313</v>
      </c>
      <c r="I1688" s="10"/>
      <c r="J1688" s="11"/>
      <c r="K1688" s="8" t="s">
        <v>2360</v>
      </c>
      <c r="L1688" s="12"/>
      <c r="M1688" s="10"/>
      <c r="N1688" s="10"/>
      <c r="O1688" s="10"/>
      <c r="P1688" s="10"/>
      <c r="Q1688" s="10"/>
      <c r="R1688" s="10"/>
      <c r="S1688" s="10"/>
      <c r="T1688" s="10"/>
      <c r="U1688" s="10"/>
      <c r="V1688" s="10"/>
      <c r="W1688" s="10"/>
      <c r="X1688" s="10"/>
      <c r="Y1688" s="10"/>
      <c r="Z1688" s="10"/>
      <c r="AA1688" s="10"/>
      <c r="AB1688" s="10"/>
      <c r="AC1688" s="10"/>
      <c r="AD1688" s="10"/>
      <c r="AE1688" s="10"/>
      <c r="AF1688" s="10"/>
    </row>
    <row r="1689">
      <c r="A1689" s="7"/>
      <c r="B1689" s="8">
        <v>138.0</v>
      </c>
      <c r="C1689" s="8">
        <v>19.0</v>
      </c>
      <c r="D1689" s="8" t="s">
        <v>2361</v>
      </c>
      <c r="E1689" s="7">
        <v>0.0</v>
      </c>
      <c r="F1689" s="7"/>
      <c r="G1689" s="7" t="s">
        <v>312</v>
      </c>
      <c r="H1689" s="7" t="s">
        <v>313</v>
      </c>
      <c r="I1689" s="10"/>
      <c r="J1689" s="11"/>
      <c r="K1689" s="12"/>
      <c r="L1689" s="12"/>
      <c r="M1689" s="10"/>
      <c r="N1689" s="10"/>
      <c r="O1689" s="10"/>
      <c r="P1689" s="10"/>
      <c r="Q1689" s="10"/>
      <c r="R1689" s="10"/>
      <c r="S1689" s="10"/>
      <c r="T1689" s="10"/>
      <c r="U1689" s="10"/>
      <c r="V1689" s="10"/>
      <c r="W1689" s="10"/>
      <c r="X1689" s="10"/>
      <c r="Y1689" s="10"/>
      <c r="Z1689" s="10"/>
      <c r="AA1689" s="10"/>
      <c r="AB1689" s="10"/>
      <c r="AC1689" s="10"/>
      <c r="AD1689" s="10"/>
      <c r="AE1689" s="10"/>
      <c r="AF1689" s="10"/>
    </row>
    <row r="1690">
      <c r="A1690" s="7"/>
      <c r="B1690" s="8">
        <v>138.0</v>
      </c>
      <c r="C1690" s="8">
        <v>20.0</v>
      </c>
      <c r="D1690" s="8" t="s">
        <v>2362</v>
      </c>
      <c r="E1690" s="7">
        <v>0.0</v>
      </c>
      <c r="F1690" s="7"/>
      <c r="G1690" s="7" t="s">
        <v>312</v>
      </c>
      <c r="H1690" s="7" t="s">
        <v>313</v>
      </c>
      <c r="I1690" s="10"/>
      <c r="J1690" s="11"/>
      <c r="K1690" s="12"/>
      <c r="L1690" s="12"/>
      <c r="M1690" s="10"/>
      <c r="N1690" s="10"/>
      <c r="O1690" s="10"/>
      <c r="P1690" s="10"/>
      <c r="Q1690" s="10"/>
      <c r="R1690" s="10"/>
      <c r="S1690" s="10"/>
      <c r="T1690" s="10"/>
      <c r="U1690" s="10"/>
      <c r="V1690" s="10"/>
      <c r="W1690" s="10"/>
      <c r="X1690" s="10"/>
      <c r="Y1690" s="10"/>
      <c r="Z1690" s="10"/>
      <c r="AA1690" s="10"/>
      <c r="AB1690" s="10"/>
      <c r="AC1690" s="10"/>
      <c r="AD1690" s="10"/>
      <c r="AE1690" s="10"/>
      <c r="AF1690" s="10"/>
    </row>
    <row r="1691">
      <c r="A1691" s="7"/>
      <c r="B1691" s="8">
        <v>138.0</v>
      </c>
      <c r="C1691" s="8">
        <v>21.0</v>
      </c>
      <c r="D1691" s="8" t="s">
        <v>2363</v>
      </c>
      <c r="E1691" s="7">
        <v>0.0</v>
      </c>
      <c r="F1691" s="7"/>
      <c r="G1691" s="7" t="s">
        <v>312</v>
      </c>
      <c r="H1691" s="7" t="s">
        <v>313</v>
      </c>
      <c r="I1691" s="10"/>
      <c r="J1691" s="11"/>
      <c r="K1691" s="12"/>
      <c r="L1691" s="12"/>
      <c r="M1691" s="10"/>
      <c r="N1691" s="10"/>
      <c r="O1691" s="10"/>
      <c r="P1691" s="10"/>
      <c r="Q1691" s="10"/>
      <c r="R1691" s="10"/>
      <c r="S1691" s="10"/>
      <c r="T1691" s="10"/>
      <c r="U1691" s="10"/>
      <c r="V1691" s="10"/>
      <c r="W1691" s="10"/>
      <c r="X1691" s="10"/>
      <c r="Y1691" s="10"/>
      <c r="Z1691" s="10"/>
      <c r="AA1691" s="10"/>
      <c r="AB1691" s="10"/>
      <c r="AC1691" s="10"/>
      <c r="AD1691" s="10"/>
      <c r="AE1691" s="10"/>
      <c r="AF1691" s="10"/>
    </row>
    <row r="1692">
      <c r="A1692" s="7"/>
      <c r="B1692" s="8">
        <v>138.0</v>
      </c>
      <c r="C1692" s="8">
        <v>22.0</v>
      </c>
      <c r="D1692" s="8" t="s">
        <v>2364</v>
      </c>
      <c r="E1692" s="7">
        <v>0.0</v>
      </c>
      <c r="F1692" s="7"/>
      <c r="G1692" s="7" t="s">
        <v>312</v>
      </c>
      <c r="H1692" s="7" t="s">
        <v>313</v>
      </c>
      <c r="I1692" s="10"/>
      <c r="J1692" s="11"/>
      <c r="K1692" s="8" t="s">
        <v>2360</v>
      </c>
      <c r="L1692" s="12"/>
      <c r="M1692" s="10"/>
      <c r="N1692" s="10"/>
      <c r="O1692" s="10"/>
      <c r="P1692" s="10"/>
      <c r="Q1692" s="10"/>
      <c r="R1692" s="10"/>
      <c r="S1692" s="10"/>
      <c r="T1692" s="10"/>
      <c r="U1692" s="10"/>
      <c r="V1692" s="10"/>
      <c r="W1692" s="10"/>
      <c r="X1692" s="10"/>
      <c r="Y1692" s="10"/>
      <c r="Z1692" s="10"/>
      <c r="AA1692" s="10"/>
      <c r="AB1692" s="10"/>
      <c r="AC1692" s="10"/>
      <c r="AD1692" s="10"/>
      <c r="AE1692" s="10"/>
      <c r="AF1692" s="10"/>
    </row>
    <row r="1693">
      <c r="A1693" s="7"/>
      <c r="B1693" s="8">
        <v>138.0</v>
      </c>
      <c r="C1693" s="8">
        <v>23.0</v>
      </c>
      <c r="D1693" s="8" t="s">
        <v>2365</v>
      </c>
      <c r="E1693" s="7">
        <v>0.0</v>
      </c>
      <c r="F1693" s="7"/>
      <c r="G1693" s="7" t="s">
        <v>312</v>
      </c>
      <c r="H1693" s="7" t="s">
        <v>313</v>
      </c>
      <c r="I1693" s="10"/>
      <c r="J1693" s="11"/>
      <c r="K1693" s="12"/>
      <c r="L1693" s="12"/>
      <c r="M1693" s="10"/>
      <c r="N1693" s="10"/>
      <c r="O1693" s="10"/>
      <c r="P1693" s="10"/>
      <c r="Q1693" s="10"/>
      <c r="R1693" s="10"/>
      <c r="S1693" s="10"/>
      <c r="T1693" s="10"/>
      <c r="U1693" s="10"/>
      <c r="V1693" s="10"/>
      <c r="W1693" s="10"/>
      <c r="X1693" s="10"/>
      <c r="Y1693" s="10"/>
      <c r="Z1693" s="10"/>
      <c r="AA1693" s="10"/>
      <c r="AB1693" s="10"/>
      <c r="AC1693" s="10"/>
      <c r="AD1693" s="10"/>
      <c r="AE1693" s="10"/>
      <c r="AF1693" s="10"/>
    </row>
    <row r="1694">
      <c r="A1694" s="7"/>
      <c r="B1694" s="8">
        <v>138.0</v>
      </c>
      <c r="C1694" s="8">
        <v>24.0</v>
      </c>
      <c r="D1694" s="8" t="s">
        <v>2366</v>
      </c>
      <c r="E1694" s="7">
        <v>0.0</v>
      </c>
      <c r="F1694" s="7"/>
      <c r="G1694" s="7" t="s">
        <v>312</v>
      </c>
      <c r="H1694" s="7" t="s">
        <v>313</v>
      </c>
      <c r="I1694" s="10"/>
      <c r="J1694" s="11"/>
      <c r="K1694" s="12"/>
      <c r="L1694" s="12"/>
      <c r="M1694" s="10"/>
      <c r="N1694" s="10"/>
      <c r="O1694" s="10"/>
      <c r="P1694" s="10"/>
      <c r="Q1694" s="10"/>
      <c r="R1694" s="10"/>
      <c r="S1694" s="10"/>
      <c r="T1694" s="10"/>
      <c r="U1694" s="10"/>
      <c r="V1694" s="10"/>
      <c r="W1694" s="10"/>
      <c r="X1694" s="10"/>
      <c r="Y1694" s="10"/>
      <c r="Z1694" s="10"/>
      <c r="AA1694" s="10"/>
      <c r="AB1694" s="10"/>
      <c r="AC1694" s="10"/>
      <c r="AD1694" s="10"/>
      <c r="AE1694" s="10"/>
      <c r="AF1694" s="10"/>
    </row>
    <row r="1695">
      <c r="A1695" s="7"/>
      <c r="B1695" s="8">
        <v>138.0</v>
      </c>
      <c r="C1695" s="8">
        <v>25.0</v>
      </c>
      <c r="D1695" s="8" t="s">
        <v>2367</v>
      </c>
      <c r="E1695" s="7">
        <v>0.0</v>
      </c>
      <c r="F1695" s="7"/>
      <c r="G1695" s="7" t="s">
        <v>312</v>
      </c>
      <c r="H1695" s="7" t="s">
        <v>313</v>
      </c>
      <c r="I1695" s="10"/>
      <c r="J1695" s="11"/>
      <c r="K1695" s="8" t="s">
        <v>2360</v>
      </c>
      <c r="L1695" s="12"/>
      <c r="M1695" s="10"/>
      <c r="N1695" s="10"/>
      <c r="O1695" s="10"/>
      <c r="P1695" s="10"/>
      <c r="Q1695" s="10"/>
      <c r="R1695" s="10"/>
      <c r="S1695" s="10"/>
      <c r="T1695" s="10"/>
      <c r="U1695" s="10"/>
      <c r="V1695" s="10"/>
      <c r="W1695" s="10"/>
      <c r="X1695" s="10"/>
      <c r="Y1695" s="10"/>
      <c r="Z1695" s="10"/>
      <c r="AA1695" s="10"/>
      <c r="AB1695" s="10"/>
      <c r="AC1695" s="10"/>
      <c r="AD1695" s="10"/>
      <c r="AE1695" s="10"/>
      <c r="AF1695" s="10"/>
    </row>
    <row r="1696">
      <c r="A1696" s="7"/>
      <c r="B1696" s="8">
        <v>138.0</v>
      </c>
      <c r="C1696" s="8">
        <v>26.0</v>
      </c>
      <c r="D1696" s="8" t="s">
        <v>2368</v>
      </c>
      <c r="E1696" s="7">
        <v>0.0</v>
      </c>
      <c r="F1696" s="7"/>
      <c r="G1696" s="7" t="s">
        <v>312</v>
      </c>
      <c r="H1696" s="7" t="s">
        <v>313</v>
      </c>
      <c r="I1696" s="10"/>
      <c r="J1696" s="11"/>
      <c r="K1696" s="12"/>
      <c r="L1696" s="12"/>
      <c r="M1696" s="10"/>
      <c r="N1696" s="10"/>
      <c r="O1696" s="10"/>
      <c r="P1696" s="10"/>
      <c r="Q1696" s="10"/>
      <c r="R1696" s="10"/>
      <c r="S1696" s="10"/>
      <c r="T1696" s="10"/>
      <c r="U1696" s="10"/>
      <c r="V1696" s="10"/>
      <c r="W1696" s="10"/>
      <c r="X1696" s="10"/>
      <c r="Y1696" s="10"/>
      <c r="Z1696" s="10"/>
      <c r="AA1696" s="10"/>
      <c r="AB1696" s="10"/>
      <c r="AC1696" s="10"/>
      <c r="AD1696" s="10"/>
      <c r="AE1696" s="10"/>
      <c r="AF1696" s="10"/>
    </row>
    <row r="1697">
      <c r="A1697" s="7"/>
      <c r="B1697" s="8">
        <v>138.0</v>
      </c>
      <c r="C1697" s="8">
        <v>27.0</v>
      </c>
      <c r="D1697" s="8" t="s">
        <v>2369</v>
      </c>
      <c r="E1697" s="7">
        <v>0.0</v>
      </c>
      <c r="F1697" s="7"/>
      <c r="G1697" s="7" t="s">
        <v>312</v>
      </c>
      <c r="H1697" s="7" t="s">
        <v>313</v>
      </c>
      <c r="I1697" s="10"/>
      <c r="J1697" s="11"/>
      <c r="K1697" s="8" t="s">
        <v>2360</v>
      </c>
      <c r="L1697" s="12"/>
      <c r="M1697" s="10"/>
      <c r="N1697" s="10"/>
      <c r="O1697" s="10"/>
      <c r="P1697" s="10"/>
      <c r="Q1697" s="10"/>
      <c r="R1697" s="10"/>
      <c r="S1697" s="10"/>
      <c r="T1697" s="10"/>
      <c r="U1697" s="10"/>
      <c r="V1697" s="10"/>
      <c r="W1697" s="10"/>
      <c r="X1697" s="10"/>
      <c r="Y1697" s="10"/>
      <c r="Z1697" s="10"/>
      <c r="AA1697" s="10"/>
      <c r="AB1697" s="10"/>
      <c r="AC1697" s="10"/>
      <c r="AD1697" s="10"/>
      <c r="AE1697" s="10"/>
      <c r="AF1697" s="10"/>
    </row>
    <row r="1698">
      <c r="A1698" s="7"/>
      <c r="B1698" s="8">
        <v>138.0</v>
      </c>
      <c r="C1698" s="8">
        <v>28.0</v>
      </c>
      <c r="D1698" s="8" t="s">
        <v>2370</v>
      </c>
      <c r="E1698" s="7">
        <v>0.0</v>
      </c>
      <c r="F1698" s="7"/>
      <c r="G1698" s="7" t="s">
        <v>312</v>
      </c>
      <c r="H1698" s="7" t="s">
        <v>313</v>
      </c>
      <c r="I1698" s="10"/>
      <c r="J1698" s="11"/>
      <c r="K1698" s="8" t="s">
        <v>2360</v>
      </c>
      <c r="L1698" s="12"/>
      <c r="M1698" s="10"/>
      <c r="N1698" s="10"/>
      <c r="O1698" s="10"/>
      <c r="P1698" s="10"/>
      <c r="Q1698" s="10"/>
      <c r="R1698" s="10"/>
      <c r="S1698" s="10"/>
      <c r="T1698" s="10"/>
      <c r="U1698" s="10"/>
      <c r="V1698" s="10"/>
      <c r="W1698" s="10"/>
      <c r="X1698" s="10"/>
      <c r="Y1698" s="10"/>
      <c r="Z1698" s="10"/>
      <c r="AA1698" s="10"/>
      <c r="AB1698" s="10"/>
      <c r="AC1698" s="10"/>
      <c r="AD1698" s="10"/>
      <c r="AE1698" s="10"/>
      <c r="AF1698" s="10"/>
    </row>
    <row r="1699">
      <c r="A1699" s="10"/>
      <c r="B1699" s="12"/>
      <c r="C1699" s="12"/>
      <c r="D1699" s="12"/>
      <c r="E1699" s="10"/>
      <c r="F1699" s="10"/>
      <c r="G1699" s="10"/>
      <c r="H1699" s="10"/>
      <c r="I1699" s="10"/>
      <c r="J1699" s="11"/>
      <c r="K1699" s="12"/>
      <c r="L1699" s="12"/>
      <c r="M1699" s="10"/>
      <c r="N1699" s="10"/>
      <c r="O1699" s="10"/>
      <c r="P1699" s="10"/>
      <c r="Q1699" s="10"/>
      <c r="R1699" s="10"/>
      <c r="S1699" s="10"/>
      <c r="T1699" s="10"/>
      <c r="U1699" s="10"/>
      <c r="V1699" s="10"/>
      <c r="W1699" s="10"/>
      <c r="X1699" s="10"/>
      <c r="Y1699" s="10"/>
      <c r="Z1699" s="10"/>
      <c r="AA1699" s="10"/>
      <c r="AB1699" s="10"/>
      <c r="AC1699" s="10"/>
      <c r="AD1699" s="10"/>
      <c r="AE1699" s="10"/>
      <c r="AF1699" s="10"/>
    </row>
    <row r="1700">
      <c r="A1700" s="7"/>
      <c r="B1700" s="8">
        <v>139.0</v>
      </c>
      <c r="C1700" s="8">
        <v>1.0</v>
      </c>
      <c r="D1700" s="8" t="s">
        <v>2371</v>
      </c>
      <c r="E1700" s="7">
        <v>0.0</v>
      </c>
      <c r="F1700" s="7"/>
      <c r="G1700" s="7" t="s">
        <v>312</v>
      </c>
      <c r="H1700" s="7" t="s">
        <v>313</v>
      </c>
      <c r="I1700" s="10"/>
      <c r="J1700" s="25"/>
      <c r="K1700" s="12"/>
      <c r="L1700" s="12"/>
      <c r="M1700" s="10"/>
      <c r="N1700" s="10"/>
      <c r="O1700" s="10"/>
      <c r="P1700" s="10"/>
      <c r="Q1700" s="10"/>
      <c r="R1700" s="10"/>
      <c r="S1700" s="10"/>
      <c r="T1700" s="10"/>
      <c r="U1700" s="10"/>
      <c r="V1700" s="10"/>
      <c r="W1700" s="10"/>
      <c r="X1700" s="10"/>
      <c r="Y1700" s="10"/>
      <c r="Z1700" s="10"/>
      <c r="AA1700" s="10"/>
      <c r="AB1700" s="10"/>
      <c r="AC1700" s="10"/>
      <c r="AD1700" s="10"/>
      <c r="AE1700" s="10"/>
      <c r="AF1700" s="10"/>
    </row>
    <row r="1701">
      <c r="A1701" s="7"/>
      <c r="B1701" s="8">
        <v>139.0</v>
      </c>
      <c r="C1701" s="8">
        <v>2.0</v>
      </c>
      <c r="D1701" s="8" t="s">
        <v>2372</v>
      </c>
      <c r="E1701" s="7">
        <v>0.0</v>
      </c>
      <c r="F1701" s="7"/>
      <c r="G1701" s="7" t="s">
        <v>312</v>
      </c>
      <c r="H1701" s="7" t="s">
        <v>313</v>
      </c>
      <c r="I1701" s="10"/>
      <c r="J1701" s="11"/>
      <c r="K1701" s="8" t="s">
        <v>2373</v>
      </c>
      <c r="L1701" s="12"/>
      <c r="M1701" s="10"/>
      <c r="N1701" s="10"/>
      <c r="O1701" s="10"/>
      <c r="P1701" s="10"/>
      <c r="Q1701" s="10"/>
      <c r="R1701" s="10"/>
      <c r="S1701" s="10"/>
      <c r="T1701" s="10"/>
      <c r="U1701" s="10"/>
      <c r="V1701" s="10"/>
      <c r="W1701" s="10"/>
      <c r="X1701" s="10"/>
      <c r="Y1701" s="10"/>
      <c r="Z1701" s="10"/>
      <c r="AA1701" s="10"/>
      <c r="AB1701" s="10"/>
      <c r="AC1701" s="10"/>
      <c r="AD1701" s="10"/>
      <c r="AE1701" s="10"/>
      <c r="AF1701" s="10"/>
    </row>
    <row r="1702">
      <c r="A1702" s="7"/>
      <c r="B1702" s="8">
        <v>139.0</v>
      </c>
      <c r="C1702" s="8">
        <v>3.0</v>
      </c>
      <c r="D1702" s="8" t="s">
        <v>2374</v>
      </c>
      <c r="E1702" s="7">
        <v>0.0</v>
      </c>
      <c r="F1702" s="7"/>
      <c r="G1702" s="7" t="s">
        <v>312</v>
      </c>
      <c r="H1702" s="7" t="s">
        <v>313</v>
      </c>
      <c r="I1702" s="10"/>
      <c r="J1702" s="11"/>
      <c r="K1702" s="8" t="s">
        <v>2375</v>
      </c>
      <c r="L1702" s="14" t="s">
        <v>2376</v>
      </c>
      <c r="M1702" s="10"/>
      <c r="N1702" s="10"/>
      <c r="O1702" s="10"/>
      <c r="P1702" s="10"/>
      <c r="Q1702" s="10"/>
      <c r="R1702" s="10"/>
      <c r="S1702" s="10"/>
      <c r="T1702" s="10"/>
      <c r="U1702" s="10"/>
      <c r="V1702" s="10"/>
      <c r="W1702" s="10"/>
      <c r="X1702" s="10"/>
      <c r="Y1702" s="10"/>
      <c r="Z1702" s="10"/>
      <c r="AA1702" s="10"/>
      <c r="AB1702" s="10"/>
      <c r="AC1702" s="10"/>
      <c r="AD1702" s="10"/>
      <c r="AE1702" s="10"/>
      <c r="AF1702" s="10"/>
    </row>
    <row r="1703">
      <c r="A1703" s="7"/>
      <c r="B1703" s="8">
        <v>139.0</v>
      </c>
      <c r="C1703" s="8">
        <v>4.0</v>
      </c>
      <c r="D1703" s="8" t="s">
        <v>2377</v>
      </c>
      <c r="E1703" s="7">
        <v>0.0</v>
      </c>
      <c r="F1703" s="7"/>
      <c r="G1703" s="7" t="s">
        <v>312</v>
      </c>
      <c r="H1703" s="7" t="s">
        <v>313</v>
      </c>
      <c r="I1703" s="10"/>
      <c r="J1703" s="11"/>
      <c r="K1703" s="8" t="s">
        <v>2375</v>
      </c>
      <c r="L1703" s="12"/>
      <c r="M1703" s="10"/>
      <c r="N1703" s="10"/>
      <c r="O1703" s="10"/>
      <c r="P1703" s="10"/>
      <c r="Q1703" s="10"/>
      <c r="R1703" s="10"/>
      <c r="S1703" s="10"/>
      <c r="T1703" s="10"/>
      <c r="U1703" s="10"/>
      <c r="V1703" s="10"/>
      <c r="W1703" s="10"/>
      <c r="X1703" s="10"/>
      <c r="Y1703" s="10"/>
      <c r="Z1703" s="10"/>
      <c r="AA1703" s="10"/>
      <c r="AB1703" s="10"/>
      <c r="AC1703" s="10"/>
      <c r="AD1703" s="10"/>
      <c r="AE1703" s="10"/>
      <c r="AF1703" s="10"/>
    </row>
    <row r="1704">
      <c r="A1704" s="7"/>
      <c r="B1704" s="8">
        <v>139.0</v>
      </c>
      <c r="C1704" s="8">
        <v>5.0</v>
      </c>
      <c r="D1704" s="8" t="s">
        <v>2378</v>
      </c>
      <c r="E1704" s="7">
        <v>0.0</v>
      </c>
      <c r="F1704" s="7"/>
      <c r="G1704" s="7" t="s">
        <v>312</v>
      </c>
      <c r="H1704" s="7" t="s">
        <v>313</v>
      </c>
      <c r="I1704" s="10"/>
      <c r="J1704" s="11"/>
      <c r="K1704" s="8" t="s">
        <v>2375</v>
      </c>
      <c r="L1704" s="12"/>
      <c r="M1704" s="10"/>
      <c r="N1704" s="10"/>
      <c r="O1704" s="10"/>
      <c r="P1704" s="10"/>
      <c r="Q1704" s="10"/>
      <c r="R1704" s="10"/>
      <c r="S1704" s="10"/>
      <c r="T1704" s="10"/>
      <c r="U1704" s="10"/>
      <c r="V1704" s="10"/>
      <c r="W1704" s="10"/>
      <c r="X1704" s="10"/>
      <c r="Y1704" s="10"/>
      <c r="Z1704" s="10"/>
      <c r="AA1704" s="10"/>
      <c r="AB1704" s="10"/>
      <c r="AC1704" s="10"/>
      <c r="AD1704" s="10"/>
      <c r="AE1704" s="10"/>
      <c r="AF1704" s="10"/>
    </row>
    <row r="1705">
      <c r="A1705" s="7"/>
      <c r="B1705" s="8">
        <v>139.0</v>
      </c>
      <c r="C1705" s="8">
        <v>6.0</v>
      </c>
      <c r="D1705" s="8" t="s">
        <v>2379</v>
      </c>
      <c r="E1705" s="7">
        <v>0.0</v>
      </c>
      <c r="F1705" s="7"/>
      <c r="G1705" s="7" t="s">
        <v>312</v>
      </c>
      <c r="H1705" s="7" t="s">
        <v>313</v>
      </c>
      <c r="I1705" s="10"/>
      <c r="J1705" s="11"/>
      <c r="K1705" s="8"/>
      <c r="L1705" s="12"/>
      <c r="M1705" s="10"/>
      <c r="N1705" s="10"/>
      <c r="O1705" s="10"/>
      <c r="P1705" s="10"/>
      <c r="Q1705" s="10"/>
      <c r="R1705" s="10"/>
      <c r="S1705" s="10"/>
      <c r="T1705" s="10"/>
      <c r="U1705" s="10"/>
      <c r="V1705" s="10"/>
      <c r="W1705" s="10"/>
      <c r="X1705" s="10"/>
      <c r="Y1705" s="10"/>
      <c r="Z1705" s="10"/>
      <c r="AA1705" s="10"/>
      <c r="AB1705" s="10"/>
      <c r="AC1705" s="10"/>
      <c r="AD1705" s="10"/>
      <c r="AE1705" s="10"/>
      <c r="AF1705" s="10"/>
    </row>
    <row r="1706">
      <c r="A1706" s="7"/>
      <c r="B1706" s="8">
        <v>139.0</v>
      </c>
      <c r="C1706" s="8">
        <v>7.0</v>
      </c>
      <c r="D1706" s="8" t="s">
        <v>2380</v>
      </c>
      <c r="E1706" s="7">
        <v>0.0</v>
      </c>
      <c r="F1706" s="7"/>
      <c r="G1706" s="7" t="s">
        <v>312</v>
      </c>
      <c r="H1706" s="7" t="s">
        <v>313</v>
      </c>
      <c r="I1706" s="10"/>
      <c r="J1706" s="11"/>
      <c r="K1706" s="12"/>
      <c r="L1706" s="12"/>
      <c r="M1706" s="10"/>
      <c r="N1706" s="10"/>
      <c r="O1706" s="10"/>
      <c r="P1706" s="10"/>
      <c r="Q1706" s="10"/>
      <c r="R1706" s="10"/>
      <c r="S1706" s="10"/>
      <c r="T1706" s="10"/>
      <c r="U1706" s="10"/>
      <c r="V1706" s="10"/>
      <c r="W1706" s="10"/>
      <c r="X1706" s="10"/>
      <c r="Y1706" s="10"/>
      <c r="Z1706" s="10"/>
      <c r="AA1706" s="10"/>
      <c r="AB1706" s="10"/>
      <c r="AC1706" s="10"/>
      <c r="AD1706" s="10"/>
      <c r="AE1706" s="10"/>
      <c r="AF1706" s="10"/>
    </row>
    <row r="1707">
      <c r="A1707" s="7"/>
      <c r="B1707" s="8">
        <v>139.0</v>
      </c>
      <c r="C1707" s="8">
        <v>8.0</v>
      </c>
      <c r="D1707" s="8" t="s">
        <v>2381</v>
      </c>
      <c r="E1707" s="7">
        <v>0.0</v>
      </c>
      <c r="F1707" s="7"/>
      <c r="G1707" s="7" t="s">
        <v>312</v>
      </c>
      <c r="H1707" s="7" t="s">
        <v>313</v>
      </c>
      <c r="I1707" s="10"/>
      <c r="J1707" s="11"/>
      <c r="K1707" s="8" t="s">
        <v>2373</v>
      </c>
      <c r="L1707" s="12"/>
      <c r="M1707" s="10"/>
      <c r="N1707" s="10"/>
      <c r="O1707" s="10"/>
      <c r="P1707" s="10"/>
      <c r="Q1707" s="10"/>
      <c r="R1707" s="10"/>
      <c r="S1707" s="10"/>
      <c r="T1707" s="10"/>
      <c r="U1707" s="10"/>
      <c r="V1707" s="10"/>
      <c r="W1707" s="10"/>
      <c r="X1707" s="10"/>
      <c r="Y1707" s="10"/>
      <c r="Z1707" s="10"/>
      <c r="AA1707" s="10"/>
      <c r="AB1707" s="10"/>
      <c r="AC1707" s="10"/>
      <c r="AD1707" s="10"/>
      <c r="AE1707" s="10"/>
      <c r="AF1707" s="10"/>
    </row>
    <row r="1708">
      <c r="A1708" s="7"/>
      <c r="B1708" s="8">
        <v>139.0</v>
      </c>
      <c r="C1708" s="8">
        <v>9.0</v>
      </c>
      <c r="D1708" s="8" t="s">
        <v>2382</v>
      </c>
      <c r="E1708" s="7">
        <v>0.0</v>
      </c>
      <c r="F1708" s="7"/>
      <c r="G1708" s="7" t="s">
        <v>312</v>
      </c>
      <c r="H1708" s="7" t="s">
        <v>313</v>
      </c>
      <c r="I1708" s="10"/>
      <c r="J1708" s="11"/>
      <c r="K1708" s="8" t="s">
        <v>2375</v>
      </c>
      <c r="L1708" s="14" t="s">
        <v>2376</v>
      </c>
      <c r="M1708" s="10"/>
      <c r="N1708" s="10"/>
      <c r="O1708" s="10"/>
      <c r="P1708" s="10"/>
      <c r="Q1708" s="10"/>
      <c r="R1708" s="10"/>
      <c r="S1708" s="10"/>
      <c r="T1708" s="10"/>
      <c r="U1708" s="10"/>
      <c r="V1708" s="10"/>
      <c r="W1708" s="10"/>
      <c r="X1708" s="10"/>
      <c r="Y1708" s="10"/>
      <c r="Z1708" s="10"/>
      <c r="AA1708" s="10"/>
      <c r="AB1708" s="10"/>
      <c r="AC1708" s="10"/>
      <c r="AD1708" s="10"/>
      <c r="AE1708" s="10"/>
      <c r="AF1708" s="10"/>
    </row>
    <row r="1709">
      <c r="A1709" s="7"/>
      <c r="B1709" s="8">
        <v>139.0</v>
      </c>
      <c r="C1709" s="8">
        <v>10.0</v>
      </c>
      <c r="D1709" s="8" t="s">
        <v>2383</v>
      </c>
      <c r="E1709" s="7">
        <v>0.0</v>
      </c>
      <c r="F1709" s="7"/>
      <c r="G1709" s="7" t="s">
        <v>312</v>
      </c>
      <c r="H1709" s="7" t="s">
        <v>313</v>
      </c>
      <c r="I1709" s="10"/>
      <c r="J1709" s="11"/>
      <c r="K1709" s="8" t="s">
        <v>2375</v>
      </c>
      <c r="L1709" s="12"/>
      <c r="M1709" s="10"/>
      <c r="N1709" s="10"/>
      <c r="O1709" s="10"/>
      <c r="P1709" s="10"/>
      <c r="Q1709" s="10"/>
      <c r="R1709" s="10"/>
      <c r="S1709" s="10"/>
      <c r="T1709" s="10"/>
      <c r="U1709" s="10"/>
      <c r="V1709" s="10"/>
      <c r="W1709" s="10"/>
      <c r="X1709" s="10"/>
      <c r="Y1709" s="10"/>
      <c r="Z1709" s="10"/>
      <c r="AA1709" s="10"/>
      <c r="AB1709" s="10"/>
      <c r="AC1709" s="10"/>
      <c r="AD1709" s="10"/>
      <c r="AE1709" s="10"/>
      <c r="AF1709" s="10"/>
    </row>
    <row r="1710">
      <c r="A1710" s="7"/>
      <c r="B1710" s="8">
        <v>139.0</v>
      </c>
      <c r="C1710" s="8">
        <v>11.0</v>
      </c>
      <c r="D1710" s="8" t="s">
        <v>2384</v>
      </c>
      <c r="E1710" s="7">
        <v>0.0</v>
      </c>
      <c r="F1710" s="7"/>
      <c r="G1710" s="7" t="s">
        <v>312</v>
      </c>
      <c r="H1710" s="7" t="s">
        <v>313</v>
      </c>
      <c r="I1710" s="10"/>
      <c r="J1710" s="11"/>
      <c r="K1710" s="8" t="s">
        <v>2375</v>
      </c>
      <c r="L1710" s="12"/>
      <c r="M1710" s="10"/>
      <c r="N1710" s="10"/>
      <c r="O1710" s="10"/>
      <c r="P1710" s="10"/>
      <c r="Q1710" s="10"/>
      <c r="R1710" s="10"/>
      <c r="S1710" s="10"/>
      <c r="T1710" s="10"/>
      <c r="U1710" s="10"/>
      <c r="V1710" s="10"/>
      <c r="W1710" s="10"/>
      <c r="X1710" s="10"/>
      <c r="Y1710" s="10"/>
      <c r="Z1710" s="10"/>
      <c r="AA1710" s="10"/>
      <c r="AB1710" s="10"/>
      <c r="AC1710" s="10"/>
      <c r="AD1710" s="10"/>
      <c r="AE1710" s="10"/>
      <c r="AF1710" s="10"/>
    </row>
    <row r="1711">
      <c r="A1711" s="7"/>
      <c r="B1711" s="8">
        <v>139.0</v>
      </c>
      <c r="C1711" s="8">
        <v>12.0</v>
      </c>
      <c r="D1711" s="8" t="s">
        <v>2385</v>
      </c>
      <c r="E1711" s="7">
        <v>0.0</v>
      </c>
      <c r="F1711" s="7"/>
      <c r="G1711" s="7" t="s">
        <v>312</v>
      </c>
      <c r="H1711" s="7" t="s">
        <v>313</v>
      </c>
      <c r="I1711" s="10"/>
      <c r="J1711" s="11"/>
      <c r="K1711" s="8"/>
      <c r="L1711" s="12"/>
      <c r="M1711" s="10"/>
      <c r="N1711" s="10"/>
      <c r="O1711" s="10"/>
      <c r="P1711" s="10"/>
      <c r="Q1711" s="10"/>
      <c r="R1711" s="10"/>
      <c r="S1711" s="10"/>
      <c r="T1711" s="10"/>
      <c r="U1711" s="10"/>
      <c r="V1711" s="10"/>
      <c r="W1711" s="10"/>
      <c r="X1711" s="10"/>
      <c r="Y1711" s="10"/>
      <c r="Z1711" s="10"/>
      <c r="AA1711" s="10"/>
      <c r="AB1711" s="10"/>
      <c r="AC1711" s="10"/>
      <c r="AD1711" s="10"/>
      <c r="AE1711" s="10"/>
      <c r="AF1711" s="10"/>
    </row>
    <row r="1712">
      <c r="A1712" s="7"/>
      <c r="B1712" s="8">
        <v>139.0</v>
      </c>
      <c r="C1712" s="8">
        <v>13.0</v>
      </c>
      <c r="D1712" s="8" t="s">
        <v>2386</v>
      </c>
      <c r="E1712" s="7">
        <v>0.0</v>
      </c>
      <c r="F1712" s="7"/>
      <c r="G1712" s="7" t="s">
        <v>312</v>
      </c>
      <c r="H1712" s="7" t="s">
        <v>313</v>
      </c>
      <c r="I1712" s="10"/>
      <c r="J1712" s="11"/>
      <c r="K1712" s="12"/>
      <c r="L1712" s="12"/>
      <c r="M1712" s="10"/>
      <c r="N1712" s="10"/>
      <c r="O1712" s="10"/>
      <c r="P1712" s="10"/>
      <c r="Q1712" s="10"/>
      <c r="R1712" s="10"/>
      <c r="S1712" s="10"/>
      <c r="T1712" s="10"/>
      <c r="U1712" s="10"/>
      <c r="V1712" s="10"/>
      <c r="W1712" s="10"/>
      <c r="X1712" s="10"/>
      <c r="Y1712" s="10"/>
      <c r="Z1712" s="10"/>
      <c r="AA1712" s="10"/>
      <c r="AB1712" s="10"/>
      <c r="AC1712" s="10"/>
      <c r="AD1712" s="10"/>
      <c r="AE1712" s="10"/>
      <c r="AF1712" s="10"/>
    </row>
    <row r="1713">
      <c r="A1713" s="7"/>
      <c r="B1713" s="8">
        <v>139.0</v>
      </c>
      <c r="C1713" s="8">
        <v>14.0</v>
      </c>
      <c r="D1713" s="8" t="s">
        <v>2387</v>
      </c>
      <c r="E1713" s="7">
        <v>0.0</v>
      </c>
      <c r="F1713" s="7"/>
      <c r="G1713" s="7" t="s">
        <v>312</v>
      </c>
      <c r="H1713" s="7" t="s">
        <v>313</v>
      </c>
      <c r="I1713" s="10"/>
      <c r="J1713" s="11"/>
      <c r="K1713" s="8" t="s">
        <v>2388</v>
      </c>
      <c r="L1713" s="12"/>
      <c r="M1713" s="10"/>
      <c r="N1713" s="10"/>
      <c r="O1713" s="10"/>
      <c r="P1713" s="10"/>
      <c r="Q1713" s="10"/>
      <c r="R1713" s="10"/>
      <c r="S1713" s="10"/>
      <c r="T1713" s="10"/>
      <c r="U1713" s="10"/>
      <c r="V1713" s="10"/>
      <c r="W1713" s="10"/>
      <c r="X1713" s="10"/>
      <c r="Y1713" s="10"/>
      <c r="Z1713" s="10"/>
      <c r="AA1713" s="10"/>
      <c r="AB1713" s="10"/>
      <c r="AC1713" s="10"/>
      <c r="AD1713" s="10"/>
      <c r="AE1713" s="10"/>
      <c r="AF1713" s="10"/>
    </row>
    <row r="1714">
      <c r="A1714" s="7"/>
      <c r="B1714" s="8">
        <v>139.0</v>
      </c>
      <c r="C1714" s="8">
        <v>15.0</v>
      </c>
      <c r="D1714" s="8" t="s">
        <v>2389</v>
      </c>
      <c r="E1714" s="7">
        <v>0.0</v>
      </c>
      <c r="F1714" s="7"/>
      <c r="G1714" s="7" t="s">
        <v>312</v>
      </c>
      <c r="H1714" s="7" t="s">
        <v>313</v>
      </c>
      <c r="I1714" s="10"/>
      <c r="J1714" s="11"/>
      <c r="K1714" s="8" t="s">
        <v>2388</v>
      </c>
      <c r="L1714" s="12"/>
      <c r="M1714" s="10"/>
      <c r="N1714" s="10"/>
      <c r="O1714" s="10"/>
      <c r="P1714" s="10"/>
      <c r="Q1714" s="10"/>
      <c r="R1714" s="10"/>
      <c r="S1714" s="10"/>
      <c r="T1714" s="10"/>
      <c r="U1714" s="10"/>
      <c r="V1714" s="10"/>
      <c r="W1714" s="10"/>
      <c r="X1714" s="10"/>
      <c r="Y1714" s="10"/>
      <c r="Z1714" s="10"/>
      <c r="AA1714" s="10"/>
      <c r="AB1714" s="10"/>
      <c r="AC1714" s="10"/>
      <c r="AD1714" s="10"/>
      <c r="AE1714" s="10"/>
      <c r="AF1714" s="10"/>
    </row>
    <row r="1715">
      <c r="A1715" s="7"/>
      <c r="B1715" s="8">
        <v>139.0</v>
      </c>
      <c r="C1715" s="8">
        <v>16.0</v>
      </c>
      <c r="D1715" s="8" t="s">
        <v>2390</v>
      </c>
      <c r="E1715" s="7">
        <v>0.0</v>
      </c>
      <c r="F1715" s="7"/>
      <c r="G1715" s="7" t="s">
        <v>312</v>
      </c>
      <c r="H1715" s="7" t="s">
        <v>313</v>
      </c>
      <c r="I1715" s="10"/>
      <c r="J1715" s="11"/>
      <c r="K1715" s="8" t="s">
        <v>2388</v>
      </c>
      <c r="L1715" s="12"/>
      <c r="M1715" s="10"/>
      <c r="N1715" s="10"/>
      <c r="O1715" s="10"/>
      <c r="P1715" s="10"/>
      <c r="Q1715" s="10"/>
      <c r="R1715" s="10"/>
      <c r="S1715" s="10"/>
      <c r="T1715" s="10"/>
      <c r="U1715" s="10"/>
      <c r="V1715" s="10"/>
      <c r="W1715" s="10"/>
      <c r="X1715" s="10"/>
      <c r="Y1715" s="10"/>
      <c r="Z1715" s="10"/>
      <c r="AA1715" s="10"/>
      <c r="AB1715" s="10"/>
      <c r="AC1715" s="10"/>
      <c r="AD1715" s="10"/>
      <c r="AE1715" s="10"/>
      <c r="AF1715" s="10"/>
    </row>
    <row r="1716">
      <c r="A1716" s="7"/>
      <c r="B1716" s="8">
        <v>139.0</v>
      </c>
      <c r="C1716" s="8">
        <v>17.0</v>
      </c>
      <c r="D1716" s="8" t="s">
        <v>2391</v>
      </c>
      <c r="E1716" s="7">
        <v>0.0</v>
      </c>
      <c r="F1716" s="7"/>
      <c r="G1716" s="7" t="s">
        <v>312</v>
      </c>
      <c r="H1716" s="7" t="s">
        <v>313</v>
      </c>
      <c r="I1716" s="10"/>
      <c r="J1716" s="11"/>
      <c r="K1716" s="12"/>
      <c r="L1716" s="12"/>
      <c r="M1716" s="10"/>
      <c r="N1716" s="10"/>
      <c r="O1716" s="10"/>
      <c r="P1716" s="10"/>
      <c r="Q1716" s="10"/>
      <c r="R1716" s="10"/>
      <c r="S1716" s="10"/>
      <c r="T1716" s="10"/>
      <c r="U1716" s="10"/>
      <c r="V1716" s="10"/>
      <c r="W1716" s="10"/>
      <c r="X1716" s="10"/>
      <c r="Y1716" s="10"/>
      <c r="Z1716" s="10"/>
      <c r="AA1716" s="10"/>
      <c r="AB1716" s="10"/>
      <c r="AC1716" s="10"/>
      <c r="AD1716" s="10"/>
      <c r="AE1716" s="10"/>
      <c r="AF1716" s="10"/>
    </row>
    <row r="1717">
      <c r="A1717" s="7"/>
      <c r="B1717" s="8">
        <v>139.0</v>
      </c>
      <c r="C1717" s="8">
        <v>18.0</v>
      </c>
      <c r="D1717" s="8" t="s">
        <v>2392</v>
      </c>
      <c r="E1717" s="7">
        <v>0.0</v>
      </c>
      <c r="F1717" s="7"/>
      <c r="G1717" s="7" t="s">
        <v>312</v>
      </c>
      <c r="H1717" s="7" t="s">
        <v>313</v>
      </c>
      <c r="I1717" s="10"/>
      <c r="J1717" s="11"/>
      <c r="K1717" s="12"/>
      <c r="L1717" s="12"/>
      <c r="M1717" s="10"/>
      <c r="N1717" s="10"/>
      <c r="O1717" s="10"/>
      <c r="P1717" s="10"/>
      <c r="Q1717" s="10"/>
      <c r="R1717" s="10"/>
      <c r="S1717" s="10"/>
      <c r="T1717" s="10"/>
      <c r="U1717" s="10"/>
      <c r="V1717" s="10"/>
      <c r="W1717" s="10"/>
      <c r="X1717" s="10"/>
      <c r="Y1717" s="10"/>
      <c r="Z1717" s="10"/>
      <c r="AA1717" s="10"/>
      <c r="AB1717" s="10"/>
      <c r="AC1717" s="10"/>
      <c r="AD1717" s="10"/>
      <c r="AE1717" s="10"/>
      <c r="AF1717" s="10"/>
    </row>
    <row r="1718">
      <c r="A1718" s="7"/>
      <c r="B1718" s="8">
        <v>139.0</v>
      </c>
      <c r="C1718" s="8">
        <v>19.0</v>
      </c>
      <c r="D1718" s="8" t="s">
        <v>2393</v>
      </c>
      <c r="E1718" s="7">
        <v>0.0</v>
      </c>
      <c r="F1718" s="7"/>
      <c r="G1718" s="7" t="s">
        <v>312</v>
      </c>
      <c r="H1718" s="7" t="s">
        <v>313</v>
      </c>
      <c r="I1718" s="10"/>
      <c r="J1718" s="11"/>
      <c r="K1718" s="12"/>
      <c r="L1718" s="14" t="s">
        <v>2376</v>
      </c>
      <c r="M1718" s="10"/>
      <c r="N1718" s="10"/>
      <c r="O1718" s="10"/>
      <c r="P1718" s="10"/>
      <c r="Q1718" s="10"/>
      <c r="R1718" s="10"/>
      <c r="S1718" s="10"/>
      <c r="T1718" s="10"/>
      <c r="U1718" s="10"/>
      <c r="V1718" s="10"/>
      <c r="W1718" s="10"/>
      <c r="X1718" s="10"/>
      <c r="Y1718" s="10"/>
      <c r="Z1718" s="10"/>
      <c r="AA1718" s="10"/>
      <c r="AB1718" s="10"/>
      <c r="AC1718" s="10"/>
      <c r="AD1718" s="10"/>
      <c r="AE1718" s="10"/>
      <c r="AF1718" s="10"/>
    </row>
    <row r="1719">
      <c r="A1719" s="7"/>
      <c r="B1719" s="8">
        <v>139.0</v>
      </c>
      <c r="C1719" s="8">
        <v>20.0</v>
      </c>
      <c r="D1719" s="8" t="s">
        <v>2394</v>
      </c>
      <c r="E1719" s="7">
        <v>0.0</v>
      </c>
      <c r="F1719" s="7"/>
      <c r="G1719" s="7" t="s">
        <v>312</v>
      </c>
      <c r="H1719" s="7" t="s">
        <v>313</v>
      </c>
      <c r="I1719" s="10"/>
      <c r="J1719" s="11"/>
      <c r="K1719" s="12"/>
      <c r="L1719" s="14" t="s">
        <v>2376</v>
      </c>
      <c r="M1719" s="10"/>
      <c r="N1719" s="10"/>
      <c r="O1719" s="10"/>
      <c r="P1719" s="10"/>
      <c r="Q1719" s="10"/>
      <c r="R1719" s="10"/>
      <c r="S1719" s="10"/>
      <c r="T1719" s="10"/>
      <c r="U1719" s="10"/>
      <c r="V1719" s="10"/>
      <c r="W1719" s="10"/>
      <c r="X1719" s="10"/>
      <c r="Y1719" s="10"/>
      <c r="Z1719" s="10"/>
      <c r="AA1719" s="10"/>
      <c r="AB1719" s="10"/>
      <c r="AC1719" s="10"/>
      <c r="AD1719" s="10"/>
      <c r="AE1719" s="10"/>
      <c r="AF1719" s="10"/>
    </row>
    <row r="1720">
      <c r="A1720" s="7"/>
      <c r="B1720" s="8">
        <v>139.0</v>
      </c>
      <c r="C1720" s="8">
        <v>21.0</v>
      </c>
      <c r="D1720" s="8" t="s">
        <v>2395</v>
      </c>
      <c r="E1720" s="7">
        <v>0.0</v>
      </c>
      <c r="F1720" s="7"/>
      <c r="G1720" s="7" t="s">
        <v>312</v>
      </c>
      <c r="H1720" s="7" t="s">
        <v>313</v>
      </c>
      <c r="I1720" s="10"/>
      <c r="J1720" s="11"/>
      <c r="K1720" s="8" t="s">
        <v>2396</v>
      </c>
      <c r="L1720" s="14" t="s">
        <v>2376</v>
      </c>
      <c r="M1720" s="10"/>
      <c r="N1720" s="10"/>
      <c r="O1720" s="10"/>
      <c r="P1720" s="10"/>
      <c r="Q1720" s="10"/>
      <c r="R1720" s="10"/>
      <c r="S1720" s="10"/>
      <c r="T1720" s="10"/>
      <c r="U1720" s="10"/>
      <c r="V1720" s="10"/>
      <c r="W1720" s="10"/>
      <c r="X1720" s="10"/>
      <c r="Y1720" s="10"/>
      <c r="Z1720" s="10"/>
      <c r="AA1720" s="10"/>
      <c r="AB1720" s="10"/>
      <c r="AC1720" s="10"/>
      <c r="AD1720" s="10"/>
      <c r="AE1720" s="10"/>
      <c r="AF1720" s="10"/>
    </row>
    <row r="1721">
      <c r="A1721" s="7"/>
      <c r="B1721" s="8">
        <v>139.0</v>
      </c>
      <c r="C1721" s="8">
        <v>22.0</v>
      </c>
      <c r="D1721" s="8" t="s">
        <v>2397</v>
      </c>
      <c r="E1721" s="7">
        <v>0.0</v>
      </c>
      <c r="F1721" s="7"/>
      <c r="G1721" s="7" t="s">
        <v>312</v>
      </c>
      <c r="H1721" s="7" t="s">
        <v>313</v>
      </c>
      <c r="I1721" s="10"/>
      <c r="J1721" s="11"/>
      <c r="K1721" s="8" t="s">
        <v>2396</v>
      </c>
      <c r="L1721" s="14" t="s">
        <v>2376</v>
      </c>
      <c r="M1721" s="10"/>
      <c r="N1721" s="10"/>
      <c r="O1721" s="10"/>
      <c r="P1721" s="10"/>
      <c r="Q1721" s="10"/>
      <c r="R1721" s="10"/>
      <c r="S1721" s="10"/>
      <c r="T1721" s="10"/>
      <c r="U1721" s="10"/>
      <c r="V1721" s="10"/>
      <c r="W1721" s="10"/>
      <c r="X1721" s="10"/>
      <c r="Y1721" s="10"/>
      <c r="Z1721" s="10"/>
      <c r="AA1721" s="10"/>
      <c r="AB1721" s="10"/>
      <c r="AC1721" s="10"/>
      <c r="AD1721" s="10"/>
      <c r="AE1721" s="10"/>
      <c r="AF1721" s="10"/>
    </row>
    <row r="1722">
      <c r="A1722" s="7"/>
      <c r="B1722" s="8">
        <v>139.0</v>
      </c>
      <c r="C1722" s="8">
        <v>23.0</v>
      </c>
      <c r="D1722" s="8" t="s">
        <v>2398</v>
      </c>
      <c r="E1722" s="7">
        <v>0.0</v>
      </c>
      <c r="F1722" s="7"/>
      <c r="G1722" s="7" t="s">
        <v>312</v>
      </c>
      <c r="H1722" s="7" t="s">
        <v>313</v>
      </c>
      <c r="I1722" s="10"/>
      <c r="J1722" s="11"/>
      <c r="K1722" s="12"/>
      <c r="L1722" s="12"/>
      <c r="M1722" s="10"/>
      <c r="N1722" s="10"/>
      <c r="O1722" s="10"/>
      <c r="P1722" s="10"/>
      <c r="Q1722" s="10"/>
      <c r="R1722" s="10"/>
      <c r="S1722" s="10"/>
      <c r="T1722" s="10"/>
      <c r="U1722" s="10"/>
      <c r="V1722" s="10"/>
      <c r="W1722" s="10"/>
      <c r="X1722" s="10"/>
      <c r="Y1722" s="10"/>
      <c r="Z1722" s="10"/>
      <c r="AA1722" s="10"/>
      <c r="AB1722" s="10"/>
      <c r="AC1722" s="10"/>
      <c r="AD1722" s="10"/>
      <c r="AE1722" s="10"/>
      <c r="AF1722" s="10"/>
    </row>
    <row r="1723">
      <c r="A1723" s="7"/>
      <c r="B1723" s="8">
        <v>139.0</v>
      </c>
      <c r="C1723" s="8">
        <v>24.0</v>
      </c>
      <c r="D1723" s="8" t="s">
        <v>2399</v>
      </c>
      <c r="E1723" s="7">
        <v>2.0</v>
      </c>
      <c r="F1723" s="7"/>
      <c r="G1723" s="7" t="s">
        <v>312</v>
      </c>
      <c r="H1723" s="7" t="s">
        <v>313</v>
      </c>
      <c r="I1723" s="10"/>
      <c r="J1723" s="9" t="s">
        <v>2400</v>
      </c>
      <c r="K1723" s="8" t="s">
        <v>2396</v>
      </c>
      <c r="L1723" s="12"/>
      <c r="M1723" s="10"/>
      <c r="N1723" s="10"/>
      <c r="O1723" s="10"/>
      <c r="P1723" s="10"/>
      <c r="Q1723" s="10"/>
      <c r="R1723" s="10"/>
      <c r="S1723" s="10"/>
      <c r="T1723" s="10"/>
      <c r="U1723" s="10"/>
      <c r="V1723" s="10"/>
      <c r="W1723" s="10"/>
      <c r="X1723" s="10"/>
      <c r="Y1723" s="10"/>
      <c r="Z1723" s="10"/>
      <c r="AA1723" s="10"/>
      <c r="AB1723" s="10"/>
      <c r="AC1723" s="10"/>
      <c r="AD1723" s="10"/>
      <c r="AE1723" s="10"/>
      <c r="AF1723" s="10"/>
    </row>
    <row r="1724">
      <c r="A1724" s="7"/>
      <c r="B1724" s="8">
        <v>139.0</v>
      </c>
      <c r="C1724" s="8">
        <v>25.0</v>
      </c>
      <c r="D1724" s="8" t="s">
        <v>2401</v>
      </c>
      <c r="E1724" s="7">
        <v>2.0</v>
      </c>
      <c r="F1724" s="7"/>
      <c r="G1724" s="7" t="s">
        <v>312</v>
      </c>
      <c r="H1724" s="7" t="s">
        <v>313</v>
      </c>
      <c r="I1724" s="10"/>
      <c r="J1724" s="11"/>
      <c r="K1724" s="8" t="s">
        <v>2396</v>
      </c>
      <c r="L1724" s="12"/>
      <c r="M1724" s="10"/>
      <c r="N1724" s="10"/>
      <c r="O1724" s="10"/>
      <c r="P1724" s="10"/>
      <c r="Q1724" s="10"/>
      <c r="R1724" s="10"/>
      <c r="S1724" s="10"/>
      <c r="T1724" s="10"/>
      <c r="U1724" s="10"/>
      <c r="V1724" s="10"/>
      <c r="W1724" s="10"/>
      <c r="X1724" s="10"/>
      <c r="Y1724" s="10"/>
      <c r="Z1724" s="10"/>
      <c r="AA1724" s="10"/>
      <c r="AB1724" s="10"/>
      <c r="AC1724" s="10"/>
      <c r="AD1724" s="10"/>
      <c r="AE1724" s="10"/>
      <c r="AF1724" s="10"/>
    </row>
    <row r="1725">
      <c r="A1725" s="7"/>
      <c r="B1725" s="8">
        <v>139.0</v>
      </c>
      <c r="C1725" s="8">
        <v>26.0</v>
      </c>
      <c r="D1725" s="8" t="s">
        <v>2402</v>
      </c>
      <c r="E1725" s="7">
        <v>2.0</v>
      </c>
      <c r="F1725" s="7"/>
      <c r="G1725" s="7" t="s">
        <v>312</v>
      </c>
      <c r="H1725" s="7" t="s">
        <v>313</v>
      </c>
      <c r="I1725" s="10"/>
      <c r="J1725" s="11"/>
      <c r="K1725" s="8" t="s">
        <v>2396</v>
      </c>
      <c r="L1725" s="12"/>
      <c r="M1725" s="10"/>
      <c r="N1725" s="10"/>
      <c r="O1725" s="10"/>
      <c r="P1725" s="10"/>
      <c r="Q1725" s="10"/>
      <c r="R1725" s="10"/>
      <c r="S1725" s="10"/>
      <c r="T1725" s="10"/>
      <c r="U1725" s="10"/>
      <c r="V1725" s="10"/>
      <c r="W1725" s="10"/>
      <c r="X1725" s="10"/>
      <c r="Y1725" s="10"/>
      <c r="Z1725" s="10"/>
      <c r="AA1725" s="10"/>
      <c r="AB1725" s="10"/>
      <c r="AC1725" s="10"/>
      <c r="AD1725" s="10"/>
      <c r="AE1725" s="10"/>
      <c r="AF1725" s="10"/>
    </row>
    <row r="1726">
      <c r="A1726" s="7"/>
      <c r="B1726" s="8">
        <v>139.0</v>
      </c>
      <c r="C1726" s="8">
        <v>27.0</v>
      </c>
      <c r="D1726" s="8" t="s">
        <v>2403</v>
      </c>
      <c r="E1726" s="7">
        <v>2.0</v>
      </c>
      <c r="F1726" s="7"/>
      <c r="G1726" s="7" t="s">
        <v>312</v>
      </c>
      <c r="H1726" s="7" t="s">
        <v>313</v>
      </c>
      <c r="I1726" s="10"/>
      <c r="J1726" s="11"/>
      <c r="K1726" s="8" t="s">
        <v>2396</v>
      </c>
      <c r="L1726" s="12"/>
      <c r="M1726" s="10"/>
      <c r="N1726" s="10"/>
      <c r="O1726" s="10"/>
      <c r="P1726" s="10"/>
      <c r="Q1726" s="10"/>
      <c r="R1726" s="10"/>
      <c r="S1726" s="10"/>
      <c r="T1726" s="10"/>
      <c r="U1726" s="10"/>
      <c r="V1726" s="10"/>
      <c r="W1726" s="10"/>
      <c r="X1726" s="10"/>
      <c r="Y1726" s="10"/>
      <c r="Z1726" s="10"/>
      <c r="AA1726" s="10"/>
      <c r="AB1726" s="10"/>
      <c r="AC1726" s="10"/>
      <c r="AD1726" s="10"/>
      <c r="AE1726" s="10"/>
      <c r="AF1726" s="10"/>
    </row>
    <row r="1727">
      <c r="A1727" s="7"/>
      <c r="B1727" s="8">
        <v>139.0</v>
      </c>
      <c r="C1727" s="8">
        <v>28.0</v>
      </c>
      <c r="D1727" s="8" t="s">
        <v>2404</v>
      </c>
      <c r="E1727" s="7">
        <v>0.0</v>
      </c>
      <c r="F1727" s="7"/>
      <c r="G1727" s="7" t="s">
        <v>312</v>
      </c>
      <c r="H1727" s="7" t="s">
        <v>313</v>
      </c>
      <c r="I1727" s="10"/>
      <c r="J1727" s="11"/>
      <c r="K1727" s="12"/>
      <c r="L1727" s="12"/>
      <c r="M1727" s="10"/>
      <c r="N1727" s="10"/>
      <c r="O1727" s="10"/>
      <c r="P1727" s="10"/>
      <c r="Q1727" s="10"/>
      <c r="R1727" s="10"/>
      <c r="S1727" s="10"/>
      <c r="T1727" s="10"/>
      <c r="U1727" s="10"/>
      <c r="V1727" s="10"/>
      <c r="W1727" s="10"/>
      <c r="X1727" s="10"/>
      <c r="Y1727" s="10"/>
      <c r="Z1727" s="10"/>
      <c r="AA1727" s="10"/>
      <c r="AB1727" s="10"/>
      <c r="AC1727" s="10"/>
      <c r="AD1727" s="10"/>
      <c r="AE1727" s="10"/>
      <c r="AF1727" s="10"/>
    </row>
    <row r="1728">
      <c r="A1728" s="10"/>
      <c r="B1728" s="12"/>
      <c r="C1728" s="12"/>
      <c r="D1728" s="12"/>
      <c r="E1728" s="10"/>
      <c r="F1728" s="10"/>
      <c r="G1728" s="10"/>
      <c r="H1728" s="7"/>
      <c r="I1728" s="10"/>
      <c r="J1728" s="11"/>
      <c r="K1728" s="12"/>
      <c r="L1728" s="12"/>
      <c r="M1728" s="10"/>
      <c r="N1728" s="10"/>
      <c r="O1728" s="10"/>
      <c r="P1728" s="10"/>
      <c r="Q1728" s="10"/>
      <c r="R1728" s="10"/>
      <c r="S1728" s="10"/>
      <c r="T1728" s="10"/>
      <c r="U1728" s="10"/>
      <c r="V1728" s="10"/>
      <c r="W1728" s="10"/>
      <c r="X1728" s="10"/>
      <c r="Y1728" s="10"/>
      <c r="Z1728" s="10"/>
      <c r="AA1728" s="10"/>
      <c r="AB1728" s="10"/>
      <c r="AC1728" s="10"/>
      <c r="AD1728" s="10"/>
      <c r="AE1728" s="10"/>
      <c r="AF1728" s="10"/>
    </row>
    <row r="1729">
      <c r="A1729" s="7"/>
      <c r="B1729" s="8">
        <v>140.0</v>
      </c>
      <c r="C1729" s="8">
        <v>1.0</v>
      </c>
      <c r="D1729" s="8" t="s">
        <v>2405</v>
      </c>
      <c r="E1729" s="7">
        <v>0.0</v>
      </c>
      <c r="F1729" s="7"/>
      <c r="G1729" s="7" t="s">
        <v>312</v>
      </c>
      <c r="H1729" s="7" t="s">
        <v>313</v>
      </c>
      <c r="I1729" s="10"/>
      <c r="J1729" s="25"/>
      <c r="K1729" s="8" t="s">
        <v>2406</v>
      </c>
      <c r="L1729" s="12"/>
      <c r="M1729" s="10"/>
      <c r="N1729" s="10"/>
      <c r="O1729" s="10"/>
      <c r="P1729" s="10"/>
      <c r="Q1729" s="10"/>
      <c r="R1729" s="10"/>
      <c r="S1729" s="10"/>
      <c r="T1729" s="10"/>
      <c r="U1729" s="10"/>
      <c r="V1729" s="10"/>
      <c r="W1729" s="10"/>
      <c r="X1729" s="10"/>
      <c r="Y1729" s="10"/>
      <c r="Z1729" s="10"/>
      <c r="AA1729" s="10"/>
      <c r="AB1729" s="10"/>
      <c r="AC1729" s="10"/>
      <c r="AD1729" s="10"/>
      <c r="AE1729" s="10"/>
      <c r="AF1729" s="10"/>
    </row>
    <row r="1730">
      <c r="A1730" s="7"/>
      <c r="B1730" s="8">
        <v>140.0</v>
      </c>
      <c r="C1730" s="8">
        <v>2.0</v>
      </c>
      <c r="D1730" s="8" t="s">
        <v>2407</v>
      </c>
      <c r="E1730" s="7">
        <v>0.0</v>
      </c>
      <c r="F1730" s="7"/>
      <c r="G1730" s="7" t="s">
        <v>312</v>
      </c>
      <c r="H1730" s="7" t="s">
        <v>313</v>
      </c>
      <c r="I1730" s="10"/>
      <c r="J1730" s="25"/>
      <c r="K1730" s="12"/>
      <c r="L1730" s="12"/>
      <c r="M1730" s="10"/>
      <c r="N1730" s="10"/>
      <c r="O1730" s="10"/>
      <c r="P1730" s="10"/>
      <c r="Q1730" s="10"/>
      <c r="R1730" s="10"/>
      <c r="S1730" s="10"/>
      <c r="T1730" s="10"/>
      <c r="U1730" s="10"/>
      <c r="V1730" s="10"/>
      <c r="W1730" s="10"/>
      <c r="X1730" s="10"/>
      <c r="Y1730" s="10"/>
      <c r="Z1730" s="10"/>
      <c r="AA1730" s="10"/>
      <c r="AB1730" s="10"/>
      <c r="AC1730" s="10"/>
      <c r="AD1730" s="10"/>
      <c r="AE1730" s="10"/>
      <c r="AF1730" s="10"/>
    </row>
    <row r="1731">
      <c r="A1731" s="7"/>
      <c r="B1731" s="8">
        <v>140.0</v>
      </c>
      <c r="C1731" s="8">
        <v>3.0</v>
      </c>
      <c r="D1731" s="8" t="s">
        <v>2408</v>
      </c>
      <c r="E1731" s="7">
        <v>0.0</v>
      </c>
      <c r="F1731" s="7"/>
      <c r="G1731" s="7" t="s">
        <v>312</v>
      </c>
      <c r="H1731" s="7" t="s">
        <v>313</v>
      </c>
      <c r="I1731" s="10"/>
      <c r="J1731" s="11"/>
      <c r="K1731" s="12"/>
      <c r="L1731" s="12"/>
      <c r="M1731" s="10"/>
      <c r="N1731" s="10"/>
      <c r="O1731" s="10"/>
      <c r="P1731" s="10"/>
      <c r="Q1731" s="10"/>
      <c r="R1731" s="10"/>
      <c r="S1731" s="10"/>
      <c r="T1731" s="10"/>
      <c r="U1731" s="10"/>
      <c r="V1731" s="10"/>
      <c r="W1731" s="10"/>
      <c r="X1731" s="10"/>
      <c r="Y1731" s="10"/>
      <c r="Z1731" s="10"/>
      <c r="AA1731" s="10"/>
      <c r="AB1731" s="10"/>
      <c r="AC1731" s="10"/>
      <c r="AD1731" s="10"/>
      <c r="AE1731" s="10"/>
      <c r="AF1731" s="10"/>
    </row>
    <row r="1732">
      <c r="A1732" s="7"/>
      <c r="B1732" s="8">
        <v>140.0</v>
      </c>
      <c r="C1732" s="8">
        <v>4.0</v>
      </c>
      <c r="D1732" s="8" t="s">
        <v>2409</v>
      </c>
      <c r="E1732" s="7">
        <v>0.0</v>
      </c>
      <c r="F1732" s="7"/>
      <c r="G1732" s="7" t="s">
        <v>312</v>
      </c>
      <c r="H1732" s="7" t="s">
        <v>313</v>
      </c>
      <c r="I1732" s="10"/>
      <c r="J1732" s="11"/>
      <c r="K1732" s="12"/>
      <c r="L1732" s="12"/>
      <c r="M1732" s="10"/>
      <c r="N1732" s="10"/>
      <c r="O1732" s="10"/>
      <c r="P1732" s="10"/>
      <c r="Q1732" s="10"/>
      <c r="R1732" s="10"/>
      <c r="S1732" s="10"/>
      <c r="T1732" s="10"/>
      <c r="U1732" s="10"/>
      <c r="V1732" s="10"/>
      <c r="W1732" s="10"/>
      <c r="X1732" s="10"/>
      <c r="Y1732" s="10"/>
      <c r="Z1732" s="10"/>
      <c r="AA1732" s="10"/>
      <c r="AB1732" s="10"/>
      <c r="AC1732" s="10"/>
      <c r="AD1732" s="10"/>
      <c r="AE1732" s="10"/>
      <c r="AF1732" s="10"/>
    </row>
    <row r="1733">
      <c r="A1733" s="7"/>
      <c r="B1733" s="8">
        <v>140.0</v>
      </c>
      <c r="C1733" s="8">
        <v>5.0</v>
      </c>
      <c r="D1733" s="8" t="s">
        <v>2410</v>
      </c>
      <c r="E1733" s="7">
        <v>0.0</v>
      </c>
      <c r="F1733" s="7"/>
      <c r="G1733" s="7" t="s">
        <v>312</v>
      </c>
      <c r="H1733" s="7" t="s">
        <v>313</v>
      </c>
      <c r="I1733" s="10"/>
      <c r="J1733" s="11"/>
      <c r="K1733" s="12"/>
      <c r="L1733" s="12"/>
      <c r="M1733" s="10"/>
      <c r="N1733" s="10"/>
      <c r="O1733" s="10"/>
      <c r="P1733" s="10"/>
      <c r="Q1733" s="10"/>
      <c r="R1733" s="10"/>
      <c r="S1733" s="10"/>
      <c r="T1733" s="10"/>
      <c r="U1733" s="10"/>
      <c r="V1733" s="10"/>
      <c r="W1733" s="10"/>
      <c r="X1733" s="10"/>
      <c r="Y1733" s="10"/>
      <c r="Z1733" s="10"/>
      <c r="AA1733" s="10"/>
      <c r="AB1733" s="10"/>
      <c r="AC1733" s="10"/>
      <c r="AD1733" s="10"/>
      <c r="AE1733" s="10"/>
      <c r="AF1733" s="10"/>
    </row>
    <row r="1734">
      <c r="A1734" s="7"/>
      <c r="B1734" s="8">
        <v>140.0</v>
      </c>
      <c r="C1734" s="8">
        <v>6.0</v>
      </c>
      <c r="D1734" s="8" t="s">
        <v>2411</v>
      </c>
      <c r="E1734" s="7">
        <v>0.0</v>
      </c>
      <c r="F1734" s="7"/>
      <c r="G1734" s="7" t="s">
        <v>312</v>
      </c>
      <c r="H1734" s="7" t="s">
        <v>313</v>
      </c>
      <c r="I1734" s="10"/>
      <c r="J1734" s="11"/>
      <c r="K1734" s="12"/>
      <c r="L1734" s="12"/>
      <c r="M1734" s="10"/>
      <c r="N1734" s="10"/>
      <c r="O1734" s="10"/>
      <c r="P1734" s="10"/>
      <c r="Q1734" s="10"/>
      <c r="R1734" s="10"/>
      <c r="S1734" s="10"/>
      <c r="T1734" s="10"/>
      <c r="U1734" s="10"/>
      <c r="V1734" s="10"/>
      <c r="W1734" s="10"/>
      <c r="X1734" s="10"/>
      <c r="Y1734" s="10"/>
      <c r="Z1734" s="10"/>
      <c r="AA1734" s="10"/>
      <c r="AB1734" s="10"/>
      <c r="AC1734" s="10"/>
      <c r="AD1734" s="10"/>
      <c r="AE1734" s="10"/>
      <c r="AF1734" s="10"/>
    </row>
    <row r="1735">
      <c r="A1735" s="7"/>
      <c r="B1735" s="8">
        <v>140.0</v>
      </c>
      <c r="C1735" s="8">
        <v>7.0</v>
      </c>
      <c r="D1735" s="8" t="s">
        <v>2412</v>
      </c>
      <c r="E1735" s="7">
        <v>0.0</v>
      </c>
      <c r="F1735" s="7"/>
      <c r="G1735" s="7" t="s">
        <v>312</v>
      </c>
      <c r="H1735" s="7" t="s">
        <v>313</v>
      </c>
      <c r="I1735" s="10"/>
      <c r="J1735" s="11"/>
      <c r="K1735" s="12"/>
      <c r="L1735" s="12"/>
      <c r="M1735" s="10"/>
      <c r="N1735" s="10"/>
      <c r="O1735" s="10"/>
      <c r="P1735" s="10"/>
      <c r="Q1735" s="10"/>
      <c r="R1735" s="10"/>
      <c r="S1735" s="10"/>
      <c r="T1735" s="10"/>
      <c r="U1735" s="10"/>
      <c r="V1735" s="10"/>
      <c r="W1735" s="10"/>
      <c r="X1735" s="10"/>
      <c r="Y1735" s="10"/>
      <c r="Z1735" s="10"/>
      <c r="AA1735" s="10"/>
      <c r="AB1735" s="10"/>
      <c r="AC1735" s="10"/>
      <c r="AD1735" s="10"/>
      <c r="AE1735" s="10"/>
      <c r="AF1735" s="10"/>
    </row>
    <row r="1736">
      <c r="A1736" s="7"/>
      <c r="B1736" s="8">
        <v>140.0</v>
      </c>
      <c r="C1736" s="8">
        <v>8.0</v>
      </c>
      <c r="D1736" s="8" t="s">
        <v>2413</v>
      </c>
      <c r="E1736" s="7">
        <v>0.0</v>
      </c>
      <c r="F1736" s="7"/>
      <c r="G1736" s="7" t="s">
        <v>312</v>
      </c>
      <c r="H1736" s="7" t="s">
        <v>313</v>
      </c>
      <c r="I1736" s="10"/>
      <c r="J1736" s="11"/>
      <c r="K1736" s="12"/>
      <c r="L1736" s="12"/>
      <c r="M1736" s="10"/>
      <c r="N1736" s="10"/>
      <c r="O1736" s="10"/>
      <c r="P1736" s="10"/>
      <c r="Q1736" s="10"/>
      <c r="R1736" s="10"/>
      <c r="S1736" s="10"/>
      <c r="T1736" s="10"/>
      <c r="U1736" s="10"/>
      <c r="V1736" s="10"/>
      <c r="W1736" s="10"/>
      <c r="X1736" s="10"/>
      <c r="Y1736" s="10"/>
      <c r="Z1736" s="10"/>
      <c r="AA1736" s="10"/>
      <c r="AB1736" s="10"/>
      <c r="AC1736" s="10"/>
      <c r="AD1736" s="10"/>
      <c r="AE1736" s="10"/>
      <c r="AF1736" s="10"/>
    </row>
    <row r="1737">
      <c r="A1737" s="7"/>
      <c r="B1737" s="8">
        <v>140.0</v>
      </c>
      <c r="C1737" s="8">
        <v>9.0</v>
      </c>
      <c r="D1737" s="8" t="s">
        <v>2414</v>
      </c>
      <c r="E1737" s="7">
        <v>0.0</v>
      </c>
      <c r="F1737" s="7"/>
      <c r="G1737" s="7" t="s">
        <v>312</v>
      </c>
      <c r="H1737" s="7" t="s">
        <v>313</v>
      </c>
      <c r="I1737" s="10"/>
      <c r="J1737" s="11"/>
      <c r="K1737" s="12"/>
      <c r="L1737" s="12"/>
      <c r="M1737" s="10"/>
      <c r="N1737" s="10"/>
      <c r="O1737" s="10"/>
      <c r="P1737" s="10"/>
      <c r="Q1737" s="10"/>
      <c r="R1737" s="10"/>
      <c r="S1737" s="10"/>
      <c r="T1737" s="10"/>
      <c r="U1737" s="10"/>
      <c r="V1737" s="10"/>
      <c r="W1737" s="10"/>
      <c r="X1737" s="10"/>
      <c r="Y1737" s="10"/>
      <c r="Z1737" s="10"/>
      <c r="AA1737" s="10"/>
      <c r="AB1737" s="10"/>
      <c r="AC1737" s="10"/>
      <c r="AD1737" s="10"/>
      <c r="AE1737" s="10"/>
      <c r="AF1737" s="10"/>
    </row>
    <row r="1738">
      <c r="A1738" s="7"/>
      <c r="B1738" s="8">
        <v>140.0</v>
      </c>
      <c r="C1738" s="8">
        <v>10.0</v>
      </c>
      <c r="D1738" s="8" t="s">
        <v>2415</v>
      </c>
      <c r="E1738" s="7">
        <v>2.0</v>
      </c>
      <c r="F1738" s="7"/>
      <c r="G1738" s="7" t="s">
        <v>312</v>
      </c>
      <c r="H1738" s="7" t="s">
        <v>313</v>
      </c>
      <c r="I1738" s="7" t="s">
        <v>366</v>
      </c>
      <c r="J1738" s="9" t="s">
        <v>2416</v>
      </c>
      <c r="K1738" s="8" t="s">
        <v>2417</v>
      </c>
      <c r="L1738" s="12"/>
      <c r="M1738" s="10"/>
      <c r="N1738" s="10"/>
      <c r="O1738" s="10"/>
      <c r="P1738" s="10"/>
      <c r="Q1738" s="10"/>
      <c r="R1738" s="10"/>
      <c r="S1738" s="10"/>
      <c r="T1738" s="10"/>
      <c r="U1738" s="10"/>
      <c r="V1738" s="10"/>
      <c r="W1738" s="10"/>
      <c r="X1738" s="10"/>
      <c r="Y1738" s="10"/>
      <c r="Z1738" s="10"/>
      <c r="AA1738" s="10"/>
      <c r="AB1738" s="10"/>
      <c r="AC1738" s="10"/>
      <c r="AD1738" s="10"/>
      <c r="AE1738" s="10"/>
      <c r="AF1738" s="10"/>
    </row>
    <row r="1739">
      <c r="A1739" s="7"/>
      <c r="B1739" s="8">
        <v>140.0</v>
      </c>
      <c r="C1739" s="8">
        <v>11.0</v>
      </c>
      <c r="D1739" s="8" t="s">
        <v>2418</v>
      </c>
      <c r="E1739" s="7">
        <v>2.0</v>
      </c>
      <c r="F1739" s="7" t="s">
        <v>320</v>
      </c>
      <c r="G1739" s="7" t="s">
        <v>312</v>
      </c>
      <c r="H1739" s="7" t="s">
        <v>313</v>
      </c>
      <c r="I1739" s="7" t="s">
        <v>366</v>
      </c>
      <c r="J1739" s="9" t="s">
        <v>2419</v>
      </c>
      <c r="K1739" s="12"/>
      <c r="L1739" s="12"/>
      <c r="M1739" s="10"/>
      <c r="N1739" s="10"/>
      <c r="O1739" s="10"/>
      <c r="P1739" s="10"/>
      <c r="Q1739" s="10"/>
      <c r="R1739" s="10"/>
      <c r="S1739" s="10"/>
      <c r="T1739" s="10"/>
      <c r="U1739" s="10"/>
      <c r="V1739" s="10"/>
      <c r="W1739" s="10"/>
      <c r="X1739" s="10"/>
      <c r="Y1739" s="10"/>
      <c r="Z1739" s="10"/>
      <c r="AA1739" s="10"/>
      <c r="AB1739" s="10"/>
      <c r="AC1739" s="10"/>
      <c r="AD1739" s="10"/>
      <c r="AE1739" s="10"/>
      <c r="AF1739" s="10"/>
    </row>
    <row r="1740">
      <c r="A1740" s="7"/>
      <c r="B1740" s="8">
        <v>140.0</v>
      </c>
      <c r="C1740" s="8">
        <v>12.0</v>
      </c>
      <c r="D1740" s="8" t="s">
        <v>2420</v>
      </c>
      <c r="E1740" s="7">
        <v>0.0</v>
      </c>
      <c r="F1740" s="7"/>
      <c r="G1740" s="7" t="s">
        <v>312</v>
      </c>
      <c r="H1740" s="7" t="s">
        <v>313</v>
      </c>
      <c r="I1740" s="10"/>
      <c r="J1740" s="11"/>
      <c r="K1740" s="3"/>
      <c r="L1740" s="12"/>
      <c r="M1740" s="10"/>
      <c r="N1740" s="10"/>
      <c r="O1740" s="10"/>
      <c r="P1740" s="10"/>
      <c r="Q1740" s="10"/>
      <c r="R1740" s="10"/>
      <c r="S1740" s="10"/>
      <c r="T1740" s="10"/>
      <c r="U1740" s="10"/>
      <c r="V1740" s="10"/>
      <c r="W1740" s="10"/>
      <c r="X1740" s="10"/>
      <c r="Y1740" s="10"/>
      <c r="Z1740" s="10"/>
      <c r="AA1740" s="10"/>
      <c r="AB1740" s="10"/>
      <c r="AC1740" s="10"/>
      <c r="AD1740" s="10"/>
      <c r="AE1740" s="10"/>
      <c r="AF1740" s="10"/>
    </row>
    <row r="1741">
      <c r="A1741" s="7"/>
      <c r="B1741" s="8">
        <v>140.0</v>
      </c>
      <c r="C1741" s="8">
        <v>13.0</v>
      </c>
      <c r="D1741" s="8" t="s">
        <v>2421</v>
      </c>
      <c r="E1741" s="7">
        <v>0.0</v>
      </c>
      <c r="F1741" s="7"/>
      <c r="G1741" s="7" t="s">
        <v>312</v>
      </c>
      <c r="H1741" s="7" t="s">
        <v>313</v>
      </c>
      <c r="I1741" s="10"/>
      <c r="J1741" s="11"/>
      <c r="K1741" s="8" t="s">
        <v>2422</v>
      </c>
      <c r="L1741" s="12"/>
      <c r="M1741" s="10"/>
      <c r="N1741" s="10"/>
      <c r="O1741" s="10"/>
      <c r="P1741" s="10"/>
      <c r="Q1741" s="10"/>
      <c r="R1741" s="10"/>
      <c r="S1741" s="10"/>
      <c r="T1741" s="10"/>
      <c r="U1741" s="10"/>
      <c r="V1741" s="10"/>
      <c r="W1741" s="10"/>
      <c r="X1741" s="10"/>
      <c r="Y1741" s="10"/>
      <c r="Z1741" s="10"/>
      <c r="AA1741" s="10"/>
      <c r="AB1741" s="10"/>
      <c r="AC1741" s="10"/>
      <c r="AD1741" s="10"/>
      <c r="AE1741" s="10"/>
      <c r="AF1741" s="10"/>
    </row>
    <row r="1742">
      <c r="A1742" s="7"/>
      <c r="B1742" s="8">
        <v>140.0</v>
      </c>
      <c r="C1742" s="8">
        <v>14.0</v>
      </c>
      <c r="D1742" s="8" t="s">
        <v>2423</v>
      </c>
      <c r="E1742" s="7">
        <v>2.0</v>
      </c>
      <c r="F1742" s="7" t="s">
        <v>320</v>
      </c>
      <c r="G1742" s="7" t="s">
        <v>312</v>
      </c>
      <c r="H1742" s="7" t="s">
        <v>313</v>
      </c>
      <c r="I1742" s="7" t="s">
        <v>366</v>
      </c>
      <c r="J1742" s="9" t="s">
        <v>2424</v>
      </c>
      <c r="K1742" s="12"/>
      <c r="L1742" s="12"/>
      <c r="M1742" s="10"/>
      <c r="N1742" s="10"/>
      <c r="O1742" s="10"/>
      <c r="P1742" s="10"/>
      <c r="Q1742" s="10"/>
      <c r="R1742" s="10"/>
      <c r="S1742" s="10"/>
      <c r="T1742" s="10"/>
      <c r="U1742" s="10"/>
      <c r="V1742" s="10"/>
      <c r="W1742" s="10"/>
      <c r="X1742" s="10"/>
      <c r="Y1742" s="10"/>
      <c r="Z1742" s="10"/>
      <c r="AA1742" s="10"/>
      <c r="AB1742" s="10"/>
      <c r="AC1742" s="10"/>
      <c r="AD1742" s="10"/>
      <c r="AE1742" s="10"/>
      <c r="AF1742" s="10"/>
    </row>
    <row r="1743">
      <c r="A1743" s="7"/>
      <c r="B1743" s="8">
        <v>140.0</v>
      </c>
      <c r="C1743" s="8">
        <v>15.0</v>
      </c>
      <c r="D1743" s="8" t="s">
        <v>2425</v>
      </c>
      <c r="E1743" s="7">
        <v>2.0</v>
      </c>
      <c r="F1743" s="7"/>
      <c r="G1743" s="7" t="s">
        <v>312</v>
      </c>
      <c r="H1743" s="7" t="s">
        <v>313</v>
      </c>
      <c r="I1743" s="10"/>
      <c r="J1743" s="9" t="s">
        <v>2426</v>
      </c>
      <c r="K1743" s="12"/>
      <c r="L1743" s="12"/>
      <c r="M1743" s="10"/>
      <c r="N1743" s="10"/>
      <c r="O1743" s="10"/>
      <c r="P1743" s="10"/>
      <c r="Q1743" s="10"/>
      <c r="R1743" s="10"/>
      <c r="S1743" s="10"/>
      <c r="T1743" s="10"/>
      <c r="U1743" s="10"/>
      <c r="V1743" s="10"/>
      <c r="W1743" s="10"/>
      <c r="X1743" s="10"/>
      <c r="Y1743" s="10"/>
      <c r="Z1743" s="10"/>
      <c r="AA1743" s="10"/>
      <c r="AB1743" s="10"/>
      <c r="AC1743" s="10"/>
      <c r="AD1743" s="10"/>
      <c r="AE1743" s="10"/>
      <c r="AF1743" s="10"/>
    </row>
    <row r="1744">
      <c r="A1744" s="10"/>
      <c r="B1744" s="12"/>
      <c r="C1744" s="12"/>
      <c r="D1744" s="12"/>
      <c r="E1744" s="10"/>
      <c r="F1744" s="10"/>
      <c r="G1744" s="10"/>
      <c r="H1744" s="10"/>
      <c r="I1744" s="10"/>
      <c r="J1744" s="11"/>
      <c r="K1744" s="12"/>
      <c r="L1744" s="12"/>
      <c r="M1744" s="10"/>
      <c r="N1744" s="10"/>
      <c r="O1744" s="10"/>
      <c r="P1744" s="10"/>
      <c r="Q1744" s="10"/>
      <c r="R1744" s="10"/>
      <c r="S1744" s="10"/>
      <c r="T1744" s="10"/>
      <c r="U1744" s="10"/>
      <c r="V1744" s="10"/>
      <c r="W1744" s="10"/>
      <c r="X1744" s="10"/>
      <c r="Y1744" s="10"/>
      <c r="Z1744" s="10"/>
      <c r="AA1744" s="10"/>
      <c r="AB1744" s="10"/>
      <c r="AC1744" s="10"/>
      <c r="AD1744" s="10"/>
      <c r="AE1744" s="10"/>
      <c r="AF1744" s="10"/>
    </row>
    <row r="1745">
      <c r="A1745" s="7"/>
      <c r="B1745" s="26">
        <v>141.0</v>
      </c>
      <c r="C1745" s="27">
        <v>1.0</v>
      </c>
      <c r="D1745" s="8" t="s">
        <v>2427</v>
      </c>
      <c r="E1745" s="7">
        <v>2.0</v>
      </c>
      <c r="F1745" s="7"/>
      <c r="G1745" s="7" t="s">
        <v>312</v>
      </c>
      <c r="H1745" s="7" t="s">
        <v>313</v>
      </c>
      <c r="I1745" s="10"/>
      <c r="J1745" s="9" t="s">
        <v>2428</v>
      </c>
      <c r="K1745" s="8" t="s">
        <v>2429</v>
      </c>
      <c r="L1745" s="12"/>
      <c r="M1745" s="10"/>
      <c r="N1745" s="10"/>
      <c r="O1745" s="10"/>
      <c r="P1745" s="10"/>
      <c r="Q1745" s="10"/>
      <c r="R1745" s="10"/>
      <c r="S1745" s="10"/>
      <c r="T1745" s="10"/>
      <c r="U1745" s="10"/>
      <c r="V1745" s="10"/>
      <c r="W1745" s="10"/>
      <c r="X1745" s="10"/>
      <c r="Y1745" s="10"/>
      <c r="Z1745" s="10"/>
      <c r="AA1745" s="10"/>
      <c r="AB1745" s="10"/>
      <c r="AC1745" s="10"/>
      <c r="AD1745" s="10"/>
      <c r="AE1745" s="10"/>
      <c r="AF1745" s="10"/>
    </row>
    <row r="1746">
      <c r="A1746" s="7"/>
      <c r="B1746" s="26">
        <v>141.0</v>
      </c>
      <c r="C1746" s="27">
        <v>2.0</v>
      </c>
      <c r="D1746" s="8" t="s">
        <v>2430</v>
      </c>
      <c r="E1746" s="7">
        <v>2.0</v>
      </c>
      <c r="F1746" s="7"/>
      <c r="G1746" s="7" t="s">
        <v>312</v>
      </c>
      <c r="H1746" s="7" t="s">
        <v>313</v>
      </c>
      <c r="I1746" s="10"/>
      <c r="J1746" s="11"/>
      <c r="K1746" s="8" t="s">
        <v>2429</v>
      </c>
      <c r="L1746" s="12"/>
      <c r="M1746" s="10"/>
      <c r="N1746" s="10"/>
      <c r="O1746" s="10"/>
      <c r="P1746" s="10"/>
      <c r="Q1746" s="10"/>
      <c r="R1746" s="10"/>
      <c r="S1746" s="10"/>
      <c r="T1746" s="10"/>
      <c r="U1746" s="10"/>
      <c r="V1746" s="10"/>
      <c r="W1746" s="10"/>
      <c r="X1746" s="10"/>
      <c r="Y1746" s="10"/>
      <c r="Z1746" s="10"/>
      <c r="AA1746" s="10"/>
      <c r="AB1746" s="10"/>
      <c r="AC1746" s="10"/>
      <c r="AD1746" s="10"/>
      <c r="AE1746" s="10"/>
      <c r="AF1746" s="10"/>
    </row>
    <row r="1747">
      <c r="A1747" s="7"/>
      <c r="B1747" s="26">
        <v>141.0</v>
      </c>
      <c r="C1747" s="27">
        <v>3.0</v>
      </c>
      <c r="D1747" s="8" t="s">
        <v>2431</v>
      </c>
      <c r="E1747" s="7">
        <v>0.0</v>
      </c>
      <c r="F1747" s="7"/>
      <c r="G1747" s="7" t="s">
        <v>312</v>
      </c>
      <c r="H1747" s="7" t="s">
        <v>313</v>
      </c>
      <c r="I1747" s="10"/>
      <c r="J1747" s="11"/>
      <c r="K1747" s="12"/>
      <c r="L1747" s="12"/>
      <c r="M1747" s="10"/>
      <c r="N1747" s="10"/>
      <c r="O1747" s="10"/>
      <c r="P1747" s="10"/>
      <c r="Q1747" s="10"/>
      <c r="R1747" s="10"/>
      <c r="S1747" s="10"/>
      <c r="T1747" s="10"/>
      <c r="U1747" s="10"/>
      <c r="V1747" s="10"/>
      <c r="W1747" s="10"/>
      <c r="X1747" s="10"/>
      <c r="Y1747" s="10"/>
      <c r="Z1747" s="10"/>
      <c r="AA1747" s="10"/>
      <c r="AB1747" s="10"/>
      <c r="AC1747" s="10"/>
      <c r="AD1747" s="10"/>
      <c r="AE1747" s="10"/>
      <c r="AF1747" s="10"/>
    </row>
    <row r="1748">
      <c r="A1748" s="10"/>
      <c r="B1748" s="12"/>
      <c r="C1748" s="12"/>
      <c r="D1748" s="12"/>
      <c r="E1748" s="10"/>
      <c r="F1748" s="10"/>
      <c r="G1748" s="10"/>
      <c r="H1748" s="7"/>
      <c r="I1748" s="10"/>
      <c r="J1748" s="11"/>
      <c r="K1748" s="12"/>
      <c r="L1748" s="12"/>
      <c r="M1748" s="10"/>
      <c r="N1748" s="10"/>
      <c r="O1748" s="10"/>
      <c r="P1748" s="10"/>
      <c r="Q1748" s="10"/>
      <c r="R1748" s="10"/>
      <c r="S1748" s="10"/>
      <c r="T1748" s="10"/>
      <c r="U1748" s="10"/>
      <c r="V1748" s="10"/>
      <c r="W1748" s="10"/>
      <c r="X1748" s="10"/>
      <c r="Y1748" s="10"/>
      <c r="Z1748" s="10"/>
      <c r="AA1748" s="10"/>
      <c r="AB1748" s="10"/>
      <c r="AC1748" s="10"/>
      <c r="AD1748" s="10"/>
      <c r="AE1748" s="10"/>
      <c r="AF1748" s="10"/>
    </row>
    <row r="1749">
      <c r="A1749" s="7"/>
      <c r="B1749" s="26">
        <v>142.0</v>
      </c>
      <c r="C1749" s="27">
        <v>1.0</v>
      </c>
      <c r="D1749" s="8" t="s">
        <v>2432</v>
      </c>
      <c r="E1749" s="7">
        <v>0.0</v>
      </c>
      <c r="F1749" s="7"/>
      <c r="G1749" s="7" t="s">
        <v>312</v>
      </c>
      <c r="H1749" s="7" t="s">
        <v>313</v>
      </c>
      <c r="I1749" s="10"/>
      <c r="J1749" s="25"/>
      <c r="K1749" s="12"/>
      <c r="L1749" s="12"/>
      <c r="M1749" s="10"/>
      <c r="N1749" s="10"/>
      <c r="O1749" s="10"/>
      <c r="P1749" s="10"/>
      <c r="Q1749" s="10"/>
      <c r="R1749" s="10"/>
      <c r="S1749" s="10"/>
      <c r="T1749" s="10"/>
      <c r="U1749" s="10"/>
      <c r="V1749" s="10"/>
      <c r="W1749" s="10"/>
      <c r="X1749" s="10"/>
      <c r="Y1749" s="10"/>
      <c r="Z1749" s="10"/>
      <c r="AA1749" s="10"/>
      <c r="AB1749" s="10"/>
      <c r="AC1749" s="10"/>
      <c r="AD1749" s="10"/>
      <c r="AE1749" s="10"/>
      <c r="AF1749" s="10"/>
    </row>
    <row r="1750">
      <c r="A1750" s="7"/>
      <c r="B1750" s="26">
        <v>142.0</v>
      </c>
      <c r="C1750" s="27">
        <v>2.0</v>
      </c>
      <c r="D1750" s="8" t="s">
        <v>2433</v>
      </c>
      <c r="E1750" s="7">
        <v>2.0</v>
      </c>
      <c r="F1750" s="7"/>
      <c r="G1750" s="7" t="s">
        <v>312</v>
      </c>
      <c r="H1750" s="7" t="s">
        <v>313</v>
      </c>
      <c r="I1750" s="10"/>
      <c r="J1750" s="9" t="s">
        <v>2434</v>
      </c>
      <c r="K1750" s="8" t="s">
        <v>2435</v>
      </c>
      <c r="L1750" s="12"/>
      <c r="M1750" s="10"/>
      <c r="N1750" s="10"/>
      <c r="O1750" s="10"/>
      <c r="P1750" s="10"/>
      <c r="Q1750" s="10"/>
      <c r="R1750" s="10"/>
      <c r="S1750" s="10"/>
      <c r="T1750" s="10"/>
      <c r="U1750" s="10"/>
      <c r="V1750" s="10"/>
      <c r="W1750" s="10"/>
      <c r="X1750" s="10"/>
      <c r="Y1750" s="10"/>
      <c r="Z1750" s="10"/>
      <c r="AA1750" s="10"/>
      <c r="AB1750" s="10"/>
      <c r="AC1750" s="10"/>
      <c r="AD1750" s="10"/>
      <c r="AE1750" s="10"/>
      <c r="AF1750" s="10"/>
    </row>
    <row r="1751">
      <c r="A1751" s="7"/>
      <c r="B1751" s="26">
        <v>142.0</v>
      </c>
      <c r="C1751" s="27">
        <v>3.0</v>
      </c>
      <c r="D1751" s="8" t="s">
        <v>2436</v>
      </c>
      <c r="E1751" s="7">
        <v>0.0</v>
      </c>
      <c r="F1751" s="7"/>
      <c r="G1751" s="7" t="s">
        <v>312</v>
      </c>
      <c r="H1751" s="7" t="s">
        <v>313</v>
      </c>
      <c r="I1751" s="10"/>
      <c r="J1751" s="25"/>
      <c r="K1751" s="12"/>
      <c r="L1751" s="12"/>
      <c r="M1751" s="10"/>
      <c r="N1751" s="10"/>
      <c r="O1751" s="10"/>
      <c r="P1751" s="10"/>
      <c r="Q1751" s="10"/>
      <c r="R1751" s="10"/>
      <c r="S1751" s="10"/>
      <c r="T1751" s="10"/>
      <c r="U1751" s="10"/>
      <c r="V1751" s="10"/>
      <c r="W1751" s="10"/>
      <c r="X1751" s="10"/>
      <c r="Y1751" s="10"/>
      <c r="Z1751" s="10"/>
      <c r="AA1751" s="10"/>
      <c r="AB1751" s="10"/>
      <c r="AC1751" s="10"/>
      <c r="AD1751" s="10"/>
      <c r="AE1751" s="10"/>
      <c r="AF1751" s="10"/>
    </row>
    <row r="1752">
      <c r="A1752" s="7"/>
      <c r="B1752" s="26">
        <v>142.0</v>
      </c>
      <c r="C1752" s="27">
        <v>4.0</v>
      </c>
      <c r="D1752" s="8" t="s">
        <v>2437</v>
      </c>
      <c r="E1752" s="7">
        <v>2.0</v>
      </c>
      <c r="F1752" s="7"/>
      <c r="G1752" s="7" t="s">
        <v>312</v>
      </c>
      <c r="H1752" s="7" t="s">
        <v>313</v>
      </c>
      <c r="I1752" s="10"/>
      <c r="J1752" s="9" t="s">
        <v>2438</v>
      </c>
      <c r="K1752" s="8" t="s">
        <v>2439</v>
      </c>
      <c r="L1752" s="12"/>
      <c r="M1752" s="10"/>
      <c r="N1752" s="10"/>
      <c r="O1752" s="10"/>
      <c r="P1752" s="10"/>
      <c r="Q1752" s="10"/>
      <c r="R1752" s="10"/>
      <c r="S1752" s="10"/>
      <c r="T1752" s="10"/>
      <c r="U1752" s="10"/>
      <c r="V1752" s="10"/>
      <c r="W1752" s="10"/>
      <c r="X1752" s="10"/>
      <c r="Y1752" s="10"/>
      <c r="Z1752" s="10"/>
      <c r="AA1752" s="10"/>
      <c r="AB1752" s="10"/>
      <c r="AC1752" s="10"/>
      <c r="AD1752" s="10"/>
      <c r="AE1752" s="10"/>
      <c r="AF1752" s="10"/>
    </row>
    <row r="1753">
      <c r="A1753" s="7"/>
      <c r="B1753" s="26">
        <v>142.0</v>
      </c>
      <c r="C1753" s="27">
        <v>5.0</v>
      </c>
      <c r="D1753" s="8" t="s">
        <v>2440</v>
      </c>
      <c r="E1753" s="7">
        <v>0.0</v>
      </c>
      <c r="F1753" s="7"/>
      <c r="G1753" s="7" t="s">
        <v>312</v>
      </c>
      <c r="H1753" s="7" t="s">
        <v>313</v>
      </c>
      <c r="I1753" s="10"/>
      <c r="J1753" s="11"/>
      <c r="K1753" s="12"/>
      <c r="L1753" s="12"/>
      <c r="M1753" s="10"/>
      <c r="N1753" s="10"/>
      <c r="O1753" s="10"/>
      <c r="P1753" s="10"/>
      <c r="Q1753" s="10"/>
      <c r="R1753" s="10"/>
      <c r="S1753" s="10"/>
      <c r="T1753" s="10"/>
      <c r="U1753" s="10"/>
      <c r="V1753" s="10"/>
      <c r="W1753" s="10"/>
      <c r="X1753" s="10"/>
      <c r="Y1753" s="10"/>
      <c r="Z1753" s="10"/>
      <c r="AA1753" s="10"/>
      <c r="AB1753" s="10"/>
      <c r="AC1753" s="10"/>
      <c r="AD1753" s="10"/>
      <c r="AE1753" s="10"/>
      <c r="AF1753" s="10"/>
    </row>
    <row r="1754">
      <c r="A1754" s="7"/>
      <c r="B1754" s="26">
        <v>142.0</v>
      </c>
      <c r="C1754" s="27">
        <v>6.0</v>
      </c>
      <c r="D1754" s="8" t="s">
        <v>2441</v>
      </c>
      <c r="E1754" s="7">
        <v>0.0</v>
      </c>
      <c r="F1754" s="7"/>
      <c r="G1754" s="7" t="s">
        <v>312</v>
      </c>
      <c r="H1754" s="7" t="s">
        <v>313</v>
      </c>
      <c r="I1754" s="10"/>
      <c r="J1754" s="11"/>
      <c r="K1754" s="8" t="s">
        <v>2442</v>
      </c>
      <c r="L1754" s="12"/>
      <c r="M1754" s="10"/>
      <c r="N1754" s="10"/>
      <c r="O1754" s="10"/>
      <c r="P1754" s="10"/>
      <c r="Q1754" s="10"/>
      <c r="R1754" s="10"/>
      <c r="S1754" s="10"/>
      <c r="T1754" s="10"/>
      <c r="U1754" s="10"/>
      <c r="V1754" s="10"/>
      <c r="W1754" s="10"/>
      <c r="X1754" s="10"/>
      <c r="Y1754" s="10"/>
      <c r="Z1754" s="10"/>
      <c r="AA1754" s="10"/>
      <c r="AB1754" s="10"/>
      <c r="AC1754" s="10"/>
      <c r="AD1754" s="10"/>
      <c r="AE1754" s="10"/>
      <c r="AF1754" s="10"/>
    </row>
    <row r="1755">
      <c r="A1755" s="10"/>
      <c r="B1755" s="12"/>
      <c r="C1755" s="12"/>
      <c r="D1755" s="12"/>
      <c r="E1755" s="10"/>
      <c r="F1755" s="10"/>
      <c r="G1755" s="10"/>
      <c r="H1755" s="10"/>
      <c r="I1755" s="10"/>
      <c r="J1755" s="11"/>
      <c r="K1755" s="12"/>
      <c r="L1755" s="12"/>
      <c r="M1755" s="10"/>
      <c r="N1755" s="10"/>
      <c r="O1755" s="10"/>
      <c r="P1755" s="10"/>
      <c r="Q1755" s="10"/>
      <c r="R1755" s="10"/>
      <c r="S1755" s="10"/>
      <c r="T1755" s="10"/>
      <c r="U1755" s="10"/>
      <c r="V1755" s="10"/>
      <c r="W1755" s="10"/>
      <c r="X1755" s="10"/>
      <c r="Y1755" s="10"/>
      <c r="Z1755" s="10"/>
      <c r="AA1755" s="10"/>
      <c r="AB1755" s="10"/>
      <c r="AC1755" s="10"/>
      <c r="AD1755" s="10"/>
      <c r="AE1755" s="10"/>
      <c r="AF1755" s="10"/>
    </row>
    <row r="1756">
      <c r="A1756" s="7"/>
      <c r="B1756" s="26">
        <v>143.0</v>
      </c>
      <c r="C1756" s="27">
        <v>1.0</v>
      </c>
      <c r="D1756" s="8" t="s">
        <v>2443</v>
      </c>
      <c r="E1756" s="7">
        <v>0.0</v>
      </c>
      <c r="F1756" s="7"/>
      <c r="G1756" s="7" t="s">
        <v>312</v>
      </c>
      <c r="H1756" s="7" t="s">
        <v>313</v>
      </c>
      <c r="I1756" s="10"/>
      <c r="J1756" s="28"/>
      <c r="K1756" s="12"/>
      <c r="L1756" s="14" t="s">
        <v>2444</v>
      </c>
      <c r="M1756" s="10"/>
      <c r="N1756" s="10"/>
      <c r="O1756" s="10"/>
      <c r="P1756" s="10"/>
      <c r="Q1756" s="10"/>
      <c r="R1756" s="10"/>
      <c r="S1756" s="10"/>
      <c r="T1756" s="10"/>
      <c r="U1756" s="10"/>
      <c r="V1756" s="10"/>
      <c r="W1756" s="10"/>
      <c r="X1756" s="10"/>
      <c r="Y1756" s="10"/>
      <c r="Z1756" s="10"/>
      <c r="AA1756" s="10"/>
      <c r="AB1756" s="10"/>
      <c r="AC1756" s="10"/>
      <c r="AD1756" s="10"/>
      <c r="AE1756" s="10"/>
      <c r="AF1756" s="10"/>
    </row>
    <row r="1757">
      <c r="A1757" s="7"/>
      <c r="B1757" s="26">
        <v>143.0</v>
      </c>
      <c r="C1757" s="27">
        <v>2.0</v>
      </c>
      <c r="D1757" s="8" t="s">
        <v>2445</v>
      </c>
      <c r="E1757" s="7">
        <v>0.0</v>
      </c>
      <c r="F1757" s="7"/>
      <c r="G1757" s="7" t="s">
        <v>312</v>
      </c>
      <c r="H1757" s="7" t="s">
        <v>313</v>
      </c>
      <c r="I1757" s="10"/>
      <c r="J1757" s="28"/>
      <c r="K1757" s="12"/>
      <c r="L1757" s="14" t="s">
        <v>2444</v>
      </c>
      <c r="M1757" s="10"/>
      <c r="N1757" s="10"/>
      <c r="O1757" s="10"/>
      <c r="P1757" s="10"/>
      <c r="Q1757" s="10"/>
      <c r="R1757" s="10"/>
      <c r="S1757" s="10"/>
      <c r="T1757" s="10"/>
      <c r="U1757" s="10"/>
      <c r="V1757" s="10"/>
      <c r="W1757" s="10"/>
      <c r="X1757" s="10"/>
      <c r="Y1757" s="10"/>
      <c r="Z1757" s="10"/>
      <c r="AA1757" s="10"/>
      <c r="AB1757" s="10"/>
      <c r="AC1757" s="10"/>
      <c r="AD1757" s="10"/>
      <c r="AE1757" s="10"/>
      <c r="AF1757" s="10"/>
    </row>
    <row r="1758">
      <c r="A1758" s="7"/>
      <c r="B1758" s="26">
        <v>143.0</v>
      </c>
      <c r="C1758" s="27">
        <v>3.0</v>
      </c>
      <c r="D1758" s="8" t="s">
        <v>2446</v>
      </c>
      <c r="E1758" s="7">
        <v>0.0</v>
      </c>
      <c r="F1758" s="7"/>
      <c r="G1758" s="7" t="s">
        <v>312</v>
      </c>
      <c r="H1758" s="7" t="s">
        <v>313</v>
      </c>
      <c r="I1758" s="10"/>
      <c r="J1758" s="11"/>
      <c r="K1758" s="12"/>
      <c r="L1758" s="14" t="s">
        <v>2444</v>
      </c>
      <c r="M1758" s="10"/>
      <c r="N1758" s="10"/>
      <c r="O1758" s="10"/>
      <c r="P1758" s="10"/>
      <c r="Q1758" s="10"/>
      <c r="R1758" s="10"/>
      <c r="S1758" s="10"/>
      <c r="T1758" s="10"/>
      <c r="U1758" s="10"/>
      <c r="V1758" s="10"/>
      <c r="W1758" s="10"/>
      <c r="X1758" s="10"/>
      <c r="Y1758" s="10"/>
      <c r="Z1758" s="10"/>
      <c r="AA1758" s="10"/>
      <c r="AB1758" s="10"/>
      <c r="AC1758" s="10"/>
      <c r="AD1758" s="10"/>
      <c r="AE1758" s="10"/>
      <c r="AF1758" s="10"/>
    </row>
    <row r="1759">
      <c r="A1759" s="7"/>
      <c r="B1759" s="26">
        <v>143.0</v>
      </c>
      <c r="C1759" s="27">
        <v>4.0</v>
      </c>
      <c r="D1759" s="8" t="s">
        <v>2447</v>
      </c>
      <c r="E1759" s="7">
        <v>0.0</v>
      </c>
      <c r="F1759" s="7"/>
      <c r="G1759" s="7" t="s">
        <v>312</v>
      </c>
      <c r="H1759" s="7" t="s">
        <v>313</v>
      </c>
      <c r="I1759" s="10"/>
      <c r="J1759" s="11"/>
      <c r="K1759" s="12"/>
      <c r="L1759" s="14" t="s">
        <v>2444</v>
      </c>
      <c r="M1759" s="10"/>
      <c r="N1759" s="10"/>
      <c r="O1759" s="10"/>
      <c r="P1759" s="10"/>
      <c r="Q1759" s="10"/>
      <c r="R1759" s="10"/>
      <c r="S1759" s="10"/>
      <c r="T1759" s="10"/>
      <c r="U1759" s="10"/>
      <c r="V1759" s="10"/>
      <c r="W1759" s="10"/>
      <c r="X1759" s="10"/>
      <c r="Y1759" s="10"/>
      <c r="Z1759" s="10"/>
      <c r="AA1759" s="10"/>
      <c r="AB1759" s="10"/>
      <c r="AC1759" s="10"/>
      <c r="AD1759" s="10"/>
      <c r="AE1759" s="10"/>
      <c r="AF1759" s="10"/>
    </row>
    <row r="1760">
      <c r="A1760" s="7"/>
      <c r="B1760" s="26">
        <v>143.0</v>
      </c>
      <c r="C1760" s="27">
        <v>5.0</v>
      </c>
      <c r="D1760" s="8" t="s">
        <v>2448</v>
      </c>
      <c r="E1760" s="7">
        <v>0.0</v>
      </c>
      <c r="F1760" s="7"/>
      <c r="G1760" s="7" t="s">
        <v>312</v>
      </c>
      <c r="H1760" s="7" t="s">
        <v>313</v>
      </c>
      <c r="I1760" s="10"/>
      <c r="J1760" s="11"/>
      <c r="K1760" s="12"/>
      <c r="L1760" s="14" t="s">
        <v>2444</v>
      </c>
      <c r="M1760" s="10"/>
      <c r="N1760" s="10"/>
      <c r="O1760" s="10"/>
      <c r="P1760" s="10"/>
      <c r="Q1760" s="10"/>
      <c r="R1760" s="10"/>
      <c r="S1760" s="10"/>
      <c r="T1760" s="10"/>
      <c r="U1760" s="10"/>
      <c r="V1760" s="10"/>
      <c r="W1760" s="10"/>
      <c r="X1760" s="10"/>
      <c r="Y1760" s="10"/>
      <c r="Z1760" s="10"/>
      <c r="AA1760" s="10"/>
      <c r="AB1760" s="10"/>
      <c r="AC1760" s="10"/>
      <c r="AD1760" s="10"/>
      <c r="AE1760" s="10"/>
      <c r="AF1760" s="10"/>
    </row>
    <row r="1761">
      <c r="A1761" s="7"/>
      <c r="B1761" s="26">
        <v>143.0</v>
      </c>
      <c r="C1761" s="27">
        <v>6.0</v>
      </c>
      <c r="D1761" s="8" t="s">
        <v>2449</v>
      </c>
      <c r="E1761" s="7">
        <v>0.0</v>
      </c>
      <c r="F1761" s="7"/>
      <c r="G1761" s="7" t="s">
        <v>312</v>
      </c>
      <c r="H1761" s="7" t="s">
        <v>313</v>
      </c>
      <c r="I1761" s="10"/>
      <c r="J1761" s="11"/>
      <c r="K1761" s="12"/>
      <c r="L1761" s="12"/>
      <c r="M1761" s="10"/>
      <c r="N1761" s="10"/>
      <c r="O1761" s="10"/>
      <c r="P1761" s="10"/>
      <c r="Q1761" s="10"/>
      <c r="R1761" s="10"/>
      <c r="S1761" s="10"/>
      <c r="T1761" s="10"/>
      <c r="U1761" s="10"/>
      <c r="V1761" s="10"/>
      <c r="W1761" s="10"/>
      <c r="X1761" s="10"/>
      <c r="Y1761" s="10"/>
      <c r="Z1761" s="10"/>
      <c r="AA1761" s="10"/>
      <c r="AB1761" s="10"/>
      <c r="AC1761" s="10"/>
      <c r="AD1761" s="10"/>
      <c r="AE1761" s="10"/>
      <c r="AF1761" s="10"/>
    </row>
    <row r="1762">
      <c r="A1762" s="7"/>
      <c r="B1762" s="26">
        <v>143.0</v>
      </c>
      <c r="C1762" s="27">
        <v>7.0</v>
      </c>
      <c r="D1762" s="8" t="s">
        <v>2450</v>
      </c>
      <c r="E1762" s="7">
        <v>2.0</v>
      </c>
      <c r="F1762" s="7"/>
      <c r="G1762" s="7" t="s">
        <v>312</v>
      </c>
      <c r="H1762" s="7" t="s">
        <v>313</v>
      </c>
      <c r="I1762" s="10"/>
      <c r="J1762" s="9" t="s">
        <v>2451</v>
      </c>
      <c r="K1762" s="8" t="s">
        <v>1579</v>
      </c>
      <c r="L1762" s="12"/>
      <c r="M1762" s="10"/>
      <c r="N1762" s="10"/>
      <c r="O1762" s="10"/>
      <c r="P1762" s="10"/>
      <c r="Q1762" s="10"/>
      <c r="R1762" s="10"/>
      <c r="S1762" s="10"/>
      <c r="T1762" s="10"/>
      <c r="U1762" s="10"/>
      <c r="V1762" s="10"/>
      <c r="W1762" s="10"/>
      <c r="X1762" s="10"/>
      <c r="Y1762" s="10"/>
      <c r="Z1762" s="10"/>
      <c r="AA1762" s="10"/>
      <c r="AB1762" s="10"/>
      <c r="AC1762" s="10"/>
      <c r="AD1762" s="10"/>
      <c r="AE1762" s="10"/>
      <c r="AF1762" s="10"/>
    </row>
    <row r="1763">
      <c r="A1763" s="7"/>
      <c r="B1763" s="26">
        <v>143.0</v>
      </c>
      <c r="C1763" s="27">
        <v>8.0</v>
      </c>
      <c r="D1763" s="8" t="s">
        <v>2452</v>
      </c>
      <c r="E1763" s="7">
        <v>0.0</v>
      </c>
      <c r="F1763" s="7"/>
      <c r="G1763" s="7" t="s">
        <v>312</v>
      </c>
      <c r="H1763" s="7" t="s">
        <v>313</v>
      </c>
      <c r="I1763" s="10"/>
      <c r="J1763" s="28"/>
      <c r="K1763" s="12"/>
      <c r="L1763" s="12"/>
      <c r="M1763" s="10"/>
      <c r="N1763" s="10"/>
      <c r="O1763" s="10"/>
      <c r="P1763" s="10"/>
      <c r="Q1763" s="10"/>
      <c r="R1763" s="10"/>
      <c r="S1763" s="10"/>
      <c r="T1763" s="10"/>
      <c r="U1763" s="10"/>
      <c r="V1763" s="10"/>
      <c r="W1763" s="10"/>
      <c r="X1763" s="10"/>
      <c r="Y1763" s="10"/>
      <c r="Z1763" s="10"/>
      <c r="AA1763" s="10"/>
      <c r="AB1763" s="10"/>
      <c r="AC1763" s="10"/>
      <c r="AD1763" s="10"/>
      <c r="AE1763" s="10"/>
      <c r="AF1763" s="10"/>
    </row>
    <row r="1764">
      <c r="A1764" s="7"/>
      <c r="B1764" s="26">
        <v>143.0</v>
      </c>
      <c r="C1764" s="27">
        <v>9.0</v>
      </c>
      <c r="D1764" s="8" t="s">
        <v>2453</v>
      </c>
      <c r="E1764" s="7">
        <v>2.0</v>
      </c>
      <c r="F1764" s="7" t="s">
        <v>320</v>
      </c>
      <c r="G1764" s="7" t="s">
        <v>312</v>
      </c>
      <c r="H1764" s="7" t="s">
        <v>313</v>
      </c>
      <c r="I1764" s="7" t="s">
        <v>366</v>
      </c>
      <c r="J1764" s="9" t="s">
        <v>2454</v>
      </c>
      <c r="K1764" s="8"/>
      <c r="L1764" s="12"/>
      <c r="M1764" s="10"/>
      <c r="N1764" s="10"/>
      <c r="O1764" s="10"/>
      <c r="P1764" s="10"/>
      <c r="Q1764" s="10"/>
      <c r="R1764" s="10"/>
      <c r="S1764" s="10"/>
      <c r="T1764" s="10"/>
      <c r="U1764" s="10"/>
      <c r="V1764" s="10"/>
      <c r="W1764" s="10"/>
      <c r="X1764" s="10"/>
      <c r="Y1764" s="10"/>
      <c r="Z1764" s="10"/>
      <c r="AA1764" s="10"/>
      <c r="AB1764" s="10"/>
      <c r="AC1764" s="10"/>
      <c r="AD1764" s="10"/>
      <c r="AE1764" s="10"/>
      <c r="AF1764" s="10"/>
    </row>
    <row r="1765">
      <c r="A1765" s="7"/>
      <c r="B1765" s="26">
        <v>143.0</v>
      </c>
      <c r="C1765" s="27">
        <v>10.0</v>
      </c>
      <c r="D1765" s="8" t="s">
        <v>2455</v>
      </c>
      <c r="E1765" s="7">
        <v>2.0</v>
      </c>
      <c r="F1765" s="7"/>
      <c r="G1765" s="7" t="s">
        <v>312</v>
      </c>
      <c r="H1765" s="7" t="s">
        <v>313</v>
      </c>
      <c r="I1765" s="10"/>
      <c r="J1765" s="11"/>
      <c r="K1765" s="8" t="s">
        <v>1579</v>
      </c>
      <c r="L1765" s="12"/>
      <c r="M1765" s="10"/>
      <c r="N1765" s="10"/>
      <c r="O1765" s="10"/>
      <c r="P1765" s="10"/>
      <c r="Q1765" s="10"/>
      <c r="R1765" s="10"/>
      <c r="S1765" s="10"/>
      <c r="T1765" s="10"/>
      <c r="U1765" s="10"/>
      <c r="V1765" s="10"/>
      <c r="W1765" s="10"/>
      <c r="X1765" s="10"/>
      <c r="Y1765" s="10"/>
      <c r="Z1765" s="10"/>
      <c r="AA1765" s="10"/>
      <c r="AB1765" s="10"/>
      <c r="AC1765" s="10"/>
      <c r="AD1765" s="10"/>
      <c r="AE1765" s="10"/>
      <c r="AF1765" s="10"/>
    </row>
    <row r="1766">
      <c r="A1766" s="7"/>
      <c r="B1766" s="26">
        <v>143.0</v>
      </c>
      <c r="C1766" s="27">
        <v>11.0</v>
      </c>
      <c r="D1766" s="8" t="s">
        <v>2456</v>
      </c>
      <c r="E1766" s="7">
        <v>0.0</v>
      </c>
      <c r="F1766" s="7"/>
      <c r="G1766" s="7" t="s">
        <v>312</v>
      </c>
      <c r="H1766" s="7" t="s">
        <v>313</v>
      </c>
      <c r="I1766" s="10"/>
      <c r="J1766" s="11"/>
      <c r="K1766" s="12"/>
      <c r="L1766" s="12"/>
      <c r="M1766" s="10"/>
      <c r="N1766" s="10"/>
      <c r="O1766" s="10"/>
      <c r="P1766" s="10"/>
      <c r="Q1766" s="10"/>
      <c r="R1766" s="10"/>
      <c r="S1766" s="10"/>
      <c r="T1766" s="10"/>
      <c r="U1766" s="10"/>
      <c r="V1766" s="10"/>
      <c r="W1766" s="10"/>
      <c r="X1766" s="10"/>
      <c r="Y1766" s="10"/>
      <c r="Z1766" s="10"/>
      <c r="AA1766" s="10"/>
      <c r="AB1766" s="10"/>
      <c r="AC1766" s="10"/>
      <c r="AD1766" s="10"/>
      <c r="AE1766" s="10"/>
      <c r="AF1766" s="10"/>
    </row>
    <row r="1767">
      <c r="A1767" s="7"/>
      <c r="B1767" s="26">
        <v>143.0</v>
      </c>
      <c r="C1767" s="27">
        <v>12.0</v>
      </c>
      <c r="D1767" s="8" t="s">
        <v>2457</v>
      </c>
      <c r="E1767" s="7">
        <v>2.0</v>
      </c>
      <c r="F1767" s="7" t="s">
        <v>320</v>
      </c>
      <c r="G1767" s="7" t="s">
        <v>312</v>
      </c>
      <c r="H1767" s="7" t="s">
        <v>313</v>
      </c>
      <c r="I1767" s="7" t="s">
        <v>366</v>
      </c>
      <c r="J1767" s="9" t="s">
        <v>2458</v>
      </c>
      <c r="K1767" s="12"/>
      <c r="L1767" s="12"/>
      <c r="M1767" s="10"/>
      <c r="N1767" s="10"/>
      <c r="O1767" s="10"/>
      <c r="P1767" s="10"/>
      <c r="Q1767" s="10"/>
      <c r="R1767" s="10"/>
      <c r="S1767" s="10"/>
      <c r="T1767" s="10"/>
      <c r="U1767" s="10"/>
      <c r="V1767" s="10"/>
      <c r="W1767" s="10"/>
      <c r="X1767" s="10"/>
      <c r="Y1767" s="10"/>
      <c r="Z1767" s="10"/>
      <c r="AA1767" s="10"/>
      <c r="AB1767" s="10"/>
      <c r="AC1767" s="10"/>
      <c r="AD1767" s="10"/>
      <c r="AE1767" s="10"/>
      <c r="AF1767" s="10"/>
    </row>
    <row r="1768">
      <c r="A1768" s="7"/>
      <c r="B1768" s="26">
        <v>143.0</v>
      </c>
      <c r="C1768" s="27">
        <v>13.0</v>
      </c>
      <c r="D1768" s="8" t="s">
        <v>2459</v>
      </c>
      <c r="E1768" s="7">
        <v>2.0</v>
      </c>
      <c r="F1768" s="7" t="s">
        <v>320</v>
      </c>
      <c r="G1768" s="7" t="s">
        <v>312</v>
      </c>
      <c r="H1768" s="7" t="s">
        <v>313</v>
      </c>
      <c r="I1768" s="7" t="s">
        <v>366</v>
      </c>
      <c r="J1768" s="9" t="s">
        <v>2460</v>
      </c>
      <c r="K1768" s="12"/>
      <c r="L1768" s="12"/>
      <c r="M1768" s="10"/>
      <c r="N1768" s="10"/>
      <c r="O1768" s="10"/>
      <c r="P1768" s="10"/>
      <c r="Q1768" s="10"/>
      <c r="R1768" s="10"/>
      <c r="S1768" s="10"/>
      <c r="T1768" s="10"/>
      <c r="U1768" s="10"/>
      <c r="V1768" s="10"/>
      <c r="W1768" s="10"/>
      <c r="X1768" s="10"/>
      <c r="Y1768" s="10"/>
      <c r="Z1768" s="10"/>
      <c r="AA1768" s="10"/>
      <c r="AB1768" s="10"/>
      <c r="AC1768" s="10"/>
      <c r="AD1768" s="10"/>
      <c r="AE1768" s="10"/>
      <c r="AF1768" s="10"/>
    </row>
    <row r="1769">
      <c r="A1769" s="7"/>
      <c r="B1769" s="26">
        <v>143.0</v>
      </c>
      <c r="C1769" s="27">
        <v>14.0</v>
      </c>
      <c r="D1769" s="8" t="s">
        <v>2461</v>
      </c>
      <c r="E1769" s="7">
        <v>0.0</v>
      </c>
      <c r="F1769" s="7"/>
      <c r="G1769" s="7" t="s">
        <v>312</v>
      </c>
      <c r="H1769" s="7" t="s">
        <v>313</v>
      </c>
      <c r="I1769" s="10"/>
      <c r="J1769" s="11"/>
      <c r="K1769" s="12"/>
      <c r="L1769" s="12"/>
      <c r="M1769" s="10"/>
      <c r="N1769" s="10"/>
      <c r="O1769" s="10"/>
      <c r="P1769" s="10"/>
      <c r="Q1769" s="10"/>
      <c r="R1769" s="10"/>
      <c r="S1769" s="10"/>
      <c r="T1769" s="10"/>
      <c r="U1769" s="10"/>
      <c r="V1769" s="10"/>
      <c r="W1769" s="10"/>
      <c r="X1769" s="10"/>
      <c r="Y1769" s="10"/>
      <c r="Z1769" s="10"/>
      <c r="AA1769" s="10"/>
      <c r="AB1769" s="10"/>
      <c r="AC1769" s="10"/>
      <c r="AD1769" s="10"/>
      <c r="AE1769" s="10"/>
      <c r="AF1769" s="10"/>
    </row>
    <row r="1770">
      <c r="A1770" s="7"/>
      <c r="B1770" s="26">
        <v>143.0</v>
      </c>
      <c r="C1770" s="27">
        <v>15.0</v>
      </c>
      <c r="D1770" s="8" t="s">
        <v>2462</v>
      </c>
      <c r="E1770" s="7">
        <v>2.0</v>
      </c>
      <c r="F1770" s="7"/>
      <c r="G1770" s="7" t="s">
        <v>312</v>
      </c>
      <c r="H1770" s="7" t="s">
        <v>313</v>
      </c>
      <c r="I1770" s="7" t="s">
        <v>366</v>
      </c>
      <c r="J1770" s="16" t="s">
        <v>2463</v>
      </c>
      <c r="K1770" s="8" t="s">
        <v>1664</v>
      </c>
      <c r="L1770" s="12"/>
      <c r="M1770" s="10"/>
      <c r="N1770" s="10"/>
      <c r="O1770" s="10"/>
      <c r="P1770" s="10"/>
      <c r="Q1770" s="10"/>
      <c r="R1770" s="10"/>
      <c r="S1770" s="10"/>
      <c r="T1770" s="10"/>
      <c r="U1770" s="10"/>
      <c r="V1770" s="10"/>
      <c r="W1770" s="10"/>
      <c r="X1770" s="10"/>
      <c r="Y1770" s="10"/>
      <c r="Z1770" s="10"/>
      <c r="AA1770" s="10"/>
      <c r="AB1770" s="10"/>
      <c r="AC1770" s="10"/>
      <c r="AD1770" s="10"/>
      <c r="AE1770" s="10"/>
      <c r="AF1770" s="10"/>
    </row>
    <row r="1771">
      <c r="A1771" s="10"/>
      <c r="B1771" s="12"/>
      <c r="C1771" s="12"/>
      <c r="D1771" s="12"/>
      <c r="E1771" s="10"/>
      <c r="F1771" s="10"/>
      <c r="G1771" s="10"/>
      <c r="H1771" s="10"/>
      <c r="I1771" s="10"/>
      <c r="J1771" s="11"/>
      <c r="K1771" s="12"/>
      <c r="L1771" s="12"/>
      <c r="M1771" s="10"/>
      <c r="N1771" s="10"/>
      <c r="O1771" s="10"/>
      <c r="P1771" s="10"/>
      <c r="Q1771" s="10"/>
      <c r="R1771" s="10"/>
      <c r="S1771" s="10"/>
      <c r="T1771" s="10"/>
      <c r="U1771" s="10"/>
      <c r="V1771" s="10"/>
      <c r="W1771" s="10"/>
      <c r="X1771" s="10"/>
      <c r="Y1771" s="10"/>
      <c r="Z1771" s="10"/>
      <c r="AA1771" s="10"/>
      <c r="AB1771" s="10"/>
      <c r="AC1771" s="10"/>
      <c r="AD1771" s="10"/>
      <c r="AE1771" s="10"/>
      <c r="AF1771" s="10"/>
    </row>
    <row r="1772">
      <c r="A1772" s="7"/>
      <c r="B1772" s="26">
        <v>144.0</v>
      </c>
      <c r="C1772" s="27">
        <v>1.0</v>
      </c>
      <c r="D1772" s="8" t="s">
        <v>2464</v>
      </c>
      <c r="E1772" s="7">
        <v>2.0</v>
      </c>
      <c r="F1772" s="7"/>
      <c r="G1772" s="7" t="s">
        <v>312</v>
      </c>
      <c r="H1772" s="7" t="s">
        <v>313</v>
      </c>
      <c r="I1772" s="7" t="s">
        <v>366</v>
      </c>
      <c r="J1772" s="9" t="s">
        <v>2465</v>
      </c>
      <c r="K1772" s="8" t="s">
        <v>1664</v>
      </c>
      <c r="L1772" s="12"/>
      <c r="M1772" s="10"/>
      <c r="N1772" s="10"/>
      <c r="O1772" s="10"/>
      <c r="P1772" s="10"/>
      <c r="Q1772" s="10"/>
      <c r="R1772" s="10"/>
      <c r="S1772" s="10"/>
      <c r="T1772" s="10"/>
      <c r="U1772" s="10"/>
      <c r="V1772" s="10"/>
      <c r="W1772" s="10"/>
      <c r="X1772" s="10"/>
      <c r="Y1772" s="10"/>
      <c r="Z1772" s="10"/>
      <c r="AA1772" s="10"/>
      <c r="AB1772" s="10"/>
      <c r="AC1772" s="10"/>
      <c r="AD1772" s="10"/>
      <c r="AE1772" s="10"/>
      <c r="AF1772" s="10"/>
    </row>
    <row r="1773">
      <c r="A1773" s="7"/>
      <c r="B1773" s="26">
        <v>144.0</v>
      </c>
      <c r="C1773" s="27">
        <v>2.0</v>
      </c>
      <c r="D1773" s="8" t="s">
        <v>2466</v>
      </c>
      <c r="E1773" s="7">
        <v>2.0</v>
      </c>
      <c r="F1773" s="7"/>
      <c r="G1773" s="7" t="s">
        <v>312</v>
      </c>
      <c r="H1773" s="7" t="s">
        <v>313</v>
      </c>
      <c r="I1773" s="7" t="s">
        <v>366</v>
      </c>
      <c r="J1773" s="16" t="s">
        <v>2467</v>
      </c>
      <c r="K1773" s="8" t="s">
        <v>1664</v>
      </c>
      <c r="L1773" s="12"/>
      <c r="M1773" s="10"/>
      <c r="N1773" s="10"/>
      <c r="O1773" s="10"/>
      <c r="P1773" s="10"/>
      <c r="Q1773" s="10"/>
      <c r="R1773" s="10"/>
      <c r="S1773" s="10"/>
      <c r="T1773" s="10"/>
      <c r="U1773" s="10"/>
      <c r="V1773" s="10"/>
      <c r="W1773" s="10"/>
      <c r="X1773" s="10"/>
      <c r="Y1773" s="10"/>
      <c r="Z1773" s="10"/>
      <c r="AA1773" s="10"/>
      <c r="AB1773" s="10"/>
      <c r="AC1773" s="10"/>
      <c r="AD1773" s="10"/>
      <c r="AE1773" s="10"/>
      <c r="AF1773" s="10"/>
    </row>
    <row r="1774">
      <c r="A1774" s="7"/>
      <c r="B1774" s="26">
        <v>144.0</v>
      </c>
      <c r="C1774" s="27">
        <v>3.0</v>
      </c>
      <c r="D1774" s="8" t="s">
        <v>2468</v>
      </c>
      <c r="E1774" s="7">
        <v>2.0</v>
      </c>
      <c r="F1774" s="7"/>
      <c r="G1774" s="7" t="s">
        <v>312</v>
      </c>
      <c r="H1774" s="7" t="s">
        <v>313</v>
      </c>
      <c r="I1774" s="7" t="s">
        <v>366</v>
      </c>
      <c r="J1774" s="16" t="s">
        <v>2469</v>
      </c>
      <c r="K1774" s="8" t="s">
        <v>1664</v>
      </c>
      <c r="L1774" s="12"/>
      <c r="M1774" s="10"/>
      <c r="N1774" s="10"/>
      <c r="O1774" s="10"/>
      <c r="P1774" s="10"/>
      <c r="Q1774" s="10"/>
      <c r="R1774" s="10"/>
      <c r="S1774" s="10"/>
      <c r="T1774" s="10"/>
      <c r="U1774" s="10"/>
      <c r="V1774" s="10"/>
      <c r="W1774" s="10"/>
      <c r="X1774" s="10"/>
      <c r="Y1774" s="10"/>
      <c r="Z1774" s="10"/>
      <c r="AA1774" s="10"/>
      <c r="AB1774" s="10"/>
      <c r="AC1774" s="10"/>
      <c r="AD1774" s="10"/>
      <c r="AE1774" s="10"/>
      <c r="AF1774" s="10"/>
    </row>
    <row r="1775">
      <c r="A1775" s="7"/>
      <c r="B1775" s="26">
        <v>144.0</v>
      </c>
      <c r="C1775" s="27">
        <v>4.0</v>
      </c>
      <c r="D1775" s="8" t="s">
        <v>2470</v>
      </c>
      <c r="E1775" s="7">
        <v>0.0</v>
      </c>
      <c r="F1775" s="7"/>
      <c r="G1775" s="7" t="s">
        <v>312</v>
      </c>
      <c r="H1775" s="7" t="s">
        <v>313</v>
      </c>
      <c r="I1775" s="10"/>
      <c r="J1775" s="11"/>
      <c r="K1775" s="8" t="s">
        <v>2471</v>
      </c>
      <c r="L1775" s="12"/>
      <c r="M1775" s="10"/>
      <c r="N1775" s="10"/>
      <c r="O1775" s="10"/>
      <c r="P1775" s="10"/>
      <c r="Q1775" s="10"/>
      <c r="R1775" s="10"/>
      <c r="S1775" s="10"/>
      <c r="T1775" s="10"/>
      <c r="U1775" s="10"/>
      <c r="V1775" s="10"/>
      <c r="W1775" s="10"/>
      <c r="X1775" s="10"/>
      <c r="Y1775" s="10"/>
      <c r="Z1775" s="10"/>
      <c r="AA1775" s="10"/>
      <c r="AB1775" s="10"/>
      <c r="AC1775" s="10"/>
      <c r="AD1775" s="10"/>
      <c r="AE1775" s="10"/>
      <c r="AF1775" s="10"/>
    </row>
    <row r="1776">
      <c r="A1776" s="7"/>
      <c r="B1776" s="26">
        <v>144.0</v>
      </c>
      <c r="C1776" s="27">
        <v>5.0</v>
      </c>
      <c r="D1776" s="8" t="s">
        <v>2472</v>
      </c>
      <c r="E1776" s="7">
        <v>0.0</v>
      </c>
      <c r="F1776" s="7" t="s">
        <v>320</v>
      </c>
      <c r="G1776" s="7" t="s">
        <v>312</v>
      </c>
      <c r="H1776" s="7" t="s">
        <v>313</v>
      </c>
      <c r="I1776" s="7" t="s">
        <v>366</v>
      </c>
      <c r="J1776" s="9" t="s">
        <v>2473</v>
      </c>
      <c r="K1776" s="8" t="s">
        <v>1664</v>
      </c>
      <c r="L1776" s="12"/>
      <c r="M1776" s="10"/>
      <c r="N1776" s="10"/>
      <c r="O1776" s="10"/>
      <c r="P1776" s="10"/>
      <c r="Q1776" s="10"/>
      <c r="R1776" s="10"/>
      <c r="S1776" s="10"/>
      <c r="T1776" s="10"/>
      <c r="U1776" s="10"/>
      <c r="V1776" s="10"/>
      <c r="W1776" s="10"/>
      <c r="X1776" s="10"/>
      <c r="Y1776" s="10"/>
      <c r="Z1776" s="10"/>
      <c r="AA1776" s="10"/>
      <c r="AB1776" s="10"/>
      <c r="AC1776" s="10"/>
      <c r="AD1776" s="10"/>
      <c r="AE1776" s="10"/>
      <c r="AF1776" s="10"/>
    </row>
    <row r="1777">
      <c r="A1777" s="7"/>
      <c r="B1777" s="26">
        <v>144.0</v>
      </c>
      <c r="C1777" s="27">
        <v>6.0</v>
      </c>
      <c r="D1777" s="8" t="s">
        <v>2474</v>
      </c>
      <c r="E1777" s="7">
        <v>0.0</v>
      </c>
      <c r="F1777" s="7" t="s">
        <v>320</v>
      </c>
      <c r="G1777" s="7" t="s">
        <v>312</v>
      </c>
      <c r="H1777" s="7" t="s">
        <v>313</v>
      </c>
      <c r="I1777" s="7" t="s">
        <v>366</v>
      </c>
      <c r="J1777" s="9" t="s">
        <v>2475</v>
      </c>
      <c r="K1777" s="8" t="s">
        <v>1664</v>
      </c>
      <c r="L1777" s="12"/>
      <c r="M1777" s="10"/>
      <c r="N1777" s="10"/>
      <c r="O1777" s="10"/>
      <c r="P1777" s="10"/>
      <c r="Q1777" s="10"/>
      <c r="R1777" s="10"/>
      <c r="S1777" s="10"/>
      <c r="T1777" s="10"/>
      <c r="U1777" s="10"/>
      <c r="V1777" s="10"/>
      <c r="W1777" s="10"/>
      <c r="X1777" s="10"/>
      <c r="Y1777" s="10"/>
      <c r="Z1777" s="10"/>
      <c r="AA1777" s="10"/>
      <c r="AB1777" s="10"/>
      <c r="AC1777" s="10"/>
      <c r="AD1777" s="10"/>
      <c r="AE1777" s="10"/>
      <c r="AF1777" s="10"/>
    </row>
    <row r="1778">
      <c r="A1778" s="7"/>
      <c r="B1778" s="26">
        <v>144.0</v>
      </c>
      <c r="C1778" s="27">
        <v>7.0</v>
      </c>
      <c r="D1778" s="8" t="s">
        <v>2476</v>
      </c>
      <c r="E1778" s="7">
        <v>0.0</v>
      </c>
      <c r="F1778" s="7"/>
      <c r="G1778" s="7" t="s">
        <v>312</v>
      </c>
      <c r="H1778" s="7" t="s">
        <v>313</v>
      </c>
      <c r="I1778" s="10"/>
      <c r="J1778" s="11"/>
      <c r="K1778" s="12"/>
      <c r="L1778" s="12"/>
      <c r="M1778" s="10"/>
      <c r="N1778" s="10"/>
      <c r="O1778" s="10"/>
      <c r="P1778" s="10"/>
      <c r="Q1778" s="10"/>
      <c r="R1778" s="10"/>
      <c r="S1778" s="10"/>
      <c r="T1778" s="10"/>
      <c r="U1778" s="10"/>
      <c r="V1778" s="10"/>
      <c r="W1778" s="10"/>
      <c r="X1778" s="10"/>
      <c r="Y1778" s="10"/>
      <c r="Z1778" s="10"/>
      <c r="AA1778" s="10"/>
      <c r="AB1778" s="10"/>
      <c r="AC1778" s="10"/>
      <c r="AD1778" s="10"/>
      <c r="AE1778" s="10"/>
      <c r="AF1778" s="10"/>
    </row>
    <row r="1779">
      <c r="A1779" s="7"/>
      <c r="B1779" s="26">
        <v>144.0</v>
      </c>
      <c r="C1779" s="27">
        <v>8.0</v>
      </c>
      <c r="D1779" s="8" t="s">
        <v>2477</v>
      </c>
      <c r="E1779" s="7">
        <v>0.0</v>
      </c>
      <c r="F1779" s="7" t="s">
        <v>320</v>
      </c>
      <c r="G1779" s="7" t="s">
        <v>312</v>
      </c>
      <c r="H1779" s="7" t="s">
        <v>313</v>
      </c>
      <c r="I1779" s="7" t="s">
        <v>366</v>
      </c>
      <c r="J1779" s="9" t="s">
        <v>2475</v>
      </c>
      <c r="K1779" s="8" t="s">
        <v>1664</v>
      </c>
      <c r="L1779" s="12"/>
      <c r="M1779" s="10"/>
      <c r="N1779" s="10"/>
      <c r="O1779" s="10"/>
      <c r="P1779" s="10"/>
      <c r="Q1779" s="10"/>
      <c r="R1779" s="10"/>
      <c r="S1779" s="10"/>
      <c r="T1779" s="10"/>
      <c r="U1779" s="10"/>
      <c r="V1779" s="10"/>
      <c r="W1779" s="10"/>
      <c r="X1779" s="10"/>
      <c r="Y1779" s="10"/>
      <c r="Z1779" s="10"/>
      <c r="AA1779" s="10"/>
      <c r="AB1779" s="10"/>
      <c r="AC1779" s="10"/>
      <c r="AD1779" s="10"/>
      <c r="AE1779" s="10"/>
      <c r="AF1779" s="10"/>
    </row>
    <row r="1780">
      <c r="A1780" s="7"/>
      <c r="B1780" s="26">
        <v>144.0</v>
      </c>
      <c r="C1780" s="27">
        <v>9.0</v>
      </c>
      <c r="D1780" s="8" t="s">
        <v>2478</v>
      </c>
      <c r="E1780" s="7">
        <v>0.0</v>
      </c>
      <c r="F1780" s="7"/>
      <c r="G1780" s="7" t="s">
        <v>312</v>
      </c>
      <c r="H1780" s="7" t="s">
        <v>313</v>
      </c>
      <c r="I1780" s="10"/>
      <c r="J1780" s="11"/>
      <c r="K1780" s="12"/>
      <c r="L1780" s="12"/>
      <c r="M1780" s="10"/>
      <c r="N1780" s="10"/>
      <c r="O1780" s="10"/>
      <c r="P1780" s="10"/>
      <c r="Q1780" s="10"/>
      <c r="R1780" s="10"/>
      <c r="S1780" s="10"/>
      <c r="T1780" s="10"/>
      <c r="U1780" s="10"/>
      <c r="V1780" s="10"/>
      <c r="W1780" s="10"/>
      <c r="X1780" s="10"/>
      <c r="Y1780" s="10"/>
      <c r="Z1780" s="10"/>
      <c r="AA1780" s="10"/>
      <c r="AB1780" s="10"/>
      <c r="AC1780" s="10"/>
      <c r="AD1780" s="10"/>
      <c r="AE1780" s="10"/>
      <c r="AF1780" s="10"/>
    </row>
    <row r="1781">
      <c r="A1781" s="7"/>
      <c r="B1781" s="26">
        <v>144.0</v>
      </c>
      <c r="C1781" s="27">
        <v>10.0</v>
      </c>
      <c r="D1781" s="8" t="s">
        <v>2479</v>
      </c>
      <c r="E1781" s="7">
        <v>0.0</v>
      </c>
      <c r="F1781" s="7"/>
      <c r="G1781" s="7" t="s">
        <v>312</v>
      </c>
      <c r="H1781" s="7" t="s">
        <v>313</v>
      </c>
      <c r="I1781" s="10"/>
      <c r="J1781" s="11"/>
      <c r="K1781" s="12"/>
      <c r="L1781" s="12"/>
      <c r="M1781" s="10"/>
      <c r="N1781" s="10"/>
      <c r="O1781" s="10"/>
      <c r="P1781" s="10"/>
      <c r="Q1781" s="10"/>
      <c r="R1781" s="10"/>
      <c r="S1781" s="10"/>
      <c r="T1781" s="10"/>
      <c r="U1781" s="10"/>
      <c r="V1781" s="10"/>
      <c r="W1781" s="10"/>
      <c r="X1781" s="10"/>
      <c r="Y1781" s="10"/>
      <c r="Z1781" s="10"/>
      <c r="AA1781" s="10"/>
      <c r="AB1781" s="10"/>
      <c r="AC1781" s="10"/>
      <c r="AD1781" s="10"/>
      <c r="AE1781" s="10"/>
      <c r="AF1781" s="10"/>
    </row>
    <row r="1782">
      <c r="A1782" s="10"/>
      <c r="B1782" s="12"/>
      <c r="C1782" s="12"/>
      <c r="D1782" s="12"/>
      <c r="E1782" s="10"/>
      <c r="F1782" s="10"/>
      <c r="G1782" s="10"/>
      <c r="H1782" s="7"/>
      <c r="I1782" s="10"/>
      <c r="J1782" s="11"/>
      <c r="K1782" s="12"/>
      <c r="L1782" s="12"/>
      <c r="M1782" s="10"/>
      <c r="N1782" s="10"/>
      <c r="O1782" s="10"/>
      <c r="P1782" s="10"/>
      <c r="Q1782" s="10"/>
      <c r="R1782" s="10"/>
      <c r="S1782" s="10"/>
      <c r="T1782" s="10"/>
      <c r="U1782" s="10"/>
      <c r="V1782" s="10"/>
      <c r="W1782" s="10"/>
      <c r="X1782" s="10"/>
      <c r="Y1782" s="10"/>
      <c r="Z1782" s="10"/>
      <c r="AA1782" s="10"/>
      <c r="AB1782" s="10"/>
      <c r="AC1782" s="10"/>
      <c r="AD1782" s="10"/>
      <c r="AE1782" s="10"/>
      <c r="AF1782" s="10"/>
    </row>
    <row r="1783">
      <c r="A1783" s="7"/>
      <c r="B1783" s="26">
        <v>145.0</v>
      </c>
      <c r="C1783" s="27">
        <v>1.0</v>
      </c>
      <c r="D1783" s="8" t="s">
        <v>2480</v>
      </c>
      <c r="E1783" s="7">
        <v>2.0</v>
      </c>
      <c r="F1783" s="7"/>
      <c r="G1783" s="7" t="s">
        <v>312</v>
      </c>
      <c r="H1783" s="7" t="s">
        <v>313</v>
      </c>
      <c r="I1783" s="10"/>
      <c r="J1783" s="9" t="s">
        <v>2481</v>
      </c>
      <c r="K1783" s="8" t="s">
        <v>1664</v>
      </c>
      <c r="L1783" s="12"/>
      <c r="M1783" s="10"/>
      <c r="N1783" s="10"/>
      <c r="O1783" s="10"/>
      <c r="P1783" s="10"/>
      <c r="Q1783" s="10"/>
      <c r="R1783" s="10"/>
      <c r="S1783" s="10"/>
      <c r="T1783" s="10"/>
      <c r="U1783" s="10"/>
      <c r="V1783" s="10"/>
      <c r="W1783" s="10"/>
      <c r="X1783" s="10"/>
      <c r="Y1783" s="10"/>
      <c r="Z1783" s="10"/>
      <c r="AA1783" s="10"/>
      <c r="AB1783" s="10"/>
      <c r="AC1783" s="10"/>
      <c r="AD1783" s="10"/>
      <c r="AE1783" s="10"/>
      <c r="AF1783" s="10"/>
    </row>
    <row r="1784">
      <c r="A1784" s="7"/>
      <c r="B1784" s="26">
        <v>145.0</v>
      </c>
      <c r="C1784" s="27">
        <v>2.0</v>
      </c>
      <c r="D1784" s="8" t="s">
        <v>2482</v>
      </c>
      <c r="E1784" s="7">
        <v>0.0</v>
      </c>
      <c r="F1784" s="7"/>
      <c r="G1784" s="7" t="s">
        <v>312</v>
      </c>
      <c r="H1784" s="7" t="s">
        <v>313</v>
      </c>
      <c r="I1784" s="10"/>
      <c r="J1784" s="28"/>
      <c r="K1784" s="8" t="s">
        <v>2483</v>
      </c>
      <c r="L1784" s="12"/>
      <c r="M1784" s="10"/>
      <c r="N1784" s="10"/>
      <c r="O1784" s="10"/>
      <c r="P1784" s="10"/>
      <c r="Q1784" s="10"/>
      <c r="R1784" s="10"/>
      <c r="S1784" s="10"/>
      <c r="T1784" s="10"/>
      <c r="U1784" s="10"/>
      <c r="V1784" s="10"/>
      <c r="W1784" s="10"/>
      <c r="X1784" s="10"/>
      <c r="Y1784" s="10"/>
      <c r="Z1784" s="10"/>
      <c r="AA1784" s="10"/>
      <c r="AB1784" s="10"/>
      <c r="AC1784" s="10"/>
      <c r="AD1784" s="10"/>
      <c r="AE1784" s="10"/>
      <c r="AF1784" s="10"/>
    </row>
    <row r="1785">
      <c r="A1785" s="7"/>
      <c r="B1785" s="26">
        <v>145.0</v>
      </c>
      <c r="C1785" s="27">
        <v>3.0</v>
      </c>
      <c r="D1785" s="8" t="s">
        <v>2484</v>
      </c>
      <c r="E1785" s="7">
        <v>3.0</v>
      </c>
      <c r="F1785" s="7"/>
      <c r="G1785" s="7" t="s">
        <v>312</v>
      </c>
      <c r="H1785" s="7" t="s">
        <v>313</v>
      </c>
      <c r="I1785" s="10"/>
      <c r="J1785" s="9" t="s">
        <v>2485</v>
      </c>
      <c r="K1785" s="12"/>
      <c r="L1785" s="12"/>
      <c r="M1785" s="10"/>
      <c r="N1785" s="10"/>
      <c r="O1785" s="10"/>
      <c r="P1785" s="10"/>
      <c r="Q1785" s="10"/>
      <c r="R1785" s="10"/>
      <c r="S1785" s="10"/>
      <c r="T1785" s="10"/>
      <c r="U1785" s="10"/>
      <c r="V1785" s="10"/>
      <c r="W1785" s="10"/>
      <c r="X1785" s="10"/>
      <c r="Y1785" s="10"/>
      <c r="Z1785" s="10"/>
      <c r="AA1785" s="10"/>
      <c r="AB1785" s="10"/>
      <c r="AC1785" s="10"/>
      <c r="AD1785" s="10"/>
      <c r="AE1785" s="10"/>
      <c r="AF1785" s="10"/>
    </row>
    <row r="1786">
      <c r="A1786" s="10"/>
      <c r="B1786" s="12"/>
      <c r="C1786" s="12"/>
      <c r="D1786" s="12"/>
      <c r="E1786" s="10"/>
      <c r="F1786" s="10"/>
      <c r="G1786" s="10"/>
      <c r="H1786" s="10"/>
      <c r="I1786" s="10"/>
      <c r="J1786" s="11"/>
      <c r="K1786" s="12"/>
      <c r="L1786" s="12"/>
      <c r="M1786" s="10"/>
      <c r="N1786" s="10"/>
      <c r="O1786" s="10"/>
      <c r="P1786" s="10"/>
      <c r="Q1786" s="10"/>
      <c r="R1786" s="10"/>
      <c r="S1786" s="10"/>
      <c r="T1786" s="10"/>
      <c r="U1786" s="10"/>
      <c r="V1786" s="10"/>
      <c r="W1786" s="10"/>
      <c r="X1786" s="10"/>
      <c r="Y1786" s="10"/>
      <c r="Z1786" s="10"/>
      <c r="AA1786" s="10"/>
      <c r="AB1786" s="10"/>
      <c r="AC1786" s="10"/>
      <c r="AD1786" s="10"/>
      <c r="AE1786" s="10"/>
      <c r="AF1786" s="10"/>
    </row>
    <row r="1787">
      <c r="A1787" s="7"/>
      <c r="B1787" s="26">
        <v>146.0</v>
      </c>
      <c r="C1787" s="27">
        <v>1.0</v>
      </c>
      <c r="D1787" s="8" t="s">
        <v>2486</v>
      </c>
      <c r="E1787" s="7">
        <v>2.0</v>
      </c>
      <c r="F1787" s="7"/>
      <c r="G1787" s="7" t="s">
        <v>312</v>
      </c>
      <c r="H1787" s="7" t="s">
        <v>313</v>
      </c>
      <c r="I1787" s="10"/>
      <c r="J1787" s="9" t="s">
        <v>2487</v>
      </c>
      <c r="K1787" s="8" t="s">
        <v>1664</v>
      </c>
      <c r="L1787" s="12"/>
      <c r="M1787" s="10"/>
      <c r="N1787" s="10"/>
      <c r="O1787" s="10"/>
      <c r="P1787" s="10"/>
      <c r="Q1787" s="10"/>
      <c r="R1787" s="10"/>
      <c r="S1787" s="10"/>
      <c r="T1787" s="10"/>
      <c r="U1787" s="10"/>
      <c r="V1787" s="10"/>
      <c r="W1787" s="10"/>
      <c r="X1787" s="10"/>
      <c r="Y1787" s="10"/>
      <c r="Z1787" s="10"/>
      <c r="AA1787" s="10"/>
      <c r="AB1787" s="10"/>
      <c r="AC1787" s="10"/>
      <c r="AD1787" s="10"/>
      <c r="AE1787" s="10"/>
      <c r="AF1787" s="10"/>
    </row>
    <row r="1788">
      <c r="A1788" s="7"/>
      <c r="B1788" s="26">
        <v>146.0</v>
      </c>
      <c r="C1788" s="27">
        <v>2.0</v>
      </c>
      <c r="D1788" s="8" t="s">
        <v>2488</v>
      </c>
      <c r="E1788" s="7">
        <v>0.0</v>
      </c>
      <c r="F1788" s="7"/>
      <c r="G1788" s="7" t="s">
        <v>312</v>
      </c>
      <c r="H1788" s="7" t="s">
        <v>313</v>
      </c>
      <c r="I1788" s="10"/>
      <c r="J1788" s="28"/>
      <c r="K1788" s="12"/>
      <c r="L1788" s="14" t="s">
        <v>2489</v>
      </c>
      <c r="M1788" s="10"/>
      <c r="N1788" s="10"/>
      <c r="O1788" s="10"/>
      <c r="P1788" s="10"/>
      <c r="Q1788" s="10"/>
      <c r="R1788" s="10"/>
      <c r="S1788" s="10"/>
      <c r="T1788" s="10"/>
      <c r="U1788" s="10"/>
      <c r="V1788" s="10"/>
      <c r="W1788" s="10"/>
      <c r="X1788" s="10"/>
      <c r="Y1788" s="10"/>
      <c r="Z1788" s="10"/>
      <c r="AA1788" s="10"/>
      <c r="AB1788" s="10"/>
      <c r="AC1788" s="10"/>
      <c r="AD1788" s="10"/>
      <c r="AE1788" s="10"/>
      <c r="AF1788" s="10"/>
    </row>
    <row r="1789">
      <c r="A1789" s="7"/>
      <c r="B1789" s="26">
        <v>146.0</v>
      </c>
      <c r="C1789" s="27">
        <v>3.0</v>
      </c>
      <c r="D1789" s="8" t="s">
        <v>2490</v>
      </c>
      <c r="E1789" s="7">
        <v>2.0</v>
      </c>
      <c r="F1789" s="7"/>
      <c r="G1789" s="7" t="s">
        <v>312</v>
      </c>
      <c r="H1789" s="7" t="s">
        <v>313</v>
      </c>
      <c r="I1789" s="10"/>
      <c r="J1789" s="9" t="s">
        <v>2491</v>
      </c>
      <c r="K1789" s="8" t="s">
        <v>1664</v>
      </c>
      <c r="L1789" s="12"/>
      <c r="M1789" s="10"/>
      <c r="N1789" s="10"/>
      <c r="O1789" s="10"/>
      <c r="P1789" s="10"/>
      <c r="Q1789" s="10"/>
      <c r="R1789" s="10"/>
      <c r="S1789" s="10"/>
      <c r="T1789" s="10"/>
      <c r="U1789" s="10"/>
      <c r="V1789" s="10"/>
      <c r="W1789" s="10"/>
      <c r="X1789" s="10"/>
      <c r="Y1789" s="10"/>
      <c r="Z1789" s="10"/>
      <c r="AA1789" s="10"/>
      <c r="AB1789" s="10"/>
      <c r="AC1789" s="10"/>
      <c r="AD1789" s="10"/>
      <c r="AE1789" s="10"/>
      <c r="AF1789" s="10"/>
    </row>
    <row r="1790">
      <c r="A1790" s="7"/>
      <c r="B1790" s="26">
        <v>146.0</v>
      </c>
      <c r="C1790" s="27">
        <v>4.0</v>
      </c>
      <c r="D1790" s="8" t="s">
        <v>2492</v>
      </c>
      <c r="E1790" s="7">
        <v>0.0</v>
      </c>
      <c r="F1790" s="7"/>
      <c r="G1790" s="7" t="s">
        <v>312</v>
      </c>
      <c r="H1790" s="7" t="s">
        <v>313</v>
      </c>
      <c r="I1790" s="10"/>
      <c r="J1790" s="11"/>
      <c r="K1790" s="12"/>
      <c r="L1790" s="12"/>
      <c r="M1790" s="10"/>
      <c r="N1790" s="10"/>
      <c r="O1790" s="10"/>
      <c r="P1790" s="10"/>
      <c r="Q1790" s="10"/>
      <c r="R1790" s="10"/>
      <c r="S1790" s="10"/>
      <c r="T1790" s="10"/>
      <c r="U1790" s="10"/>
      <c r="V1790" s="10"/>
      <c r="W1790" s="10"/>
      <c r="X1790" s="10"/>
      <c r="Y1790" s="10"/>
      <c r="Z1790" s="10"/>
      <c r="AA1790" s="10"/>
      <c r="AB1790" s="10"/>
      <c r="AC1790" s="10"/>
      <c r="AD1790" s="10"/>
      <c r="AE1790" s="10"/>
      <c r="AF1790" s="10"/>
    </row>
    <row r="1791">
      <c r="A1791" s="7"/>
      <c r="B1791" s="26">
        <v>146.0</v>
      </c>
      <c r="C1791" s="27">
        <v>5.0</v>
      </c>
      <c r="D1791" s="8" t="s">
        <v>2493</v>
      </c>
      <c r="E1791" s="7">
        <v>0.0</v>
      </c>
      <c r="F1791" s="7"/>
      <c r="G1791" s="7" t="s">
        <v>312</v>
      </c>
      <c r="H1791" s="7" t="s">
        <v>313</v>
      </c>
      <c r="I1791" s="10"/>
      <c r="J1791" s="11"/>
      <c r="K1791" s="12"/>
      <c r="L1791" s="14" t="s">
        <v>2489</v>
      </c>
      <c r="M1791" s="10"/>
      <c r="N1791" s="10"/>
      <c r="O1791" s="10"/>
      <c r="P1791" s="10"/>
      <c r="Q1791" s="10"/>
      <c r="R1791" s="10"/>
      <c r="S1791" s="10"/>
      <c r="T1791" s="10"/>
      <c r="U1791" s="10"/>
      <c r="V1791" s="10"/>
      <c r="W1791" s="10"/>
      <c r="X1791" s="10"/>
      <c r="Y1791" s="10"/>
      <c r="Z1791" s="10"/>
      <c r="AA1791" s="10"/>
      <c r="AB1791" s="10"/>
      <c r="AC1791" s="10"/>
      <c r="AD1791" s="10"/>
      <c r="AE1791" s="10"/>
      <c r="AF1791" s="10"/>
    </row>
    <row r="1792">
      <c r="A1792" s="7"/>
      <c r="B1792" s="26">
        <v>146.0</v>
      </c>
      <c r="C1792" s="27">
        <v>6.0</v>
      </c>
      <c r="D1792" s="8" t="s">
        <v>2494</v>
      </c>
      <c r="E1792" s="7">
        <v>0.0</v>
      </c>
      <c r="F1792" s="7"/>
      <c r="G1792" s="7" t="s">
        <v>312</v>
      </c>
      <c r="H1792" s="7" t="s">
        <v>313</v>
      </c>
      <c r="I1792" s="10"/>
      <c r="J1792" s="11"/>
      <c r="K1792" s="12"/>
      <c r="L1792" s="12"/>
      <c r="M1792" s="10"/>
      <c r="N1792" s="10"/>
      <c r="O1792" s="10"/>
      <c r="P1792" s="10"/>
      <c r="Q1792" s="10"/>
      <c r="R1792" s="10"/>
      <c r="S1792" s="10"/>
      <c r="T1792" s="10"/>
      <c r="U1792" s="10"/>
      <c r="V1792" s="10"/>
      <c r="W1792" s="10"/>
      <c r="X1792" s="10"/>
      <c r="Y1792" s="10"/>
      <c r="Z1792" s="10"/>
      <c r="AA1792" s="10"/>
      <c r="AB1792" s="10"/>
      <c r="AC1792" s="10"/>
      <c r="AD1792" s="10"/>
      <c r="AE1792" s="10"/>
      <c r="AF1792" s="10"/>
    </row>
    <row r="1793">
      <c r="A1793" s="7"/>
      <c r="B1793" s="26">
        <v>146.0</v>
      </c>
      <c r="C1793" s="27">
        <v>7.0</v>
      </c>
      <c r="D1793" s="8" t="s">
        <v>2495</v>
      </c>
      <c r="E1793" s="7">
        <v>2.0</v>
      </c>
      <c r="F1793" s="7" t="s">
        <v>320</v>
      </c>
      <c r="G1793" s="7" t="s">
        <v>312</v>
      </c>
      <c r="H1793" s="7" t="s">
        <v>313</v>
      </c>
      <c r="I1793" s="7" t="s">
        <v>366</v>
      </c>
      <c r="J1793" s="9" t="s">
        <v>2496</v>
      </c>
      <c r="K1793" s="12"/>
      <c r="L1793" s="12"/>
      <c r="M1793" s="10"/>
      <c r="N1793" s="10"/>
      <c r="O1793" s="10"/>
      <c r="P1793" s="10"/>
      <c r="Q1793" s="10"/>
      <c r="R1793" s="10"/>
      <c r="S1793" s="10"/>
      <c r="T1793" s="10"/>
      <c r="U1793" s="10"/>
      <c r="V1793" s="10"/>
      <c r="W1793" s="10"/>
      <c r="X1793" s="10"/>
      <c r="Y1793" s="10"/>
      <c r="Z1793" s="10"/>
      <c r="AA1793" s="10"/>
      <c r="AB1793" s="10"/>
      <c r="AC1793" s="10"/>
      <c r="AD1793" s="10"/>
      <c r="AE1793" s="10"/>
      <c r="AF1793" s="10"/>
    </row>
    <row r="1794">
      <c r="A1794" s="7"/>
      <c r="B1794" s="26">
        <v>146.0</v>
      </c>
      <c r="C1794" s="27">
        <v>8.0</v>
      </c>
      <c r="D1794" s="8" t="s">
        <v>2497</v>
      </c>
      <c r="E1794" s="7">
        <v>0.0</v>
      </c>
      <c r="F1794" s="7"/>
      <c r="G1794" s="7" t="s">
        <v>312</v>
      </c>
      <c r="H1794" s="7" t="s">
        <v>313</v>
      </c>
      <c r="I1794" s="10"/>
      <c r="J1794" s="11"/>
      <c r="K1794" s="12"/>
      <c r="L1794" s="14" t="s">
        <v>2489</v>
      </c>
      <c r="M1794" s="10"/>
      <c r="N1794" s="10"/>
      <c r="O1794" s="10"/>
      <c r="P1794" s="10"/>
      <c r="Q1794" s="10"/>
      <c r="R1794" s="10"/>
      <c r="S1794" s="10"/>
      <c r="T1794" s="10"/>
      <c r="U1794" s="10"/>
      <c r="V1794" s="10"/>
      <c r="W1794" s="10"/>
      <c r="X1794" s="10"/>
      <c r="Y1794" s="10"/>
      <c r="Z1794" s="10"/>
      <c r="AA1794" s="10"/>
      <c r="AB1794" s="10"/>
      <c r="AC1794" s="10"/>
      <c r="AD1794" s="10"/>
      <c r="AE1794" s="10"/>
      <c r="AF1794" s="10"/>
    </row>
    <row r="1795">
      <c r="A1795" s="7"/>
      <c r="B1795" s="26">
        <v>146.0</v>
      </c>
      <c r="C1795" s="27">
        <v>9.0</v>
      </c>
      <c r="D1795" s="8" t="s">
        <v>2498</v>
      </c>
      <c r="E1795" s="7">
        <v>0.0</v>
      </c>
      <c r="F1795" s="7"/>
      <c r="G1795" s="7" t="s">
        <v>312</v>
      </c>
      <c r="H1795" s="7" t="s">
        <v>313</v>
      </c>
      <c r="I1795" s="10"/>
      <c r="J1795" s="11"/>
      <c r="K1795" s="12"/>
      <c r="L1795" s="14" t="s">
        <v>2489</v>
      </c>
      <c r="M1795" s="10"/>
      <c r="N1795" s="10"/>
      <c r="O1795" s="10"/>
      <c r="P1795" s="10"/>
      <c r="Q1795" s="10"/>
      <c r="R1795" s="10"/>
      <c r="S1795" s="10"/>
      <c r="T1795" s="10"/>
      <c r="U1795" s="10"/>
      <c r="V1795" s="10"/>
      <c r="W1795" s="10"/>
      <c r="X1795" s="10"/>
      <c r="Y1795" s="10"/>
      <c r="Z1795" s="10"/>
      <c r="AA1795" s="10"/>
      <c r="AB1795" s="10"/>
      <c r="AC1795" s="10"/>
      <c r="AD1795" s="10"/>
      <c r="AE1795" s="10"/>
      <c r="AF1795" s="10"/>
    </row>
    <row r="1796">
      <c r="A1796" s="7"/>
      <c r="B1796" s="26">
        <v>146.0</v>
      </c>
      <c r="C1796" s="27">
        <v>10.0</v>
      </c>
      <c r="D1796" s="8" t="s">
        <v>2499</v>
      </c>
      <c r="E1796" s="7">
        <v>2.0</v>
      </c>
      <c r="F1796" s="7"/>
      <c r="G1796" s="7" t="s">
        <v>312</v>
      </c>
      <c r="H1796" s="7" t="s">
        <v>313</v>
      </c>
      <c r="I1796" s="10"/>
      <c r="J1796" s="11"/>
      <c r="K1796" s="8" t="s">
        <v>1664</v>
      </c>
      <c r="L1796" s="12"/>
      <c r="M1796" s="10"/>
      <c r="N1796" s="10"/>
      <c r="O1796" s="10"/>
      <c r="P1796" s="10"/>
      <c r="Q1796" s="10"/>
      <c r="R1796" s="10"/>
      <c r="S1796" s="10"/>
      <c r="T1796" s="10"/>
      <c r="U1796" s="10"/>
      <c r="V1796" s="10"/>
      <c r="W1796" s="10"/>
      <c r="X1796" s="10"/>
      <c r="Y1796" s="10"/>
      <c r="Z1796" s="10"/>
      <c r="AA1796" s="10"/>
      <c r="AB1796" s="10"/>
      <c r="AC1796" s="10"/>
      <c r="AD1796" s="10"/>
      <c r="AE1796" s="10"/>
      <c r="AF1796" s="10"/>
    </row>
    <row r="1797">
      <c r="A1797" s="10"/>
      <c r="B1797" s="12"/>
      <c r="C1797" s="12"/>
      <c r="D1797" s="12"/>
      <c r="E1797" s="10"/>
      <c r="F1797" s="10"/>
      <c r="G1797" s="10"/>
      <c r="H1797" s="10"/>
      <c r="I1797" s="10"/>
      <c r="J1797" s="11"/>
      <c r="K1797" s="12"/>
      <c r="L1797" s="12"/>
      <c r="M1797" s="10"/>
      <c r="N1797" s="10"/>
      <c r="O1797" s="10"/>
      <c r="P1797" s="10"/>
      <c r="Q1797" s="10"/>
      <c r="R1797" s="10"/>
      <c r="S1797" s="10"/>
      <c r="T1797" s="10"/>
      <c r="U1797" s="10"/>
      <c r="V1797" s="10"/>
      <c r="W1797" s="10"/>
      <c r="X1797" s="10"/>
      <c r="Y1797" s="10"/>
      <c r="Z1797" s="10"/>
      <c r="AA1797" s="10"/>
      <c r="AB1797" s="10"/>
      <c r="AC1797" s="10"/>
      <c r="AD1797" s="10"/>
      <c r="AE1797" s="10"/>
      <c r="AF1797" s="10"/>
    </row>
    <row r="1798">
      <c r="A1798" s="7"/>
      <c r="B1798" s="26">
        <v>147.0</v>
      </c>
      <c r="C1798" s="27">
        <v>1.0</v>
      </c>
      <c r="D1798" s="8" t="s">
        <v>2500</v>
      </c>
      <c r="E1798" s="7">
        <v>0.0</v>
      </c>
      <c r="F1798" s="7"/>
      <c r="G1798" s="7" t="s">
        <v>312</v>
      </c>
      <c r="H1798" s="7" t="s">
        <v>313</v>
      </c>
      <c r="I1798" s="10"/>
      <c r="J1798" s="11"/>
      <c r="K1798" s="12"/>
      <c r="L1798" s="12"/>
      <c r="M1798" s="10"/>
      <c r="N1798" s="10"/>
      <c r="O1798" s="10"/>
      <c r="P1798" s="10"/>
      <c r="Q1798" s="10"/>
      <c r="R1798" s="10"/>
      <c r="S1798" s="10"/>
      <c r="T1798" s="10"/>
      <c r="U1798" s="10"/>
      <c r="V1798" s="10"/>
      <c r="W1798" s="10"/>
      <c r="X1798" s="10"/>
      <c r="Y1798" s="10"/>
      <c r="Z1798" s="10"/>
      <c r="AA1798" s="10"/>
      <c r="AB1798" s="10"/>
      <c r="AC1798" s="10"/>
      <c r="AD1798" s="10"/>
      <c r="AE1798" s="10"/>
      <c r="AF1798" s="10"/>
    </row>
    <row r="1799">
      <c r="A1799" s="7"/>
      <c r="B1799" s="26">
        <v>147.0</v>
      </c>
      <c r="C1799" s="27">
        <v>2.0</v>
      </c>
      <c r="D1799" s="8" t="s">
        <v>2501</v>
      </c>
      <c r="E1799" s="7">
        <v>0.0</v>
      </c>
      <c r="F1799" s="7"/>
      <c r="G1799" s="7" t="s">
        <v>312</v>
      </c>
      <c r="H1799" s="7" t="s">
        <v>313</v>
      </c>
      <c r="I1799" s="10"/>
      <c r="J1799" s="11"/>
      <c r="K1799" s="12"/>
      <c r="L1799" s="12"/>
      <c r="M1799" s="10"/>
      <c r="N1799" s="10"/>
      <c r="O1799" s="10"/>
      <c r="P1799" s="10"/>
      <c r="Q1799" s="10"/>
      <c r="R1799" s="10"/>
      <c r="S1799" s="10"/>
      <c r="T1799" s="10"/>
      <c r="U1799" s="10"/>
      <c r="V1799" s="10"/>
      <c r="W1799" s="10"/>
      <c r="X1799" s="10"/>
      <c r="Y1799" s="10"/>
      <c r="Z1799" s="10"/>
      <c r="AA1799" s="10"/>
      <c r="AB1799" s="10"/>
      <c r="AC1799" s="10"/>
      <c r="AD1799" s="10"/>
      <c r="AE1799" s="10"/>
      <c r="AF1799" s="10"/>
    </row>
    <row r="1800">
      <c r="A1800" s="7"/>
      <c r="B1800" s="26">
        <v>147.0</v>
      </c>
      <c r="C1800" s="27">
        <v>3.0</v>
      </c>
      <c r="D1800" s="8" t="s">
        <v>2502</v>
      </c>
      <c r="E1800" s="7">
        <v>0.0</v>
      </c>
      <c r="F1800" s="7"/>
      <c r="G1800" s="7" t="s">
        <v>312</v>
      </c>
      <c r="H1800" s="7" t="s">
        <v>313</v>
      </c>
      <c r="I1800" s="10"/>
      <c r="J1800" s="11"/>
      <c r="K1800" s="12"/>
      <c r="L1800" s="12"/>
      <c r="M1800" s="10"/>
      <c r="N1800" s="10"/>
      <c r="O1800" s="10"/>
      <c r="P1800" s="10"/>
      <c r="Q1800" s="10"/>
      <c r="R1800" s="10"/>
      <c r="S1800" s="10"/>
      <c r="T1800" s="10"/>
      <c r="U1800" s="10"/>
      <c r="V1800" s="10"/>
      <c r="W1800" s="10"/>
      <c r="X1800" s="10"/>
      <c r="Y1800" s="10"/>
      <c r="Z1800" s="10"/>
      <c r="AA1800" s="10"/>
      <c r="AB1800" s="10"/>
      <c r="AC1800" s="10"/>
      <c r="AD1800" s="10"/>
      <c r="AE1800" s="10"/>
      <c r="AF1800" s="10"/>
    </row>
    <row r="1801">
      <c r="A1801" s="7"/>
      <c r="B1801" s="26">
        <v>147.0</v>
      </c>
      <c r="C1801" s="27">
        <v>4.0</v>
      </c>
      <c r="D1801" s="8" t="s">
        <v>2503</v>
      </c>
      <c r="E1801" s="7">
        <v>2.0</v>
      </c>
      <c r="F1801" s="7"/>
      <c r="G1801" s="7" t="s">
        <v>312</v>
      </c>
      <c r="H1801" s="7" t="s">
        <v>313</v>
      </c>
      <c r="I1801" s="7"/>
      <c r="J1801" s="9"/>
      <c r="K1801" s="8" t="s">
        <v>1664</v>
      </c>
      <c r="L1801" s="12"/>
      <c r="M1801" s="10"/>
      <c r="N1801" s="10"/>
      <c r="O1801" s="10"/>
      <c r="P1801" s="10"/>
      <c r="Q1801" s="10"/>
      <c r="R1801" s="10"/>
      <c r="S1801" s="10"/>
      <c r="T1801" s="10"/>
      <c r="U1801" s="10"/>
      <c r="V1801" s="10"/>
      <c r="W1801" s="10"/>
      <c r="X1801" s="10"/>
      <c r="Y1801" s="10"/>
      <c r="Z1801" s="10"/>
      <c r="AA1801" s="10"/>
      <c r="AB1801" s="10"/>
      <c r="AC1801" s="10"/>
      <c r="AD1801" s="10"/>
      <c r="AE1801" s="10"/>
      <c r="AF1801" s="10"/>
    </row>
    <row r="1802">
      <c r="A1802" s="7"/>
      <c r="B1802" s="26">
        <v>147.0</v>
      </c>
      <c r="C1802" s="27">
        <v>5.0</v>
      </c>
      <c r="D1802" s="8" t="s">
        <v>2504</v>
      </c>
      <c r="E1802" s="7">
        <v>2.0</v>
      </c>
      <c r="F1802" s="7" t="s">
        <v>320</v>
      </c>
      <c r="G1802" s="7" t="s">
        <v>312</v>
      </c>
      <c r="H1802" s="7" t="s">
        <v>313</v>
      </c>
      <c r="I1802" s="7" t="s">
        <v>366</v>
      </c>
      <c r="J1802" s="9" t="s">
        <v>2505</v>
      </c>
      <c r="K1802" s="12"/>
      <c r="L1802" s="12"/>
      <c r="M1802" s="10"/>
      <c r="N1802" s="10"/>
      <c r="O1802" s="10"/>
      <c r="P1802" s="10"/>
      <c r="Q1802" s="10"/>
      <c r="R1802" s="10"/>
      <c r="S1802" s="10"/>
      <c r="T1802" s="10"/>
      <c r="U1802" s="10"/>
      <c r="V1802" s="10"/>
      <c r="W1802" s="10"/>
      <c r="X1802" s="10"/>
      <c r="Y1802" s="10"/>
      <c r="Z1802" s="10"/>
      <c r="AA1802" s="10"/>
      <c r="AB1802" s="10"/>
      <c r="AC1802" s="10"/>
      <c r="AD1802" s="10"/>
      <c r="AE1802" s="10"/>
      <c r="AF1802" s="10"/>
    </row>
    <row r="1803">
      <c r="A1803" s="7"/>
      <c r="B1803" s="26">
        <v>147.0</v>
      </c>
      <c r="C1803" s="27">
        <v>6.0</v>
      </c>
      <c r="D1803" s="8" t="s">
        <v>2506</v>
      </c>
      <c r="E1803" s="7">
        <v>2.0</v>
      </c>
      <c r="F1803" s="7" t="s">
        <v>320</v>
      </c>
      <c r="G1803" s="7" t="s">
        <v>312</v>
      </c>
      <c r="H1803" s="7" t="s">
        <v>313</v>
      </c>
      <c r="I1803" s="7" t="s">
        <v>366</v>
      </c>
      <c r="J1803" s="9" t="s">
        <v>2505</v>
      </c>
      <c r="K1803" s="12"/>
      <c r="L1803" s="12"/>
      <c r="M1803" s="10"/>
      <c r="N1803" s="10"/>
      <c r="O1803" s="10"/>
      <c r="P1803" s="10"/>
      <c r="Q1803" s="10"/>
      <c r="R1803" s="10"/>
      <c r="S1803" s="10"/>
      <c r="T1803" s="10"/>
      <c r="U1803" s="10"/>
      <c r="V1803" s="10"/>
      <c r="W1803" s="10"/>
      <c r="X1803" s="10"/>
      <c r="Y1803" s="10"/>
      <c r="Z1803" s="10"/>
      <c r="AA1803" s="10"/>
      <c r="AB1803" s="10"/>
      <c r="AC1803" s="10"/>
      <c r="AD1803" s="10"/>
      <c r="AE1803" s="10"/>
      <c r="AF1803" s="10"/>
    </row>
    <row r="1804">
      <c r="A1804" s="7"/>
      <c r="B1804" s="26">
        <v>147.0</v>
      </c>
      <c r="C1804" s="27">
        <v>7.0</v>
      </c>
      <c r="D1804" s="8" t="s">
        <v>2507</v>
      </c>
      <c r="E1804" s="7">
        <v>2.0</v>
      </c>
      <c r="F1804" s="7"/>
      <c r="G1804" s="7" t="s">
        <v>312</v>
      </c>
      <c r="H1804" s="7" t="s">
        <v>313</v>
      </c>
      <c r="I1804" s="10"/>
      <c r="J1804" s="11"/>
      <c r="K1804" s="8" t="s">
        <v>1664</v>
      </c>
      <c r="L1804" s="12"/>
      <c r="M1804" s="10"/>
      <c r="N1804" s="10"/>
      <c r="O1804" s="10"/>
      <c r="P1804" s="10"/>
      <c r="Q1804" s="10"/>
      <c r="R1804" s="10"/>
      <c r="S1804" s="10"/>
      <c r="T1804" s="10"/>
      <c r="U1804" s="10"/>
      <c r="V1804" s="10"/>
      <c r="W1804" s="10"/>
      <c r="X1804" s="10"/>
      <c r="Y1804" s="10"/>
      <c r="Z1804" s="10"/>
      <c r="AA1804" s="10"/>
      <c r="AB1804" s="10"/>
      <c r="AC1804" s="10"/>
      <c r="AD1804" s="10"/>
      <c r="AE1804" s="10"/>
      <c r="AF1804" s="10"/>
    </row>
    <row r="1805">
      <c r="A1805" s="7"/>
      <c r="B1805" s="26">
        <v>147.0</v>
      </c>
      <c r="C1805" s="27">
        <v>8.0</v>
      </c>
      <c r="D1805" s="8" t="s">
        <v>2508</v>
      </c>
      <c r="E1805" s="7">
        <v>2.0</v>
      </c>
      <c r="F1805" s="7"/>
      <c r="G1805" s="7" t="s">
        <v>312</v>
      </c>
      <c r="H1805" s="7" t="s">
        <v>313</v>
      </c>
      <c r="I1805" s="7" t="s">
        <v>366</v>
      </c>
      <c r="J1805" s="9" t="s">
        <v>2505</v>
      </c>
      <c r="K1805" s="12"/>
      <c r="L1805" s="12"/>
      <c r="M1805" s="10"/>
      <c r="N1805" s="10"/>
      <c r="O1805" s="10"/>
      <c r="P1805" s="10"/>
      <c r="Q1805" s="10"/>
      <c r="R1805" s="10"/>
      <c r="S1805" s="10"/>
      <c r="T1805" s="10"/>
      <c r="U1805" s="10"/>
      <c r="V1805" s="10"/>
      <c r="W1805" s="10"/>
      <c r="X1805" s="10"/>
      <c r="Y1805" s="10"/>
      <c r="Z1805" s="10"/>
      <c r="AA1805" s="10"/>
      <c r="AB1805" s="10"/>
      <c r="AC1805" s="10"/>
      <c r="AD1805" s="10"/>
      <c r="AE1805" s="10"/>
      <c r="AF1805" s="10"/>
    </row>
    <row r="1806">
      <c r="A1806" s="7"/>
      <c r="B1806" s="26">
        <v>147.0</v>
      </c>
      <c r="C1806" s="27">
        <v>9.0</v>
      </c>
      <c r="D1806" s="8" t="s">
        <v>2509</v>
      </c>
      <c r="E1806" s="7">
        <v>0.0</v>
      </c>
      <c r="F1806" s="7"/>
      <c r="G1806" s="7" t="s">
        <v>312</v>
      </c>
      <c r="H1806" s="7" t="s">
        <v>313</v>
      </c>
      <c r="I1806" s="10"/>
      <c r="J1806" s="11"/>
      <c r="K1806" s="12"/>
      <c r="L1806" s="12"/>
      <c r="M1806" s="10"/>
      <c r="N1806" s="10"/>
      <c r="O1806" s="10"/>
      <c r="P1806" s="10"/>
      <c r="Q1806" s="10"/>
      <c r="R1806" s="10"/>
      <c r="S1806" s="10"/>
      <c r="T1806" s="10"/>
      <c r="U1806" s="10"/>
      <c r="V1806" s="10"/>
      <c r="W1806" s="10"/>
      <c r="X1806" s="10"/>
      <c r="Y1806" s="10"/>
      <c r="Z1806" s="10"/>
      <c r="AA1806" s="10"/>
      <c r="AB1806" s="10"/>
      <c r="AC1806" s="10"/>
      <c r="AD1806" s="10"/>
      <c r="AE1806" s="10"/>
      <c r="AF1806" s="10"/>
    </row>
    <row r="1807">
      <c r="A1807" s="7"/>
      <c r="B1807" s="26">
        <v>147.0</v>
      </c>
      <c r="C1807" s="27">
        <v>10.0</v>
      </c>
      <c r="D1807" s="8" t="s">
        <v>2510</v>
      </c>
      <c r="E1807" s="7">
        <v>0.0</v>
      </c>
      <c r="F1807" s="7"/>
      <c r="G1807" s="7" t="s">
        <v>312</v>
      </c>
      <c r="H1807" s="7" t="s">
        <v>313</v>
      </c>
      <c r="I1807" s="10"/>
      <c r="J1807" s="11"/>
      <c r="K1807" s="12"/>
      <c r="L1807" s="12"/>
      <c r="M1807" s="10"/>
      <c r="N1807" s="10"/>
      <c r="O1807" s="10"/>
      <c r="P1807" s="10"/>
      <c r="Q1807" s="10"/>
      <c r="R1807" s="10"/>
      <c r="S1807" s="10"/>
      <c r="T1807" s="10"/>
      <c r="U1807" s="10"/>
      <c r="V1807" s="10"/>
      <c r="W1807" s="10"/>
      <c r="X1807" s="10"/>
      <c r="Y1807" s="10"/>
      <c r="Z1807" s="10"/>
      <c r="AA1807" s="10"/>
      <c r="AB1807" s="10"/>
      <c r="AC1807" s="10"/>
      <c r="AD1807" s="10"/>
      <c r="AE1807" s="10"/>
      <c r="AF1807" s="10"/>
    </row>
    <row r="1808">
      <c r="A1808" s="7"/>
      <c r="B1808" s="26">
        <v>147.0</v>
      </c>
      <c r="C1808" s="27">
        <v>11.0</v>
      </c>
      <c r="D1808" s="8" t="s">
        <v>2511</v>
      </c>
      <c r="E1808" s="7">
        <v>2.0</v>
      </c>
      <c r="F1808" s="7" t="s">
        <v>320</v>
      </c>
      <c r="G1808" s="7" t="s">
        <v>312</v>
      </c>
      <c r="H1808" s="7" t="s">
        <v>313</v>
      </c>
      <c r="I1808" s="7" t="s">
        <v>320</v>
      </c>
      <c r="J1808" s="9" t="s">
        <v>2512</v>
      </c>
      <c r="K1808" s="12"/>
      <c r="L1808" s="12"/>
      <c r="M1808" s="10"/>
      <c r="N1808" s="10"/>
      <c r="O1808" s="10"/>
      <c r="P1808" s="10"/>
      <c r="Q1808" s="10"/>
      <c r="R1808" s="10"/>
      <c r="S1808" s="10"/>
      <c r="T1808" s="10"/>
      <c r="U1808" s="10"/>
      <c r="V1808" s="10"/>
      <c r="W1808" s="10"/>
      <c r="X1808" s="10"/>
      <c r="Y1808" s="10"/>
      <c r="Z1808" s="10"/>
      <c r="AA1808" s="10"/>
      <c r="AB1808" s="10"/>
      <c r="AC1808" s="10"/>
      <c r="AD1808" s="10"/>
      <c r="AE1808" s="10"/>
      <c r="AF1808" s="10"/>
    </row>
    <row r="1809">
      <c r="A1809" s="7"/>
      <c r="B1809" s="26">
        <v>147.0</v>
      </c>
      <c r="C1809" s="27">
        <v>12.0</v>
      </c>
      <c r="D1809" s="8" t="s">
        <v>2513</v>
      </c>
      <c r="E1809" s="7">
        <v>2.0</v>
      </c>
      <c r="F1809" s="7" t="s">
        <v>320</v>
      </c>
      <c r="G1809" s="7" t="s">
        <v>312</v>
      </c>
      <c r="H1809" s="7" t="s">
        <v>313</v>
      </c>
      <c r="I1809" s="7" t="s">
        <v>366</v>
      </c>
      <c r="J1809" s="9" t="s">
        <v>2514</v>
      </c>
      <c r="K1809" s="12"/>
      <c r="L1809" s="12"/>
      <c r="M1809" s="10"/>
      <c r="N1809" s="10"/>
      <c r="O1809" s="10"/>
      <c r="P1809" s="10"/>
      <c r="Q1809" s="10"/>
      <c r="R1809" s="10"/>
      <c r="S1809" s="10"/>
      <c r="T1809" s="10"/>
      <c r="U1809" s="10"/>
      <c r="V1809" s="10"/>
      <c r="W1809" s="10"/>
      <c r="X1809" s="10"/>
      <c r="Y1809" s="10"/>
      <c r="Z1809" s="10"/>
      <c r="AA1809" s="10"/>
      <c r="AB1809" s="10"/>
      <c r="AC1809" s="10"/>
      <c r="AD1809" s="10"/>
      <c r="AE1809" s="10"/>
      <c r="AF1809" s="10"/>
    </row>
    <row r="1810">
      <c r="A1810" s="7"/>
      <c r="B1810" s="26">
        <v>147.0</v>
      </c>
      <c r="C1810" s="27">
        <v>13.0</v>
      </c>
      <c r="D1810" s="8" t="s">
        <v>2515</v>
      </c>
      <c r="E1810" s="7">
        <v>2.0</v>
      </c>
      <c r="F1810" s="7" t="s">
        <v>320</v>
      </c>
      <c r="G1810" s="7" t="s">
        <v>312</v>
      </c>
      <c r="H1810" s="7" t="s">
        <v>313</v>
      </c>
      <c r="I1810" s="7" t="s">
        <v>366</v>
      </c>
      <c r="J1810" s="9" t="s">
        <v>2514</v>
      </c>
      <c r="K1810" s="12"/>
      <c r="L1810" s="12"/>
      <c r="M1810" s="10"/>
      <c r="N1810" s="10"/>
      <c r="O1810" s="10"/>
      <c r="P1810" s="10"/>
      <c r="Q1810" s="10"/>
      <c r="R1810" s="10"/>
      <c r="S1810" s="10"/>
      <c r="T1810" s="10"/>
      <c r="U1810" s="10"/>
      <c r="V1810" s="10"/>
      <c r="W1810" s="10"/>
      <c r="X1810" s="10"/>
      <c r="Y1810" s="10"/>
      <c r="Z1810" s="10"/>
      <c r="AA1810" s="10"/>
      <c r="AB1810" s="10"/>
      <c r="AC1810" s="10"/>
      <c r="AD1810" s="10"/>
      <c r="AE1810" s="10"/>
      <c r="AF1810" s="10"/>
    </row>
    <row r="1811">
      <c r="A1811" s="7"/>
      <c r="B1811" s="26">
        <v>147.0</v>
      </c>
      <c r="C1811" s="27">
        <v>14.0</v>
      </c>
      <c r="D1811" s="8" t="s">
        <v>2516</v>
      </c>
      <c r="E1811" s="7">
        <v>2.0</v>
      </c>
      <c r="F1811" s="7" t="s">
        <v>320</v>
      </c>
      <c r="G1811" s="7" t="s">
        <v>312</v>
      </c>
      <c r="H1811" s="7" t="s">
        <v>313</v>
      </c>
      <c r="I1811" s="7" t="s">
        <v>366</v>
      </c>
      <c r="J1811" s="9" t="s">
        <v>2514</v>
      </c>
      <c r="K1811" s="8"/>
      <c r="L1811" s="12"/>
      <c r="M1811" s="10"/>
      <c r="N1811" s="10"/>
      <c r="O1811" s="10"/>
      <c r="P1811" s="10"/>
      <c r="Q1811" s="10"/>
      <c r="R1811" s="10"/>
      <c r="S1811" s="10"/>
      <c r="T1811" s="10"/>
      <c r="U1811" s="10"/>
      <c r="V1811" s="10"/>
      <c r="W1811" s="10"/>
      <c r="X1811" s="10"/>
      <c r="Y1811" s="10"/>
      <c r="Z1811" s="10"/>
      <c r="AA1811" s="10"/>
      <c r="AB1811" s="10"/>
      <c r="AC1811" s="10"/>
      <c r="AD1811" s="10"/>
      <c r="AE1811" s="10"/>
      <c r="AF1811" s="10"/>
    </row>
    <row r="1812">
      <c r="A1812" s="7"/>
      <c r="B1812" s="26">
        <v>147.0</v>
      </c>
      <c r="C1812" s="27">
        <v>15.0</v>
      </c>
      <c r="D1812" s="8" t="s">
        <v>2517</v>
      </c>
      <c r="E1812" s="7">
        <v>2.0</v>
      </c>
      <c r="F1812" s="7" t="s">
        <v>320</v>
      </c>
      <c r="G1812" s="7" t="s">
        <v>312</v>
      </c>
      <c r="H1812" s="7" t="s">
        <v>313</v>
      </c>
      <c r="I1812" s="7" t="s">
        <v>366</v>
      </c>
      <c r="J1812" s="9" t="s">
        <v>2514</v>
      </c>
      <c r="K1812" s="12"/>
      <c r="L1812" s="12"/>
      <c r="M1812" s="10"/>
      <c r="N1812" s="10"/>
      <c r="O1812" s="10"/>
      <c r="P1812" s="10"/>
      <c r="Q1812" s="10"/>
      <c r="R1812" s="10"/>
      <c r="S1812" s="10"/>
      <c r="T1812" s="10"/>
      <c r="U1812" s="10"/>
      <c r="V1812" s="10"/>
      <c r="W1812" s="10"/>
      <c r="X1812" s="10"/>
      <c r="Y1812" s="10"/>
      <c r="Z1812" s="10"/>
      <c r="AA1812" s="10"/>
      <c r="AB1812" s="10"/>
      <c r="AC1812" s="10"/>
      <c r="AD1812" s="10"/>
      <c r="AE1812" s="10"/>
      <c r="AF1812" s="10"/>
    </row>
    <row r="1813">
      <c r="A1813" s="7"/>
      <c r="B1813" s="26">
        <v>147.0</v>
      </c>
      <c r="C1813" s="27">
        <v>16.0</v>
      </c>
      <c r="D1813" s="8" t="s">
        <v>2518</v>
      </c>
      <c r="E1813" s="7">
        <v>0.0</v>
      </c>
      <c r="F1813" s="7"/>
      <c r="G1813" s="7" t="s">
        <v>312</v>
      </c>
      <c r="H1813" s="7" t="s">
        <v>313</v>
      </c>
      <c r="I1813" s="10"/>
      <c r="J1813" s="11"/>
      <c r="K1813" s="12"/>
      <c r="L1813" s="12"/>
      <c r="M1813" s="10"/>
      <c r="N1813" s="10"/>
      <c r="O1813" s="10"/>
      <c r="P1813" s="10"/>
      <c r="Q1813" s="10"/>
      <c r="R1813" s="10"/>
      <c r="S1813" s="10"/>
      <c r="T1813" s="10"/>
      <c r="U1813" s="10"/>
      <c r="V1813" s="10"/>
      <c r="W1813" s="10"/>
      <c r="X1813" s="10"/>
      <c r="Y1813" s="10"/>
      <c r="Z1813" s="10"/>
      <c r="AA1813" s="10"/>
      <c r="AB1813" s="10"/>
      <c r="AC1813" s="10"/>
      <c r="AD1813" s="10"/>
      <c r="AE1813" s="10"/>
      <c r="AF1813" s="10"/>
    </row>
    <row r="1814">
      <c r="A1814" s="7"/>
      <c r="B1814" s="26">
        <v>147.0</v>
      </c>
      <c r="C1814" s="27">
        <v>17.0</v>
      </c>
      <c r="D1814" s="8" t="s">
        <v>2519</v>
      </c>
      <c r="E1814" s="7">
        <v>2.0</v>
      </c>
      <c r="F1814" s="7" t="s">
        <v>320</v>
      </c>
      <c r="G1814" s="7" t="s">
        <v>312</v>
      </c>
      <c r="H1814" s="7" t="s">
        <v>313</v>
      </c>
      <c r="I1814" s="7" t="s">
        <v>320</v>
      </c>
      <c r="J1814" s="9" t="s">
        <v>2512</v>
      </c>
      <c r="K1814" s="12"/>
      <c r="L1814" s="12"/>
      <c r="M1814" s="10"/>
      <c r="N1814" s="10"/>
      <c r="O1814" s="10"/>
      <c r="P1814" s="10"/>
      <c r="Q1814" s="10"/>
      <c r="R1814" s="10"/>
      <c r="S1814" s="10"/>
      <c r="T1814" s="10"/>
      <c r="U1814" s="10"/>
      <c r="V1814" s="10"/>
      <c r="W1814" s="10"/>
      <c r="X1814" s="10"/>
      <c r="Y1814" s="10"/>
      <c r="Z1814" s="10"/>
      <c r="AA1814" s="10"/>
      <c r="AB1814" s="10"/>
      <c r="AC1814" s="10"/>
      <c r="AD1814" s="10"/>
      <c r="AE1814" s="10"/>
      <c r="AF1814" s="10"/>
    </row>
    <row r="1815">
      <c r="A1815" s="7"/>
      <c r="B1815" s="26">
        <v>147.0</v>
      </c>
      <c r="C1815" s="27">
        <v>18.0</v>
      </c>
      <c r="D1815" s="8" t="s">
        <v>2520</v>
      </c>
      <c r="E1815" s="7">
        <v>2.0</v>
      </c>
      <c r="F1815" s="7" t="s">
        <v>320</v>
      </c>
      <c r="G1815" s="7" t="s">
        <v>312</v>
      </c>
      <c r="H1815" s="7" t="s">
        <v>313</v>
      </c>
      <c r="I1815" s="7" t="s">
        <v>366</v>
      </c>
      <c r="J1815" s="9" t="s">
        <v>2514</v>
      </c>
      <c r="K1815" s="12"/>
      <c r="L1815" s="12"/>
      <c r="M1815" s="10"/>
      <c r="N1815" s="10"/>
      <c r="O1815" s="10"/>
      <c r="P1815" s="10"/>
      <c r="Q1815" s="10"/>
      <c r="R1815" s="10"/>
      <c r="S1815" s="10"/>
      <c r="T1815" s="10"/>
      <c r="U1815" s="10"/>
      <c r="V1815" s="10"/>
      <c r="W1815" s="10"/>
      <c r="X1815" s="10"/>
      <c r="Y1815" s="10"/>
      <c r="Z1815" s="10"/>
      <c r="AA1815" s="10"/>
      <c r="AB1815" s="10"/>
      <c r="AC1815" s="10"/>
      <c r="AD1815" s="10"/>
      <c r="AE1815" s="10"/>
      <c r="AF1815" s="10"/>
    </row>
    <row r="1816">
      <c r="A1816" s="7"/>
      <c r="B1816" s="26">
        <v>147.0</v>
      </c>
      <c r="C1816" s="27">
        <v>19.0</v>
      </c>
      <c r="D1816" s="8" t="s">
        <v>2521</v>
      </c>
      <c r="E1816" s="7">
        <v>2.0</v>
      </c>
      <c r="F1816" s="7" t="s">
        <v>320</v>
      </c>
      <c r="G1816" s="7" t="s">
        <v>312</v>
      </c>
      <c r="H1816" s="7" t="s">
        <v>313</v>
      </c>
      <c r="I1816" s="7" t="s">
        <v>366</v>
      </c>
      <c r="J1816" s="9" t="s">
        <v>2514</v>
      </c>
      <c r="K1816" s="12"/>
      <c r="L1816" s="12"/>
      <c r="M1816" s="10"/>
      <c r="N1816" s="10"/>
      <c r="O1816" s="10"/>
      <c r="P1816" s="10"/>
      <c r="Q1816" s="10"/>
      <c r="R1816" s="10"/>
      <c r="S1816" s="10"/>
      <c r="T1816" s="10"/>
      <c r="U1816" s="10"/>
      <c r="V1816" s="10"/>
      <c r="W1816" s="10"/>
      <c r="X1816" s="10"/>
      <c r="Y1816" s="10"/>
      <c r="Z1816" s="10"/>
      <c r="AA1816" s="10"/>
      <c r="AB1816" s="10"/>
      <c r="AC1816" s="10"/>
      <c r="AD1816" s="10"/>
      <c r="AE1816" s="10"/>
      <c r="AF1816" s="10"/>
    </row>
    <row r="1817">
      <c r="A1817" s="7"/>
      <c r="B1817" s="26">
        <v>147.0</v>
      </c>
      <c r="C1817" s="27">
        <v>20.0</v>
      </c>
      <c r="D1817" s="8" t="s">
        <v>2522</v>
      </c>
      <c r="E1817" s="7">
        <v>2.0</v>
      </c>
      <c r="F1817" s="7" t="s">
        <v>320</v>
      </c>
      <c r="G1817" s="7" t="s">
        <v>312</v>
      </c>
      <c r="H1817" s="7" t="s">
        <v>313</v>
      </c>
      <c r="I1817" s="7" t="s">
        <v>366</v>
      </c>
      <c r="J1817" s="9" t="s">
        <v>2514</v>
      </c>
      <c r="K1817" s="12"/>
      <c r="L1817" s="12"/>
      <c r="M1817" s="10"/>
      <c r="N1817" s="10"/>
      <c r="O1817" s="10"/>
      <c r="P1817" s="10"/>
      <c r="Q1817" s="10"/>
      <c r="R1817" s="10"/>
      <c r="S1817" s="10"/>
      <c r="T1817" s="10"/>
      <c r="U1817" s="10"/>
      <c r="V1817" s="10"/>
      <c r="W1817" s="10"/>
      <c r="X1817" s="10"/>
      <c r="Y1817" s="10"/>
      <c r="Z1817" s="10"/>
      <c r="AA1817" s="10"/>
      <c r="AB1817" s="10"/>
      <c r="AC1817" s="10"/>
      <c r="AD1817" s="10"/>
      <c r="AE1817" s="10"/>
      <c r="AF1817" s="10"/>
    </row>
    <row r="1818">
      <c r="A1818" s="7"/>
      <c r="B1818" s="26">
        <v>147.0</v>
      </c>
      <c r="C1818" s="27">
        <v>21.0</v>
      </c>
      <c r="D1818" s="8" t="s">
        <v>2523</v>
      </c>
      <c r="E1818" s="7">
        <v>2.0</v>
      </c>
      <c r="F1818" s="7" t="s">
        <v>320</v>
      </c>
      <c r="G1818" s="7" t="s">
        <v>312</v>
      </c>
      <c r="H1818" s="7" t="s">
        <v>313</v>
      </c>
      <c r="I1818" s="7" t="s">
        <v>366</v>
      </c>
      <c r="J1818" s="9" t="s">
        <v>2514</v>
      </c>
      <c r="K1818" s="12"/>
      <c r="L1818" s="12"/>
      <c r="M1818" s="10"/>
      <c r="N1818" s="10"/>
      <c r="O1818" s="10"/>
      <c r="P1818" s="10"/>
      <c r="Q1818" s="10"/>
      <c r="R1818" s="10"/>
      <c r="S1818" s="10"/>
      <c r="T1818" s="10"/>
      <c r="U1818" s="10"/>
      <c r="V1818" s="10"/>
      <c r="W1818" s="10"/>
      <c r="X1818" s="10"/>
      <c r="Y1818" s="10"/>
      <c r="Z1818" s="10"/>
      <c r="AA1818" s="10"/>
      <c r="AB1818" s="10"/>
      <c r="AC1818" s="10"/>
      <c r="AD1818" s="10"/>
      <c r="AE1818" s="10"/>
      <c r="AF1818" s="10"/>
    </row>
    <row r="1819">
      <c r="A1819" s="7"/>
      <c r="B1819" s="26">
        <v>147.0</v>
      </c>
      <c r="C1819" s="27">
        <v>22.0</v>
      </c>
      <c r="D1819" s="8" t="s">
        <v>2524</v>
      </c>
      <c r="E1819" s="7">
        <v>2.0</v>
      </c>
      <c r="F1819" s="7" t="s">
        <v>320</v>
      </c>
      <c r="G1819" s="7" t="s">
        <v>312</v>
      </c>
      <c r="H1819" s="7" t="s">
        <v>313</v>
      </c>
      <c r="I1819" s="7" t="s">
        <v>366</v>
      </c>
      <c r="J1819" s="9" t="s">
        <v>2514</v>
      </c>
      <c r="K1819" s="12"/>
      <c r="L1819" s="12"/>
      <c r="M1819" s="10"/>
      <c r="N1819" s="10"/>
      <c r="O1819" s="10"/>
      <c r="P1819" s="10"/>
      <c r="Q1819" s="10"/>
      <c r="R1819" s="10"/>
      <c r="S1819" s="10"/>
      <c r="T1819" s="10"/>
      <c r="U1819" s="10"/>
      <c r="V1819" s="10"/>
      <c r="W1819" s="10"/>
      <c r="X1819" s="10"/>
      <c r="Y1819" s="10"/>
      <c r="Z1819" s="10"/>
      <c r="AA1819" s="10"/>
      <c r="AB1819" s="10"/>
      <c r="AC1819" s="10"/>
      <c r="AD1819" s="10"/>
      <c r="AE1819" s="10"/>
      <c r="AF1819" s="10"/>
    </row>
    <row r="1820">
      <c r="A1820" s="7"/>
      <c r="B1820" s="26">
        <v>147.0</v>
      </c>
      <c r="C1820" s="27">
        <v>23.0</v>
      </c>
      <c r="D1820" s="8" t="s">
        <v>2525</v>
      </c>
      <c r="E1820" s="7">
        <v>2.0</v>
      </c>
      <c r="F1820" s="7" t="s">
        <v>320</v>
      </c>
      <c r="G1820" s="7" t="s">
        <v>312</v>
      </c>
      <c r="H1820" s="7" t="s">
        <v>313</v>
      </c>
      <c r="I1820" s="7" t="s">
        <v>366</v>
      </c>
      <c r="J1820" s="9" t="s">
        <v>2514</v>
      </c>
      <c r="K1820" s="12"/>
      <c r="L1820" s="12"/>
      <c r="M1820" s="10"/>
      <c r="N1820" s="10"/>
      <c r="O1820" s="10"/>
      <c r="P1820" s="10"/>
      <c r="Q1820" s="10"/>
      <c r="R1820" s="10"/>
      <c r="S1820" s="10"/>
      <c r="T1820" s="10"/>
      <c r="U1820" s="10"/>
      <c r="V1820" s="10"/>
      <c r="W1820" s="10"/>
      <c r="X1820" s="10"/>
      <c r="Y1820" s="10"/>
      <c r="Z1820" s="10"/>
      <c r="AA1820" s="10"/>
      <c r="AB1820" s="10"/>
      <c r="AC1820" s="10"/>
      <c r="AD1820" s="10"/>
      <c r="AE1820" s="10"/>
      <c r="AF1820" s="10"/>
    </row>
    <row r="1821">
      <c r="A1821" s="7"/>
      <c r="B1821" s="26">
        <v>147.0</v>
      </c>
      <c r="C1821" s="27">
        <v>24.0</v>
      </c>
      <c r="D1821" s="8" t="s">
        <v>2526</v>
      </c>
      <c r="E1821" s="7">
        <v>2.0</v>
      </c>
      <c r="F1821" s="7" t="s">
        <v>320</v>
      </c>
      <c r="G1821" s="7" t="s">
        <v>312</v>
      </c>
      <c r="H1821" s="7" t="s">
        <v>313</v>
      </c>
      <c r="I1821" s="7" t="s">
        <v>366</v>
      </c>
      <c r="J1821" s="9" t="s">
        <v>2514</v>
      </c>
      <c r="K1821" s="12"/>
      <c r="L1821" s="12"/>
      <c r="M1821" s="10"/>
      <c r="N1821" s="10"/>
      <c r="O1821" s="10"/>
      <c r="P1821" s="10"/>
      <c r="Q1821" s="10"/>
      <c r="R1821" s="10"/>
      <c r="S1821" s="10"/>
      <c r="T1821" s="10"/>
      <c r="U1821" s="10"/>
      <c r="V1821" s="10"/>
      <c r="W1821" s="10"/>
      <c r="X1821" s="10"/>
      <c r="Y1821" s="10"/>
      <c r="Z1821" s="10"/>
      <c r="AA1821" s="10"/>
      <c r="AB1821" s="10"/>
      <c r="AC1821" s="10"/>
      <c r="AD1821" s="10"/>
      <c r="AE1821" s="10"/>
      <c r="AF1821" s="10"/>
    </row>
    <row r="1822">
      <c r="A1822" s="7"/>
      <c r="B1822" s="26">
        <v>147.0</v>
      </c>
      <c r="C1822" s="27">
        <v>25.0</v>
      </c>
      <c r="D1822" s="8" t="s">
        <v>2527</v>
      </c>
      <c r="E1822" s="7">
        <v>2.0</v>
      </c>
      <c r="F1822" s="7"/>
      <c r="G1822" s="7" t="s">
        <v>312</v>
      </c>
      <c r="H1822" s="7" t="s">
        <v>313</v>
      </c>
      <c r="I1822" s="10"/>
      <c r="J1822" s="11"/>
      <c r="K1822" s="8" t="s">
        <v>1664</v>
      </c>
      <c r="L1822" s="12"/>
      <c r="M1822" s="10"/>
      <c r="N1822" s="10"/>
      <c r="O1822" s="10"/>
      <c r="P1822" s="10"/>
      <c r="Q1822" s="10"/>
      <c r="R1822" s="10"/>
      <c r="S1822" s="10"/>
      <c r="T1822" s="10"/>
      <c r="U1822" s="10"/>
      <c r="V1822" s="10"/>
      <c r="W1822" s="10"/>
      <c r="X1822" s="10"/>
      <c r="Y1822" s="10"/>
      <c r="Z1822" s="10"/>
      <c r="AA1822" s="10"/>
      <c r="AB1822" s="10"/>
      <c r="AC1822" s="10"/>
      <c r="AD1822" s="10"/>
      <c r="AE1822" s="10"/>
      <c r="AF1822" s="10"/>
    </row>
    <row r="1823">
      <c r="A1823" s="7"/>
      <c r="B1823" s="26">
        <v>147.0</v>
      </c>
      <c r="C1823" s="27">
        <v>26.0</v>
      </c>
      <c r="D1823" s="8" t="s">
        <v>2528</v>
      </c>
      <c r="E1823" s="7">
        <v>2.0</v>
      </c>
      <c r="F1823" s="7" t="s">
        <v>320</v>
      </c>
      <c r="G1823" s="7" t="s">
        <v>312</v>
      </c>
      <c r="H1823" s="7" t="s">
        <v>313</v>
      </c>
      <c r="I1823" s="7" t="s">
        <v>366</v>
      </c>
      <c r="J1823" s="9" t="s">
        <v>2514</v>
      </c>
      <c r="K1823" s="12"/>
      <c r="L1823" s="12"/>
      <c r="M1823" s="10"/>
      <c r="N1823" s="10"/>
      <c r="O1823" s="10"/>
      <c r="P1823" s="10"/>
      <c r="Q1823" s="10"/>
      <c r="R1823" s="10"/>
      <c r="S1823" s="10"/>
      <c r="T1823" s="10"/>
      <c r="U1823" s="10"/>
      <c r="V1823" s="10"/>
      <c r="W1823" s="10"/>
      <c r="X1823" s="10"/>
      <c r="Y1823" s="10"/>
      <c r="Z1823" s="10"/>
      <c r="AA1823" s="10"/>
      <c r="AB1823" s="10"/>
      <c r="AC1823" s="10"/>
      <c r="AD1823" s="10"/>
      <c r="AE1823" s="10"/>
      <c r="AF1823" s="10"/>
    </row>
    <row r="1824">
      <c r="A1824" s="7"/>
      <c r="B1824" s="26">
        <v>147.0</v>
      </c>
      <c r="C1824" s="27">
        <v>27.0</v>
      </c>
      <c r="D1824" s="8" t="s">
        <v>2529</v>
      </c>
      <c r="E1824" s="7">
        <v>0.0</v>
      </c>
      <c r="F1824" s="7" t="s">
        <v>320</v>
      </c>
      <c r="G1824" s="7" t="s">
        <v>312</v>
      </c>
      <c r="H1824" s="7" t="s">
        <v>313</v>
      </c>
      <c r="I1824" s="7" t="s">
        <v>366</v>
      </c>
      <c r="J1824" s="9" t="s">
        <v>2530</v>
      </c>
      <c r="K1824" s="8" t="s">
        <v>1664</v>
      </c>
      <c r="L1824" s="12"/>
      <c r="M1824" s="10"/>
      <c r="N1824" s="10"/>
      <c r="O1824" s="10"/>
      <c r="P1824" s="10"/>
      <c r="Q1824" s="10"/>
      <c r="R1824" s="10"/>
      <c r="S1824" s="10"/>
      <c r="T1824" s="10"/>
      <c r="U1824" s="10"/>
      <c r="V1824" s="10"/>
      <c r="W1824" s="10"/>
      <c r="X1824" s="10"/>
      <c r="Y1824" s="10"/>
      <c r="Z1824" s="10"/>
      <c r="AA1824" s="10"/>
      <c r="AB1824" s="10"/>
      <c r="AC1824" s="10"/>
      <c r="AD1824" s="10"/>
      <c r="AE1824" s="10"/>
      <c r="AF1824" s="10"/>
    </row>
    <row r="1825">
      <c r="A1825" s="7"/>
      <c r="B1825" s="26">
        <v>147.0</v>
      </c>
      <c r="C1825" s="27">
        <v>28.0</v>
      </c>
      <c r="D1825" s="8" t="s">
        <v>2531</v>
      </c>
      <c r="E1825" s="7">
        <v>0.0</v>
      </c>
      <c r="F1825" s="7" t="s">
        <v>320</v>
      </c>
      <c r="G1825" s="7" t="s">
        <v>312</v>
      </c>
      <c r="H1825" s="7" t="s">
        <v>313</v>
      </c>
      <c r="I1825" s="7" t="s">
        <v>366</v>
      </c>
      <c r="J1825" s="9" t="s">
        <v>2530</v>
      </c>
      <c r="K1825" s="8" t="s">
        <v>1664</v>
      </c>
      <c r="L1825" s="12"/>
      <c r="M1825" s="10"/>
      <c r="N1825" s="10"/>
      <c r="O1825" s="10"/>
      <c r="P1825" s="10"/>
      <c r="Q1825" s="10"/>
      <c r="R1825" s="10"/>
      <c r="S1825" s="10"/>
      <c r="T1825" s="10"/>
      <c r="U1825" s="10"/>
      <c r="V1825" s="10"/>
      <c r="W1825" s="10"/>
      <c r="X1825" s="10"/>
      <c r="Y1825" s="10"/>
      <c r="Z1825" s="10"/>
      <c r="AA1825" s="10"/>
      <c r="AB1825" s="10"/>
      <c r="AC1825" s="10"/>
      <c r="AD1825" s="10"/>
      <c r="AE1825" s="10"/>
      <c r="AF1825" s="10"/>
    </row>
    <row r="1826">
      <c r="A1826" s="7"/>
      <c r="B1826" s="26">
        <v>147.0</v>
      </c>
      <c r="C1826" s="27">
        <v>29.0</v>
      </c>
      <c r="D1826" s="8" t="s">
        <v>2532</v>
      </c>
      <c r="E1826" s="7">
        <v>0.0</v>
      </c>
      <c r="F1826" s="7"/>
      <c r="G1826" s="7" t="s">
        <v>312</v>
      </c>
      <c r="H1826" s="7" t="s">
        <v>313</v>
      </c>
      <c r="I1826" s="10"/>
      <c r="J1826" s="11"/>
      <c r="K1826" s="12"/>
      <c r="L1826" s="12"/>
      <c r="M1826" s="10"/>
      <c r="N1826" s="10"/>
      <c r="O1826" s="10"/>
      <c r="P1826" s="10"/>
      <c r="Q1826" s="10"/>
      <c r="R1826" s="10"/>
      <c r="S1826" s="10"/>
      <c r="T1826" s="10"/>
      <c r="U1826" s="10"/>
      <c r="V1826" s="10"/>
      <c r="W1826" s="10"/>
      <c r="X1826" s="10"/>
      <c r="Y1826" s="10"/>
      <c r="Z1826" s="10"/>
      <c r="AA1826" s="10"/>
      <c r="AB1826" s="10"/>
      <c r="AC1826" s="10"/>
      <c r="AD1826" s="10"/>
      <c r="AE1826" s="10"/>
      <c r="AF1826" s="10"/>
    </row>
    <row r="1827">
      <c r="A1827" s="7"/>
      <c r="B1827" s="26">
        <v>147.0</v>
      </c>
      <c r="C1827" s="27">
        <v>30.0</v>
      </c>
      <c r="D1827" s="8" t="s">
        <v>2533</v>
      </c>
      <c r="E1827" s="7">
        <v>0.0</v>
      </c>
      <c r="F1827" s="7"/>
      <c r="G1827" s="7" t="s">
        <v>312</v>
      </c>
      <c r="H1827" s="7" t="s">
        <v>313</v>
      </c>
      <c r="I1827" s="10"/>
      <c r="J1827" s="11"/>
      <c r="K1827" s="12"/>
      <c r="L1827" s="12"/>
      <c r="M1827" s="10"/>
      <c r="N1827" s="10"/>
      <c r="O1827" s="10"/>
      <c r="P1827" s="10"/>
      <c r="Q1827" s="10"/>
      <c r="R1827" s="10"/>
      <c r="S1827" s="10"/>
      <c r="T1827" s="10"/>
      <c r="U1827" s="10"/>
      <c r="V1827" s="10"/>
      <c r="W1827" s="10"/>
      <c r="X1827" s="10"/>
      <c r="Y1827" s="10"/>
      <c r="Z1827" s="10"/>
      <c r="AA1827" s="10"/>
      <c r="AB1827" s="10"/>
      <c r="AC1827" s="10"/>
      <c r="AD1827" s="10"/>
      <c r="AE1827" s="10"/>
      <c r="AF1827" s="10"/>
    </row>
    <row r="1828">
      <c r="A1828" s="7"/>
      <c r="B1828" s="26">
        <v>147.0</v>
      </c>
      <c r="C1828" s="27">
        <v>31.0</v>
      </c>
      <c r="D1828" s="8" t="s">
        <v>2534</v>
      </c>
      <c r="E1828" s="7">
        <v>0.0</v>
      </c>
      <c r="F1828" s="7"/>
      <c r="G1828" s="7" t="s">
        <v>312</v>
      </c>
      <c r="H1828" s="7" t="s">
        <v>313</v>
      </c>
      <c r="I1828" s="10"/>
      <c r="J1828" s="11"/>
      <c r="K1828" s="12"/>
      <c r="L1828" s="12"/>
      <c r="M1828" s="10"/>
      <c r="N1828" s="10"/>
      <c r="O1828" s="10"/>
      <c r="P1828" s="10"/>
      <c r="Q1828" s="10"/>
      <c r="R1828" s="10"/>
      <c r="S1828" s="10"/>
      <c r="T1828" s="10"/>
      <c r="U1828" s="10"/>
      <c r="V1828" s="10"/>
      <c r="W1828" s="10"/>
      <c r="X1828" s="10"/>
      <c r="Y1828" s="10"/>
      <c r="Z1828" s="10"/>
      <c r="AA1828" s="10"/>
      <c r="AB1828" s="10"/>
      <c r="AC1828" s="10"/>
      <c r="AD1828" s="10"/>
      <c r="AE1828" s="10"/>
      <c r="AF1828" s="10"/>
    </row>
    <row r="1829">
      <c r="A1829" s="7"/>
      <c r="B1829" s="26">
        <v>147.0</v>
      </c>
      <c r="C1829" s="27">
        <v>32.0</v>
      </c>
      <c r="D1829" s="8" t="s">
        <v>2535</v>
      </c>
      <c r="E1829" s="7">
        <v>0.0</v>
      </c>
      <c r="F1829" s="7"/>
      <c r="G1829" s="7" t="s">
        <v>312</v>
      </c>
      <c r="H1829" s="7" t="s">
        <v>313</v>
      </c>
      <c r="I1829" s="10"/>
      <c r="J1829" s="11"/>
      <c r="K1829" s="12"/>
      <c r="L1829" s="12"/>
      <c r="M1829" s="10"/>
      <c r="N1829" s="10"/>
      <c r="O1829" s="10"/>
      <c r="P1829" s="10"/>
      <c r="Q1829" s="10"/>
      <c r="R1829" s="10"/>
      <c r="S1829" s="10"/>
      <c r="T1829" s="10"/>
      <c r="U1829" s="10"/>
      <c r="V1829" s="10"/>
      <c r="W1829" s="10"/>
      <c r="X1829" s="10"/>
      <c r="Y1829" s="10"/>
      <c r="Z1829" s="10"/>
      <c r="AA1829" s="10"/>
      <c r="AB1829" s="10"/>
      <c r="AC1829" s="10"/>
      <c r="AD1829" s="10"/>
      <c r="AE1829" s="10"/>
      <c r="AF1829" s="10"/>
    </row>
    <row r="1830">
      <c r="A1830" s="7"/>
      <c r="B1830" s="26">
        <v>147.0</v>
      </c>
      <c r="C1830" s="27">
        <v>33.0</v>
      </c>
      <c r="D1830" s="8" t="s">
        <v>2536</v>
      </c>
      <c r="E1830" s="7">
        <v>0.0</v>
      </c>
      <c r="F1830" s="7"/>
      <c r="G1830" s="7" t="s">
        <v>312</v>
      </c>
      <c r="H1830" s="7" t="s">
        <v>313</v>
      </c>
      <c r="I1830" s="10"/>
      <c r="J1830" s="11"/>
      <c r="K1830" s="12"/>
      <c r="L1830" s="12"/>
      <c r="M1830" s="10"/>
      <c r="N1830" s="10"/>
      <c r="O1830" s="10"/>
      <c r="P1830" s="10"/>
      <c r="Q1830" s="10"/>
      <c r="R1830" s="10"/>
      <c r="S1830" s="10"/>
      <c r="T1830" s="10"/>
      <c r="U1830" s="10"/>
      <c r="V1830" s="10"/>
      <c r="W1830" s="10"/>
      <c r="X1830" s="10"/>
      <c r="Y1830" s="10"/>
      <c r="Z1830" s="10"/>
      <c r="AA1830" s="10"/>
      <c r="AB1830" s="10"/>
      <c r="AC1830" s="10"/>
      <c r="AD1830" s="10"/>
      <c r="AE1830" s="10"/>
      <c r="AF1830" s="10"/>
    </row>
    <row r="1831">
      <c r="A1831" s="7"/>
      <c r="B1831" s="26">
        <v>147.0</v>
      </c>
      <c r="C1831" s="27">
        <v>34.0</v>
      </c>
      <c r="D1831" s="8" t="s">
        <v>2537</v>
      </c>
      <c r="E1831" s="7">
        <v>0.0</v>
      </c>
      <c r="F1831" s="7"/>
      <c r="G1831" s="7" t="s">
        <v>312</v>
      </c>
      <c r="H1831" s="7" t="s">
        <v>313</v>
      </c>
      <c r="I1831" s="10"/>
      <c r="J1831" s="11"/>
      <c r="K1831" s="12"/>
      <c r="L1831" s="12"/>
      <c r="M1831" s="10"/>
      <c r="N1831" s="10"/>
      <c r="O1831" s="10"/>
      <c r="P1831" s="10"/>
      <c r="Q1831" s="10"/>
      <c r="R1831" s="10"/>
      <c r="S1831" s="10"/>
      <c r="T1831" s="10"/>
      <c r="U1831" s="10"/>
      <c r="V1831" s="10"/>
      <c r="W1831" s="10"/>
      <c r="X1831" s="10"/>
      <c r="Y1831" s="10"/>
      <c r="Z1831" s="10"/>
      <c r="AA1831" s="10"/>
      <c r="AB1831" s="10"/>
      <c r="AC1831" s="10"/>
      <c r="AD1831" s="10"/>
      <c r="AE1831" s="10"/>
      <c r="AF1831" s="10"/>
    </row>
    <row r="1832">
      <c r="A1832" s="7"/>
      <c r="B1832" s="26">
        <v>147.0</v>
      </c>
      <c r="C1832" s="27">
        <v>35.0</v>
      </c>
      <c r="D1832" s="8" t="s">
        <v>2538</v>
      </c>
      <c r="E1832" s="7">
        <v>0.0</v>
      </c>
      <c r="F1832" s="7"/>
      <c r="G1832" s="7" t="s">
        <v>312</v>
      </c>
      <c r="H1832" s="7" t="s">
        <v>313</v>
      </c>
      <c r="I1832" s="10"/>
      <c r="J1832" s="11"/>
      <c r="K1832" s="12"/>
      <c r="L1832" s="12"/>
      <c r="M1832" s="10"/>
      <c r="N1832" s="10"/>
      <c r="O1832" s="10"/>
      <c r="P1832" s="10"/>
      <c r="Q1832" s="10"/>
      <c r="R1832" s="10"/>
      <c r="S1832" s="10"/>
      <c r="T1832" s="10"/>
      <c r="U1832" s="10"/>
      <c r="V1832" s="10"/>
      <c r="W1832" s="10"/>
      <c r="X1832" s="10"/>
      <c r="Y1832" s="10"/>
      <c r="Z1832" s="10"/>
      <c r="AA1832" s="10"/>
      <c r="AB1832" s="10"/>
      <c r="AC1832" s="10"/>
      <c r="AD1832" s="10"/>
      <c r="AE1832" s="10"/>
      <c r="AF1832" s="10"/>
    </row>
    <row r="1833">
      <c r="A1833" s="7"/>
      <c r="B1833" s="26">
        <v>147.0</v>
      </c>
      <c r="C1833" s="27">
        <v>36.0</v>
      </c>
      <c r="D1833" s="8" t="s">
        <v>2539</v>
      </c>
      <c r="E1833" s="7">
        <v>0.0</v>
      </c>
      <c r="F1833" s="7" t="s">
        <v>320</v>
      </c>
      <c r="G1833" s="7" t="s">
        <v>312</v>
      </c>
      <c r="H1833" s="7" t="s">
        <v>313</v>
      </c>
      <c r="I1833" s="7" t="s">
        <v>366</v>
      </c>
      <c r="J1833" s="9" t="s">
        <v>2540</v>
      </c>
      <c r="K1833" s="8" t="s">
        <v>1664</v>
      </c>
      <c r="L1833" s="12"/>
      <c r="M1833" s="10"/>
      <c r="N1833" s="10"/>
      <c r="O1833" s="10"/>
      <c r="P1833" s="10"/>
      <c r="Q1833" s="10"/>
      <c r="R1833" s="10"/>
      <c r="S1833" s="10"/>
      <c r="T1833" s="10"/>
      <c r="U1833" s="10"/>
      <c r="V1833" s="10"/>
      <c r="W1833" s="10"/>
      <c r="X1833" s="10"/>
      <c r="Y1833" s="10"/>
      <c r="Z1833" s="10"/>
      <c r="AA1833" s="10"/>
      <c r="AB1833" s="10"/>
      <c r="AC1833" s="10"/>
      <c r="AD1833" s="10"/>
      <c r="AE1833" s="10"/>
      <c r="AF1833" s="10"/>
    </row>
    <row r="1834">
      <c r="A1834" s="10"/>
      <c r="B1834" s="12"/>
      <c r="C1834" s="12"/>
      <c r="D1834" s="12"/>
      <c r="E1834" s="10"/>
      <c r="F1834" s="10"/>
      <c r="G1834" s="10"/>
      <c r="H1834" s="10"/>
      <c r="I1834" s="10"/>
      <c r="J1834" s="11"/>
      <c r="K1834" s="12"/>
      <c r="L1834" s="12"/>
      <c r="M1834" s="10"/>
      <c r="N1834" s="10"/>
      <c r="O1834" s="10"/>
      <c r="P1834" s="10"/>
      <c r="Q1834" s="10"/>
      <c r="R1834" s="10"/>
      <c r="S1834" s="10"/>
      <c r="T1834" s="10"/>
      <c r="U1834" s="10"/>
      <c r="V1834" s="10"/>
      <c r="W1834" s="10"/>
      <c r="X1834" s="10"/>
      <c r="Y1834" s="10"/>
      <c r="Z1834" s="10"/>
      <c r="AA1834" s="10"/>
      <c r="AB1834" s="10"/>
      <c r="AC1834" s="10"/>
      <c r="AD1834" s="10"/>
      <c r="AE1834" s="10"/>
      <c r="AF1834" s="10"/>
    </row>
    <row r="1835">
      <c r="A1835" s="7"/>
      <c r="B1835" s="26">
        <v>148.0</v>
      </c>
      <c r="C1835" s="27">
        <v>1.0</v>
      </c>
      <c r="D1835" s="8" t="s">
        <v>2541</v>
      </c>
      <c r="E1835" s="7">
        <v>2.0</v>
      </c>
      <c r="F1835" s="7"/>
      <c r="G1835" s="7" t="s">
        <v>312</v>
      </c>
      <c r="H1835" s="7" t="s">
        <v>313</v>
      </c>
      <c r="I1835" s="7"/>
      <c r="J1835" s="9" t="s">
        <v>2542</v>
      </c>
      <c r="K1835" s="8" t="s">
        <v>1664</v>
      </c>
      <c r="L1835" s="12"/>
      <c r="M1835" s="10"/>
      <c r="N1835" s="10"/>
      <c r="O1835" s="10"/>
      <c r="P1835" s="10"/>
      <c r="Q1835" s="10"/>
      <c r="R1835" s="10"/>
      <c r="S1835" s="10"/>
      <c r="T1835" s="10"/>
      <c r="U1835" s="10"/>
      <c r="V1835" s="10"/>
      <c r="W1835" s="10"/>
      <c r="X1835" s="10"/>
      <c r="Y1835" s="10"/>
      <c r="Z1835" s="10"/>
      <c r="AA1835" s="10"/>
      <c r="AB1835" s="10"/>
      <c r="AC1835" s="10"/>
      <c r="AD1835" s="10"/>
      <c r="AE1835" s="10"/>
      <c r="AF1835" s="10"/>
    </row>
    <row r="1836">
      <c r="A1836" s="7"/>
      <c r="B1836" s="26">
        <v>148.0</v>
      </c>
      <c r="C1836" s="27">
        <v>2.0</v>
      </c>
      <c r="D1836" s="8" t="s">
        <v>2543</v>
      </c>
      <c r="E1836" s="7">
        <v>0.0</v>
      </c>
      <c r="F1836" s="7"/>
      <c r="G1836" s="7" t="s">
        <v>312</v>
      </c>
      <c r="H1836" s="7" t="s">
        <v>313</v>
      </c>
      <c r="I1836" s="10"/>
      <c r="J1836" s="11"/>
      <c r="K1836" s="12"/>
      <c r="L1836" s="12"/>
      <c r="M1836" s="10"/>
      <c r="N1836" s="10"/>
      <c r="O1836" s="10"/>
      <c r="P1836" s="10"/>
      <c r="Q1836" s="10"/>
      <c r="R1836" s="10"/>
      <c r="S1836" s="10"/>
      <c r="T1836" s="10"/>
      <c r="U1836" s="10"/>
      <c r="V1836" s="10"/>
      <c r="W1836" s="10"/>
      <c r="X1836" s="10"/>
      <c r="Y1836" s="10"/>
      <c r="Z1836" s="10"/>
      <c r="AA1836" s="10"/>
      <c r="AB1836" s="10"/>
      <c r="AC1836" s="10"/>
      <c r="AD1836" s="10"/>
      <c r="AE1836" s="10"/>
      <c r="AF1836" s="10"/>
    </row>
    <row r="1837">
      <c r="A1837" s="7"/>
      <c r="B1837" s="26">
        <v>148.0</v>
      </c>
      <c r="C1837" s="27">
        <v>3.0</v>
      </c>
      <c r="D1837" s="8" t="s">
        <v>2544</v>
      </c>
      <c r="E1837" s="7">
        <v>0.0</v>
      </c>
      <c r="F1837" s="7"/>
      <c r="G1837" s="7" t="s">
        <v>312</v>
      </c>
      <c r="H1837" s="7" t="s">
        <v>313</v>
      </c>
      <c r="I1837" s="10"/>
      <c r="J1837" s="11"/>
      <c r="K1837" s="12"/>
      <c r="L1837" s="12"/>
      <c r="M1837" s="10"/>
      <c r="N1837" s="10"/>
      <c r="O1837" s="10"/>
      <c r="P1837" s="10"/>
      <c r="Q1837" s="10"/>
      <c r="R1837" s="10"/>
      <c r="S1837" s="10"/>
      <c r="T1837" s="10"/>
      <c r="U1837" s="10"/>
      <c r="V1837" s="10"/>
      <c r="W1837" s="10"/>
      <c r="X1837" s="10"/>
      <c r="Y1837" s="10"/>
      <c r="Z1837" s="10"/>
      <c r="AA1837" s="10"/>
      <c r="AB1837" s="10"/>
      <c r="AC1837" s="10"/>
      <c r="AD1837" s="10"/>
      <c r="AE1837" s="10"/>
      <c r="AF1837" s="10"/>
    </row>
    <row r="1838">
      <c r="A1838" s="7"/>
      <c r="B1838" s="26">
        <v>148.0</v>
      </c>
      <c r="C1838" s="27">
        <v>4.0</v>
      </c>
      <c r="D1838" s="8" t="s">
        <v>2545</v>
      </c>
      <c r="E1838" s="7">
        <v>0.0</v>
      </c>
      <c r="F1838" s="7"/>
      <c r="G1838" s="7" t="s">
        <v>312</v>
      </c>
      <c r="H1838" s="7" t="s">
        <v>313</v>
      </c>
      <c r="I1838" s="10"/>
      <c r="J1838" s="11"/>
      <c r="K1838" s="12"/>
      <c r="L1838" s="12"/>
      <c r="M1838" s="10"/>
      <c r="N1838" s="10"/>
      <c r="O1838" s="10"/>
      <c r="P1838" s="10"/>
      <c r="Q1838" s="10"/>
      <c r="R1838" s="10"/>
      <c r="S1838" s="10"/>
      <c r="T1838" s="10"/>
      <c r="U1838" s="10"/>
      <c r="V1838" s="10"/>
      <c r="W1838" s="10"/>
      <c r="X1838" s="10"/>
      <c r="Y1838" s="10"/>
      <c r="Z1838" s="10"/>
      <c r="AA1838" s="10"/>
      <c r="AB1838" s="10"/>
      <c r="AC1838" s="10"/>
      <c r="AD1838" s="10"/>
      <c r="AE1838" s="10"/>
      <c r="AF1838" s="10"/>
    </row>
    <row r="1839">
      <c r="A1839" s="7"/>
      <c r="B1839" s="26">
        <v>148.0</v>
      </c>
      <c r="C1839" s="27">
        <v>5.0</v>
      </c>
      <c r="D1839" s="8" t="s">
        <v>2546</v>
      </c>
      <c r="E1839" s="7">
        <v>0.0</v>
      </c>
      <c r="F1839" s="7"/>
      <c r="G1839" s="7" t="s">
        <v>312</v>
      </c>
      <c r="H1839" s="7" t="s">
        <v>313</v>
      </c>
      <c r="I1839" s="10"/>
      <c r="J1839" s="11"/>
      <c r="K1839" s="12"/>
      <c r="L1839" s="12"/>
      <c r="M1839" s="10"/>
      <c r="N1839" s="10"/>
      <c r="O1839" s="10"/>
      <c r="P1839" s="10"/>
      <c r="Q1839" s="10"/>
      <c r="R1839" s="10"/>
      <c r="S1839" s="10"/>
      <c r="T1839" s="10"/>
      <c r="U1839" s="10"/>
      <c r="V1839" s="10"/>
      <c r="W1839" s="10"/>
      <c r="X1839" s="10"/>
      <c r="Y1839" s="10"/>
      <c r="Z1839" s="10"/>
      <c r="AA1839" s="10"/>
      <c r="AB1839" s="10"/>
      <c r="AC1839" s="10"/>
      <c r="AD1839" s="10"/>
      <c r="AE1839" s="10"/>
      <c r="AF1839" s="10"/>
    </row>
    <row r="1840">
      <c r="A1840" s="7"/>
      <c r="B1840" s="26">
        <v>148.0</v>
      </c>
      <c r="C1840" s="27">
        <v>6.0</v>
      </c>
      <c r="D1840" s="8" t="s">
        <v>2547</v>
      </c>
      <c r="E1840" s="7">
        <v>0.0</v>
      </c>
      <c r="F1840" s="7"/>
      <c r="G1840" s="7" t="s">
        <v>312</v>
      </c>
      <c r="H1840" s="7" t="s">
        <v>313</v>
      </c>
      <c r="I1840" s="10"/>
      <c r="J1840" s="11"/>
      <c r="K1840" s="12"/>
      <c r="L1840" s="12"/>
      <c r="M1840" s="10"/>
      <c r="N1840" s="10"/>
      <c r="O1840" s="10"/>
      <c r="P1840" s="10"/>
      <c r="Q1840" s="10"/>
      <c r="R1840" s="10"/>
      <c r="S1840" s="10"/>
      <c r="T1840" s="10"/>
      <c r="U1840" s="10"/>
      <c r="V1840" s="10"/>
      <c r="W1840" s="10"/>
      <c r="X1840" s="10"/>
      <c r="Y1840" s="10"/>
      <c r="Z1840" s="10"/>
      <c r="AA1840" s="10"/>
      <c r="AB1840" s="10"/>
      <c r="AC1840" s="10"/>
      <c r="AD1840" s="10"/>
      <c r="AE1840" s="10"/>
      <c r="AF1840" s="10"/>
    </row>
    <row r="1841">
      <c r="A1841" s="10"/>
      <c r="B1841" s="12"/>
      <c r="C1841" s="12"/>
      <c r="D1841" s="12"/>
      <c r="E1841" s="10"/>
      <c r="F1841" s="10"/>
      <c r="G1841" s="10"/>
      <c r="H1841" s="10"/>
      <c r="I1841" s="10"/>
      <c r="J1841" s="11"/>
      <c r="K1841" s="12"/>
      <c r="L1841" s="12"/>
      <c r="M1841" s="10"/>
      <c r="N1841" s="10"/>
      <c r="O1841" s="10"/>
      <c r="P1841" s="10"/>
      <c r="Q1841" s="10"/>
      <c r="R1841" s="10"/>
      <c r="S1841" s="10"/>
      <c r="T1841" s="10"/>
      <c r="U1841" s="10"/>
      <c r="V1841" s="10"/>
      <c r="W1841" s="10"/>
      <c r="X1841" s="10"/>
      <c r="Y1841" s="10"/>
      <c r="Z1841" s="10"/>
      <c r="AA1841" s="10"/>
      <c r="AB1841" s="10"/>
      <c r="AC1841" s="10"/>
      <c r="AD1841" s="10"/>
      <c r="AE1841" s="10"/>
      <c r="AF1841" s="10"/>
    </row>
    <row r="1842">
      <c r="A1842" s="7"/>
      <c r="B1842" s="26">
        <v>149.0</v>
      </c>
      <c r="C1842" s="27">
        <v>1.0</v>
      </c>
      <c r="D1842" s="8" t="s">
        <v>2548</v>
      </c>
      <c r="E1842" s="7">
        <v>2.0</v>
      </c>
      <c r="F1842" s="7"/>
      <c r="G1842" s="7" t="s">
        <v>312</v>
      </c>
      <c r="H1842" s="7" t="s">
        <v>313</v>
      </c>
      <c r="I1842" s="10"/>
      <c r="J1842" s="9" t="s">
        <v>2549</v>
      </c>
      <c r="K1842" s="8" t="s">
        <v>1664</v>
      </c>
      <c r="L1842" s="12"/>
      <c r="M1842" s="10"/>
      <c r="N1842" s="10"/>
      <c r="O1842" s="10"/>
      <c r="P1842" s="10"/>
      <c r="Q1842" s="10"/>
      <c r="R1842" s="10"/>
      <c r="S1842" s="10"/>
      <c r="T1842" s="10"/>
      <c r="U1842" s="10"/>
      <c r="V1842" s="10"/>
      <c r="W1842" s="10"/>
      <c r="X1842" s="10"/>
      <c r="Y1842" s="10"/>
      <c r="Z1842" s="10"/>
      <c r="AA1842" s="10"/>
      <c r="AB1842" s="10"/>
      <c r="AC1842" s="10"/>
      <c r="AD1842" s="10"/>
      <c r="AE1842" s="10"/>
      <c r="AF1842" s="10"/>
    </row>
    <row r="1843">
      <c r="A1843" s="7"/>
      <c r="B1843" s="26">
        <v>149.0</v>
      </c>
      <c r="C1843" s="27">
        <v>2.0</v>
      </c>
      <c r="D1843" s="8" t="s">
        <v>2550</v>
      </c>
      <c r="E1843" s="7">
        <v>2.0</v>
      </c>
      <c r="F1843" s="7"/>
      <c r="G1843" s="7" t="s">
        <v>312</v>
      </c>
      <c r="H1843" s="7" t="s">
        <v>313</v>
      </c>
      <c r="I1843" s="10"/>
      <c r="J1843" s="9" t="s">
        <v>2551</v>
      </c>
      <c r="K1843" s="8" t="s">
        <v>1664</v>
      </c>
      <c r="L1843" s="12"/>
      <c r="M1843" s="10"/>
      <c r="N1843" s="10"/>
      <c r="O1843" s="10"/>
      <c r="P1843" s="10"/>
      <c r="Q1843" s="10"/>
      <c r="R1843" s="10"/>
      <c r="S1843" s="10"/>
      <c r="T1843" s="10"/>
      <c r="U1843" s="10"/>
      <c r="V1843" s="10"/>
      <c r="W1843" s="10"/>
      <c r="X1843" s="10"/>
      <c r="Y1843" s="10"/>
      <c r="Z1843" s="10"/>
      <c r="AA1843" s="10"/>
      <c r="AB1843" s="10"/>
      <c r="AC1843" s="10"/>
      <c r="AD1843" s="10"/>
      <c r="AE1843" s="10"/>
      <c r="AF1843" s="10"/>
    </row>
    <row r="1844">
      <c r="A1844" s="7"/>
      <c r="B1844" s="26">
        <v>149.0</v>
      </c>
      <c r="C1844" s="27">
        <v>3.0</v>
      </c>
      <c r="D1844" s="8" t="s">
        <v>2552</v>
      </c>
      <c r="E1844" s="7">
        <v>0.0</v>
      </c>
      <c r="F1844" s="7"/>
      <c r="G1844" s="7" t="s">
        <v>312</v>
      </c>
      <c r="H1844" s="7" t="s">
        <v>313</v>
      </c>
      <c r="I1844" s="10"/>
      <c r="J1844" s="11"/>
      <c r="K1844" s="12"/>
      <c r="L1844" s="12"/>
      <c r="M1844" s="10"/>
      <c r="N1844" s="10"/>
      <c r="O1844" s="10"/>
      <c r="P1844" s="10"/>
      <c r="Q1844" s="10"/>
      <c r="R1844" s="10"/>
      <c r="S1844" s="10"/>
      <c r="T1844" s="10"/>
      <c r="U1844" s="10"/>
      <c r="V1844" s="10"/>
      <c r="W1844" s="10"/>
      <c r="X1844" s="10"/>
      <c r="Y1844" s="10"/>
      <c r="Z1844" s="10"/>
      <c r="AA1844" s="10"/>
      <c r="AB1844" s="10"/>
      <c r="AC1844" s="10"/>
      <c r="AD1844" s="10"/>
      <c r="AE1844" s="10"/>
      <c r="AF1844" s="10"/>
    </row>
    <row r="1845">
      <c r="A1845" s="7"/>
      <c r="B1845" s="26">
        <v>149.0</v>
      </c>
      <c r="C1845" s="27">
        <v>4.0</v>
      </c>
      <c r="D1845" s="8" t="s">
        <v>2553</v>
      </c>
      <c r="E1845" s="7">
        <v>0.0</v>
      </c>
      <c r="F1845" s="7"/>
      <c r="G1845" s="7" t="s">
        <v>312</v>
      </c>
      <c r="H1845" s="7" t="s">
        <v>313</v>
      </c>
      <c r="I1845" s="10"/>
      <c r="J1845" s="11"/>
      <c r="K1845" s="12"/>
      <c r="L1845" s="12"/>
      <c r="M1845" s="10"/>
      <c r="N1845" s="10"/>
      <c r="O1845" s="10"/>
      <c r="P1845" s="10"/>
      <c r="Q1845" s="10"/>
      <c r="R1845" s="10"/>
      <c r="S1845" s="10"/>
      <c r="T1845" s="10"/>
      <c r="U1845" s="10"/>
      <c r="V1845" s="10"/>
      <c r="W1845" s="10"/>
      <c r="X1845" s="10"/>
      <c r="Y1845" s="10"/>
      <c r="Z1845" s="10"/>
      <c r="AA1845" s="10"/>
      <c r="AB1845" s="10"/>
      <c r="AC1845" s="10"/>
      <c r="AD1845" s="10"/>
      <c r="AE1845" s="10"/>
      <c r="AF1845" s="10"/>
    </row>
    <row r="1846">
      <c r="A1846" s="7"/>
      <c r="B1846" s="26">
        <v>149.0</v>
      </c>
      <c r="C1846" s="27">
        <v>5.0</v>
      </c>
      <c r="D1846" s="8" t="s">
        <v>2554</v>
      </c>
      <c r="E1846" s="7">
        <v>2.0</v>
      </c>
      <c r="F1846" s="7"/>
      <c r="G1846" s="7" t="s">
        <v>312</v>
      </c>
      <c r="H1846" s="7" t="s">
        <v>313</v>
      </c>
      <c r="I1846" s="10"/>
      <c r="J1846" s="11"/>
      <c r="K1846" s="8" t="s">
        <v>1664</v>
      </c>
      <c r="L1846" s="12"/>
      <c r="M1846" s="10"/>
      <c r="N1846" s="10"/>
      <c r="O1846" s="10"/>
      <c r="P1846" s="10"/>
      <c r="Q1846" s="10"/>
      <c r="R1846" s="10"/>
      <c r="S1846" s="10"/>
      <c r="T1846" s="10"/>
      <c r="U1846" s="10"/>
      <c r="V1846" s="10"/>
      <c r="W1846" s="10"/>
      <c r="X1846" s="10"/>
      <c r="Y1846" s="10"/>
      <c r="Z1846" s="10"/>
      <c r="AA1846" s="10"/>
      <c r="AB1846" s="10"/>
      <c r="AC1846" s="10"/>
      <c r="AD1846" s="10"/>
      <c r="AE1846" s="10"/>
      <c r="AF1846" s="10"/>
    </row>
    <row r="1847">
      <c r="A1847" s="7"/>
      <c r="B1847" s="26">
        <v>149.0</v>
      </c>
      <c r="C1847" s="27">
        <v>6.0</v>
      </c>
      <c r="D1847" s="8" t="s">
        <v>2555</v>
      </c>
      <c r="E1847" s="7">
        <v>2.0</v>
      </c>
      <c r="F1847" s="7"/>
      <c r="G1847" s="7" t="s">
        <v>312</v>
      </c>
      <c r="H1847" s="7" t="s">
        <v>313</v>
      </c>
      <c r="I1847" s="10"/>
      <c r="J1847" s="11"/>
      <c r="K1847" s="8" t="s">
        <v>1664</v>
      </c>
      <c r="L1847" s="12"/>
      <c r="M1847" s="10"/>
      <c r="N1847" s="10"/>
      <c r="O1847" s="10"/>
      <c r="P1847" s="10"/>
      <c r="Q1847" s="10"/>
      <c r="R1847" s="10"/>
      <c r="S1847" s="10"/>
      <c r="T1847" s="10"/>
      <c r="U1847" s="10"/>
      <c r="V1847" s="10"/>
      <c r="W1847" s="10"/>
      <c r="X1847" s="10"/>
      <c r="Y1847" s="10"/>
      <c r="Z1847" s="10"/>
      <c r="AA1847" s="10"/>
      <c r="AB1847" s="10"/>
      <c r="AC1847" s="10"/>
      <c r="AD1847" s="10"/>
      <c r="AE1847" s="10"/>
      <c r="AF1847" s="10"/>
    </row>
    <row r="1848">
      <c r="A1848" s="10"/>
      <c r="B1848" s="12"/>
      <c r="C1848" s="12"/>
      <c r="D1848" s="12"/>
      <c r="E1848" s="10"/>
      <c r="F1848" s="10"/>
      <c r="G1848" s="10"/>
      <c r="H1848" s="10"/>
      <c r="I1848" s="10"/>
      <c r="J1848" s="11"/>
      <c r="K1848" s="12"/>
      <c r="L1848" s="12"/>
      <c r="M1848" s="10"/>
      <c r="N1848" s="10"/>
      <c r="O1848" s="10"/>
      <c r="P1848" s="10"/>
      <c r="Q1848" s="10"/>
      <c r="R1848" s="10"/>
      <c r="S1848" s="10"/>
      <c r="T1848" s="10"/>
      <c r="U1848" s="10"/>
      <c r="V1848" s="10"/>
      <c r="W1848" s="10"/>
      <c r="X1848" s="10"/>
      <c r="Y1848" s="10"/>
      <c r="Z1848" s="10"/>
      <c r="AA1848" s="10"/>
      <c r="AB1848" s="10"/>
      <c r="AC1848" s="10"/>
      <c r="AD1848" s="10"/>
      <c r="AE1848" s="10"/>
      <c r="AF1848" s="10"/>
    </row>
    <row r="1849">
      <c r="A1849" s="7"/>
      <c r="B1849" s="8">
        <v>150.0</v>
      </c>
      <c r="C1849" s="8">
        <v>1.0</v>
      </c>
      <c r="D1849" s="8" t="s">
        <v>2556</v>
      </c>
      <c r="E1849" s="7">
        <v>0.0</v>
      </c>
      <c r="F1849" s="7" t="s">
        <v>320</v>
      </c>
      <c r="G1849" s="7" t="s">
        <v>312</v>
      </c>
      <c r="H1849" s="7" t="s">
        <v>313</v>
      </c>
      <c r="I1849" s="7" t="s">
        <v>366</v>
      </c>
      <c r="J1849" s="9" t="s">
        <v>2557</v>
      </c>
      <c r="K1849" s="8" t="s">
        <v>1664</v>
      </c>
      <c r="L1849" s="12"/>
      <c r="M1849" s="10"/>
      <c r="N1849" s="10"/>
      <c r="O1849" s="10"/>
      <c r="P1849" s="10"/>
      <c r="Q1849" s="10"/>
      <c r="R1849" s="10"/>
      <c r="S1849" s="10"/>
      <c r="T1849" s="10"/>
      <c r="U1849" s="10"/>
      <c r="V1849" s="10"/>
      <c r="W1849" s="10"/>
      <c r="X1849" s="10"/>
      <c r="Y1849" s="10"/>
      <c r="Z1849" s="10"/>
      <c r="AA1849" s="10"/>
      <c r="AB1849" s="10"/>
      <c r="AC1849" s="10"/>
      <c r="AD1849" s="10"/>
      <c r="AE1849" s="10"/>
      <c r="AF1849" s="10"/>
    </row>
    <row r="1850">
      <c r="A1850" s="10"/>
      <c r="B1850" s="12"/>
      <c r="C1850" s="12"/>
      <c r="D1850" s="12"/>
      <c r="E1850" s="10"/>
      <c r="F1850" s="10"/>
      <c r="G1850" s="10"/>
      <c r="H1850" s="10"/>
      <c r="I1850" s="10"/>
      <c r="J1850" s="11"/>
      <c r="K1850" s="12"/>
      <c r="L1850" s="12"/>
      <c r="M1850" s="10"/>
      <c r="N1850" s="10"/>
      <c r="O1850" s="10"/>
      <c r="P1850" s="10"/>
      <c r="Q1850" s="10"/>
      <c r="R1850" s="10"/>
      <c r="S1850" s="10"/>
      <c r="T1850" s="10"/>
      <c r="U1850" s="10"/>
      <c r="V1850" s="10"/>
      <c r="W1850" s="10"/>
      <c r="X1850" s="10"/>
      <c r="Y1850" s="10"/>
      <c r="Z1850" s="10"/>
      <c r="AA1850" s="10"/>
      <c r="AB1850" s="10"/>
      <c r="AC1850" s="10"/>
      <c r="AD1850" s="10"/>
      <c r="AE1850" s="10"/>
      <c r="AF1850" s="10"/>
    </row>
    <row r="1851">
      <c r="A1851" s="7"/>
      <c r="B1851" s="26">
        <v>151.0</v>
      </c>
      <c r="C1851" s="27">
        <v>1.0</v>
      </c>
      <c r="D1851" s="8" t="s">
        <v>2558</v>
      </c>
      <c r="E1851" s="7">
        <v>2.0</v>
      </c>
      <c r="F1851" s="7"/>
      <c r="G1851" s="7" t="s">
        <v>312</v>
      </c>
      <c r="H1851" s="7" t="s">
        <v>313</v>
      </c>
      <c r="I1851" s="10"/>
      <c r="J1851" s="9" t="s">
        <v>2559</v>
      </c>
      <c r="K1851" s="8" t="s">
        <v>1664</v>
      </c>
      <c r="L1851" s="12"/>
      <c r="M1851" s="10"/>
      <c r="N1851" s="10"/>
      <c r="O1851" s="10"/>
      <c r="P1851" s="10"/>
      <c r="Q1851" s="10"/>
      <c r="R1851" s="10"/>
      <c r="S1851" s="10"/>
      <c r="T1851" s="10"/>
      <c r="U1851" s="10"/>
      <c r="V1851" s="10"/>
      <c r="W1851" s="10"/>
      <c r="X1851" s="10"/>
      <c r="Y1851" s="10"/>
      <c r="Z1851" s="10"/>
      <c r="AA1851" s="10"/>
      <c r="AB1851" s="10"/>
      <c r="AC1851" s="10"/>
      <c r="AD1851" s="10"/>
      <c r="AE1851" s="10"/>
      <c r="AF1851" s="10"/>
    </row>
    <row r="1852">
      <c r="A1852" s="7"/>
      <c r="B1852" s="26">
        <v>151.0</v>
      </c>
      <c r="C1852" s="27">
        <v>2.0</v>
      </c>
      <c r="D1852" s="8" t="s">
        <v>2560</v>
      </c>
      <c r="E1852" s="7">
        <v>2.0</v>
      </c>
      <c r="F1852" s="7"/>
      <c r="G1852" s="7" t="s">
        <v>312</v>
      </c>
      <c r="H1852" s="7" t="s">
        <v>313</v>
      </c>
      <c r="I1852" s="10"/>
      <c r="J1852" s="9" t="s">
        <v>2561</v>
      </c>
      <c r="K1852" s="8" t="s">
        <v>1664</v>
      </c>
      <c r="L1852" s="12"/>
      <c r="M1852" s="10"/>
      <c r="N1852" s="10"/>
      <c r="O1852" s="10"/>
      <c r="P1852" s="10"/>
      <c r="Q1852" s="10"/>
      <c r="R1852" s="10"/>
      <c r="S1852" s="10"/>
      <c r="T1852" s="10"/>
      <c r="U1852" s="10"/>
      <c r="V1852" s="10"/>
      <c r="W1852" s="10"/>
      <c r="X1852" s="10"/>
      <c r="Y1852" s="10"/>
      <c r="Z1852" s="10"/>
      <c r="AA1852" s="10"/>
      <c r="AB1852" s="10"/>
      <c r="AC1852" s="10"/>
      <c r="AD1852" s="10"/>
      <c r="AE1852" s="10"/>
      <c r="AF1852" s="10"/>
    </row>
    <row r="1853">
      <c r="A1853" s="7"/>
      <c r="B1853" s="26">
        <v>151.0</v>
      </c>
      <c r="C1853" s="27">
        <v>3.0</v>
      </c>
      <c r="D1853" s="8" t="s">
        <v>2562</v>
      </c>
      <c r="E1853" s="7">
        <v>0.0</v>
      </c>
      <c r="F1853" s="7"/>
      <c r="G1853" s="7" t="s">
        <v>312</v>
      </c>
      <c r="H1853" s="7" t="s">
        <v>313</v>
      </c>
      <c r="I1853" s="10"/>
      <c r="J1853" s="11"/>
      <c r="K1853" s="12"/>
      <c r="L1853" s="12"/>
      <c r="M1853" s="10"/>
      <c r="N1853" s="10"/>
      <c r="O1853" s="10"/>
      <c r="P1853" s="10"/>
      <c r="Q1853" s="10"/>
      <c r="R1853" s="10"/>
      <c r="S1853" s="10"/>
      <c r="T1853" s="10"/>
      <c r="U1853" s="10"/>
      <c r="V1853" s="10"/>
      <c r="W1853" s="10"/>
      <c r="X1853" s="10"/>
      <c r="Y1853" s="10"/>
      <c r="Z1853" s="10"/>
      <c r="AA1853" s="10"/>
      <c r="AB1853" s="10"/>
      <c r="AC1853" s="10"/>
      <c r="AD1853" s="10"/>
      <c r="AE1853" s="10"/>
      <c r="AF1853" s="10"/>
    </row>
    <row r="1854">
      <c r="A1854" s="10"/>
      <c r="B1854" s="12"/>
      <c r="C1854" s="12"/>
      <c r="D1854" s="12"/>
      <c r="E1854" s="10"/>
      <c r="F1854" s="10"/>
      <c r="G1854" s="10"/>
      <c r="H1854" s="10"/>
      <c r="I1854" s="10"/>
      <c r="J1854" s="11"/>
      <c r="K1854" s="12"/>
      <c r="L1854" s="12"/>
      <c r="M1854" s="10"/>
      <c r="N1854" s="10"/>
      <c r="O1854" s="10"/>
      <c r="P1854" s="10"/>
      <c r="Q1854" s="10"/>
      <c r="R1854" s="10"/>
      <c r="S1854" s="10"/>
      <c r="T1854" s="10"/>
      <c r="U1854" s="10"/>
      <c r="V1854" s="10"/>
      <c r="W1854" s="10"/>
      <c r="X1854" s="10"/>
      <c r="Y1854" s="10"/>
      <c r="Z1854" s="10"/>
      <c r="AA1854" s="10"/>
      <c r="AB1854" s="10"/>
      <c r="AC1854" s="10"/>
      <c r="AD1854" s="10"/>
      <c r="AE1854" s="10"/>
      <c r="AF1854" s="10"/>
    </row>
    <row r="1855">
      <c r="A1855" s="7"/>
      <c r="B1855" s="26">
        <v>152.0</v>
      </c>
      <c r="C1855" s="27">
        <v>1.0</v>
      </c>
      <c r="D1855" s="8" t="s">
        <v>2563</v>
      </c>
      <c r="E1855" s="7">
        <v>0.0</v>
      </c>
      <c r="F1855" s="7"/>
      <c r="G1855" s="7" t="s">
        <v>312</v>
      </c>
      <c r="H1855" s="7" t="s">
        <v>313</v>
      </c>
      <c r="I1855" s="10"/>
      <c r="J1855" s="28"/>
      <c r="K1855" s="12"/>
      <c r="L1855" s="12"/>
      <c r="M1855" s="10"/>
      <c r="N1855" s="10"/>
      <c r="O1855" s="10"/>
      <c r="P1855" s="10"/>
      <c r="Q1855" s="10"/>
      <c r="R1855" s="10"/>
      <c r="S1855" s="10"/>
      <c r="T1855" s="10"/>
      <c r="U1855" s="10"/>
      <c r="V1855" s="10"/>
      <c r="W1855" s="10"/>
      <c r="X1855" s="10"/>
      <c r="Y1855" s="10"/>
      <c r="Z1855" s="10"/>
      <c r="AA1855" s="10"/>
      <c r="AB1855" s="10"/>
      <c r="AC1855" s="10"/>
      <c r="AD1855" s="10"/>
      <c r="AE1855" s="10"/>
      <c r="AF1855" s="10"/>
    </row>
    <row r="1856">
      <c r="A1856" s="7"/>
      <c r="B1856" s="26">
        <v>152.0</v>
      </c>
      <c r="C1856" s="27">
        <v>2.0</v>
      </c>
      <c r="D1856" s="8" t="s">
        <v>2564</v>
      </c>
      <c r="E1856" s="7">
        <v>2.0</v>
      </c>
      <c r="F1856" s="7"/>
      <c r="G1856" s="7" t="s">
        <v>312</v>
      </c>
      <c r="H1856" s="7" t="s">
        <v>313</v>
      </c>
      <c r="I1856" s="7" t="s">
        <v>366</v>
      </c>
      <c r="J1856" s="29" t="s">
        <v>2565</v>
      </c>
      <c r="K1856" s="8" t="s">
        <v>1664</v>
      </c>
      <c r="L1856" s="12"/>
      <c r="M1856" s="10"/>
      <c r="N1856" s="10"/>
      <c r="O1856" s="10"/>
      <c r="P1856" s="10"/>
      <c r="Q1856" s="10"/>
      <c r="R1856" s="10"/>
      <c r="S1856" s="10"/>
      <c r="T1856" s="10"/>
      <c r="U1856" s="10"/>
      <c r="V1856" s="10"/>
      <c r="W1856" s="10"/>
      <c r="X1856" s="10"/>
      <c r="Y1856" s="10"/>
      <c r="Z1856" s="10"/>
      <c r="AA1856" s="10"/>
      <c r="AB1856" s="10"/>
      <c r="AC1856" s="10"/>
      <c r="AD1856" s="10"/>
      <c r="AE1856" s="10"/>
      <c r="AF1856" s="10"/>
    </row>
    <row r="1857">
      <c r="A1857" s="7"/>
      <c r="B1857" s="26">
        <v>152.0</v>
      </c>
      <c r="C1857" s="27">
        <v>3.0</v>
      </c>
      <c r="D1857" s="8" t="s">
        <v>2566</v>
      </c>
      <c r="E1857" s="7">
        <v>2.0</v>
      </c>
      <c r="F1857" s="7"/>
      <c r="G1857" s="7" t="s">
        <v>312</v>
      </c>
      <c r="H1857" s="7" t="s">
        <v>313</v>
      </c>
      <c r="I1857" s="10"/>
      <c r="J1857" s="9" t="s">
        <v>2567</v>
      </c>
      <c r="K1857" s="8" t="s">
        <v>1664</v>
      </c>
      <c r="L1857" s="12"/>
      <c r="M1857" s="10"/>
      <c r="N1857" s="10"/>
      <c r="O1857" s="10"/>
      <c r="P1857" s="10"/>
      <c r="Q1857" s="10"/>
      <c r="R1857" s="10"/>
      <c r="S1857" s="10"/>
      <c r="T1857" s="10"/>
      <c r="U1857" s="10"/>
      <c r="V1857" s="10"/>
      <c r="W1857" s="10"/>
      <c r="X1857" s="10"/>
      <c r="Y1857" s="10"/>
      <c r="Z1857" s="10"/>
      <c r="AA1857" s="10"/>
      <c r="AB1857" s="10"/>
      <c r="AC1857" s="10"/>
      <c r="AD1857" s="10"/>
      <c r="AE1857" s="10"/>
      <c r="AF1857" s="10"/>
    </row>
    <row r="1858">
      <c r="A1858" s="7"/>
      <c r="B1858" s="26">
        <v>152.0</v>
      </c>
      <c r="C1858" s="27">
        <v>4.0</v>
      </c>
      <c r="D1858" s="8" t="s">
        <v>2568</v>
      </c>
      <c r="E1858" s="7">
        <v>2.0</v>
      </c>
      <c r="F1858" s="7"/>
      <c r="G1858" s="7" t="s">
        <v>312</v>
      </c>
      <c r="H1858" s="7" t="s">
        <v>313</v>
      </c>
      <c r="I1858" s="10"/>
      <c r="J1858" s="9" t="s">
        <v>2569</v>
      </c>
      <c r="K1858" s="8" t="s">
        <v>1664</v>
      </c>
      <c r="L1858" s="12"/>
      <c r="M1858" s="10"/>
      <c r="N1858" s="10"/>
      <c r="O1858" s="10"/>
      <c r="P1858" s="10"/>
      <c r="Q1858" s="10"/>
      <c r="R1858" s="10"/>
      <c r="S1858" s="10"/>
      <c r="T1858" s="10"/>
      <c r="U1858" s="10"/>
      <c r="V1858" s="10"/>
      <c r="W1858" s="10"/>
      <c r="X1858" s="10"/>
      <c r="Y1858" s="10"/>
      <c r="Z1858" s="10"/>
      <c r="AA1858" s="10"/>
      <c r="AB1858" s="10"/>
      <c r="AC1858" s="10"/>
      <c r="AD1858" s="10"/>
      <c r="AE1858" s="10"/>
      <c r="AF1858" s="10"/>
    </row>
    <row r="1859">
      <c r="A1859" s="7"/>
      <c r="B1859" s="26">
        <v>152.0</v>
      </c>
      <c r="C1859" s="27">
        <v>5.0</v>
      </c>
      <c r="D1859" s="8" t="s">
        <v>2570</v>
      </c>
      <c r="E1859" s="7">
        <v>0.0</v>
      </c>
      <c r="F1859" s="7"/>
      <c r="G1859" s="7" t="s">
        <v>312</v>
      </c>
      <c r="H1859" s="7" t="s">
        <v>313</v>
      </c>
      <c r="I1859" s="10"/>
      <c r="J1859" s="11"/>
      <c r="K1859" s="12"/>
      <c r="L1859" s="15" t="s">
        <v>2571</v>
      </c>
      <c r="M1859" s="10"/>
      <c r="N1859" s="10"/>
      <c r="O1859" s="10"/>
      <c r="P1859" s="10"/>
      <c r="Q1859" s="10"/>
      <c r="R1859" s="10"/>
      <c r="S1859" s="10"/>
      <c r="T1859" s="10"/>
      <c r="U1859" s="10"/>
      <c r="V1859" s="10"/>
      <c r="W1859" s="10"/>
      <c r="X1859" s="10"/>
      <c r="Y1859" s="10"/>
      <c r="Z1859" s="10"/>
      <c r="AA1859" s="10"/>
      <c r="AB1859" s="10"/>
      <c r="AC1859" s="10"/>
      <c r="AD1859" s="10"/>
      <c r="AE1859" s="10"/>
      <c r="AF1859" s="10"/>
    </row>
    <row r="1860">
      <c r="A1860" s="7"/>
      <c r="B1860" s="26">
        <v>152.0</v>
      </c>
      <c r="C1860" s="27">
        <v>6.0</v>
      </c>
      <c r="D1860" s="8" t="s">
        <v>2572</v>
      </c>
      <c r="E1860" s="7">
        <v>2.0</v>
      </c>
      <c r="F1860" s="7"/>
      <c r="G1860" s="7" t="s">
        <v>312</v>
      </c>
      <c r="H1860" s="7" t="s">
        <v>313</v>
      </c>
      <c r="I1860" s="7" t="s">
        <v>366</v>
      </c>
      <c r="J1860" s="29" t="s">
        <v>2565</v>
      </c>
      <c r="K1860" s="8" t="s">
        <v>1664</v>
      </c>
      <c r="L1860" s="12"/>
      <c r="M1860" s="10"/>
      <c r="N1860" s="10"/>
      <c r="O1860" s="10"/>
      <c r="P1860" s="10"/>
      <c r="Q1860" s="10"/>
      <c r="R1860" s="10"/>
      <c r="S1860" s="10"/>
      <c r="T1860" s="10"/>
      <c r="U1860" s="10"/>
      <c r="V1860" s="10"/>
      <c r="W1860" s="10"/>
      <c r="X1860" s="10"/>
      <c r="Y1860" s="10"/>
      <c r="Z1860" s="10"/>
      <c r="AA1860" s="10"/>
      <c r="AB1860" s="10"/>
      <c r="AC1860" s="10"/>
      <c r="AD1860" s="10"/>
      <c r="AE1860" s="10"/>
      <c r="AF1860" s="10"/>
    </row>
    <row r="1861">
      <c r="A1861" s="7"/>
      <c r="B1861" s="26">
        <v>152.0</v>
      </c>
      <c r="C1861" s="27">
        <v>7.0</v>
      </c>
      <c r="D1861" s="8" t="s">
        <v>2573</v>
      </c>
      <c r="E1861" s="7">
        <v>2.0</v>
      </c>
      <c r="F1861" s="7"/>
      <c r="G1861" s="7" t="s">
        <v>312</v>
      </c>
      <c r="H1861" s="7" t="s">
        <v>313</v>
      </c>
      <c r="I1861" s="10"/>
      <c r="J1861" s="28"/>
      <c r="K1861" s="8" t="s">
        <v>1664</v>
      </c>
      <c r="L1861" s="12"/>
      <c r="M1861" s="10"/>
      <c r="N1861" s="10"/>
      <c r="O1861" s="10"/>
      <c r="P1861" s="10"/>
      <c r="Q1861" s="10"/>
      <c r="R1861" s="10"/>
      <c r="S1861" s="10"/>
      <c r="T1861" s="10"/>
      <c r="U1861" s="10"/>
      <c r="V1861" s="10"/>
      <c r="W1861" s="10"/>
      <c r="X1861" s="10"/>
      <c r="Y1861" s="10"/>
      <c r="Z1861" s="10"/>
      <c r="AA1861" s="10"/>
      <c r="AB1861" s="10"/>
      <c r="AC1861" s="10"/>
      <c r="AD1861" s="10"/>
      <c r="AE1861" s="10"/>
      <c r="AF1861" s="10"/>
    </row>
    <row r="1862">
      <c r="A1862" s="7"/>
      <c r="B1862" s="26">
        <v>152.0</v>
      </c>
      <c r="C1862" s="27">
        <v>8.0</v>
      </c>
      <c r="D1862" s="8" t="s">
        <v>2574</v>
      </c>
      <c r="E1862" s="7">
        <v>2.0</v>
      </c>
      <c r="F1862" s="7"/>
      <c r="G1862" s="7" t="s">
        <v>312</v>
      </c>
      <c r="H1862" s="7" t="s">
        <v>313</v>
      </c>
      <c r="I1862" s="10"/>
      <c r="J1862" s="28"/>
      <c r="K1862" s="8" t="s">
        <v>1664</v>
      </c>
      <c r="L1862" s="12"/>
      <c r="M1862" s="10"/>
      <c r="N1862" s="10"/>
      <c r="O1862" s="10"/>
      <c r="P1862" s="10"/>
      <c r="Q1862" s="10"/>
      <c r="R1862" s="10"/>
      <c r="S1862" s="10"/>
      <c r="T1862" s="10"/>
      <c r="U1862" s="10"/>
      <c r="V1862" s="10"/>
      <c r="W1862" s="10"/>
      <c r="X1862" s="10"/>
      <c r="Y1862" s="10"/>
      <c r="Z1862" s="10"/>
      <c r="AA1862" s="10"/>
      <c r="AB1862" s="10"/>
      <c r="AC1862" s="10"/>
      <c r="AD1862" s="10"/>
      <c r="AE1862" s="10"/>
      <c r="AF1862" s="10"/>
    </row>
    <row r="1863">
      <c r="A1863" s="7"/>
      <c r="B1863" s="26">
        <v>152.0</v>
      </c>
      <c r="C1863" s="27">
        <v>9.0</v>
      </c>
      <c r="D1863" s="8" t="s">
        <v>2575</v>
      </c>
      <c r="E1863" s="7">
        <v>0.0</v>
      </c>
      <c r="F1863" s="7"/>
      <c r="G1863" s="7" t="s">
        <v>312</v>
      </c>
      <c r="H1863" s="7" t="s">
        <v>313</v>
      </c>
      <c r="I1863" s="10"/>
      <c r="J1863" s="11"/>
      <c r="K1863" s="12"/>
      <c r="L1863" s="15" t="s">
        <v>2571</v>
      </c>
      <c r="M1863" s="10"/>
      <c r="N1863" s="10"/>
      <c r="O1863" s="10"/>
      <c r="P1863" s="10"/>
      <c r="Q1863" s="10"/>
      <c r="R1863" s="10"/>
      <c r="S1863" s="10"/>
      <c r="T1863" s="10"/>
      <c r="U1863" s="10"/>
      <c r="V1863" s="10"/>
      <c r="W1863" s="10"/>
      <c r="X1863" s="10"/>
      <c r="Y1863" s="10"/>
      <c r="Z1863" s="10"/>
      <c r="AA1863" s="10"/>
      <c r="AB1863" s="10"/>
      <c r="AC1863" s="10"/>
      <c r="AD1863" s="10"/>
      <c r="AE1863" s="10"/>
      <c r="AF1863" s="10"/>
    </row>
    <row r="1864">
      <c r="A1864" s="7"/>
      <c r="B1864" s="26">
        <v>152.0</v>
      </c>
      <c r="C1864" s="27">
        <v>10.0</v>
      </c>
      <c r="D1864" s="8" t="s">
        <v>2576</v>
      </c>
      <c r="E1864" s="7">
        <v>0.0</v>
      </c>
      <c r="F1864" s="7"/>
      <c r="G1864" s="7" t="s">
        <v>312</v>
      </c>
      <c r="H1864" s="7" t="s">
        <v>313</v>
      </c>
      <c r="I1864" s="10"/>
      <c r="J1864" s="28"/>
      <c r="K1864" s="8"/>
      <c r="L1864" s="12"/>
      <c r="M1864" s="10"/>
      <c r="N1864" s="10"/>
      <c r="O1864" s="10"/>
      <c r="P1864" s="10"/>
      <c r="Q1864" s="10"/>
      <c r="R1864" s="10"/>
      <c r="S1864" s="10"/>
      <c r="T1864" s="10"/>
      <c r="U1864" s="10"/>
      <c r="V1864" s="10"/>
      <c r="W1864" s="10"/>
      <c r="X1864" s="10"/>
      <c r="Y1864" s="10"/>
      <c r="Z1864" s="10"/>
      <c r="AA1864" s="10"/>
      <c r="AB1864" s="10"/>
      <c r="AC1864" s="10"/>
      <c r="AD1864" s="10"/>
      <c r="AE1864" s="10"/>
      <c r="AF1864" s="10"/>
    </row>
    <row r="1865">
      <c r="A1865" s="7"/>
      <c r="B1865" s="26">
        <v>152.0</v>
      </c>
      <c r="C1865" s="27">
        <v>11.0</v>
      </c>
      <c r="D1865" s="8" t="s">
        <v>2577</v>
      </c>
      <c r="E1865" s="7">
        <v>0.0</v>
      </c>
      <c r="F1865" s="7"/>
      <c r="G1865" s="7" t="s">
        <v>312</v>
      </c>
      <c r="H1865" s="7" t="s">
        <v>313</v>
      </c>
      <c r="I1865" s="10"/>
      <c r="J1865" s="28"/>
      <c r="K1865" s="8"/>
      <c r="L1865" s="12"/>
      <c r="M1865" s="10"/>
      <c r="N1865" s="10"/>
      <c r="O1865" s="10"/>
      <c r="P1865" s="10"/>
      <c r="Q1865" s="10"/>
      <c r="R1865" s="10"/>
      <c r="S1865" s="10"/>
      <c r="T1865" s="10"/>
      <c r="U1865" s="10"/>
      <c r="V1865" s="10"/>
      <c r="W1865" s="10"/>
      <c r="X1865" s="10"/>
      <c r="Y1865" s="10"/>
      <c r="Z1865" s="10"/>
      <c r="AA1865" s="10"/>
      <c r="AB1865" s="10"/>
      <c r="AC1865" s="10"/>
      <c r="AD1865" s="10"/>
      <c r="AE1865" s="10"/>
      <c r="AF1865" s="10"/>
    </row>
    <row r="1866">
      <c r="A1866" s="7"/>
      <c r="B1866" s="26">
        <v>152.0</v>
      </c>
      <c r="C1866" s="27">
        <v>12.0</v>
      </c>
      <c r="D1866" s="8" t="s">
        <v>2578</v>
      </c>
      <c r="E1866" s="7">
        <v>0.0</v>
      </c>
      <c r="F1866" s="7"/>
      <c r="G1866" s="7" t="s">
        <v>312</v>
      </c>
      <c r="H1866" s="7" t="s">
        <v>313</v>
      </c>
      <c r="I1866" s="10"/>
      <c r="J1866" s="11"/>
      <c r="K1866" s="12"/>
      <c r="L1866" s="15" t="s">
        <v>2571</v>
      </c>
      <c r="M1866" s="10"/>
      <c r="N1866" s="10"/>
      <c r="O1866" s="10"/>
      <c r="P1866" s="10"/>
      <c r="Q1866" s="10"/>
      <c r="R1866" s="10"/>
      <c r="S1866" s="10"/>
      <c r="T1866" s="10"/>
      <c r="U1866" s="10"/>
      <c r="V1866" s="10"/>
      <c r="W1866" s="10"/>
      <c r="X1866" s="10"/>
      <c r="Y1866" s="10"/>
      <c r="Z1866" s="10"/>
      <c r="AA1866" s="10"/>
      <c r="AB1866" s="10"/>
      <c r="AC1866" s="10"/>
      <c r="AD1866" s="10"/>
      <c r="AE1866" s="10"/>
      <c r="AF1866" s="10"/>
    </row>
    <row r="1867">
      <c r="A1867" s="7"/>
      <c r="B1867" s="26">
        <v>152.0</v>
      </c>
      <c r="C1867" s="27">
        <v>13.0</v>
      </c>
      <c r="D1867" s="8" t="s">
        <v>2579</v>
      </c>
      <c r="E1867" s="7">
        <v>0.0</v>
      </c>
      <c r="F1867" s="7"/>
      <c r="G1867" s="7" t="s">
        <v>312</v>
      </c>
      <c r="H1867" s="7" t="s">
        <v>313</v>
      </c>
      <c r="I1867" s="10"/>
      <c r="J1867" s="28"/>
      <c r="K1867" s="8"/>
      <c r="L1867" s="12"/>
      <c r="M1867" s="10"/>
      <c r="N1867" s="10"/>
      <c r="O1867" s="10"/>
      <c r="P1867" s="10"/>
      <c r="Q1867" s="10"/>
      <c r="R1867" s="10"/>
      <c r="S1867" s="10"/>
      <c r="T1867" s="10"/>
      <c r="U1867" s="10"/>
      <c r="V1867" s="10"/>
      <c r="W1867" s="10"/>
      <c r="X1867" s="10"/>
      <c r="Y1867" s="10"/>
      <c r="Z1867" s="10"/>
      <c r="AA1867" s="10"/>
      <c r="AB1867" s="10"/>
      <c r="AC1867" s="10"/>
      <c r="AD1867" s="10"/>
      <c r="AE1867" s="10"/>
      <c r="AF1867" s="10"/>
    </row>
    <row r="1868">
      <c r="A1868" s="7"/>
      <c r="B1868" s="26">
        <v>152.0</v>
      </c>
      <c r="C1868" s="27">
        <v>14.0</v>
      </c>
      <c r="D1868" s="8" t="s">
        <v>2580</v>
      </c>
      <c r="E1868" s="7">
        <v>0.0</v>
      </c>
      <c r="F1868" s="7"/>
      <c r="G1868" s="7" t="s">
        <v>312</v>
      </c>
      <c r="H1868" s="7" t="s">
        <v>313</v>
      </c>
      <c r="I1868" s="10"/>
      <c r="J1868" s="11"/>
      <c r="K1868" s="12"/>
      <c r="L1868" s="15" t="s">
        <v>2571</v>
      </c>
      <c r="M1868" s="10"/>
      <c r="N1868" s="10"/>
      <c r="O1868" s="10"/>
      <c r="P1868" s="10"/>
      <c r="Q1868" s="10"/>
      <c r="R1868" s="10"/>
      <c r="S1868" s="10"/>
      <c r="T1868" s="10"/>
      <c r="U1868" s="10"/>
      <c r="V1868" s="10"/>
      <c r="W1868" s="10"/>
      <c r="X1868" s="10"/>
      <c r="Y1868" s="10"/>
      <c r="Z1868" s="10"/>
      <c r="AA1868" s="10"/>
      <c r="AB1868" s="10"/>
      <c r="AC1868" s="10"/>
      <c r="AD1868" s="10"/>
      <c r="AE1868" s="10"/>
      <c r="AF1868" s="10"/>
    </row>
    <row r="1869">
      <c r="A1869" s="7"/>
      <c r="B1869" s="26">
        <v>152.0</v>
      </c>
      <c r="C1869" s="27">
        <v>15.0</v>
      </c>
      <c r="D1869" s="8" t="s">
        <v>2581</v>
      </c>
      <c r="E1869" s="7">
        <v>0.0</v>
      </c>
      <c r="F1869" s="7"/>
      <c r="G1869" s="7" t="s">
        <v>312</v>
      </c>
      <c r="H1869" s="7" t="s">
        <v>313</v>
      </c>
      <c r="I1869" s="10"/>
      <c r="J1869" s="11"/>
      <c r="K1869" s="12"/>
      <c r="L1869" s="15" t="s">
        <v>2571</v>
      </c>
      <c r="M1869" s="10"/>
      <c r="N1869" s="10"/>
      <c r="O1869" s="10"/>
      <c r="P1869" s="10"/>
      <c r="Q1869" s="10"/>
      <c r="R1869" s="10"/>
      <c r="S1869" s="10"/>
      <c r="T1869" s="10"/>
      <c r="U1869" s="10"/>
      <c r="V1869" s="10"/>
      <c r="W1869" s="10"/>
      <c r="X1869" s="10"/>
      <c r="Y1869" s="10"/>
      <c r="Z1869" s="10"/>
      <c r="AA1869" s="10"/>
      <c r="AB1869" s="10"/>
      <c r="AC1869" s="10"/>
      <c r="AD1869" s="10"/>
      <c r="AE1869" s="10"/>
      <c r="AF1869" s="10"/>
    </row>
    <row r="1870">
      <c r="A1870" s="10"/>
      <c r="B1870" s="12"/>
      <c r="C1870" s="12"/>
      <c r="D1870" s="12"/>
      <c r="E1870" s="10"/>
      <c r="F1870" s="10"/>
      <c r="G1870" s="10"/>
      <c r="H1870" s="10"/>
      <c r="I1870" s="10"/>
      <c r="J1870" s="11"/>
      <c r="K1870" s="12"/>
      <c r="L1870" s="12"/>
      <c r="M1870" s="10"/>
      <c r="N1870" s="10"/>
      <c r="O1870" s="10"/>
      <c r="P1870" s="10"/>
      <c r="Q1870" s="10"/>
      <c r="R1870" s="10"/>
      <c r="S1870" s="10"/>
      <c r="T1870" s="10"/>
      <c r="U1870" s="10"/>
      <c r="V1870" s="10"/>
      <c r="W1870" s="10"/>
      <c r="X1870" s="10"/>
      <c r="Y1870" s="10"/>
      <c r="Z1870" s="10"/>
      <c r="AA1870" s="10"/>
      <c r="AB1870" s="10"/>
      <c r="AC1870" s="10"/>
      <c r="AD1870" s="10"/>
      <c r="AE1870" s="10"/>
      <c r="AF1870" s="10"/>
    </row>
    <row r="1871">
      <c r="A1871" s="7"/>
      <c r="B1871" s="26">
        <v>153.0</v>
      </c>
      <c r="C1871" s="27">
        <v>1.0</v>
      </c>
      <c r="D1871" s="8" t="s">
        <v>2582</v>
      </c>
      <c r="E1871" s="7">
        <v>0.0</v>
      </c>
      <c r="F1871" s="7"/>
      <c r="G1871" s="7" t="s">
        <v>312</v>
      </c>
      <c r="H1871" s="7" t="s">
        <v>313</v>
      </c>
      <c r="I1871" s="10"/>
      <c r="J1871" s="28"/>
      <c r="K1871" s="12"/>
      <c r="L1871" s="15" t="s">
        <v>2583</v>
      </c>
      <c r="M1871" s="10"/>
      <c r="N1871" s="10"/>
      <c r="O1871" s="10"/>
      <c r="P1871" s="10"/>
      <c r="Q1871" s="10"/>
      <c r="R1871" s="10"/>
      <c r="S1871" s="10"/>
      <c r="T1871" s="10"/>
      <c r="U1871" s="10"/>
      <c r="V1871" s="10"/>
      <c r="W1871" s="10"/>
      <c r="X1871" s="10"/>
      <c r="Y1871" s="10"/>
      <c r="Z1871" s="10"/>
      <c r="AA1871" s="10"/>
      <c r="AB1871" s="10"/>
      <c r="AC1871" s="10"/>
      <c r="AD1871" s="10"/>
      <c r="AE1871" s="10"/>
      <c r="AF1871" s="10"/>
    </row>
    <row r="1872">
      <c r="A1872" s="7"/>
      <c r="B1872" s="26">
        <v>153.0</v>
      </c>
      <c r="C1872" s="27">
        <v>2.0</v>
      </c>
      <c r="D1872" s="8" t="s">
        <v>2584</v>
      </c>
      <c r="E1872" s="7">
        <v>2.0</v>
      </c>
      <c r="F1872" s="7"/>
      <c r="G1872" s="7" t="s">
        <v>312</v>
      </c>
      <c r="H1872" s="7" t="s">
        <v>313</v>
      </c>
      <c r="I1872" s="10"/>
      <c r="J1872" s="9" t="s">
        <v>2585</v>
      </c>
      <c r="K1872" s="8" t="s">
        <v>1664</v>
      </c>
      <c r="L1872" s="12"/>
      <c r="M1872" s="10"/>
      <c r="N1872" s="10"/>
      <c r="O1872" s="10"/>
      <c r="P1872" s="10"/>
      <c r="Q1872" s="10"/>
      <c r="R1872" s="10"/>
      <c r="S1872" s="10"/>
      <c r="T1872" s="10"/>
      <c r="U1872" s="10"/>
      <c r="V1872" s="10"/>
      <c r="W1872" s="10"/>
      <c r="X1872" s="10"/>
      <c r="Y1872" s="10"/>
      <c r="Z1872" s="10"/>
      <c r="AA1872" s="10"/>
      <c r="AB1872" s="10"/>
      <c r="AC1872" s="10"/>
      <c r="AD1872" s="10"/>
      <c r="AE1872" s="10"/>
      <c r="AF1872" s="10"/>
    </row>
    <row r="1873">
      <c r="A1873" s="7"/>
      <c r="B1873" s="26">
        <v>153.0</v>
      </c>
      <c r="C1873" s="27">
        <v>3.0</v>
      </c>
      <c r="D1873" s="8" t="s">
        <v>2586</v>
      </c>
      <c r="E1873" s="7">
        <v>2.0</v>
      </c>
      <c r="F1873" s="7"/>
      <c r="G1873" s="7" t="s">
        <v>312</v>
      </c>
      <c r="H1873" s="7" t="s">
        <v>313</v>
      </c>
      <c r="I1873" s="10"/>
      <c r="J1873" s="11"/>
      <c r="K1873" s="8" t="s">
        <v>1664</v>
      </c>
      <c r="L1873" s="14" t="s">
        <v>2587</v>
      </c>
      <c r="M1873" s="10"/>
      <c r="N1873" s="10"/>
      <c r="O1873" s="10"/>
      <c r="P1873" s="10"/>
      <c r="Q1873" s="10"/>
      <c r="R1873" s="10"/>
      <c r="S1873" s="10"/>
      <c r="T1873" s="10"/>
      <c r="U1873" s="10"/>
      <c r="V1873" s="10"/>
      <c r="W1873" s="10"/>
      <c r="X1873" s="10"/>
      <c r="Y1873" s="10"/>
      <c r="Z1873" s="10"/>
      <c r="AA1873" s="10"/>
      <c r="AB1873" s="10"/>
      <c r="AC1873" s="10"/>
      <c r="AD1873" s="10"/>
      <c r="AE1873" s="10"/>
      <c r="AF1873" s="10"/>
    </row>
    <row r="1874">
      <c r="A1874" s="7"/>
      <c r="B1874" s="26">
        <v>153.0</v>
      </c>
      <c r="C1874" s="27">
        <v>4.0</v>
      </c>
      <c r="D1874" s="8" t="s">
        <v>2588</v>
      </c>
      <c r="E1874" s="7">
        <v>2.0</v>
      </c>
      <c r="F1874" s="7"/>
      <c r="G1874" s="7" t="s">
        <v>312</v>
      </c>
      <c r="H1874" s="7" t="s">
        <v>313</v>
      </c>
      <c r="I1874" s="10"/>
      <c r="J1874" s="11"/>
      <c r="K1874" s="8" t="s">
        <v>1664</v>
      </c>
      <c r="L1874" s="12"/>
      <c r="M1874" s="10"/>
      <c r="N1874" s="10"/>
      <c r="O1874" s="10"/>
      <c r="P1874" s="10"/>
      <c r="Q1874" s="10"/>
      <c r="R1874" s="10"/>
      <c r="S1874" s="10"/>
      <c r="T1874" s="10"/>
      <c r="U1874" s="10"/>
      <c r="V1874" s="10"/>
      <c r="W1874" s="10"/>
      <c r="X1874" s="10"/>
      <c r="Y1874" s="10"/>
      <c r="Z1874" s="10"/>
      <c r="AA1874" s="10"/>
      <c r="AB1874" s="10"/>
      <c r="AC1874" s="10"/>
      <c r="AD1874" s="10"/>
      <c r="AE1874" s="10"/>
      <c r="AF1874" s="10"/>
    </row>
    <row r="1875">
      <c r="A1875" s="7"/>
      <c r="B1875" s="26">
        <v>153.0</v>
      </c>
      <c r="C1875" s="27">
        <v>5.0</v>
      </c>
      <c r="D1875" s="8" t="s">
        <v>2589</v>
      </c>
      <c r="E1875" s="7">
        <v>2.0</v>
      </c>
      <c r="F1875" s="7" t="s">
        <v>320</v>
      </c>
      <c r="G1875" s="7" t="s">
        <v>312</v>
      </c>
      <c r="H1875" s="7" t="s">
        <v>313</v>
      </c>
      <c r="I1875" s="7" t="s">
        <v>366</v>
      </c>
      <c r="J1875" s="9" t="s">
        <v>2590</v>
      </c>
      <c r="K1875" s="12"/>
      <c r="L1875" s="15" t="s">
        <v>2583</v>
      </c>
      <c r="M1875" s="10"/>
      <c r="N1875" s="10"/>
      <c r="O1875" s="10"/>
      <c r="P1875" s="10"/>
      <c r="Q1875" s="10"/>
      <c r="R1875" s="10"/>
      <c r="S1875" s="10"/>
      <c r="T1875" s="10"/>
      <c r="U1875" s="10"/>
      <c r="V1875" s="10"/>
      <c r="W1875" s="10"/>
      <c r="X1875" s="10"/>
      <c r="Y1875" s="10"/>
      <c r="Z1875" s="10"/>
      <c r="AA1875" s="10"/>
      <c r="AB1875" s="10"/>
      <c r="AC1875" s="10"/>
      <c r="AD1875" s="10"/>
      <c r="AE1875" s="10"/>
      <c r="AF1875" s="10"/>
    </row>
    <row r="1876">
      <c r="A1876" s="7"/>
      <c r="B1876" s="26">
        <v>153.0</v>
      </c>
      <c r="C1876" s="27">
        <v>6.0</v>
      </c>
      <c r="D1876" s="8" t="s">
        <v>2591</v>
      </c>
      <c r="E1876" s="7">
        <v>2.0</v>
      </c>
      <c r="F1876" s="7" t="s">
        <v>320</v>
      </c>
      <c r="G1876" s="7" t="s">
        <v>312</v>
      </c>
      <c r="H1876" s="7" t="s">
        <v>313</v>
      </c>
      <c r="I1876" s="7" t="s">
        <v>366</v>
      </c>
      <c r="J1876" s="9" t="s">
        <v>2590</v>
      </c>
      <c r="K1876" s="12"/>
      <c r="L1876" s="15" t="s">
        <v>2583</v>
      </c>
      <c r="M1876" s="10"/>
      <c r="N1876" s="10"/>
      <c r="O1876" s="10"/>
      <c r="P1876" s="10"/>
      <c r="Q1876" s="10"/>
      <c r="R1876" s="10"/>
      <c r="S1876" s="10"/>
      <c r="T1876" s="10"/>
      <c r="U1876" s="10"/>
      <c r="V1876" s="10"/>
      <c r="W1876" s="10"/>
      <c r="X1876" s="10"/>
      <c r="Y1876" s="10"/>
      <c r="Z1876" s="10"/>
      <c r="AA1876" s="10"/>
      <c r="AB1876" s="10"/>
      <c r="AC1876" s="10"/>
      <c r="AD1876" s="10"/>
      <c r="AE1876" s="10"/>
      <c r="AF1876" s="10"/>
    </row>
    <row r="1877">
      <c r="A1877" s="7"/>
      <c r="B1877" s="26">
        <v>153.0</v>
      </c>
      <c r="C1877" s="27">
        <v>7.0</v>
      </c>
      <c r="D1877" s="8" t="s">
        <v>2592</v>
      </c>
      <c r="E1877" s="7">
        <v>2.0</v>
      </c>
      <c r="F1877" s="7" t="s">
        <v>320</v>
      </c>
      <c r="G1877" s="7" t="s">
        <v>312</v>
      </c>
      <c r="H1877" s="7" t="s">
        <v>313</v>
      </c>
      <c r="I1877" s="7" t="s">
        <v>366</v>
      </c>
      <c r="J1877" s="9" t="s">
        <v>2590</v>
      </c>
      <c r="K1877" s="12"/>
      <c r="L1877" s="15" t="s">
        <v>2583</v>
      </c>
      <c r="M1877" s="10"/>
      <c r="N1877" s="10"/>
      <c r="O1877" s="10"/>
      <c r="P1877" s="10"/>
      <c r="Q1877" s="10"/>
      <c r="R1877" s="10"/>
      <c r="S1877" s="10"/>
      <c r="T1877" s="10"/>
      <c r="U1877" s="10"/>
      <c r="V1877" s="10"/>
      <c r="W1877" s="10"/>
      <c r="X1877" s="10"/>
      <c r="Y1877" s="10"/>
      <c r="Z1877" s="10"/>
      <c r="AA1877" s="10"/>
      <c r="AB1877" s="10"/>
      <c r="AC1877" s="10"/>
      <c r="AD1877" s="10"/>
      <c r="AE1877" s="10"/>
      <c r="AF1877" s="10"/>
    </row>
    <row r="1878">
      <c r="A1878" s="7"/>
      <c r="B1878" s="26">
        <v>153.0</v>
      </c>
      <c r="C1878" s="27">
        <v>8.0</v>
      </c>
      <c r="D1878" s="8" t="s">
        <v>2593</v>
      </c>
      <c r="E1878" s="7">
        <v>0.0</v>
      </c>
      <c r="F1878" s="7"/>
      <c r="G1878" s="7" t="s">
        <v>312</v>
      </c>
      <c r="H1878" s="7" t="s">
        <v>313</v>
      </c>
      <c r="I1878" s="10"/>
      <c r="J1878" s="11"/>
      <c r="K1878" s="12"/>
      <c r="L1878" s="12"/>
      <c r="M1878" s="10"/>
      <c r="N1878" s="10"/>
      <c r="O1878" s="10"/>
      <c r="P1878" s="10"/>
      <c r="Q1878" s="10"/>
      <c r="R1878" s="10"/>
      <c r="S1878" s="10"/>
      <c r="T1878" s="10"/>
      <c r="U1878" s="10"/>
      <c r="V1878" s="10"/>
      <c r="W1878" s="10"/>
      <c r="X1878" s="10"/>
      <c r="Y1878" s="10"/>
      <c r="Z1878" s="10"/>
      <c r="AA1878" s="10"/>
      <c r="AB1878" s="10"/>
      <c r="AC1878" s="10"/>
      <c r="AD1878" s="10"/>
      <c r="AE1878" s="10"/>
      <c r="AF1878" s="10"/>
    </row>
    <row r="1879">
      <c r="A1879" s="7"/>
      <c r="B1879" s="26">
        <v>153.0</v>
      </c>
      <c r="C1879" s="27">
        <v>9.0</v>
      </c>
      <c r="D1879" s="8" t="s">
        <v>2594</v>
      </c>
      <c r="E1879" s="7">
        <v>0.0</v>
      </c>
      <c r="F1879" s="7"/>
      <c r="G1879" s="7" t="s">
        <v>312</v>
      </c>
      <c r="H1879" s="7" t="s">
        <v>313</v>
      </c>
      <c r="I1879" s="10"/>
      <c r="J1879" s="11"/>
      <c r="K1879" s="12"/>
      <c r="L1879" s="12"/>
      <c r="M1879" s="10"/>
      <c r="N1879" s="10"/>
      <c r="O1879" s="10"/>
      <c r="P1879" s="10"/>
      <c r="Q1879" s="10"/>
      <c r="R1879" s="10"/>
      <c r="S1879" s="10"/>
      <c r="T1879" s="10"/>
      <c r="U1879" s="10"/>
      <c r="V1879" s="10"/>
      <c r="W1879" s="10"/>
      <c r="X1879" s="10"/>
      <c r="Y1879" s="10"/>
      <c r="Z1879" s="10"/>
      <c r="AA1879" s="10"/>
      <c r="AB1879" s="10"/>
      <c r="AC1879" s="10"/>
      <c r="AD1879" s="10"/>
      <c r="AE1879" s="10"/>
      <c r="AF1879" s="10"/>
    </row>
    <row r="1880">
      <c r="A1880" s="7"/>
      <c r="B1880" s="26">
        <v>153.0</v>
      </c>
      <c r="C1880" s="27">
        <v>10.0</v>
      </c>
      <c r="D1880" s="8" t="s">
        <v>2595</v>
      </c>
      <c r="E1880" s="7">
        <v>0.0</v>
      </c>
      <c r="F1880" s="7"/>
      <c r="G1880" s="7" t="s">
        <v>312</v>
      </c>
      <c r="H1880" s="7" t="s">
        <v>313</v>
      </c>
      <c r="I1880" s="10"/>
      <c r="J1880" s="11"/>
      <c r="K1880" s="12"/>
      <c r="L1880" s="12"/>
      <c r="M1880" s="10"/>
      <c r="N1880" s="10"/>
      <c r="O1880" s="10"/>
      <c r="P1880" s="10"/>
      <c r="Q1880" s="10"/>
      <c r="R1880" s="10"/>
      <c r="S1880" s="10"/>
      <c r="T1880" s="10"/>
      <c r="U1880" s="10"/>
      <c r="V1880" s="10"/>
      <c r="W1880" s="10"/>
      <c r="X1880" s="10"/>
      <c r="Y1880" s="10"/>
      <c r="Z1880" s="10"/>
      <c r="AA1880" s="10"/>
      <c r="AB1880" s="10"/>
      <c r="AC1880" s="10"/>
      <c r="AD1880" s="10"/>
      <c r="AE1880" s="10"/>
      <c r="AF1880" s="10"/>
    </row>
    <row r="1881">
      <c r="A1881" s="10"/>
      <c r="B1881" s="12"/>
      <c r="C1881" s="12"/>
      <c r="D1881" s="12"/>
      <c r="E1881" s="10"/>
      <c r="F1881" s="10"/>
      <c r="G1881" s="10"/>
      <c r="H1881" s="10"/>
      <c r="I1881" s="10"/>
      <c r="J1881" s="11"/>
      <c r="K1881" s="12"/>
      <c r="L1881" s="12"/>
      <c r="M1881" s="10"/>
      <c r="N1881" s="10"/>
      <c r="O1881" s="10"/>
      <c r="P1881" s="10"/>
      <c r="Q1881" s="10"/>
      <c r="R1881" s="10"/>
      <c r="S1881" s="10"/>
      <c r="T1881" s="10"/>
      <c r="U1881" s="10"/>
      <c r="V1881" s="10"/>
      <c r="W1881" s="10"/>
      <c r="X1881" s="10"/>
      <c r="Y1881" s="10"/>
      <c r="Z1881" s="10"/>
      <c r="AA1881" s="10"/>
      <c r="AB1881" s="10"/>
      <c r="AC1881" s="10"/>
      <c r="AD1881" s="10"/>
      <c r="AE1881" s="10"/>
      <c r="AF1881" s="10"/>
    </row>
    <row r="1882">
      <c r="A1882" s="7"/>
      <c r="B1882" s="26">
        <v>154.0</v>
      </c>
      <c r="C1882" s="27">
        <v>1.0</v>
      </c>
      <c r="D1882" s="8" t="s">
        <v>2596</v>
      </c>
      <c r="E1882" s="7">
        <v>0.0</v>
      </c>
      <c r="F1882" s="7"/>
      <c r="G1882" s="7" t="s">
        <v>312</v>
      </c>
      <c r="H1882" s="7" t="s">
        <v>313</v>
      </c>
      <c r="I1882" s="10"/>
      <c r="J1882" s="9" t="s">
        <v>2597</v>
      </c>
      <c r="K1882" s="12"/>
      <c r="L1882" s="12"/>
      <c r="M1882" s="10"/>
      <c r="N1882" s="10"/>
      <c r="O1882" s="10"/>
      <c r="P1882" s="10"/>
      <c r="Q1882" s="10"/>
      <c r="R1882" s="10"/>
      <c r="S1882" s="10"/>
      <c r="T1882" s="10"/>
      <c r="U1882" s="10"/>
      <c r="V1882" s="10"/>
      <c r="W1882" s="10"/>
      <c r="X1882" s="10"/>
      <c r="Y1882" s="10"/>
      <c r="Z1882" s="10"/>
      <c r="AA1882" s="10"/>
      <c r="AB1882" s="10"/>
      <c r="AC1882" s="10"/>
      <c r="AD1882" s="10"/>
      <c r="AE1882" s="10"/>
      <c r="AF1882" s="10"/>
    </row>
    <row r="1883">
      <c r="A1883" s="7"/>
      <c r="B1883" s="26">
        <v>154.0</v>
      </c>
      <c r="C1883" s="27">
        <v>2.0</v>
      </c>
      <c r="D1883" s="8" t="s">
        <v>2598</v>
      </c>
      <c r="E1883" s="7">
        <v>0.0</v>
      </c>
      <c r="F1883" s="7"/>
      <c r="G1883" s="7" t="s">
        <v>312</v>
      </c>
      <c r="H1883" s="7" t="s">
        <v>313</v>
      </c>
      <c r="I1883" s="10"/>
      <c r="J1883" s="11"/>
      <c r="K1883" s="12"/>
      <c r="L1883" s="12"/>
      <c r="M1883" s="10"/>
      <c r="N1883" s="10"/>
      <c r="O1883" s="10"/>
      <c r="P1883" s="10"/>
      <c r="Q1883" s="10"/>
      <c r="R1883" s="10"/>
      <c r="S1883" s="10"/>
      <c r="T1883" s="10"/>
      <c r="U1883" s="10"/>
      <c r="V1883" s="10"/>
      <c r="W1883" s="10"/>
      <c r="X1883" s="10"/>
      <c r="Y1883" s="10"/>
      <c r="Z1883" s="10"/>
      <c r="AA1883" s="10"/>
      <c r="AB1883" s="10"/>
      <c r="AC1883" s="10"/>
      <c r="AD1883" s="10"/>
      <c r="AE1883" s="10"/>
      <c r="AF1883" s="10"/>
    </row>
    <row r="1884">
      <c r="A1884" s="7"/>
      <c r="B1884" s="26">
        <v>154.0</v>
      </c>
      <c r="C1884" s="27">
        <v>3.0</v>
      </c>
      <c r="D1884" s="8" t="s">
        <v>2599</v>
      </c>
      <c r="E1884" s="7">
        <v>2.0</v>
      </c>
      <c r="F1884" s="7" t="s">
        <v>320</v>
      </c>
      <c r="G1884" s="7" t="s">
        <v>312</v>
      </c>
      <c r="H1884" s="7" t="s">
        <v>313</v>
      </c>
      <c r="I1884" s="10"/>
      <c r="J1884" s="9" t="s">
        <v>2600</v>
      </c>
      <c r="K1884" s="12"/>
      <c r="L1884" s="12"/>
      <c r="M1884" s="10"/>
      <c r="N1884" s="10"/>
      <c r="O1884" s="10"/>
      <c r="P1884" s="10"/>
      <c r="Q1884" s="10"/>
      <c r="R1884" s="10"/>
      <c r="S1884" s="10"/>
      <c r="T1884" s="10"/>
      <c r="U1884" s="10"/>
      <c r="V1884" s="10"/>
      <c r="W1884" s="10"/>
      <c r="X1884" s="10"/>
      <c r="Y1884" s="10"/>
      <c r="Z1884" s="10"/>
      <c r="AA1884" s="10"/>
      <c r="AB1884" s="10"/>
      <c r="AC1884" s="10"/>
      <c r="AD1884" s="10"/>
      <c r="AE1884" s="10"/>
      <c r="AF1884" s="10"/>
    </row>
    <row r="1885">
      <c r="A1885" s="10"/>
      <c r="B1885" s="12"/>
      <c r="C1885" s="12"/>
      <c r="D1885" s="12"/>
      <c r="E1885" s="10"/>
      <c r="F1885" s="10"/>
      <c r="G1885" s="10"/>
      <c r="H1885" s="10"/>
      <c r="I1885" s="10"/>
      <c r="J1885" s="11"/>
      <c r="K1885" s="12"/>
      <c r="L1885" s="12"/>
      <c r="M1885" s="10"/>
      <c r="N1885" s="10"/>
      <c r="O1885" s="10"/>
      <c r="P1885" s="10"/>
      <c r="Q1885" s="10"/>
      <c r="R1885" s="10"/>
      <c r="S1885" s="10"/>
      <c r="T1885" s="10"/>
      <c r="U1885" s="10"/>
      <c r="V1885" s="10"/>
      <c r="W1885" s="10"/>
      <c r="X1885" s="10"/>
      <c r="Y1885" s="10"/>
      <c r="Z1885" s="10"/>
      <c r="AA1885" s="10"/>
      <c r="AB1885" s="10"/>
      <c r="AC1885" s="10"/>
      <c r="AD1885" s="10"/>
      <c r="AE1885" s="10"/>
      <c r="AF1885" s="10"/>
    </row>
    <row r="1886">
      <c r="A1886" s="7"/>
      <c r="B1886" s="26">
        <v>155.0</v>
      </c>
      <c r="C1886" s="27">
        <v>1.0</v>
      </c>
      <c r="D1886" s="8" t="s">
        <v>2601</v>
      </c>
      <c r="E1886" s="7">
        <v>0.0</v>
      </c>
      <c r="F1886" s="7" t="s">
        <v>320</v>
      </c>
      <c r="G1886" s="7" t="s">
        <v>312</v>
      </c>
      <c r="H1886" s="7" t="s">
        <v>313</v>
      </c>
      <c r="I1886" s="7" t="s">
        <v>366</v>
      </c>
      <c r="J1886" s="9" t="s">
        <v>2602</v>
      </c>
      <c r="K1886" s="8" t="s">
        <v>1579</v>
      </c>
      <c r="L1886" s="12"/>
      <c r="M1886" s="10"/>
      <c r="N1886" s="10"/>
      <c r="O1886" s="10"/>
      <c r="P1886" s="10"/>
      <c r="Q1886" s="10"/>
      <c r="R1886" s="10"/>
      <c r="S1886" s="10"/>
      <c r="T1886" s="10"/>
      <c r="U1886" s="10"/>
      <c r="V1886" s="10"/>
      <c r="W1886" s="10"/>
      <c r="X1886" s="10"/>
      <c r="Y1886" s="10"/>
      <c r="Z1886" s="10"/>
      <c r="AA1886" s="10"/>
      <c r="AB1886" s="10"/>
      <c r="AC1886" s="10"/>
      <c r="AD1886" s="10"/>
      <c r="AE1886" s="10"/>
      <c r="AF1886" s="10"/>
    </row>
    <row r="1887">
      <c r="A1887" s="7"/>
      <c r="B1887" s="26">
        <v>155.0</v>
      </c>
      <c r="C1887" s="27">
        <v>2.0</v>
      </c>
      <c r="D1887" s="8" t="s">
        <v>2603</v>
      </c>
      <c r="E1887" s="7">
        <v>0.0</v>
      </c>
      <c r="F1887" s="7" t="s">
        <v>320</v>
      </c>
      <c r="G1887" s="7" t="s">
        <v>312</v>
      </c>
      <c r="H1887" s="7" t="s">
        <v>313</v>
      </c>
      <c r="I1887" s="7" t="s">
        <v>366</v>
      </c>
      <c r="J1887" s="23" t="s">
        <v>2604</v>
      </c>
      <c r="K1887" s="8" t="s">
        <v>1579</v>
      </c>
      <c r="L1887" s="12"/>
      <c r="M1887" s="10"/>
      <c r="N1887" s="10"/>
      <c r="O1887" s="10"/>
      <c r="P1887" s="10"/>
      <c r="Q1887" s="10"/>
      <c r="R1887" s="10"/>
      <c r="S1887" s="10"/>
      <c r="T1887" s="10"/>
      <c r="U1887" s="10"/>
      <c r="V1887" s="10"/>
      <c r="W1887" s="10"/>
      <c r="X1887" s="10"/>
      <c r="Y1887" s="10"/>
      <c r="Z1887" s="10"/>
      <c r="AA1887" s="10"/>
      <c r="AB1887" s="10"/>
      <c r="AC1887" s="10"/>
      <c r="AD1887" s="10"/>
      <c r="AE1887" s="10"/>
      <c r="AF1887" s="10"/>
    </row>
    <row r="1888">
      <c r="A1888" s="7"/>
      <c r="B1888" s="26">
        <v>155.0</v>
      </c>
      <c r="C1888" s="27">
        <v>3.0</v>
      </c>
      <c r="D1888" s="8" t="s">
        <v>2605</v>
      </c>
      <c r="E1888" s="7">
        <v>0.0</v>
      </c>
      <c r="F1888" s="7"/>
      <c r="G1888" s="7" t="s">
        <v>312</v>
      </c>
      <c r="H1888" s="7" t="s">
        <v>313</v>
      </c>
      <c r="I1888" s="10"/>
      <c r="J1888" s="28"/>
      <c r="K1888" s="12"/>
      <c r="L1888" s="12"/>
      <c r="M1888" s="10"/>
      <c r="N1888" s="10"/>
      <c r="O1888" s="10"/>
      <c r="P1888" s="10"/>
      <c r="Q1888" s="10"/>
      <c r="R1888" s="10"/>
      <c r="S1888" s="10"/>
      <c r="T1888" s="10"/>
      <c r="U1888" s="10"/>
      <c r="V1888" s="10"/>
      <c r="W1888" s="10"/>
      <c r="X1888" s="10"/>
      <c r="Y1888" s="10"/>
      <c r="Z1888" s="10"/>
      <c r="AA1888" s="10"/>
      <c r="AB1888" s="10"/>
      <c r="AC1888" s="10"/>
      <c r="AD1888" s="10"/>
      <c r="AE1888" s="10"/>
      <c r="AF1888" s="10"/>
    </row>
    <row r="1889">
      <c r="A1889" s="7"/>
      <c r="B1889" s="26">
        <v>155.0</v>
      </c>
      <c r="C1889" s="27">
        <v>4.0</v>
      </c>
      <c r="D1889" s="8" t="s">
        <v>2606</v>
      </c>
      <c r="E1889" s="7">
        <v>2.0</v>
      </c>
      <c r="F1889" s="7"/>
      <c r="G1889" s="7" t="s">
        <v>312</v>
      </c>
      <c r="H1889" s="7" t="s">
        <v>313</v>
      </c>
      <c r="I1889" s="10"/>
      <c r="J1889" s="9" t="s">
        <v>2607</v>
      </c>
      <c r="K1889" s="8" t="s">
        <v>2608</v>
      </c>
      <c r="L1889" s="12"/>
      <c r="M1889" s="10"/>
      <c r="N1889" s="10"/>
      <c r="O1889" s="10"/>
      <c r="P1889" s="10"/>
      <c r="Q1889" s="10"/>
      <c r="R1889" s="10"/>
      <c r="S1889" s="10"/>
      <c r="T1889" s="10"/>
      <c r="U1889" s="10"/>
      <c r="V1889" s="10"/>
      <c r="W1889" s="10"/>
      <c r="X1889" s="10"/>
      <c r="Y1889" s="10"/>
      <c r="Z1889" s="10"/>
      <c r="AA1889" s="10"/>
      <c r="AB1889" s="10"/>
      <c r="AC1889" s="10"/>
      <c r="AD1889" s="10"/>
      <c r="AE1889" s="10"/>
      <c r="AF1889" s="10"/>
    </row>
    <row r="1890">
      <c r="A1890" s="7"/>
      <c r="B1890" s="26">
        <v>155.0</v>
      </c>
      <c r="C1890" s="27">
        <v>5.0</v>
      </c>
      <c r="D1890" s="8" t="s">
        <v>2609</v>
      </c>
      <c r="E1890" s="7">
        <v>0.0</v>
      </c>
      <c r="F1890" s="7"/>
      <c r="G1890" s="7" t="s">
        <v>312</v>
      </c>
      <c r="H1890" s="7" t="s">
        <v>313</v>
      </c>
      <c r="I1890" s="10"/>
      <c r="J1890" s="9" t="s">
        <v>2610</v>
      </c>
      <c r="K1890" s="12"/>
      <c r="L1890" s="15" t="s">
        <v>2611</v>
      </c>
      <c r="M1890" s="10"/>
      <c r="N1890" s="10"/>
      <c r="O1890" s="10"/>
      <c r="P1890" s="10"/>
      <c r="Q1890" s="10"/>
      <c r="R1890" s="10"/>
      <c r="S1890" s="10"/>
      <c r="T1890" s="10"/>
      <c r="U1890" s="10"/>
      <c r="V1890" s="10"/>
      <c r="W1890" s="10"/>
      <c r="X1890" s="10"/>
      <c r="Y1890" s="10"/>
      <c r="Z1890" s="10"/>
      <c r="AA1890" s="10"/>
      <c r="AB1890" s="10"/>
      <c r="AC1890" s="10"/>
      <c r="AD1890" s="10"/>
      <c r="AE1890" s="10"/>
      <c r="AF1890" s="10"/>
    </row>
    <row r="1891">
      <c r="A1891" s="7"/>
      <c r="B1891" s="26">
        <v>155.0</v>
      </c>
      <c r="C1891" s="27">
        <v>6.0</v>
      </c>
      <c r="D1891" s="8" t="s">
        <v>2612</v>
      </c>
      <c r="E1891" s="7">
        <v>0.0</v>
      </c>
      <c r="F1891" s="7"/>
      <c r="G1891" s="7" t="s">
        <v>312</v>
      </c>
      <c r="H1891" s="7" t="s">
        <v>313</v>
      </c>
      <c r="I1891" s="10"/>
      <c r="J1891" s="28"/>
      <c r="K1891" s="12"/>
      <c r="L1891" s="22" t="s">
        <v>2613</v>
      </c>
      <c r="M1891" s="10"/>
      <c r="N1891" s="10"/>
      <c r="O1891" s="10"/>
      <c r="P1891" s="10"/>
      <c r="Q1891" s="10"/>
      <c r="R1891" s="10"/>
      <c r="S1891" s="10"/>
      <c r="T1891" s="10"/>
      <c r="U1891" s="10"/>
      <c r="V1891" s="10"/>
      <c r="W1891" s="10"/>
      <c r="X1891" s="10"/>
      <c r="Y1891" s="10"/>
      <c r="Z1891" s="10"/>
      <c r="AA1891" s="10"/>
      <c r="AB1891" s="10"/>
      <c r="AC1891" s="10"/>
      <c r="AD1891" s="10"/>
      <c r="AE1891" s="10"/>
      <c r="AF1891" s="10"/>
    </row>
    <row r="1892">
      <c r="A1892" s="10"/>
      <c r="B1892" s="12"/>
      <c r="C1892" s="12"/>
      <c r="D1892" s="12"/>
      <c r="E1892" s="10"/>
      <c r="F1892" s="10"/>
      <c r="G1892" s="10"/>
      <c r="H1892" s="10"/>
      <c r="I1892" s="10"/>
      <c r="J1892" s="11"/>
      <c r="K1892" s="12"/>
      <c r="L1892" s="12"/>
      <c r="M1892" s="10"/>
      <c r="N1892" s="10"/>
      <c r="O1892" s="10"/>
      <c r="P1892" s="10"/>
      <c r="Q1892" s="10"/>
      <c r="R1892" s="10"/>
      <c r="S1892" s="10"/>
      <c r="T1892" s="10"/>
      <c r="U1892" s="10"/>
      <c r="V1892" s="10"/>
      <c r="W1892" s="10"/>
      <c r="X1892" s="10"/>
      <c r="Y1892" s="10"/>
      <c r="Z1892" s="10"/>
      <c r="AA1892" s="10"/>
      <c r="AB1892" s="10"/>
      <c r="AC1892" s="10"/>
      <c r="AD1892" s="10"/>
      <c r="AE1892" s="10"/>
      <c r="AF1892" s="10"/>
    </row>
    <row r="1893">
      <c r="A1893" s="7"/>
      <c r="B1893" s="8">
        <v>156.0</v>
      </c>
      <c r="C1893" s="8">
        <v>1.0</v>
      </c>
      <c r="D1893" s="8" t="s">
        <v>2614</v>
      </c>
      <c r="E1893" s="7">
        <v>0.0</v>
      </c>
      <c r="F1893" s="7"/>
      <c r="G1893" s="7" t="s">
        <v>312</v>
      </c>
      <c r="H1893" s="7" t="s">
        <v>313</v>
      </c>
      <c r="I1893" s="10"/>
      <c r="J1893" s="9" t="s">
        <v>2615</v>
      </c>
      <c r="K1893" s="12"/>
      <c r="L1893" s="12"/>
      <c r="M1893" s="10"/>
      <c r="N1893" s="10"/>
      <c r="O1893" s="10"/>
      <c r="P1893" s="10"/>
      <c r="Q1893" s="10"/>
      <c r="R1893" s="10"/>
      <c r="S1893" s="10"/>
      <c r="T1893" s="10"/>
      <c r="U1893" s="10"/>
      <c r="V1893" s="10"/>
      <c r="W1893" s="10"/>
      <c r="X1893" s="10"/>
      <c r="Y1893" s="10"/>
      <c r="Z1893" s="10"/>
      <c r="AA1893" s="10"/>
      <c r="AB1893" s="10"/>
      <c r="AC1893" s="10"/>
      <c r="AD1893" s="10"/>
      <c r="AE1893" s="10"/>
      <c r="AF1893" s="10"/>
    </row>
    <row r="1894">
      <c r="A1894" s="10"/>
      <c r="B1894" s="12"/>
      <c r="C1894" s="12"/>
      <c r="D1894" s="12"/>
      <c r="E1894" s="10"/>
      <c r="F1894" s="10"/>
      <c r="G1894" s="10"/>
      <c r="H1894" s="10"/>
      <c r="I1894" s="10"/>
      <c r="J1894" s="11"/>
      <c r="K1894" s="12"/>
      <c r="L1894" s="12"/>
      <c r="M1894" s="10"/>
      <c r="N1894" s="10"/>
      <c r="O1894" s="10"/>
      <c r="P1894" s="10"/>
      <c r="Q1894" s="10"/>
      <c r="R1894" s="10"/>
      <c r="S1894" s="10"/>
      <c r="T1894" s="10"/>
      <c r="U1894" s="10"/>
      <c r="V1894" s="10"/>
      <c r="W1894" s="10"/>
      <c r="X1894" s="10"/>
      <c r="Y1894" s="10"/>
      <c r="Z1894" s="10"/>
      <c r="AA1894" s="10"/>
      <c r="AB1894" s="10"/>
      <c r="AC1894" s="10"/>
      <c r="AD1894" s="10"/>
      <c r="AE1894" s="10"/>
      <c r="AF1894" s="10"/>
    </row>
    <row r="1895">
      <c r="A1895" s="7"/>
      <c r="B1895" s="8">
        <v>157.0</v>
      </c>
      <c r="C1895" s="8">
        <v>1.0</v>
      </c>
      <c r="D1895" s="8" t="s">
        <v>2616</v>
      </c>
      <c r="E1895" s="7">
        <v>2.0</v>
      </c>
      <c r="F1895" s="7"/>
      <c r="G1895" s="7" t="s">
        <v>312</v>
      </c>
      <c r="H1895" s="7" t="s">
        <v>313</v>
      </c>
      <c r="I1895" s="10"/>
      <c r="J1895" s="9" t="s">
        <v>2617</v>
      </c>
      <c r="K1895" s="8" t="s">
        <v>1664</v>
      </c>
      <c r="L1895" s="12"/>
      <c r="M1895" s="10"/>
      <c r="N1895" s="10"/>
      <c r="O1895" s="10"/>
      <c r="P1895" s="10"/>
      <c r="Q1895" s="10"/>
      <c r="R1895" s="10"/>
      <c r="S1895" s="10"/>
      <c r="T1895" s="10"/>
      <c r="U1895" s="10"/>
      <c r="V1895" s="10"/>
      <c r="W1895" s="10"/>
      <c r="X1895" s="10"/>
      <c r="Y1895" s="10"/>
      <c r="Z1895" s="10"/>
      <c r="AA1895" s="10"/>
      <c r="AB1895" s="10"/>
      <c r="AC1895" s="10"/>
      <c r="AD1895" s="10"/>
      <c r="AE1895" s="10"/>
      <c r="AF1895" s="10"/>
    </row>
    <row r="1896">
      <c r="A1896" s="10"/>
      <c r="B1896" s="12"/>
      <c r="C1896" s="12"/>
      <c r="D1896" s="12"/>
      <c r="E1896" s="10"/>
      <c r="F1896" s="10"/>
      <c r="G1896" s="10"/>
      <c r="H1896" s="10"/>
      <c r="I1896" s="10"/>
      <c r="J1896" s="11"/>
      <c r="K1896" s="12"/>
      <c r="L1896" s="12"/>
      <c r="M1896" s="10"/>
      <c r="N1896" s="10"/>
      <c r="O1896" s="10"/>
      <c r="P1896" s="10"/>
      <c r="Q1896" s="10"/>
      <c r="R1896" s="10"/>
      <c r="S1896" s="10"/>
      <c r="T1896" s="10"/>
      <c r="U1896" s="10"/>
      <c r="V1896" s="10"/>
      <c r="W1896" s="10"/>
      <c r="X1896" s="10"/>
      <c r="Y1896" s="10"/>
      <c r="Z1896" s="10"/>
      <c r="AA1896" s="10"/>
      <c r="AB1896" s="10"/>
      <c r="AC1896" s="10"/>
      <c r="AD1896" s="10"/>
      <c r="AE1896" s="10"/>
      <c r="AF1896" s="10"/>
    </row>
    <row r="1897">
      <c r="A1897" s="7"/>
      <c r="B1897" s="8">
        <v>158.0</v>
      </c>
      <c r="C1897" s="8">
        <v>1.0</v>
      </c>
      <c r="D1897" s="8" t="s">
        <v>2618</v>
      </c>
      <c r="E1897" s="7">
        <v>0.0</v>
      </c>
      <c r="F1897" s="7"/>
      <c r="G1897" s="7" t="s">
        <v>312</v>
      </c>
      <c r="H1897" s="7" t="s">
        <v>313</v>
      </c>
      <c r="I1897" s="10"/>
      <c r="J1897" s="11"/>
      <c r="K1897" s="12"/>
      <c r="L1897" s="12"/>
      <c r="M1897" s="10"/>
      <c r="N1897" s="10"/>
      <c r="O1897" s="10"/>
      <c r="P1897" s="10"/>
      <c r="Q1897" s="10"/>
      <c r="R1897" s="10"/>
      <c r="S1897" s="10"/>
      <c r="T1897" s="10"/>
      <c r="U1897" s="10"/>
      <c r="V1897" s="10"/>
      <c r="W1897" s="10"/>
      <c r="X1897" s="10"/>
      <c r="Y1897" s="10"/>
      <c r="Z1897" s="10"/>
      <c r="AA1897" s="10"/>
      <c r="AB1897" s="10"/>
      <c r="AC1897" s="10"/>
      <c r="AD1897" s="10"/>
      <c r="AE1897" s="10"/>
      <c r="AF1897" s="10"/>
    </row>
    <row r="1898">
      <c r="A1898" s="10"/>
      <c r="B1898" s="12"/>
      <c r="C1898" s="12"/>
      <c r="D1898" s="12"/>
      <c r="E1898" s="10"/>
      <c r="F1898" s="10"/>
      <c r="G1898" s="10"/>
      <c r="H1898" s="10"/>
      <c r="I1898" s="10"/>
      <c r="J1898" s="11"/>
      <c r="K1898" s="12"/>
      <c r="L1898" s="12"/>
      <c r="M1898" s="10"/>
      <c r="N1898" s="10"/>
      <c r="O1898" s="10"/>
      <c r="P1898" s="10"/>
      <c r="Q1898" s="10"/>
      <c r="R1898" s="10"/>
      <c r="S1898" s="10"/>
      <c r="T1898" s="10"/>
      <c r="U1898" s="10"/>
      <c r="V1898" s="10"/>
      <c r="W1898" s="10"/>
      <c r="X1898" s="10"/>
      <c r="Y1898" s="10"/>
      <c r="Z1898" s="10"/>
      <c r="AA1898" s="10"/>
      <c r="AB1898" s="10"/>
      <c r="AC1898" s="10"/>
      <c r="AD1898" s="10"/>
      <c r="AE1898" s="10"/>
      <c r="AF1898" s="10"/>
    </row>
    <row r="1899">
      <c r="A1899" s="7"/>
      <c r="B1899" s="26">
        <v>159.0</v>
      </c>
      <c r="C1899" s="27">
        <v>1.0</v>
      </c>
      <c r="D1899" s="8" t="s">
        <v>2619</v>
      </c>
      <c r="E1899" s="7">
        <v>2.0</v>
      </c>
      <c r="F1899" s="7"/>
      <c r="G1899" s="7" t="s">
        <v>312</v>
      </c>
      <c r="H1899" s="7" t="s">
        <v>313</v>
      </c>
      <c r="I1899" s="10"/>
      <c r="J1899" s="9" t="s">
        <v>2620</v>
      </c>
      <c r="K1899" s="8" t="s">
        <v>1664</v>
      </c>
      <c r="L1899" s="12"/>
      <c r="M1899" s="10"/>
      <c r="N1899" s="10"/>
      <c r="O1899" s="10"/>
      <c r="P1899" s="10"/>
      <c r="Q1899" s="10"/>
      <c r="R1899" s="10"/>
      <c r="S1899" s="10"/>
      <c r="T1899" s="10"/>
      <c r="U1899" s="10"/>
      <c r="V1899" s="10"/>
      <c r="W1899" s="10"/>
      <c r="X1899" s="10"/>
      <c r="Y1899" s="10"/>
      <c r="Z1899" s="10"/>
      <c r="AA1899" s="10"/>
      <c r="AB1899" s="10"/>
      <c r="AC1899" s="10"/>
      <c r="AD1899" s="10"/>
      <c r="AE1899" s="10"/>
      <c r="AF1899" s="10"/>
    </row>
    <row r="1900">
      <c r="A1900" s="7"/>
      <c r="B1900" s="26">
        <v>159.0</v>
      </c>
      <c r="C1900" s="27">
        <v>2.0</v>
      </c>
      <c r="D1900" s="8" t="s">
        <v>2621</v>
      </c>
      <c r="E1900" s="7">
        <v>2.0</v>
      </c>
      <c r="F1900" s="7" t="s">
        <v>320</v>
      </c>
      <c r="G1900" s="7" t="s">
        <v>312</v>
      </c>
      <c r="H1900" s="7" t="s">
        <v>313</v>
      </c>
      <c r="I1900" s="7" t="s">
        <v>366</v>
      </c>
      <c r="J1900" s="9" t="s">
        <v>2622</v>
      </c>
      <c r="K1900" s="12"/>
      <c r="L1900" s="12"/>
      <c r="M1900" s="10"/>
      <c r="N1900" s="10"/>
      <c r="O1900" s="10"/>
      <c r="P1900" s="10"/>
      <c r="Q1900" s="10"/>
      <c r="R1900" s="10"/>
      <c r="S1900" s="10"/>
      <c r="T1900" s="10"/>
      <c r="U1900" s="10"/>
      <c r="V1900" s="10"/>
      <c r="W1900" s="10"/>
      <c r="X1900" s="10"/>
      <c r="Y1900" s="10"/>
      <c r="Z1900" s="10"/>
      <c r="AA1900" s="10"/>
      <c r="AB1900" s="10"/>
      <c r="AC1900" s="10"/>
      <c r="AD1900" s="10"/>
      <c r="AE1900" s="10"/>
      <c r="AF1900" s="10"/>
    </row>
    <row r="1901">
      <c r="A1901" s="7"/>
      <c r="B1901" s="26">
        <v>159.0</v>
      </c>
      <c r="C1901" s="27">
        <v>3.0</v>
      </c>
      <c r="D1901" s="8" t="s">
        <v>2623</v>
      </c>
      <c r="E1901" s="7">
        <v>0.0</v>
      </c>
      <c r="F1901" s="7"/>
      <c r="G1901" s="7" t="s">
        <v>312</v>
      </c>
      <c r="H1901" s="7" t="s">
        <v>313</v>
      </c>
      <c r="I1901" s="10"/>
      <c r="J1901" s="11"/>
      <c r="K1901" s="12"/>
      <c r="L1901" s="12"/>
      <c r="M1901" s="10"/>
      <c r="N1901" s="10"/>
      <c r="O1901" s="10"/>
      <c r="P1901" s="10"/>
      <c r="Q1901" s="10"/>
      <c r="R1901" s="10"/>
      <c r="S1901" s="10"/>
      <c r="T1901" s="10"/>
      <c r="U1901" s="10"/>
      <c r="V1901" s="10"/>
      <c r="W1901" s="10"/>
      <c r="X1901" s="10"/>
      <c r="Y1901" s="10"/>
      <c r="Z1901" s="10"/>
      <c r="AA1901" s="10"/>
      <c r="AB1901" s="10"/>
      <c r="AC1901" s="10"/>
      <c r="AD1901" s="10"/>
      <c r="AE1901" s="10"/>
      <c r="AF1901" s="10"/>
    </row>
    <row r="1902">
      <c r="A1902" s="7"/>
      <c r="B1902" s="26">
        <v>159.0</v>
      </c>
      <c r="C1902" s="27">
        <v>4.0</v>
      </c>
      <c r="D1902" s="8" t="s">
        <v>2624</v>
      </c>
      <c r="E1902" s="7">
        <v>0.0</v>
      </c>
      <c r="F1902" s="7"/>
      <c r="G1902" s="7" t="s">
        <v>312</v>
      </c>
      <c r="H1902" s="7" t="s">
        <v>313</v>
      </c>
      <c r="I1902" s="10"/>
      <c r="J1902" s="11"/>
      <c r="K1902" s="12"/>
      <c r="L1902" s="12"/>
      <c r="M1902" s="10"/>
      <c r="N1902" s="10"/>
      <c r="O1902" s="10"/>
      <c r="P1902" s="10"/>
      <c r="Q1902" s="10"/>
      <c r="R1902" s="10"/>
      <c r="S1902" s="10"/>
      <c r="T1902" s="10"/>
      <c r="U1902" s="10"/>
      <c r="V1902" s="10"/>
      <c r="W1902" s="10"/>
      <c r="X1902" s="10"/>
      <c r="Y1902" s="10"/>
      <c r="Z1902" s="10"/>
      <c r="AA1902" s="10"/>
      <c r="AB1902" s="10"/>
      <c r="AC1902" s="10"/>
      <c r="AD1902" s="10"/>
      <c r="AE1902" s="10"/>
      <c r="AF1902" s="10"/>
    </row>
    <row r="1903">
      <c r="A1903" s="7"/>
      <c r="B1903" s="26">
        <v>159.0</v>
      </c>
      <c r="C1903" s="27">
        <v>5.0</v>
      </c>
      <c r="D1903" s="8" t="s">
        <v>2625</v>
      </c>
      <c r="E1903" s="7">
        <v>2.0</v>
      </c>
      <c r="F1903" s="7" t="s">
        <v>320</v>
      </c>
      <c r="G1903" s="7" t="s">
        <v>312</v>
      </c>
      <c r="H1903" s="7" t="s">
        <v>313</v>
      </c>
      <c r="I1903" s="7" t="s">
        <v>366</v>
      </c>
      <c r="J1903" s="9" t="s">
        <v>2626</v>
      </c>
      <c r="K1903" s="12"/>
      <c r="L1903" s="12"/>
      <c r="M1903" s="10"/>
      <c r="N1903" s="10"/>
      <c r="O1903" s="10"/>
      <c r="P1903" s="10"/>
      <c r="Q1903" s="10"/>
      <c r="R1903" s="10"/>
      <c r="S1903" s="10"/>
      <c r="T1903" s="10"/>
      <c r="U1903" s="10"/>
      <c r="V1903" s="10"/>
      <c r="W1903" s="10"/>
      <c r="X1903" s="10"/>
      <c r="Y1903" s="10"/>
      <c r="Z1903" s="10"/>
      <c r="AA1903" s="10"/>
      <c r="AB1903" s="10"/>
      <c r="AC1903" s="10"/>
      <c r="AD1903" s="10"/>
      <c r="AE1903" s="10"/>
      <c r="AF1903" s="10"/>
    </row>
    <row r="1904">
      <c r="A1904" s="7"/>
      <c r="B1904" s="26">
        <v>159.0</v>
      </c>
      <c r="C1904" s="27">
        <v>6.0</v>
      </c>
      <c r="D1904" s="8" t="s">
        <v>2627</v>
      </c>
      <c r="E1904" s="7">
        <v>2.0</v>
      </c>
      <c r="F1904" s="7"/>
      <c r="G1904" s="7" t="s">
        <v>312</v>
      </c>
      <c r="H1904" s="7" t="s">
        <v>313</v>
      </c>
      <c r="I1904" s="10"/>
      <c r="J1904" s="9" t="s">
        <v>2628</v>
      </c>
      <c r="K1904" s="8" t="s">
        <v>1579</v>
      </c>
      <c r="L1904" s="12"/>
      <c r="M1904" s="10"/>
      <c r="N1904" s="10"/>
      <c r="O1904" s="10"/>
      <c r="P1904" s="10"/>
      <c r="Q1904" s="10"/>
      <c r="R1904" s="10"/>
      <c r="S1904" s="10"/>
      <c r="T1904" s="10"/>
      <c r="U1904" s="10"/>
      <c r="V1904" s="10"/>
      <c r="W1904" s="10"/>
      <c r="X1904" s="10"/>
      <c r="Y1904" s="10"/>
      <c r="Z1904" s="10"/>
      <c r="AA1904" s="10"/>
      <c r="AB1904" s="10"/>
      <c r="AC1904" s="10"/>
      <c r="AD1904" s="10"/>
      <c r="AE1904" s="10"/>
      <c r="AF1904" s="10"/>
    </row>
    <row r="1905">
      <c r="A1905" s="10"/>
      <c r="B1905" s="12"/>
      <c r="C1905" s="12"/>
      <c r="D1905" s="12"/>
      <c r="E1905" s="10"/>
      <c r="F1905" s="10"/>
      <c r="G1905" s="10"/>
      <c r="H1905" s="10"/>
      <c r="I1905" s="10"/>
      <c r="J1905" s="11"/>
      <c r="K1905" s="12"/>
      <c r="L1905" s="12"/>
      <c r="M1905" s="10"/>
      <c r="N1905" s="10"/>
      <c r="O1905" s="10"/>
      <c r="P1905" s="10"/>
      <c r="Q1905" s="10"/>
      <c r="R1905" s="10"/>
      <c r="S1905" s="10"/>
      <c r="T1905" s="10"/>
      <c r="U1905" s="10"/>
      <c r="V1905" s="10"/>
      <c r="W1905" s="10"/>
      <c r="X1905" s="10"/>
      <c r="Y1905" s="10"/>
      <c r="Z1905" s="10"/>
      <c r="AA1905" s="10"/>
      <c r="AB1905" s="10"/>
      <c r="AC1905" s="10"/>
      <c r="AD1905" s="10"/>
      <c r="AE1905" s="10"/>
      <c r="AF1905" s="10"/>
    </row>
    <row r="1906">
      <c r="A1906" s="7"/>
      <c r="B1906" s="26">
        <v>160.0</v>
      </c>
      <c r="C1906" s="27">
        <v>1.0</v>
      </c>
      <c r="D1906" s="8" t="s">
        <v>2629</v>
      </c>
      <c r="E1906" s="7">
        <v>2.0</v>
      </c>
      <c r="F1906" s="7"/>
      <c r="G1906" s="7" t="s">
        <v>312</v>
      </c>
      <c r="H1906" s="7" t="s">
        <v>313</v>
      </c>
      <c r="I1906" s="10"/>
      <c r="J1906" s="9" t="s">
        <v>2630</v>
      </c>
      <c r="K1906" s="8" t="s">
        <v>1664</v>
      </c>
      <c r="L1906" s="12"/>
      <c r="M1906" s="10"/>
      <c r="N1906" s="10"/>
      <c r="O1906" s="10"/>
      <c r="P1906" s="10"/>
      <c r="Q1906" s="10"/>
      <c r="R1906" s="10"/>
      <c r="S1906" s="10"/>
      <c r="T1906" s="10"/>
      <c r="U1906" s="10"/>
      <c r="V1906" s="10"/>
      <c r="W1906" s="10"/>
      <c r="X1906" s="10"/>
      <c r="Y1906" s="10"/>
      <c r="Z1906" s="10"/>
      <c r="AA1906" s="10"/>
      <c r="AB1906" s="10"/>
      <c r="AC1906" s="10"/>
      <c r="AD1906" s="10"/>
      <c r="AE1906" s="10"/>
      <c r="AF1906" s="10"/>
    </row>
    <row r="1907">
      <c r="A1907" s="7"/>
      <c r="B1907" s="26">
        <v>160.0</v>
      </c>
      <c r="C1907" s="27">
        <v>2.0</v>
      </c>
      <c r="D1907" s="8" t="s">
        <v>2631</v>
      </c>
      <c r="E1907" s="7">
        <v>0.0</v>
      </c>
      <c r="F1907" s="7"/>
      <c r="G1907" s="7" t="s">
        <v>312</v>
      </c>
      <c r="H1907" s="7" t="s">
        <v>313</v>
      </c>
      <c r="I1907" s="10"/>
      <c r="J1907" s="28"/>
      <c r="K1907" s="12"/>
      <c r="L1907" s="12"/>
      <c r="M1907" s="10"/>
      <c r="N1907" s="10"/>
      <c r="O1907" s="10"/>
      <c r="P1907" s="10"/>
      <c r="Q1907" s="10"/>
      <c r="R1907" s="10"/>
      <c r="S1907" s="10"/>
      <c r="T1907" s="10"/>
      <c r="U1907" s="10"/>
      <c r="V1907" s="10"/>
      <c r="W1907" s="10"/>
      <c r="X1907" s="10"/>
      <c r="Y1907" s="10"/>
      <c r="Z1907" s="10"/>
      <c r="AA1907" s="10"/>
      <c r="AB1907" s="10"/>
      <c r="AC1907" s="10"/>
      <c r="AD1907" s="10"/>
      <c r="AE1907" s="10"/>
      <c r="AF1907" s="10"/>
    </row>
    <row r="1908">
      <c r="A1908" s="7"/>
      <c r="B1908" s="26">
        <v>160.0</v>
      </c>
      <c r="C1908" s="27">
        <v>3.0</v>
      </c>
      <c r="D1908" s="8" t="s">
        <v>2632</v>
      </c>
      <c r="E1908" s="7">
        <v>2.0</v>
      </c>
      <c r="F1908" s="7"/>
      <c r="G1908" s="7" t="s">
        <v>312</v>
      </c>
      <c r="H1908" s="7" t="s">
        <v>313</v>
      </c>
      <c r="I1908" s="10"/>
      <c r="J1908" s="9" t="s">
        <v>2633</v>
      </c>
      <c r="K1908" s="8" t="s">
        <v>1579</v>
      </c>
      <c r="L1908" s="12"/>
      <c r="M1908" s="10"/>
      <c r="N1908" s="10"/>
      <c r="O1908" s="10"/>
      <c r="P1908" s="10"/>
      <c r="Q1908" s="10"/>
      <c r="R1908" s="10"/>
      <c r="S1908" s="10"/>
      <c r="T1908" s="10"/>
      <c r="U1908" s="10"/>
      <c r="V1908" s="10"/>
      <c r="W1908" s="10"/>
      <c r="X1908" s="10"/>
      <c r="Y1908" s="10"/>
      <c r="Z1908" s="10"/>
      <c r="AA1908" s="10"/>
      <c r="AB1908" s="10"/>
      <c r="AC1908" s="10"/>
      <c r="AD1908" s="10"/>
      <c r="AE1908" s="10"/>
      <c r="AF1908" s="10"/>
    </row>
    <row r="1909">
      <c r="A1909" s="10"/>
      <c r="B1909" s="12"/>
      <c r="C1909" s="12"/>
      <c r="D1909" s="12"/>
      <c r="E1909" s="10"/>
      <c r="F1909" s="10"/>
      <c r="G1909" s="10"/>
      <c r="H1909" s="10"/>
      <c r="I1909" s="10"/>
      <c r="J1909" s="11"/>
      <c r="K1909" s="12"/>
      <c r="L1909" s="12"/>
      <c r="M1909" s="10"/>
      <c r="N1909" s="10"/>
      <c r="O1909" s="10"/>
      <c r="P1909" s="10"/>
      <c r="Q1909" s="10"/>
      <c r="R1909" s="10"/>
      <c r="S1909" s="10"/>
      <c r="T1909" s="10"/>
      <c r="U1909" s="10"/>
      <c r="V1909" s="10"/>
      <c r="W1909" s="10"/>
      <c r="X1909" s="10"/>
      <c r="Y1909" s="10"/>
      <c r="Z1909" s="10"/>
      <c r="AA1909" s="10"/>
      <c r="AB1909" s="10"/>
      <c r="AC1909" s="10"/>
      <c r="AD1909" s="10"/>
      <c r="AE1909" s="10"/>
      <c r="AF1909" s="10"/>
    </row>
    <row r="1910">
      <c r="A1910" s="7"/>
      <c r="B1910" s="8">
        <v>161.0</v>
      </c>
      <c r="C1910" s="8">
        <v>1.0</v>
      </c>
      <c r="D1910" s="8" t="s">
        <v>2634</v>
      </c>
      <c r="E1910" s="7">
        <v>0.0</v>
      </c>
      <c r="F1910" s="7"/>
      <c r="G1910" s="7" t="s">
        <v>312</v>
      </c>
      <c r="H1910" s="7" t="s">
        <v>313</v>
      </c>
      <c r="I1910" s="10"/>
      <c r="J1910" s="11"/>
      <c r="K1910" s="12"/>
      <c r="L1910" s="12"/>
      <c r="M1910" s="10"/>
      <c r="N1910" s="10"/>
      <c r="O1910" s="10"/>
      <c r="P1910" s="10"/>
      <c r="Q1910" s="10"/>
      <c r="R1910" s="10"/>
      <c r="S1910" s="10"/>
      <c r="T1910" s="10"/>
      <c r="U1910" s="10"/>
      <c r="V1910" s="10"/>
      <c r="W1910" s="10"/>
      <c r="X1910" s="10"/>
      <c r="Y1910" s="10"/>
      <c r="Z1910" s="10"/>
      <c r="AA1910" s="10"/>
      <c r="AB1910" s="10"/>
      <c r="AC1910" s="10"/>
      <c r="AD1910" s="10"/>
      <c r="AE1910" s="10"/>
      <c r="AF1910" s="10"/>
    </row>
    <row r="1911">
      <c r="A1911" s="10"/>
      <c r="B1911" s="12"/>
      <c r="C1911" s="12"/>
      <c r="D1911" s="12"/>
      <c r="E1911" s="10"/>
      <c r="F1911" s="10"/>
      <c r="G1911" s="10"/>
      <c r="H1911" s="10"/>
      <c r="I1911" s="10"/>
      <c r="J1911" s="11"/>
      <c r="K1911" s="12"/>
      <c r="L1911" s="12"/>
      <c r="M1911" s="10"/>
      <c r="N1911" s="10"/>
      <c r="O1911" s="10"/>
      <c r="P1911" s="10"/>
      <c r="Q1911" s="10"/>
      <c r="R1911" s="10"/>
      <c r="S1911" s="10"/>
      <c r="T1911" s="10"/>
      <c r="U1911" s="10"/>
      <c r="V1911" s="10"/>
      <c r="W1911" s="10"/>
      <c r="X1911" s="10"/>
      <c r="Y1911" s="10"/>
      <c r="Z1911" s="10"/>
      <c r="AA1911" s="10"/>
      <c r="AB1911" s="10"/>
      <c r="AC1911" s="10"/>
      <c r="AD1911" s="10"/>
      <c r="AE1911" s="10"/>
      <c r="AF1911" s="10"/>
    </row>
    <row r="1912">
      <c r="A1912" s="7"/>
      <c r="B1912" s="26">
        <v>162.0</v>
      </c>
      <c r="C1912" s="27">
        <v>1.0</v>
      </c>
      <c r="D1912" s="8" t="s">
        <v>2635</v>
      </c>
      <c r="E1912" s="7">
        <v>0.0</v>
      </c>
      <c r="F1912" s="7"/>
      <c r="G1912" s="7" t="s">
        <v>312</v>
      </c>
      <c r="H1912" s="7" t="s">
        <v>313</v>
      </c>
      <c r="I1912" s="10"/>
      <c r="J1912" s="28"/>
      <c r="K1912" s="12"/>
      <c r="L1912" s="12"/>
      <c r="M1912" s="10"/>
      <c r="N1912" s="10"/>
      <c r="O1912" s="10"/>
      <c r="P1912" s="10"/>
      <c r="Q1912" s="10"/>
      <c r="R1912" s="10"/>
      <c r="S1912" s="10"/>
      <c r="T1912" s="10"/>
      <c r="U1912" s="10"/>
      <c r="V1912" s="10"/>
      <c r="W1912" s="10"/>
      <c r="X1912" s="10"/>
      <c r="Y1912" s="10"/>
      <c r="Z1912" s="10"/>
      <c r="AA1912" s="10"/>
      <c r="AB1912" s="10"/>
      <c r="AC1912" s="10"/>
      <c r="AD1912" s="10"/>
      <c r="AE1912" s="10"/>
      <c r="AF1912" s="10"/>
    </row>
    <row r="1913">
      <c r="A1913" s="7"/>
      <c r="B1913" s="26">
        <v>162.0</v>
      </c>
      <c r="C1913" s="27">
        <v>2.0</v>
      </c>
      <c r="D1913" s="8" t="s">
        <v>2636</v>
      </c>
      <c r="E1913" s="7">
        <v>2.0</v>
      </c>
      <c r="F1913" s="7" t="s">
        <v>320</v>
      </c>
      <c r="G1913" s="7" t="s">
        <v>312</v>
      </c>
      <c r="H1913" s="7" t="s">
        <v>313</v>
      </c>
      <c r="I1913" s="7" t="s">
        <v>366</v>
      </c>
      <c r="J1913" s="9" t="s">
        <v>2637</v>
      </c>
      <c r="K1913" s="12"/>
      <c r="L1913" s="12"/>
      <c r="M1913" s="10"/>
      <c r="N1913" s="10"/>
      <c r="O1913" s="10"/>
      <c r="P1913" s="10"/>
      <c r="Q1913" s="10"/>
      <c r="R1913" s="10"/>
      <c r="S1913" s="10"/>
      <c r="T1913" s="10"/>
      <c r="U1913" s="10"/>
      <c r="V1913" s="10"/>
      <c r="W1913" s="10"/>
      <c r="X1913" s="10"/>
      <c r="Y1913" s="10"/>
      <c r="Z1913" s="10"/>
      <c r="AA1913" s="10"/>
      <c r="AB1913" s="10"/>
      <c r="AC1913" s="10"/>
      <c r="AD1913" s="10"/>
      <c r="AE1913" s="10"/>
      <c r="AF1913" s="10"/>
    </row>
    <row r="1914">
      <c r="A1914" s="7"/>
      <c r="B1914" s="26">
        <v>162.0</v>
      </c>
      <c r="C1914" s="27">
        <v>3.0</v>
      </c>
      <c r="D1914" s="8" t="s">
        <v>2638</v>
      </c>
      <c r="E1914" s="7">
        <v>2.0</v>
      </c>
      <c r="F1914" s="7"/>
      <c r="G1914" s="7" t="s">
        <v>312</v>
      </c>
      <c r="H1914" s="7" t="s">
        <v>313</v>
      </c>
      <c r="I1914" s="10"/>
      <c r="J1914" s="9" t="s">
        <v>2639</v>
      </c>
      <c r="K1914" s="8" t="s">
        <v>1664</v>
      </c>
      <c r="L1914" s="12"/>
      <c r="M1914" s="10"/>
      <c r="N1914" s="10"/>
      <c r="O1914" s="10"/>
      <c r="P1914" s="10"/>
      <c r="Q1914" s="10"/>
      <c r="R1914" s="10"/>
      <c r="S1914" s="10"/>
      <c r="T1914" s="10"/>
      <c r="U1914" s="10"/>
      <c r="V1914" s="10"/>
      <c r="W1914" s="10"/>
      <c r="X1914" s="10"/>
      <c r="Y1914" s="10"/>
      <c r="Z1914" s="10"/>
      <c r="AA1914" s="10"/>
      <c r="AB1914" s="10"/>
      <c r="AC1914" s="10"/>
      <c r="AD1914" s="10"/>
      <c r="AE1914" s="10"/>
      <c r="AF1914" s="10"/>
    </row>
    <row r="1915">
      <c r="A1915" s="7"/>
      <c r="B1915" s="26">
        <v>162.0</v>
      </c>
      <c r="C1915" s="27">
        <v>4.0</v>
      </c>
      <c r="D1915" s="8" t="s">
        <v>2640</v>
      </c>
      <c r="E1915" s="7">
        <v>2.0</v>
      </c>
      <c r="F1915" s="7" t="s">
        <v>320</v>
      </c>
      <c r="G1915" s="7" t="s">
        <v>312</v>
      </c>
      <c r="H1915" s="7" t="s">
        <v>313</v>
      </c>
      <c r="I1915" s="7" t="s">
        <v>366</v>
      </c>
      <c r="J1915" s="9" t="s">
        <v>2637</v>
      </c>
      <c r="K1915" s="12"/>
      <c r="L1915" s="12"/>
      <c r="M1915" s="10"/>
      <c r="N1915" s="10"/>
      <c r="O1915" s="10"/>
      <c r="P1915" s="10"/>
      <c r="Q1915" s="10"/>
      <c r="R1915" s="10"/>
      <c r="S1915" s="10"/>
      <c r="T1915" s="10"/>
      <c r="U1915" s="10"/>
      <c r="V1915" s="10"/>
      <c r="W1915" s="10"/>
      <c r="X1915" s="10"/>
      <c r="Y1915" s="10"/>
      <c r="Z1915" s="10"/>
      <c r="AA1915" s="10"/>
      <c r="AB1915" s="10"/>
      <c r="AC1915" s="10"/>
      <c r="AD1915" s="10"/>
      <c r="AE1915" s="10"/>
      <c r="AF1915" s="10"/>
    </row>
    <row r="1916">
      <c r="A1916" s="7"/>
      <c r="B1916" s="26">
        <v>162.0</v>
      </c>
      <c r="C1916" s="27">
        <v>5.0</v>
      </c>
      <c r="D1916" s="8" t="s">
        <v>2641</v>
      </c>
      <c r="E1916" s="7">
        <v>2.0</v>
      </c>
      <c r="F1916" s="7"/>
      <c r="G1916" s="7" t="s">
        <v>312</v>
      </c>
      <c r="H1916" s="7" t="s">
        <v>313</v>
      </c>
      <c r="I1916" s="10"/>
      <c r="J1916" s="9" t="s">
        <v>2639</v>
      </c>
      <c r="K1916" s="8" t="s">
        <v>1664</v>
      </c>
      <c r="L1916" s="12"/>
      <c r="M1916" s="10"/>
      <c r="N1916" s="10"/>
      <c r="O1916" s="10"/>
      <c r="P1916" s="10"/>
      <c r="Q1916" s="10"/>
      <c r="R1916" s="10"/>
      <c r="S1916" s="10"/>
      <c r="T1916" s="10"/>
      <c r="U1916" s="10"/>
      <c r="V1916" s="10"/>
      <c r="W1916" s="10"/>
      <c r="X1916" s="10"/>
      <c r="Y1916" s="10"/>
      <c r="Z1916" s="10"/>
      <c r="AA1916" s="10"/>
      <c r="AB1916" s="10"/>
      <c r="AC1916" s="10"/>
      <c r="AD1916" s="10"/>
      <c r="AE1916" s="10"/>
      <c r="AF1916" s="10"/>
    </row>
    <row r="1917">
      <c r="A1917" s="7"/>
      <c r="B1917" s="26">
        <v>162.0</v>
      </c>
      <c r="C1917" s="27">
        <v>6.0</v>
      </c>
      <c r="D1917" s="8" t="s">
        <v>2642</v>
      </c>
      <c r="E1917" s="7">
        <v>0.0</v>
      </c>
      <c r="F1917" s="7"/>
      <c r="G1917" s="7" t="s">
        <v>312</v>
      </c>
      <c r="H1917" s="7" t="s">
        <v>313</v>
      </c>
      <c r="I1917" s="10"/>
      <c r="J1917" s="11"/>
      <c r="K1917" s="12"/>
      <c r="L1917" s="12"/>
      <c r="M1917" s="10"/>
      <c r="N1917" s="10"/>
      <c r="O1917" s="10"/>
      <c r="P1917" s="10"/>
      <c r="Q1917" s="10"/>
      <c r="R1917" s="10"/>
      <c r="S1917" s="10"/>
      <c r="T1917" s="10"/>
      <c r="U1917" s="10"/>
      <c r="V1917" s="10"/>
      <c r="W1917" s="10"/>
      <c r="X1917" s="10"/>
      <c r="Y1917" s="10"/>
      <c r="Z1917" s="10"/>
      <c r="AA1917" s="10"/>
      <c r="AB1917" s="10"/>
      <c r="AC1917" s="10"/>
      <c r="AD1917" s="10"/>
      <c r="AE1917" s="10"/>
      <c r="AF1917" s="10"/>
    </row>
    <row r="1918">
      <c r="A1918" s="10"/>
      <c r="B1918" s="12"/>
      <c r="C1918" s="12"/>
      <c r="D1918" s="12"/>
      <c r="E1918" s="10"/>
      <c r="F1918" s="10"/>
      <c r="G1918" s="10"/>
      <c r="H1918" s="10"/>
      <c r="I1918" s="10"/>
      <c r="J1918" s="11"/>
      <c r="K1918" s="12"/>
      <c r="L1918" s="12"/>
      <c r="M1918" s="10"/>
      <c r="N1918" s="10"/>
      <c r="O1918" s="10"/>
      <c r="P1918" s="10"/>
      <c r="Q1918" s="10"/>
      <c r="R1918" s="10"/>
      <c r="S1918" s="10"/>
      <c r="T1918" s="10"/>
      <c r="U1918" s="10"/>
      <c r="V1918" s="10"/>
      <c r="W1918" s="10"/>
      <c r="X1918" s="10"/>
      <c r="Y1918" s="10"/>
      <c r="Z1918" s="10"/>
      <c r="AA1918" s="10"/>
      <c r="AB1918" s="10"/>
      <c r="AC1918" s="10"/>
      <c r="AD1918" s="10"/>
      <c r="AE1918" s="10"/>
      <c r="AF1918" s="10"/>
    </row>
    <row r="1919">
      <c r="A1919" s="7"/>
      <c r="B1919" s="26">
        <v>163.0</v>
      </c>
      <c r="C1919" s="27">
        <v>1.0</v>
      </c>
      <c r="D1919" s="8" t="s">
        <v>2643</v>
      </c>
      <c r="E1919" s="7">
        <v>0.0</v>
      </c>
      <c r="F1919" s="7"/>
      <c r="G1919" s="7" t="s">
        <v>312</v>
      </c>
      <c r="H1919" s="7" t="s">
        <v>313</v>
      </c>
      <c r="I1919" s="10"/>
      <c r="J1919" s="28"/>
      <c r="K1919" s="8" t="s">
        <v>2644</v>
      </c>
      <c r="L1919" s="12"/>
      <c r="M1919" s="10"/>
      <c r="N1919" s="10"/>
      <c r="O1919" s="10"/>
      <c r="P1919" s="10"/>
      <c r="Q1919" s="10"/>
      <c r="R1919" s="10"/>
      <c r="S1919" s="10"/>
      <c r="T1919" s="10"/>
      <c r="U1919" s="10"/>
      <c r="V1919" s="10"/>
      <c r="W1919" s="10"/>
      <c r="X1919" s="10"/>
      <c r="Y1919" s="10"/>
      <c r="Z1919" s="10"/>
      <c r="AA1919" s="10"/>
      <c r="AB1919" s="10"/>
      <c r="AC1919" s="10"/>
      <c r="AD1919" s="10"/>
      <c r="AE1919" s="10"/>
      <c r="AF1919" s="10"/>
    </row>
    <row r="1920">
      <c r="A1920" s="7"/>
      <c r="B1920" s="26">
        <v>163.0</v>
      </c>
      <c r="C1920" s="27">
        <v>2.0</v>
      </c>
      <c r="D1920" s="8" t="s">
        <v>2645</v>
      </c>
      <c r="E1920" s="7">
        <v>0.0</v>
      </c>
      <c r="F1920" s="7"/>
      <c r="G1920" s="7" t="s">
        <v>312</v>
      </c>
      <c r="H1920" s="7" t="s">
        <v>313</v>
      </c>
      <c r="I1920" s="10"/>
      <c r="J1920" s="28"/>
      <c r="K1920" s="12"/>
      <c r="L1920" s="12"/>
      <c r="M1920" s="10"/>
      <c r="N1920" s="10"/>
      <c r="O1920" s="10"/>
      <c r="P1920" s="10"/>
      <c r="Q1920" s="10"/>
      <c r="R1920" s="10"/>
      <c r="S1920" s="10"/>
      <c r="T1920" s="10"/>
      <c r="U1920" s="10"/>
      <c r="V1920" s="10"/>
      <c r="W1920" s="10"/>
      <c r="X1920" s="10"/>
      <c r="Y1920" s="10"/>
      <c r="Z1920" s="10"/>
      <c r="AA1920" s="10"/>
      <c r="AB1920" s="10"/>
      <c r="AC1920" s="10"/>
      <c r="AD1920" s="10"/>
      <c r="AE1920" s="10"/>
      <c r="AF1920" s="10"/>
    </row>
    <row r="1921">
      <c r="A1921" s="7"/>
      <c r="B1921" s="26">
        <v>163.0</v>
      </c>
      <c r="C1921" s="27">
        <v>3.0</v>
      </c>
      <c r="D1921" s="8" t="s">
        <v>2646</v>
      </c>
      <c r="E1921" s="7">
        <v>0.0</v>
      </c>
      <c r="F1921" s="7"/>
      <c r="G1921" s="7" t="s">
        <v>312</v>
      </c>
      <c r="H1921" s="7" t="s">
        <v>313</v>
      </c>
      <c r="I1921" s="10"/>
      <c r="J1921" s="11"/>
      <c r="K1921" s="12"/>
      <c r="L1921" s="12"/>
      <c r="M1921" s="10"/>
      <c r="N1921" s="10"/>
      <c r="O1921" s="10"/>
      <c r="P1921" s="10"/>
      <c r="Q1921" s="10"/>
      <c r="R1921" s="10"/>
      <c r="S1921" s="10"/>
      <c r="T1921" s="10"/>
      <c r="U1921" s="10"/>
      <c r="V1921" s="10"/>
      <c r="W1921" s="10"/>
      <c r="X1921" s="10"/>
      <c r="Y1921" s="10"/>
      <c r="Z1921" s="10"/>
      <c r="AA1921" s="10"/>
      <c r="AB1921" s="10"/>
      <c r="AC1921" s="10"/>
      <c r="AD1921" s="10"/>
      <c r="AE1921" s="10"/>
      <c r="AF1921" s="10"/>
    </row>
    <row r="1922">
      <c r="A1922" s="7"/>
      <c r="B1922" s="26">
        <v>163.0</v>
      </c>
      <c r="C1922" s="27">
        <v>4.0</v>
      </c>
      <c r="D1922" s="8" t="s">
        <v>2647</v>
      </c>
      <c r="E1922" s="7">
        <v>0.0</v>
      </c>
      <c r="F1922" s="7"/>
      <c r="G1922" s="7" t="s">
        <v>312</v>
      </c>
      <c r="H1922" s="7" t="s">
        <v>313</v>
      </c>
      <c r="I1922" s="10"/>
      <c r="J1922" s="11"/>
      <c r="K1922" s="12"/>
      <c r="L1922" s="12"/>
      <c r="M1922" s="10"/>
      <c r="N1922" s="10"/>
      <c r="O1922" s="10"/>
      <c r="P1922" s="10"/>
      <c r="Q1922" s="10"/>
      <c r="R1922" s="10"/>
      <c r="S1922" s="10"/>
      <c r="T1922" s="10"/>
      <c r="U1922" s="10"/>
      <c r="V1922" s="10"/>
      <c r="W1922" s="10"/>
      <c r="X1922" s="10"/>
      <c r="Y1922" s="10"/>
      <c r="Z1922" s="10"/>
      <c r="AA1922" s="10"/>
      <c r="AB1922" s="10"/>
      <c r="AC1922" s="10"/>
      <c r="AD1922" s="10"/>
      <c r="AE1922" s="10"/>
      <c r="AF1922" s="10"/>
    </row>
    <row r="1923">
      <c r="A1923" s="7"/>
      <c r="B1923" s="26">
        <v>163.0</v>
      </c>
      <c r="C1923" s="27">
        <v>5.0</v>
      </c>
      <c r="D1923" s="8" t="s">
        <v>2648</v>
      </c>
      <c r="E1923" s="7">
        <v>0.0</v>
      </c>
      <c r="F1923" s="7"/>
      <c r="G1923" s="7" t="s">
        <v>312</v>
      </c>
      <c r="H1923" s="7" t="s">
        <v>313</v>
      </c>
      <c r="I1923" s="10"/>
      <c r="J1923" s="11"/>
      <c r="K1923" s="12"/>
      <c r="L1923" s="12"/>
      <c r="M1923" s="10"/>
      <c r="N1923" s="10"/>
      <c r="O1923" s="10"/>
      <c r="P1923" s="10"/>
      <c r="Q1923" s="10"/>
      <c r="R1923" s="10"/>
      <c r="S1923" s="10"/>
      <c r="T1923" s="10"/>
      <c r="U1923" s="10"/>
      <c r="V1923" s="10"/>
      <c r="W1923" s="10"/>
      <c r="X1923" s="10"/>
      <c r="Y1923" s="10"/>
      <c r="Z1923" s="10"/>
      <c r="AA1923" s="10"/>
      <c r="AB1923" s="10"/>
      <c r="AC1923" s="10"/>
      <c r="AD1923" s="10"/>
      <c r="AE1923" s="10"/>
      <c r="AF1923" s="10"/>
    </row>
    <row r="1924">
      <c r="A1924" s="7"/>
      <c r="B1924" s="26">
        <v>163.0</v>
      </c>
      <c r="C1924" s="27">
        <v>6.0</v>
      </c>
      <c r="D1924" s="8" t="s">
        <v>2649</v>
      </c>
      <c r="E1924" s="7">
        <v>2.0</v>
      </c>
      <c r="F1924" s="7" t="s">
        <v>320</v>
      </c>
      <c r="G1924" s="7" t="s">
        <v>312</v>
      </c>
      <c r="H1924" s="7" t="s">
        <v>313</v>
      </c>
      <c r="I1924" s="10"/>
      <c r="J1924" s="9" t="s">
        <v>2650</v>
      </c>
      <c r="K1924" s="12"/>
      <c r="L1924" s="12"/>
      <c r="M1924" s="10"/>
      <c r="N1924" s="10"/>
      <c r="O1924" s="10"/>
      <c r="P1924" s="10"/>
      <c r="Q1924" s="10"/>
      <c r="R1924" s="10"/>
      <c r="S1924" s="10"/>
      <c r="T1924" s="10"/>
      <c r="U1924" s="10"/>
      <c r="V1924" s="10"/>
      <c r="W1924" s="10"/>
      <c r="X1924" s="10"/>
      <c r="Y1924" s="10"/>
      <c r="Z1924" s="10"/>
      <c r="AA1924" s="10"/>
      <c r="AB1924" s="10"/>
      <c r="AC1924" s="10"/>
      <c r="AD1924" s="10"/>
      <c r="AE1924" s="10"/>
      <c r="AF1924" s="10"/>
    </row>
    <row r="1925">
      <c r="A1925" s="7"/>
      <c r="B1925" s="26">
        <v>163.0</v>
      </c>
      <c r="C1925" s="27">
        <v>7.0</v>
      </c>
      <c r="D1925" s="8" t="s">
        <v>2651</v>
      </c>
      <c r="E1925" s="7">
        <v>2.0</v>
      </c>
      <c r="F1925" s="7"/>
      <c r="G1925" s="7" t="s">
        <v>312</v>
      </c>
      <c r="H1925" s="7" t="s">
        <v>313</v>
      </c>
      <c r="I1925" s="10"/>
      <c r="J1925" s="9" t="s">
        <v>2652</v>
      </c>
      <c r="K1925" s="8" t="s">
        <v>2653</v>
      </c>
      <c r="L1925" s="12"/>
      <c r="M1925" s="10"/>
      <c r="N1925" s="10"/>
      <c r="O1925" s="10"/>
      <c r="P1925" s="10"/>
      <c r="Q1925" s="10"/>
      <c r="R1925" s="10"/>
      <c r="S1925" s="10"/>
      <c r="T1925" s="10"/>
      <c r="U1925" s="10"/>
      <c r="V1925" s="10"/>
      <c r="W1925" s="10"/>
      <c r="X1925" s="10"/>
      <c r="Y1925" s="10"/>
      <c r="Z1925" s="10"/>
      <c r="AA1925" s="10"/>
      <c r="AB1925" s="10"/>
      <c r="AC1925" s="10"/>
      <c r="AD1925" s="10"/>
      <c r="AE1925" s="10"/>
      <c r="AF1925" s="10"/>
    </row>
    <row r="1926">
      <c r="A1926" s="7"/>
      <c r="B1926" s="26">
        <v>163.0</v>
      </c>
      <c r="C1926" s="27">
        <v>8.0</v>
      </c>
      <c r="D1926" s="8" t="s">
        <v>2654</v>
      </c>
      <c r="E1926" s="7">
        <v>2.0</v>
      </c>
      <c r="F1926" s="7"/>
      <c r="G1926" s="7" t="s">
        <v>312</v>
      </c>
      <c r="H1926" s="7" t="s">
        <v>313</v>
      </c>
      <c r="I1926" s="10"/>
      <c r="J1926" s="11"/>
      <c r="K1926" s="8" t="s">
        <v>2655</v>
      </c>
      <c r="L1926" s="12"/>
      <c r="M1926" s="10"/>
      <c r="N1926" s="10"/>
      <c r="O1926" s="10"/>
      <c r="P1926" s="10"/>
      <c r="Q1926" s="10"/>
      <c r="R1926" s="10"/>
      <c r="S1926" s="10"/>
      <c r="T1926" s="10"/>
      <c r="U1926" s="10"/>
      <c r="V1926" s="10"/>
      <c r="W1926" s="10"/>
      <c r="X1926" s="10"/>
      <c r="Y1926" s="10"/>
      <c r="Z1926" s="10"/>
      <c r="AA1926" s="10"/>
      <c r="AB1926" s="10"/>
      <c r="AC1926" s="10"/>
      <c r="AD1926" s="10"/>
      <c r="AE1926" s="10"/>
      <c r="AF1926" s="10"/>
    </row>
    <row r="1927">
      <c r="A1927" s="7"/>
      <c r="B1927" s="26">
        <v>163.0</v>
      </c>
      <c r="C1927" s="27">
        <v>9.0</v>
      </c>
      <c r="D1927" s="8" t="s">
        <v>2656</v>
      </c>
      <c r="E1927" s="7">
        <v>2.0</v>
      </c>
      <c r="F1927" s="7"/>
      <c r="G1927" s="7" t="s">
        <v>312</v>
      </c>
      <c r="H1927" s="7" t="s">
        <v>313</v>
      </c>
      <c r="I1927" s="10"/>
      <c r="J1927" s="9" t="s">
        <v>2657</v>
      </c>
      <c r="K1927" s="8" t="s">
        <v>2655</v>
      </c>
      <c r="L1927" s="12"/>
      <c r="M1927" s="10"/>
      <c r="N1927" s="10"/>
      <c r="O1927" s="10"/>
      <c r="P1927" s="10"/>
      <c r="Q1927" s="10"/>
      <c r="R1927" s="10"/>
      <c r="S1927" s="10"/>
      <c r="T1927" s="10"/>
      <c r="U1927" s="10"/>
      <c r="V1927" s="10"/>
      <c r="W1927" s="10"/>
      <c r="X1927" s="10"/>
      <c r="Y1927" s="10"/>
      <c r="Z1927" s="10"/>
      <c r="AA1927" s="10"/>
      <c r="AB1927" s="10"/>
      <c r="AC1927" s="10"/>
      <c r="AD1927" s="10"/>
      <c r="AE1927" s="10"/>
      <c r="AF1927" s="10"/>
    </row>
    <row r="1928">
      <c r="A1928" s="7"/>
      <c r="B1928" s="26">
        <v>163.0</v>
      </c>
      <c r="C1928" s="27">
        <v>10.0</v>
      </c>
      <c r="D1928" s="8" t="s">
        <v>2658</v>
      </c>
      <c r="E1928" s="7">
        <v>0.0</v>
      </c>
      <c r="F1928" s="7"/>
      <c r="G1928" s="7" t="s">
        <v>312</v>
      </c>
      <c r="H1928" s="7" t="s">
        <v>313</v>
      </c>
      <c r="I1928" s="10"/>
      <c r="J1928" s="11"/>
      <c r="K1928" s="12"/>
      <c r="L1928" s="12"/>
      <c r="M1928" s="10"/>
      <c r="N1928" s="10"/>
      <c r="O1928" s="10"/>
      <c r="P1928" s="10"/>
      <c r="Q1928" s="10"/>
      <c r="R1928" s="10"/>
      <c r="S1928" s="10"/>
      <c r="T1928" s="10"/>
      <c r="U1928" s="10"/>
      <c r="V1928" s="10"/>
      <c r="W1928" s="10"/>
      <c r="X1928" s="10"/>
      <c r="Y1928" s="10"/>
      <c r="Z1928" s="10"/>
      <c r="AA1928" s="10"/>
      <c r="AB1928" s="10"/>
      <c r="AC1928" s="10"/>
      <c r="AD1928" s="10"/>
      <c r="AE1928" s="10"/>
      <c r="AF1928" s="10"/>
    </row>
    <row r="1929">
      <c r="A1929" s="7"/>
      <c r="B1929" s="26">
        <v>163.0</v>
      </c>
      <c r="C1929" s="27">
        <v>11.0</v>
      </c>
      <c r="D1929" s="8" t="s">
        <v>2659</v>
      </c>
      <c r="E1929" s="7">
        <v>0.0</v>
      </c>
      <c r="F1929" s="7"/>
      <c r="G1929" s="7" t="s">
        <v>312</v>
      </c>
      <c r="H1929" s="7" t="s">
        <v>313</v>
      </c>
      <c r="I1929" s="10"/>
      <c r="J1929" s="11"/>
      <c r="K1929" s="12"/>
      <c r="L1929" s="12"/>
      <c r="M1929" s="10"/>
      <c r="N1929" s="10"/>
      <c r="O1929" s="10"/>
      <c r="P1929" s="10"/>
      <c r="Q1929" s="10"/>
      <c r="R1929" s="10"/>
      <c r="S1929" s="10"/>
      <c r="T1929" s="10"/>
      <c r="U1929" s="10"/>
      <c r="V1929" s="10"/>
      <c r="W1929" s="10"/>
      <c r="X1929" s="10"/>
      <c r="Y1929" s="10"/>
      <c r="Z1929" s="10"/>
      <c r="AA1929" s="10"/>
      <c r="AB1929" s="10"/>
      <c r="AC1929" s="10"/>
      <c r="AD1929" s="10"/>
      <c r="AE1929" s="10"/>
      <c r="AF1929" s="10"/>
    </row>
    <row r="1930">
      <c r="A1930" s="7"/>
      <c r="B1930" s="26">
        <v>163.0</v>
      </c>
      <c r="C1930" s="27">
        <v>12.0</v>
      </c>
      <c r="D1930" s="8" t="s">
        <v>2660</v>
      </c>
      <c r="E1930" s="7">
        <v>0.0</v>
      </c>
      <c r="F1930" s="7"/>
      <c r="G1930" s="7" t="s">
        <v>312</v>
      </c>
      <c r="H1930" s="7" t="s">
        <v>313</v>
      </c>
      <c r="I1930" s="10"/>
      <c r="J1930" s="11"/>
      <c r="K1930" s="12"/>
      <c r="L1930" s="12"/>
      <c r="M1930" s="10"/>
      <c r="N1930" s="10"/>
      <c r="O1930" s="10"/>
      <c r="P1930" s="10"/>
      <c r="Q1930" s="10"/>
      <c r="R1930" s="10"/>
      <c r="S1930" s="10"/>
      <c r="T1930" s="10"/>
      <c r="U1930" s="10"/>
      <c r="V1930" s="10"/>
      <c r="W1930" s="10"/>
      <c r="X1930" s="10"/>
      <c r="Y1930" s="10"/>
      <c r="Z1930" s="10"/>
      <c r="AA1930" s="10"/>
      <c r="AB1930" s="10"/>
      <c r="AC1930" s="10"/>
      <c r="AD1930" s="10"/>
      <c r="AE1930" s="10"/>
      <c r="AF1930" s="10"/>
    </row>
    <row r="1931">
      <c r="A1931" s="7"/>
      <c r="B1931" s="26">
        <v>163.0</v>
      </c>
      <c r="C1931" s="27">
        <v>13.0</v>
      </c>
      <c r="D1931" s="8" t="s">
        <v>2661</v>
      </c>
      <c r="E1931" s="7">
        <v>0.0</v>
      </c>
      <c r="F1931" s="7"/>
      <c r="G1931" s="7" t="s">
        <v>312</v>
      </c>
      <c r="H1931" s="7" t="s">
        <v>313</v>
      </c>
      <c r="I1931" s="10"/>
      <c r="J1931" s="11"/>
      <c r="K1931" s="12"/>
      <c r="L1931" s="12"/>
      <c r="M1931" s="10"/>
      <c r="N1931" s="10"/>
      <c r="O1931" s="10"/>
      <c r="P1931" s="10"/>
      <c r="Q1931" s="10"/>
      <c r="R1931" s="10"/>
      <c r="S1931" s="10"/>
      <c r="T1931" s="10"/>
      <c r="U1931" s="10"/>
      <c r="V1931" s="10"/>
      <c r="W1931" s="10"/>
      <c r="X1931" s="10"/>
      <c r="Y1931" s="10"/>
      <c r="Z1931" s="10"/>
      <c r="AA1931" s="10"/>
      <c r="AB1931" s="10"/>
      <c r="AC1931" s="10"/>
      <c r="AD1931" s="10"/>
      <c r="AE1931" s="10"/>
      <c r="AF1931" s="10"/>
    </row>
    <row r="1932">
      <c r="A1932" s="7"/>
      <c r="B1932" s="26">
        <v>163.0</v>
      </c>
      <c r="C1932" s="27">
        <v>14.0</v>
      </c>
      <c r="D1932" s="8" t="s">
        <v>2662</v>
      </c>
      <c r="E1932" s="7">
        <v>0.0</v>
      </c>
      <c r="F1932" s="7"/>
      <c r="G1932" s="7" t="s">
        <v>312</v>
      </c>
      <c r="H1932" s="7" t="s">
        <v>313</v>
      </c>
      <c r="I1932" s="10"/>
      <c r="J1932" s="11"/>
      <c r="K1932" s="12"/>
      <c r="L1932" s="12"/>
      <c r="M1932" s="10"/>
      <c r="N1932" s="10"/>
      <c r="O1932" s="10"/>
      <c r="P1932" s="10"/>
      <c r="Q1932" s="10"/>
      <c r="R1932" s="10"/>
      <c r="S1932" s="10"/>
      <c r="T1932" s="10"/>
      <c r="U1932" s="10"/>
      <c r="V1932" s="10"/>
      <c r="W1932" s="10"/>
      <c r="X1932" s="10"/>
      <c r="Y1932" s="10"/>
      <c r="Z1932" s="10"/>
      <c r="AA1932" s="10"/>
      <c r="AB1932" s="10"/>
      <c r="AC1932" s="10"/>
      <c r="AD1932" s="10"/>
      <c r="AE1932" s="10"/>
      <c r="AF1932" s="10"/>
    </row>
    <row r="1933">
      <c r="A1933" s="7"/>
      <c r="B1933" s="26">
        <v>163.0</v>
      </c>
      <c r="C1933" s="27">
        <v>15.0</v>
      </c>
      <c r="D1933" s="8" t="s">
        <v>2663</v>
      </c>
      <c r="E1933" s="7">
        <v>0.0</v>
      </c>
      <c r="F1933" s="7"/>
      <c r="G1933" s="7" t="s">
        <v>312</v>
      </c>
      <c r="H1933" s="7" t="s">
        <v>313</v>
      </c>
      <c r="I1933" s="10"/>
      <c r="J1933" s="11"/>
      <c r="K1933" s="12"/>
      <c r="L1933" s="12"/>
      <c r="M1933" s="10"/>
      <c r="N1933" s="10"/>
      <c r="O1933" s="10"/>
      <c r="P1933" s="10"/>
      <c r="Q1933" s="10"/>
      <c r="R1933" s="10"/>
      <c r="S1933" s="10"/>
      <c r="T1933" s="10"/>
      <c r="U1933" s="10"/>
      <c r="V1933" s="10"/>
      <c r="W1933" s="10"/>
      <c r="X1933" s="10"/>
      <c r="Y1933" s="10"/>
      <c r="Z1933" s="10"/>
      <c r="AA1933" s="10"/>
      <c r="AB1933" s="10"/>
      <c r="AC1933" s="10"/>
      <c r="AD1933" s="10"/>
      <c r="AE1933" s="10"/>
      <c r="AF1933" s="10"/>
    </row>
    <row r="1934">
      <c r="A1934" s="30"/>
      <c r="B1934" s="31"/>
      <c r="C1934" s="31"/>
      <c r="D1934" s="31"/>
      <c r="E1934" s="30"/>
      <c r="F1934" s="30"/>
      <c r="G1934" s="30"/>
      <c r="H1934" s="30"/>
      <c r="I1934" s="30"/>
      <c r="J1934" s="32"/>
      <c r="K1934" s="31"/>
      <c r="L1934" s="31"/>
      <c r="M1934" s="30"/>
      <c r="N1934" s="30"/>
      <c r="O1934" s="30"/>
      <c r="P1934" s="30"/>
      <c r="Q1934" s="30"/>
      <c r="R1934" s="30"/>
      <c r="S1934" s="30"/>
      <c r="T1934" s="30"/>
      <c r="U1934" s="30"/>
      <c r="V1934" s="30"/>
      <c r="W1934" s="30"/>
      <c r="X1934" s="30"/>
      <c r="Y1934" s="30"/>
      <c r="Z1934" s="30"/>
      <c r="AA1934" s="30"/>
      <c r="AB1934" s="30"/>
      <c r="AC1934" s="30"/>
      <c r="AD1934" s="30"/>
      <c r="AE1934" s="30"/>
      <c r="AF1934" s="30"/>
    </row>
    <row r="1935">
      <c r="A1935" s="21" t="s">
        <v>164</v>
      </c>
      <c r="B1935" s="26"/>
      <c r="C1935" s="27"/>
      <c r="D1935" s="8"/>
      <c r="E1935" s="7"/>
      <c r="F1935" s="7"/>
      <c r="G1935" s="10"/>
      <c r="H1935" s="10"/>
      <c r="I1935" s="10"/>
      <c r="J1935" s="11"/>
      <c r="K1935" s="12"/>
      <c r="L1935" s="12"/>
      <c r="M1935" s="10"/>
      <c r="N1935" s="10"/>
      <c r="O1935" s="10"/>
      <c r="P1935" s="10"/>
      <c r="Q1935" s="10"/>
      <c r="R1935" s="10"/>
      <c r="S1935" s="10"/>
      <c r="T1935" s="10"/>
      <c r="U1935" s="10"/>
      <c r="V1935" s="10"/>
      <c r="W1935" s="10"/>
      <c r="X1935" s="10"/>
      <c r="Y1935" s="10"/>
      <c r="Z1935" s="10"/>
      <c r="AA1935" s="10"/>
      <c r="AB1935" s="10"/>
      <c r="AC1935" s="10"/>
      <c r="AD1935" s="10"/>
      <c r="AE1935" s="10"/>
      <c r="AF1935" s="10"/>
    </row>
    <row r="1936">
      <c r="A1936" s="7"/>
      <c r="B1936" s="26">
        <v>164.0</v>
      </c>
      <c r="C1936" s="27">
        <v>1.0</v>
      </c>
      <c r="D1936" s="8" t="s">
        <v>2664</v>
      </c>
      <c r="E1936" s="7">
        <v>0.0</v>
      </c>
      <c r="F1936" s="7"/>
      <c r="G1936" s="7" t="s">
        <v>313</v>
      </c>
      <c r="H1936" s="7" t="s">
        <v>312</v>
      </c>
      <c r="I1936" s="7"/>
      <c r="J1936" s="11"/>
      <c r="K1936" s="12"/>
      <c r="L1936" s="14" t="s">
        <v>2665</v>
      </c>
      <c r="M1936" s="10"/>
      <c r="N1936" s="10"/>
      <c r="O1936" s="10"/>
      <c r="P1936" s="10"/>
      <c r="Q1936" s="10"/>
      <c r="R1936" s="10"/>
      <c r="S1936" s="10"/>
      <c r="T1936" s="10"/>
      <c r="U1936" s="10"/>
      <c r="V1936" s="10"/>
      <c r="W1936" s="10"/>
      <c r="X1936" s="10"/>
      <c r="Y1936" s="10"/>
      <c r="Z1936" s="10"/>
      <c r="AA1936" s="10"/>
      <c r="AB1936" s="10"/>
      <c r="AC1936" s="10"/>
      <c r="AD1936" s="10"/>
      <c r="AE1936" s="10"/>
      <c r="AF1936" s="10"/>
    </row>
    <row r="1937">
      <c r="A1937" s="7"/>
      <c r="B1937" s="26">
        <v>164.0</v>
      </c>
      <c r="C1937" s="27">
        <v>2.0</v>
      </c>
      <c r="D1937" s="8" t="s">
        <v>2666</v>
      </c>
      <c r="E1937" s="7">
        <v>1.0</v>
      </c>
      <c r="F1937" s="7"/>
      <c r="G1937" s="7" t="s">
        <v>313</v>
      </c>
      <c r="H1937" s="7" t="s">
        <v>312</v>
      </c>
      <c r="I1937" s="7"/>
      <c r="J1937" s="11"/>
      <c r="K1937" s="12"/>
      <c r="L1937" s="14" t="s">
        <v>2665</v>
      </c>
      <c r="M1937" s="10"/>
      <c r="N1937" s="10"/>
      <c r="O1937" s="10"/>
      <c r="P1937" s="10"/>
      <c r="Q1937" s="10"/>
      <c r="R1937" s="10"/>
      <c r="S1937" s="10"/>
      <c r="T1937" s="10"/>
      <c r="U1937" s="10"/>
      <c r="V1937" s="10"/>
      <c r="W1937" s="10"/>
      <c r="X1937" s="10"/>
      <c r="Y1937" s="10"/>
      <c r="Z1937" s="10"/>
      <c r="AA1937" s="10"/>
      <c r="AB1937" s="10"/>
      <c r="AC1937" s="10"/>
      <c r="AD1937" s="10"/>
      <c r="AE1937" s="10"/>
      <c r="AF1937" s="10"/>
    </row>
    <row r="1938">
      <c r="A1938" s="7"/>
      <c r="B1938" s="26">
        <v>164.0</v>
      </c>
      <c r="C1938" s="27">
        <v>3.0</v>
      </c>
      <c r="D1938" s="8" t="s">
        <v>2667</v>
      </c>
      <c r="E1938" s="7">
        <v>1.0</v>
      </c>
      <c r="F1938" s="7"/>
      <c r="G1938" s="7" t="s">
        <v>313</v>
      </c>
      <c r="H1938" s="7" t="s">
        <v>312</v>
      </c>
      <c r="I1938" s="7"/>
      <c r="J1938" s="11"/>
      <c r="K1938" s="12"/>
      <c r="L1938" s="14" t="s">
        <v>2665</v>
      </c>
      <c r="M1938" s="10"/>
      <c r="N1938" s="10"/>
      <c r="O1938" s="10"/>
      <c r="P1938" s="10"/>
      <c r="Q1938" s="10"/>
      <c r="R1938" s="10"/>
      <c r="S1938" s="10"/>
      <c r="T1938" s="10"/>
      <c r="U1938" s="10"/>
      <c r="V1938" s="10"/>
      <c r="W1938" s="10"/>
      <c r="X1938" s="10"/>
      <c r="Y1938" s="10"/>
      <c r="Z1938" s="10"/>
      <c r="AA1938" s="10"/>
      <c r="AB1938" s="10"/>
      <c r="AC1938" s="10"/>
      <c r="AD1938" s="10"/>
      <c r="AE1938" s="10"/>
      <c r="AF1938" s="10"/>
    </row>
    <row r="1939">
      <c r="A1939" s="7"/>
      <c r="B1939" s="26">
        <v>164.0</v>
      </c>
      <c r="C1939" s="27">
        <v>4.0</v>
      </c>
      <c r="D1939" s="8" t="s">
        <v>2668</v>
      </c>
      <c r="E1939" s="7">
        <v>0.0</v>
      </c>
      <c r="F1939" s="7"/>
      <c r="G1939" s="7" t="s">
        <v>313</v>
      </c>
      <c r="H1939" s="7" t="s">
        <v>312</v>
      </c>
      <c r="I1939" s="7"/>
      <c r="J1939" s="11"/>
      <c r="K1939" s="12"/>
      <c r="L1939" s="14" t="s">
        <v>2665</v>
      </c>
      <c r="M1939" s="10"/>
      <c r="N1939" s="10"/>
      <c r="O1939" s="10"/>
      <c r="P1939" s="10"/>
      <c r="Q1939" s="10"/>
      <c r="R1939" s="10"/>
      <c r="S1939" s="10"/>
      <c r="T1939" s="10"/>
      <c r="U1939" s="10"/>
      <c r="V1939" s="10"/>
      <c r="W1939" s="10"/>
      <c r="X1939" s="10"/>
      <c r="Y1939" s="10"/>
      <c r="Z1939" s="10"/>
      <c r="AA1939" s="10"/>
      <c r="AB1939" s="10"/>
      <c r="AC1939" s="10"/>
      <c r="AD1939" s="10"/>
      <c r="AE1939" s="10"/>
      <c r="AF1939" s="10"/>
    </row>
    <row r="1940">
      <c r="A1940" s="7"/>
      <c r="B1940" s="26">
        <v>164.0</v>
      </c>
      <c r="C1940" s="27">
        <v>5.0</v>
      </c>
      <c r="D1940" s="8" t="s">
        <v>2669</v>
      </c>
      <c r="E1940" s="7">
        <v>0.0</v>
      </c>
      <c r="F1940" s="7"/>
      <c r="G1940" s="7" t="s">
        <v>313</v>
      </c>
      <c r="H1940" s="7" t="s">
        <v>312</v>
      </c>
      <c r="I1940" s="7"/>
      <c r="J1940" s="11"/>
      <c r="K1940" s="12"/>
      <c r="L1940" s="14" t="s">
        <v>2665</v>
      </c>
      <c r="M1940" s="10"/>
      <c r="N1940" s="10"/>
      <c r="O1940" s="10"/>
      <c r="P1940" s="10"/>
      <c r="Q1940" s="10"/>
      <c r="R1940" s="10"/>
      <c r="S1940" s="10"/>
      <c r="T1940" s="10"/>
      <c r="U1940" s="10"/>
      <c r="V1940" s="10"/>
      <c r="W1940" s="10"/>
      <c r="X1940" s="10"/>
      <c r="Y1940" s="10"/>
      <c r="Z1940" s="10"/>
      <c r="AA1940" s="10"/>
      <c r="AB1940" s="10"/>
      <c r="AC1940" s="10"/>
      <c r="AD1940" s="10"/>
      <c r="AE1940" s="10"/>
      <c r="AF1940" s="10"/>
    </row>
    <row r="1941">
      <c r="A1941" s="7"/>
      <c r="B1941" s="26">
        <v>164.0</v>
      </c>
      <c r="C1941" s="27">
        <v>6.0</v>
      </c>
      <c r="D1941" s="8" t="s">
        <v>2670</v>
      </c>
      <c r="E1941" s="7">
        <v>0.0</v>
      </c>
      <c r="F1941" s="7"/>
      <c r="G1941" s="7" t="s">
        <v>313</v>
      </c>
      <c r="H1941" s="7" t="s">
        <v>312</v>
      </c>
      <c r="I1941" s="7"/>
      <c r="J1941" s="11"/>
      <c r="K1941" s="12"/>
      <c r="L1941" s="14" t="s">
        <v>2665</v>
      </c>
      <c r="M1941" s="10"/>
      <c r="N1941" s="10"/>
      <c r="O1941" s="10"/>
      <c r="P1941" s="10"/>
      <c r="Q1941" s="10"/>
      <c r="R1941" s="10"/>
      <c r="S1941" s="10"/>
      <c r="T1941" s="10"/>
      <c r="U1941" s="10"/>
      <c r="V1941" s="10"/>
      <c r="W1941" s="10"/>
      <c r="X1941" s="10"/>
      <c r="Y1941" s="10"/>
      <c r="Z1941" s="10"/>
      <c r="AA1941" s="10"/>
      <c r="AB1941" s="10"/>
      <c r="AC1941" s="10"/>
      <c r="AD1941" s="10"/>
      <c r="AE1941" s="10"/>
      <c r="AF1941" s="10"/>
    </row>
    <row r="1942">
      <c r="A1942" s="7"/>
      <c r="B1942" s="26">
        <v>164.0</v>
      </c>
      <c r="C1942" s="27">
        <v>7.0</v>
      </c>
      <c r="D1942" s="8" t="s">
        <v>2671</v>
      </c>
      <c r="E1942" s="7">
        <v>0.0</v>
      </c>
      <c r="F1942" s="7"/>
      <c r="G1942" s="7" t="s">
        <v>313</v>
      </c>
      <c r="H1942" s="7" t="s">
        <v>312</v>
      </c>
      <c r="I1942" s="7"/>
      <c r="J1942" s="11"/>
      <c r="K1942" s="12"/>
      <c r="L1942" s="14" t="s">
        <v>2665</v>
      </c>
      <c r="M1942" s="10"/>
      <c r="N1942" s="10"/>
      <c r="O1942" s="10"/>
      <c r="P1942" s="10"/>
      <c r="Q1942" s="10"/>
      <c r="R1942" s="10"/>
      <c r="S1942" s="10"/>
      <c r="T1942" s="10"/>
      <c r="U1942" s="10"/>
      <c r="V1942" s="10"/>
      <c r="W1942" s="10"/>
      <c r="X1942" s="10"/>
      <c r="Y1942" s="10"/>
      <c r="Z1942" s="10"/>
      <c r="AA1942" s="10"/>
      <c r="AB1942" s="10"/>
      <c r="AC1942" s="10"/>
      <c r="AD1942" s="10"/>
      <c r="AE1942" s="10"/>
      <c r="AF1942" s="10"/>
    </row>
    <row r="1943">
      <c r="A1943" s="7"/>
      <c r="B1943" s="26">
        <v>164.0</v>
      </c>
      <c r="C1943" s="27">
        <v>8.0</v>
      </c>
      <c r="D1943" s="8" t="s">
        <v>2672</v>
      </c>
      <c r="E1943" s="7">
        <v>0.0</v>
      </c>
      <c r="F1943" s="7"/>
      <c r="G1943" s="7" t="s">
        <v>313</v>
      </c>
      <c r="H1943" s="7" t="s">
        <v>312</v>
      </c>
      <c r="I1943" s="7"/>
      <c r="J1943" s="11"/>
      <c r="K1943" s="12"/>
      <c r="L1943" s="14" t="s">
        <v>2665</v>
      </c>
      <c r="M1943" s="10"/>
      <c r="N1943" s="10"/>
      <c r="O1943" s="10"/>
      <c r="P1943" s="10"/>
      <c r="Q1943" s="10"/>
      <c r="R1943" s="10"/>
      <c r="S1943" s="10"/>
      <c r="T1943" s="10"/>
      <c r="U1943" s="10"/>
      <c r="V1943" s="10"/>
      <c r="W1943" s="10"/>
      <c r="X1943" s="10"/>
      <c r="Y1943" s="10"/>
      <c r="Z1943" s="10"/>
      <c r="AA1943" s="10"/>
      <c r="AB1943" s="10"/>
      <c r="AC1943" s="10"/>
      <c r="AD1943" s="10"/>
      <c r="AE1943" s="10"/>
      <c r="AF1943" s="10"/>
    </row>
    <row r="1944">
      <c r="A1944" s="7"/>
      <c r="B1944" s="26">
        <v>164.0</v>
      </c>
      <c r="C1944" s="27">
        <v>9.0</v>
      </c>
      <c r="D1944" s="8" t="s">
        <v>2673</v>
      </c>
      <c r="E1944" s="7">
        <v>0.0</v>
      </c>
      <c r="F1944" s="7"/>
      <c r="G1944" s="7" t="s">
        <v>313</v>
      </c>
      <c r="H1944" s="7" t="s">
        <v>312</v>
      </c>
      <c r="I1944" s="7"/>
      <c r="J1944" s="11"/>
      <c r="K1944" s="12"/>
      <c r="L1944" s="14" t="s">
        <v>2665</v>
      </c>
      <c r="M1944" s="10"/>
      <c r="N1944" s="10"/>
      <c r="O1944" s="10"/>
      <c r="P1944" s="10"/>
      <c r="Q1944" s="10"/>
      <c r="R1944" s="10"/>
      <c r="S1944" s="10"/>
      <c r="T1944" s="10"/>
      <c r="U1944" s="10"/>
      <c r="V1944" s="10"/>
      <c r="W1944" s="10"/>
      <c r="X1944" s="10"/>
      <c r="Y1944" s="10"/>
      <c r="Z1944" s="10"/>
      <c r="AA1944" s="10"/>
      <c r="AB1944" s="10"/>
      <c r="AC1944" s="10"/>
      <c r="AD1944" s="10"/>
      <c r="AE1944" s="10"/>
      <c r="AF1944" s="10"/>
    </row>
    <row r="1945">
      <c r="A1945" s="7"/>
      <c r="B1945" s="26">
        <v>164.0</v>
      </c>
      <c r="C1945" s="27">
        <v>10.0</v>
      </c>
      <c r="D1945" s="8" t="s">
        <v>2674</v>
      </c>
      <c r="E1945" s="7">
        <v>0.0</v>
      </c>
      <c r="F1945" s="7"/>
      <c r="G1945" s="7" t="s">
        <v>313</v>
      </c>
      <c r="H1945" s="7" t="s">
        <v>312</v>
      </c>
      <c r="I1945" s="7"/>
      <c r="J1945" s="11"/>
      <c r="K1945" s="12"/>
      <c r="L1945" s="14" t="s">
        <v>2665</v>
      </c>
      <c r="M1945" s="10"/>
      <c r="N1945" s="10"/>
      <c r="O1945" s="10"/>
      <c r="P1945" s="10"/>
      <c r="Q1945" s="10"/>
      <c r="R1945" s="10"/>
      <c r="S1945" s="10"/>
      <c r="T1945" s="10"/>
      <c r="U1945" s="10"/>
      <c r="V1945" s="10"/>
      <c r="W1945" s="10"/>
      <c r="X1945" s="10"/>
      <c r="Y1945" s="10"/>
      <c r="Z1945" s="10"/>
      <c r="AA1945" s="10"/>
      <c r="AB1945" s="10"/>
      <c r="AC1945" s="10"/>
      <c r="AD1945" s="10"/>
      <c r="AE1945" s="10"/>
      <c r="AF1945" s="10"/>
    </row>
    <row r="1946">
      <c r="A1946" s="7"/>
      <c r="B1946" s="26">
        <v>164.0</v>
      </c>
      <c r="C1946" s="27">
        <v>11.0</v>
      </c>
      <c r="D1946" s="8" t="s">
        <v>2675</v>
      </c>
      <c r="E1946" s="7">
        <v>0.0</v>
      </c>
      <c r="F1946" s="7"/>
      <c r="G1946" s="7" t="s">
        <v>313</v>
      </c>
      <c r="H1946" s="7" t="s">
        <v>312</v>
      </c>
      <c r="I1946" s="7"/>
      <c r="J1946" s="11"/>
      <c r="K1946" s="12"/>
      <c r="L1946" s="14" t="s">
        <v>2665</v>
      </c>
      <c r="M1946" s="10"/>
      <c r="N1946" s="10"/>
      <c r="O1946" s="10"/>
      <c r="P1946" s="10"/>
      <c r="Q1946" s="10"/>
      <c r="R1946" s="10"/>
      <c r="S1946" s="10"/>
      <c r="T1946" s="10"/>
      <c r="U1946" s="10"/>
      <c r="V1946" s="10"/>
      <c r="W1946" s="10"/>
      <c r="X1946" s="10"/>
      <c r="Y1946" s="10"/>
      <c r="Z1946" s="10"/>
      <c r="AA1946" s="10"/>
      <c r="AB1946" s="10"/>
      <c r="AC1946" s="10"/>
      <c r="AD1946" s="10"/>
      <c r="AE1946" s="10"/>
      <c r="AF1946" s="10"/>
    </row>
    <row r="1947">
      <c r="A1947" s="7"/>
      <c r="B1947" s="26">
        <v>164.0</v>
      </c>
      <c r="C1947" s="27">
        <v>12.0</v>
      </c>
      <c r="D1947" s="8" t="s">
        <v>2676</v>
      </c>
      <c r="E1947" s="7">
        <v>0.0</v>
      </c>
      <c r="F1947" s="7"/>
      <c r="G1947" s="7" t="s">
        <v>313</v>
      </c>
      <c r="H1947" s="7" t="s">
        <v>312</v>
      </c>
      <c r="I1947" s="7"/>
      <c r="J1947" s="11"/>
      <c r="K1947" s="12"/>
      <c r="L1947" s="14" t="s">
        <v>2665</v>
      </c>
      <c r="M1947" s="10"/>
      <c r="N1947" s="10"/>
      <c r="O1947" s="10"/>
      <c r="P1947" s="10"/>
      <c r="Q1947" s="10"/>
      <c r="R1947" s="10"/>
      <c r="S1947" s="10"/>
      <c r="T1947" s="10"/>
      <c r="U1947" s="10"/>
      <c r="V1947" s="10"/>
      <c r="W1947" s="10"/>
      <c r="X1947" s="10"/>
      <c r="Y1947" s="10"/>
      <c r="Z1947" s="10"/>
      <c r="AA1947" s="10"/>
      <c r="AB1947" s="10"/>
      <c r="AC1947" s="10"/>
      <c r="AD1947" s="10"/>
      <c r="AE1947" s="10"/>
      <c r="AF1947" s="10"/>
    </row>
    <row r="1948">
      <c r="A1948" s="7"/>
      <c r="B1948" s="26">
        <v>164.0</v>
      </c>
      <c r="C1948" s="27">
        <v>13.0</v>
      </c>
      <c r="D1948" s="8" t="s">
        <v>2677</v>
      </c>
      <c r="E1948" s="7">
        <v>1.0</v>
      </c>
      <c r="F1948" s="7"/>
      <c r="G1948" s="7" t="s">
        <v>313</v>
      </c>
      <c r="H1948" s="7" t="s">
        <v>312</v>
      </c>
      <c r="I1948" s="7"/>
      <c r="J1948" s="11"/>
      <c r="K1948" s="12"/>
      <c r="L1948" s="12"/>
      <c r="M1948" s="10"/>
      <c r="N1948" s="10"/>
      <c r="O1948" s="10"/>
      <c r="P1948" s="10"/>
      <c r="Q1948" s="10"/>
      <c r="R1948" s="10"/>
      <c r="S1948" s="10"/>
      <c r="T1948" s="10"/>
      <c r="U1948" s="10"/>
      <c r="V1948" s="10"/>
      <c r="W1948" s="10"/>
      <c r="X1948" s="10"/>
      <c r="Y1948" s="10"/>
      <c r="Z1948" s="10"/>
      <c r="AA1948" s="10"/>
      <c r="AB1948" s="10"/>
      <c r="AC1948" s="10"/>
      <c r="AD1948" s="10"/>
      <c r="AE1948" s="10"/>
      <c r="AF1948" s="10"/>
    </row>
    <row r="1949">
      <c r="A1949" s="7"/>
      <c r="B1949" s="26">
        <v>164.0</v>
      </c>
      <c r="C1949" s="27">
        <v>14.0</v>
      </c>
      <c r="D1949" s="8" t="s">
        <v>2678</v>
      </c>
      <c r="E1949" s="7">
        <v>1.0</v>
      </c>
      <c r="F1949" s="7"/>
      <c r="G1949" s="7" t="s">
        <v>313</v>
      </c>
      <c r="H1949" s="7" t="s">
        <v>312</v>
      </c>
      <c r="I1949" s="7"/>
      <c r="J1949" s="11"/>
      <c r="K1949" s="12"/>
      <c r="L1949" s="12"/>
      <c r="M1949" s="10"/>
      <c r="N1949" s="10"/>
      <c r="O1949" s="10"/>
      <c r="P1949" s="10"/>
      <c r="Q1949" s="10"/>
      <c r="R1949" s="10"/>
      <c r="S1949" s="10"/>
      <c r="T1949" s="10"/>
      <c r="U1949" s="10"/>
      <c r="V1949" s="10"/>
      <c r="W1949" s="10"/>
      <c r="X1949" s="10"/>
      <c r="Y1949" s="10"/>
      <c r="Z1949" s="10"/>
      <c r="AA1949" s="10"/>
      <c r="AB1949" s="10"/>
      <c r="AC1949" s="10"/>
      <c r="AD1949" s="10"/>
      <c r="AE1949" s="10"/>
      <c r="AF1949" s="10"/>
    </row>
    <row r="1950">
      <c r="A1950" s="7"/>
      <c r="B1950" s="26">
        <v>164.0</v>
      </c>
      <c r="C1950" s="27">
        <v>15.0</v>
      </c>
      <c r="D1950" s="8" t="s">
        <v>2679</v>
      </c>
      <c r="E1950" s="7">
        <v>0.0</v>
      </c>
      <c r="F1950" s="7"/>
      <c r="G1950" s="7" t="s">
        <v>313</v>
      </c>
      <c r="H1950" s="7" t="s">
        <v>312</v>
      </c>
      <c r="I1950" s="7"/>
      <c r="J1950" s="11"/>
      <c r="K1950" s="12"/>
      <c r="L1950" s="12"/>
      <c r="M1950" s="10"/>
      <c r="N1950" s="10"/>
      <c r="O1950" s="10"/>
      <c r="P1950" s="10"/>
      <c r="Q1950" s="10"/>
      <c r="R1950" s="10"/>
      <c r="S1950" s="10"/>
      <c r="T1950" s="10"/>
      <c r="U1950" s="10"/>
      <c r="V1950" s="10"/>
      <c r="W1950" s="10"/>
      <c r="X1950" s="10"/>
      <c r="Y1950" s="10"/>
      <c r="Z1950" s="10"/>
      <c r="AA1950" s="10"/>
      <c r="AB1950" s="10"/>
      <c r="AC1950" s="10"/>
      <c r="AD1950" s="10"/>
      <c r="AE1950" s="10"/>
      <c r="AF1950" s="10"/>
    </row>
    <row r="1951">
      <c r="A1951" s="7"/>
      <c r="B1951" s="26">
        <v>164.0</v>
      </c>
      <c r="C1951" s="27">
        <v>16.0</v>
      </c>
      <c r="D1951" s="8" t="s">
        <v>2680</v>
      </c>
      <c r="E1951" s="7">
        <v>0.0</v>
      </c>
      <c r="F1951" s="7"/>
      <c r="G1951" s="7" t="s">
        <v>313</v>
      </c>
      <c r="H1951" s="7" t="s">
        <v>312</v>
      </c>
      <c r="I1951" s="7"/>
      <c r="J1951" s="11"/>
      <c r="K1951" s="12"/>
      <c r="L1951" s="12"/>
      <c r="M1951" s="10"/>
      <c r="N1951" s="10"/>
      <c r="O1951" s="10"/>
      <c r="P1951" s="10"/>
      <c r="Q1951" s="10"/>
      <c r="R1951" s="10"/>
      <c r="S1951" s="10"/>
      <c r="T1951" s="10"/>
      <c r="U1951" s="10"/>
      <c r="V1951" s="10"/>
      <c r="W1951" s="10"/>
      <c r="X1951" s="10"/>
      <c r="Y1951" s="10"/>
      <c r="Z1951" s="10"/>
      <c r="AA1951" s="10"/>
      <c r="AB1951" s="10"/>
      <c r="AC1951" s="10"/>
      <c r="AD1951" s="10"/>
      <c r="AE1951" s="10"/>
      <c r="AF1951" s="10"/>
    </row>
    <row r="1952">
      <c r="A1952" s="7"/>
      <c r="B1952" s="26">
        <v>164.0</v>
      </c>
      <c r="C1952" s="27">
        <v>17.0</v>
      </c>
      <c r="D1952" s="8" t="s">
        <v>2681</v>
      </c>
      <c r="E1952" s="7">
        <v>0.0</v>
      </c>
      <c r="F1952" s="7"/>
      <c r="G1952" s="7" t="s">
        <v>313</v>
      </c>
      <c r="H1952" s="7" t="s">
        <v>312</v>
      </c>
      <c r="I1952" s="7"/>
      <c r="J1952" s="11"/>
      <c r="K1952" s="12"/>
      <c r="L1952" s="12"/>
      <c r="M1952" s="10"/>
      <c r="N1952" s="10"/>
      <c r="O1952" s="10"/>
      <c r="P1952" s="10"/>
      <c r="Q1952" s="10"/>
      <c r="R1952" s="10"/>
      <c r="S1952" s="10"/>
      <c r="T1952" s="10"/>
      <c r="U1952" s="10"/>
      <c r="V1952" s="10"/>
      <c r="W1952" s="10"/>
      <c r="X1952" s="10"/>
      <c r="Y1952" s="10"/>
      <c r="Z1952" s="10"/>
      <c r="AA1952" s="10"/>
      <c r="AB1952" s="10"/>
      <c r="AC1952" s="10"/>
      <c r="AD1952" s="10"/>
      <c r="AE1952" s="10"/>
      <c r="AF1952" s="10"/>
    </row>
    <row r="1953">
      <c r="A1953" s="7"/>
      <c r="B1953" s="26">
        <v>164.0</v>
      </c>
      <c r="C1953" s="27">
        <v>18.0</v>
      </c>
      <c r="D1953" s="8" t="s">
        <v>2682</v>
      </c>
      <c r="E1953" s="7">
        <v>0.0</v>
      </c>
      <c r="F1953" s="7"/>
      <c r="G1953" s="7" t="s">
        <v>313</v>
      </c>
      <c r="H1953" s="7" t="s">
        <v>312</v>
      </c>
      <c r="I1953" s="7"/>
      <c r="J1953" s="11"/>
      <c r="K1953" s="12"/>
      <c r="L1953" s="12"/>
      <c r="M1953" s="10"/>
      <c r="N1953" s="10"/>
      <c r="O1953" s="10"/>
      <c r="P1953" s="10"/>
      <c r="Q1953" s="10"/>
      <c r="R1953" s="10"/>
      <c r="S1953" s="10"/>
      <c r="T1953" s="10"/>
      <c r="U1953" s="10"/>
      <c r="V1953" s="10"/>
      <c r="W1953" s="10"/>
      <c r="X1953" s="10"/>
      <c r="Y1953" s="10"/>
      <c r="Z1953" s="10"/>
      <c r="AA1953" s="10"/>
      <c r="AB1953" s="10"/>
      <c r="AC1953" s="10"/>
      <c r="AD1953" s="10"/>
      <c r="AE1953" s="10"/>
      <c r="AF1953" s="10"/>
    </row>
    <row r="1954">
      <c r="A1954" s="7"/>
      <c r="B1954" s="26">
        <v>164.0</v>
      </c>
      <c r="C1954" s="27">
        <v>19.0</v>
      </c>
      <c r="D1954" s="8" t="s">
        <v>2683</v>
      </c>
      <c r="E1954" s="7">
        <v>0.0</v>
      </c>
      <c r="F1954" s="7"/>
      <c r="G1954" s="7" t="s">
        <v>313</v>
      </c>
      <c r="H1954" s="7" t="s">
        <v>312</v>
      </c>
      <c r="I1954" s="7"/>
      <c r="J1954" s="11"/>
      <c r="K1954" s="12"/>
      <c r="L1954" s="12"/>
      <c r="M1954" s="10"/>
      <c r="N1954" s="10"/>
      <c r="O1954" s="10"/>
      <c r="P1954" s="10"/>
      <c r="Q1954" s="10"/>
      <c r="R1954" s="10"/>
      <c r="S1954" s="10"/>
      <c r="T1954" s="10"/>
      <c r="U1954" s="10"/>
      <c r="V1954" s="10"/>
      <c r="W1954" s="10"/>
      <c r="X1954" s="10"/>
      <c r="Y1954" s="10"/>
      <c r="Z1954" s="10"/>
      <c r="AA1954" s="10"/>
      <c r="AB1954" s="10"/>
      <c r="AC1954" s="10"/>
      <c r="AD1954" s="10"/>
      <c r="AE1954" s="10"/>
      <c r="AF1954" s="10"/>
    </row>
    <row r="1955">
      <c r="A1955" s="7"/>
      <c r="B1955" s="26">
        <v>164.0</v>
      </c>
      <c r="C1955" s="27">
        <v>20.0</v>
      </c>
      <c r="D1955" s="8" t="s">
        <v>2684</v>
      </c>
      <c r="E1955" s="7">
        <v>0.0</v>
      </c>
      <c r="F1955" s="7"/>
      <c r="G1955" s="7" t="s">
        <v>313</v>
      </c>
      <c r="H1955" s="7" t="s">
        <v>312</v>
      </c>
      <c r="I1955" s="7"/>
      <c r="J1955" s="11"/>
      <c r="K1955" s="12"/>
      <c r="L1955" s="12"/>
      <c r="M1955" s="10"/>
      <c r="N1955" s="10"/>
      <c r="O1955" s="10"/>
      <c r="P1955" s="10"/>
      <c r="Q1955" s="10"/>
      <c r="R1955" s="10"/>
      <c r="S1955" s="10"/>
      <c r="T1955" s="10"/>
      <c r="U1955" s="10"/>
      <c r="V1955" s="10"/>
      <c r="W1955" s="10"/>
      <c r="X1955" s="10"/>
      <c r="Y1955" s="10"/>
      <c r="Z1955" s="10"/>
      <c r="AA1955" s="10"/>
      <c r="AB1955" s="10"/>
      <c r="AC1955" s="10"/>
      <c r="AD1955" s="10"/>
      <c r="AE1955" s="10"/>
      <c r="AF1955" s="10"/>
    </row>
    <row r="1956">
      <c r="A1956" s="7"/>
      <c r="B1956" s="26">
        <v>164.0</v>
      </c>
      <c r="C1956" s="27">
        <v>21.0</v>
      </c>
      <c r="D1956" s="8" t="s">
        <v>2685</v>
      </c>
      <c r="E1956" s="7">
        <v>0.0</v>
      </c>
      <c r="F1956" s="7"/>
      <c r="G1956" s="7" t="s">
        <v>313</v>
      </c>
      <c r="H1956" s="7" t="s">
        <v>312</v>
      </c>
      <c r="I1956" s="7"/>
      <c r="J1956" s="11"/>
      <c r="K1956" s="12"/>
      <c r="L1956" s="12"/>
      <c r="M1956" s="10"/>
      <c r="N1956" s="10"/>
      <c r="O1956" s="10"/>
      <c r="P1956" s="10"/>
      <c r="Q1956" s="10"/>
      <c r="R1956" s="10"/>
      <c r="S1956" s="10"/>
      <c r="T1956" s="10"/>
      <c r="U1956" s="10"/>
      <c r="V1956" s="10"/>
      <c r="W1956" s="10"/>
      <c r="X1956" s="10"/>
      <c r="Y1956" s="10"/>
      <c r="Z1956" s="10"/>
      <c r="AA1956" s="10"/>
      <c r="AB1956" s="10"/>
      <c r="AC1956" s="10"/>
      <c r="AD1956" s="10"/>
      <c r="AE1956" s="10"/>
      <c r="AF1956" s="10"/>
    </row>
    <row r="1957">
      <c r="A1957" s="7"/>
      <c r="B1957" s="26">
        <v>164.0</v>
      </c>
      <c r="C1957" s="27">
        <v>22.0</v>
      </c>
      <c r="D1957" s="8" t="s">
        <v>2686</v>
      </c>
      <c r="E1957" s="7">
        <v>0.0</v>
      </c>
      <c r="F1957" s="7"/>
      <c r="G1957" s="7" t="s">
        <v>313</v>
      </c>
      <c r="H1957" s="7" t="s">
        <v>312</v>
      </c>
      <c r="I1957" s="7"/>
      <c r="J1957" s="11"/>
      <c r="K1957" s="12"/>
      <c r="L1957" s="12"/>
      <c r="M1957" s="10"/>
      <c r="N1957" s="10"/>
      <c r="O1957" s="10"/>
      <c r="P1957" s="10"/>
      <c r="Q1957" s="10"/>
      <c r="R1957" s="10"/>
      <c r="S1957" s="10"/>
      <c r="T1957" s="10"/>
      <c r="U1957" s="10"/>
      <c r="V1957" s="10"/>
      <c r="W1957" s="10"/>
      <c r="X1957" s="10"/>
      <c r="Y1957" s="10"/>
      <c r="Z1957" s="10"/>
      <c r="AA1957" s="10"/>
      <c r="AB1957" s="10"/>
      <c r="AC1957" s="10"/>
      <c r="AD1957" s="10"/>
      <c r="AE1957" s="10"/>
      <c r="AF1957" s="10"/>
    </row>
    <row r="1958">
      <c r="A1958" s="7"/>
      <c r="B1958" s="26">
        <v>164.0</v>
      </c>
      <c r="C1958" s="27">
        <v>23.0</v>
      </c>
      <c r="D1958" s="8" t="s">
        <v>2687</v>
      </c>
      <c r="E1958" s="7">
        <v>0.0</v>
      </c>
      <c r="F1958" s="7"/>
      <c r="G1958" s="7" t="s">
        <v>313</v>
      </c>
      <c r="H1958" s="7" t="s">
        <v>312</v>
      </c>
      <c r="I1958" s="7"/>
      <c r="J1958" s="11"/>
      <c r="K1958" s="12"/>
      <c r="L1958" s="12"/>
      <c r="M1958" s="10"/>
      <c r="N1958" s="10"/>
      <c r="O1958" s="10"/>
      <c r="P1958" s="10"/>
      <c r="Q1958" s="10"/>
      <c r="R1958" s="10"/>
      <c r="S1958" s="10"/>
      <c r="T1958" s="10"/>
      <c r="U1958" s="10"/>
      <c r="V1958" s="10"/>
      <c r="W1958" s="10"/>
      <c r="X1958" s="10"/>
      <c r="Y1958" s="10"/>
      <c r="Z1958" s="10"/>
      <c r="AA1958" s="10"/>
      <c r="AB1958" s="10"/>
      <c r="AC1958" s="10"/>
      <c r="AD1958" s="10"/>
      <c r="AE1958" s="10"/>
      <c r="AF1958" s="10"/>
    </row>
    <row r="1959">
      <c r="A1959" s="7"/>
      <c r="B1959" s="26">
        <v>164.0</v>
      </c>
      <c r="C1959" s="27">
        <v>24.0</v>
      </c>
      <c r="D1959" s="8" t="s">
        <v>2688</v>
      </c>
      <c r="E1959" s="7">
        <v>0.0</v>
      </c>
      <c r="F1959" s="7"/>
      <c r="G1959" s="7" t="s">
        <v>313</v>
      </c>
      <c r="H1959" s="7" t="s">
        <v>312</v>
      </c>
      <c r="I1959" s="7"/>
      <c r="J1959" s="11"/>
      <c r="K1959" s="12"/>
      <c r="L1959" s="12"/>
      <c r="M1959" s="10"/>
      <c r="N1959" s="10"/>
      <c r="O1959" s="10"/>
      <c r="P1959" s="10"/>
      <c r="Q1959" s="10"/>
      <c r="R1959" s="10"/>
      <c r="S1959" s="10"/>
      <c r="T1959" s="10"/>
      <c r="U1959" s="10"/>
      <c r="V1959" s="10"/>
      <c r="W1959" s="10"/>
      <c r="X1959" s="10"/>
      <c r="Y1959" s="10"/>
      <c r="Z1959" s="10"/>
      <c r="AA1959" s="10"/>
      <c r="AB1959" s="10"/>
      <c r="AC1959" s="10"/>
      <c r="AD1959" s="10"/>
      <c r="AE1959" s="10"/>
      <c r="AF1959" s="10"/>
    </row>
    <row r="1960">
      <c r="A1960" s="7"/>
      <c r="B1960" s="26">
        <v>164.0</v>
      </c>
      <c r="C1960" s="27">
        <v>25.0</v>
      </c>
      <c r="D1960" s="8" t="s">
        <v>2689</v>
      </c>
      <c r="E1960" s="7">
        <v>0.0</v>
      </c>
      <c r="F1960" s="7"/>
      <c r="G1960" s="7" t="s">
        <v>313</v>
      </c>
      <c r="H1960" s="7" t="s">
        <v>312</v>
      </c>
      <c r="I1960" s="7"/>
      <c r="J1960" s="11"/>
      <c r="K1960" s="12"/>
      <c r="L1960" s="12"/>
      <c r="M1960" s="10"/>
      <c r="N1960" s="10"/>
      <c r="O1960" s="10"/>
      <c r="P1960" s="10"/>
      <c r="Q1960" s="10"/>
      <c r="R1960" s="10"/>
      <c r="S1960" s="10"/>
      <c r="T1960" s="10"/>
      <c r="U1960" s="10"/>
      <c r="V1960" s="10"/>
      <c r="W1960" s="10"/>
      <c r="X1960" s="10"/>
      <c r="Y1960" s="10"/>
      <c r="Z1960" s="10"/>
      <c r="AA1960" s="10"/>
      <c r="AB1960" s="10"/>
      <c r="AC1960" s="10"/>
      <c r="AD1960" s="10"/>
      <c r="AE1960" s="10"/>
      <c r="AF1960" s="10"/>
    </row>
    <row r="1961">
      <c r="A1961" s="7"/>
      <c r="B1961" s="26">
        <v>164.0</v>
      </c>
      <c r="C1961" s="27">
        <v>26.0</v>
      </c>
      <c r="D1961" s="8" t="s">
        <v>2690</v>
      </c>
      <c r="E1961" s="7">
        <v>0.0</v>
      </c>
      <c r="F1961" s="7"/>
      <c r="G1961" s="7" t="s">
        <v>313</v>
      </c>
      <c r="H1961" s="7" t="s">
        <v>312</v>
      </c>
      <c r="I1961" s="7"/>
      <c r="J1961" s="11"/>
      <c r="K1961" s="12"/>
      <c r="L1961" s="12"/>
      <c r="M1961" s="10"/>
      <c r="N1961" s="10"/>
      <c r="O1961" s="10"/>
      <c r="P1961" s="10"/>
      <c r="Q1961" s="10"/>
      <c r="R1961" s="10"/>
      <c r="S1961" s="10"/>
      <c r="T1961" s="10"/>
      <c r="U1961" s="10"/>
      <c r="V1961" s="10"/>
      <c r="W1961" s="10"/>
      <c r="X1961" s="10"/>
      <c r="Y1961" s="10"/>
      <c r="Z1961" s="10"/>
      <c r="AA1961" s="10"/>
      <c r="AB1961" s="10"/>
      <c r="AC1961" s="10"/>
      <c r="AD1961" s="10"/>
      <c r="AE1961" s="10"/>
      <c r="AF1961" s="10"/>
    </row>
    <row r="1962">
      <c r="A1962" s="7"/>
      <c r="B1962" s="26">
        <v>164.0</v>
      </c>
      <c r="C1962" s="27">
        <v>27.0</v>
      </c>
      <c r="D1962" s="8" t="s">
        <v>2691</v>
      </c>
      <c r="E1962" s="7">
        <v>0.0</v>
      </c>
      <c r="F1962" s="7"/>
      <c r="G1962" s="7" t="s">
        <v>313</v>
      </c>
      <c r="H1962" s="7" t="s">
        <v>312</v>
      </c>
      <c r="I1962" s="7"/>
      <c r="J1962" s="11"/>
      <c r="K1962" s="12"/>
      <c r="L1962" s="12"/>
      <c r="M1962" s="10"/>
      <c r="N1962" s="10"/>
      <c r="O1962" s="10"/>
      <c r="P1962" s="10"/>
      <c r="Q1962" s="10"/>
      <c r="R1962" s="10"/>
      <c r="S1962" s="10"/>
      <c r="T1962" s="10"/>
      <c r="U1962" s="10"/>
      <c r="V1962" s="10"/>
      <c r="W1962" s="10"/>
      <c r="X1962" s="10"/>
      <c r="Y1962" s="10"/>
      <c r="Z1962" s="10"/>
      <c r="AA1962" s="10"/>
      <c r="AB1962" s="10"/>
      <c r="AC1962" s="10"/>
      <c r="AD1962" s="10"/>
      <c r="AE1962" s="10"/>
      <c r="AF1962" s="10"/>
    </row>
    <row r="1963">
      <c r="A1963" s="7"/>
      <c r="B1963" s="26">
        <v>164.0</v>
      </c>
      <c r="C1963" s="27">
        <v>28.0</v>
      </c>
      <c r="D1963" s="8" t="s">
        <v>2692</v>
      </c>
      <c r="E1963" s="7">
        <v>0.0</v>
      </c>
      <c r="F1963" s="7"/>
      <c r="G1963" s="7" t="s">
        <v>313</v>
      </c>
      <c r="H1963" s="7" t="s">
        <v>312</v>
      </c>
      <c r="I1963" s="7"/>
      <c r="J1963" s="11"/>
      <c r="K1963" s="12"/>
      <c r="L1963" s="12"/>
      <c r="M1963" s="10"/>
      <c r="N1963" s="10"/>
      <c r="O1963" s="10"/>
      <c r="P1963" s="10"/>
      <c r="Q1963" s="10"/>
      <c r="R1963" s="10"/>
      <c r="S1963" s="10"/>
      <c r="T1963" s="10"/>
      <c r="U1963" s="10"/>
      <c r="V1963" s="10"/>
      <c r="W1963" s="10"/>
      <c r="X1963" s="10"/>
      <c r="Y1963" s="10"/>
      <c r="Z1963" s="10"/>
      <c r="AA1963" s="10"/>
      <c r="AB1963" s="10"/>
      <c r="AC1963" s="10"/>
      <c r="AD1963" s="10"/>
      <c r="AE1963" s="10"/>
      <c r="AF1963" s="10"/>
    </row>
    <row r="1964">
      <c r="A1964" s="7"/>
      <c r="B1964" s="26">
        <v>164.0</v>
      </c>
      <c r="C1964" s="27">
        <v>29.0</v>
      </c>
      <c r="D1964" s="8" t="s">
        <v>2693</v>
      </c>
      <c r="E1964" s="7">
        <v>0.0</v>
      </c>
      <c r="F1964" s="7"/>
      <c r="G1964" s="7" t="s">
        <v>313</v>
      </c>
      <c r="H1964" s="7" t="s">
        <v>312</v>
      </c>
      <c r="I1964" s="7"/>
      <c r="J1964" s="11"/>
      <c r="K1964" s="12"/>
      <c r="L1964" s="12"/>
      <c r="M1964" s="10"/>
      <c r="N1964" s="10"/>
      <c r="O1964" s="10"/>
      <c r="P1964" s="10"/>
      <c r="Q1964" s="10"/>
      <c r="R1964" s="10"/>
      <c r="S1964" s="10"/>
      <c r="T1964" s="10"/>
      <c r="U1964" s="10"/>
      <c r="V1964" s="10"/>
      <c r="W1964" s="10"/>
      <c r="X1964" s="10"/>
      <c r="Y1964" s="10"/>
      <c r="Z1964" s="10"/>
      <c r="AA1964" s="10"/>
      <c r="AB1964" s="10"/>
      <c r="AC1964" s="10"/>
      <c r="AD1964" s="10"/>
      <c r="AE1964" s="10"/>
      <c r="AF1964" s="10"/>
    </row>
    <row r="1965">
      <c r="A1965" s="7"/>
      <c r="B1965" s="26">
        <v>164.0</v>
      </c>
      <c r="C1965" s="27">
        <v>30.0</v>
      </c>
      <c r="D1965" s="8" t="s">
        <v>2694</v>
      </c>
      <c r="E1965" s="7">
        <v>0.0</v>
      </c>
      <c r="F1965" s="7"/>
      <c r="G1965" s="7" t="s">
        <v>313</v>
      </c>
      <c r="H1965" s="7" t="s">
        <v>312</v>
      </c>
      <c r="I1965" s="7"/>
      <c r="J1965" s="11"/>
      <c r="K1965" s="12"/>
      <c r="L1965" s="12"/>
      <c r="M1965" s="10"/>
      <c r="N1965" s="10"/>
      <c r="O1965" s="10"/>
      <c r="P1965" s="10"/>
      <c r="Q1965" s="10"/>
      <c r="R1965" s="10"/>
      <c r="S1965" s="10"/>
      <c r="T1965" s="10"/>
      <c r="U1965" s="10"/>
      <c r="V1965" s="10"/>
      <c r="W1965" s="10"/>
      <c r="X1965" s="10"/>
      <c r="Y1965" s="10"/>
      <c r="Z1965" s="10"/>
      <c r="AA1965" s="10"/>
      <c r="AB1965" s="10"/>
      <c r="AC1965" s="10"/>
      <c r="AD1965" s="10"/>
      <c r="AE1965" s="10"/>
      <c r="AF1965" s="10"/>
    </row>
    <row r="1966">
      <c r="A1966" s="7"/>
      <c r="B1966" s="26">
        <v>164.0</v>
      </c>
      <c r="C1966" s="27">
        <v>31.0</v>
      </c>
      <c r="D1966" s="8" t="s">
        <v>2695</v>
      </c>
      <c r="E1966" s="7">
        <v>0.0</v>
      </c>
      <c r="F1966" s="33" t="s">
        <v>2696</v>
      </c>
      <c r="G1966" s="7" t="s">
        <v>313</v>
      </c>
      <c r="H1966" s="7" t="s">
        <v>312</v>
      </c>
      <c r="I1966" s="7" t="s">
        <v>366</v>
      </c>
      <c r="J1966" s="16" t="s">
        <v>2697</v>
      </c>
      <c r="K1966" s="20" t="s">
        <v>2698</v>
      </c>
      <c r="L1966" s="12"/>
      <c r="M1966" s="10"/>
      <c r="N1966" s="10"/>
      <c r="O1966" s="10"/>
      <c r="P1966" s="10"/>
      <c r="Q1966" s="10"/>
      <c r="R1966" s="10"/>
      <c r="S1966" s="10"/>
      <c r="T1966" s="10"/>
      <c r="U1966" s="10"/>
      <c r="V1966" s="10"/>
      <c r="W1966" s="10"/>
      <c r="X1966" s="10"/>
      <c r="Y1966" s="10"/>
      <c r="Z1966" s="10"/>
      <c r="AA1966" s="10"/>
      <c r="AB1966" s="10"/>
      <c r="AC1966" s="10"/>
      <c r="AD1966" s="10"/>
      <c r="AE1966" s="10"/>
      <c r="AF1966" s="10"/>
    </row>
    <row r="1967">
      <c r="A1967" s="7"/>
      <c r="B1967" s="26">
        <v>164.0</v>
      </c>
      <c r="C1967" s="27">
        <v>32.0</v>
      </c>
      <c r="D1967" s="8" t="s">
        <v>2699</v>
      </c>
      <c r="E1967" s="7">
        <v>0.0</v>
      </c>
      <c r="F1967" s="7"/>
      <c r="G1967" s="7" t="s">
        <v>313</v>
      </c>
      <c r="H1967" s="7" t="s">
        <v>312</v>
      </c>
      <c r="I1967" s="7"/>
      <c r="J1967" s="11"/>
      <c r="K1967" s="12"/>
      <c r="L1967" s="12"/>
      <c r="M1967" s="10"/>
      <c r="N1967" s="10"/>
      <c r="O1967" s="10"/>
      <c r="P1967" s="10"/>
      <c r="Q1967" s="10"/>
      <c r="R1967" s="10"/>
      <c r="S1967" s="10"/>
      <c r="T1967" s="10"/>
      <c r="U1967" s="10"/>
      <c r="V1967" s="10"/>
      <c r="W1967" s="10"/>
      <c r="X1967" s="10"/>
      <c r="Y1967" s="10"/>
      <c r="Z1967" s="10"/>
      <c r="AA1967" s="10"/>
      <c r="AB1967" s="10"/>
      <c r="AC1967" s="10"/>
      <c r="AD1967" s="10"/>
      <c r="AE1967" s="10"/>
      <c r="AF1967" s="10"/>
    </row>
    <row r="1968">
      <c r="A1968" s="7"/>
      <c r="B1968" s="26">
        <v>164.0</v>
      </c>
      <c r="C1968" s="27">
        <v>33.0</v>
      </c>
      <c r="D1968" s="8" t="s">
        <v>2700</v>
      </c>
      <c r="E1968" s="7">
        <v>0.0</v>
      </c>
      <c r="F1968" s="7"/>
      <c r="G1968" s="7" t="s">
        <v>313</v>
      </c>
      <c r="H1968" s="7" t="s">
        <v>312</v>
      </c>
      <c r="I1968" s="7"/>
      <c r="J1968" s="11"/>
      <c r="K1968" s="12"/>
      <c r="L1968" s="14" t="s">
        <v>2701</v>
      </c>
      <c r="M1968" s="10"/>
      <c r="N1968" s="10"/>
      <c r="O1968" s="10"/>
      <c r="P1968" s="10"/>
      <c r="Q1968" s="10"/>
      <c r="R1968" s="10"/>
      <c r="S1968" s="10"/>
      <c r="T1968" s="10"/>
      <c r="U1968" s="10"/>
      <c r="V1968" s="10"/>
      <c r="W1968" s="10"/>
      <c r="X1968" s="10"/>
      <c r="Y1968" s="10"/>
      <c r="Z1968" s="10"/>
      <c r="AA1968" s="10"/>
      <c r="AB1968" s="10"/>
      <c r="AC1968" s="10"/>
      <c r="AD1968" s="10"/>
      <c r="AE1968" s="10"/>
      <c r="AF1968" s="10"/>
    </row>
    <row r="1969">
      <c r="A1969" s="7"/>
      <c r="B1969" s="26">
        <v>164.0</v>
      </c>
      <c r="C1969" s="27">
        <v>34.0</v>
      </c>
      <c r="D1969" s="8" t="s">
        <v>2702</v>
      </c>
      <c r="E1969" s="7">
        <v>0.0</v>
      </c>
      <c r="F1969" s="7"/>
      <c r="G1969" s="7" t="s">
        <v>313</v>
      </c>
      <c r="H1969" s="7" t="s">
        <v>312</v>
      </c>
      <c r="I1969" s="7"/>
      <c r="J1969" s="11"/>
      <c r="K1969" s="12"/>
      <c r="L1969" s="12"/>
      <c r="M1969" s="10"/>
      <c r="N1969" s="10"/>
      <c r="O1969" s="10"/>
      <c r="P1969" s="10"/>
      <c r="Q1969" s="10"/>
      <c r="R1969" s="10"/>
      <c r="S1969" s="10"/>
      <c r="T1969" s="10"/>
      <c r="U1969" s="10"/>
      <c r="V1969" s="10"/>
      <c r="W1969" s="10"/>
      <c r="X1969" s="10"/>
      <c r="Y1969" s="10"/>
      <c r="Z1969" s="10"/>
      <c r="AA1969" s="10"/>
      <c r="AB1969" s="10"/>
      <c r="AC1969" s="10"/>
      <c r="AD1969" s="10"/>
      <c r="AE1969" s="10"/>
      <c r="AF1969" s="10"/>
    </row>
    <row r="1970">
      <c r="A1970" s="7"/>
      <c r="B1970" s="26">
        <v>164.0</v>
      </c>
      <c r="C1970" s="27">
        <v>35.0</v>
      </c>
      <c r="D1970" s="8" t="s">
        <v>2703</v>
      </c>
      <c r="E1970" s="7">
        <v>0.0</v>
      </c>
      <c r="F1970" s="7"/>
      <c r="G1970" s="7" t="s">
        <v>313</v>
      </c>
      <c r="H1970" s="7" t="s">
        <v>312</v>
      </c>
      <c r="I1970" s="7"/>
      <c r="J1970" s="11"/>
      <c r="K1970" s="12"/>
      <c r="L1970" s="12"/>
      <c r="M1970" s="10"/>
      <c r="N1970" s="10"/>
      <c r="O1970" s="10"/>
      <c r="P1970" s="10"/>
      <c r="Q1970" s="10"/>
      <c r="R1970" s="10"/>
      <c r="S1970" s="10"/>
      <c r="T1970" s="10"/>
      <c r="U1970" s="10"/>
      <c r="V1970" s="10"/>
      <c r="W1970" s="10"/>
      <c r="X1970" s="10"/>
      <c r="Y1970" s="10"/>
      <c r="Z1970" s="10"/>
      <c r="AA1970" s="10"/>
      <c r="AB1970" s="10"/>
      <c r="AC1970" s="10"/>
      <c r="AD1970" s="10"/>
      <c r="AE1970" s="10"/>
      <c r="AF1970" s="10"/>
    </row>
    <row r="1971">
      <c r="A1971" s="7"/>
      <c r="B1971" s="26">
        <v>164.0</v>
      </c>
      <c r="C1971" s="27">
        <v>36.0</v>
      </c>
      <c r="D1971" s="8" t="s">
        <v>2704</v>
      </c>
      <c r="E1971" s="7">
        <v>0.0</v>
      </c>
      <c r="F1971" s="7"/>
      <c r="G1971" s="7" t="s">
        <v>313</v>
      </c>
      <c r="H1971" s="7" t="s">
        <v>312</v>
      </c>
      <c r="I1971" s="7"/>
      <c r="J1971" s="11"/>
      <c r="K1971" s="12"/>
      <c r="L1971" s="12"/>
      <c r="M1971" s="10"/>
      <c r="N1971" s="10"/>
      <c r="O1971" s="10"/>
      <c r="P1971" s="10"/>
      <c r="Q1971" s="10"/>
      <c r="R1971" s="10"/>
      <c r="S1971" s="10"/>
      <c r="T1971" s="10"/>
      <c r="U1971" s="10"/>
      <c r="V1971" s="10"/>
      <c r="W1971" s="10"/>
      <c r="X1971" s="10"/>
      <c r="Y1971" s="10"/>
      <c r="Z1971" s="10"/>
      <c r="AA1971" s="10"/>
      <c r="AB1971" s="10"/>
      <c r="AC1971" s="10"/>
      <c r="AD1971" s="10"/>
      <c r="AE1971" s="10"/>
      <c r="AF1971" s="10"/>
    </row>
    <row r="1972">
      <c r="A1972" s="7"/>
      <c r="B1972" s="26">
        <v>164.0</v>
      </c>
      <c r="C1972" s="27">
        <v>37.0</v>
      </c>
      <c r="D1972" s="8" t="s">
        <v>2705</v>
      </c>
      <c r="E1972" s="7">
        <v>0.0</v>
      </c>
      <c r="F1972" s="7"/>
      <c r="G1972" s="7" t="s">
        <v>313</v>
      </c>
      <c r="H1972" s="7" t="s">
        <v>312</v>
      </c>
      <c r="I1972" s="7"/>
      <c r="J1972" s="11"/>
      <c r="K1972" s="12"/>
      <c r="L1972" s="12"/>
      <c r="M1972" s="10"/>
      <c r="N1972" s="10"/>
      <c r="O1972" s="10"/>
      <c r="P1972" s="10"/>
      <c r="Q1972" s="10"/>
      <c r="R1972" s="10"/>
      <c r="S1972" s="10"/>
      <c r="T1972" s="10"/>
      <c r="U1972" s="10"/>
      <c r="V1972" s="10"/>
      <c r="W1972" s="10"/>
      <c r="X1972" s="10"/>
      <c r="Y1972" s="10"/>
      <c r="Z1972" s="10"/>
      <c r="AA1972" s="10"/>
      <c r="AB1972" s="10"/>
      <c r="AC1972" s="10"/>
      <c r="AD1972" s="10"/>
      <c r="AE1972" s="10"/>
      <c r="AF1972" s="10"/>
    </row>
    <row r="1973">
      <c r="A1973" s="7"/>
      <c r="B1973" s="26">
        <v>164.0</v>
      </c>
      <c r="C1973" s="27">
        <v>38.0</v>
      </c>
      <c r="D1973" s="8" t="s">
        <v>2706</v>
      </c>
      <c r="E1973" s="7">
        <v>0.0</v>
      </c>
      <c r="F1973" s="7"/>
      <c r="G1973" s="7" t="s">
        <v>313</v>
      </c>
      <c r="H1973" s="7" t="s">
        <v>312</v>
      </c>
      <c r="I1973" s="7"/>
      <c r="J1973" s="11"/>
      <c r="K1973" s="12"/>
      <c r="L1973" s="12"/>
      <c r="M1973" s="10"/>
      <c r="N1973" s="10"/>
      <c r="O1973" s="10"/>
      <c r="P1973" s="10"/>
      <c r="Q1973" s="10"/>
      <c r="R1973" s="10"/>
      <c r="S1973" s="10"/>
      <c r="T1973" s="10"/>
      <c r="U1973" s="10"/>
      <c r="V1973" s="10"/>
      <c r="W1973" s="10"/>
      <c r="X1973" s="10"/>
      <c r="Y1973" s="10"/>
      <c r="Z1973" s="10"/>
      <c r="AA1973" s="10"/>
      <c r="AB1973" s="10"/>
      <c r="AC1973" s="10"/>
      <c r="AD1973" s="10"/>
      <c r="AE1973" s="10"/>
      <c r="AF1973" s="10"/>
    </row>
    <row r="1974">
      <c r="A1974" s="7"/>
      <c r="B1974" s="26">
        <v>164.0</v>
      </c>
      <c r="C1974" s="27">
        <v>39.0</v>
      </c>
      <c r="D1974" s="8" t="s">
        <v>2707</v>
      </c>
      <c r="E1974" s="7">
        <v>0.0</v>
      </c>
      <c r="F1974" s="7"/>
      <c r="G1974" s="7" t="s">
        <v>313</v>
      </c>
      <c r="H1974" s="7" t="s">
        <v>312</v>
      </c>
      <c r="I1974" s="7"/>
      <c r="J1974" s="11"/>
      <c r="K1974" s="12"/>
      <c r="L1974" s="12"/>
      <c r="M1974" s="10"/>
      <c r="N1974" s="10"/>
      <c r="O1974" s="10"/>
      <c r="P1974" s="10"/>
      <c r="Q1974" s="10"/>
      <c r="R1974" s="10"/>
      <c r="S1974" s="10"/>
      <c r="T1974" s="10"/>
      <c r="U1974" s="10"/>
      <c r="V1974" s="10"/>
      <c r="W1974" s="10"/>
      <c r="X1974" s="10"/>
      <c r="Y1974" s="10"/>
      <c r="Z1974" s="10"/>
      <c r="AA1974" s="10"/>
      <c r="AB1974" s="10"/>
      <c r="AC1974" s="10"/>
      <c r="AD1974" s="10"/>
      <c r="AE1974" s="10"/>
      <c r="AF1974" s="10"/>
    </row>
    <row r="1975">
      <c r="A1975" s="7"/>
      <c r="B1975" s="26">
        <v>164.0</v>
      </c>
      <c r="C1975" s="27">
        <v>40.0</v>
      </c>
      <c r="D1975" s="8" t="s">
        <v>2708</v>
      </c>
      <c r="E1975" s="7">
        <v>0.0</v>
      </c>
      <c r="F1975" s="33" t="s">
        <v>2696</v>
      </c>
      <c r="G1975" s="7" t="s">
        <v>313</v>
      </c>
      <c r="H1975" s="7" t="s">
        <v>312</v>
      </c>
      <c r="I1975" s="7" t="s">
        <v>366</v>
      </c>
      <c r="J1975" s="16" t="s">
        <v>2697</v>
      </c>
      <c r="K1975" s="20" t="s">
        <v>2698</v>
      </c>
      <c r="L1975" s="12"/>
      <c r="M1975" s="10"/>
      <c r="N1975" s="10"/>
      <c r="O1975" s="10"/>
      <c r="P1975" s="10"/>
      <c r="Q1975" s="10"/>
      <c r="R1975" s="10"/>
      <c r="S1975" s="10"/>
      <c r="T1975" s="10"/>
      <c r="U1975" s="10"/>
      <c r="V1975" s="10"/>
      <c r="W1975" s="10"/>
      <c r="X1975" s="10"/>
      <c r="Y1975" s="10"/>
      <c r="Z1975" s="10"/>
      <c r="AA1975" s="10"/>
      <c r="AB1975" s="10"/>
      <c r="AC1975" s="10"/>
      <c r="AD1975" s="10"/>
      <c r="AE1975" s="10"/>
      <c r="AF1975" s="10"/>
    </row>
    <row r="1976">
      <c r="A1976" s="7"/>
      <c r="B1976" s="26">
        <v>164.0</v>
      </c>
      <c r="C1976" s="27">
        <v>41.0</v>
      </c>
      <c r="D1976" s="8" t="s">
        <v>2709</v>
      </c>
      <c r="E1976" s="7">
        <v>0.0</v>
      </c>
      <c r="F1976" s="7"/>
      <c r="G1976" s="7" t="s">
        <v>313</v>
      </c>
      <c r="H1976" s="7" t="s">
        <v>312</v>
      </c>
      <c r="I1976" s="7"/>
      <c r="J1976" s="11"/>
      <c r="K1976" s="12"/>
      <c r="L1976" s="12"/>
      <c r="M1976" s="10"/>
      <c r="N1976" s="10"/>
      <c r="O1976" s="10"/>
      <c r="P1976" s="10"/>
      <c r="Q1976" s="10"/>
      <c r="R1976" s="10"/>
      <c r="S1976" s="10"/>
      <c r="T1976" s="10"/>
      <c r="U1976" s="10"/>
      <c r="V1976" s="10"/>
      <c r="W1976" s="10"/>
      <c r="X1976" s="10"/>
      <c r="Y1976" s="10"/>
      <c r="Z1976" s="10"/>
      <c r="AA1976" s="10"/>
      <c r="AB1976" s="10"/>
      <c r="AC1976" s="10"/>
      <c r="AD1976" s="10"/>
      <c r="AE1976" s="10"/>
      <c r="AF1976" s="10"/>
    </row>
    <row r="1977">
      <c r="A1977" s="7"/>
      <c r="B1977" s="26">
        <v>164.0</v>
      </c>
      <c r="C1977" s="27">
        <v>42.0</v>
      </c>
      <c r="D1977" s="8" t="s">
        <v>2710</v>
      </c>
      <c r="E1977" s="7">
        <v>0.0</v>
      </c>
      <c r="F1977" s="7"/>
      <c r="G1977" s="7" t="s">
        <v>313</v>
      </c>
      <c r="H1977" s="7" t="s">
        <v>312</v>
      </c>
      <c r="I1977" s="7"/>
      <c r="J1977" s="11"/>
      <c r="K1977" s="12"/>
      <c r="L1977" s="14" t="s">
        <v>2701</v>
      </c>
      <c r="M1977" s="10"/>
      <c r="N1977" s="10"/>
      <c r="O1977" s="10"/>
      <c r="P1977" s="10"/>
      <c r="Q1977" s="10"/>
      <c r="R1977" s="10"/>
      <c r="S1977" s="10"/>
      <c r="T1977" s="10"/>
      <c r="U1977" s="10"/>
      <c r="V1977" s="10"/>
      <c r="W1977" s="10"/>
      <c r="X1977" s="10"/>
      <c r="Y1977" s="10"/>
      <c r="Z1977" s="10"/>
      <c r="AA1977" s="10"/>
      <c r="AB1977" s="10"/>
      <c r="AC1977" s="10"/>
      <c r="AD1977" s="10"/>
      <c r="AE1977" s="10"/>
      <c r="AF1977" s="10"/>
    </row>
    <row r="1978">
      <c r="A1978" s="7"/>
      <c r="B1978" s="26">
        <v>164.0</v>
      </c>
      <c r="C1978" s="27">
        <v>43.0</v>
      </c>
      <c r="D1978" s="8" t="s">
        <v>2711</v>
      </c>
      <c r="E1978" s="7">
        <v>1.0</v>
      </c>
      <c r="F1978" s="7"/>
      <c r="G1978" s="7" t="s">
        <v>313</v>
      </c>
      <c r="H1978" s="7" t="s">
        <v>312</v>
      </c>
      <c r="I1978" s="7"/>
      <c r="J1978" s="11"/>
      <c r="K1978" s="12"/>
      <c r="L1978" s="12"/>
      <c r="M1978" s="10"/>
      <c r="N1978" s="10"/>
      <c r="O1978" s="10"/>
      <c r="P1978" s="10"/>
      <c r="Q1978" s="10"/>
      <c r="R1978" s="10"/>
      <c r="S1978" s="10"/>
      <c r="T1978" s="10"/>
      <c r="U1978" s="10"/>
      <c r="V1978" s="10"/>
      <c r="W1978" s="10"/>
      <c r="X1978" s="10"/>
      <c r="Y1978" s="10"/>
      <c r="Z1978" s="10"/>
      <c r="AA1978" s="10"/>
      <c r="AB1978" s="10"/>
      <c r="AC1978" s="10"/>
      <c r="AD1978" s="10"/>
      <c r="AE1978" s="10"/>
      <c r="AF1978" s="10"/>
    </row>
    <row r="1979">
      <c r="A1979" s="7"/>
      <c r="B1979" s="26">
        <v>164.0</v>
      </c>
      <c r="C1979" s="27">
        <v>44.0</v>
      </c>
      <c r="D1979" s="8" t="s">
        <v>2712</v>
      </c>
      <c r="E1979" s="7">
        <v>1.0</v>
      </c>
      <c r="F1979" s="7"/>
      <c r="G1979" s="7" t="s">
        <v>313</v>
      </c>
      <c r="H1979" s="7" t="s">
        <v>312</v>
      </c>
      <c r="I1979" s="7"/>
      <c r="J1979" s="11"/>
      <c r="K1979" s="12"/>
      <c r="L1979" s="12"/>
      <c r="M1979" s="10"/>
      <c r="N1979" s="10"/>
      <c r="O1979" s="10"/>
      <c r="P1979" s="10"/>
      <c r="Q1979" s="10"/>
      <c r="R1979" s="10"/>
      <c r="S1979" s="10"/>
      <c r="T1979" s="10"/>
      <c r="U1979" s="10"/>
      <c r="V1979" s="10"/>
      <c r="W1979" s="10"/>
      <c r="X1979" s="10"/>
      <c r="Y1979" s="10"/>
      <c r="Z1979" s="10"/>
      <c r="AA1979" s="10"/>
      <c r="AB1979" s="10"/>
      <c r="AC1979" s="10"/>
      <c r="AD1979" s="10"/>
      <c r="AE1979" s="10"/>
      <c r="AF1979" s="10"/>
    </row>
    <row r="1980">
      <c r="A1980" s="7"/>
      <c r="B1980" s="26">
        <v>164.0</v>
      </c>
      <c r="C1980" s="27">
        <v>45.0</v>
      </c>
      <c r="D1980" s="8" t="s">
        <v>2713</v>
      </c>
      <c r="E1980" s="7">
        <v>1.0</v>
      </c>
      <c r="F1980" s="7"/>
      <c r="G1980" s="7" t="s">
        <v>313</v>
      </c>
      <c r="H1980" s="7" t="s">
        <v>312</v>
      </c>
      <c r="I1980" s="7"/>
      <c r="J1980" s="11"/>
      <c r="K1980" s="12"/>
      <c r="L1980" s="12"/>
      <c r="M1980" s="10"/>
      <c r="N1980" s="10"/>
      <c r="O1980" s="10"/>
      <c r="P1980" s="10"/>
      <c r="Q1980" s="10"/>
      <c r="R1980" s="10"/>
      <c r="S1980" s="10"/>
      <c r="T1980" s="10"/>
      <c r="U1980" s="10"/>
      <c r="V1980" s="10"/>
      <c r="W1980" s="10"/>
      <c r="X1980" s="10"/>
      <c r="Y1980" s="10"/>
      <c r="Z1980" s="10"/>
      <c r="AA1980" s="10"/>
      <c r="AB1980" s="10"/>
      <c r="AC1980" s="10"/>
      <c r="AD1980" s="10"/>
      <c r="AE1980" s="10"/>
      <c r="AF1980" s="10"/>
    </row>
    <row r="1981">
      <c r="A1981" s="7"/>
      <c r="B1981" s="26">
        <v>164.0</v>
      </c>
      <c r="C1981" s="27">
        <v>46.0</v>
      </c>
      <c r="D1981" s="8" t="s">
        <v>2714</v>
      </c>
      <c r="E1981" s="7">
        <v>0.0</v>
      </c>
      <c r="F1981" s="7"/>
      <c r="G1981" s="7" t="s">
        <v>313</v>
      </c>
      <c r="H1981" s="7" t="s">
        <v>312</v>
      </c>
      <c r="I1981" s="7"/>
      <c r="J1981" s="11"/>
      <c r="K1981" s="12"/>
      <c r="L1981" s="12"/>
      <c r="M1981" s="10"/>
      <c r="N1981" s="10"/>
      <c r="O1981" s="10"/>
      <c r="P1981" s="10"/>
      <c r="Q1981" s="10"/>
      <c r="R1981" s="10"/>
      <c r="S1981" s="10"/>
      <c r="T1981" s="10"/>
      <c r="U1981" s="10"/>
      <c r="V1981" s="10"/>
      <c r="W1981" s="10"/>
      <c r="X1981" s="10"/>
      <c r="Y1981" s="10"/>
      <c r="Z1981" s="10"/>
      <c r="AA1981" s="10"/>
      <c r="AB1981" s="10"/>
      <c r="AC1981" s="10"/>
      <c r="AD1981" s="10"/>
      <c r="AE1981" s="10"/>
      <c r="AF1981" s="10"/>
    </row>
    <row r="1982">
      <c r="A1982" s="7"/>
      <c r="B1982" s="26">
        <v>164.0</v>
      </c>
      <c r="C1982" s="27">
        <v>47.0</v>
      </c>
      <c r="D1982" s="8" t="s">
        <v>2715</v>
      </c>
      <c r="E1982" s="7">
        <v>0.0</v>
      </c>
      <c r="F1982" s="7"/>
      <c r="G1982" s="7" t="s">
        <v>313</v>
      </c>
      <c r="H1982" s="7" t="s">
        <v>312</v>
      </c>
      <c r="I1982" s="7"/>
      <c r="J1982" s="11"/>
      <c r="K1982" s="12"/>
      <c r="L1982" s="12"/>
      <c r="M1982" s="10"/>
      <c r="N1982" s="10"/>
      <c r="O1982" s="10"/>
      <c r="P1982" s="10"/>
      <c r="Q1982" s="10"/>
      <c r="R1982" s="10"/>
      <c r="S1982" s="10"/>
      <c r="T1982" s="10"/>
      <c r="U1982" s="10"/>
      <c r="V1982" s="10"/>
      <c r="W1982" s="10"/>
      <c r="X1982" s="10"/>
      <c r="Y1982" s="10"/>
      <c r="Z1982" s="10"/>
      <c r="AA1982" s="10"/>
      <c r="AB1982" s="10"/>
      <c r="AC1982" s="10"/>
      <c r="AD1982" s="10"/>
      <c r="AE1982" s="10"/>
      <c r="AF1982" s="10"/>
    </row>
    <row r="1983">
      <c r="A1983" s="7"/>
      <c r="B1983" s="26">
        <v>164.0</v>
      </c>
      <c r="C1983" s="27">
        <v>48.0</v>
      </c>
      <c r="D1983" s="8" t="s">
        <v>2716</v>
      </c>
      <c r="E1983" s="7">
        <v>0.0</v>
      </c>
      <c r="F1983" s="7"/>
      <c r="G1983" s="7" t="s">
        <v>313</v>
      </c>
      <c r="H1983" s="7" t="s">
        <v>312</v>
      </c>
      <c r="I1983" s="7"/>
      <c r="J1983" s="11"/>
      <c r="K1983" s="12"/>
      <c r="L1983" s="12"/>
      <c r="M1983" s="10"/>
      <c r="N1983" s="10"/>
      <c r="O1983" s="10"/>
      <c r="P1983" s="10"/>
      <c r="Q1983" s="10"/>
      <c r="R1983" s="10"/>
      <c r="S1983" s="10"/>
      <c r="T1983" s="10"/>
      <c r="U1983" s="10"/>
      <c r="V1983" s="10"/>
      <c r="W1983" s="10"/>
      <c r="X1983" s="10"/>
      <c r="Y1983" s="10"/>
      <c r="Z1983" s="10"/>
      <c r="AA1983" s="10"/>
      <c r="AB1983" s="10"/>
      <c r="AC1983" s="10"/>
      <c r="AD1983" s="10"/>
      <c r="AE1983" s="10"/>
      <c r="AF1983" s="10"/>
    </row>
    <row r="1984">
      <c r="A1984" s="7"/>
      <c r="B1984" s="26">
        <v>164.0</v>
      </c>
      <c r="C1984" s="27">
        <v>49.0</v>
      </c>
      <c r="D1984" s="8" t="s">
        <v>2717</v>
      </c>
      <c r="E1984" s="7">
        <v>0.0</v>
      </c>
      <c r="F1984" s="7"/>
      <c r="G1984" s="7" t="s">
        <v>313</v>
      </c>
      <c r="H1984" s="7" t="s">
        <v>312</v>
      </c>
      <c r="I1984" s="7"/>
      <c r="J1984" s="11"/>
      <c r="K1984" s="12"/>
      <c r="L1984" s="12"/>
      <c r="M1984" s="10"/>
      <c r="N1984" s="10"/>
      <c r="O1984" s="10"/>
      <c r="P1984" s="10"/>
      <c r="Q1984" s="10"/>
      <c r="R1984" s="10"/>
      <c r="S1984" s="10"/>
      <c r="T1984" s="10"/>
      <c r="U1984" s="10"/>
      <c r="V1984" s="10"/>
      <c r="W1984" s="10"/>
      <c r="X1984" s="10"/>
      <c r="Y1984" s="10"/>
      <c r="Z1984" s="10"/>
      <c r="AA1984" s="10"/>
      <c r="AB1984" s="10"/>
      <c r="AC1984" s="10"/>
      <c r="AD1984" s="10"/>
      <c r="AE1984" s="10"/>
      <c r="AF1984" s="10"/>
    </row>
    <row r="1985">
      <c r="A1985" s="7"/>
      <c r="B1985" s="26">
        <v>164.0</v>
      </c>
      <c r="C1985" s="27">
        <v>50.0</v>
      </c>
      <c r="D1985" s="8" t="s">
        <v>2718</v>
      </c>
      <c r="E1985" s="7">
        <v>0.0</v>
      </c>
      <c r="F1985" s="7"/>
      <c r="G1985" s="7" t="s">
        <v>313</v>
      </c>
      <c r="H1985" s="7" t="s">
        <v>312</v>
      </c>
      <c r="I1985" s="7"/>
      <c r="J1985" s="11"/>
      <c r="K1985" s="12"/>
      <c r="L1985" s="14" t="s">
        <v>2701</v>
      </c>
      <c r="M1985" s="10"/>
      <c r="N1985" s="10"/>
      <c r="O1985" s="10"/>
      <c r="P1985" s="10"/>
      <c r="Q1985" s="10"/>
      <c r="R1985" s="10"/>
      <c r="S1985" s="10"/>
      <c r="T1985" s="10"/>
      <c r="U1985" s="10"/>
      <c r="V1985" s="10"/>
      <c r="W1985" s="10"/>
      <c r="X1985" s="10"/>
      <c r="Y1985" s="10"/>
      <c r="Z1985" s="10"/>
      <c r="AA1985" s="10"/>
      <c r="AB1985" s="10"/>
      <c r="AC1985" s="10"/>
      <c r="AD1985" s="10"/>
      <c r="AE1985" s="10"/>
      <c r="AF1985" s="10"/>
    </row>
    <row r="1986">
      <c r="A1986" s="7"/>
      <c r="B1986" s="26">
        <v>164.0</v>
      </c>
      <c r="C1986" s="27">
        <v>51.0</v>
      </c>
      <c r="D1986" s="8" t="s">
        <v>2719</v>
      </c>
      <c r="E1986" s="7">
        <v>0.0</v>
      </c>
      <c r="F1986" s="7"/>
      <c r="G1986" s="7" t="s">
        <v>313</v>
      </c>
      <c r="H1986" s="7" t="s">
        <v>312</v>
      </c>
      <c r="I1986" s="7"/>
      <c r="J1986" s="11"/>
      <c r="K1986" s="12"/>
      <c r="L1986" s="12"/>
      <c r="M1986" s="10"/>
      <c r="N1986" s="10"/>
      <c r="O1986" s="10"/>
      <c r="P1986" s="10"/>
      <c r="Q1986" s="10"/>
      <c r="R1986" s="10"/>
      <c r="S1986" s="10"/>
      <c r="T1986" s="10"/>
      <c r="U1986" s="10"/>
      <c r="V1986" s="10"/>
      <c r="W1986" s="10"/>
      <c r="X1986" s="10"/>
      <c r="Y1986" s="10"/>
      <c r="Z1986" s="10"/>
      <c r="AA1986" s="10"/>
      <c r="AB1986" s="10"/>
      <c r="AC1986" s="10"/>
      <c r="AD1986" s="10"/>
      <c r="AE1986" s="10"/>
      <c r="AF1986" s="10"/>
    </row>
    <row r="1987">
      <c r="A1987" s="7"/>
      <c r="B1987" s="26">
        <v>164.0</v>
      </c>
      <c r="C1987" s="27">
        <v>52.0</v>
      </c>
      <c r="D1987" s="8" t="s">
        <v>2720</v>
      </c>
      <c r="E1987" s="7">
        <v>0.0</v>
      </c>
      <c r="F1987" s="7"/>
      <c r="G1987" s="7" t="s">
        <v>313</v>
      </c>
      <c r="H1987" s="7" t="s">
        <v>312</v>
      </c>
      <c r="I1987" s="7"/>
      <c r="J1987" s="11"/>
      <c r="K1987" s="12"/>
      <c r="L1987" s="12"/>
      <c r="M1987" s="10"/>
      <c r="N1987" s="10"/>
      <c r="O1987" s="10"/>
      <c r="P1987" s="10"/>
      <c r="Q1987" s="10"/>
      <c r="R1987" s="10"/>
      <c r="S1987" s="10"/>
      <c r="T1987" s="10"/>
      <c r="U1987" s="10"/>
      <c r="V1987" s="10"/>
      <c r="W1987" s="10"/>
      <c r="X1987" s="10"/>
      <c r="Y1987" s="10"/>
      <c r="Z1987" s="10"/>
      <c r="AA1987" s="10"/>
      <c r="AB1987" s="10"/>
      <c r="AC1987" s="10"/>
      <c r="AD1987" s="10"/>
      <c r="AE1987" s="10"/>
      <c r="AF1987" s="10"/>
    </row>
    <row r="1988">
      <c r="A1988" s="7"/>
      <c r="B1988" s="26">
        <v>164.0</v>
      </c>
      <c r="C1988" s="27">
        <v>53.0</v>
      </c>
      <c r="D1988" s="8" t="s">
        <v>2721</v>
      </c>
      <c r="E1988" s="7">
        <v>0.0</v>
      </c>
      <c r="F1988" s="7"/>
      <c r="G1988" s="7" t="s">
        <v>313</v>
      </c>
      <c r="H1988" s="7" t="s">
        <v>312</v>
      </c>
      <c r="I1988" s="7"/>
      <c r="J1988" s="11"/>
      <c r="K1988" s="12"/>
      <c r="L1988" s="12"/>
      <c r="M1988" s="10"/>
      <c r="N1988" s="10"/>
      <c r="O1988" s="10"/>
      <c r="P1988" s="10"/>
      <c r="Q1988" s="10"/>
      <c r="R1988" s="10"/>
      <c r="S1988" s="10"/>
      <c r="T1988" s="10"/>
      <c r="U1988" s="10"/>
      <c r="V1988" s="10"/>
      <c r="W1988" s="10"/>
      <c r="X1988" s="10"/>
      <c r="Y1988" s="10"/>
      <c r="Z1988" s="10"/>
      <c r="AA1988" s="10"/>
      <c r="AB1988" s="10"/>
      <c r="AC1988" s="10"/>
      <c r="AD1988" s="10"/>
      <c r="AE1988" s="10"/>
      <c r="AF1988" s="10"/>
    </row>
    <row r="1989">
      <c r="A1989" s="7"/>
      <c r="B1989" s="26">
        <v>164.0</v>
      </c>
      <c r="C1989" s="27">
        <v>54.0</v>
      </c>
      <c r="D1989" s="8" t="s">
        <v>2722</v>
      </c>
      <c r="E1989" s="7">
        <v>0.0</v>
      </c>
      <c r="F1989" s="7"/>
      <c r="G1989" s="7" t="s">
        <v>313</v>
      </c>
      <c r="H1989" s="7" t="s">
        <v>312</v>
      </c>
      <c r="I1989" s="7"/>
      <c r="J1989" s="11"/>
      <c r="K1989" s="12"/>
      <c r="L1989" s="12"/>
      <c r="M1989" s="10"/>
      <c r="N1989" s="10"/>
      <c r="O1989" s="10"/>
      <c r="P1989" s="10"/>
      <c r="Q1989" s="10"/>
      <c r="R1989" s="10"/>
      <c r="S1989" s="10"/>
      <c r="T1989" s="10"/>
      <c r="U1989" s="10"/>
      <c r="V1989" s="10"/>
      <c r="W1989" s="10"/>
      <c r="X1989" s="10"/>
      <c r="Y1989" s="10"/>
      <c r="Z1989" s="10"/>
      <c r="AA1989" s="10"/>
      <c r="AB1989" s="10"/>
      <c r="AC1989" s="10"/>
      <c r="AD1989" s="10"/>
      <c r="AE1989" s="10"/>
      <c r="AF1989" s="10"/>
    </row>
    <row r="1990">
      <c r="A1990" s="7"/>
      <c r="B1990" s="26">
        <v>164.0</v>
      </c>
      <c r="C1990" s="27">
        <v>55.0</v>
      </c>
      <c r="D1990" s="8" t="s">
        <v>2723</v>
      </c>
      <c r="E1990" s="7">
        <v>0.0</v>
      </c>
      <c r="F1990" s="33" t="s">
        <v>2696</v>
      </c>
      <c r="G1990" s="7" t="s">
        <v>313</v>
      </c>
      <c r="H1990" s="7" t="s">
        <v>312</v>
      </c>
      <c r="I1990" s="7" t="s">
        <v>366</v>
      </c>
      <c r="J1990" s="16" t="s">
        <v>2697</v>
      </c>
      <c r="K1990" s="20" t="s">
        <v>2698</v>
      </c>
      <c r="L1990" s="12"/>
      <c r="M1990" s="10"/>
      <c r="N1990" s="10"/>
      <c r="O1990" s="10"/>
      <c r="P1990" s="10"/>
      <c r="Q1990" s="10"/>
      <c r="R1990" s="10"/>
      <c r="S1990" s="10"/>
      <c r="T1990" s="10"/>
      <c r="U1990" s="10"/>
      <c r="V1990" s="10"/>
      <c r="W1990" s="10"/>
      <c r="X1990" s="10"/>
      <c r="Y1990" s="10"/>
      <c r="Z1990" s="10"/>
      <c r="AA1990" s="10"/>
      <c r="AB1990" s="10"/>
      <c r="AC1990" s="10"/>
      <c r="AD1990" s="10"/>
      <c r="AE1990" s="10"/>
      <c r="AF1990" s="10"/>
    </row>
    <row r="1991">
      <c r="A1991" s="7"/>
      <c r="B1991" s="26">
        <v>164.0</v>
      </c>
      <c r="C1991" s="27">
        <v>56.0</v>
      </c>
      <c r="D1991" s="8" t="s">
        <v>2724</v>
      </c>
      <c r="E1991" s="7">
        <v>0.0</v>
      </c>
      <c r="F1991" s="7"/>
      <c r="G1991" s="7" t="s">
        <v>313</v>
      </c>
      <c r="H1991" s="7" t="s">
        <v>312</v>
      </c>
      <c r="I1991" s="7"/>
      <c r="J1991" s="11"/>
      <c r="K1991" s="12"/>
      <c r="L1991" s="12"/>
      <c r="M1991" s="10"/>
      <c r="N1991" s="10"/>
      <c r="O1991" s="10"/>
      <c r="P1991" s="10"/>
      <c r="Q1991" s="10"/>
      <c r="R1991" s="10"/>
      <c r="S1991" s="10"/>
      <c r="T1991" s="10"/>
      <c r="U1991" s="10"/>
      <c r="V1991" s="10"/>
      <c r="W1991" s="10"/>
      <c r="X1991" s="10"/>
      <c r="Y1991" s="10"/>
      <c r="Z1991" s="10"/>
      <c r="AA1991" s="10"/>
      <c r="AB1991" s="10"/>
      <c r="AC1991" s="10"/>
      <c r="AD1991" s="10"/>
      <c r="AE1991" s="10"/>
      <c r="AF1991" s="10"/>
    </row>
    <row r="1992">
      <c r="A1992" s="7"/>
      <c r="B1992" s="26">
        <v>164.0</v>
      </c>
      <c r="C1992" s="27">
        <v>57.0</v>
      </c>
      <c r="D1992" s="8" t="s">
        <v>2725</v>
      </c>
      <c r="E1992" s="7">
        <v>0.0</v>
      </c>
      <c r="F1992" s="7"/>
      <c r="G1992" s="7" t="s">
        <v>313</v>
      </c>
      <c r="H1992" s="7" t="s">
        <v>312</v>
      </c>
      <c r="I1992" s="7"/>
      <c r="J1992" s="11"/>
      <c r="K1992" s="12"/>
      <c r="L1992" s="14" t="s">
        <v>2701</v>
      </c>
      <c r="M1992" s="10"/>
      <c r="N1992" s="10"/>
      <c r="O1992" s="10"/>
      <c r="P1992" s="10"/>
      <c r="Q1992" s="10"/>
      <c r="R1992" s="10"/>
      <c r="S1992" s="10"/>
      <c r="T1992" s="10"/>
      <c r="U1992" s="10"/>
      <c r="V1992" s="10"/>
      <c r="W1992" s="10"/>
      <c r="X1992" s="10"/>
      <c r="Y1992" s="10"/>
      <c r="Z1992" s="10"/>
      <c r="AA1992" s="10"/>
      <c r="AB1992" s="10"/>
      <c r="AC1992" s="10"/>
      <c r="AD1992" s="10"/>
      <c r="AE1992" s="10"/>
      <c r="AF1992" s="10"/>
    </row>
    <row r="1993">
      <c r="A1993" s="7"/>
      <c r="B1993" s="26">
        <v>164.0</v>
      </c>
      <c r="C1993" s="27">
        <v>58.0</v>
      </c>
      <c r="D1993" s="8" t="s">
        <v>2726</v>
      </c>
      <c r="E1993" s="7">
        <v>0.0</v>
      </c>
      <c r="F1993" s="7"/>
      <c r="G1993" s="7" t="s">
        <v>313</v>
      </c>
      <c r="H1993" s="7" t="s">
        <v>312</v>
      </c>
      <c r="I1993" s="7"/>
      <c r="J1993" s="11"/>
      <c r="K1993" s="12"/>
      <c r="L1993" s="12"/>
      <c r="M1993" s="10"/>
      <c r="N1993" s="10"/>
      <c r="O1993" s="10"/>
      <c r="P1993" s="10"/>
      <c r="Q1993" s="10"/>
      <c r="R1993" s="10"/>
      <c r="S1993" s="10"/>
      <c r="T1993" s="10"/>
      <c r="U1993" s="10"/>
      <c r="V1993" s="10"/>
      <c r="W1993" s="10"/>
      <c r="X1993" s="10"/>
      <c r="Y1993" s="10"/>
      <c r="Z1993" s="10"/>
      <c r="AA1993" s="10"/>
      <c r="AB1993" s="10"/>
      <c r="AC1993" s="10"/>
      <c r="AD1993" s="10"/>
      <c r="AE1993" s="10"/>
      <c r="AF1993" s="10"/>
    </row>
    <row r="1994">
      <c r="A1994" s="7"/>
      <c r="B1994" s="26">
        <v>164.0</v>
      </c>
      <c r="C1994" s="27">
        <v>59.0</v>
      </c>
      <c r="D1994" s="8" t="s">
        <v>2727</v>
      </c>
      <c r="E1994" s="7">
        <v>0.0</v>
      </c>
      <c r="F1994" s="7"/>
      <c r="G1994" s="7" t="s">
        <v>313</v>
      </c>
      <c r="H1994" s="7" t="s">
        <v>312</v>
      </c>
      <c r="I1994" s="7"/>
      <c r="J1994" s="11"/>
      <c r="K1994" s="12"/>
      <c r="L1994" s="12"/>
      <c r="M1994" s="10"/>
      <c r="N1994" s="10"/>
      <c r="O1994" s="10"/>
      <c r="P1994" s="10"/>
      <c r="Q1994" s="10"/>
      <c r="R1994" s="10"/>
      <c r="S1994" s="10"/>
      <c r="T1994" s="10"/>
      <c r="U1994" s="10"/>
      <c r="V1994" s="10"/>
      <c r="W1994" s="10"/>
      <c r="X1994" s="10"/>
      <c r="Y1994" s="10"/>
      <c r="Z1994" s="10"/>
      <c r="AA1994" s="10"/>
      <c r="AB1994" s="10"/>
      <c r="AC1994" s="10"/>
      <c r="AD1994" s="10"/>
      <c r="AE1994" s="10"/>
      <c r="AF1994" s="10"/>
    </row>
    <row r="1995">
      <c r="A1995" s="7"/>
      <c r="B1995" s="26">
        <v>164.0</v>
      </c>
      <c r="C1995" s="27">
        <v>60.0</v>
      </c>
      <c r="D1995" s="8" t="s">
        <v>2728</v>
      </c>
      <c r="E1995" s="7">
        <v>0.0</v>
      </c>
      <c r="F1995" s="7"/>
      <c r="G1995" s="7" t="s">
        <v>313</v>
      </c>
      <c r="H1995" s="7" t="s">
        <v>312</v>
      </c>
      <c r="I1995" s="7"/>
      <c r="J1995" s="11"/>
      <c r="K1995" s="12"/>
      <c r="L1995" s="12"/>
      <c r="M1995" s="10"/>
      <c r="N1995" s="10"/>
      <c r="O1995" s="10"/>
      <c r="P1995" s="10"/>
      <c r="Q1995" s="10"/>
      <c r="R1995" s="10"/>
      <c r="S1995" s="10"/>
      <c r="T1995" s="10"/>
      <c r="U1995" s="10"/>
      <c r="V1995" s="10"/>
      <c r="W1995" s="10"/>
      <c r="X1995" s="10"/>
      <c r="Y1995" s="10"/>
      <c r="Z1995" s="10"/>
      <c r="AA1995" s="10"/>
      <c r="AB1995" s="10"/>
      <c r="AC1995" s="10"/>
      <c r="AD1995" s="10"/>
      <c r="AE1995" s="10"/>
      <c r="AF1995" s="10"/>
    </row>
    <row r="1996">
      <c r="A1996" s="7"/>
      <c r="B1996" s="26">
        <v>164.0</v>
      </c>
      <c r="C1996" s="27">
        <v>61.0</v>
      </c>
      <c r="D1996" s="8" t="s">
        <v>2729</v>
      </c>
      <c r="E1996" s="7">
        <v>0.0</v>
      </c>
      <c r="F1996" s="33" t="s">
        <v>2696</v>
      </c>
      <c r="G1996" s="7" t="s">
        <v>313</v>
      </c>
      <c r="H1996" s="7" t="s">
        <v>312</v>
      </c>
      <c r="I1996" s="7" t="s">
        <v>366</v>
      </c>
      <c r="J1996" s="16" t="s">
        <v>2697</v>
      </c>
      <c r="K1996" s="20" t="s">
        <v>2698</v>
      </c>
      <c r="L1996" s="12"/>
      <c r="M1996" s="10"/>
      <c r="N1996" s="10"/>
      <c r="O1996" s="10"/>
      <c r="P1996" s="10"/>
      <c r="Q1996" s="10"/>
      <c r="R1996" s="10"/>
      <c r="S1996" s="10"/>
      <c r="T1996" s="10"/>
      <c r="U1996" s="10"/>
      <c r="V1996" s="10"/>
      <c r="W1996" s="10"/>
      <c r="X1996" s="10"/>
      <c r="Y1996" s="10"/>
      <c r="Z1996" s="10"/>
      <c r="AA1996" s="10"/>
      <c r="AB1996" s="10"/>
      <c r="AC1996" s="10"/>
      <c r="AD1996" s="10"/>
      <c r="AE1996" s="10"/>
      <c r="AF1996" s="10"/>
    </row>
    <row r="1997">
      <c r="A1997" s="7"/>
      <c r="B1997" s="26">
        <v>164.0</v>
      </c>
      <c r="C1997" s="27">
        <v>62.0</v>
      </c>
      <c r="D1997" s="8" t="s">
        <v>2730</v>
      </c>
      <c r="E1997" s="7">
        <v>0.0</v>
      </c>
      <c r="F1997" s="7"/>
      <c r="G1997" s="7" t="s">
        <v>313</v>
      </c>
      <c r="H1997" s="7" t="s">
        <v>312</v>
      </c>
      <c r="I1997" s="7"/>
      <c r="J1997" s="11"/>
      <c r="K1997" s="12"/>
      <c r="L1997" s="12"/>
      <c r="M1997" s="10"/>
      <c r="N1997" s="10"/>
      <c r="O1997" s="10"/>
      <c r="P1997" s="10"/>
      <c r="Q1997" s="10"/>
      <c r="R1997" s="10"/>
      <c r="S1997" s="10"/>
      <c r="T1997" s="10"/>
      <c r="U1997" s="10"/>
      <c r="V1997" s="10"/>
      <c r="W1997" s="10"/>
      <c r="X1997" s="10"/>
      <c r="Y1997" s="10"/>
      <c r="Z1997" s="10"/>
      <c r="AA1997" s="10"/>
      <c r="AB1997" s="10"/>
      <c r="AC1997" s="10"/>
      <c r="AD1997" s="10"/>
      <c r="AE1997" s="10"/>
      <c r="AF1997" s="10"/>
    </row>
    <row r="1998">
      <c r="A1998" s="7"/>
      <c r="B1998" s="26">
        <v>164.0</v>
      </c>
      <c r="C1998" s="27">
        <v>63.0</v>
      </c>
      <c r="D1998" s="8" t="s">
        <v>2731</v>
      </c>
      <c r="E1998" s="7">
        <v>0.0</v>
      </c>
      <c r="F1998" s="7"/>
      <c r="G1998" s="7" t="s">
        <v>313</v>
      </c>
      <c r="H1998" s="7" t="s">
        <v>312</v>
      </c>
      <c r="I1998" s="7"/>
      <c r="J1998" s="11"/>
      <c r="K1998" s="12"/>
      <c r="L1998" s="14" t="s">
        <v>2701</v>
      </c>
      <c r="M1998" s="10"/>
      <c r="N1998" s="10"/>
      <c r="O1998" s="10"/>
      <c r="P1998" s="10"/>
      <c r="Q1998" s="10"/>
      <c r="R1998" s="10"/>
      <c r="S1998" s="10"/>
      <c r="T1998" s="10"/>
      <c r="U1998" s="10"/>
      <c r="V1998" s="10"/>
      <c r="W1998" s="10"/>
      <c r="X1998" s="10"/>
      <c r="Y1998" s="10"/>
      <c r="Z1998" s="10"/>
      <c r="AA1998" s="10"/>
      <c r="AB1998" s="10"/>
      <c r="AC1998" s="10"/>
      <c r="AD1998" s="10"/>
      <c r="AE1998" s="10"/>
      <c r="AF1998" s="10"/>
    </row>
    <row r="1999">
      <c r="A1999" s="7"/>
      <c r="B1999" s="26">
        <v>164.0</v>
      </c>
      <c r="C1999" s="27">
        <v>64.0</v>
      </c>
      <c r="D1999" s="8" t="s">
        <v>2732</v>
      </c>
      <c r="E1999" s="7">
        <v>0.0</v>
      </c>
      <c r="F1999" s="7"/>
      <c r="G1999" s="7" t="s">
        <v>313</v>
      </c>
      <c r="H1999" s="7" t="s">
        <v>312</v>
      </c>
      <c r="I1999" s="7"/>
      <c r="J1999" s="11"/>
      <c r="K1999" s="12"/>
      <c r="L1999" s="12"/>
      <c r="M1999" s="10"/>
      <c r="N1999" s="10"/>
      <c r="O1999" s="10"/>
      <c r="P1999" s="10"/>
      <c r="Q1999" s="10"/>
      <c r="R1999" s="10"/>
      <c r="S1999" s="10"/>
      <c r="T1999" s="10"/>
      <c r="U1999" s="10"/>
      <c r="V1999" s="10"/>
      <c r="W1999" s="10"/>
      <c r="X1999" s="10"/>
      <c r="Y1999" s="10"/>
      <c r="Z1999" s="10"/>
      <c r="AA1999" s="10"/>
      <c r="AB1999" s="10"/>
      <c r="AC1999" s="10"/>
      <c r="AD1999" s="10"/>
      <c r="AE1999" s="10"/>
      <c r="AF1999" s="10"/>
    </row>
    <row r="2000">
      <c r="A2000" s="7"/>
      <c r="B2000" s="26">
        <v>164.0</v>
      </c>
      <c r="C2000" s="27">
        <v>65.0</v>
      </c>
      <c r="D2000" s="8" t="s">
        <v>2733</v>
      </c>
      <c r="E2000" s="7">
        <v>0.0</v>
      </c>
      <c r="F2000" s="7"/>
      <c r="G2000" s="7" t="s">
        <v>313</v>
      </c>
      <c r="H2000" s="7" t="s">
        <v>312</v>
      </c>
      <c r="I2000" s="7"/>
      <c r="J2000" s="11"/>
      <c r="K2000" s="12"/>
      <c r="L2000" s="12"/>
      <c r="M2000" s="10"/>
      <c r="N2000" s="10"/>
      <c r="O2000" s="10"/>
      <c r="P2000" s="10"/>
      <c r="Q2000" s="10"/>
      <c r="R2000" s="10"/>
      <c r="S2000" s="10"/>
      <c r="T2000" s="10"/>
      <c r="U2000" s="10"/>
      <c r="V2000" s="10"/>
      <c r="W2000" s="10"/>
      <c r="X2000" s="10"/>
      <c r="Y2000" s="10"/>
      <c r="Z2000" s="10"/>
      <c r="AA2000" s="10"/>
      <c r="AB2000" s="10"/>
      <c r="AC2000" s="10"/>
      <c r="AD2000" s="10"/>
      <c r="AE2000" s="10"/>
      <c r="AF2000" s="10"/>
    </row>
    <row r="2001">
      <c r="A2001" s="7"/>
      <c r="B2001" s="26">
        <v>164.0</v>
      </c>
      <c r="C2001" s="27">
        <v>66.0</v>
      </c>
      <c r="D2001" s="8" t="s">
        <v>2734</v>
      </c>
      <c r="E2001" s="7">
        <v>0.0</v>
      </c>
      <c r="F2001" s="33" t="s">
        <v>2696</v>
      </c>
      <c r="G2001" s="7" t="s">
        <v>313</v>
      </c>
      <c r="H2001" s="7" t="s">
        <v>312</v>
      </c>
      <c r="I2001" s="7" t="s">
        <v>366</v>
      </c>
      <c r="J2001" s="16" t="s">
        <v>2697</v>
      </c>
      <c r="K2001" s="20" t="s">
        <v>2698</v>
      </c>
      <c r="L2001" s="12"/>
      <c r="M2001" s="10"/>
      <c r="N2001" s="10"/>
      <c r="O2001" s="10"/>
      <c r="P2001" s="10"/>
      <c r="Q2001" s="10"/>
      <c r="R2001" s="10"/>
      <c r="S2001" s="10"/>
      <c r="T2001" s="10"/>
      <c r="U2001" s="10"/>
      <c r="V2001" s="10"/>
      <c r="W2001" s="10"/>
      <c r="X2001" s="10"/>
      <c r="Y2001" s="10"/>
      <c r="Z2001" s="10"/>
      <c r="AA2001" s="10"/>
      <c r="AB2001" s="10"/>
      <c r="AC2001" s="10"/>
      <c r="AD2001" s="10"/>
      <c r="AE2001" s="10"/>
      <c r="AF2001" s="10"/>
    </row>
    <row r="2002">
      <c r="A2002" s="7"/>
      <c r="B2002" s="26">
        <v>164.0</v>
      </c>
      <c r="C2002" s="27">
        <v>67.0</v>
      </c>
      <c r="D2002" s="8" t="s">
        <v>2735</v>
      </c>
      <c r="E2002" s="7">
        <v>0.0</v>
      </c>
      <c r="F2002" s="7"/>
      <c r="G2002" s="7" t="s">
        <v>313</v>
      </c>
      <c r="H2002" s="7" t="s">
        <v>312</v>
      </c>
      <c r="I2002" s="7"/>
      <c r="J2002" s="11"/>
      <c r="K2002" s="12"/>
      <c r="L2002" s="12"/>
      <c r="M2002" s="10"/>
      <c r="N2002" s="10"/>
      <c r="O2002" s="10"/>
      <c r="P2002" s="10"/>
      <c r="Q2002" s="10"/>
      <c r="R2002" s="10"/>
      <c r="S2002" s="10"/>
      <c r="T2002" s="10"/>
      <c r="U2002" s="10"/>
      <c r="V2002" s="10"/>
      <c r="W2002" s="10"/>
      <c r="X2002" s="10"/>
      <c r="Y2002" s="10"/>
      <c r="Z2002" s="10"/>
      <c r="AA2002" s="10"/>
      <c r="AB2002" s="10"/>
      <c r="AC2002" s="10"/>
      <c r="AD2002" s="10"/>
      <c r="AE2002" s="10"/>
      <c r="AF2002" s="10"/>
    </row>
    <row r="2003">
      <c r="A2003" s="7"/>
      <c r="B2003" s="26">
        <v>164.0</v>
      </c>
      <c r="C2003" s="27">
        <v>68.0</v>
      </c>
      <c r="D2003" s="8" t="s">
        <v>2736</v>
      </c>
      <c r="E2003" s="7">
        <v>0.0</v>
      </c>
      <c r="F2003" s="7"/>
      <c r="G2003" s="7" t="s">
        <v>313</v>
      </c>
      <c r="H2003" s="7" t="s">
        <v>312</v>
      </c>
      <c r="I2003" s="7"/>
      <c r="J2003" s="11"/>
      <c r="K2003" s="12"/>
      <c r="L2003" s="14" t="s">
        <v>2701</v>
      </c>
      <c r="M2003" s="10"/>
      <c r="N2003" s="10"/>
      <c r="O2003" s="10"/>
      <c r="P2003" s="10"/>
      <c r="Q2003" s="10"/>
      <c r="R2003" s="10"/>
      <c r="S2003" s="10"/>
      <c r="T2003" s="10"/>
      <c r="U2003" s="10"/>
      <c r="V2003" s="10"/>
      <c r="W2003" s="10"/>
      <c r="X2003" s="10"/>
      <c r="Y2003" s="10"/>
      <c r="Z2003" s="10"/>
      <c r="AA2003" s="10"/>
      <c r="AB2003" s="10"/>
      <c r="AC2003" s="10"/>
      <c r="AD2003" s="10"/>
      <c r="AE2003" s="10"/>
      <c r="AF2003" s="10"/>
    </row>
    <row r="2004">
      <c r="A2004" s="7"/>
      <c r="B2004" s="26">
        <v>164.0</v>
      </c>
      <c r="C2004" s="27">
        <v>69.0</v>
      </c>
      <c r="D2004" s="8" t="s">
        <v>2737</v>
      </c>
      <c r="E2004" s="7">
        <v>0.0</v>
      </c>
      <c r="F2004" s="7"/>
      <c r="G2004" s="7" t="s">
        <v>313</v>
      </c>
      <c r="H2004" s="7" t="s">
        <v>312</v>
      </c>
      <c r="I2004" s="7"/>
      <c r="J2004" s="11"/>
      <c r="K2004" s="12"/>
      <c r="L2004" s="12"/>
      <c r="M2004" s="10"/>
      <c r="N2004" s="10"/>
      <c r="O2004" s="10"/>
      <c r="P2004" s="10"/>
      <c r="Q2004" s="10"/>
      <c r="R2004" s="10"/>
      <c r="S2004" s="10"/>
      <c r="T2004" s="10"/>
      <c r="U2004" s="10"/>
      <c r="V2004" s="10"/>
      <c r="W2004" s="10"/>
      <c r="X2004" s="10"/>
      <c r="Y2004" s="10"/>
      <c r="Z2004" s="10"/>
      <c r="AA2004" s="10"/>
      <c r="AB2004" s="10"/>
      <c r="AC2004" s="10"/>
      <c r="AD2004" s="10"/>
      <c r="AE2004" s="10"/>
      <c r="AF2004" s="10"/>
    </row>
    <row r="2005">
      <c r="A2005" s="7"/>
      <c r="B2005" s="26">
        <v>164.0</v>
      </c>
      <c r="C2005" s="27">
        <v>70.0</v>
      </c>
      <c r="D2005" s="8" t="s">
        <v>2738</v>
      </c>
      <c r="E2005" s="7">
        <v>2.0</v>
      </c>
      <c r="F2005" s="7" t="s">
        <v>320</v>
      </c>
      <c r="G2005" s="7" t="s">
        <v>313</v>
      </c>
      <c r="H2005" s="7" t="s">
        <v>312</v>
      </c>
      <c r="I2005" s="7"/>
      <c r="J2005" s="11"/>
      <c r="K2005" s="20" t="s">
        <v>2698</v>
      </c>
      <c r="L2005" s="12"/>
      <c r="M2005" s="10"/>
      <c r="N2005" s="10"/>
      <c r="O2005" s="10"/>
      <c r="P2005" s="10"/>
      <c r="Q2005" s="10"/>
      <c r="R2005" s="10"/>
      <c r="S2005" s="10"/>
      <c r="T2005" s="10"/>
      <c r="U2005" s="10"/>
      <c r="V2005" s="10"/>
      <c r="W2005" s="10"/>
      <c r="X2005" s="10"/>
      <c r="Y2005" s="10"/>
      <c r="Z2005" s="10"/>
      <c r="AA2005" s="10"/>
      <c r="AB2005" s="10"/>
      <c r="AC2005" s="10"/>
      <c r="AD2005" s="10"/>
      <c r="AE2005" s="10"/>
      <c r="AF2005" s="10"/>
    </row>
    <row r="2006">
      <c r="A2006" s="7"/>
      <c r="B2006" s="26">
        <v>164.0</v>
      </c>
      <c r="C2006" s="27">
        <v>71.0</v>
      </c>
      <c r="D2006" s="8" t="s">
        <v>2739</v>
      </c>
      <c r="E2006" s="7">
        <v>2.0</v>
      </c>
      <c r="F2006" s="7" t="s">
        <v>320</v>
      </c>
      <c r="G2006" s="7" t="s">
        <v>313</v>
      </c>
      <c r="H2006" s="7" t="s">
        <v>312</v>
      </c>
      <c r="I2006" s="7"/>
      <c r="J2006" s="11"/>
      <c r="K2006" s="20" t="s">
        <v>2740</v>
      </c>
      <c r="L2006" s="12"/>
      <c r="M2006" s="10"/>
      <c r="N2006" s="10"/>
      <c r="O2006" s="10"/>
      <c r="P2006" s="10"/>
      <c r="Q2006" s="10"/>
      <c r="R2006" s="10"/>
      <c r="S2006" s="10"/>
      <c r="T2006" s="10"/>
      <c r="U2006" s="10"/>
      <c r="V2006" s="10"/>
      <c r="W2006" s="10"/>
      <c r="X2006" s="10"/>
      <c r="Y2006" s="10"/>
      <c r="Z2006" s="10"/>
      <c r="AA2006" s="10"/>
      <c r="AB2006" s="10"/>
      <c r="AC2006" s="10"/>
      <c r="AD2006" s="10"/>
      <c r="AE2006" s="10"/>
      <c r="AF2006" s="10"/>
    </row>
    <row r="2007">
      <c r="A2007" s="7"/>
      <c r="B2007" s="26">
        <v>164.0</v>
      </c>
      <c r="C2007" s="27">
        <v>72.0</v>
      </c>
      <c r="D2007" s="8" t="s">
        <v>2741</v>
      </c>
      <c r="E2007" s="7">
        <v>2.0</v>
      </c>
      <c r="F2007" s="7" t="s">
        <v>320</v>
      </c>
      <c r="G2007" s="7" t="s">
        <v>313</v>
      </c>
      <c r="H2007" s="7" t="s">
        <v>312</v>
      </c>
      <c r="I2007" s="7"/>
      <c r="J2007" s="11"/>
      <c r="K2007" s="20" t="s">
        <v>2742</v>
      </c>
      <c r="L2007" s="14" t="s">
        <v>2701</v>
      </c>
      <c r="M2007" s="10"/>
      <c r="N2007" s="10"/>
      <c r="O2007" s="10"/>
      <c r="P2007" s="10"/>
      <c r="Q2007" s="10"/>
      <c r="R2007" s="10"/>
      <c r="S2007" s="10"/>
      <c r="T2007" s="10"/>
      <c r="U2007" s="10"/>
      <c r="V2007" s="10"/>
      <c r="W2007" s="10"/>
      <c r="X2007" s="10"/>
      <c r="Y2007" s="10"/>
      <c r="Z2007" s="10"/>
      <c r="AA2007" s="10"/>
      <c r="AB2007" s="10"/>
      <c r="AC2007" s="10"/>
      <c r="AD2007" s="10"/>
      <c r="AE2007" s="10"/>
      <c r="AF2007" s="10"/>
    </row>
    <row r="2008">
      <c r="A2008" s="7"/>
      <c r="B2008" s="26">
        <v>164.0</v>
      </c>
      <c r="C2008" s="27">
        <v>73.0</v>
      </c>
      <c r="D2008" s="8" t="s">
        <v>2743</v>
      </c>
      <c r="E2008" s="7">
        <v>2.0</v>
      </c>
      <c r="F2008" s="7" t="s">
        <v>320</v>
      </c>
      <c r="G2008" s="7" t="s">
        <v>313</v>
      </c>
      <c r="H2008" s="7" t="s">
        <v>312</v>
      </c>
      <c r="I2008" s="7"/>
      <c r="J2008" s="11"/>
      <c r="K2008" s="20" t="s">
        <v>2698</v>
      </c>
      <c r="L2008" s="12"/>
      <c r="M2008" s="10"/>
      <c r="N2008" s="10"/>
      <c r="O2008" s="10"/>
      <c r="P2008" s="10"/>
      <c r="Q2008" s="10"/>
      <c r="R2008" s="10"/>
      <c r="S2008" s="10"/>
      <c r="T2008" s="10"/>
      <c r="U2008" s="10"/>
      <c r="V2008" s="10"/>
      <c r="W2008" s="10"/>
      <c r="X2008" s="10"/>
      <c r="Y2008" s="10"/>
      <c r="Z2008" s="10"/>
      <c r="AA2008" s="10"/>
      <c r="AB2008" s="10"/>
      <c r="AC2008" s="10"/>
      <c r="AD2008" s="10"/>
      <c r="AE2008" s="10"/>
      <c r="AF2008" s="10"/>
    </row>
    <row r="2009">
      <c r="A2009" s="7"/>
      <c r="B2009" s="26">
        <v>164.0</v>
      </c>
      <c r="C2009" s="27">
        <v>74.0</v>
      </c>
      <c r="D2009" s="8" t="s">
        <v>2744</v>
      </c>
      <c r="E2009" s="7">
        <v>2.0</v>
      </c>
      <c r="F2009" s="7" t="s">
        <v>320</v>
      </c>
      <c r="G2009" s="7" t="s">
        <v>313</v>
      </c>
      <c r="H2009" s="7" t="s">
        <v>312</v>
      </c>
      <c r="I2009" s="7"/>
      <c r="J2009" s="11"/>
      <c r="K2009" s="20" t="s">
        <v>2740</v>
      </c>
      <c r="L2009" s="12"/>
      <c r="M2009" s="10"/>
      <c r="N2009" s="10"/>
      <c r="O2009" s="10"/>
      <c r="P2009" s="10"/>
      <c r="Q2009" s="10"/>
      <c r="R2009" s="10"/>
      <c r="S2009" s="10"/>
      <c r="T2009" s="10"/>
      <c r="U2009" s="10"/>
      <c r="V2009" s="10"/>
      <c r="W2009" s="10"/>
      <c r="X2009" s="10"/>
      <c r="Y2009" s="10"/>
      <c r="Z2009" s="10"/>
      <c r="AA2009" s="10"/>
      <c r="AB2009" s="10"/>
      <c r="AC2009" s="10"/>
      <c r="AD2009" s="10"/>
      <c r="AE2009" s="10"/>
      <c r="AF2009" s="10"/>
    </row>
    <row r="2010">
      <c r="A2010" s="7"/>
      <c r="B2010" s="26">
        <v>164.0</v>
      </c>
      <c r="C2010" s="27">
        <v>75.0</v>
      </c>
      <c r="D2010" s="8" t="s">
        <v>2745</v>
      </c>
      <c r="E2010" s="7">
        <v>2.0</v>
      </c>
      <c r="F2010" s="7" t="s">
        <v>320</v>
      </c>
      <c r="G2010" s="7" t="s">
        <v>313</v>
      </c>
      <c r="H2010" s="7" t="s">
        <v>312</v>
      </c>
      <c r="I2010" s="7"/>
      <c r="J2010" s="11"/>
      <c r="K2010" s="20" t="s">
        <v>2742</v>
      </c>
      <c r="L2010" s="14" t="s">
        <v>2701</v>
      </c>
      <c r="M2010" s="10"/>
      <c r="N2010" s="10"/>
      <c r="O2010" s="10"/>
      <c r="P2010" s="10"/>
      <c r="Q2010" s="10"/>
      <c r="R2010" s="10"/>
      <c r="S2010" s="10"/>
      <c r="T2010" s="10"/>
      <c r="U2010" s="10"/>
      <c r="V2010" s="10"/>
      <c r="W2010" s="10"/>
      <c r="X2010" s="10"/>
      <c r="Y2010" s="10"/>
      <c r="Z2010" s="10"/>
      <c r="AA2010" s="10"/>
      <c r="AB2010" s="10"/>
      <c r="AC2010" s="10"/>
      <c r="AD2010" s="10"/>
      <c r="AE2010" s="10"/>
      <c r="AF2010" s="10"/>
    </row>
    <row r="2011">
      <c r="A2011" s="7"/>
      <c r="B2011" s="26">
        <v>164.0</v>
      </c>
      <c r="C2011" s="27">
        <v>76.0</v>
      </c>
      <c r="D2011" s="8" t="s">
        <v>2746</v>
      </c>
      <c r="E2011" s="7">
        <v>0.0</v>
      </c>
      <c r="F2011" s="7"/>
      <c r="G2011" s="7" t="s">
        <v>313</v>
      </c>
      <c r="H2011" s="7" t="s">
        <v>312</v>
      </c>
      <c r="I2011" s="7"/>
      <c r="J2011" s="11"/>
      <c r="K2011" s="12"/>
      <c r="L2011" s="12"/>
      <c r="M2011" s="10"/>
      <c r="N2011" s="10"/>
      <c r="O2011" s="10"/>
      <c r="P2011" s="10"/>
      <c r="Q2011" s="10"/>
      <c r="R2011" s="10"/>
      <c r="S2011" s="10"/>
      <c r="T2011" s="10"/>
      <c r="U2011" s="10"/>
      <c r="V2011" s="10"/>
      <c r="W2011" s="10"/>
      <c r="X2011" s="10"/>
      <c r="Y2011" s="10"/>
      <c r="Z2011" s="10"/>
      <c r="AA2011" s="10"/>
      <c r="AB2011" s="10"/>
      <c r="AC2011" s="10"/>
      <c r="AD2011" s="10"/>
      <c r="AE2011" s="10"/>
      <c r="AF2011" s="10"/>
    </row>
    <row r="2012">
      <c r="A2012" s="7"/>
      <c r="B2012" s="26">
        <v>164.0</v>
      </c>
      <c r="C2012" s="27">
        <v>77.0</v>
      </c>
      <c r="D2012" s="8" t="s">
        <v>2747</v>
      </c>
      <c r="E2012" s="7">
        <v>2.0</v>
      </c>
      <c r="F2012" s="7" t="s">
        <v>320</v>
      </c>
      <c r="G2012" s="7" t="s">
        <v>313</v>
      </c>
      <c r="H2012" s="7" t="s">
        <v>312</v>
      </c>
      <c r="I2012" s="7"/>
      <c r="J2012" s="11"/>
      <c r="K2012" s="20" t="s">
        <v>2748</v>
      </c>
      <c r="L2012" s="14" t="s">
        <v>2701</v>
      </c>
      <c r="M2012" s="10"/>
      <c r="N2012" s="10"/>
      <c r="O2012" s="10"/>
      <c r="P2012" s="10"/>
      <c r="Q2012" s="10"/>
      <c r="R2012" s="10"/>
      <c r="S2012" s="10"/>
      <c r="T2012" s="10"/>
      <c r="U2012" s="10"/>
      <c r="V2012" s="10"/>
      <c r="W2012" s="10"/>
      <c r="X2012" s="10"/>
      <c r="Y2012" s="10"/>
      <c r="Z2012" s="10"/>
      <c r="AA2012" s="10"/>
      <c r="AB2012" s="10"/>
      <c r="AC2012" s="10"/>
      <c r="AD2012" s="10"/>
      <c r="AE2012" s="10"/>
      <c r="AF2012" s="10"/>
    </row>
    <row r="2013">
      <c r="A2013" s="7"/>
      <c r="B2013" s="26">
        <v>164.0</v>
      </c>
      <c r="C2013" s="27">
        <v>78.0</v>
      </c>
      <c r="D2013" s="8" t="s">
        <v>2749</v>
      </c>
      <c r="E2013" s="7">
        <v>2.0</v>
      </c>
      <c r="F2013" s="7" t="s">
        <v>320</v>
      </c>
      <c r="G2013" s="7" t="s">
        <v>313</v>
      </c>
      <c r="H2013" s="7" t="s">
        <v>312</v>
      </c>
      <c r="I2013" s="7"/>
      <c r="J2013" s="11"/>
      <c r="K2013" s="20" t="s">
        <v>2740</v>
      </c>
      <c r="L2013" s="14" t="s">
        <v>2701</v>
      </c>
      <c r="M2013" s="10"/>
      <c r="N2013" s="10"/>
      <c r="O2013" s="10"/>
      <c r="P2013" s="10"/>
      <c r="Q2013" s="10"/>
      <c r="R2013" s="10"/>
      <c r="S2013" s="10"/>
      <c r="T2013" s="10"/>
      <c r="U2013" s="10"/>
      <c r="V2013" s="10"/>
      <c r="W2013" s="10"/>
      <c r="X2013" s="10"/>
      <c r="Y2013" s="10"/>
      <c r="Z2013" s="10"/>
      <c r="AA2013" s="10"/>
      <c r="AB2013" s="10"/>
      <c r="AC2013" s="10"/>
      <c r="AD2013" s="10"/>
      <c r="AE2013" s="10"/>
      <c r="AF2013" s="10"/>
    </row>
    <row r="2014">
      <c r="A2014" s="21" t="s">
        <v>165</v>
      </c>
      <c r="B2014" s="12"/>
      <c r="C2014" s="12"/>
      <c r="D2014" s="12"/>
      <c r="E2014" s="10"/>
      <c r="F2014" s="10"/>
      <c r="G2014" s="10"/>
      <c r="H2014" s="10"/>
      <c r="I2014" s="10"/>
      <c r="J2014" s="11"/>
      <c r="K2014" s="12"/>
      <c r="L2014" s="12"/>
      <c r="M2014" s="10"/>
      <c r="N2014" s="10"/>
      <c r="O2014" s="10"/>
      <c r="P2014" s="10"/>
      <c r="Q2014" s="10"/>
      <c r="R2014" s="10"/>
      <c r="S2014" s="10"/>
      <c r="T2014" s="10"/>
      <c r="U2014" s="10"/>
      <c r="V2014" s="10"/>
      <c r="W2014" s="10"/>
      <c r="X2014" s="10"/>
      <c r="Y2014" s="10"/>
      <c r="Z2014" s="10"/>
      <c r="AA2014" s="10"/>
      <c r="AB2014" s="10"/>
      <c r="AC2014" s="10"/>
      <c r="AD2014" s="10"/>
      <c r="AE2014" s="10"/>
      <c r="AF2014" s="10"/>
    </row>
    <row r="2015">
      <c r="A2015" s="7"/>
      <c r="B2015" s="26">
        <v>165.0</v>
      </c>
      <c r="C2015" s="27">
        <v>1.0</v>
      </c>
      <c r="D2015" s="8" t="s">
        <v>2750</v>
      </c>
      <c r="E2015" s="7">
        <v>0.0</v>
      </c>
      <c r="F2015" s="7"/>
      <c r="G2015" s="7" t="s">
        <v>313</v>
      </c>
      <c r="H2015" s="7" t="s">
        <v>312</v>
      </c>
      <c r="I2015" s="7"/>
      <c r="J2015" s="9" t="s">
        <v>2751</v>
      </c>
      <c r="K2015" s="12"/>
      <c r="L2015" s="15" t="s">
        <v>2752</v>
      </c>
      <c r="M2015" s="10"/>
      <c r="N2015" s="10"/>
      <c r="O2015" s="10"/>
      <c r="P2015" s="10"/>
      <c r="Q2015" s="10"/>
      <c r="R2015" s="10"/>
      <c r="S2015" s="10"/>
      <c r="T2015" s="10"/>
      <c r="U2015" s="10"/>
      <c r="V2015" s="10"/>
      <c r="W2015" s="10"/>
      <c r="X2015" s="10"/>
      <c r="Y2015" s="10"/>
      <c r="Z2015" s="10"/>
      <c r="AA2015" s="10"/>
      <c r="AB2015" s="10"/>
      <c r="AC2015" s="10"/>
      <c r="AD2015" s="10"/>
      <c r="AE2015" s="10"/>
      <c r="AF2015" s="10"/>
    </row>
    <row r="2016">
      <c r="A2016" s="7"/>
      <c r="B2016" s="26">
        <v>165.0</v>
      </c>
      <c r="C2016" s="27">
        <v>2.0</v>
      </c>
      <c r="D2016" s="8" t="s">
        <v>2753</v>
      </c>
      <c r="E2016" s="7">
        <v>2.0</v>
      </c>
      <c r="F2016" s="7" t="s">
        <v>320</v>
      </c>
      <c r="G2016" s="7" t="s">
        <v>313</v>
      </c>
      <c r="H2016" s="7" t="s">
        <v>312</v>
      </c>
      <c r="I2016" s="7" t="s">
        <v>366</v>
      </c>
      <c r="J2016" s="16" t="s">
        <v>2754</v>
      </c>
      <c r="K2016" s="20" t="s">
        <v>2755</v>
      </c>
      <c r="L2016" s="12"/>
      <c r="M2016" s="10"/>
      <c r="N2016" s="10"/>
      <c r="O2016" s="10"/>
      <c r="P2016" s="10"/>
      <c r="Q2016" s="10"/>
      <c r="R2016" s="10"/>
      <c r="S2016" s="10"/>
      <c r="T2016" s="10"/>
      <c r="U2016" s="10"/>
      <c r="V2016" s="10"/>
      <c r="W2016" s="10"/>
      <c r="X2016" s="10"/>
      <c r="Y2016" s="10"/>
      <c r="Z2016" s="10"/>
      <c r="AA2016" s="10"/>
      <c r="AB2016" s="10"/>
      <c r="AC2016" s="10"/>
      <c r="AD2016" s="10"/>
      <c r="AE2016" s="10"/>
      <c r="AF2016" s="10"/>
    </row>
    <row r="2017">
      <c r="A2017" s="7"/>
      <c r="B2017" s="26">
        <v>165.0</v>
      </c>
      <c r="C2017" s="27">
        <v>3.0</v>
      </c>
      <c r="D2017" s="8" t="s">
        <v>2756</v>
      </c>
      <c r="E2017" s="7">
        <v>0.0</v>
      </c>
      <c r="F2017" s="7"/>
      <c r="G2017" s="7" t="s">
        <v>313</v>
      </c>
      <c r="H2017" s="7" t="s">
        <v>312</v>
      </c>
      <c r="I2017" s="7"/>
      <c r="J2017" s="11"/>
      <c r="K2017" s="20" t="s">
        <v>2757</v>
      </c>
      <c r="L2017" s="12"/>
      <c r="M2017" s="10"/>
      <c r="N2017" s="10"/>
      <c r="O2017" s="10"/>
      <c r="P2017" s="10"/>
      <c r="Q2017" s="10"/>
      <c r="R2017" s="10"/>
      <c r="S2017" s="10"/>
      <c r="T2017" s="10"/>
      <c r="U2017" s="10"/>
      <c r="V2017" s="10"/>
      <c r="W2017" s="10"/>
      <c r="X2017" s="10"/>
      <c r="Y2017" s="10"/>
      <c r="Z2017" s="10"/>
      <c r="AA2017" s="10"/>
      <c r="AB2017" s="10"/>
      <c r="AC2017" s="10"/>
      <c r="AD2017" s="10"/>
      <c r="AE2017" s="10"/>
      <c r="AF2017" s="10"/>
    </row>
    <row r="2018">
      <c r="A2018" s="7"/>
      <c r="B2018" s="26">
        <v>165.0</v>
      </c>
      <c r="C2018" s="27">
        <v>4.0</v>
      </c>
      <c r="D2018" s="8" t="s">
        <v>2758</v>
      </c>
      <c r="E2018" s="7">
        <v>0.0</v>
      </c>
      <c r="F2018" s="7"/>
      <c r="G2018" s="7" t="s">
        <v>313</v>
      </c>
      <c r="H2018" s="7" t="s">
        <v>312</v>
      </c>
      <c r="I2018" s="7"/>
      <c r="J2018" s="11"/>
      <c r="K2018" s="12"/>
      <c r="L2018" s="15" t="s">
        <v>2752</v>
      </c>
      <c r="M2018" s="10"/>
      <c r="N2018" s="10"/>
      <c r="O2018" s="10"/>
      <c r="P2018" s="10"/>
      <c r="Q2018" s="10"/>
      <c r="R2018" s="10"/>
      <c r="S2018" s="10"/>
      <c r="T2018" s="10"/>
      <c r="U2018" s="10"/>
      <c r="V2018" s="10"/>
      <c r="W2018" s="10"/>
      <c r="X2018" s="10"/>
      <c r="Y2018" s="10"/>
      <c r="Z2018" s="10"/>
      <c r="AA2018" s="10"/>
      <c r="AB2018" s="10"/>
      <c r="AC2018" s="10"/>
      <c r="AD2018" s="10"/>
      <c r="AE2018" s="10"/>
      <c r="AF2018" s="10"/>
    </row>
    <row r="2019">
      <c r="A2019" s="7"/>
      <c r="B2019" s="26">
        <v>165.0</v>
      </c>
      <c r="C2019" s="27">
        <v>5.0</v>
      </c>
      <c r="D2019" s="8" t="s">
        <v>2759</v>
      </c>
      <c r="E2019" s="7">
        <v>0.0</v>
      </c>
      <c r="F2019" s="7"/>
      <c r="G2019" s="7" t="s">
        <v>313</v>
      </c>
      <c r="H2019" s="7" t="s">
        <v>312</v>
      </c>
      <c r="I2019" s="7"/>
      <c r="J2019" s="11"/>
      <c r="K2019" s="12"/>
      <c r="L2019" s="15" t="s">
        <v>2752</v>
      </c>
      <c r="M2019" s="10"/>
      <c r="N2019" s="10"/>
      <c r="O2019" s="10"/>
      <c r="P2019" s="10"/>
      <c r="Q2019" s="10"/>
      <c r="R2019" s="10"/>
      <c r="S2019" s="10"/>
      <c r="T2019" s="10"/>
      <c r="U2019" s="10"/>
      <c r="V2019" s="10"/>
      <c r="W2019" s="10"/>
      <c r="X2019" s="10"/>
      <c r="Y2019" s="10"/>
      <c r="Z2019" s="10"/>
      <c r="AA2019" s="10"/>
      <c r="AB2019" s="10"/>
      <c r="AC2019" s="10"/>
      <c r="AD2019" s="10"/>
      <c r="AE2019" s="10"/>
      <c r="AF2019" s="10"/>
    </row>
    <row r="2020">
      <c r="A2020" s="7"/>
      <c r="B2020" s="26">
        <v>165.0</v>
      </c>
      <c r="C2020" s="27">
        <v>6.0</v>
      </c>
      <c r="D2020" s="8" t="s">
        <v>2760</v>
      </c>
      <c r="E2020" s="7">
        <v>0.0</v>
      </c>
      <c r="F2020" s="7"/>
      <c r="G2020" s="7" t="s">
        <v>313</v>
      </c>
      <c r="H2020" s="7" t="s">
        <v>312</v>
      </c>
      <c r="I2020" s="7"/>
      <c r="J2020" s="11"/>
      <c r="K2020" s="20" t="s">
        <v>2761</v>
      </c>
      <c r="L2020" s="12"/>
      <c r="M2020" s="10"/>
      <c r="N2020" s="10"/>
      <c r="O2020" s="10"/>
      <c r="P2020" s="10"/>
      <c r="Q2020" s="10"/>
      <c r="R2020" s="10"/>
      <c r="S2020" s="10"/>
      <c r="T2020" s="10"/>
      <c r="U2020" s="10"/>
      <c r="V2020" s="10"/>
      <c r="W2020" s="10"/>
      <c r="X2020" s="10"/>
      <c r="Y2020" s="10"/>
      <c r="Z2020" s="10"/>
      <c r="AA2020" s="10"/>
      <c r="AB2020" s="10"/>
      <c r="AC2020" s="10"/>
      <c r="AD2020" s="10"/>
      <c r="AE2020" s="10"/>
      <c r="AF2020" s="10"/>
    </row>
    <row r="2021">
      <c r="A2021" s="21" t="s">
        <v>166</v>
      </c>
      <c r="B2021" s="12"/>
      <c r="C2021" s="12"/>
      <c r="D2021" s="12"/>
      <c r="E2021" s="10"/>
      <c r="F2021" s="10"/>
      <c r="G2021" s="10"/>
      <c r="H2021" s="10"/>
      <c r="I2021" s="10"/>
      <c r="J2021" s="11"/>
      <c r="K2021" s="12"/>
      <c r="L2021" s="12"/>
      <c r="M2021" s="10"/>
      <c r="N2021" s="10"/>
      <c r="O2021" s="10"/>
      <c r="P2021" s="10"/>
      <c r="Q2021" s="10"/>
      <c r="R2021" s="10"/>
      <c r="S2021" s="10"/>
      <c r="T2021" s="10"/>
      <c r="U2021" s="10"/>
      <c r="V2021" s="10"/>
      <c r="W2021" s="10"/>
      <c r="X2021" s="10"/>
      <c r="Y2021" s="10"/>
      <c r="Z2021" s="10"/>
      <c r="AA2021" s="10"/>
      <c r="AB2021" s="10"/>
      <c r="AC2021" s="10"/>
      <c r="AD2021" s="10"/>
      <c r="AE2021" s="10"/>
      <c r="AF2021" s="10"/>
    </row>
    <row r="2022">
      <c r="A2022" s="7"/>
      <c r="B2022" s="8">
        <v>166.0</v>
      </c>
      <c r="C2022" s="8">
        <v>1.0</v>
      </c>
      <c r="D2022" s="8" t="s">
        <v>2762</v>
      </c>
      <c r="E2022" s="7">
        <v>2.0</v>
      </c>
      <c r="F2022" s="7" t="s">
        <v>320</v>
      </c>
      <c r="G2022" s="7" t="s">
        <v>313</v>
      </c>
      <c r="H2022" s="7" t="s">
        <v>312</v>
      </c>
      <c r="I2022" s="7"/>
      <c r="J2022" s="9" t="s">
        <v>2763</v>
      </c>
      <c r="K2022" s="20" t="s">
        <v>2764</v>
      </c>
      <c r="L2022" s="12"/>
      <c r="M2022" s="10"/>
      <c r="N2022" s="10"/>
      <c r="O2022" s="10"/>
      <c r="P2022" s="10"/>
      <c r="Q2022" s="10"/>
      <c r="R2022" s="10"/>
      <c r="S2022" s="10"/>
      <c r="T2022" s="10"/>
      <c r="U2022" s="10"/>
      <c r="V2022" s="10"/>
      <c r="W2022" s="10"/>
      <c r="X2022" s="10"/>
      <c r="Y2022" s="10"/>
      <c r="Z2022" s="10"/>
      <c r="AA2022" s="10"/>
      <c r="AB2022" s="10"/>
      <c r="AC2022" s="10"/>
      <c r="AD2022" s="10"/>
      <c r="AE2022" s="10"/>
      <c r="AF2022" s="10"/>
    </row>
    <row r="2023">
      <c r="A2023" s="21" t="s">
        <v>167</v>
      </c>
      <c r="B2023" s="12"/>
      <c r="C2023" s="12"/>
      <c r="D2023" s="12"/>
      <c r="E2023" s="10"/>
      <c r="F2023" s="10"/>
      <c r="G2023" s="10"/>
      <c r="H2023" s="10"/>
      <c r="I2023" s="10"/>
      <c r="J2023" s="11"/>
      <c r="K2023" s="12"/>
      <c r="L2023" s="12"/>
      <c r="M2023" s="10"/>
      <c r="N2023" s="10"/>
      <c r="O2023" s="10"/>
      <c r="P2023" s="10"/>
      <c r="Q2023" s="10"/>
      <c r="R2023" s="10"/>
      <c r="S2023" s="10"/>
      <c r="T2023" s="10"/>
      <c r="U2023" s="10"/>
      <c r="V2023" s="10"/>
      <c r="W2023" s="10"/>
      <c r="X2023" s="10"/>
      <c r="Y2023" s="10"/>
      <c r="Z2023" s="10"/>
      <c r="AA2023" s="10"/>
      <c r="AB2023" s="10"/>
      <c r="AC2023" s="10"/>
      <c r="AD2023" s="10"/>
      <c r="AE2023" s="10"/>
      <c r="AF2023" s="10"/>
    </row>
    <row r="2024">
      <c r="A2024" s="7"/>
      <c r="B2024" s="26">
        <v>167.0</v>
      </c>
      <c r="C2024" s="27">
        <v>1.0</v>
      </c>
      <c r="D2024" s="8" t="s">
        <v>2765</v>
      </c>
      <c r="E2024" s="7">
        <v>0.0</v>
      </c>
      <c r="F2024" s="7"/>
      <c r="G2024" s="7" t="s">
        <v>313</v>
      </c>
      <c r="H2024" s="7" t="s">
        <v>312</v>
      </c>
      <c r="I2024" s="7"/>
      <c r="J2024" s="9" t="s">
        <v>2766</v>
      </c>
      <c r="K2024" s="12"/>
      <c r="L2024" s="12"/>
      <c r="M2024" s="10"/>
      <c r="N2024" s="10"/>
      <c r="O2024" s="10"/>
      <c r="P2024" s="10"/>
      <c r="Q2024" s="10"/>
      <c r="R2024" s="10"/>
      <c r="S2024" s="10"/>
      <c r="T2024" s="10"/>
      <c r="U2024" s="10"/>
      <c r="V2024" s="10"/>
      <c r="W2024" s="10"/>
      <c r="X2024" s="10"/>
      <c r="Y2024" s="10"/>
      <c r="Z2024" s="10"/>
      <c r="AA2024" s="10"/>
      <c r="AB2024" s="10"/>
      <c r="AC2024" s="10"/>
      <c r="AD2024" s="10"/>
      <c r="AE2024" s="10"/>
      <c r="AF2024" s="10"/>
    </row>
    <row r="2025">
      <c r="A2025" s="7"/>
      <c r="B2025" s="26">
        <v>167.0</v>
      </c>
      <c r="C2025" s="27">
        <v>2.0</v>
      </c>
      <c r="D2025" s="8" t="s">
        <v>2767</v>
      </c>
      <c r="E2025" s="7">
        <v>2.0</v>
      </c>
      <c r="F2025" s="7" t="s">
        <v>320</v>
      </c>
      <c r="G2025" s="7" t="s">
        <v>313</v>
      </c>
      <c r="H2025" s="7" t="s">
        <v>312</v>
      </c>
      <c r="I2025" s="7"/>
      <c r="J2025" s="11"/>
      <c r="K2025" s="20" t="s">
        <v>2764</v>
      </c>
      <c r="L2025" s="12"/>
      <c r="M2025" s="10"/>
      <c r="N2025" s="10"/>
      <c r="O2025" s="10"/>
      <c r="P2025" s="10"/>
      <c r="Q2025" s="10"/>
      <c r="R2025" s="10"/>
      <c r="S2025" s="10"/>
      <c r="T2025" s="10"/>
      <c r="U2025" s="10"/>
      <c r="V2025" s="10"/>
      <c r="W2025" s="10"/>
      <c r="X2025" s="10"/>
      <c r="Y2025" s="10"/>
      <c r="Z2025" s="10"/>
      <c r="AA2025" s="10"/>
      <c r="AB2025" s="10"/>
      <c r="AC2025" s="10"/>
      <c r="AD2025" s="10"/>
      <c r="AE2025" s="10"/>
      <c r="AF2025" s="10"/>
    </row>
    <row r="2026">
      <c r="A2026" s="7"/>
      <c r="B2026" s="26">
        <v>167.0</v>
      </c>
      <c r="C2026" s="27">
        <v>3.0</v>
      </c>
      <c r="D2026" s="8" t="s">
        <v>2768</v>
      </c>
      <c r="E2026" s="7">
        <v>2.0</v>
      </c>
      <c r="F2026" s="7" t="s">
        <v>320</v>
      </c>
      <c r="G2026" s="7" t="s">
        <v>313</v>
      </c>
      <c r="H2026" s="7" t="s">
        <v>312</v>
      </c>
      <c r="I2026" s="7"/>
      <c r="J2026" s="11"/>
      <c r="K2026" s="20" t="s">
        <v>2764</v>
      </c>
      <c r="L2026" s="12"/>
      <c r="M2026" s="10"/>
      <c r="N2026" s="10"/>
      <c r="O2026" s="10"/>
      <c r="P2026" s="10"/>
      <c r="Q2026" s="10"/>
      <c r="R2026" s="10"/>
      <c r="S2026" s="10"/>
      <c r="T2026" s="10"/>
      <c r="U2026" s="10"/>
      <c r="V2026" s="10"/>
      <c r="W2026" s="10"/>
      <c r="X2026" s="10"/>
      <c r="Y2026" s="10"/>
      <c r="Z2026" s="10"/>
      <c r="AA2026" s="10"/>
      <c r="AB2026" s="10"/>
      <c r="AC2026" s="10"/>
      <c r="AD2026" s="10"/>
      <c r="AE2026" s="10"/>
      <c r="AF2026" s="10"/>
    </row>
    <row r="2027">
      <c r="A2027" s="7"/>
      <c r="B2027" s="26">
        <v>167.0</v>
      </c>
      <c r="C2027" s="27">
        <v>4.0</v>
      </c>
      <c r="D2027" s="8" t="s">
        <v>2769</v>
      </c>
      <c r="E2027" s="7">
        <v>2.0</v>
      </c>
      <c r="F2027" s="7" t="s">
        <v>320</v>
      </c>
      <c r="G2027" s="7" t="s">
        <v>313</v>
      </c>
      <c r="H2027" s="7" t="s">
        <v>312</v>
      </c>
      <c r="I2027" s="7"/>
      <c r="J2027" s="11"/>
      <c r="K2027" s="20" t="s">
        <v>2764</v>
      </c>
      <c r="L2027" s="12"/>
      <c r="M2027" s="10"/>
      <c r="N2027" s="10"/>
      <c r="O2027" s="10"/>
      <c r="P2027" s="10"/>
      <c r="Q2027" s="10"/>
      <c r="R2027" s="10"/>
      <c r="S2027" s="10"/>
      <c r="T2027" s="10"/>
      <c r="U2027" s="10"/>
      <c r="V2027" s="10"/>
      <c r="W2027" s="10"/>
      <c r="X2027" s="10"/>
      <c r="Y2027" s="10"/>
      <c r="Z2027" s="10"/>
      <c r="AA2027" s="10"/>
      <c r="AB2027" s="10"/>
      <c r="AC2027" s="10"/>
      <c r="AD2027" s="10"/>
      <c r="AE2027" s="10"/>
      <c r="AF2027" s="10"/>
    </row>
    <row r="2028">
      <c r="A2028" s="7"/>
      <c r="B2028" s="26">
        <v>167.0</v>
      </c>
      <c r="C2028" s="27">
        <v>5.0</v>
      </c>
      <c r="D2028" s="8" t="s">
        <v>2770</v>
      </c>
      <c r="E2028" s="7">
        <v>2.0</v>
      </c>
      <c r="F2028" s="7" t="s">
        <v>320</v>
      </c>
      <c r="G2028" s="7" t="s">
        <v>313</v>
      </c>
      <c r="H2028" s="7" t="s">
        <v>312</v>
      </c>
      <c r="I2028" s="7"/>
      <c r="J2028" s="11"/>
      <c r="K2028" s="20" t="s">
        <v>2764</v>
      </c>
      <c r="L2028" s="12"/>
      <c r="M2028" s="10"/>
      <c r="N2028" s="10"/>
      <c r="O2028" s="10"/>
      <c r="P2028" s="10"/>
      <c r="Q2028" s="10"/>
      <c r="R2028" s="10"/>
      <c r="S2028" s="10"/>
      <c r="T2028" s="10"/>
      <c r="U2028" s="10"/>
      <c r="V2028" s="10"/>
      <c r="W2028" s="10"/>
      <c r="X2028" s="10"/>
      <c r="Y2028" s="10"/>
      <c r="Z2028" s="10"/>
      <c r="AA2028" s="10"/>
      <c r="AB2028" s="10"/>
      <c r="AC2028" s="10"/>
      <c r="AD2028" s="10"/>
      <c r="AE2028" s="10"/>
      <c r="AF2028" s="10"/>
    </row>
    <row r="2029">
      <c r="A2029" s="7"/>
      <c r="B2029" s="26">
        <v>167.0</v>
      </c>
      <c r="C2029" s="27">
        <v>6.0</v>
      </c>
      <c r="D2029" s="8" t="s">
        <v>2771</v>
      </c>
      <c r="E2029" s="7">
        <v>0.0</v>
      </c>
      <c r="F2029" s="7"/>
      <c r="G2029" s="7" t="s">
        <v>313</v>
      </c>
      <c r="H2029" s="7" t="s">
        <v>312</v>
      </c>
      <c r="I2029" s="7"/>
      <c r="J2029" s="16" t="s">
        <v>2772</v>
      </c>
      <c r="K2029" s="12"/>
      <c r="L2029" s="12"/>
      <c r="M2029" s="10"/>
      <c r="N2029" s="10"/>
      <c r="O2029" s="10"/>
      <c r="P2029" s="10"/>
      <c r="Q2029" s="10"/>
      <c r="R2029" s="10"/>
      <c r="S2029" s="10"/>
      <c r="T2029" s="10"/>
      <c r="U2029" s="10"/>
      <c r="V2029" s="10"/>
      <c r="W2029" s="10"/>
      <c r="X2029" s="10"/>
      <c r="Y2029" s="10"/>
      <c r="Z2029" s="10"/>
      <c r="AA2029" s="10"/>
      <c r="AB2029" s="10"/>
      <c r="AC2029" s="10"/>
      <c r="AD2029" s="10"/>
      <c r="AE2029" s="10"/>
      <c r="AF2029" s="10"/>
    </row>
    <row r="2030">
      <c r="A2030" s="21" t="s">
        <v>168</v>
      </c>
      <c r="B2030" s="12"/>
      <c r="C2030" s="12"/>
      <c r="D2030" s="12"/>
      <c r="E2030" s="10"/>
      <c r="F2030" s="10"/>
      <c r="G2030" s="10"/>
      <c r="H2030" s="10"/>
      <c r="I2030" s="10"/>
      <c r="J2030" s="11"/>
      <c r="K2030" s="12"/>
      <c r="L2030" s="12"/>
      <c r="M2030" s="10"/>
      <c r="N2030" s="10"/>
      <c r="O2030" s="10"/>
      <c r="P2030" s="10"/>
      <c r="Q2030" s="10"/>
      <c r="R2030" s="10"/>
      <c r="S2030" s="10"/>
      <c r="T2030" s="10"/>
      <c r="U2030" s="10"/>
      <c r="V2030" s="10"/>
      <c r="W2030" s="10"/>
      <c r="X2030" s="10"/>
      <c r="Y2030" s="10"/>
      <c r="Z2030" s="10"/>
      <c r="AA2030" s="10"/>
      <c r="AB2030" s="10"/>
      <c r="AC2030" s="10"/>
      <c r="AD2030" s="10"/>
      <c r="AE2030" s="10"/>
      <c r="AF2030" s="10"/>
    </row>
    <row r="2031">
      <c r="A2031" s="7"/>
      <c r="B2031" s="26">
        <v>168.0</v>
      </c>
      <c r="C2031" s="27">
        <v>1.0</v>
      </c>
      <c r="D2031" s="8" t="s">
        <v>2773</v>
      </c>
      <c r="E2031" s="7">
        <v>0.0</v>
      </c>
      <c r="F2031" s="7"/>
      <c r="G2031" s="7" t="s">
        <v>313</v>
      </c>
      <c r="H2031" s="7" t="s">
        <v>312</v>
      </c>
      <c r="I2031" s="7"/>
      <c r="J2031" s="9"/>
      <c r="K2031" s="12"/>
      <c r="L2031" s="12"/>
      <c r="M2031" s="10"/>
      <c r="N2031" s="10"/>
      <c r="O2031" s="10"/>
      <c r="P2031" s="10"/>
      <c r="Q2031" s="10"/>
      <c r="R2031" s="10"/>
      <c r="S2031" s="10"/>
      <c r="T2031" s="10"/>
      <c r="U2031" s="10"/>
      <c r="V2031" s="10"/>
      <c r="W2031" s="10"/>
      <c r="X2031" s="10"/>
      <c r="Y2031" s="10"/>
      <c r="Z2031" s="10"/>
      <c r="AA2031" s="10"/>
      <c r="AB2031" s="10"/>
      <c r="AC2031" s="10"/>
      <c r="AD2031" s="10"/>
      <c r="AE2031" s="10"/>
      <c r="AF2031" s="10"/>
    </row>
    <row r="2032">
      <c r="A2032" s="7"/>
      <c r="B2032" s="26">
        <v>168.0</v>
      </c>
      <c r="C2032" s="27">
        <v>2.0</v>
      </c>
      <c r="D2032" s="8" t="s">
        <v>2774</v>
      </c>
      <c r="E2032" s="7">
        <v>0.0</v>
      </c>
      <c r="F2032" s="7"/>
      <c r="G2032" s="7" t="s">
        <v>313</v>
      </c>
      <c r="H2032" s="7" t="s">
        <v>312</v>
      </c>
      <c r="I2032" s="7"/>
      <c r="J2032" s="9"/>
      <c r="K2032" s="12"/>
      <c r="L2032" s="12"/>
      <c r="M2032" s="10"/>
      <c r="N2032" s="10"/>
      <c r="O2032" s="10"/>
      <c r="P2032" s="10"/>
      <c r="Q2032" s="10"/>
      <c r="R2032" s="10"/>
      <c r="S2032" s="10"/>
      <c r="T2032" s="10"/>
      <c r="U2032" s="10"/>
      <c r="V2032" s="10"/>
      <c r="W2032" s="10"/>
      <c r="X2032" s="10"/>
      <c r="Y2032" s="10"/>
      <c r="Z2032" s="10"/>
      <c r="AA2032" s="10"/>
      <c r="AB2032" s="10"/>
      <c r="AC2032" s="10"/>
      <c r="AD2032" s="10"/>
      <c r="AE2032" s="10"/>
      <c r="AF2032" s="10"/>
    </row>
    <row r="2033">
      <c r="A2033" s="7"/>
      <c r="B2033" s="26">
        <v>168.0</v>
      </c>
      <c r="C2033" s="27">
        <v>3.0</v>
      </c>
      <c r="D2033" s="8" t="s">
        <v>2775</v>
      </c>
      <c r="E2033" s="7">
        <v>0.0</v>
      </c>
      <c r="F2033" s="7"/>
      <c r="G2033" s="7" t="s">
        <v>313</v>
      </c>
      <c r="H2033" s="7" t="s">
        <v>312</v>
      </c>
      <c r="I2033" s="7"/>
      <c r="J2033" s="9"/>
      <c r="K2033" s="12"/>
      <c r="L2033" s="12"/>
      <c r="M2033" s="10"/>
      <c r="N2033" s="10"/>
      <c r="O2033" s="10"/>
      <c r="P2033" s="10"/>
      <c r="Q2033" s="10"/>
      <c r="R2033" s="10"/>
      <c r="S2033" s="10"/>
      <c r="T2033" s="10"/>
      <c r="U2033" s="10"/>
      <c r="V2033" s="10"/>
      <c r="W2033" s="10"/>
      <c r="X2033" s="10"/>
      <c r="Y2033" s="10"/>
      <c r="Z2033" s="10"/>
      <c r="AA2033" s="10"/>
      <c r="AB2033" s="10"/>
      <c r="AC2033" s="10"/>
      <c r="AD2033" s="10"/>
      <c r="AE2033" s="10"/>
      <c r="AF2033" s="10"/>
    </row>
    <row r="2034">
      <c r="A2034" s="7"/>
      <c r="B2034" s="26">
        <v>168.0</v>
      </c>
      <c r="C2034" s="27">
        <v>4.0</v>
      </c>
      <c r="D2034" s="8" t="s">
        <v>2776</v>
      </c>
      <c r="E2034" s="7">
        <v>0.0</v>
      </c>
      <c r="F2034" s="7"/>
      <c r="G2034" s="7" t="s">
        <v>313</v>
      </c>
      <c r="H2034" s="7" t="s">
        <v>312</v>
      </c>
      <c r="I2034" s="7"/>
      <c r="J2034" s="9"/>
      <c r="K2034" s="12"/>
      <c r="L2034" s="12"/>
      <c r="M2034" s="10"/>
      <c r="N2034" s="10"/>
      <c r="O2034" s="10"/>
      <c r="P2034" s="10"/>
      <c r="Q2034" s="10"/>
      <c r="R2034" s="10"/>
      <c r="S2034" s="10"/>
      <c r="T2034" s="10"/>
      <c r="U2034" s="10"/>
      <c r="V2034" s="10"/>
      <c r="W2034" s="10"/>
      <c r="X2034" s="10"/>
      <c r="Y2034" s="10"/>
      <c r="Z2034" s="10"/>
      <c r="AA2034" s="10"/>
      <c r="AB2034" s="10"/>
      <c r="AC2034" s="10"/>
      <c r="AD2034" s="10"/>
      <c r="AE2034" s="10"/>
      <c r="AF2034" s="10"/>
    </row>
    <row r="2035">
      <c r="A2035" s="7"/>
      <c r="B2035" s="26">
        <v>168.0</v>
      </c>
      <c r="C2035" s="27">
        <v>5.0</v>
      </c>
      <c r="D2035" s="8" t="s">
        <v>2777</v>
      </c>
      <c r="E2035" s="7">
        <v>2.0</v>
      </c>
      <c r="F2035" s="7" t="s">
        <v>320</v>
      </c>
      <c r="G2035" s="7" t="s">
        <v>313</v>
      </c>
      <c r="H2035" s="7" t="s">
        <v>312</v>
      </c>
      <c r="I2035" s="7"/>
      <c r="J2035" s="11"/>
      <c r="K2035" s="20" t="s">
        <v>2764</v>
      </c>
      <c r="L2035" s="12"/>
      <c r="M2035" s="10"/>
      <c r="N2035" s="10"/>
      <c r="O2035" s="10"/>
      <c r="P2035" s="10"/>
      <c r="Q2035" s="10"/>
      <c r="R2035" s="10"/>
      <c r="S2035" s="10"/>
      <c r="T2035" s="10"/>
      <c r="U2035" s="10"/>
      <c r="V2035" s="10"/>
      <c r="W2035" s="10"/>
      <c r="X2035" s="10"/>
      <c r="Y2035" s="10"/>
      <c r="Z2035" s="10"/>
      <c r="AA2035" s="10"/>
      <c r="AB2035" s="10"/>
      <c r="AC2035" s="10"/>
      <c r="AD2035" s="10"/>
      <c r="AE2035" s="10"/>
      <c r="AF2035" s="10"/>
    </row>
    <row r="2036">
      <c r="A2036" s="7"/>
      <c r="B2036" s="26">
        <v>168.0</v>
      </c>
      <c r="C2036" s="27">
        <v>6.0</v>
      </c>
      <c r="D2036" s="8" t="s">
        <v>2778</v>
      </c>
      <c r="E2036" s="7">
        <v>0.0</v>
      </c>
      <c r="F2036" s="7"/>
      <c r="G2036" s="7" t="s">
        <v>313</v>
      </c>
      <c r="H2036" s="7" t="s">
        <v>312</v>
      </c>
      <c r="I2036" s="7"/>
      <c r="J2036" s="11"/>
      <c r="K2036" s="12"/>
      <c r="L2036" s="12"/>
      <c r="M2036" s="10"/>
      <c r="N2036" s="10"/>
      <c r="O2036" s="10"/>
      <c r="P2036" s="10"/>
      <c r="Q2036" s="10"/>
      <c r="R2036" s="10"/>
      <c r="S2036" s="10"/>
      <c r="T2036" s="10"/>
      <c r="U2036" s="10"/>
      <c r="V2036" s="10"/>
      <c r="W2036" s="10"/>
      <c r="X2036" s="10"/>
      <c r="Y2036" s="10"/>
      <c r="Z2036" s="10"/>
      <c r="AA2036" s="10"/>
      <c r="AB2036" s="10"/>
      <c r="AC2036" s="10"/>
      <c r="AD2036" s="10"/>
      <c r="AE2036" s="10"/>
      <c r="AF2036" s="10"/>
    </row>
    <row r="2037">
      <c r="A2037" s="7"/>
      <c r="B2037" s="26">
        <v>168.0</v>
      </c>
      <c r="C2037" s="27">
        <v>7.0</v>
      </c>
      <c r="D2037" s="8" t="s">
        <v>2779</v>
      </c>
      <c r="E2037" s="7">
        <v>0.0</v>
      </c>
      <c r="F2037" s="7"/>
      <c r="G2037" s="7" t="s">
        <v>313</v>
      </c>
      <c r="H2037" s="7" t="s">
        <v>312</v>
      </c>
      <c r="I2037" s="7"/>
      <c r="J2037" s="11"/>
      <c r="K2037" s="12"/>
      <c r="L2037" s="12"/>
      <c r="M2037" s="10"/>
      <c r="N2037" s="10"/>
      <c r="O2037" s="10"/>
      <c r="P2037" s="10"/>
      <c r="Q2037" s="10"/>
      <c r="R2037" s="10"/>
      <c r="S2037" s="10"/>
      <c r="T2037" s="10"/>
      <c r="U2037" s="10"/>
      <c r="V2037" s="10"/>
      <c r="W2037" s="10"/>
      <c r="X2037" s="10"/>
      <c r="Y2037" s="10"/>
      <c r="Z2037" s="10"/>
      <c r="AA2037" s="10"/>
      <c r="AB2037" s="10"/>
      <c r="AC2037" s="10"/>
      <c r="AD2037" s="10"/>
      <c r="AE2037" s="10"/>
      <c r="AF2037" s="10"/>
    </row>
    <row r="2038">
      <c r="A2038" s="7"/>
      <c r="B2038" s="26">
        <v>168.0</v>
      </c>
      <c r="C2038" s="27">
        <v>8.0</v>
      </c>
      <c r="D2038" s="8" t="s">
        <v>2780</v>
      </c>
      <c r="E2038" s="7">
        <v>0.0</v>
      </c>
      <c r="F2038" s="7"/>
      <c r="G2038" s="7" t="s">
        <v>313</v>
      </c>
      <c r="H2038" s="7" t="s">
        <v>312</v>
      </c>
      <c r="I2038" s="7"/>
      <c r="J2038" s="11"/>
      <c r="K2038" s="12"/>
      <c r="L2038" s="12"/>
      <c r="M2038" s="10"/>
      <c r="N2038" s="10"/>
      <c r="O2038" s="10"/>
      <c r="P2038" s="10"/>
      <c r="Q2038" s="10"/>
      <c r="R2038" s="10"/>
      <c r="S2038" s="10"/>
      <c r="T2038" s="10"/>
      <c r="U2038" s="10"/>
      <c r="V2038" s="10"/>
      <c r="W2038" s="10"/>
      <c r="X2038" s="10"/>
      <c r="Y2038" s="10"/>
      <c r="Z2038" s="10"/>
      <c r="AA2038" s="10"/>
      <c r="AB2038" s="10"/>
      <c r="AC2038" s="10"/>
      <c r="AD2038" s="10"/>
      <c r="AE2038" s="10"/>
      <c r="AF2038" s="10"/>
    </row>
    <row r="2039">
      <c r="A2039" s="7"/>
      <c r="B2039" s="26">
        <v>168.0</v>
      </c>
      <c r="C2039" s="27">
        <v>9.0</v>
      </c>
      <c r="D2039" s="8" t="s">
        <v>2781</v>
      </c>
      <c r="E2039" s="7">
        <v>2.0</v>
      </c>
      <c r="F2039" s="7" t="s">
        <v>320</v>
      </c>
      <c r="G2039" s="7" t="s">
        <v>313</v>
      </c>
      <c r="H2039" s="7" t="s">
        <v>312</v>
      </c>
      <c r="I2039" s="7"/>
      <c r="J2039" s="11"/>
      <c r="K2039" s="20" t="s">
        <v>2764</v>
      </c>
      <c r="L2039" s="12"/>
      <c r="M2039" s="10"/>
      <c r="N2039" s="10"/>
      <c r="O2039" s="10"/>
      <c r="P2039" s="10"/>
      <c r="Q2039" s="10"/>
      <c r="R2039" s="10"/>
      <c r="S2039" s="10"/>
      <c r="T2039" s="10"/>
      <c r="U2039" s="10"/>
      <c r="V2039" s="10"/>
      <c r="W2039" s="10"/>
      <c r="X2039" s="10"/>
      <c r="Y2039" s="10"/>
      <c r="Z2039" s="10"/>
      <c r="AA2039" s="10"/>
      <c r="AB2039" s="10"/>
      <c r="AC2039" s="10"/>
      <c r="AD2039" s="10"/>
      <c r="AE2039" s="10"/>
      <c r="AF2039" s="10"/>
    </row>
    <row r="2040">
      <c r="A2040" s="7"/>
      <c r="B2040" s="26">
        <v>168.0</v>
      </c>
      <c r="C2040" s="27">
        <v>10.0</v>
      </c>
      <c r="D2040" s="8" t="s">
        <v>2782</v>
      </c>
      <c r="E2040" s="7">
        <v>0.0</v>
      </c>
      <c r="F2040" s="7"/>
      <c r="G2040" s="7" t="s">
        <v>313</v>
      </c>
      <c r="H2040" s="7" t="s">
        <v>312</v>
      </c>
      <c r="I2040" s="7"/>
      <c r="J2040" s="11"/>
      <c r="K2040" s="12"/>
      <c r="L2040" s="12"/>
      <c r="M2040" s="10"/>
      <c r="N2040" s="10"/>
      <c r="O2040" s="10"/>
      <c r="P2040" s="10"/>
      <c r="Q2040" s="10"/>
      <c r="R2040" s="10"/>
      <c r="S2040" s="10"/>
      <c r="T2040" s="10"/>
      <c r="U2040" s="10"/>
      <c r="V2040" s="10"/>
      <c r="W2040" s="10"/>
      <c r="X2040" s="10"/>
      <c r="Y2040" s="10"/>
      <c r="Z2040" s="10"/>
      <c r="AA2040" s="10"/>
      <c r="AB2040" s="10"/>
      <c r="AC2040" s="10"/>
      <c r="AD2040" s="10"/>
      <c r="AE2040" s="10"/>
      <c r="AF2040" s="10"/>
    </row>
    <row r="2041">
      <c r="A2041" s="7"/>
      <c r="B2041" s="26">
        <v>168.0</v>
      </c>
      <c r="C2041" s="27">
        <v>11.0</v>
      </c>
      <c r="D2041" s="8" t="s">
        <v>2783</v>
      </c>
      <c r="E2041" s="7">
        <v>0.0</v>
      </c>
      <c r="F2041" s="7"/>
      <c r="G2041" s="7" t="s">
        <v>313</v>
      </c>
      <c r="H2041" s="7" t="s">
        <v>312</v>
      </c>
      <c r="I2041" s="7"/>
      <c r="J2041" s="11"/>
      <c r="K2041" s="12"/>
      <c r="L2041" s="12"/>
      <c r="M2041" s="10"/>
      <c r="N2041" s="10"/>
      <c r="O2041" s="10"/>
      <c r="P2041" s="10"/>
      <c r="Q2041" s="10"/>
      <c r="R2041" s="10"/>
      <c r="S2041" s="10"/>
      <c r="T2041" s="10"/>
      <c r="U2041" s="10"/>
      <c r="V2041" s="10"/>
      <c r="W2041" s="10"/>
      <c r="X2041" s="10"/>
      <c r="Y2041" s="10"/>
      <c r="Z2041" s="10"/>
      <c r="AA2041" s="10"/>
      <c r="AB2041" s="10"/>
      <c r="AC2041" s="10"/>
      <c r="AD2041" s="10"/>
      <c r="AE2041" s="10"/>
      <c r="AF2041" s="10"/>
    </row>
    <row r="2042">
      <c r="A2042" s="7"/>
      <c r="B2042" s="26">
        <v>168.0</v>
      </c>
      <c r="C2042" s="27">
        <v>12.0</v>
      </c>
      <c r="D2042" s="8" t="s">
        <v>2784</v>
      </c>
      <c r="E2042" s="7">
        <v>2.0</v>
      </c>
      <c r="F2042" s="7" t="s">
        <v>320</v>
      </c>
      <c r="G2042" s="7" t="s">
        <v>313</v>
      </c>
      <c r="H2042" s="7" t="s">
        <v>312</v>
      </c>
      <c r="I2042" s="7"/>
      <c r="J2042" s="11"/>
      <c r="K2042" s="20" t="s">
        <v>2764</v>
      </c>
      <c r="L2042" s="12"/>
      <c r="M2042" s="10"/>
      <c r="N2042" s="10"/>
      <c r="O2042" s="10"/>
      <c r="P2042" s="10"/>
      <c r="Q2042" s="10"/>
      <c r="R2042" s="10"/>
      <c r="S2042" s="10"/>
      <c r="T2042" s="10"/>
      <c r="U2042" s="10"/>
      <c r="V2042" s="10"/>
      <c r="W2042" s="10"/>
      <c r="X2042" s="10"/>
      <c r="Y2042" s="10"/>
      <c r="Z2042" s="10"/>
      <c r="AA2042" s="10"/>
      <c r="AB2042" s="10"/>
      <c r="AC2042" s="10"/>
      <c r="AD2042" s="10"/>
      <c r="AE2042" s="10"/>
      <c r="AF2042" s="10"/>
    </row>
    <row r="2043">
      <c r="A2043" s="7"/>
      <c r="B2043" s="26">
        <v>168.0</v>
      </c>
      <c r="C2043" s="27">
        <v>13.0</v>
      </c>
      <c r="D2043" s="8" t="s">
        <v>2785</v>
      </c>
      <c r="E2043" s="7">
        <v>0.0</v>
      </c>
      <c r="F2043" s="7"/>
      <c r="G2043" s="7" t="s">
        <v>313</v>
      </c>
      <c r="H2043" s="7" t="s">
        <v>312</v>
      </c>
      <c r="I2043" s="7"/>
      <c r="J2043" s="11"/>
      <c r="K2043" s="12"/>
      <c r="L2043" s="12"/>
      <c r="M2043" s="10"/>
      <c r="N2043" s="10"/>
      <c r="O2043" s="10"/>
      <c r="P2043" s="10"/>
      <c r="Q2043" s="10"/>
      <c r="R2043" s="10"/>
      <c r="S2043" s="10"/>
      <c r="T2043" s="10"/>
      <c r="U2043" s="10"/>
      <c r="V2043" s="10"/>
      <c r="W2043" s="10"/>
      <c r="X2043" s="10"/>
      <c r="Y2043" s="10"/>
      <c r="Z2043" s="10"/>
      <c r="AA2043" s="10"/>
      <c r="AB2043" s="10"/>
      <c r="AC2043" s="10"/>
      <c r="AD2043" s="10"/>
      <c r="AE2043" s="10"/>
      <c r="AF2043" s="10"/>
    </row>
    <row r="2044">
      <c r="A2044" s="7"/>
      <c r="B2044" s="26">
        <v>168.0</v>
      </c>
      <c r="C2044" s="27">
        <v>14.0</v>
      </c>
      <c r="D2044" s="8" t="s">
        <v>2786</v>
      </c>
      <c r="E2044" s="7">
        <v>2.0</v>
      </c>
      <c r="F2044" s="7" t="s">
        <v>320</v>
      </c>
      <c r="G2044" s="7" t="s">
        <v>313</v>
      </c>
      <c r="H2044" s="7" t="s">
        <v>312</v>
      </c>
      <c r="I2044" s="7"/>
      <c r="J2044" s="11"/>
      <c r="K2044" s="20" t="s">
        <v>2764</v>
      </c>
      <c r="L2044" s="12"/>
      <c r="M2044" s="10"/>
      <c r="N2044" s="10"/>
      <c r="O2044" s="10"/>
      <c r="P2044" s="10"/>
      <c r="Q2044" s="10"/>
      <c r="R2044" s="10"/>
      <c r="S2044" s="10"/>
      <c r="T2044" s="10"/>
      <c r="U2044" s="10"/>
      <c r="V2044" s="10"/>
      <c r="W2044" s="10"/>
      <c r="X2044" s="10"/>
      <c r="Y2044" s="10"/>
      <c r="Z2044" s="10"/>
      <c r="AA2044" s="10"/>
      <c r="AB2044" s="10"/>
      <c r="AC2044" s="10"/>
      <c r="AD2044" s="10"/>
      <c r="AE2044" s="10"/>
      <c r="AF2044" s="10"/>
    </row>
    <row r="2045">
      <c r="A2045" s="7"/>
      <c r="B2045" s="26">
        <v>168.0</v>
      </c>
      <c r="C2045" s="27">
        <v>15.0</v>
      </c>
      <c r="D2045" s="8" t="s">
        <v>2787</v>
      </c>
      <c r="E2045" s="7">
        <v>2.0</v>
      </c>
      <c r="F2045" s="7" t="s">
        <v>320</v>
      </c>
      <c r="G2045" s="7" t="s">
        <v>313</v>
      </c>
      <c r="H2045" s="7" t="s">
        <v>312</v>
      </c>
      <c r="I2045" s="7"/>
      <c r="J2045" s="11"/>
      <c r="K2045" s="20" t="s">
        <v>2764</v>
      </c>
      <c r="L2045" s="12"/>
      <c r="M2045" s="10"/>
      <c r="N2045" s="10"/>
      <c r="O2045" s="10"/>
      <c r="P2045" s="10"/>
      <c r="Q2045" s="10"/>
      <c r="R2045" s="10"/>
      <c r="S2045" s="10"/>
      <c r="T2045" s="10"/>
      <c r="U2045" s="10"/>
      <c r="V2045" s="10"/>
      <c r="W2045" s="10"/>
      <c r="X2045" s="10"/>
      <c r="Y2045" s="10"/>
      <c r="Z2045" s="10"/>
      <c r="AA2045" s="10"/>
      <c r="AB2045" s="10"/>
      <c r="AC2045" s="10"/>
      <c r="AD2045" s="10"/>
      <c r="AE2045" s="10"/>
      <c r="AF2045" s="10"/>
    </row>
    <row r="2046">
      <c r="A2046" s="21" t="s">
        <v>169</v>
      </c>
      <c r="B2046" s="12"/>
      <c r="C2046" s="12"/>
      <c r="D2046" s="12"/>
      <c r="E2046" s="10"/>
      <c r="F2046" s="10"/>
      <c r="G2046" s="10"/>
      <c r="H2046" s="10"/>
      <c r="I2046" s="10"/>
      <c r="J2046" s="11"/>
      <c r="K2046" s="12"/>
      <c r="L2046" s="12"/>
      <c r="M2046" s="10"/>
      <c r="N2046" s="10"/>
      <c r="O2046" s="10"/>
      <c r="P2046" s="10"/>
      <c r="Q2046" s="10"/>
      <c r="R2046" s="10"/>
      <c r="S2046" s="10"/>
      <c r="T2046" s="10"/>
      <c r="U2046" s="10"/>
      <c r="V2046" s="10"/>
      <c r="W2046" s="10"/>
      <c r="X2046" s="10"/>
      <c r="Y2046" s="10"/>
      <c r="Z2046" s="10"/>
      <c r="AA2046" s="10"/>
      <c r="AB2046" s="10"/>
      <c r="AC2046" s="10"/>
      <c r="AD2046" s="10"/>
      <c r="AE2046" s="10"/>
      <c r="AF2046" s="10"/>
    </row>
    <row r="2047">
      <c r="A2047" s="7"/>
      <c r="B2047" s="26">
        <v>169.0</v>
      </c>
      <c r="C2047" s="27">
        <v>1.0</v>
      </c>
      <c r="D2047" s="8" t="s">
        <v>2788</v>
      </c>
      <c r="E2047" s="7">
        <v>0.0</v>
      </c>
      <c r="F2047" s="7"/>
      <c r="G2047" s="7" t="s">
        <v>313</v>
      </c>
      <c r="H2047" s="7" t="s">
        <v>312</v>
      </c>
      <c r="I2047" s="7"/>
      <c r="J2047" s="28"/>
      <c r="K2047" s="12"/>
      <c r="L2047" s="12"/>
      <c r="M2047" s="10"/>
      <c r="N2047" s="10"/>
      <c r="O2047" s="10"/>
      <c r="P2047" s="10"/>
      <c r="Q2047" s="10"/>
      <c r="R2047" s="10"/>
      <c r="S2047" s="10"/>
      <c r="T2047" s="10"/>
      <c r="U2047" s="10"/>
      <c r="V2047" s="10"/>
      <c r="W2047" s="10"/>
      <c r="X2047" s="10"/>
      <c r="Y2047" s="10"/>
      <c r="Z2047" s="10"/>
      <c r="AA2047" s="10"/>
      <c r="AB2047" s="10"/>
      <c r="AC2047" s="10"/>
      <c r="AD2047" s="10"/>
      <c r="AE2047" s="10"/>
      <c r="AF2047" s="10"/>
    </row>
    <row r="2048">
      <c r="A2048" s="7"/>
      <c r="B2048" s="26">
        <v>169.0</v>
      </c>
      <c r="C2048" s="27">
        <v>2.0</v>
      </c>
      <c r="D2048" s="8" t="s">
        <v>2789</v>
      </c>
      <c r="E2048" s="7">
        <v>0.0</v>
      </c>
      <c r="F2048" s="7"/>
      <c r="G2048" s="7" t="s">
        <v>313</v>
      </c>
      <c r="H2048" s="7" t="s">
        <v>312</v>
      </c>
      <c r="I2048" s="7"/>
      <c r="J2048" s="34" t="s">
        <v>2790</v>
      </c>
      <c r="K2048" s="12"/>
      <c r="L2048" s="12"/>
      <c r="M2048" s="10"/>
      <c r="N2048" s="10"/>
      <c r="O2048" s="10"/>
      <c r="P2048" s="10"/>
      <c r="Q2048" s="10"/>
      <c r="R2048" s="10"/>
      <c r="S2048" s="10"/>
      <c r="T2048" s="10"/>
      <c r="U2048" s="10"/>
      <c r="V2048" s="10"/>
      <c r="W2048" s="10"/>
      <c r="X2048" s="10"/>
      <c r="Y2048" s="10"/>
      <c r="Z2048" s="10"/>
      <c r="AA2048" s="10"/>
      <c r="AB2048" s="10"/>
      <c r="AC2048" s="10"/>
      <c r="AD2048" s="10"/>
      <c r="AE2048" s="10"/>
      <c r="AF2048" s="10"/>
    </row>
    <row r="2049">
      <c r="A2049" s="7"/>
      <c r="B2049" s="26">
        <v>169.0</v>
      </c>
      <c r="C2049" s="27">
        <v>3.0</v>
      </c>
      <c r="D2049" s="8" t="s">
        <v>2791</v>
      </c>
      <c r="E2049" s="7">
        <v>2.0</v>
      </c>
      <c r="F2049" s="7" t="s">
        <v>320</v>
      </c>
      <c r="G2049" s="7" t="s">
        <v>313</v>
      </c>
      <c r="H2049" s="7" t="s">
        <v>312</v>
      </c>
      <c r="I2049" s="7"/>
      <c r="J2049" s="9" t="s">
        <v>2792</v>
      </c>
      <c r="K2049" s="20" t="s">
        <v>2764</v>
      </c>
      <c r="L2049" s="12"/>
      <c r="M2049" s="10"/>
      <c r="N2049" s="10"/>
      <c r="O2049" s="10"/>
      <c r="P2049" s="10"/>
      <c r="Q2049" s="10"/>
      <c r="R2049" s="10"/>
      <c r="S2049" s="10"/>
      <c r="T2049" s="10"/>
      <c r="U2049" s="10"/>
      <c r="V2049" s="10"/>
      <c r="W2049" s="10"/>
      <c r="X2049" s="10"/>
      <c r="Y2049" s="10"/>
      <c r="Z2049" s="10"/>
      <c r="AA2049" s="10"/>
      <c r="AB2049" s="10"/>
      <c r="AC2049" s="10"/>
      <c r="AD2049" s="10"/>
      <c r="AE2049" s="10"/>
      <c r="AF2049" s="10"/>
    </row>
    <row r="2050">
      <c r="A2050" s="7"/>
      <c r="B2050" s="26">
        <v>169.0</v>
      </c>
      <c r="C2050" s="27">
        <v>4.0</v>
      </c>
      <c r="D2050" s="8" t="s">
        <v>2793</v>
      </c>
      <c r="E2050" s="7">
        <v>2.0</v>
      </c>
      <c r="F2050" s="7" t="s">
        <v>320</v>
      </c>
      <c r="G2050" s="7" t="s">
        <v>313</v>
      </c>
      <c r="H2050" s="7" t="s">
        <v>312</v>
      </c>
      <c r="I2050" s="7"/>
      <c r="J2050" s="9" t="s">
        <v>2794</v>
      </c>
      <c r="K2050" s="20" t="s">
        <v>2764</v>
      </c>
      <c r="L2050" s="12"/>
      <c r="M2050" s="10"/>
      <c r="N2050" s="10"/>
      <c r="O2050" s="10"/>
      <c r="P2050" s="10"/>
      <c r="Q2050" s="10"/>
      <c r="R2050" s="10"/>
      <c r="S2050" s="10"/>
      <c r="T2050" s="10"/>
      <c r="U2050" s="10"/>
      <c r="V2050" s="10"/>
      <c r="W2050" s="10"/>
      <c r="X2050" s="10"/>
      <c r="Y2050" s="10"/>
      <c r="Z2050" s="10"/>
      <c r="AA2050" s="10"/>
      <c r="AB2050" s="10"/>
      <c r="AC2050" s="10"/>
      <c r="AD2050" s="10"/>
      <c r="AE2050" s="10"/>
      <c r="AF2050" s="10"/>
    </row>
    <row r="2051">
      <c r="A2051" s="7"/>
      <c r="B2051" s="26">
        <v>169.0</v>
      </c>
      <c r="C2051" s="27">
        <v>5.0</v>
      </c>
      <c r="D2051" s="8" t="s">
        <v>2795</v>
      </c>
      <c r="E2051" s="7">
        <v>0.0</v>
      </c>
      <c r="F2051" s="7"/>
      <c r="G2051" s="7" t="s">
        <v>313</v>
      </c>
      <c r="H2051" s="7" t="s">
        <v>312</v>
      </c>
      <c r="I2051" s="7"/>
      <c r="J2051" s="34" t="s">
        <v>2796</v>
      </c>
      <c r="K2051" s="12"/>
      <c r="L2051" s="12"/>
      <c r="M2051" s="10"/>
      <c r="N2051" s="10"/>
      <c r="O2051" s="10"/>
      <c r="P2051" s="10"/>
      <c r="Q2051" s="10"/>
      <c r="R2051" s="10"/>
      <c r="S2051" s="10"/>
      <c r="T2051" s="10"/>
      <c r="U2051" s="10"/>
      <c r="V2051" s="10"/>
      <c r="W2051" s="10"/>
      <c r="X2051" s="10"/>
      <c r="Y2051" s="10"/>
      <c r="Z2051" s="10"/>
      <c r="AA2051" s="10"/>
      <c r="AB2051" s="10"/>
      <c r="AC2051" s="10"/>
      <c r="AD2051" s="10"/>
      <c r="AE2051" s="10"/>
      <c r="AF2051" s="10"/>
    </row>
    <row r="2052">
      <c r="A2052" s="7"/>
      <c r="B2052" s="26">
        <v>169.0</v>
      </c>
      <c r="C2052" s="27">
        <v>6.0</v>
      </c>
      <c r="D2052" s="8" t="s">
        <v>2797</v>
      </c>
      <c r="E2052" s="7">
        <v>2.0</v>
      </c>
      <c r="F2052" s="7" t="s">
        <v>320</v>
      </c>
      <c r="G2052" s="7" t="s">
        <v>313</v>
      </c>
      <c r="H2052" s="7" t="s">
        <v>312</v>
      </c>
      <c r="I2052" s="7" t="s">
        <v>366</v>
      </c>
      <c r="J2052" s="34" t="s">
        <v>2798</v>
      </c>
      <c r="K2052" s="12"/>
      <c r="L2052" s="12"/>
      <c r="M2052" s="10"/>
      <c r="N2052" s="10"/>
      <c r="O2052" s="10"/>
      <c r="P2052" s="10"/>
      <c r="Q2052" s="10"/>
      <c r="R2052" s="10"/>
      <c r="S2052" s="10"/>
      <c r="T2052" s="10"/>
      <c r="U2052" s="10"/>
      <c r="V2052" s="10"/>
      <c r="W2052" s="10"/>
      <c r="X2052" s="10"/>
      <c r="Y2052" s="10"/>
      <c r="Z2052" s="10"/>
      <c r="AA2052" s="10"/>
      <c r="AB2052" s="10"/>
      <c r="AC2052" s="10"/>
      <c r="AD2052" s="10"/>
      <c r="AE2052" s="10"/>
      <c r="AF2052" s="10"/>
    </row>
    <row r="2053">
      <c r="A2053" s="7"/>
      <c r="B2053" s="26">
        <v>169.0</v>
      </c>
      <c r="C2053" s="27">
        <v>7.0</v>
      </c>
      <c r="D2053" s="8" t="s">
        <v>2799</v>
      </c>
      <c r="E2053" s="7">
        <v>2.0</v>
      </c>
      <c r="F2053" s="7" t="s">
        <v>320</v>
      </c>
      <c r="G2053" s="7" t="s">
        <v>313</v>
      </c>
      <c r="H2053" s="7" t="s">
        <v>312</v>
      </c>
      <c r="I2053" s="7" t="s">
        <v>366</v>
      </c>
      <c r="J2053" s="34" t="s">
        <v>2798</v>
      </c>
      <c r="K2053" s="12"/>
      <c r="L2053" s="12"/>
      <c r="M2053" s="10"/>
      <c r="N2053" s="10"/>
      <c r="O2053" s="10"/>
      <c r="P2053" s="10"/>
      <c r="Q2053" s="10"/>
      <c r="R2053" s="10"/>
      <c r="S2053" s="10"/>
      <c r="T2053" s="10"/>
      <c r="U2053" s="10"/>
      <c r="V2053" s="10"/>
      <c r="W2053" s="10"/>
      <c r="X2053" s="10"/>
      <c r="Y2053" s="10"/>
      <c r="Z2053" s="10"/>
      <c r="AA2053" s="10"/>
      <c r="AB2053" s="10"/>
      <c r="AC2053" s="10"/>
      <c r="AD2053" s="10"/>
      <c r="AE2053" s="10"/>
      <c r="AF2053" s="10"/>
    </row>
    <row r="2054">
      <c r="A2054" s="7"/>
      <c r="B2054" s="26">
        <v>169.0</v>
      </c>
      <c r="C2054" s="27">
        <v>8.0</v>
      </c>
      <c r="D2054" s="8" t="s">
        <v>2800</v>
      </c>
      <c r="E2054" s="7">
        <v>0.0</v>
      </c>
      <c r="F2054" s="7"/>
      <c r="G2054" s="7" t="s">
        <v>313</v>
      </c>
      <c r="H2054" s="7" t="s">
        <v>312</v>
      </c>
      <c r="I2054" s="7"/>
      <c r="J2054" s="11"/>
      <c r="K2054" s="12"/>
      <c r="L2054" s="12"/>
      <c r="M2054" s="10"/>
      <c r="N2054" s="10"/>
      <c r="O2054" s="10"/>
      <c r="P2054" s="10"/>
      <c r="Q2054" s="10"/>
      <c r="R2054" s="10"/>
      <c r="S2054" s="10"/>
      <c r="T2054" s="10"/>
      <c r="U2054" s="10"/>
      <c r="V2054" s="10"/>
      <c r="W2054" s="10"/>
      <c r="X2054" s="10"/>
      <c r="Y2054" s="10"/>
      <c r="Z2054" s="10"/>
      <c r="AA2054" s="10"/>
      <c r="AB2054" s="10"/>
      <c r="AC2054" s="10"/>
      <c r="AD2054" s="10"/>
      <c r="AE2054" s="10"/>
      <c r="AF2054" s="10"/>
    </row>
    <row r="2055">
      <c r="A2055" s="7"/>
      <c r="B2055" s="26">
        <v>169.0</v>
      </c>
      <c r="C2055" s="27">
        <v>9.0</v>
      </c>
      <c r="D2055" s="8" t="s">
        <v>2801</v>
      </c>
      <c r="E2055" s="7">
        <v>0.0</v>
      </c>
      <c r="F2055" s="7"/>
      <c r="G2055" s="7" t="s">
        <v>313</v>
      </c>
      <c r="H2055" s="7" t="s">
        <v>312</v>
      </c>
      <c r="I2055" s="7"/>
      <c r="J2055" s="11"/>
      <c r="K2055" s="12"/>
      <c r="L2055" s="12"/>
      <c r="M2055" s="10"/>
      <c r="N2055" s="10"/>
      <c r="O2055" s="10"/>
      <c r="P2055" s="10"/>
      <c r="Q2055" s="10"/>
      <c r="R2055" s="10"/>
      <c r="S2055" s="10"/>
      <c r="T2055" s="10"/>
      <c r="U2055" s="10"/>
      <c r="V2055" s="10"/>
      <c r="W2055" s="10"/>
      <c r="X2055" s="10"/>
      <c r="Y2055" s="10"/>
      <c r="Z2055" s="10"/>
      <c r="AA2055" s="10"/>
      <c r="AB2055" s="10"/>
      <c r="AC2055" s="10"/>
      <c r="AD2055" s="10"/>
      <c r="AE2055" s="10"/>
      <c r="AF2055" s="10"/>
    </row>
    <row r="2056">
      <c r="A2056" s="7"/>
      <c r="B2056" s="26">
        <v>169.0</v>
      </c>
      <c r="C2056" s="27">
        <v>10.0</v>
      </c>
      <c r="D2056" s="8" t="s">
        <v>2802</v>
      </c>
      <c r="E2056" s="7">
        <v>0.0</v>
      </c>
      <c r="F2056" s="7"/>
      <c r="G2056" s="7" t="s">
        <v>313</v>
      </c>
      <c r="H2056" s="7" t="s">
        <v>312</v>
      </c>
      <c r="I2056" s="7"/>
      <c r="J2056" s="11"/>
      <c r="K2056" s="12"/>
      <c r="L2056" s="12"/>
      <c r="M2056" s="10"/>
      <c r="N2056" s="10"/>
      <c r="O2056" s="10"/>
      <c r="P2056" s="10"/>
      <c r="Q2056" s="10"/>
      <c r="R2056" s="10"/>
      <c r="S2056" s="10"/>
      <c r="T2056" s="10"/>
      <c r="U2056" s="10"/>
      <c r="V2056" s="10"/>
      <c r="W2056" s="10"/>
      <c r="X2056" s="10"/>
      <c r="Y2056" s="10"/>
      <c r="Z2056" s="10"/>
      <c r="AA2056" s="10"/>
      <c r="AB2056" s="10"/>
      <c r="AC2056" s="10"/>
      <c r="AD2056" s="10"/>
      <c r="AE2056" s="10"/>
      <c r="AF2056" s="10"/>
    </row>
    <row r="2057">
      <c r="A2057" s="21" t="s">
        <v>170</v>
      </c>
      <c r="B2057" s="26"/>
      <c r="C2057" s="27"/>
      <c r="D2057" s="12"/>
      <c r="E2057" s="10"/>
      <c r="F2057" s="10"/>
      <c r="G2057" s="10"/>
      <c r="H2057" s="10"/>
      <c r="I2057" s="10"/>
      <c r="J2057" s="11"/>
      <c r="K2057" s="12"/>
      <c r="L2057" s="12"/>
      <c r="M2057" s="10"/>
      <c r="N2057" s="10"/>
      <c r="O2057" s="10"/>
      <c r="P2057" s="10"/>
      <c r="Q2057" s="10"/>
      <c r="R2057" s="10"/>
      <c r="S2057" s="10"/>
      <c r="T2057" s="10"/>
      <c r="U2057" s="10"/>
      <c r="V2057" s="10"/>
      <c r="W2057" s="10"/>
      <c r="X2057" s="10"/>
      <c r="Y2057" s="10"/>
      <c r="Z2057" s="10"/>
      <c r="AA2057" s="10"/>
      <c r="AB2057" s="10"/>
      <c r="AC2057" s="10"/>
      <c r="AD2057" s="10"/>
      <c r="AE2057" s="10"/>
      <c r="AF2057" s="10"/>
    </row>
    <row r="2058">
      <c r="A2058" s="7"/>
      <c r="B2058" s="26">
        <v>170.0</v>
      </c>
      <c r="C2058" s="27">
        <v>1.0</v>
      </c>
      <c r="D2058" s="8" t="s">
        <v>2803</v>
      </c>
      <c r="E2058" s="7">
        <v>0.0</v>
      </c>
      <c r="F2058" s="7"/>
      <c r="G2058" s="7" t="s">
        <v>313</v>
      </c>
      <c r="H2058" s="7" t="s">
        <v>312</v>
      </c>
      <c r="I2058" s="10"/>
      <c r="J2058" s="28"/>
      <c r="K2058" s="12"/>
      <c r="L2058" s="12"/>
      <c r="M2058" s="10"/>
      <c r="N2058" s="10"/>
      <c r="O2058" s="10"/>
      <c r="P2058" s="10"/>
      <c r="Q2058" s="10"/>
      <c r="R2058" s="10"/>
      <c r="S2058" s="10"/>
      <c r="T2058" s="10"/>
      <c r="U2058" s="10"/>
      <c r="V2058" s="10"/>
      <c r="W2058" s="10"/>
      <c r="X2058" s="10"/>
      <c r="Y2058" s="10"/>
      <c r="Z2058" s="10"/>
      <c r="AA2058" s="10"/>
      <c r="AB2058" s="10"/>
      <c r="AC2058" s="10"/>
      <c r="AD2058" s="10"/>
      <c r="AE2058" s="10"/>
      <c r="AF2058" s="10"/>
    </row>
    <row r="2059">
      <c r="A2059" s="7"/>
      <c r="B2059" s="26">
        <v>170.0</v>
      </c>
      <c r="C2059" s="27">
        <v>2.0</v>
      </c>
      <c r="D2059" s="8" t="s">
        <v>2804</v>
      </c>
      <c r="E2059" s="7">
        <v>2.0</v>
      </c>
      <c r="F2059" s="7" t="s">
        <v>320</v>
      </c>
      <c r="G2059" s="7" t="s">
        <v>313</v>
      </c>
      <c r="H2059" s="7" t="s">
        <v>312</v>
      </c>
      <c r="I2059" s="10"/>
      <c r="J2059" s="34" t="s">
        <v>2805</v>
      </c>
      <c r="K2059" s="12"/>
      <c r="L2059" s="12"/>
      <c r="M2059" s="10"/>
      <c r="N2059" s="10"/>
      <c r="O2059" s="10"/>
      <c r="P2059" s="10"/>
      <c r="Q2059" s="10"/>
      <c r="R2059" s="10"/>
      <c r="S2059" s="10"/>
      <c r="T2059" s="10"/>
      <c r="U2059" s="10"/>
      <c r="V2059" s="10"/>
      <c r="W2059" s="10"/>
      <c r="X2059" s="10"/>
      <c r="Y2059" s="10"/>
      <c r="Z2059" s="10"/>
      <c r="AA2059" s="10"/>
      <c r="AB2059" s="10"/>
      <c r="AC2059" s="10"/>
      <c r="AD2059" s="10"/>
      <c r="AE2059" s="10"/>
      <c r="AF2059" s="10"/>
    </row>
    <row r="2060">
      <c r="A2060" s="7"/>
      <c r="B2060" s="26">
        <v>170.0</v>
      </c>
      <c r="C2060" s="27">
        <v>3.0</v>
      </c>
      <c r="D2060" s="8" t="s">
        <v>2806</v>
      </c>
      <c r="E2060" s="7">
        <v>2.0</v>
      </c>
      <c r="F2060" s="7" t="s">
        <v>320</v>
      </c>
      <c r="G2060" s="7" t="s">
        <v>313</v>
      </c>
      <c r="H2060" s="7" t="s">
        <v>312</v>
      </c>
      <c r="I2060" s="10"/>
      <c r="J2060" s="9" t="s">
        <v>2807</v>
      </c>
      <c r="K2060" s="20" t="s">
        <v>2808</v>
      </c>
      <c r="L2060" s="12"/>
      <c r="M2060" s="10"/>
      <c r="N2060" s="10"/>
      <c r="O2060" s="10"/>
      <c r="P2060" s="10"/>
      <c r="Q2060" s="10"/>
      <c r="R2060" s="10"/>
      <c r="S2060" s="10"/>
      <c r="T2060" s="10"/>
      <c r="U2060" s="10"/>
      <c r="V2060" s="10"/>
      <c r="W2060" s="10"/>
      <c r="X2060" s="10"/>
      <c r="Y2060" s="10"/>
      <c r="Z2060" s="10"/>
      <c r="AA2060" s="10"/>
      <c r="AB2060" s="10"/>
      <c r="AC2060" s="10"/>
      <c r="AD2060" s="10"/>
      <c r="AE2060" s="10"/>
      <c r="AF2060" s="10"/>
    </row>
    <row r="2061">
      <c r="A2061" s="21" t="s">
        <v>171</v>
      </c>
      <c r="B2061" s="26"/>
      <c r="C2061" s="12"/>
      <c r="D2061" s="12"/>
      <c r="E2061" s="10"/>
      <c r="F2061" s="10"/>
      <c r="G2061" s="10"/>
      <c r="H2061" s="10"/>
      <c r="I2061" s="10"/>
      <c r="J2061" s="11"/>
      <c r="K2061" s="12"/>
      <c r="L2061" s="12"/>
      <c r="M2061" s="10"/>
      <c r="N2061" s="10"/>
      <c r="O2061" s="10"/>
      <c r="P2061" s="10"/>
      <c r="Q2061" s="10"/>
      <c r="R2061" s="10"/>
      <c r="S2061" s="10"/>
      <c r="T2061" s="10"/>
      <c r="U2061" s="10"/>
      <c r="V2061" s="10"/>
      <c r="W2061" s="10"/>
      <c r="X2061" s="10"/>
      <c r="Y2061" s="10"/>
      <c r="Z2061" s="10"/>
      <c r="AA2061" s="10"/>
      <c r="AB2061" s="10"/>
      <c r="AC2061" s="10"/>
      <c r="AD2061" s="10"/>
      <c r="AE2061" s="10"/>
      <c r="AF2061" s="10"/>
    </row>
    <row r="2062">
      <c r="A2062" s="7"/>
      <c r="B2062" s="26">
        <v>171.0</v>
      </c>
      <c r="C2062" s="27">
        <v>1.0</v>
      </c>
      <c r="D2062" s="8" t="s">
        <v>2809</v>
      </c>
      <c r="E2062" s="7">
        <v>2.0</v>
      </c>
      <c r="F2062" s="7" t="s">
        <v>320</v>
      </c>
      <c r="G2062" s="7" t="s">
        <v>313</v>
      </c>
      <c r="H2062" s="7" t="s">
        <v>312</v>
      </c>
      <c r="I2062" s="10"/>
      <c r="J2062" s="9" t="s">
        <v>2810</v>
      </c>
      <c r="K2062" s="20" t="s">
        <v>2811</v>
      </c>
      <c r="L2062" s="12"/>
      <c r="M2062" s="10"/>
      <c r="N2062" s="10"/>
      <c r="O2062" s="10"/>
      <c r="P2062" s="10"/>
      <c r="Q2062" s="10"/>
      <c r="R2062" s="10"/>
      <c r="S2062" s="10"/>
      <c r="T2062" s="10"/>
      <c r="U2062" s="10"/>
      <c r="V2062" s="10"/>
      <c r="W2062" s="10"/>
      <c r="X2062" s="10"/>
      <c r="Y2062" s="10"/>
      <c r="Z2062" s="10"/>
      <c r="AA2062" s="10"/>
      <c r="AB2062" s="10"/>
      <c r="AC2062" s="10"/>
      <c r="AD2062" s="10"/>
      <c r="AE2062" s="10"/>
      <c r="AF2062" s="10"/>
    </row>
    <row r="2063">
      <c r="A2063" s="7"/>
      <c r="B2063" s="26">
        <v>171.0</v>
      </c>
      <c r="C2063" s="27">
        <v>2.0</v>
      </c>
      <c r="D2063" s="8" t="s">
        <v>2812</v>
      </c>
      <c r="E2063" s="7">
        <v>2.0</v>
      </c>
      <c r="F2063" s="7" t="s">
        <v>320</v>
      </c>
      <c r="G2063" s="7" t="s">
        <v>313</v>
      </c>
      <c r="H2063" s="7" t="s">
        <v>312</v>
      </c>
      <c r="I2063" s="10"/>
      <c r="J2063" s="9" t="s">
        <v>2813</v>
      </c>
      <c r="K2063" s="20" t="s">
        <v>2811</v>
      </c>
      <c r="L2063" s="12"/>
      <c r="M2063" s="10"/>
      <c r="N2063" s="10"/>
      <c r="O2063" s="10"/>
      <c r="P2063" s="10"/>
      <c r="Q2063" s="10"/>
      <c r="R2063" s="10"/>
      <c r="S2063" s="10"/>
      <c r="T2063" s="10"/>
      <c r="U2063" s="10"/>
      <c r="V2063" s="10"/>
      <c r="W2063" s="10"/>
      <c r="X2063" s="10"/>
      <c r="Y2063" s="10"/>
      <c r="Z2063" s="10"/>
      <c r="AA2063" s="10"/>
      <c r="AB2063" s="10"/>
      <c r="AC2063" s="10"/>
      <c r="AD2063" s="10"/>
      <c r="AE2063" s="10"/>
      <c r="AF2063" s="10"/>
    </row>
    <row r="2064">
      <c r="A2064" s="7"/>
      <c r="B2064" s="26">
        <v>171.0</v>
      </c>
      <c r="C2064" s="27">
        <v>3.0</v>
      </c>
      <c r="D2064" s="8" t="s">
        <v>2814</v>
      </c>
      <c r="E2064" s="7">
        <v>0.0</v>
      </c>
      <c r="F2064" s="7"/>
      <c r="G2064" s="7" t="s">
        <v>313</v>
      </c>
      <c r="H2064" s="7" t="s">
        <v>312</v>
      </c>
      <c r="I2064" s="10"/>
      <c r="J2064" s="28"/>
      <c r="K2064" s="20" t="s">
        <v>2815</v>
      </c>
      <c r="L2064" s="12"/>
      <c r="M2064" s="10"/>
      <c r="N2064" s="10"/>
      <c r="O2064" s="10"/>
      <c r="P2064" s="10"/>
      <c r="Q2064" s="10"/>
      <c r="R2064" s="10"/>
      <c r="S2064" s="10"/>
      <c r="T2064" s="10"/>
      <c r="U2064" s="10"/>
      <c r="V2064" s="10"/>
      <c r="W2064" s="10"/>
      <c r="X2064" s="10"/>
      <c r="Y2064" s="10"/>
      <c r="Z2064" s="10"/>
      <c r="AA2064" s="10"/>
      <c r="AB2064" s="10"/>
      <c r="AC2064" s="10"/>
      <c r="AD2064" s="10"/>
      <c r="AE2064" s="10"/>
      <c r="AF2064" s="10"/>
    </row>
    <row r="2065">
      <c r="A2065" s="7"/>
      <c r="B2065" s="26">
        <v>171.0</v>
      </c>
      <c r="C2065" s="27">
        <v>4.0</v>
      </c>
      <c r="D2065" s="8" t="s">
        <v>2816</v>
      </c>
      <c r="E2065" s="7">
        <v>2.0</v>
      </c>
      <c r="F2065" s="7" t="s">
        <v>320</v>
      </c>
      <c r="G2065" s="7" t="s">
        <v>313</v>
      </c>
      <c r="H2065" s="7" t="s">
        <v>312</v>
      </c>
      <c r="I2065" s="10"/>
      <c r="J2065" s="9" t="s">
        <v>2817</v>
      </c>
      <c r="K2065" s="20" t="s">
        <v>2811</v>
      </c>
      <c r="L2065" s="12"/>
      <c r="M2065" s="10"/>
      <c r="N2065" s="10"/>
      <c r="O2065" s="10"/>
      <c r="P2065" s="10"/>
      <c r="Q2065" s="10"/>
      <c r="R2065" s="10"/>
      <c r="S2065" s="10"/>
      <c r="T2065" s="10"/>
      <c r="U2065" s="10"/>
      <c r="V2065" s="10"/>
      <c r="W2065" s="10"/>
      <c r="X2065" s="10"/>
      <c r="Y2065" s="10"/>
      <c r="Z2065" s="10"/>
      <c r="AA2065" s="10"/>
      <c r="AB2065" s="10"/>
      <c r="AC2065" s="10"/>
      <c r="AD2065" s="10"/>
      <c r="AE2065" s="10"/>
      <c r="AF2065" s="10"/>
    </row>
    <row r="2066">
      <c r="A2066" s="7"/>
      <c r="B2066" s="26">
        <v>171.0</v>
      </c>
      <c r="C2066" s="27">
        <v>5.0</v>
      </c>
      <c r="D2066" s="8" t="s">
        <v>2818</v>
      </c>
      <c r="E2066" s="7">
        <v>0.0</v>
      </c>
      <c r="F2066" s="7"/>
      <c r="G2066" s="7" t="s">
        <v>313</v>
      </c>
      <c r="H2066" s="7" t="s">
        <v>312</v>
      </c>
      <c r="I2066" s="10"/>
      <c r="J2066" s="11"/>
      <c r="K2066" s="20" t="s">
        <v>2815</v>
      </c>
      <c r="L2066" s="12"/>
      <c r="M2066" s="10"/>
      <c r="N2066" s="10"/>
      <c r="O2066" s="10"/>
      <c r="P2066" s="10"/>
      <c r="Q2066" s="10"/>
      <c r="R2066" s="10"/>
      <c r="S2066" s="10"/>
      <c r="T2066" s="10"/>
      <c r="U2066" s="10"/>
      <c r="V2066" s="10"/>
      <c r="W2066" s="10"/>
      <c r="X2066" s="10"/>
      <c r="Y2066" s="10"/>
      <c r="Z2066" s="10"/>
      <c r="AA2066" s="10"/>
      <c r="AB2066" s="10"/>
      <c r="AC2066" s="10"/>
      <c r="AD2066" s="10"/>
      <c r="AE2066" s="10"/>
      <c r="AF2066" s="10"/>
    </row>
    <row r="2067">
      <c r="A2067" s="7"/>
      <c r="B2067" s="26">
        <v>171.0</v>
      </c>
      <c r="C2067" s="27">
        <v>6.0</v>
      </c>
      <c r="D2067" s="8" t="s">
        <v>2819</v>
      </c>
      <c r="E2067" s="7">
        <v>0.0</v>
      </c>
      <c r="F2067" s="7"/>
      <c r="G2067" s="7" t="s">
        <v>313</v>
      </c>
      <c r="H2067" s="7" t="s">
        <v>312</v>
      </c>
      <c r="I2067" s="10"/>
      <c r="J2067" s="11"/>
      <c r="K2067" s="12"/>
      <c r="L2067" s="12"/>
      <c r="M2067" s="10"/>
      <c r="N2067" s="10"/>
      <c r="O2067" s="10"/>
      <c r="P2067" s="10"/>
      <c r="Q2067" s="10"/>
      <c r="R2067" s="10"/>
      <c r="S2067" s="10"/>
      <c r="T2067" s="10"/>
      <c r="U2067" s="10"/>
      <c r="V2067" s="10"/>
      <c r="W2067" s="10"/>
      <c r="X2067" s="10"/>
      <c r="Y2067" s="10"/>
      <c r="Z2067" s="10"/>
      <c r="AA2067" s="10"/>
      <c r="AB2067" s="10"/>
      <c r="AC2067" s="10"/>
      <c r="AD2067" s="10"/>
      <c r="AE2067" s="10"/>
      <c r="AF2067" s="10"/>
    </row>
    <row r="2068">
      <c r="A2068" s="7"/>
      <c r="B2068" s="26">
        <v>171.0</v>
      </c>
      <c r="C2068" s="27">
        <v>7.0</v>
      </c>
      <c r="D2068" s="8" t="s">
        <v>2820</v>
      </c>
      <c r="E2068" s="7">
        <v>0.0</v>
      </c>
      <c r="F2068" s="7"/>
      <c r="G2068" s="7" t="s">
        <v>313</v>
      </c>
      <c r="H2068" s="7" t="s">
        <v>312</v>
      </c>
      <c r="I2068" s="10"/>
      <c r="J2068" s="11"/>
      <c r="K2068" s="12"/>
      <c r="L2068" s="12"/>
      <c r="M2068" s="10"/>
      <c r="N2068" s="10"/>
      <c r="O2068" s="10"/>
      <c r="P2068" s="10"/>
      <c r="Q2068" s="10"/>
      <c r="R2068" s="10"/>
      <c r="S2068" s="10"/>
      <c r="T2068" s="10"/>
      <c r="U2068" s="10"/>
      <c r="V2068" s="10"/>
      <c r="W2068" s="10"/>
      <c r="X2068" s="10"/>
      <c r="Y2068" s="10"/>
      <c r="Z2068" s="10"/>
      <c r="AA2068" s="10"/>
      <c r="AB2068" s="10"/>
      <c r="AC2068" s="10"/>
      <c r="AD2068" s="10"/>
      <c r="AE2068" s="10"/>
      <c r="AF2068" s="10"/>
    </row>
    <row r="2069">
      <c r="A2069" s="7"/>
      <c r="B2069" s="26">
        <v>171.0</v>
      </c>
      <c r="C2069" s="27">
        <v>8.0</v>
      </c>
      <c r="D2069" s="8" t="s">
        <v>2821</v>
      </c>
      <c r="E2069" s="7">
        <v>0.0</v>
      </c>
      <c r="F2069" s="7"/>
      <c r="G2069" s="7" t="s">
        <v>313</v>
      </c>
      <c r="H2069" s="7" t="s">
        <v>312</v>
      </c>
      <c r="I2069" s="10"/>
      <c r="J2069" s="11"/>
      <c r="K2069" s="12"/>
      <c r="L2069" s="12"/>
      <c r="M2069" s="10"/>
      <c r="N2069" s="10"/>
      <c r="O2069" s="10"/>
      <c r="P2069" s="10"/>
      <c r="Q2069" s="10"/>
      <c r="R2069" s="10"/>
      <c r="S2069" s="10"/>
      <c r="T2069" s="10"/>
      <c r="U2069" s="10"/>
      <c r="V2069" s="10"/>
      <c r="W2069" s="10"/>
      <c r="X2069" s="10"/>
      <c r="Y2069" s="10"/>
      <c r="Z2069" s="10"/>
      <c r="AA2069" s="10"/>
      <c r="AB2069" s="10"/>
      <c r="AC2069" s="10"/>
      <c r="AD2069" s="10"/>
      <c r="AE2069" s="10"/>
      <c r="AF2069" s="10"/>
    </row>
    <row r="2070">
      <c r="A2070" s="7"/>
      <c r="B2070" s="26">
        <v>171.0</v>
      </c>
      <c r="C2070" s="27">
        <v>9.0</v>
      </c>
      <c r="D2070" s="8" t="s">
        <v>2822</v>
      </c>
      <c r="E2070" s="7">
        <v>0.0</v>
      </c>
      <c r="F2070" s="7"/>
      <c r="G2070" s="7" t="s">
        <v>313</v>
      </c>
      <c r="H2070" s="7" t="s">
        <v>312</v>
      </c>
      <c r="I2070" s="10"/>
      <c r="J2070" s="11"/>
      <c r="K2070" s="12"/>
      <c r="L2070" s="12"/>
      <c r="M2070" s="10"/>
      <c r="N2070" s="10"/>
      <c r="O2070" s="10"/>
      <c r="P2070" s="10"/>
      <c r="Q2070" s="10"/>
      <c r="R2070" s="10"/>
      <c r="S2070" s="10"/>
      <c r="T2070" s="10"/>
      <c r="U2070" s="10"/>
      <c r="V2070" s="10"/>
      <c r="W2070" s="10"/>
      <c r="X2070" s="10"/>
      <c r="Y2070" s="10"/>
      <c r="Z2070" s="10"/>
      <c r="AA2070" s="10"/>
      <c r="AB2070" s="10"/>
      <c r="AC2070" s="10"/>
      <c r="AD2070" s="10"/>
      <c r="AE2070" s="10"/>
      <c r="AF2070" s="10"/>
    </row>
    <row r="2071">
      <c r="A2071" s="7"/>
      <c r="B2071" s="26">
        <v>171.0</v>
      </c>
      <c r="C2071" s="27">
        <v>10.0</v>
      </c>
      <c r="D2071" s="8" t="s">
        <v>2823</v>
      </c>
      <c r="E2071" s="7">
        <v>2.0</v>
      </c>
      <c r="F2071" s="7" t="s">
        <v>320</v>
      </c>
      <c r="G2071" s="7" t="s">
        <v>313</v>
      </c>
      <c r="H2071" s="7" t="s">
        <v>312</v>
      </c>
      <c r="I2071" s="10"/>
      <c r="J2071" s="11"/>
      <c r="K2071" s="20" t="s">
        <v>2764</v>
      </c>
      <c r="L2071" s="12"/>
      <c r="M2071" s="10"/>
      <c r="N2071" s="10"/>
      <c r="O2071" s="10"/>
      <c r="P2071" s="10"/>
      <c r="Q2071" s="10"/>
      <c r="R2071" s="10"/>
      <c r="S2071" s="10"/>
      <c r="T2071" s="10"/>
      <c r="U2071" s="10"/>
      <c r="V2071" s="10"/>
      <c r="W2071" s="10"/>
      <c r="X2071" s="10"/>
      <c r="Y2071" s="10"/>
      <c r="Z2071" s="10"/>
      <c r="AA2071" s="10"/>
      <c r="AB2071" s="10"/>
      <c r="AC2071" s="10"/>
      <c r="AD2071" s="10"/>
      <c r="AE2071" s="10"/>
      <c r="AF2071" s="10"/>
    </row>
    <row r="2072">
      <c r="A2072" s="7"/>
      <c r="B2072" s="26">
        <v>171.0</v>
      </c>
      <c r="C2072" s="27">
        <v>11.0</v>
      </c>
      <c r="D2072" s="8" t="s">
        <v>2824</v>
      </c>
      <c r="E2072" s="7">
        <v>0.0</v>
      </c>
      <c r="F2072" s="7"/>
      <c r="G2072" s="7" t="s">
        <v>313</v>
      </c>
      <c r="H2072" s="7" t="s">
        <v>312</v>
      </c>
      <c r="I2072" s="10"/>
      <c r="J2072" s="11"/>
      <c r="K2072" s="12"/>
      <c r="L2072" s="12"/>
      <c r="M2072" s="10"/>
      <c r="N2072" s="10"/>
      <c r="O2072" s="10"/>
      <c r="P2072" s="10"/>
      <c r="Q2072" s="10"/>
      <c r="R2072" s="10"/>
      <c r="S2072" s="10"/>
      <c r="T2072" s="10"/>
      <c r="U2072" s="10"/>
      <c r="V2072" s="10"/>
      <c r="W2072" s="10"/>
      <c r="X2072" s="10"/>
      <c r="Y2072" s="10"/>
      <c r="Z2072" s="10"/>
      <c r="AA2072" s="10"/>
      <c r="AB2072" s="10"/>
      <c r="AC2072" s="10"/>
      <c r="AD2072" s="10"/>
      <c r="AE2072" s="10"/>
      <c r="AF2072" s="10"/>
    </row>
    <row r="2073">
      <c r="A2073" s="7"/>
      <c r="B2073" s="26">
        <v>171.0</v>
      </c>
      <c r="C2073" s="27">
        <v>12.0</v>
      </c>
      <c r="D2073" s="8" t="s">
        <v>2825</v>
      </c>
      <c r="E2073" s="7">
        <v>0.0</v>
      </c>
      <c r="F2073" s="7"/>
      <c r="G2073" s="7" t="s">
        <v>313</v>
      </c>
      <c r="H2073" s="7" t="s">
        <v>312</v>
      </c>
      <c r="I2073" s="10"/>
      <c r="J2073" s="11"/>
      <c r="K2073" s="12"/>
      <c r="L2073" s="12"/>
      <c r="M2073" s="10"/>
      <c r="N2073" s="10"/>
      <c r="O2073" s="10"/>
      <c r="P2073" s="10"/>
      <c r="Q2073" s="10"/>
      <c r="R2073" s="10"/>
      <c r="S2073" s="10"/>
      <c r="T2073" s="10"/>
      <c r="U2073" s="10"/>
      <c r="V2073" s="10"/>
      <c r="W2073" s="10"/>
      <c r="X2073" s="10"/>
      <c r="Y2073" s="10"/>
      <c r="Z2073" s="10"/>
      <c r="AA2073" s="10"/>
      <c r="AB2073" s="10"/>
      <c r="AC2073" s="10"/>
      <c r="AD2073" s="10"/>
      <c r="AE2073" s="10"/>
      <c r="AF2073" s="10"/>
    </row>
    <row r="2074">
      <c r="A2074" s="7"/>
      <c r="B2074" s="26">
        <v>171.0</v>
      </c>
      <c r="C2074" s="27">
        <v>13.0</v>
      </c>
      <c r="D2074" s="8" t="s">
        <v>2826</v>
      </c>
      <c r="E2074" s="7">
        <v>0.0</v>
      </c>
      <c r="F2074" s="7"/>
      <c r="G2074" s="7" t="s">
        <v>313</v>
      </c>
      <c r="H2074" s="7" t="s">
        <v>312</v>
      </c>
      <c r="I2074" s="10"/>
      <c r="J2074" s="11"/>
      <c r="K2074" s="12"/>
      <c r="L2074" s="12"/>
      <c r="M2074" s="10"/>
      <c r="N2074" s="10"/>
      <c r="O2074" s="10"/>
      <c r="P2074" s="10"/>
      <c r="Q2074" s="10"/>
      <c r="R2074" s="10"/>
      <c r="S2074" s="10"/>
      <c r="T2074" s="10"/>
      <c r="U2074" s="10"/>
      <c r="V2074" s="10"/>
      <c r="W2074" s="10"/>
      <c r="X2074" s="10"/>
      <c r="Y2074" s="10"/>
      <c r="Z2074" s="10"/>
      <c r="AA2074" s="10"/>
      <c r="AB2074" s="10"/>
      <c r="AC2074" s="10"/>
      <c r="AD2074" s="10"/>
      <c r="AE2074" s="10"/>
      <c r="AF2074" s="10"/>
    </row>
    <row r="2075">
      <c r="A2075" s="7"/>
      <c r="B2075" s="26">
        <v>171.0</v>
      </c>
      <c r="C2075" s="27">
        <v>14.0</v>
      </c>
      <c r="D2075" s="8" t="s">
        <v>2827</v>
      </c>
      <c r="E2075" s="7">
        <v>0.0</v>
      </c>
      <c r="F2075" s="7"/>
      <c r="G2075" s="7" t="s">
        <v>313</v>
      </c>
      <c r="H2075" s="7" t="s">
        <v>312</v>
      </c>
      <c r="I2075" s="10"/>
      <c r="J2075" s="11"/>
      <c r="K2075" s="12"/>
      <c r="L2075" s="12"/>
      <c r="M2075" s="10"/>
      <c r="N2075" s="10"/>
      <c r="O2075" s="10"/>
      <c r="P2075" s="10"/>
      <c r="Q2075" s="10"/>
      <c r="R2075" s="10"/>
      <c r="S2075" s="10"/>
      <c r="T2075" s="10"/>
      <c r="U2075" s="10"/>
      <c r="V2075" s="10"/>
      <c r="W2075" s="10"/>
      <c r="X2075" s="10"/>
      <c r="Y2075" s="10"/>
      <c r="Z2075" s="10"/>
      <c r="AA2075" s="10"/>
      <c r="AB2075" s="10"/>
      <c r="AC2075" s="10"/>
      <c r="AD2075" s="10"/>
      <c r="AE2075" s="10"/>
      <c r="AF2075" s="10"/>
    </row>
    <row r="2076">
      <c r="A2076" s="7"/>
      <c r="B2076" s="26">
        <v>171.0</v>
      </c>
      <c r="C2076" s="27">
        <v>15.0</v>
      </c>
      <c r="D2076" s="8" t="s">
        <v>2828</v>
      </c>
      <c r="E2076" s="7">
        <v>2.0</v>
      </c>
      <c r="F2076" s="7" t="s">
        <v>320</v>
      </c>
      <c r="G2076" s="7" t="s">
        <v>313</v>
      </c>
      <c r="H2076" s="7" t="s">
        <v>312</v>
      </c>
      <c r="I2076" s="10"/>
      <c r="J2076" s="11"/>
      <c r="K2076" s="20" t="s">
        <v>2764</v>
      </c>
      <c r="L2076" s="12"/>
      <c r="M2076" s="10"/>
      <c r="N2076" s="10"/>
      <c r="O2076" s="10"/>
      <c r="P2076" s="10"/>
      <c r="Q2076" s="10"/>
      <c r="R2076" s="10"/>
      <c r="S2076" s="10"/>
      <c r="T2076" s="10"/>
      <c r="U2076" s="10"/>
      <c r="V2076" s="10"/>
      <c r="W2076" s="10"/>
      <c r="X2076" s="10"/>
      <c r="Y2076" s="10"/>
      <c r="Z2076" s="10"/>
      <c r="AA2076" s="10"/>
      <c r="AB2076" s="10"/>
      <c r="AC2076" s="10"/>
      <c r="AD2076" s="10"/>
      <c r="AE2076" s="10"/>
      <c r="AF2076" s="10"/>
    </row>
    <row r="2077">
      <c r="A2077" s="21" t="s">
        <v>172</v>
      </c>
      <c r="B2077" s="12"/>
      <c r="C2077" s="12"/>
      <c r="D2077" s="12"/>
      <c r="E2077" s="10"/>
      <c r="F2077" s="10"/>
      <c r="G2077" s="10"/>
      <c r="H2077" s="10"/>
      <c r="I2077" s="10"/>
      <c r="J2077" s="11"/>
      <c r="K2077" s="12"/>
      <c r="L2077" s="12"/>
      <c r="M2077" s="10"/>
      <c r="N2077" s="10"/>
      <c r="O2077" s="10"/>
      <c r="P2077" s="10"/>
      <c r="Q2077" s="10"/>
      <c r="R2077" s="10"/>
      <c r="S2077" s="10"/>
      <c r="T2077" s="10"/>
      <c r="U2077" s="10"/>
      <c r="V2077" s="10"/>
      <c r="W2077" s="10"/>
      <c r="X2077" s="10"/>
      <c r="Y2077" s="10"/>
      <c r="Z2077" s="10"/>
      <c r="AA2077" s="10"/>
      <c r="AB2077" s="10"/>
      <c r="AC2077" s="10"/>
      <c r="AD2077" s="10"/>
      <c r="AE2077" s="10"/>
      <c r="AF2077" s="10"/>
    </row>
    <row r="2078">
      <c r="A2078" s="7"/>
      <c r="B2078" s="26">
        <v>172.0</v>
      </c>
      <c r="C2078" s="27">
        <v>1.0</v>
      </c>
      <c r="D2078" s="8" t="s">
        <v>2829</v>
      </c>
      <c r="E2078" s="7">
        <v>0.0</v>
      </c>
      <c r="F2078" s="7"/>
      <c r="G2078" s="7" t="s">
        <v>313</v>
      </c>
      <c r="H2078" s="7" t="s">
        <v>312</v>
      </c>
      <c r="I2078" s="10"/>
      <c r="J2078" s="9" t="s">
        <v>2830</v>
      </c>
      <c r="K2078" s="12"/>
      <c r="L2078" s="12"/>
      <c r="M2078" s="10"/>
      <c r="N2078" s="10"/>
      <c r="O2078" s="10"/>
      <c r="P2078" s="10"/>
      <c r="Q2078" s="10"/>
      <c r="R2078" s="10"/>
      <c r="S2078" s="10"/>
      <c r="T2078" s="10"/>
      <c r="U2078" s="10"/>
      <c r="V2078" s="10"/>
      <c r="W2078" s="10"/>
      <c r="X2078" s="10"/>
      <c r="Y2078" s="10"/>
      <c r="Z2078" s="10"/>
      <c r="AA2078" s="10"/>
      <c r="AB2078" s="10"/>
      <c r="AC2078" s="10"/>
      <c r="AD2078" s="10"/>
      <c r="AE2078" s="10"/>
      <c r="AF2078" s="10"/>
    </row>
    <row r="2079">
      <c r="A2079" s="7"/>
      <c r="B2079" s="26">
        <v>172.0</v>
      </c>
      <c r="C2079" s="27">
        <v>2.0</v>
      </c>
      <c r="D2079" s="8" t="s">
        <v>2831</v>
      </c>
      <c r="E2079" s="7">
        <v>0.0</v>
      </c>
      <c r="F2079" s="7"/>
      <c r="G2079" s="7" t="s">
        <v>313</v>
      </c>
      <c r="H2079" s="7" t="s">
        <v>312</v>
      </c>
      <c r="I2079" s="10"/>
      <c r="J2079" s="9" t="s">
        <v>2832</v>
      </c>
      <c r="K2079" s="12"/>
      <c r="L2079" s="12"/>
      <c r="M2079" s="10"/>
      <c r="N2079" s="10"/>
      <c r="O2079" s="10"/>
      <c r="P2079" s="10"/>
      <c r="Q2079" s="10"/>
      <c r="R2079" s="10"/>
      <c r="S2079" s="10"/>
      <c r="T2079" s="10"/>
      <c r="U2079" s="10"/>
      <c r="V2079" s="10"/>
      <c r="W2079" s="10"/>
      <c r="X2079" s="10"/>
      <c r="Y2079" s="10"/>
      <c r="Z2079" s="10"/>
      <c r="AA2079" s="10"/>
      <c r="AB2079" s="10"/>
      <c r="AC2079" s="10"/>
      <c r="AD2079" s="10"/>
      <c r="AE2079" s="10"/>
      <c r="AF2079" s="10"/>
    </row>
    <row r="2080">
      <c r="A2080" s="7"/>
      <c r="B2080" s="26">
        <v>172.0</v>
      </c>
      <c r="C2080" s="27">
        <v>3.0</v>
      </c>
      <c r="D2080" s="8" t="s">
        <v>2833</v>
      </c>
      <c r="E2080" s="7">
        <v>0.0</v>
      </c>
      <c r="F2080" s="7"/>
      <c r="G2080" s="7" t="s">
        <v>313</v>
      </c>
      <c r="H2080" s="7" t="s">
        <v>312</v>
      </c>
      <c r="I2080" s="10"/>
      <c r="J2080" s="9" t="s">
        <v>2834</v>
      </c>
      <c r="K2080" s="12"/>
      <c r="L2080" s="12"/>
      <c r="M2080" s="10"/>
      <c r="N2080" s="10"/>
      <c r="O2080" s="10"/>
      <c r="P2080" s="10"/>
      <c r="Q2080" s="10"/>
      <c r="R2080" s="10"/>
      <c r="S2080" s="10"/>
      <c r="T2080" s="10"/>
      <c r="U2080" s="10"/>
      <c r="V2080" s="10"/>
      <c r="W2080" s="10"/>
      <c r="X2080" s="10"/>
      <c r="Y2080" s="10"/>
      <c r="Z2080" s="10"/>
      <c r="AA2080" s="10"/>
      <c r="AB2080" s="10"/>
      <c r="AC2080" s="10"/>
      <c r="AD2080" s="10"/>
      <c r="AE2080" s="10"/>
      <c r="AF2080" s="10"/>
    </row>
    <row r="2081">
      <c r="A2081" s="7"/>
      <c r="B2081" s="26">
        <v>172.0</v>
      </c>
      <c r="C2081" s="27">
        <v>4.0</v>
      </c>
      <c r="D2081" s="8" t="s">
        <v>2835</v>
      </c>
      <c r="E2081" s="7">
        <v>0.0</v>
      </c>
      <c r="F2081" s="7"/>
      <c r="G2081" s="7" t="s">
        <v>313</v>
      </c>
      <c r="H2081" s="7" t="s">
        <v>312</v>
      </c>
      <c r="I2081" s="10"/>
      <c r="J2081" s="9" t="s">
        <v>2836</v>
      </c>
      <c r="K2081" s="12"/>
      <c r="L2081" s="12"/>
      <c r="M2081" s="10"/>
      <c r="N2081" s="10"/>
      <c r="O2081" s="10"/>
      <c r="P2081" s="10"/>
      <c r="Q2081" s="10"/>
      <c r="R2081" s="10"/>
      <c r="S2081" s="10"/>
      <c r="T2081" s="10"/>
      <c r="U2081" s="10"/>
      <c r="V2081" s="10"/>
      <c r="W2081" s="10"/>
      <c r="X2081" s="10"/>
      <c r="Y2081" s="10"/>
      <c r="Z2081" s="10"/>
      <c r="AA2081" s="10"/>
      <c r="AB2081" s="10"/>
      <c r="AC2081" s="10"/>
      <c r="AD2081" s="10"/>
      <c r="AE2081" s="10"/>
      <c r="AF2081" s="10"/>
    </row>
    <row r="2082">
      <c r="A2082" s="7"/>
      <c r="B2082" s="26">
        <v>172.0</v>
      </c>
      <c r="C2082" s="27">
        <v>5.0</v>
      </c>
      <c r="D2082" s="8" t="s">
        <v>2837</v>
      </c>
      <c r="E2082" s="7">
        <v>0.0</v>
      </c>
      <c r="F2082" s="7"/>
      <c r="G2082" s="7" t="s">
        <v>313</v>
      </c>
      <c r="H2082" s="7" t="s">
        <v>312</v>
      </c>
      <c r="I2082" s="10"/>
      <c r="J2082" s="11"/>
      <c r="K2082" s="12"/>
      <c r="L2082" s="12"/>
      <c r="M2082" s="10"/>
      <c r="N2082" s="10"/>
      <c r="O2082" s="10"/>
      <c r="P2082" s="10"/>
      <c r="Q2082" s="10"/>
      <c r="R2082" s="10"/>
      <c r="S2082" s="10"/>
      <c r="T2082" s="10"/>
      <c r="U2082" s="10"/>
      <c r="V2082" s="10"/>
      <c r="W2082" s="10"/>
      <c r="X2082" s="10"/>
      <c r="Y2082" s="10"/>
      <c r="Z2082" s="10"/>
      <c r="AA2082" s="10"/>
      <c r="AB2082" s="10"/>
      <c r="AC2082" s="10"/>
      <c r="AD2082" s="10"/>
      <c r="AE2082" s="10"/>
      <c r="AF2082" s="10"/>
    </row>
    <row r="2083">
      <c r="A2083" s="7"/>
      <c r="B2083" s="26">
        <v>172.0</v>
      </c>
      <c r="C2083" s="27">
        <v>6.0</v>
      </c>
      <c r="D2083" s="8" t="s">
        <v>2838</v>
      </c>
      <c r="E2083" s="7">
        <v>0.0</v>
      </c>
      <c r="F2083" s="7"/>
      <c r="G2083" s="7" t="s">
        <v>313</v>
      </c>
      <c r="H2083" s="7" t="s">
        <v>312</v>
      </c>
      <c r="I2083" s="10"/>
      <c r="J2083" s="11"/>
      <c r="K2083" s="12"/>
      <c r="L2083" s="12"/>
      <c r="M2083" s="10"/>
      <c r="N2083" s="10"/>
      <c r="O2083" s="10"/>
      <c r="P2083" s="10"/>
      <c r="Q2083" s="10"/>
      <c r="R2083" s="10"/>
      <c r="S2083" s="10"/>
      <c r="T2083" s="10"/>
      <c r="U2083" s="10"/>
      <c r="V2083" s="10"/>
      <c r="W2083" s="10"/>
      <c r="X2083" s="10"/>
      <c r="Y2083" s="10"/>
      <c r="Z2083" s="10"/>
      <c r="AA2083" s="10"/>
      <c r="AB2083" s="10"/>
      <c r="AC2083" s="10"/>
      <c r="AD2083" s="10"/>
      <c r="AE2083" s="10"/>
      <c r="AF2083" s="10"/>
    </row>
    <row r="2084">
      <c r="A2084" s="7"/>
      <c r="B2084" s="26">
        <v>172.0</v>
      </c>
      <c r="C2084" s="27">
        <v>7.0</v>
      </c>
      <c r="D2084" s="8" t="s">
        <v>2839</v>
      </c>
      <c r="E2084" s="7">
        <v>2.0</v>
      </c>
      <c r="F2084" s="7" t="s">
        <v>320</v>
      </c>
      <c r="G2084" s="7" t="s">
        <v>313</v>
      </c>
      <c r="H2084" s="7" t="s">
        <v>312</v>
      </c>
      <c r="I2084" s="10"/>
      <c r="J2084" s="11"/>
      <c r="K2084" s="20" t="s">
        <v>2764</v>
      </c>
      <c r="L2084" s="12"/>
      <c r="M2084" s="10"/>
      <c r="N2084" s="10"/>
      <c r="O2084" s="10"/>
      <c r="P2084" s="10"/>
      <c r="Q2084" s="10"/>
      <c r="R2084" s="10"/>
      <c r="S2084" s="10"/>
      <c r="T2084" s="10"/>
      <c r="U2084" s="10"/>
      <c r="V2084" s="10"/>
      <c r="W2084" s="10"/>
      <c r="X2084" s="10"/>
      <c r="Y2084" s="10"/>
      <c r="Z2084" s="10"/>
      <c r="AA2084" s="10"/>
      <c r="AB2084" s="10"/>
      <c r="AC2084" s="10"/>
      <c r="AD2084" s="10"/>
      <c r="AE2084" s="10"/>
      <c r="AF2084" s="10"/>
    </row>
    <row r="2085">
      <c r="A2085" s="7"/>
      <c r="B2085" s="26">
        <v>172.0</v>
      </c>
      <c r="C2085" s="27">
        <v>8.0</v>
      </c>
      <c r="D2085" s="8" t="s">
        <v>2840</v>
      </c>
      <c r="E2085" s="7">
        <v>0.0</v>
      </c>
      <c r="F2085" s="7"/>
      <c r="G2085" s="7" t="s">
        <v>313</v>
      </c>
      <c r="H2085" s="7" t="s">
        <v>312</v>
      </c>
      <c r="I2085" s="10"/>
      <c r="J2085" s="11"/>
      <c r="K2085" s="12"/>
      <c r="L2085" s="12"/>
      <c r="M2085" s="10"/>
      <c r="N2085" s="10"/>
      <c r="O2085" s="10"/>
      <c r="P2085" s="10"/>
      <c r="Q2085" s="10"/>
      <c r="R2085" s="10"/>
      <c r="S2085" s="10"/>
      <c r="T2085" s="10"/>
      <c r="U2085" s="10"/>
      <c r="V2085" s="10"/>
      <c r="W2085" s="10"/>
      <c r="X2085" s="10"/>
      <c r="Y2085" s="10"/>
      <c r="Z2085" s="10"/>
      <c r="AA2085" s="10"/>
      <c r="AB2085" s="10"/>
      <c r="AC2085" s="10"/>
      <c r="AD2085" s="10"/>
      <c r="AE2085" s="10"/>
      <c r="AF2085" s="10"/>
    </row>
    <row r="2086">
      <c r="A2086" s="7"/>
      <c r="B2086" s="26">
        <v>172.0</v>
      </c>
      <c r="C2086" s="27">
        <v>9.0</v>
      </c>
      <c r="D2086" s="8" t="s">
        <v>2841</v>
      </c>
      <c r="E2086" s="7">
        <v>0.0</v>
      </c>
      <c r="F2086" s="7"/>
      <c r="G2086" s="7" t="s">
        <v>313</v>
      </c>
      <c r="H2086" s="7" t="s">
        <v>312</v>
      </c>
      <c r="I2086" s="10"/>
      <c r="J2086" s="11"/>
      <c r="K2086" s="12"/>
      <c r="L2086" s="12"/>
      <c r="M2086" s="10"/>
      <c r="N2086" s="10"/>
      <c r="O2086" s="10"/>
      <c r="P2086" s="10"/>
      <c r="Q2086" s="10"/>
      <c r="R2086" s="10"/>
      <c r="S2086" s="10"/>
      <c r="T2086" s="10"/>
      <c r="U2086" s="10"/>
      <c r="V2086" s="10"/>
      <c r="W2086" s="10"/>
      <c r="X2086" s="10"/>
      <c r="Y2086" s="10"/>
      <c r="Z2086" s="10"/>
      <c r="AA2086" s="10"/>
      <c r="AB2086" s="10"/>
      <c r="AC2086" s="10"/>
      <c r="AD2086" s="10"/>
      <c r="AE2086" s="10"/>
      <c r="AF2086" s="10"/>
    </row>
    <row r="2087">
      <c r="A2087" s="7"/>
      <c r="B2087" s="26">
        <v>172.0</v>
      </c>
      <c r="C2087" s="27">
        <v>10.0</v>
      </c>
      <c r="D2087" s="8" t="s">
        <v>2842</v>
      </c>
      <c r="E2087" s="7">
        <v>0.0</v>
      </c>
      <c r="F2087" s="7"/>
      <c r="G2087" s="7" t="s">
        <v>313</v>
      </c>
      <c r="H2087" s="7" t="s">
        <v>312</v>
      </c>
      <c r="I2087" s="10"/>
      <c r="J2087" s="11"/>
      <c r="K2087" s="12"/>
      <c r="L2087" s="12"/>
      <c r="M2087" s="10"/>
      <c r="N2087" s="10"/>
      <c r="O2087" s="10"/>
      <c r="P2087" s="10"/>
      <c r="Q2087" s="10"/>
      <c r="R2087" s="10"/>
      <c r="S2087" s="10"/>
      <c r="T2087" s="10"/>
      <c r="U2087" s="10"/>
      <c r="V2087" s="10"/>
      <c r="W2087" s="10"/>
      <c r="X2087" s="10"/>
      <c r="Y2087" s="10"/>
      <c r="Z2087" s="10"/>
      <c r="AA2087" s="10"/>
      <c r="AB2087" s="10"/>
      <c r="AC2087" s="10"/>
      <c r="AD2087" s="10"/>
      <c r="AE2087" s="10"/>
      <c r="AF2087" s="10"/>
    </row>
    <row r="2088">
      <c r="A2088" s="7"/>
      <c r="B2088" s="26">
        <v>172.0</v>
      </c>
      <c r="C2088" s="27">
        <v>11.0</v>
      </c>
      <c r="D2088" s="8" t="s">
        <v>2843</v>
      </c>
      <c r="E2088" s="7">
        <v>0.0</v>
      </c>
      <c r="F2088" s="7"/>
      <c r="G2088" s="7" t="s">
        <v>313</v>
      </c>
      <c r="H2088" s="7" t="s">
        <v>312</v>
      </c>
      <c r="I2088" s="10"/>
      <c r="J2088" s="11"/>
      <c r="K2088" s="12"/>
      <c r="L2088" s="12"/>
      <c r="M2088" s="10"/>
      <c r="N2088" s="10"/>
      <c r="O2088" s="10"/>
      <c r="P2088" s="10"/>
      <c r="Q2088" s="10"/>
      <c r="R2088" s="10"/>
      <c r="S2088" s="10"/>
      <c r="T2088" s="10"/>
      <c r="U2088" s="10"/>
      <c r="V2088" s="10"/>
      <c r="W2088" s="10"/>
      <c r="X2088" s="10"/>
      <c r="Y2088" s="10"/>
      <c r="Z2088" s="10"/>
      <c r="AA2088" s="10"/>
      <c r="AB2088" s="10"/>
      <c r="AC2088" s="10"/>
      <c r="AD2088" s="10"/>
      <c r="AE2088" s="10"/>
      <c r="AF2088" s="10"/>
    </row>
    <row r="2089">
      <c r="A2089" s="7"/>
      <c r="B2089" s="26">
        <v>172.0</v>
      </c>
      <c r="C2089" s="27">
        <v>12.0</v>
      </c>
      <c r="D2089" s="8" t="s">
        <v>2844</v>
      </c>
      <c r="E2089" s="7">
        <v>0.0</v>
      </c>
      <c r="F2089" s="7"/>
      <c r="G2089" s="7" t="s">
        <v>313</v>
      </c>
      <c r="H2089" s="7" t="s">
        <v>312</v>
      </c>
      <c r="I2089" s="10"/>
      <c r="J2089" s="11"/>
      <c r="K2089" s="12"/>
      <c r="L2089" s="12"/>
      <c r="M2089" s="10"/>
      <c r="N2089" s="10"/>
      <c r="O2089" s="10"/>
      <c r="P2089" s="10"/>
      <c r="Q2089" s="10"/>
      <c r="R2089" s="10"/>
      <c r="S2089" s="10"/>
      <c r="T2089" s="10"/>
      <c r="U2089" s="10"/>
      <c r="V2089" s="10"/>
      <c r="W2089" s="10"/>
      <c r="X2089" s="10"/>
      <c r="Y2089" s="10"/>
      <c r="Z2089" s="10"/>
      <c r="AA2089" s="10"/>
      <c r="AB2089" s="10"/>
      <c r="AC2089" s="10"/>
      <c r="AD2089" s="10"/>
      <c r="AE2089" s="10"/>
      <c r="AF2089" s="10"/>
    </row>
    <row r="2090">
      <c r="A2090" s="7"/>
      <c r="B2090" s="26">
        <v>172.0</v>
      </c>
      <c r="C2090" s="27">
        <v>13.0</v>
      </c>
      <c r="D2090" s="8" t="s">
        <v>2845</v>
      </c>
      <c r="E2090" s="7">
        <v>0.0</v>
      </c>
      <c r="F2090" s="7"/>
      <c r="G2090" s="7" t="s">
        <v>313</v>
      </c>
      <c r="H2090" s="7" t="s">
        <v>312</v>
      </c>
      <c r="I2090" s="10"/>
      <c r="J2090" s="11"/>
      <c r="K2090" s="12"/>
      <c r="L2090" s="12"/>
      <c r="M2090" s="10"/>
      <c r="N2090" s="10"/>
      <c r="O2090" s="10"/>
      <c r="P2090" s="10"/>
      <c r="Q2090" s="10"/>
      <c r="R2090" s="10"/>
      <c r="S2090" s="10"/>
      <c r="T2090" s="10"/>
      <c r="U2090" s="10"/>
      <c r="V2090" s="10"/>
      <c r="W2090" s="10"/>
      <c r="X2090" s="10"/>
      <c r="Y2090" s="10"/>
      <c r="Z2090" s="10"/>
      <c r="AA2090" s="10"/>
      <c r="AB2090" s="10"/>
      <c r="AC2090" s="10"/>
      <c r="AD2090" s="10"/>
      <c r="AE2090" s="10"/>
      <c r="AF2090" s="10"/>
    </row>
    <row r="2091">
      <c r="A2091" s="7"/>
      <c r="B2091" s="26">
        <v>172.0</v>
      </c>
      <c r="C2091" s="27">
        <v>14.0</v>
      </c>
      <c r="D2091" s="8" t="s">
        <v>2846</v>
      </c>
      <c r="E2091" s="7">
        <v>0.0</v>
      </c>
      <c r="F2091" s="7"/>
      <c r="G2091" s="7" t="s">
        <v>313</v>
      </c>
      <c r="H2091" s="7" t="s">
        <v>312</v>
      </c>
      <c r="I2091" s="10"/>
      <c r="J2091" s="11"/>
      <c r="K2091" s="12"/>
      <c r="L2091" s="12"/>
      <c r="M2091" s="10"/>
      <c r="N2091" s="10"/>
      <c r="O2091" s="10"/>
      <c r="P2091" s="10"/>
      <c r="Q2091" s="10"/>
      <c r="R2091" s="10"/>
      <c r="S2091" s="10"/>
      <c r="T2091" s="10"/>
      <c r="U2091" s="10"/>
      <c r="V2091" s="10"/>
      <c r="W2091" s="10"/>
      <c r="X2091" s="10"/>
      <c r="Y2091" s="10"/>
      <c r="Z2091" s="10"/>
      <c r="AA2091" s="10"/>
      <c r="AB2091" s="10"/>
      <c r="AC2091" s="10"/>
      <c r="AD2091" s="10"/>
      <c r="AE2091" s="10"/>
      <c r="AF2091" s="10"/>
    </row>
    <row r="2092">
      <c r="A2092" s="7"/>
      <c r="B2092" s="26">
        <v>172.0</v>
      </c>
      <c r="C2092" s="27">
        <v>15.0</v>
      </c>
      <c r="D2092" s="8" t="s">
        <v>2847</v>
      </c>
      <c r="E2092" s="7">
        <v>0.0</v>
      </c>
      <c r="F2092" s="7"/>
      <c r="G2092" s="7" t="s">
        <v>313</v>
      </c>
      <c r="H2092" s="7" t="s">
        <v>312</v>
      </c>
      <c r="I2092" s="10"/>
      <c r="J2092" s="11"/>
      <c r="K2092" s="12"/>
      <c r="L2092" s="12"/>
      <c r="M2092" s="10"/>
      <c r="N2092" s="10"/>
      <c r="O2092" s="10"/>
      <c r="P2092" s="10"/>
      <c r="Q2092" s="10"/>
      <c r="R2092" s="10"/>
      <c r="S2092" s="10"/>
      <c r="T2092" s="10"/>
      <c r="U2092" s="10"/>
      <c r="V2092" s="10"/>
      <c r="W2092" s="10"/>
      <c r="X2092" s="10"/>
      <c r="Y2092" s="10"/>
      <c r="Z2092" s="10"/>
      <c r="AA2092" s="10"/>
      <c r="AB2092" s="10"/>
      <c r="AC2092" s="10"/>
      <c r="AD2092" s="10"/>
      <c r="AE2092" s="10"/>
      <c r="AF2092" s="10"/>
    </row>
    <row r="2093">
      <c r="A2093" s="7"/>
      <c r="B2093" s="26">
        <v>172.0</v>
      </c>
      <c r="C2093" s="27">
        <v>16.0</v>
      </c>
      <c r="D2093" s="8" t="s">
        <v>2848</v>
      </c>
      <c r="E2093" s="7">
        <v>0.0</v>
      </c>
      <c r="F2093" s="7"/>
      <c r="G2093" s="7" t="s">
        <v>313</v>
      </c>
      <c r="H2093" s="7" t="s">
        <v>312</v>
      </c>
      <c r="I2093" s="10"/>
      <c r="J2093" s="11"/>
      <c r="K2093" s="12"/>
      <c r="L2093" s="12"/>
      <c r="M2093" s="10"/>
      <c r="N2093" s="10"/>
      <c r="O2093" s="10"/>
      <c r="P2093" s="10"/>
      <c r="Q2093" s="10"/>
      <c r="R2093" s="10"/>
      <c r="S2093" s="10"/>
      <c r="T2093" s="10"/>
      <c r="U2093" s="10"/>
      <c r="V2093" s="10"/>
      <c r="W2093" s="10"/>
      <c r="X2093" s="10"/>
      <c r="Y2093" s="10"/>
      <c r="Z2093" s="10"/>
      <c r="AA2093" s="10"/>
      <c r="AB2093" s="10"/>
      <c r="AC2093" s="10"/>
      <c r="AD2093" s="10"/>
      <c r="AE2093" s="10"/>
      <c r="AF2093" s="10"/>
    </row>
    <row r="2094">
      <c r="A2094" s="7"/>
      <c r="B2094" s="26">
        <v>172.0</v>
      </c>
      <c r="C2094" s="27">
        <v>17.0</v>
      </c>
      <c r="D2094" s="8" t="s">
        <v>2849</v>
      </c>
      <c r="E2094" s="7">
        <v>0.0</v>
      </c>
      <c r="F2094" s="7"/>
      <c r="G2094" s="7" t="s">
        <v>313</v>
      </c>
      <c r="H2094" s="7" t="s">
        <v>312</v>
      </c>
      <c r="I2094" s="10"/>
      <c r="J2094" s="11"/>
      <c r="K2094" s="12"/>
      <c r="L2094" s="12"/>
      <c r="M2094" s="10"/>
      <c r="N2094" s="10"/>
      <c r="O2094" s="10"/>
      <c r="P2094" s="10"/>
      <c r="Q2094" s="10"/>
      <c r="R2094" s="10"/>
      <c r="S2094" s="10"/>
      <c r="T2094" s="10"/>
      <c r="U2094" s="10"/>
      <c r="V2094" s="10"/>
      <c r="W2094" s="10"/>
      <c r="X2094" s="10"/>
      <c r="Y2094" s="10"/>
      <c r="Z2094" s="10"/>
      <c r="AA2094" s="10"/>
      <c r="AB2094" s="10"/>
      <c r="AC2094" s="10"/>
      <c r="AD2094" s="10"/>
      <c r="AE2094" s="10"/>
      <c r="AF2094" s="10"/>
    </row>
    <row r="2095">
      <c r="A2095" s="7"/>
      <c r="B2095" s="26">
        <v>172.0</v>
      </c>
      <c r="C2095" s="27">
        <v>18.0</v>
      </c>
      <c r="D2095" s="8" t="s">
        <v>2850</v>
      </c>
      <c r="E2095" s="7">
        <v>2.0</v>
      </c>
      <c r="F2095" s="7" t="s">
        <v>320</v>
      </c>
      <c r="G2095" s="7" t="s">
        <v>313</v>
      </c>
      <c r="H2095" s="7" t="s">
        <v>312</v>
      </c>
      <c r="I2095" s="10"/>
      <c r="J2095" s="11"/>
      <c r="K2095" s="20" t="s">
        <v>2764</v>
      </c>
      <c r="L2095" s="12"/>
      <c r="M2095" s="10"/>
      <c r="N2095" s="10"/>
      <c r="O2095" s="10"/>
      <c r="P2095" s="10"/>
      <c r="Q2095" s="10"/>
      <c r="R2095" s="10"/>
      <c r="S2095" s="10"/>
      <c r="T2095" s="10"/>
      <c r="U2095" s="10"/>
      <c r="V2095" s="10"/>
      <c r="W2095" s="10"/>
      <c r="X2095" s="10"/>
      <c r="Y2095" s="10"/>
      <c r="Z2095" s="10"/>
      <c r="AA2095" s="10"/>
      <c r="AB2095" s="10"/>
      <c r="AC2095" s="10"/>
      <c r="AD2095" s="10"/>
      <c r="AE2095" s="10"/>
      <c r="AF2095" s="10"/>
    </row>
    <row r="2096">
      <c r="A2096" s="7"/>
      <c r="B2096" s="26">
        <v>172.0</v>
      </c>
      <c r="C2096" s="27">
        <v>19.0</v>
      </c>
      <c r="D2096" s="8" t="s">
        <v>2851</v>
      </c>
      <c r="E2096" s="7">
        <v>0.0</v>
      </c>
      <c r="F2096" s="7"/>
      <c r="G2096" s="7" t="s">
        <v>313</v>
      </c>
      <c r="H2096" s="7" t="s">
        <v>312</v>
      </c>
      <c r="I2096" s="10"/>
      <c r="J2096" s="11"/>
      <c r="K2096" s="12"/>
      <c r="L2096" s="12"/>
      <c r="M2096" s="10"/>
      <c r="N2096" s="10"/>
      <c r="O2096" s="10"/>
      <c r="P2096" s="10"/>
      <c r="Q2096" s="10"/>
      <c r="R2096" s="10"/>
      <c r="S2096" s="10"/>
      <c r="T2096" s="10"/>
      <c r="U2096" s="10"/>
      <c r="V2096" s="10"/>
      <c r="W2096" s="10"/>
      <c r="X2096" s="10"/>
      <c r="Y2096" s="10"/>
      <c r="Z2096" s="10"/>
      <c r="AA2096" s="10"/>
      <c r="AB2096" s="10"/>
      <c r="AC2096" s="10"/>
      <c r="AD2096" s="10"/>
      <c r="AE2096" s="10"/>
      <c r="AF2096" s="10"/>
    </row>
    <row r="2097">
      <c r="A2097" s="7"/>
      <c r="B2097" s="26">
        <v>172.0</v>
      </c>
      <c r="C2097" s="27">
        <v>20.0</v>
      </c>
      <c r="D2097" s="8" t="s">
        <v>2852</v>
      </c>
      <c r="E2097" s="7">
        <v>2.0</v>
      </c>
      <c r="F2097" s="7" t="s">
        <v>320</v>
      </c>
      <c r="G2097" s="7" t="s">
        <v>313</v>
      </c>
      <c r="H2097" s="7" t="s">
        <v>312</v>
      </c>
      <c r="I2097" s="10"/>
      <c r="J2097" s="11"/>
      <c r="K2097" s="20" t="s">
        <v>2764</v>
      </c>
      <c r="L2097" s="12"/>
      <c r="M2097" s="10"/>
      <c r="N2097" s="10"/>
      <c r="O2097" s="10"/>
      <c r="P2097" s="10"/>
      <c r="Q2097" s="10"/>
      <c r="R2097" s="10"/>
      <c r="S2097" s="10"/>
      <c r="T2097" s="10"/>
      <c r="U2097" s="10"/>
      <c r="V2097" s="10"/>
      <c r="W2097" s="10"/>
      <c r="X2097" s="10"/>
      <c r="Y2097" s="10"/>
      <c r="Z2097" s="10"/>
      <c r="AA2097" s="10"/>
      <c r="AB2097" s="10"/>
      <c r="AC2097" s="10"/>
      <c r="AD2097" s="10"/>
      <c r="AE2097" s="10"/>
      <c r="AF2097" s="10"/>
    </row>
    <row r="2098">
      <c r="A2098" s="7"/>
      <c r="B2098" s="26">
        <v>172.0</v>
      </c>
      <c r="C2098" s="27">
        <v>21.0</v>
      </c>
      <c r="D2098" s="8" t="s">
        <v>2853</v>
      </c>
      <c r="E2098" s="7">
        <v>2.0</v>
      </c>
      <c r="F2098" s="7" t="s">
        <v>320</v>
      </c>
      <c r="G2098" s="7" t="s">
        <v>313</v>
      </c>
      <c r="H2098" s="7" t="s">
        <v>312</v>
      </c>
      <c r="I2098" s="10"/>
      <c r="J2098" s="11"/>
      <c r="K2098" s="20" t="s">
        <v>2764</v>
      </c>
      <c r="L2098" s="12"/>
      <c r="M2098" s="10"/>
      <c r="N2098" s="10"/>
      <c r="O2098" s="10"/>
      <c r="P2098" s="10"/>
      <c r="Q2098" s="10"/>
      <c r="R2098" s="10"/>
      <c r="S2098" s="10"/>
      <c r="T2098" s="10"/>
      <c r="U2098" s="10"/>
      <c r="V2098" s="10"/>
      <c r="W2098" s="10"/>
      <c r="X2098" s="10"/>
      <c r="Y2098" s="10"/>
      <c r="Z2098" s="10"/>
      <c r="AA2098" s="10"/>
      <c r="AB2098" s="10"/>
      <c r="AC2098" s="10"/>
      <c r="AD2098" s="10"/>
      <c r="AE2098" s="10"/>
      <c r="AF2098" s="10"/>
    </row>
    <row r="2099">
      <c r="A2099" s="21" t="s">
        <v>173</v>
      </c>
      <c r="B2099" s="12"/>
      <c r="C2099" s="12"/>
      <c r="D2099" s="12"/>
      <c r="E2099" s="10"/>
      <c r="F2099" s="10"/>
      <c r="G2099" s="10"/>
      <c r="H2099" s="10"/>
      <c r="I2099" s="10"/>
      <c r="J2099" s="11"/>
      <c r="K2099" s="12"/>
      <c r="L2099" s="12"/>
      <c r="M2099" s="10"/>
      <c r="N2099" s="10"/>
      <c r="O2099" s="10"/>
      <c r="P2099" s="10"/>
      <c r="Q2099" s="10"/>
      <c r="R2099" s="10"/>
      <c r="S2099" s="10"/>
      <c r="T2099" s="10"/>
      <c r="U2099" s="10"/>
      <c r="V2099" s="10"/>
      <c r="W2099" s="10"/>
      <c r="X2099" s="10"/>
      <c r="Y2099" s="10"/>
      <c r="Z2099" s="10"/>
      <c r="AA2099" s="10"/>
      <c r="AB2099" s="10"/>
      <c r="AC2099" s="10"/>
      <c r="AD2099" s="10"/>
      <c r="AE2099" s="10"/>
      <c r="AF2099" s="10"/>
    </row>
    <row r="2100">
      <c r="A2100" s="7"/>
      <c r="B2100" s="26">
        <v>173.0</v>
      </c>
      <c r="C2100" s="27">
        <v>1.0</v>
      </c>
      <c r="D2100" s="8" t="s">
        <v>2854</v>
      </c>
      <c r="E2100" s="7">
        <v>0.0</v>
      </c>
      <c r="F2100" s="7"/>
      <c r="G2100" s="7" t="s">
        <v>313</v>
      </c>
      <c r="H2100" s="7" t="s">
        <v>312</v>
      </c>
      <c r="I2100" s="10"/>
      <c r="J2100" s="9"/>
      <c r="K2100" s="12"/>
      <c r="L2100" s="12"/>
      <c r="M2100" s="10"/>
      <c r="N2100" s="10"/>
      <c r="O2100" s="10"/>
      <c r="P2100" s="10"/>
      <c r="Q2100" s="10"/>
      <c r="R2100" s="10"/>
      <c r="S2100" s="10"/>
      <c r="T2100" s="10"/>
      <c r="U2100" s="10"/>
      <c r="V2100" s="10"/>
      <c r="W2100" s="10"/>
      <c r="X2100" s="10"/>
      <c r="Y2100" s="10"/>
      <c r="Z2100" s="10"/>
      <c r="AA2100" s="10"/>
      <c r="AB2100" s="10"/>
      <c r="AC2100" s="10"/>
      <c r="AD2100" s="10"/>
      <c r="AE2100" s="10"/>
      <c r="AF2100" s="10"/>
    </row>
    <row r="2101">
      <c r="A2101" s="7"/>
      <c r="B2101" s="26">
        <v>173.0</v>
      </c>
      <c r="C2101" s="27">
        <v>2.0</v>
      </c>
      <c r="D2101" s="8" t="s">
        <v>2855</v>
      </c>
      <c r="E2101" s="7">
        <v>0.0</v>
      </c>
      <c r="F2101" s="7"/>
      <c r="G2101" s="7" t="s">
        <v>313</v>
      </c>
      <c r="H2101" s="7" t="s">
        <v>312</v>
      </c>
      <c r="I2101" s="10"/>
      <c r="J2101" s="9"/>
      <c r="K2101" s="12"/>
      <c r="L2101" s="12"/>
      <c r="M2101" s="10"/>
      <c r="N2101" s="10"/>
      <c r="O2101" s="10"/>
      <c r="P2101" s="10"/>
      <c r="Q2101" s="10"/>
      <c r="R2101" s="10"/>
      <c r="S2101" s="10"/>
      <c r="T2101" s="10"/>
      <c r="U2101" s="10"/>
      <c r="V2101" s="10"/>
      <c r="W2101" s="10"/>
      <c r="X2101" s="10"/>
      <c r="Y2101" s="10"/>
      <c r="Z2101" s="10"/>
      <c r="AA2101" s="10"/>
      <c r="AB2101" s="10"/>
      <c r="AC2101" s="10"/>
      <c r="AD2101" s="10"/>
      <c r="AE2101" s="10"/>
      <c r="AF2101" s="10"/>
    </row>
    <row r="2102">
      <c r="A2102" s="7"/>
      <c r="B2102" s="26">
        <v>173.0</v>
      </c>
      <c r="C2102" s="27">
        <v>3.0</v>
      </c>
      <c r="D2102" s="8" t="s">
        <v>2856</v>
      </c>
      <c r="E2102" s="7">
        <v>0.0</v>
      </c>
      <c r="F2102" s="7"/>
      <c r="G2102" s="7" t="s">
        <v>313</v>
      </c>
      <c r="H2102" s="7" t="s">
        <v>312</v>
      </c>
      <c r="I2102" s="10"/>
      <c r="J2102" s="9"/>
      <c r="K2102" s="12"/>
      <c r="L2102" s="12"/>
      <c r="M2102" s="10"/>
      <c r="N2102" s="10"/>
      <c r="O2102" s="10"/>
      <c r="P2102" s="10"/>
      <c r="Q2102" s="10"/>
      <c r="R2102" s="10"/>
      <c r="S2102" s="10"/>
      <c r="T2102" s="10"/>
      <c r="U2102" s="10"/>
      <c r="V2102" s="10"/>
      <c r="W2102" s="10"/>
      <c r="X2102" s="10"/>
      <c r="Y2102" s="10"/>
      <c r="Z2102" s="10"/>
      <c r="AA2102" s="10"/>
      <c r="AB2102" s="10"/>
      <c r="AC2102" s="10"/>
      <c r="AD2102" s="10"/>
      <c r="AE2102" s="10"/>
      <c r="AF2102" s="10"/>
    </row>
    <row r="2103">
      <c r="A2103" s="7"/>
      <c r="B2103" s="26">
        <v>173.0</v>
      </c>
      <c r="C2103" s="27">
        <v>4.0</v>
      </c>
      <c r="D2103" s="8" t="s">
        <v>2857</v>
      </c>
      <c r="E2103" s="7">
        <v>0.0</v>
      </c>
      <c r="F2103" s="7"/>
      <c r="G2103" s="7" t="s">
        <v>313</v>
      </c>
      <c r="H2103" s="7" t="s">
        <v>312</v>
      </c>
      <c r="I2103" s="10"/>
      <c r="J2103" s="9"/>
      <c r="K2103" s="12"/>
      <c r="L2103" s="12"/>
      <c r="M2103" s="10"/>
      <c r="N2103" s="10"/>
      <c r="O2103" s="10"/>
      <c r="P2103" s="10"/>
      <c r="Q2103" s="10"/>
      <c r="R2103" s="10"/>
      <c r="S2103" s="10"/>
      <c r="T2103" s="10"/>
      <c r="U2103" s="10"/>
      <c r="V2103" s="10"/>
      <c r="W2103" s="10"/>
      <c r="X2103" s="10"/>
      <c r="Y2103" s="10"/>
      <c r="Z2103" s="10"/>
      <c r="AA2103" s="10"/>
      <c r="AB2103" s="10"/>
      <c r="AC2103" s="10"/>
      <c r="AD2103" s="10"/>
      <c r="AE2103" s="10"/>
      <c r="AF2103" s="10"/>
    </row>
    <row r="2104">
      <c r="A2104" s="7"/>
      <c r="B2104" s="26">
        <v>173.0</v>
      </c>
      <c r="C2104" s="27">
        <v>5.0</v>
      </c>
      <c r="D2104" s="8" t="s">
        <v>2858</v>
      </c>
      <c r="E2104" s="7">
        <v>0.0</v>
      </c>
      <c r="F2104" s="7"/>
      <c r="G2104" s="7" t="s">
        <v>313</v>
      </c>
      <c r="H2104" s="7" t="s">
        <v>312</v>
      </c>
      <c r="I2104" s="10"/>
      <c r="J2104" s="9"/>
      <c r="K2104" s="12"/>
      <c r="L2104" s="12"/>
      <c r="M2104" s="10"/>
      <c r="N2104" s="10"/>
      <c r="O2104" s="10"/>
      <c r="P2104" s="10"/>
      <c r="Q2104" s="10"/>
      <c r="R2104" s="10"/>
      <c r="S2104" s="10"/>
      <c r="T2104" s="10"/>
      <c r="U2104" s="10"/>
      <c r="V2104" s="10"/>
      <c r="W2104" s="10"/>
      <c r="X2104" s="10"/>
      <c r="Y2104" s="10"/>
      <c r="Z2104" s="10"/>
      <c r="AA2104" s="10"/>
      <c r="AB2104" s="10"/>
      <c r="AC2104" s="10"/>
      <c r="AD2104" s="10"/>
      <c r="AE2104" s="10"/>
      <c r="AF2104" s="10"/>
    </row>
    <row r="2105">
      <c r="A2105" s="7"/>
      <c r="B2105" s="26">
        <v>173.0</v>
      </c>
      <c r="C2105" s="27">
        <v>6.0</v>
      </c>
      <c r="D2105" s="8" t="s">
        <v>2859</v>
      </c>
      <c r="E2105" s="7">
        <v>0.0</v>
      </c>
      <c r="F2105" s="7"/>
      <c r="G2105" s="7" t="s">
        <v>313</v>
      </c>
      <c r="H2105" s="7" t="s">
        <v>312</v>
      </c>
      <c r="I2105" s="10"/>
      <c r="J2105" s="9"/>
      <c r="K2105" s="12"/>
      <c r="L2105" s="12"/>
      <c r="M2105" s="10"/>
      <c r="N2105" s="10"/>
      <c r="O2105" s="10"/>
      <c r="P2105" s="10"/>
      <c r="Q2105" s="10"/>
      <c r="R2105" s="10"/>
      <c r="S2105" s="10"/>
      <c r="T2105" s="10"/>
      <c r="U2105" s="10"/>
      <c r="V2105" s="10"/>
      <c r="W2105" s="10"/>
      <c r="X2105" s="10"/>
      <c r="Y2105" s="10"/>
      <c r="Z2105" s="10"/>
      <c r="AA2105" s="10"/>
      <c r="AB2105" s="10"/>
      <c r="AC2105" s="10"/>
      <c r="AD2105" s="10"/>
      <c r="AE2105" s="10"/>
      <c r="AF2105" s="10"/>
    </row>
    <row r="2106">
      <c r="A2106" s="7"/>
      <c r="B2106" s="26">
        <v>173.0</v>
      </c>
      <c r="C2106" s="27">
        <v>7.0</v>
      </c>
      <c r="D2106" s="8" t="s">
        <v>2860</v>
      </c>
      <c r="E2106" s="7">
        <v>0.0</v>
      </c>
      <c r="F2106" s="7"/>
      <c r="G2106" s="7" t="s">
        <v>313</v>
      </c>
      <c r="H2106" s="7" t="s">
        <v>312</v>
      </c>
      <c r="I2106" s="10"/>
      <c r="J2106" s="11"/>
      <c r="K2106" s="12"/>
      <c r="L2106" s="12"/>
      <c r="M2106" s="10"/>
      <c r="N2106" s="10"/>
      <c r="O2106" s="10"/>
      <c r="P2106" s="10"/>
      <c r="Q2106" s="10"/>
      <c r="R2106" s="10"/>
      <c r="S2106" s="10"/>
      <c r="T2106" s="10"/>
      <c r="U2106" s="10"/>
      <c r="V2106" s="10"/>
      <c r="W2106" s="10"/>
      <c r="X2106" s="10"/>
      <c r="Y2106" s="10"/>
      <c r="Z2106" s="10"/>
      <c r="AA2106" s="10"/>
      <c r="AB2106" s="10"/>
      <c r="AC2106" s="10"/>
      <c r="AD2106" s="10"/>
      <c r="AE2106" s="10"/>
      <c r="AF2106" s="10"/>
    </row>
    <row r="2107">
      <c r="A2107" s="7"/>
      <c r="B2107" s="26">
        <v>173.0</v>
      </c>
      <c r="C2107" s="27">
        <v>8.0</v>
      </c>
      <c r="D2107" s="8" t="s">
        <v>2861</v>
      </c>
      <c r="E2107" s="7">
        <v>0.0</v>
      </c>
      <c r="F2107" s="7"/>
      <c r="G2107" s="7" t="s">
        <v>313</v>
      </c>
      <c r="H2107" s="7" t="s">
        <v>312</v>
      </c>
      <c r="I2107" s="10"/>
      <c r="J2107" s="11"/>
      <c r="K2107" s="12"/>
      <c r="L2107" s="12"/>
      <c r="M2107" s="10"/>
      <c r="N2107" s="10"/>
      <c r="O2107" s="10"/>
      <c r="P2107" s="10"/>
      <c r="Q2107" s="10"/>
      <c r="R2107" s="10"/>
      <c r="S2107" s="10"/>
      <c r="T2107" s="10"/>
      <c r="U2107" s="10"/>
      <c r="V2107" s="10"/>
      <c r="W2107" s="10"/>
      <c r="X2107" s="10"/>
      <c r="Y2107" s="10"/>
      <c r="Z2107" s="10"/>
      <c r="AA2107" s="10"/>
      <c r="AB2107" s="10"/>
      <c r="AC2107" s="10"/>
      <c r="AD2107" s="10"/>
      <c r="AE2107" s="10"/>
      <c r="AF2107" s="10"/>
    </row>
    <row r="2108">
      <c r="A2108" s="7"/>
      <c r="B2108" s="26">
        <v>173.0</v>
      </c>
      <c r="C2108" s="27">
        <v>9.0</v>
      </c>
      <c r="D2108" s="8" t="s">
        <v>2862</v>
      </c>
      <c r="E2108" s="7">
        <v>0.0</v>
      </c>
      <c r="F2108" s="7"/>
      <c r="G2108" s="7" t="s">
        <v>313</v>
      </c>
      <c r="H2108" s="7" t="s">
        <v>312</v>
      </c>
      <c r="I2108" s="10"/>
      <c r="J2108" s="11"/>
      <c r="K2108" s="12"/>
      <c r="L2108" s="12"/>
      <c r="M2108" s="10"/>
      <c r="N2108" s="10"/>
      <c r="O2108" s="10"/>
      <c r="P2108" s="10"/>
      <c r="Q2108" s="10"/>
      <c r="R2108" s="10"/>
      <c r="S2108" s="10"/>
      <c r="T2108" s="10"/>
      <c r="U2108" s="10"/>
      <c r="V2108" s="10"/>
      <c r="W2108" s="10"/>
      <c r="X2108" s="10"/>
      <c r="Y2108" s="10"/>
      <c r="Z2108" s="10"/>
      <c r="AA2108" s="10"/>
      <c r="AB2108" s="10"/>
      <c r="AC2108" s="10"/>
      <c r="AD2108" s="10"/>
      <c r="AE2108" s="10"/>
      <c r="AF2108" s="10"/>
    </row>
    <row r="2109">
      <c r="A2109" s="7"/>
      <c r="B2109" s="26">
        <v>173.0</v>
      </c>
      <c r="C2109" s="27">
        <v>10.0</v>
      </c>
      <c r="D2109" s="8" t="s">
        <v>2863</v>
      </c>
      <c r="E2109" s="7">
        <v>0.0</v>
      </c>
      <c r="F2109" s="7"/>
      <c r="G2109" s="7" t="s">
        <v>313</v>
      </c>
      <c r="H2109" s="7" t="s">
        <v>312</v>
      </c>
      <c r="I2109" s="10"/>
      <c r="J2109" s="11"/>
      <c r="K2109" s="12"/>
      <c r="L2109" s="12"/>
      <c r="M2109" s="10"/>
      <c r="N2109" s="10"/>
      <c r="O2109" s="10"/>
      <c r="P2109" s="10"/>
      <c r="Q2109" s="10"/>
      <c r="R2109" s="10"/>
      <c r="S2109" s="10"/>
      <c r="T2109" s="10"/>
      <c r="U2109" s="10"/>
      <c r="V2109" s="10"/>
      <c r="W2109" s="10"/>
      <c r="X2109" s="10"/>
      <c r="Y2109" s="10"/>
      <c r="Z2109" s="10"/>
      <c r="AA2109" s="10"/>
      <c r="AB2109" s="10"/>
      <c r="AC2109" s="10"/>
      <c r="AD2109" s="10"/>
      <c r="AE2109" s="10"/>
      <c r="AF2109" s="10"/>
    </row>
    <row r="2110">
      <c r="A2110" s="7"/>
      <c r="B2110" s="26">
        <v>173.0</v>
      </c>
      <c r="C2110" s="27">
        <v>11.0</v>
      </c>
      <c r="D2110" s="8" t="s">
        <v>2864</v>
      </c>
      <c r="E2110" s="7">
        <v>0.0</v>
      </c>
      <c r="F2110" s="7"/>
      <c r="G2110" s="7" t="s">
        <v>313</v>
      </c>
      <c r="H2110" s="7" t="s">
        <v>312</v>
      </c>
      <c r="I2110" s="10"/>
      <c r="J2110" s="11"/>
      <c r="K2110" s="12"/>
      <c r="L2110" s="12"/>
      <c r="M2110" s="10"/>
      <c r="N2110" s="10"/>
      <c r="O2110" s="10"/>
      <c r="P2110" s="10"/>
      <c r="Q2110" s="10"/>
      <c r="R2110" s="10"/>
      <c r="S2110" s="10"/>
      <c r="T2110" s="10"/>
      <c r="U2110" s="10"/>
      <c r="V2110" s="10"/>
      <c r="W2110" s="10"/>
      <c r="X2110" s="10"/>
      <c r="Y2110" s="10"/>
      <c r="Z2110" s="10"/>
      <c r="AA2110" s="10"/>
      <c r="AB2110" s="10"/>
      <c r="AC2110" s="10"/>
      <c r="AD2110" s="10"/>
      <c r="AE2110" s="10"/>
      <c r="AF2110" s="10"/>
    </row>
    <row r="2111">
      <c r="A2111" s="7"/>
      <c r="B2111" s="26">
        <v>173.0</v>
      </c>
      <c r="C2111" s="27">
        <v>12.0</v>
      </c>
      <c r="D2111" s="8" t="s">
        <v>2865</v>
      </c>
      <c r="E2111" s="7">
        <v>0.0</v>
      </c>
      <c r="F2111" s="7"/>
      <c r="G2111" s="7" t="s">
        <v>313</v>
      </c>
      <c r="H2111" s="7" t="s">
        <v>312</v>
      </c>
      <c r="I2111" s="10"/>
      <c r="J2111" s="11"/>
      <c r="K2111" s="12"/>
      <c r="L2111" s="12"/>
      <c r="M2111" s="10"/>
      <c r="N2111" s="10"/>
      <c r="O2111" s="10"/>
      <c r="P2111" s="10"/>
      <c r="Q2111" s="10"/>
      <c r="R2111" s="10"/>
      <c r="S2111" s="10"/>
      <c r="T2111" s="10"/>
      <c r="U2111" s="10"/>
      <c r="V2111" s="10"/>
      <c r="W2111" s="10"/>
      <c r="X2111" s="10"/>
      <c r="Y2111" s="10"/>
      <c r="Z2111" s="10"/>
      <c r="AA2111" s="10"/>
      <c r="AB2111" s="10"/>
      <c r="AC2111" s="10"/>
      <c r="AD2111" s="10"/>
      <c r="AE2111" s="10"/>
      <c r="AF2111" s="10"/>
    </row>
    <row r="2112">
      <c r="A2112" s="7"/>
      <c r="B2112" s="26">
        <v>173.0</v>
      </c>
      <c r="C2112" s="27">
        <v>13.0</v>
      </c>
      <c r="D2112" s="8" t="s">
        <v>2866</v>
      </c>
      <c r="E2112" s="7">
        <v>0.0</v>
      </c>
      <c r="F2112" s="7"/>
      <c r="G2112" s="7" t="s">
        <v>313</v>
      </c>
      <c r="H2112" s="7" t="s">
        <v>312</v>
      </c>
      <c r="I2112" s="10"/>
      <c r="J2112" s="11"/>
      <c r="K2112" s="12"/>
      <c r="L2112" s="12"/>
      <c r="M2112" s="10"/>
      <c r="N2112" s="10"/>
      <c r="O2112" s="10"/>
      <c r="P2112" s="10"/>
      <c r="Q2112" s="10"/>
      <c r="R2112" s="10"/>
      <c r="S2112" s="10"/>
      <c r="T2112" s="10"/>
      <c r="U2112" s="10"/>
      <c r="V2112" s="10"/>
      <c r="W2112" s="10"/>
      <c r="X2112" s="10"/>
      <c r="Y2112" s="10"/>
      <c r="Z2112" s="10"/>
      <c r="AA2112" s="10"/>
      <c r="AB2112" s="10"/>
      <c r="AC2112" s="10"/>
      <c r="AD2112" s="10"/>
      <c r="AE2112" s="10"/>
      <c r="AF2112" s="10"/>
    </row>
    <row r="2113">
      <c r="A2113" s="7"/>
      <c r="B2113" s="26">
        <v>173.0</v>
      </c>
      <c r="C2113" s="27">
        <v>14.0</v>
      </c>
      <c r="D2113" s="8" t="s">
        <v>2867</v>
      </c>
      <c r="E2113" s="7">
        <v>0.0</v>
      </c>
      <c r="F2113" s="7"/>
      <c r="G2113" s="7" t="s">
        <v>313</v>
      </c>
      <c r="H2113" s="7" t="s">
        <v>312</v>
      </c>
      <c r="I2113" s="10"/>
      <c r="J2113" s="11"/>
      <c r="K2113" s="12"/>
      <c r="L2113" s="12"/>
      <c r="M2113" s="10"/>
      <c r="N2113" s="10"/>
      <c r="O2113" s="10"/>
      <c r="P2113" s="10"/>
      <c r="Q2113" s="10"/>
      <c r="R2113" s="10"/>
      <c r="S2113" s="10"/>
      <c r="T2113" s="10"/>
      <c r="U2113" s="10"/>
      <c r="V2113" s="10"/>
      <c r="W2113" s="10"/>
      <c r="X2113" s="10"/>
      <c r="Y2113" s="10"/>
      <c r="Z2113" s="10"/>
      <c r="AA2113" s="10"/>
      <c r="AB2113" s="10"/>
      <c r="AC2113" s="10"/>
      <c r="AD2113" s="10"/>
      <c r="AE2113" s="10"/>
      <c r="AF2113" s="10"/>
    </row>
    <row r="2114">
      <c r="A2114" s="7"/>
      <c r="B2114" s="26">
        <v>173.0</v>
      </c>
      <c r="C2114" s="27">
        <v>15.0</v>
      </c>
      <c r="D2114" s="8" t="s">
        <v>2868</v>
      </c>
      <c r="E2114" s="7">
        <v>0.0</v>
      </c>
      <c r="F2114" s="7"/>
      <c r="G2114" s="7" t="s">
        <v>313</v>
      </c>
      <c r="H2114" s="7" t="s">
        <v>312</v>
      </c>
      <c r="I2114" s="10"/>
      <c r="J2114" s="11"/>
      <c r="K2114" s="12"/>
      <c r="L2114" s="12"/>
      <c r="M2114" s="10"/>
      <c r="N2114" s="10"/>
      <c r="O2114" s="10"/>
      <c r="P2114" s="10"/>
      <c r="Q2114" s="10"/>
      <c r="R2114" s="10"/>
      <c r="S2114" s="10"/>
      <c r="T2114" s="10"/>
      <c r="U2114" s="10"/>
      <c r="V2114" s="10"/>
      <c r="W2114" s="10"/>
      <c r="X2114" s="10"/>
      <c r="Y2114" s="10"/>
      <c r="Z2114" s="10"/>
      <c r="AA2114" s="10"/>
      <c r="AB2114" s="10"/>
      <c r="AC2114" s="10"/>
      <c r="AD2114" s="10"/>
      <c r="AE2114" s="10"/>
      <c r="AF2114" s="10"/>
    </row>
    <row r="2115">
      <c r="A2115" s="7"/>
      <c r="B2115" s="26">
        <v>173.0</v>
      </c>
      <c r="C2115" s="27">
        <v>16.0</v>
      </c>
      <c r="D2115" s="8" t="s">
        <v>2869</v>
      </c>
      <c r="E2115" s="7">
        <v>0.0</v>
      </c>
      <c r="F2115" s="7"/>
      <c r="G2115" s="7" t="s">
        <v>313</v>
      </c>
      <c r="H2115" s="7" t="s">
        <v>312</v>
      </c>
      <c r="I2115" s="10"/>
      <c r="J2115" s="11"/>
      <c r="K2115" s="12"/>
      <c r="L2115" s="12"/>
      <c r="M2115" s="10"/>
      <c r="N2115" s="10"/>
      <c r="O2115" s="10"/>
      <c r="P2115" s="10"/>
      <c r="Q2115" s="10"/>
      <c r="R2115" s="10"/>
      <c r="S2115" s="10"/>
      <c r="T2115" s="10"/>
      <c r="U2115" s="10"/>
      <c r="V2115" s="10"/>
      <c r="W2115" s="10"/>
      <c r="X2115" s="10"/>
      <c r="Y2115" s="10"/>
      <c r="Z2115" s="10"/>
      <c r="AA2115" s="10"/>
      <c r="AB2115" s="10"/>
      <c r="AC2115" s="10"/>
      <c r="AD2115" s="10"/>
      <c r="AE2115" s="10"/>
      <c r="AF2115" s="10"/>
    </row>
    <row r="2116">
      <c r="A2116" s="7"/>
      <c r="B2116" s="26">
        <v>173.0</v>
      </c>
      <c r="C2116" s="27">
        <v>17.0</v>
      </c>
      <c r="D2116" s="8" t="s">
        <v>2870</v>
      </c>
      <c r="E2116" s="7">
        <v>0.0</v>
      </c>
      <c r="F2116" s="7"/>
      <c r="G2116" s="7" t="s">
        <v>313</v>
      </c>
      <c r="H2116" s="7" t="s">
        <v>312</v>
      </c>
      <c r="I2116" s="10"/>
      <c r="J2116" s="11"/>
      <c r="K2116" s="12"/>
      <c r="L2116" s="12"/>
      <c r="M2116" s="10"/>
      <c r="N2116" s="10"/>
      <c r="O2116" s="10"/>
      <c r="P2116" s="10"/>
      <c r="Q2116" s="10"/>
      <c r="R2116" s="10"/>
      <c r="S2116" s="10"/>
      <c r="T2116" s="10"/>
      <c r="U2116" s="10"/>
      <c r="V2116" s="10"/>
      <c r="W2116" s="10"/>
      <c r="X2116" s="10"/>
      <c r="Y2116" s="10"/>
      <c r="Z2116" s="10"/>
      <c r="AA2116" s="10"/>
      <c r="AB2116" s="10"/>
      <c r="AC2116" s="10"/>
      <c r="AD2116" s="10"/>
      <c r="AE2116" s="10"/>
      <c r="AF2116" s="10"/>
    </row>
    <row r="2117">
      <c r="A2117" s="7"/>
      <c r="B2117" s="26">
        <v>173.0</v>
      </c>
      <c r="C2117" s="27">
        <v>18.0</v>
      </c>
      <c r="D2117" s="8" t="s">
        <v>2871</v>
      </c>
      <c r="E2117" s="7">
        <v>0.0</v>
      </c>
      <c r="F2117" s="7"/>
      <c r="G2117" s="7" t="s">
        <v>313</v>
      </c>
      <c r="H2117" s="7" t="s">
        <v>312</v>
      </c>
      <c r="I2117" s="10"/>
      <c r="J2117" s="11"/>
      <c r="K2117" s="12"/>
      <c r="L2117" s="12"/>
      <c r="M2117" s="10"/>
      <c r="N2117" s="10"/>
      <c r="O2117" s="10"/>
      <c r="P2117" s="10"/>
      <c r="Q2117" s="10"/>
      <c r="R2117" s="10"/>
      <c r="S2117" s="10"/>
      <c r="T2117" s="10"/>
      <c r="U2117" s="10"/>
      <c r="V2117" s="10"/>
      <c r="W2117" s="10"/>
      <c r="X2117" s="10"/>
      <c r="Y2117" s="10"/>
      <c r="Z2117" s="10"/>
      <c r="AA2117" s="10"/>
      <c r="AB2117" s="10"/>
      <c r="AC2117" s="10"/>
      <c r="AD2117" s="10"/>
      <c r="AE2117" s="10"/>
      <c r="AF2117" s="10"/>
    </row>
    <row r="2118">
      <c r="A2118" s="7"/>
      <c r="B2118" s="26">
        <v>173.0</v>
      </c>
      <c r="C2118" s="27">
        <v>19.0</v>
      </c>
      <c r="D2118" s="8" t="s">
        <v>2872</v>
      </c>
      <c r="E2118" s="7">
        <v>0.0</v>
      </c>
      <c r="F2118" s="7"/>
      <c r="G2118" s="7" t="s">
        <v>313</v>
      </c>
      <c r="H2118" s="7" t="s">
        <v>312</v>
      </c>
      <c r="I2118" s="10"/>
      <c r="J2118" s="11"/>
      <c r="K2118" s="12"/>
      <c r="L2118" s="12"/>
      <c r="M2118" s="10"/>
      <c r="N2118" s="10"/>
      <c r="O2118" s="10"/>
      <c r="P2118" s="10"/>
      <c r="Q2118" s="10"/>
      <c r="R2118" s="10"/>
      <c r="S2118" s="10"/>
      <c r="T2118" s="10"/>
      <c r="U2118" s="10"/>
      <c r="V2118" s="10"/>
      <c r="W2118" s="10"/>
      <c r="X2118" s="10"/>
      <c r="Y2118" s="10"/>
      <c r="Z2118" s="10"/>
      <c r="AA2118" s="10"/>
      <c r="AB2118" s="10"/>
      <c r="AC2118" s="10"/>
      <c r="AD2118" s="10"/>
      <c r="AE2118" s="10"/>
      <c r="AF2118" s="10"/>
    </row>
    <row r="2119">
      <c r="A2119" s="7"/>
      <c r="B2119" s="26">
        <v>173.0</v>
      </c>
      <c r="C2119" s="27">
        <v>20.0</v>
      </c>
      <c r="D2119" s="8" t="s">
        <v>2873</v>
      </c>
      <c r="E2119" s="7">
        <v>0.0</v>
      </c>
      <c r="F2119" s="7"/>
      <c r="G2119" s="7" t="s">
        <v>313</v>
      </c>
      <c r="H2119" s="7" t="s">
        <v>312</v>
      </c>
      <c r="I2119" s="10"/>
      <c r="J2119" s="11"/>
      <c r="K2119" s="12"/>
      <c r="L2119" s="12"/>
      <c r="M2119" s="10"/>
      <c r="N2119" s="10"/>
      <c r="O2119" s="10"/>
      <c r="P2119" s="10"/>
      <c r="Q2119" s="10"/>
      <c r="R2119" s="10"/>
      <c r="S2119" s="10"/>
      <c r="T2119" s="10"/>
      <c r="U2119" s="10"/>
      <c r="V2119" s="10"/>
      <c r="W2119" s="10"/>
      <c r="X2119" s="10"/>
      <c r="Y2119" s="10"/>
      <c r="Z2119" s="10"/>
      <c r="AA2119" s="10"/>
      <c r="AB2119" s="10"/>
      <c r="AC2119" s="10"/>
      <c r="AD2119" s="10"/>
      <c r="AE2119" s="10"/>
      <c r="AF2119" s="10"/>
    </row>
    <row r="2120">
      <c r="A2120" s="7"/>
      <c r="B2120" s="26">
        <v>173.0</v>
      </c>
      <c r="C2120" s="27">
        <v>21.0</v>
      </c>
      <c r="D2120" s="8" t="s">
        <v>2874</v>
      </c>
      <c r="E2120" s="7">
        <v>0.0</v>
      </c>
      <c r="F2120" s="7"/>
      <c r="G2120" s="7" t="s">
        <v>313</v>
      </c>
      <c r="H2120" s="7" t="s">
        <v>312</v>
      </c>
      <c r="I2120" s="10"/>
      <c r="J2120" s="11"/>
      <c r="K2120" s="12"/>
      <c r="L2120" s="12"/>
      <c r="M2120" s="10"/>
      <c r="N2120" s="10"/>
      <c r="O2120" s="10"/>
      <c r="P2120" s="10"/>
      <c r="Q2120" s="10"/>
      <c r="R2120" s="10"/>
      <c r="S2120" s="10"/>
      <c r="T2120" s="10"/>
      <c r="U2120" s="10"/>
      <c r="V2120" s="10"/>
      <c r="W2120" s="10"/>
      <c r="X2120" s="10"/>
      <c r="Y2120" s="10"/>
      <c r="Z2120" s="10"/>
      <c r="AA2120" s="10"/>
      <c r="AB2120" s="10"/>
      <c r="AC2120" s="10"/>
      <c r="AD2120" s="10"/>
      <c r="AE2120" s="10"/>
      <c r="AF2120" s="10"/>
    </row>
    <row r="2121">
      <c r="A2121" s="7"/>
      <c r="B2121" s="26">
        <v>173.0</v>
      </c>
      <c r="C2121" s="27">
        <v>22.0</v>
      </c>
      <c r="D2121" s="8" t="s">
        <v>2875</v>
      </c>
      <c r="E2121" s="7">
        <v>0.0</v>
      </c>
      <c r="F2121" s="7"/>
      <c r="G2121" s="7" t="s">
        <v>313</v>
      </c>
      <c r="H2121" s="7" t="s">
        <v>312</v>
      </c>
      <c r="I2121" s="10"/>
      <c r="J2121" s="11"/>
      <c r="K2121" s="12"/>
      <c r="L2121" s="12"/>
      <c r="M2121" s="10"/>
      <c r="N2121" s="10"/>
      <c r="O2121" s="10"/>
      <c r="P2121" s="10"/>
      <c r="Q2121" s="10"/>
      <c r="R2121" s="10"/>
      <c r="S2121" s="10"/>
      <c r="T2121" s="10"/>
      <c r="U2121" s="10"/>
      <c r="V2121" s="10"/>
      <c r="W2121" s="10"/>
      <c r="X2121" s="10"/>
      <c r="Y2121" s="10"/>
      <c r="Z2121" s="10"/>
      <c r="AA2121" s="10"/>
      <c r="AB2121" s="10"/>
      <c r="AC2121" s="10"/>
      <c r="AD2121" s="10"/>
      <c r="AE2121" s="10"/>
      <c r="AF2121" s="10"/>
    </row>
    <row r="2122">
      <c r="A2122" s="7"/>
      <c r="B2122" s="26">
        <v>173.0</v>
      </c>
      <c r="C2122" s="27">
        <v>23.0</v>
      </c>
      <c r="D2122" s="8" t="s">
        <v>2876</v>
      </c>
      <c r="E2122" s="7">
        <v>0.0</v>
      </c>
      <c r="F2122" s="7"/>
      <c r="G2122" s="7" t="s">
        <v>313</v>
      </c>
      <c r="H2122" s="7" t="s">
        <v>312</v>
      </c>
      <c r="I2122" s="10"/>
      <c r="J2122" s="11"/>
      <c r="K2122" s="12"/>
      <c r="L2122" s="12"/>
      <c r="M2122" s="10"/>
      <c r="N2122" s="10"/>
      <c r="O2122" s="10"/>
      <c r="P2122" s="10"/>
      <c r="Q2122" s="10"/>
      <c r="R2122" s="10"/>
      <c r="S2122" s="10"/>
      <c r="T2122" s="10"/>
      <c r="U2122" s="10"/>
      <c r="V2122" s="10"/>
      <c r="W2122" s="10"/>
      <c r="X2122" s="10"/>
      <c r="Y2122" s="10"/>
      <c r="Z2122" s="10"/>
      <c r="AA2122" s="10"/>
      <c r="AB2122" s="10"/>
      <c r="AC2122" s="10"/>
      <c r="AD2122" s="10"/>
      <c r="AE2122" s="10"/>
      <c r="AF2122" s="10"/>
    </row>
    <row r="2123">
      <c r="A2123" s="7"/>
      <c r="B2123" s="26">
        <v>173.0</v>
      </c>
      <c r="C2123" s="27">
        <v>24.0</v>
      </c>
      <c r="D2123" s="8" t="s">
        <v>2877</v>
      </c>
      <c r="E2123" s="7">
        <v>0.0</v>
      </c>
      <c r="F2123" s="7"/>
      <c r="G2123" s="7" t="s">
        <v>313</v>
      </c>
      <c r="H2123" s="7" t="s">
        <v>312</v>
      </c>
      <c r="I2123" s="10"/>
      <c r="J2123" s="11"/>
      <c r="K2123" s="12"/>
      <c r="L2123" s="15" t="s">
        <v>2878</v>
      </c>
      <c r="M2123" s="10"/>
      <c r="N2123" s="10"/>
      <c r="O2123" s="10"/>
      <c r="P2123" s="10"/>
      <c r="Q2123" s="10"/>
      <c r="R2123" s="10"/>
      <c r="S2123" s="10"/>
      <c r="T2123" s="10"/>
      <c r="U2123" s="10"/>
      <c r="V2123" s="10"/>
      <c r="W2123" s="10"/>
      <c r="X2123" s="10"/>
      <c r="Y2123" s="10"/>
      <c r="Z2123" s="10"/>
      <c r="AA2123" s="10"/>
      <c r="AB2123" s="10"/>
      <c r="AC2123" s="10"/>
      <c r="AD2123" s="10"/>
      <c r="AE2123" s="10"/>
      <c r="AF2123" s="10"/>
    </row>
    <row r="2124">
      <c r="A2124" s="7"/>
      <c r="B2124" s="26">
        <v>173.0</v>
      </c>
      <c r="C2124" s="27">
        <v>25.0</v>
      </c>
      <c r="D2124" s="8" t="s">
        <v>2879</v>
      </c>
      <c r="E2124" s="7">
        <v>0.0</v>
      </c>
      <c r="F2124" s="7"/>
      <c r="G2124" s="7" t="s">
        <v>313</v>
      </c>
      <c r="H2124" s="7" t="s">
        <v>312</v>
      </c>
      <c r="I2124" s="10"/>
      <c r="J2124" s="11"/>
      <c r="K2124" s="12"/>
      <c r="L2124" s="12"/>
      <c r="M2124" s="10"/>
      <c r="N2124" s="10"/>
      <c r="O2124" s="10"/>
      <c r="P2124" s="10"/>
      <c r="Q2124" s="10"/>
      <c r="R2124" s="10"/>
      <c r="S2124" s="10"/>
      <c r="T2124" s="10"/>
      <c r="U2124" s="10"/>
      <c r="V2124" s="10"/>
      <c r="W2124" s="10"/>
      <c r="X2124" s="10"/>
      <c r="Y2124" s="10"/>
      <c r="Z2124" s="10"/>
      <c r="AA2124" s="10"/>
      <c r="AB2124" s="10"/>
      <c r="AC2124" s="10"/>
      <c r="AD2124" s="10"/>
      <c r="AE2124" s="10"/>
      <c r="AF2124" s="10"/>
    </row>
    <row r="2125">
      <c r="A2125" s="7"/>
      <c r="B2125" s="26">
        <v>173.0</v>
      </c>
      <c r="C2125" s="27">
        <v>26.0</v>
      </c>
      <c r="D2125" s="8" t="s">
        <v>2880</v>
      </c>
      <c r="E2125" s="7">
        <v>0.0</v>
      </c>
      <c r="F2125" s="7"/>
      <c r="G2125" s="7" t="s">
        <v>313</v>
      </c>
      <c r="H2125" s="7" t="s">
        <v>312</v>
      </c>
      <c r="I2125" s="10"/>
      <c r="J2125" s="11"/>
      <c r="K2125" s="12"/>
      <c r="L2125" s="12"/>
      <c r="M2125" s="10"/>
      <c r="N2125" s="10"/>
      <c r="O2125" s="10"/>
      <c r="P2125" s="10"/>
      <c r="Q2125" s="10"/>
      <c r="R2125" s="10"/>
      <c r="S2125" s="10"/>
      <c r="T2125" s="10"/>
      <c r="U2125" s="10"/>
      <c r="V2125" s="10"/>
      <c r="W2125" s="10"/>
      <c r="X2125" s="10"/>
      <c r="Y2125" s="10"/>
      <c r="Z2125" s="10"/>
      <c r="AA2125" s="10"/>
      <c r="AB2125" s="10"/>
      <c r="AC2125" s="10"/>
      <c r="AD2125" s="10"/>
      <c r="AE2125" s="10"/>
      <c r="AF2125" s="10"/>
    </row>
    <row r="2126">
      <c r="A2126" s="7"/>
      <c r="B2126" s="26">
        <v>173.0</v>
      </c>
      <c r="C2126" s="27">
        <v>27.0</v>
      </c>
      <c r="D2126" s="8" t="s">
        <v>2881</v>
      </c>
      <c r="E2126" s="7">
        <v>0.0</v>
      </c>
      <c r="F2126" s="7"/>
      <c r="G2126" s="7" t="s">
        <v>313</v>
      </c>
      <c r="H2126" s="7" t="s">
        <v>312</v>
      </c>
      <c r="I2126" s="10"/>
      <c r="J2126" s="11"/>
      <c r="K2126" s="12"/>
      <c r="L2126" s="12"/>
      <c r="M2126" s="10"/>
      <c r="N2126" s="10"/>
      <c r="O2126" s="10"/>
      <c r="P2126" s="10"/>
      <c r="Q2126" s="10"/>
      <c r="R2126" s="10"/>
      <c r="S2126" s="10"/>
      <c r="T2126" s="10"/>
      <c r="U2126" s="10"/>
      <c r="V2126" s="10"/>
      <c r="W2126" s="10"/>
      <c r="X2126" s="10"/>
      <c r="Y2126" s="10"/>
      <c r="Z2126" s="10"/>
      <c r="AA2126" s="10"/>
      <c r="AB2126" s="10"/>
      <c r="AC2126" s="10"/>
      <c r="AD2126" s="10"/>
      <c r="AE2126" s="10"/>
      <c r="AF2126" s="10"/>
    </row>
    <row r="2127">
      <c r="A2127" s="7"/>
      <c r="B2127" s="26">
        <v>173.0</v>
      </c>
      <c r="C2127" s="27">
        <v>28.0</v>
      </c>
      <c r="D2127" s="8" t="s">
        <v>2882</v>
      </c>
      <c r="E2127" s="7">
        <v>0.0</v>
      </c>
      <c r="F2127" s="7"/>
      <c r="G2127" s="7" t="s">
        <v>313</v>
      </c>
      <c r="H2127" s="7" t="s">
        <v>312</v>
      </c>
      <c r="I2127" s="10"/>
      <c r="J2127" s="11"/>
      <c r="K2127" s="12"/>
      <c r="L2127" s="12"/>
      <c r="M2127" s="10"/>
      <c r="N2127" s="10"/>
      <c r="O2127" s="10"/>
      <c r="P2127" s="10"/>
      <c r="Q2127" s="10"/>
      <c r="R2127" s="10"/>
      <c r="S2127" s="10"/>
      <c r="T2127" s="10"/>
      <c r="U2127" s="10"/>
      <c r="V2127" s="10"/>
      <c r="W2127" s="10"/>
      <c r="X2127" s="10"/>
      <c r="Y2127" s="10"/>
      <c r="Z2127" s="10"/>
      <c r="AA2127" s="10"/>
      <c r="AB2127" s="10"/>
      <c r="AC2127" s="10"/>
      <c r="AD2127" s="10"/>
      <c r="AE2127" s="10"/>
      <c r="AF2127" s="10"/>
    </row>
    <row r="2128">
      <c r="A2128" s="7"/>
      <c r="B2128" s="26">
        <v>173.0</v>
      </c>
      <c r="C2128" s="27">
        <v>29.0</v>
      </c>
      <c r="D2128" s="8" t="s">
        <v>2883</v>
      </c>
      <c r="E2128" s="7">
        <v>0.0</v>
      </c>
      <c r="F2128" s="7"/>
      <c r="G2128" s="7" t="s">
        <v>313</v>
      </c>
      <c r="H2128" s="7" t="s">
        <v>312</v>
      </c>
      <c r="I2128" s="10"/>
      <c r="J2128" s="11"/>
      <c r="K2128" s="12"/>
      <c r="L2128" s="12"/>
      <c r="M2128" s="10"/>
      <c r="N2128" s="10"/>
      <c r="O2128" s="10"/>
      <c r="P2128" s="10"/>
      <c r="Q2128" s="10"/>
      <c r="R2128" s="10"/>
      <c r="S2128" s="10"/>
      <c r="T2128" s="10"/>
      <c r="U2128" s="10"/>
      <c r="V2128" s="10"/>
      <c r="W2128" s="10"/>
      <c r="X2128" s="10"/>
      <c r="Y2128" s="10"/>
      <c r="Z2128" s="10"/>
      <c r="AA2128" s="10"/>
      <c r="AB2128" s="10"/>
      <c r="AC2128" s="10"/>
      <c r="AD2128" s="10"/>
      <c r="AE2128" s="10"/>
      <c r="AF2128" s="10"/>
    </row>
    <row r="2129">
      <c r="A2129" s="7"/>
      <c r="B2129" s="26">
        <v>173.0</v>
      </c>
      <c r="C2129" s="27">
        <v>30.0</v>
      </c>
      <c r="D2129" s="8" t="s">
        <v>2884</v>
      </c>
      <c r="E2129" s="7">
        <v>0.0</v>
      </c>
      <c r="F2129" s="7"/>
      <c r="G2129" s="7" t="s">
        <v>313</v>
      </c>
      <c r="H2129" s="7" t="s">
        <v>312</v>
      </c>
      <c r="I2129" s="10"/>
      <c r="J2129" s="11"/>
      <c r="K2129" s="12"/>
      <c r="L2129" s="12"/>
      <c r="M2129" s="10"/>
      <c r="N2129" s="10"/>
      <c r="O2129" s="10"/>
      <c r="P2129" s="10"/>
      <c r="Q2129" s="10"/>
      <c r="R2129" s="10"/>
      <c r="S2129" s="10"/>
      <c r="T2129" s="10"/>
      <c r="U2129" s="10"/>
      <c r="V2129" s="10"/>
      <c r="W2129" s="10"/>
      <c r="X2129" s="10"/>
      <c r="Y2129" s="10"/>
      <c r="Z2129" s="10"/>
      <c r="AA2129" s="10"/>
      <c r="AB2129" s="10"/>
      <c r="AC2129" s="10"/>
      <c r="AD2129" s="10"/>
      <c r="AE2129" s="10"/>
      <c r="AF2129" s="10"/>
    </row>
    <row r="2130">
      <c r="A2130" s="7"/>
      <c r="B2130" s="26">
        <v>173.0</v>
      </c>
      <c r="C2130" s="27">
        <v>31.0</v>
      </c>
      <c r="D2130" s="8" t="s">
        <v>2885</v>
      </c>
      <c r="E2130" s="7">
        <v>0.0</v>
      </c>
      <c r="F2130" s="7"/>
      <c r="G2130" s="7" t="s">
        <v>313</v>
      </c>
      <c r="H2130" s="7" t="s">
        <v>312</v>
      </c>
      <c r="I2130" s="10"/>
      <c r="J2130" s="11"/>
      <c r="K2130" s="12"/>
      <c r="L2130" s="12"/>
      <c r="M2130" s="10"/>
      <c r="N2130" s="10"/>
      <c r="O2130" s="10"/>
      <c r="P2130" s="10"/>
      <c r="Q2130" s="10"/>
      <c r="R2130" s="10"/>
      <c r="S2130" s="10"/>
      <c r="T2130" s="10"/>
      <c r="U2130" s="10"/>
      <c r="V2130" s="10"/>
      <c r="W2130" s="10"/>
      <c r="X2130" s="10"/>
      <c r="Y2130" s="10"/>
      <c r="Z2130" s="10"/>
      <c r="AA2130" s="10"/>
      <c r="AB2130" s="10"/>
      <c r="AC2130" s="10"/>
      <c r="AD2130" s="10"/>
      <c r="AE2130" s="10"/>
      <c r="AF2130" s="10"/>
    </row>
    <row r="2131">
      <c r="A2131" s="7"/>
      <c r="B2131" s="26">
        <v>173.0</v>
      </c>
      <c r="C2131" s="27">
        <v>32.0</v>
      </c>
      <c r="D2131" s="8" t="s">
        <v>2886</v>
      </c>
      <c r="E2131" s="7">
        <v>0.0</v>
      </c>
      <c r="F2131" s="7"/>
      <c r="G2131" s="7" t="s">
        <v>313</v>
      </c>
      <c r="H2131" s="7" t="s">
        <v>312</v>
      </c>
      <c r="I2131" s="10"/>
      <c r="J2131" s="11"/>
      <c r="K2131" s="12"/>
      <c r="L2131" s="12"/>
      <c r="M2131" s="10"/>
      <c r="N2131" s="10"/>
      <c r="O2131" s="10"/>
      <c r="P2131" s="10"/>
      <c r="Q2131" s="10"/>
      <c r="R2131" s="10"/>
      <c r="S2131" s="10"/>
      <c r="T2131" s="10"/>
      <c r="U2131" s="10"/>
      <c r="V2131" s="10"/>
      <c r="W2131" s="10"/>
      <c r="X2131" s="10"/>
      <c r="Y2131" s="10"/>
      <c r="Z2131" s="10"/>
      <c r="AA2131" s="10"/>
      <c r="AB2131" s="10"/>
      <c r="AC2131" s="10"/>
      <c r="AD2131" s="10"/>
      <c r="AE2131" s="10"/>
      <c r="AF2131" s="10"/>
    </row>
    <row r="2132">
      <c r="A2132" s="7"/>
      <c r="B2132" s="26">
        <v>173.0</v>
      </c>
      <c r="C2132" s="27">
        <v>33.0</v>
      </c>
      <c r="D2132" s="8" t="s">
        <v>2887</v>
      </c>
      <c r="E2132" s="7">
        <v>0.0</v>
      </c>
      <c r="F2132" s="7"/>
      <c r="G2132" s="7" t="s">
        <v>313</v>
      </c>
      <c r="H2132" s="7" t="s">
        <v>312</v>
      </c>
      <c r="I2132" s="10"/>
      <c r="J2132" s="11"/>
      <c r="K2132" s="12"/>
      <c r="L2132" s="12"/>
      <c r="M2132" s="10"/>
      <c r="N2132" s="10"/>
      <c r="O2132" s="10"/>
      <c r="P2132" s="10"/>
      <c r="Q2132" s="10"/>
      <c r="R2132" s="10"/>
      <c r="S2132" s="10"/>
      <c r="T2132" s="10"/>
      <c r="U2132" s="10"/>
      <c r="V2132" s="10"/>
      <c r="W2132" s="10"/>
      <c r="X2132" s="10"/>
      <c r="Y2132" s="10"/>
      <c r="Z2132" s="10"/>
      <c r="AA2132" s="10"/>
      <c r="AB2132" s="10"/>
      <c r="AC2132" s="10"/>
      <c r="AD2132" s="10"/>
      <c r="AE2132" s="10"/>
      <c r="AF2132" s="10"/>
    </row>
    <row r="2133">
      <c r="A2133" s="7"/>
      <c r="B2133" s="26">
        <v>173.0</v>
      </c>
      <c r="C2133" s="27">
        <v>34.0</v>
      </c>
      <c r="D2133" s="8" t="s">
        <v>2888</v>
      </c>
      <c r="E2133" s="7">
        <v>0.0</v>
      </c>
      <c r="F2133" s="7"/>
      <c r="G2133" s="7" t="s">
        <v>313</v>
      </c>
      <c r="H2133" s="7" t="s">
        <v>312</v>
      </c>
      <c r="I2133" s="10"/>
      <c r="J2133" s="11"/>
      <c r="K2133" s="12"/>
      <c r="L2133" s="12"/>
      <c r="M2133" s="10"/>
      <c r="N2133" s="10"/>
      <c r="O2133" s="10"/>
      <c r="P2133" s="10"/>
      <c r="Q2133" s="10"/>
      <c r="R2133" s="10"/>
      <c r="S2133" s="10"/>
      <c r="T2133" s="10"/>
      <c r="U2133" s="10"/>
      <c r="V2133" s="10"/>
      <c r="W2133" s="10"/>
      <c r="X2133" s="10"/>
      <c r="Y2133" s="10"/>
      <c r="Z2133" s="10"/>
      <c r="AA2133" s="10"/>
      <c r="AB2133" s="10"/>
      <c r="AC2133" s="10"/>
      <c r="AD2133" s="10"/>
      <c r="AE2133" s="10"/>
      <c r="AF2133" s="10"/>
    </row>
    <row r="2134">
      <c r="A2134" s="7"/>
      <c r="B2134" s="26">
        <v>173.0</v>
      </c>
      <c r="C2134" s="27">
        <v>35.0</v>
      </c>
      <c r="D2134" s="8" t="s">
        <v>2889</v>
      </c>
      <c r="E2134" s="7">
        <v>0.0</v>
      </c>
      <c r="F2134" s="7"/>
      <c r="G2134" s="7" t="s">
        <v>313</v>
      </c>
      <c r="H2134" s="7" t="s">
        <v>312</v>
      </c>
      <c r="I2134" s="10"/>
      <c r="J2134" s="11"/>
      <c r="K2134" s="12"/>
      <c r="L2134" s="12"/>
      <c r="M2134" s="10"/>
      <c r="N2134" s="10"/>
      <c r="O2134" s="10"/>
      <c r="P2134" s="10"/>
      <c r="Q2134" s="10"/>
      <c r="R2134" s="10"/>
      <c r="S2134" s="10"/>
      <c r="T2134" s="10"/>
      <c r="U2134" s="10"/>
      <c r="V2134" s="10"/>
      <c r="W2134" s="10"/>
      <c r="X2134" s="10"/>
      <c r="Y2134" s="10"/>
      <c r="Z2134" s="10"/>
      <c r="AA2134" s="10"/>
      <c r="AB2134" s="10"/>
      <c r="AC2134" s="10"/>
      <c r="AD2134" s="10"/>
      <c r="AE2134" s="10"/>
      <c r="AF2134" s="10"/>
    </row>
    <row r="2135">
      <c r="A2135" s="7"/>
      <c r="B2135" s="26">
        <v>173.0</v>
      </c>
      <c r="C2135" s="27">
        <v>36.0</v>
      </c>
      <c r="D2135" s="8" t="s">
        <v>2890</v>
      </c>
      <c r="E2135" s="7">
        <v>0.0</v>
      </c>
      <c r="F2135" s="7"/>
      <c r="G2135" s="7" t="s">
        <v>313</v>
      </c>
      <c r="H2135" s="7" t="s">
        <v>312</v>
      </c>
      <c r="I2135" s="10"/>
      <c r="J2135" s="11"/>
      <c r="K2135" s="12"/>
      <c r="L2135" s="12"/>
      <c r="M2135" s="10"/>
      <c r="N2135" s="10"/>
      <c r="O2135" s="10"/>
      <c r="P2135" s="10"/>
      <c r="Q2135" s="10"/>
      <c r="R2135" s="10"/>
      <c r="S2135" s="10"/>
      <c r="T2135" s="10"/>
      <c r="U2135" s="10"/>
      <c r="V2135" s="10"/>
      <c r="W2135" s="10"/>
      <c r="X2135" s="10"/>
      <c r="Y2135" s="10"/>
      <c r="Z2135" s="10"/>
      <c r="AA2135" s="10"/>
      <c r="AB2135" s="10"/>
      <c r="AC2135" s="10"/>
      <c r="AD2135" s="10"/>
      <c r="AE2135" s="10"/>
      <c r="AF2135" s="10"/>
    </row>
    <row r="2136">
      <c r="A2136" s="7"/>
      <c r="B2136" s="26">
        <v>173.0</v>
      </c>
      <c r="C2136" s="27">
        <v>37.0</v>
      </c>
      <c r="D2136" s="8" t="s">
        <v>2891</v>
      </c>
      <c r="E2136" s="7">
        <v>0.0</v>
      </c>
      <c r="F2136" s="7"/>
      <c r="G2136" s="7" t="s">
        <v>313</v>
      </c>
      <c r="H2136" s="7" t="s">
        <v>312</v>
      </c>
      <c r="I2136" s="10"/>
      <c r="J2136" s="11"/>
      <c r="K2136" s="12"/>
      <c r="L2136" s="12"/>
      <c r="M2136" s="10"/>
      <c r="N2136" s="10"/>
      <c r="O2136" s="10"/>
      <c r="P2136" s="10"/>
      <c r="Q2136" s="10"/>
      <c r="R2136" s="10"/>
      <c r="S2136" s="10"/>
      <c r="T2136" s="10"/>
      <c r="U2136" s="10"/>
      <c r="V2136" s="10"/>
      <c r="W2136" s="10"/>
      <c r="X2136" s="10"/>
      <c r="Y2136" s="10"/>
      <c r="Z2136" s="10"/>
      <c r="AA2136" s="10"/>
      <c r="AB2136" s="10"/>
      <c r="AC2136" s="10"/>
      <c r="AD2136" s="10"/>
      <c r="AE2136" s="10"/>
      <c r="AF2136" s="10"/>
    </row>
    <row r="2137">
      <c r="A2137" s="7"/>
      <c r="B2137" s="26">
        <v>173.0</v>
      </c>
      <c r="C2137" s="27">
        <v>38.0</v>
      </c>
      <c r="D2137" s="8" t="s">
        <v>2892</v>
      </c>
      <c r="E2137" s="7">
        <v>0.0</v>
      </c>
      <c r="F2137" s="7"/>
      <c r="G2137" s="7" t="s">
        <v>313</v>
      </c>
      <c r="H2137" s="7" t="s">
        <v>312</v>
      </c>
      <c r="I2137" s="10"/>
      <c r="J2137" s="11"/>
      <c r="K2137" s="12"/>
      <c r="L2137" s="12"/>
      <c r="M2137" s="10"/>
      <c r="N2137" s="10"/>
      <c r="O2137" s="10"/>
      <c r="P2137" s="10"/>
      <c r="Q2137" s="10"/>
      <c r="R2137" s="10"/>
      <c r="S2137" s="10"/>
      <c r="T2137" s="10"/>
      <c r="U2137" s="10"/>
      <c r="V2137" s="10"/>
      <c r="W2137" s="10"/>
      <c r="X2137" s="10"/>
      <c r="Y2137" s="10"/>
      <c r="Z2137" s="10"/>
      <c r="AA2137" s="10"/>
      <c r="AB2137" s="10"/>
      <c r="AC2137" s="10"/>
      <c r="AD2137" s="10"/>
      <c r="AE2137" s="10"/>
      <c r="AF2137" s="10"/>
    </row>
    <row r="2138">
      <c r="A2138" s="7"/>
      <c r="B2138" s="26">
        <v>173.0</v>
      </c>
      <c r="C2138" s="27">
        <v>39.0</v>
      </c>
      <c r="D2138" s="8" t="s">
        <v>2893</v>
      </c>
      <c r="E2138" s="7">
        <v>0.0</v>
      </c>
      <c r="F2138" s="7"/>
      <c r="G2138" s="7" t="s">
        <v>313</v>
      </c>
      <c r="H2138" s="7" t="s">
        <v>312</v>
      </c>
      <c r="I2138" s="10"/>
      <c r="J2138" s="11"/>
      <c r="K2138" s="12"/>
      <c r="L2138" s="12"/>
      <c r="M2138" s="10"/>
      <c r="N2138" s="10"/>
      <c r="O2138" s="10"/>
      <c r="P2138" s="10"/>
      <c r="Q2138" s="10"/>
      <c r="R2138" s="10"/>
      <c r="S2138" s="10"/>
      <c r="T2138" s="10"/>
      <c r="U2138" s="10"/>
      <c r="V2138" s="10"/>
      <c r="W2138" s="10"/>
      <c r="X2138" s="10"/>
      <c r="Y2138" s="10"/>
      <c r="Z2138" s="10"/>
      <c r="AA2138" s="10"/>
      <c r="AB2138" s="10"/>
      <c r="AC2138" s="10"/>
      <c r="AD2138" s="10"/>
      <c r="AE2138" s="10"/>
      <c r="AF2138" s="10"/>
    </row>
    <row r="2139">
      <c r="A2139" s="7"/>
      <c r="B2139" s="26">
        <v>173.0</v>
      </c>
      <c r="C2139" s="27">
        <v>40.0</v>
      </c>
      <c r="D2139" s="8" t="s">
        <v>2894</v>
      </c>
      <c r="E2139" s="7">
        <v>0.0</v>
      </c>
      <c r="F2139" s="7"/>
      <c r="G2139" s="7" t="s">
        <v>313</v>
      </c>
      <c r="H2139" s="7" t="s">
        <v>312</v>
      </c>
      <c r="I2139" s="10"/>
      <c r="J2139" s="11"/>
      <c r="K2139" s="12"/>
      <c r="L2139" s="12"/>
      <c r="M2139" s="10"/>
      <c r="N2139" s="10"/>
      <c r="O2139" s="10"/>
      <c r="P2139" s="10"/>
      <c r="Q2139" s="10"/>
      <c r="R2139" s="10"/>
      <c r="S2139" s="10"/>
      <c r="T2139" s="10"/>
      <c r="U2139" s="10"/>
      <c r="V2139" s="10"/>
      <c r="W2139" s="10"/>
      <c r="X2139" s="10"/>
      <c r="Y2139" s="10"/>
      <c r="Z2139" s="10"/>
      <c r="AA2139" s="10"/>
      <c r="AB2139" s="10"/>
      <c r="AC2139" s="10"/>
      <c r="AD2139" s="10"/>
      <c r="AE2139" s="10"/>
      <c r="AF2139" s="10"/>
    </row>
    <row r="2140">
      <c r="A2140" s="7"/>
      <c r="B2140" s="26">
        <v>173.0</v>
      </c>
      <c r="C2140" s="27">
        <v>41.0</v>
      </c>
      <c r="D2140" s="8" t="s">
        <v>2895</v>
      </c>
      <c r="E2140" s="7">
        <v>0.0</v>
      </c>
      <c r="F2140" s="7"/>
      <c r="G2140" s="7" t="s">
        <v>313</v>
      </c>
      <c r="H2140" s="7" t="s">
        <v>312</v>
      </c>
      <c r="I2140" s="10"/>
      <c r="J2140" s="11"/>
      <c r="K2140" s="12"/>
      <c r="L2140" s="12"/>
      <c r="M2140" s="10"/>
      <c r="N2140" s="10"/>
      <c r="O2140" s="10"/>
      <c r="P2140" s="10"/>
      <c r="Q2140" s="10"/>
      <c r="R2140" s="10"/>
      <c r="S2140" s="10"/>
      <c r="T2140" s="10"/>
      <c r="U2140" s="10"/>
      <c r="V2140" s="10"/>
      <c r="W2140" s="10"/>
      <c r="X2140" s="10"/>
      <c r="Y2140" s="10"/>
      <c r="Z2140" s="10"/>
      <c r="AA2140" s="10"/>
      <c r="AB2140" s="10"/>
      <c r="AC2140" s="10"/>
      <c r="AD2140" s="10"/>
      <c r="AE2140" s="10"/>
      <c r="AF2140" s="10"/>
    </row>
    <row r="2141">
      <c r="A2141" s="7"/>
      <c r="B2141" s="26">
        <v>173.0</v>
      </c>
      <c r="C2141" s="27">
        <v>42.0</v>
      </c>
      <c r="D2141" s="8" t="s">
        <v>2896</v>
      </c>
      <c r="E2141" s="7">
        <v>0.0</v>
      </c>
      <c r="F2141" s="7"/>
      <c r="G2141" s="7" t="s">
        <v>313</v>
      </c>
      <c r="H2141" s="7" t="s">
        <v>312</v>
      </c>
      <c r="I2141" s="10"/>
      <c r="J2141" s="11"/>
      <c r="K2141" s="12"/>
      <c r="L2141" s="12"/>
      <c r="M2141" s="10"/>
      <c r="N2141" s="10"/>
      <c r="O2141" s="10"/>
      <c r="P2141" s="10"/>
      <c r="Q2141" s="10"/>
      <c r="R2141" s="10"/>
      <c r="S2141" s="10"/>
      <c r="T2141" s="10"/>
      <c r="U2141" s="10"/>
      <c r="V2141" s="10"/>
      <c r="W2141" s="10"/>
      <c r="X2141" s="10"/>
      <c r="Y2141" s="10"/>
      <c r="Z2141" s="10"/>
      <c r="AA2141" s="10"/>
      <c r="AB2141" s="10"/>
      <c r="AC2141" s="10"/>
      <c r="AD2141" s="10"/>
      <c r="AE2141" s="10"/>
      <c r="AF2141" s="10"/>
    </row>
    <row r="2142">
      <c r="A2142" s="7"/>
      <c r="B2142" s="26">
        <v>173.0</v>
      </c>
      <c r="C2142" s="27">
        <v>43.0</v>
      </c>
      <c r="D2142" s="8" t="s">
        <v>2897</v>
      </c>
      <c r="E2142" s="7">
        <v>2.0</v>
      </c>
      <c r="F2142" s="7" t="s">
        <v>320</v>
      </c>
      <c r="G2142" s="7" t="s">
        <v>313</v>
      </c>
      <c r="H2142" s="7" t="s">
        <v>312</v>
      </c>
      <c r="I2142" s="10"/>
      <c r="J2142" s="11"/>
      <c r="K2142" s="20" t="s">
        <v>2898</v>
      </c>
      <c r="L2142" s="12"/>
      <c r="M2142" s="10"/>
      <c r="N2142" s="10"/>
      <c r="O2142" s="10"/>
      <c r="P2142" s="10"/>
      <c r="Q2142" s="10"/>
      <c r="R2142" s="10"/>
      <c r="S2142" s="10"/>
      <c r="T2142" s="10"/>
      <c r="U2142" s="10"/>
      <c r="V2142" s="10"/>
      <c r="W2142" s="10"/>
      <c r="X2142" s="10"/>
      <c r="Y2142" s="10"/>
      <c r="Z2142" s="10"/>
      <c r="AA2142" s="10"/>
      <c r="AB2142" s="10"/>
      <c r="AC2142" s="10"/>
      <c r="AD2142" s="10"/>
      <c r="AE2142" s="10"/>
      <c r="AF2142" s="10"/>
    </row>
    <row r="2143">
      <c r="A2143" s="7"/>
      <c r="B2143" s="26">
        <v>173.0</v>
      </c>
      <c r="C2143" s="27">
        <v>44.0</v>
      </c>
      <c r="D2143" s="8" t="s">
        <v>2899</v>
      </c>
      <c r="E2143" s="7">
        <v>2.0</v>
      </c>
      <c r="F2143" s="7" t="s">
        <v>320</v>
      </c>
      <c r="G2143" s="7" t="s">
        <v>313</v>
      </c>
      <c r="H2143" s="7" t="s">
        <v>312</v>
      </c>
      <c r="I2143" s="10"/>
      <c r="J2143" s="11"/>
      <c r="K2143" s="20" t="s">
        <v>2898</v>
      </c>
      <c r="L2143" s="12"/>
      <c r="M2143" s="10"/>
      <c r="N2143" s="10"/>
      <c r="O2143" s="10"/>
      <c r="P2143" s="10"/>
      <c r="Q2143" s="10"/>
      <c r="R2143" s="10"/>
      <c r="S2143" s="10"/>
      <c r="T2143" s="10"/>
      <c r="U2143" s="10"/>
      <c r="V2143" s="10"/>
      <c r="W2143" s="10"/>
      <c r="X2143" s="10"/>
      <c r="Y2143" s="10"/>
      <c r="Z2143" s="10"/>
      <c r="AA2143" s="10"/>
      <c r="AB2143" s="10"/>
      <c r="AC2143" s="10"/>
      <c r="AD2143" s="10"/>
      <c r="AE2143" s="10"/>
      <c r="AF2143" s="10"/>
    </row>
    <row r="2144">
      <c r="A2144" s="7"/>
      <c r="B2144" s="26">
        <v>173.0</v>
      </c>
      <c r="C2144" s="27">
        <v>45.0</v>
      </c>
      <c r="D2144" s="8" t="s">
        <v>2900</v>
      </c>
      <c r="E2144" s="7">
        <v>0.0</v>
      </c>
      <c r="F2144" s="7"/>
      <c r="G2144" s="7" t="s">
        <v>313</v>
      </c>
      <c r="H2144" s="7" t="s">
        <v>312</v>
      </c>
      <c r="I2144" s="10"/>
      <c r="J2144" s="11"/>
      <c r="K2144" s="12"/>
      <c r="L2144" s="12"/>
      <c r="M2144" s="10"/>
      <c r="N2144" s="10"/>
      <c r="O2144" s="10"/>
      <c r="P2144" s="10"/>
      <c r="Q2144" s="10"/>
      <c r="R2144" s="10"/>
      <c r="S2144" s="10"/>
      <c r="T2144" s="10"/>
      <c r="U2144" s="10"/>
      <c r="V2144" s="10"/>
      <c r="W2144" s="10"/>
      <c r="X2144" s="10"/>
      <c r="Y2144" s="10"/>
      <c r="Z2144" s="10"/>
      <c r="AA2144" s="10"/>
      <c r="AB2144" s="10"/>
      <c r="AC2144" s="10"/>
      <c r="AD2144" s="10"/>
      <c r="AE2144" s="10"/>
      <c r="AF2144" s="10"/>
    </row>
    <row r="2145">
      <c r="A2145" s="7"/>
      <c r="B2145" s="26">
        <v>173.0</v>
      </c>
      <c r="C2145" s="27">
        <v>46.0</v>
      </c>
      <c r="D2145" s="8" t="s">
        <v>2901</v>
      </c>
      <c r="E2145" s="7">
        <v>0.0</v>
      </c>
      <c r="F2145" s="7"/>
      <c r="G2145" s="7" t="s">
        <v>313</v>
      </c>
      <c r="H2145" s="7" t="s">
        <v>312</v>
      </c>
      <c r="I2145" s="10"/>
      <c r="J2145" s="11"/>
      <c r="K2145" s="12"/>
      <c r="L2145" s="12"/>
      <c r="M2145" s="10"/>
      <c r="N2145" s="10"/>
      <c r="O2145" s="10"/>
      <c r="P2145" s="10"/>
      <c r="Q2145" s="10"/>
      <c r="R2145" s="10"/>
      <c r="S2145" s="10"/>
      <c r="T2145" s="10"/>
      <c r="U2145" s="10"/>
      <c r="V2145" s="10"/>
      <c r="W2145" s="10"/>
      <c r="X2145" s="10"/>
      <c r="Y2145" s="10"/>
      <c r="Z2145" s="10"/>
      <c r="AA2145" s="10"/>
      <c r="AB2145" s="10"/>
      <c r="AC2145" s="10"/>
      <c r="AD2145" s="10"/>
      <c r="AE2145" s="10"/>
      <c r="AF2145" s="10"/>
    </row>
    <row r="2146">
      <c r="A2146" s="7"/>
      <c r="B2146" s="26">
        <v>173.0</v>
      </c>
      <c r="C2146" s="27">
        <v>47.0</v>
      </c>
      <c r="D2146" s="8" t="s">
        <v>2902</v>
      </c>
      <c r="E2146" s="7">
        <v>0.0</v>
      </c>
      <c r="F2146" s="7"/>
      <c r="G2146" s="7" t="s">
        <v>313</v>
      </c>
      <c r="H2146" s="7" t="s">
        <v>312</v>
      </c>
      <c r="I2146" s="10"/>
      <c r="J2146" s="11"/>
      <c r="K2146" s="12"/>
      <c r="L2146" s="12"/>
      <c r="M2146" s="10"/>
      <c r="N2146" s="10"/>
      <c r="O2146" s="10"/>
      <c r="P2146" s="10"/>
      <c r="Q2146" s="10"/>
      <c r="R2146" s="10"/>
      <c r="S2146" s="10"/>
      <c r="T2146" s="10"/>
      <c r="U2146" s="10"/>
      <c r="V2146" s="10"/>
      <c r="W2146" s="10"/>
      <c r="X2146" s="10"/>
      <c r="Y2146" s="10"/>
      <c r="Z2146" s="10"/>
      <c r="AA2146" s="10"/>
      <c r="AB2146" s="10"/>
      <c r="AC2146" s="10"/>
      <c r="AD2146" s="10"/>
      <c r="AE2146" s="10"/>
      <c r="AF2146" s="10"/>
    </row>
    <row r="2147">
      <c r="A2147" s="7"/>
      <c r="B2147" s="26">
        <v>173.0</v>
      </c>
      <c r="C2147" s="27">
        <v>48.0</v>
      </c>
      <c r="D2147" s="8" t="s">
        <v>2903</v>
      </c>
      <c r="E2147" s="7">
        <v>0.0</v>
      </c>
      <c r="F2147" s="7"/>
      <c r="G2147" s="7" t="s">
        <v>313</v>
      </c>
      <c r="H2147" s="7" t="s">
        <v>312</v>
      </c>
      <c r="I2147" s="10"/>
      <c r="J2147" s="11"/>
      <c r="K2147" s="12"/>
      <c r="L2147" s="12"/>
      <c r="M2147" s="10"/>
      <c r="N2147" s="10"/>
      <c r="O2147" s="10"/>
      <c r="P2147" s="10"/>
      <c r="Q2147" s="10"/>
      <c r="R2147" s="10"/>
      <c r="S2147" s="10"/>
      <c r="T2147" s="10"/>
      <c r="U2147" s="10"/>
      <c r="V2147" s="10"/>
      <c r="W2147" s="10"/>
      <c r="X2147" s="10"/>
      <c r="Y2147" s="10"/>
      <c r="Z2147" s="10"/>
      <c r="AA2147" s="10"/>
      <c r="AB2147" s="10"/>
      <c r="AC2147" s="10"/>
      <c r="AD2147" s="10"/>
      <c r="AE2147" s="10"/>
      <c r="AF2147" s="10"/>
    </row>
    <row r="2148">
      <c r="A2148" s="7"/>
      <c r="B2148" s="26">
        <v>173.0</v>
      </c>
      <c r="C2148" s="27">
        <v>49.0</v>
      </c>
      <c r="D2148" s="8" t="s">
        <v>2904</v>
      </c>
      <c r="E2148" s="7">
        <v>0.0</v>
      </c>
      <c r="F2148" s="7"/>
      <c r="G2148" s="7" t="s">
        <v>313</v>
      </c>
      <c r="H2148" s="7" t="s">
        <v>312</v>
      </c>
      <c r="I2148" s="10"/>
      <c r="J2148" s="11"/>
      <c r="K2148" s="12"/>
      <c r="L2148" s="12"/>
      <c r="M2148" s="10"/>
      <c r="N2148" s="10"/>
      <c r="O2148" s="10"/>
      <c r="P2148" s="10"/>
      <c r="Q2148" s="10"/>
      <c r="R2148" s="10"/>
      <c r="S2148" s="10"/>
      <c r="T2148" s="10"/>
      <c r="U2148" s="10"/>
      <c r="V2148" s="10"/>
      <c r="W2148" s="10"/>
      <c r="X2148" s="10"/>
      <c r="Y2148" s="10"/>
      <c r="Z2148" s="10"/>
      <c r="AA2148" s="10"/>
      <c r="AB2148" s="10"/>
      <c r="AC2148" s="10"/>
      <c r="AD2148" s="10"/>
      <c r="AE2148" s="10"/>
      <c r="AF2148" s="10"/>
    </row>
    <row r="2149">
      <c r="A2149" s="7"/>
      <c r="B2149" s="26">
        <v>173.0</v>
      </c>
      <c r="C2149" s="27">
        <v>50.0</v>
      </c>
      <c r="D2149" s="8" t="s">
        <v>2905</v>
      </c>
      <c r="E2149" s="7">
        <v>0.0</v>
      </c>
      <c r="F2149" s="7"/>
      <c r="G2149" s="7" t="s">
        <v>313</v>
      </c>
      <c r="H2149" s="7" t="s">
        <v>312</v>
      </c>
      <c r="I2149" s="10"/>
      <c r="J2149" s="11"/>
      <c r="K2149" s="12"/>
      <c r="L2149" s="12"/>
      <c r="M2149" s="10"/>
      <c r="N2149" s="10"/>
      <c r="O2149" s="10"/>
      <c r="P2149" s="10"/>
      <c r="Q2149" s="10"/>
      <c r="R2149" s="10"/>
      <c r="S2149" s="10"/>
      <c r="T2149" s="10"/>
      <c r="U2149" s="10"/>
      <c r="V2149" s="10"/>
      <c r="W2149" s="10"/>
      <c r="X2149" s="10"/>
      <c r="Y2149" s="10"/>
      <c r="Z2149" s="10"/>
      <c r="AA2149" s="10"/>
      <c r="AB2149" s="10"/>
      <c r="AC2149" s="10"/>
      <c r="AD2149" s="10"/>
      <c r="AE2149" s="10"/>
      <c r="AF2149" s="10"/>
    </row>
    <row r="2150">
      <c r="A2150" s="7"/>
      <c r="B2150" s="26">
        <v>173.0</v>
      </c>
      <c r="C2150" s="27">
        <v>51.0</v>
      </c>
      <c r="D2150" s="8" t="s">
        <v>2906</v>
      </c>
      <c r="E2150" s="7">
        <v>0.0</v>
      </c>
      <c r="F2150" s="7"/>
      <c r="G2150" s="7" t="s">
        <v>313</v>
      </c>
      <c r="H2150" s="7" t="s">
        <v>312</v>
      </c>
      <c r="I2150" s="10"/>
      <c r="J2150" s="11"/>
      <c r="K2150" s="12"/>
      <c r="L2150" s="12"/>
      <c r="M2150" s="10"/>
      <c r="N2150" s="10"/>
      <c r="O2150" s="10"/>
      <c r="P2150" s="10"/>
      <c r="Q2150" s="10"/>
      <c r="R2150" s="10"/>
      <c r="S2150" s="10"/>
      <c r="T2150" s="10"/>
      <c r="U2150" s="10"/>
      <c r="V2150" s="10"/>
      <c r="W2150" s="10"/>
      <c r="X2150" s="10"/>
      <c r="Y2150" s="10"/>
      <c r="Z2150" s="10"/>
      <c r="AA2150" s="10"/>
      <c r="AB2150" s="10"/>
      <c r="AC2150" s="10"/>
      <c r="AD2150" s="10"/>
      <c r="AE2150" s="10"/>
      <c r="AF2150" s="10"/>
    </row>
    <row r="2151">
      <c r="A2151" s="7"/>
      <c r="B2151" s="26">
        <v>173.0</v>
      </c>
      <c r="C2151" s="27">
        <v>52.0</v>
      </c>
      <c r="D2151" s="8" t="s">
        <v>2907</v>
      </c>
      <c r="E2151" s="7">
        <v>0.0</v>
      </c>
      <c r="F2151" s="7"/>
      <c r="G2151" s="7" t="s">
        <v>313</v>
      </c>
      <c r="H2151" s="7" t="s">
        <v>312</v>
      </c>
      <c r="I2151" s="10"/>
      <c r="J2151" s="11"/>
      <c r="K2151" s="12"/>
      <c r="L2151" s="12"/>
      <c r="M2151" s="10"/>
      <c r="N2151" s="10"/>
      <c r="O2151" s="10"/>
      <c r="P2151" s="10"/>
      <c r="Q2151" s="10"/>
      <c r="R2151" s="10"/>
      <c r="S2151" s="10"/>
      <c r="T2151" s="10"/>
      <c r="U2151" s="10"/>
      <c r="V2151" s="10"/>
      <c r="W2151" s="10"/>
      <c r="X2151" s="10"/>
      <c r="Y2151" s="10"/>
      <c r="Z2151" s="10"/>
      <c r="AA2151" s="10"/>
      <c r="AB2151" s="10"/>
      <c r="AC2151" s="10"/>
      <c r="AD2151" s="10"/>
      <c r="AE2151" s="10"/>
      <c r="AF2151" s="10"/>
    </row>
    <row r="2152">
      <c r="A2152" s="7"/>
      <c r="B2152" s="26">
        <v>173.0</v>
      </c>
      <c r="C2152" s="27">
        <v>53.0</v>
      </c>
      <c r="D2152" s="8" t="s">
        <v>2908</v>
      </c>
      <c r="E2152" s="7">
        <v>0.0</v>
      </c>
      <c r="F2152" s="7"/>
      <c r="G2152" s="7" t="s">
        <v>313</v>
      </c>
      <c r="H2152" s="7" t="s">
        <v>312</v>
      </c>
      <c r="I2152" s="10"/>
      <c r="J2152" s="11"/>
      <c r="K2152" s="12"/>
      <c r="L2152" s="12"/>
      <c r="M2152" s="10"/>
      <c r="N2152" s="10"/>
      <c r="O2152" s="10"/>
      <c r="P2152" s="10"/>
      <c r="Q2152" s="10"/>
      <c r="R2152" s="10"/>
      <c r="S2152" s="10"/>
      <c r="T2152" s="10"/>
      <c r="U2152" s="10"/>
      <c r="V2152" s="10"/>
      <c r="W2152" s="10"/>
      <c r="X2152" s="10"/>
      <c r="Y2152" s="10"/>
      <c r="Z2152" s="10"/>
      <c r="AA2152" s="10"/>
      <c r="AB2152" s="10"/>
      <c r="AC2152" s="10"/>
      <c r="AD2152" s="10"/>
      <c r="AE2152" s="10"/>
      <c r="AF2152" s="10"/>
    </row>
    <row r="2153">
      <c r="A2153" s="7"/>
      <c r="B2153" s="26">
        <v>173.0</v>
      </c>
      <c r="C2153" s="27">
        <v>54.0</v>
      </c>
      <c r="D2153" s="8" t="s">
        <v>2909</v>
      </c>
      <c r="E2153" s="7">
        <v>0.0</v>
      </c>
      <c r="F2153" s="7"/>
      <c r="G2153" s="7" t="s">
        <v>313</v>
      </c>
      <c r="H2153" s="7" t="s">
        <v>312</v>
      </c>
      <c r="I2153" s="10"/>
      <c r="J2153" s="11"/>
      <c r="K2153" s="12"/>
      <c r="L2153" s="12"/>
      <c r="M2153" s="10"/>
      <c r="N2153" s="10"/>
      <c r="O2153" s="10"/>
      <c r="P2153" s="10"/>
      <c r="Q2153" s="10"/>
      <c r="R2153" s="10"/>
      <c r="S2153" s="10"/>
      <c r="T2153" s="10"/>
      <c r="U2153" s="10"/>
      <c r="V2153" s="10"/>
      <c r="W2153" s="10"/>
      <c r="X2153" s="10"/>
      <c r="Y2153" s="10"/>
      <c r="Z2153" s="10"/>
      <c r="AA2153" s="10"/>
      <c r="AB2153" s="10"/>
      <c r="AC2153" s="10"/>
      <c r="AD2153" s="10"/>
      <c r="AE2153" s="10"/>
      <c r="AF2153" s="10"/>
    </row>
    <row r="2154">
      <c r="A2154" s="7"/>
      <c r="B2154" s="26">
        <v>173.0</v>
      </c>
      <c r="C2154" s="27">
        <v>55.0</v>
      </c>
      <c r="D2154" s="8" t="s">
        <v>2910</v>
      </c>
      <c r="E2154" s="7">
        <v>0.0</v>
      </c>
      <c r="F2154" s="7"/>
      <c r="G2154" s="7" t="s">
        <v>313</v>
      </c>
      <c r="H2154" s="7" t="s">
        <v>312</v>
      </c>
      <c r="I2154" s="10"/>
      <c r="J2154" s="11"/>
      <c r="K2154" s="12"/>
      <c r="L2154" s="12"/>
      <c r="M2154" s="10"/>
      <c r="N2154" s="10"/>
      <c r="O2154" s="10"/>
      <c r="P2154" s="10"/>
      <c r="Q2154" s="10"/>
      <c r="R2154" s="10"/>
      <c r="S2154" s="10"/>
      <c r="T2154" s="10"/>
      <c r="U2154" s="10"/>
      <c r="V2154" s="10"/>
      <c r="W2154" s="10"/>
      <c r="X2154" s="10"/>
      <c r="Y2154" s="10"/>
      <c r="Z2154" s="10"/>
      <c r="AA2154" s="10"/>
      <c r="AB2154" s="10"/>
      <c r="AC2154" s="10"/>
      <c r="AD2154" s="10"/>
      <c r="AE2154" s="10"/>
      <c r="AF2154" s="10"/>
    </row>
    <row r="2155">
      <c r="A2155" s="7"/>
      <c r="B2155" s="26">
        <v>173.0</v>
      </c>
      <c r="C2155" s="27">
        <v>56.0</v>
      </c>
      <c r="D2155" s="8" t="s">
        <v>2911</v>
      </c>
      <c r="E2155" s="7">
        <v>0.0</v>
      </c>
      <c r="F2155" s="7"/>
      <c r="G2155" s="7" t="s">
        <v>313</v>
      </c>
      <c r="H2155" s="7" t="s">
        <v>312</v>
      </c>
      <c r="I2155" s="10"/>
      <c r="J2155" s="11"/>
      <c r="K2155" s="12"/>
      <c r="L2155" s="12"/>
      <c r="M2155" s="10"/>
      <c r="N2155" s="10"/>
      <c r="O2155" s="10"/>
      <c r="P2155" s="10"/>
      <c r="Q2155" s="10"/>
      <c r="R2155" s="10"/>
      <c r="S2155" s="10"/>
      <c r="T2155" s="10"/>
      <c r="U2155" s="10"/>
      <c r="V2155" s="10"/>
      <c r="W2155" s="10"/>
      <c r="X2155" s="10"/>
      <c r="Y2155" s="10"/>
      <c r="Z2155" s="10"/>
      <c r="AA2155" s="10"/>
      <c r="AB2155" s="10"/>
      <c r="AC2155" s="10"/>
      <c r="AD2155" s="10"/>
      <c r="AE2155" s="10"/>
      <c r="AF2155" s="10"/>
    </row>
    <row r="2156">
      <c r="A2156" s="7"/>
      <c r="B2156" s="26">
        <v>173.0</v>
      </c>
      <c r="C2156" s="27">
        <v>57.0</v>
      </c>
      <c r="D2156" s="8" t="s">
        <v>2912</v>
      </c>
      <c r="E2156" s="7">
        <v>0.0</v>
      </c>
      <c r="F2156" s="7"/>
      <c r="G2156" s="7" t="s">
        <v>313</v>
      </c>
      <c r="H2156" s="7" t="s">
        <v>312</v>
      </c>
      <c r="I2156" s="10"/>
      <c r="J2156" s="11"/>
      <c r="K2156" s="12"/>
      <c r="L2156" s="12"/>
      <c r="M2156" s="10"/>
      <c r="N2156" s="10"/>
      <c r="O2156" s="10"/>
      <c r="P2156" s="10"/>
      <c r="Q2156" s="10"/>
      <c r="R2156" s="10"/>
      <c r="S2156" s="10"/>
      <c r="T2156" s="10"/>
      <c r="U2156" s="10"/>
      <c r="V2156" s="10"/>
      <c r="W2156" s="10"/>
      <c r="X2156" s="10"/>
      <c r="Y2156" s="10"/>
      <c r="Z2156" s="10"/>
      <c r="AA2156" s="10"/>
      <c r="AB2156" s="10"/>
      <c r="AC2156" s="10"/>
      <c r="AD2156" s="10"/>
      <c r="AE2156" s="10"/>
      <c r="AF2156" s="10"/>
    </row>
    <row r="2157">
      <c r="A2157" s="7"/>
      <c r="B2157" s="26">
        <v>173.0</v>
      </c>
      <c r="C2157" s="27">
        <v>58.0</v>
      </c>
      <c r="D2157" s="8" t="s">
        <v>2913</v>
      </c>
      <c r="E2157" s="7">
        <v>0.0</v>
      </c>
      <c r="F2157" s="7"/>
      <c r="G2157" s="7" t="s">
        <v>313</v>
      </c>
      <c r="H2157" s="7" t="s">
        <v>312</v>
      </c>
      <c r="I2157" s="10"/>
      <c r="J2157" s="11"/>
      <c r="K2157" s="12"/>
      <c r="L2157" s="12"/>
      <c r="M2157" s="10"/>
      <c r="N2157" s="10"/>
      <c r="O2157" s="10"/>
      <c r="P2157" s="10"/>
      <c r="Q2157" s="10"/>
      <c r="R2157" s="10"/>
      <c r="S2157" s="10"/>
      <c r="T2157" s="10"/>
      <c r="U2157" s="10"/>
      <c r="V2157" s="10"/>
      <c r="W2157" s="10"/>
      <c r="X2157" s="10"/>
      <c r="Y2157" s="10"/>
      <c r="Z2157" s="10"/>
      <c r="AA2157" s="10"/>
      <c r="AB2157" s="10"/>
      <c r="AC2157" s="10"/>
      <c r="AD2157" s="10"/>
      <c r="AE2157" s="10"/>
      <c r="AF2157" s="10"/>
    </row>
    <row r="2158">
      <c r="A2158" s="7"/>
      <c r="B2158" s="26">
        <v>173.0</v>
      </c>
      <c r="C2158" s="27">
        <v>59.0</v>
      </c>
      <c r="D2158" s="8" t="s">
        <v>2914</v>
      </c>
      <c r="E2158" s="7">
        <v>0.0</v>
      </c>
      <c r="F2158" s="7"/>
      <c r="G2158" s="7" t="s">
        <v>313</v>
      </c>
      <c r="H2158" s="7" t="s">
        <v>312</v>
      </c>
      <c r="I2158" s="10"/>
      <c r="J2158" s="11"/>
      <c r="K2158" s="12"/>
      <c r="L2158" s="12"/>
      <c r="M2158" s="10"/>
      <c r="N2158" s="10"/>
      <c r="O2158" s="10"/>
      <c r="P2158" s="10"/>
      <c r="Q2158" s="10"/>
      <c r="R2158" s="10"/>
      <c r="S2158" s="10"/>
      <c r="T2158" s="10"/>
      <c r="U2158" s="10"/>
      <c r="V2158" s="10"/>
      <c r="W2158" s="10"/>
      <c r="X2158" s="10"/>
      <c r="Y2158" s="10"/>
      <c r="Z2158" s="10"/>
      <c r="AA2158" s="10"/>
      <c r="AB2158" s="10"/>
      <c r="AC2158" s="10"/>
      <c r="AD2158" s="10"/>
      <c r="AE2158" s="10"/>
      <c r="AF2158" s="10"/>
    </row>
    <row r="2159">
      <c r="A2159" s="7"/>
      <c r="B2159" s="26">
        <v>173.0</v>
      </c>
      <c r="C2159" s="27">
        <v>60.0</v>
      </c>
      <c r="D2159" s="8" t="s">
        <v>2915</v>
      </c>
      <c r="E2159" s="7">
        <v>0.0</v>
      </c>
      <c r="F2159" s="7"/>
      <c r="G2159" s="7" t="s">
        <v>313</v>
      </c>
      <c r="H2159" s="7" t="s">
        <v>312</v>
      </c>
      <c r="I2159" s="10"/>
      <c r="J2159" s="11"/>
      <c r="K2159" s="12"/>
      <c r="L2159" s="12"/>
      <c r="M2159" s="10"/>
      <c r="N2159" s="10"/>
      <c r="O2159" s="10"/>
      <c r="P2159" s="10"/>
      <c r="Q2159" s="10"/>
      <c r="R2159" s="10"/>
      <c r="S2159" s="10"/>
      <c r="T2159" s="10"/>
      <c r="U2159" s="10"/>
      <c r="V2159" s="10"/>
      <c r="W2159" s="10"/>
      <c r="X2159" s="10"/>
      <c r="Y2159" s="10"/>
      <c r="Z2159" s="10"/>
      <c r="AA2159" s="10"/>
      <c r="AB2159" s="10"/>
      <c r="AC2159" s="10"/>
      <c r="AD2159" s="10"/>
      <c r="AE2159" s="10"/>
      <c r="AF2159" s="10"/>
    </row>
    <row r="2160">
      <c r="A2160" s="7"/>
      <c r="B2160" s="26">
        <v>173.0</v>
      </c>
      <c r="C2160" s="27">
        <v>61.0</v>
      </c>
      <c r="D2160" s="8" t="s">
        <v>2916</v>
      </c>
      <c r="E2160" s="7">
        <v>0.0</v>
      </c>
      <c r="F2160" s="7"/>
      <c r="G2160" s="7" t="s">
        <v>313</v>
      </c>
      <c r="H2160" s="7" t="s">
        <v>312</v>
      </c>
      <c r="I2160" s="10"/>
      <c r="J2160" s="11"/>
      <c r="K2160" s="12"/>
      <c r="L2160" s="12"/>
      <c r="M2160" s="10"/>
      <c r="N2160" s="10"/>
      <c r="O2160" s="10"/>
      <c r="P2160" s="10"/>
      <c r="Q2160" s="10"/>
      <c r="R2160" s="10"/>
      <c r="S2160" s="10"/>
      <c r="T2160" s="10"/>
      <c r="U2160" s="10"/>
      <c r="V2160" s="10"/>
      <c r="W2160" s="10"/>
      <c r="X2160" s="10"/>
      <c r="Y2160" s="10"/>
      <c r="Z2160" s="10"/>
      <c r="AA2160" s="10"/>
      <c r="AB2160" s="10"/>
      <c r="AC2160" s="10"/>
      <c r="AD2160" s="10"/>
      <c r="AE2160" s="10"/>
      <c r="AF2160" s="10"/>
    </row>
    <row r="2161">
      <c r="A2161" s="7"/>
      <c r="B2161" s="26">
        <v>173.0</v>
      </c>
      <c r="C2161" s="27">
        <v>62.0</v>
      </c>
      <c r="D2161" s="8" t="s">
        <v>2917</v>
      </c>
      <c r="E2161" s="7">
        <v>0.0</v>
      </c>
      <c r="F2161" s="7"/>
      <c r="G2161" s="7" t="s">
        <v>313</v>
      </c>
      <c r="H2161" s="7" t="s">
        <v>312</v>
      </c>
      <c r="I2161" s="10"/>
      <c r="J2161" s="11"/>
      <c r="K2161" s="12"/>
      <c r="L2161" s="12"/>
      <c r="M2161" s="10"/>
      <c r="N2161" s="10"/>
      <c r="O2161" s="10"/>
      <c r="P2161" s="10"/>
      <c r="Q2161" s="10"/>
      <c r="R2161" s="10"/>
      <c r="S2161" s="10"/>
      <c r="T2161" s="10"/>
      <c r="U2161" s="10"/>
      <c r="V2161" s="10"/>
      <c r="W2161" s="10"/>
      <c r="X2161" s="10"/>
      <c r="Y2161" s="10"/>
      <c r="Z2161" s="10"/>
      <c r="AA2161" s="10"/>
      <c r="AB2161" s="10"/>
      <c r="AC2161" s="10"/>
      <c r="AD2161" s="10"/>
      <c r="AE2161" s="10"/>
      <c r="AF2161" s="10"/>
    </row>
    <row r="2162">
      <c r="A2162" s="7"/>
      <c r="B2162" s="26">
        <v>173.0</v>
      </c>
      <c r="C2162" s="27">
        <v>63.0</v>
      </c>
      <c r="D2162" s="8" t="s">
        <v>2918</v>
      </c>
      <c r="E2162" s="7">
        <v>0.0</v>
      </c>
      <c r="F2162" s="7"/>
      <c r="G2162" s="7" t="s">
        <v>313</v>
      </c>
      <c r="H2162" s="7" t="s">
        <v>312</v>
      </c>
      <c r="I2162" s="10"/>
      <c r="J2162" s="11"/>
      <c r="K2162" s="12"/>
      <c r="L2162" s="12"/>
      <c r="M2162" s="10"/>
      <c r="N2162" s="10"/>
      <c r="O2162" s="10"/>
      <c r="P2162" s="10"/>
      <c r="Q2162" s="10"/>
      <c r="R2162" s="10"/>
      <c r="S2162" s="10"/>
      <c r="T2162" s="10"/>
      <c r="U2162" s="10"/>
      <c r="V2162" s="10"/>
      <c r="W2162" s="10"/>
      <c r="X2162" s="10"/>
      <c r="Y2162" s="10"/>
      <c r="Z2162" s="10"/>
      <c r="AA2162" s="10"/>
      <c r="AB2162" s="10"/>
      <c r="AC2162" s="10"/>
      <c r="AD2162" s="10"/>
      <c r="AE2162" s="10"/>
      <c r="AF2162" s="10"/>
    </row>
    <row r="2163">
      <c r="A2163" s="7"/>
      <c r="B2163" s="26">
        <v>173.0</v>
      </c>
      <c r="C2163" s="27">
        <v>64.0</v>
      </c>
      <c r="D2163" s="8" t="s">
        <v>2919</v>
      </c>
      <c r="E2163" s="7">
        <v>0.0</v>
      </c>
      <c r="F2163" s="7"/>
      <c r="G2163" s="7" t="s">
        <v>313</v>
      </c>
      <c r="H2163" s="7" t="s">
        <v>312</v>
      </c>
      <c r="I2163" s="10"/>
      <c r="J2163" s="11"/>
      <c r="K2163" s="12"/>
      <c r="L2163" s="12"/>
      <c r="M2163" s="10"/>
      <c r="N2163" s="10"/>
      <c r="O2163" s="10"/>
      <c r="P2163" s="10"/>
      <c r="Q2163" s="10"/>
      <c r="R2163" s="10"/>
      <c r="S2163" s="10"/>
      <c r="T2163" s="10"/>
      <c r="U2163" s="10"/>
      <c r="V2163" s="10"/>
      <c r="W2163" s="10"/>
      <c r="X2163" s="10"/>
      <c r="Y2163" s="10"/>
      <c r="Z2163" s="10"/>
      <c r="AA2163" s="10"/>
      <c r="AB2163" s="10"/>
      <c r="AC2163" s="10"/>
      <c r="AD2163" s="10"/>
      <c r="AE2163" s="10"/>
      <c r="AF2163" s="10"/>
    </row>
    <row r="2164">
      <c r="A2164" s="7"/>
      <c r="B2164" s="26">
        <v>173.0</v>
      </c>
      <c r="C2164" s="27">
        <v>65.0</v>
      </c>
      <c r="D2164" s="8" t="s">
        <v>2920</v>
      </c>
      <c r="E2164" s="7">
        <v>0.0</v>
      </c>
      <c r="F2164" s="7"/>
      <c r="G2164" s="7" t="s">
        <v>313</v>
      </c>
      <c r="H2164" s="7" t="s">
        <v>312</v>
      </c>
      <c r="I2164" s="10"/>
      <c r="J2164" s="11"/>
      <c r="K2164" s="12"/>
      <c r="L2164" s="12"/>
      <c r="M2164" s="10"/>
      <c r="N2164" s="10"/>
      <c r="O2164" s="10"/>
      <c r="P2164" s="10"/>
      <c r="Q2164" s="10"/>
      <c r="R2164" s="10"/>
      <c r="S2164" s="10"/>
      <c r="T2164" s="10"/>
      <c r="U2164" s="10"/>
      <c r="V2164" s="10"/>
      <c r="W2164" s="10"/>
      <c r="X2164" s="10"/>
      <c r="Y2164" s="10"/>
      <c r="Z2164" s="10"/>
      <c r="AA2164" s="10"/>
      <c r="AB2164" s="10"/>
      <c r="AC2164" s="10"/>
      <c r="AD2164" s="10"/>
      <c r="AE2164" s="10"/>
      <c r="AF2164" s="10"/>
    </row>
    <row r="2165">
      <c r="A2165" s="7"/>
      <c r="B2165" s="26">
        <v>173.0</v>
      </c>
      <c r="C2165" s="27">
        <v>66.0</v>
      </c>
      <c r="D2165" s="8" t="s">
        <v>2921</v>
      </c>
      <c r="E2165" s="7">
        <v>0.0</v>
      </c>
      <c r="F2165" s="7"/>
      <c r="G2165" s="7" t="s">
        <v>313</v>
      </c>
      <c r="H2165" s="7" t="s">
        <v>312</v>
      </c>
      <c r="I2165" s="10"/>
      <c r="J2165" s="11"/>
      <c r="K2165" s="12"/>
      <c r="L2165" s="12"/>
      <c r="M2165" s="10"/>
      <c r="N2165" s="10"/>
      <c r="O2165" s="10"/>
      <c r="P2165" s="10"/>
      <c r="Q2165" s="10"/>
      <c r="R2165" s="10"/>
      <c r="S2165" s="10"/>
      <c r="T2165" s="10"/>
      <c r="U2165" s="10"/>
      <c r="V2165" s="10"/>
      <c r="W2165" s="10"/>
      <c r="X2165" s="10"/>
      <c r="Y2165" s="10"/>
      <c r="Z2165" s="10"/>
      <c r="AA2165" s="10"/>
      <c r="AB2165" s="10"/>
      <c r="AC2165" s="10"/>
      <c r="AD2165" s="10"/>
      <c r="AE2165" s="10"/>
      <c r="AF2165" s="10"/>
    </row>
    <row r="2166">
      <c r="A2166" s="7"/>
      <c r="B2166" s="26">
        <v>173.0</v>
      </c>
      <c r="C2166" s="27">
        <v>67.0</v>
      </c>
      <c r="D2166" s="8" t="s">
        <v>2922</v>
      </c>
      <c r="E2166" s="7">
        <v>0.0</v>
      </c>
      <c r="F2166" s="7"/>
      <c r="G2166" s="7" t="s">
        <v>313</v>
      </c>
      <c r="H2166" s="7" t="s">
        <v>312</v>
      </c>
      <c r="I2166" s="10"/>
      <c r="J2166" s="11"/>
      <c r="K2166" s="12"/>
      <c r="L2166" s="12"/>
      <c r="M2166" s="10"/>
      <c r="N2166" s="10"/>
      <c r="O2166" s="10"/>
      <c r="P2166" s="10"/>
      <c r="Q2166" s="10"/>
      <c r="R2166" s="10"/>
      <c r="S2166" s="10"/>
      <c r="T2166" s="10"/>
      <c r="U2166" s="10"/>
      <c r="V2166" s="10"/>
      <c r="W2166" s="10"/>
      <c r="X2166" s="10"/>
      <c r="Y2166" s="10"/>
      <c r="Z2166" s="10"/>
      <c r="AA2166" s="10"/>
      <c r="AB2166" s="10"/>
      <c r="AC2166" s="10"/>
      <c r="AD2166" s="10"/>
      <c r="AE2166" s="10"/>
      <c r="AF2166" s="10"/>
    </row>
    <row r="2167">
      <c r="A2167" s="7"/>
      <c r="B2167" s="26">
        <v>173.0</v>
      </c>
      <c r="C2167" s="27">
        <v>68.0</v>
      </c>
      <c r="D2167" s="8" t="s">
        <v>2923</v>
      </c>
      <c r="E2167" s="7">
        <v>0.0</v>
      </c>
      <c r="F2167" s="7"/>
      <c r="G2167" s="7" t="s">
        <v>313</v>
      </c>
      <c r="H2167" s="7" t="s">
        <v>312</v>
      </c>
      <c r="I2167" s="10"/>
      <c r="J2167" s="11"/>
      <c r="K2167" s="12"/>
      <c r="L2167" s="12"/>
      <c r="M2167" s="10"/>
      <c r="N2167" s="10"/>
      <c r="O2167" s="10"/>
      <c r="P2167" s="10"/>
      <c r="Q2167" s="10"/>
      <c r="R2167" s="10"/>
      <c r="S2167" s="10"/>
      <c r="T2167" s="10"/>
      <c r="U2167" s="10"/>
      <c r="V2167" s="10"/>
      <c r="W2167" s="10"/>
      <c r="X2167" s="10"/>
      <c r="Y2167" s="10"/>
      <c r="Z2167" s="10"/>
      <c r="AA2167" s="10"/>
      <c r="AB2167" s="10"/>
      <c r="AC2167" s="10"/>
      <c r="AD2167" s="10"/>
      <c r="AE2167" s="10"/>
      <c r="AF2167" s="10"/>
    </row>
    <row r="2168">
      <c r="A2168" s="7"/>
      <c r="B2168" s="26">
        <v>173.0</v>
      </c>
      <c r="C2168" s="27">
        <v>69.0</v>
      </c>
      <c r="D2168" s="8" t="s">
        <v>2924</v>
      </c>
      <c r="E2168" s="7">
        <v>0.0</v>
      </c>
      <c r="F2168" s="7"/>
      <c r="G2168" s="7" t="s">
        <v>313</v>
      </c>
      <c r="H2168" s="7" t="s">
        <v>312</v>
      </c>
      <c r="I2168" s="10"/>
      <c r="J2168" s="11"/>
      <c r="K2168" s="12"/>
      <c r="L2168" s="12"/>
      <c r="M2168" s="10"/>
      <c r="N2168" s="10"/>
      <c r="O2168" s="10"/>
      <c r="P2168" s="10"/>
      <c r="Q2168" s="10"/>
      <c r="R2168" s="10"/>
      <c r="S2168" s="10"/>
      <c r="T2168" s="10"/>
      <c r="U2168" s="10"/>
      <c r="V2168" s="10"/>
      <c r="W2168" s="10"/>
      <c r="X2168" s="10"/>
      <c r="Y2168" s="10"/>
      <c r="Z2168" s="10"/>
      <c r="AA2168" s="10"/>
      <c r="AB2168" s="10"/>
      <c r="AC2168" s="10"/>
      <c r="AD2168" s="10"/>
      <c r="AE2168" s="10"/>
      <c r="AF2168" s="10"/>
    </row>
    <row r="2169">
      <c r="A2169" s="7"/>
      <c r="B2169" s="26">
        <v>173.0</v>
      </c>
      <c r="C2169" s="27">
        <v>70.0</v>
      </c>
      <c r="D2169" s="8" t="s">
        <v>2925</v>
      </c>
      <c r="E2169" s="7">
        <v>0.0</v>
      </c>
      <c r="F2169" s="7"/>
      <c r="G2169" s="7" t="s">
        <v>313</v>
      </c>
      <c r="H2169" s="7" t="s">
        <v>312</v>
      </c>
      <c r="I2169" s="10"/>
      <c r="J2169" s="11"/>
      <c r="K2169" s="12"/>
      <c r="L2169" s="12"/>
      <c r="M2169" s="10"/>
      <c r="N2169" s="10"/>
      <c r="O2169" s="10"/>
      <c r="P2169" s="10"/>
      <c r="Q2169" s="10"/>
      <c r="R2169" s="10"/>
      <c r="S2169" s="10"/>
      <c r="T2169" s="10"/>
      <c r="U2169" s="10"/>
      <c r="V2169" s="10"/>
      <c r="W2169" s="10"/>
      <c r="X2169" s="10"/>
      <c r="Y2169" s="10"/>
      <c r="Z2169" s="10"/>
      <c r="AA2169" s="10"/>
      <c r="AB2169" s="10"/>
      <c r="AC2169" s="10"/>
      <c r="AD2169" s="10"/>
      <c r="AE2169" s="10"/>
      <c r="AF2169" s="10"/>
    </row>
    <row r="2170">
      <c r="A2170" s="7"/>
      <c r="B2170" s="26">
        <v>173.0</v>
      </c>
      <c r="C2170" s="27">
        <v>71.0</v>
      </c>
      <c r="D2170" s="8" t="s">
        <v>2926</v>
      </c>
      <c r="E2170" s="7">
        <v>0.0</v>
      </c>
      <c r="F2170" s="7"/>
      <c r="G2170" s="7" t="s">
        <v>313</v>
      </c>
      <c r="H2170" s="7" t="s">
        <v>312</v>
      </c>
      <c r="I2170" s="10"/>
      <c r="J2170" s="11"/>
      <c r="K2170" s="12"/>
      <c r="L2170" s="12"/>
      <c r="M2170" s="10"/>
      <c r="N2170" s="10"/>
      <c r="O2170" s="10"/>
      <c r="P2170" s="10"/>
      <c r="Q2170" s="10"/>
      <c r="R2170" s="10"/>
      <c r="S2170" s="10"/>
      <c r="T2170" s="10"/>
      <c r="U2170" s="10"/>
      <c r="V2170" s="10"/>
      <c r="W2170" s="10"/>
      <c r="X2170" s="10"/>
      <c r="Y2170" s="10"/>
      <c r="Z2170" s="10"/>
      <c r="AA2170" s="10"/>
      <c r="AB2170" s="10"/>
      <c r="AC2170" s="10"/>
      <c r="AD2170" s="10"/>
      <c r="AE2170" s="10"/>
      <c r="AF2170" s="10"/>
    </row>
    <row r="2171">
      <c r="A2171" s="7"/>
      <c r="B2171" s="26">
        <v>173.0</v>
      </c>
      <c r="C2171" s="27">
        <v>72.0</v>
      </c>
      <c r="D2171" s="8" t="s">
        <v>2927</v>
      </c>
      <c r="E2171" s="7">
        <v>0.0</v>
      </c>
      <c r="F2171" s="7"/>
      <c r="G2171" s="7" t="s">
        <v>313</v>
      </c>
      <c r="H2171" s="7" t="s">
        <v>312</v>
      </c>
      <c r="I2171" s="10"/>
      <c r="J2171" s="11"/>
      <c r="K2171" s="12"/>
      <c r="L2171" s="12"/>
      <c r="M2171" s="10"/>
      <c r="N2171" s="10"/>
      <c r="O2171" s="10"/>
      <c r="P2171" s="10"/>
      <c r="Q2171" s="10"/>
      <c r="R2171" s="10"/>
      <c r="S2171" s="10"/>
      <c r="T2171" s="10"/>
      <c r="U2171" s="10"/>
      <c r="V2171" s="10"/>
      <c r="W2171" s="10"/>
      <c r="X2171" s="10"/>
      <c r="Y2171" s="10"/>
      <c r="Z2171" s="10"/>
      <c r="AA2171" s="10"/>
      <c r="AB2171" s="10"/>
      <c r="AC2171" s="10"/>
      <c r="AD2171" s="10"/>
      <c r="AE2171" s="10"/>
      <c r="AF2171" s="10"/>
    </row>
    <row r="2172">
      <c r="A2172" s="7"/>
      <c r="B2172" s="26">
        <v>173.0</v>
      </c>
      <c r="C2172" s="27">
        <v>73.0</v>
      </c>
      <c r="D2172" s="8" t="s">
        <v>2928</v>
      </c>
      <c r="E2172" s="7">
        <v>0.0</v>
      </c>
      <c r="F2172" s="7"/>
      <c r="G2172" s="7" t="s">
        <v>313</v>
      </c>
      <c r="H2172" s="7" t="s">
        <v>312</v>
      </c>
      <c r="I2172" s="10"/>
      <c r="J2172" s="11"/>
      <c r="K2172" s="12"/>
      <c r="L2172" s="12"/>
      <c r="M2172" s="10"/>
      <c r="N2172" s="10"/>
      <c r="O2172" s="10"/>
      <c r="P2172" s="10"/>
      <c r="Q2172" s="10"/>
      <c r="R2172" s="10"/>
      <c r="S2172" s="10"/>
      <c r="T2172" s="10"/>
      <c r="U2172" s="10"/>
      <c r="V2172" s="10"/>
      <c r="W2172" s="10"/>
      <c r="X2172" s="10"/>
      <c r="Y2172" s="10"/>
      <c r="Z2172" s="10"/>
      <c r="AA2172" s="10"/>
      <c r="AB2172" s="10"/>
      <c r="AC2172" s="10"/>
      <c r="AD2172" s="10"/>
      <c r="AE2172" s="10"/>
      <c r="AF2172" s="10"/>
    </row>
    <row r="2173">
      <c r="A2173" s="7"/>
      <c r="B2173" s="26">
        <v>173.0</v>
      </c>
      <c r="C2173" s="27">
        <v>74.0</v>
      </c>
      <c r="D2173" s="8" t="s">
        <v>2929</v>
      </c>
      <c r="E2173" s="7">
        <v>0.0</v>
      </c>
      <c r="F2173" s="7"/>
      <c r="G2173" s="7" t="s">
        <v>313</v>
      </c>
      <c r="H2173" s="7" t="s">
        <v>312</v>
      </c>
      <c r="I2173" s="10"/>
      <c r="J2173" s="11"/>
      <c r="K2173" s="12"/>
      <c r="L2173" s="12"/>
      <c r="M2173" s="10"/>
      <c r="N2173" s="10"/>
      <c r="O2173" s="10"/>
      <c r="P2173" s="10"/>
      <c r="Q2173" s="10"/>
      <c r="R2173" s="10"/>
      <c r="S2173" s="10"/>
      <c r="T2173" s="10"/>
      <c r="U2173" s="10"/>
      <c r="V2173" s="10"/>
      <c r="W2173" s="10"/>
      <c r="X2173" s="10"/>
      <c r="Y2173" s="10"/>
      <c r="Z2173" s="10"/>
      <c r="AA2173" s="10"/>
      <c r="AB2173" s="10"/>
      <c r="AC2173" s="10"/>
      <c r="AD2173" s="10"/>
      <c r="AE2173" s="10"/>
      <c r="AF2173" s="10"/>
    </row>
    <row r="2174">
      <c r="A2174" s="7"/>
      <c r="B2174" s="26">
        <v>173.0</v>
      </c>
      <c r="C2174" s="27">
        <v>75.0</v>
      </c>
      <c r="D2174" s="8" t="s">
        <v>2930</v>
      </c>
      <c r="E2174" s="7">
        <v>0.0</v>
      </c>
      <c r="F2174" s="7"/>
      <c r="G2174" s="7" t="s">
        <v>313</v>
      </c>
      <c r="H2174" s="7" t="s">
        <v>312</v>
      </c>
      <c r="I2174" s="10"/>
      <c r="J2174" s="11"/>
      <c r="K2174" s="12"/>
      <c r="L2174" s="12"/>
      <c r="M2174" s="10"/>
      <c r="N2174" s="10"/>
      <c r="O2174" s="10"/>
      <c r="P2174" s="10"/>
      <c r="Q2174" s="10"/>
      <c r="R2174" s="10"/>
      <c r="S2174" s="10"/>
      <c r="T2174" s="10"/>
      <c r="U2174" s="10"/>
      <c r="V2174" s="10"/>
      <c r="W2174" s="10"/>
      <c r="X2174" s="10"/>
      <c r="Y2174" s="10"/>
      <c r="Z2174" s="10"/>
      <c r="AA2174" s="10"/>
      <c r="AB2174" s="10"/>
      <c r="AC2174" s="10"/>
      <c r="AD2174" s="10"/>
      <c r="AE2174" s="10"/>
      <c r="AF2174" s="10"/>
    </row>
    <row r="2175">
      <c r="A2175" s="7"/>
      <c r="B2175" s="26">
        <v>173.0</v>
      </c>
      <c r="C2175" s="27">
        <v>76.0</v>
      </c>
      <c r="D2175" s="8" t="s">
        <v>2931</v>
      </c>
      <c r="E2175" s="7">
        <v>0.0</v>
      </c>
      <c r="F2175" s="7"/>
      <c r="G2175" s="7" t="s">
        <v>313</v>
      </c>
      <c r="H2175" s="7" t="s">
        <v>312</v>
      </c>
      <c r="I2175" s="10"/>
      <c r="J2175" s="11"/>
      <c r="K2175" s="12"/>
      <c r="L2175" s="15" t="s">
        <v>2878</v>
      </c>
      <c r="M2175" s="10"/>
      <c r="N2175" s="10"/>
      <c r="O2175" s="10"/>
      <c r="P2175" s="10"/>
      <c r="Q2175" s="10"/>
      <c r="R2175" s="10"/>
      <c r="S2175" s="10"/>
      <c r="T2175" s="10"/>
      <c r="U2175" s="10"/>
      <c r="V2175" s="10"/>
      <c r="W2175" s="10"/>
      <c r="X2175" s="10"/>
      <c r="Y2175" s="10"/>
      <c r="Z2175" s="10"/>
      <c r="AA2175" s="10"/>
      <c r="AB2175" s="10"/>
      <c r="AC2175" s="10"/>
      <c r="AD2175" s="10"/>
      <c r="AE2175" s="10"/>
      <c r="AF2175" s="10"/>
    </row>
    <row r="2176">
      <c r="A2176" s="7"/>
      <c r="B2176" s="26">
        <v>173.0</v>
      </c>
      <c r="C2176" s="27">
        <v>77.0</v>
      </c>
      <c r="D2176" s="8" t="s">
        <v>2932</v>
      </c>
      <c r="E2176" s="7">
        <v>0.0</v>
      </c>
      <c r="F2176" s="7"/>
      <c r="G2176" s="7" t="s">
        <v>313</v>
      </c>
      <c r="H2176" s="7" t="s">
        <v>312</v>
      </c>
      <c r="I2176" s="10"/>
      <c r="J2176" s="11"/>
      <c r="K2176" s="12"/>
      <c r="L2176" s="12"/>
      <c r="M2176" s="10"/>
      <c r="N2176" s="10"/>
      <c r="O2176" s="10"/>
      <c r="P2176" s="10"/>
      <c r="Q2176" s="10"/>
      <c r="R2176" s="10"/>
      <c r="S2176" s="10"/>
      <c r="T2176" s="10"/>
      <c r="U2176" s="10"/>
      <c r="V2176" s="10"/>
      <c r="W2176" s="10"/>
      <c r="X2176" s="10"/>
      <c r="Y2176" s="10"/>
      <c r="Z2176" s="10"/>
      <c r="AA2176" s="10"/>
      <c r="AB2176" s="10"/>
      <c r="AC2176" s="10"/>
      <c r="AD2176" s="10"/>
      <c r="AE2176" s="10"/>
      <c r="AF2176" s="10"/>
    </row>
    <row r="2177">
      <c r="A2177" s="7"/>
      <c r="B2177" s="26">
        <v>173.0</v>
      </c>
      <c r="C2177" s="27">
        <v>78.0</v>
      </c>
      <c r="D2177" s="8" t="s">
        <v>2933</v>
      </c>
      <c r="E2177" s="7">
        <v>0.0</v>
      </c>
      <c r="F2177" s="7"/>
      <c r="G2177" s="7" t="s">
        <v>313</v>
      </c>
      <c r="H2177" s="7" t="s">
        <v>312</v>
      </c>
      <c r="I2177" s="10"/>
      <c r="J2177" s="11"/>
      <c r="K2177" s="12"/>
      <c r="L2177" s="15" t="s">
        <v>2878</v>
      </c>
      <c r="M2177" s="10"/>
      <c r="N2177" s="10"/>
      <c r="O2177" s="10"/>
      <c r="P2177" s="10"/>
      <c r="Q2177" s="10"/>
      <c r="R2177" s="10"/>
      <c r="S2177" s="10"/>
      <c r="T2177" s="10"/>
      <c r="U2177" s="10"/>
      <c r="V2177" s="10"/>
      <c r="W2177" s="10"/>
      <c r="X2177" s="10"/>
      <c r="Y2177" s="10"/>
      <c r="Z2177" s="10"/>
      <c r="AA2177" s="10"/>
      <c r="AB2177" s="10"/>
      <c r="AC2177" s="10"/>
      <c r="AD2177" s="10"/>
      <c r="AE2177" s="10"/>
      <c r="AF2177" s="10"/>
    </row>
    <row r="2178">
      <c r="A2178" s="21" t="s">
        <v>174</v>
      </c>
      <c r="B2178" s="12"/>
      <c r="C2178" s="12"/>
      <c r="D2178" s="12"/>
      <c r="E2178" s="10"/>
      <c r="F2178" s="10"/>
      <c r="G2178" s="10"/>
      <c r="H2178" s="10"/>
      <c r="I2178" s="10"/>
      <c r="J2178" s="11"/>
      <c r="K2178" s="12"/>
      <c r="L2178" s="12"/>
      <c r="M2178" s="10"/>
      <c r="N2178" s="10"/>
      <c r="O2178" s="10"/>
      <c r="P2178" s="10"/>
      <c r="Q2178" s="10"/>
      <c r="R2178" s="10"/>
      <c r="S2178" s="10"/>
      <c r="T2178" s="10"/>
      <c r="U2178" s="10"/>
      <c r="V2178" s="10"/>
      <c r="W2178" s="10"/>
      <c r="X2178" s="10"/>
      <c r="Y2178" s="10"/>
      <c r="Z2178" s="10"/>
      <c r="AA2178" s="10"/>
      <c r="AB2178" s="10"/>
      <c r="AC2178" s="10"/>
      <c r="AD2178" s="10"/>
      <c r="AE2178" s="10"/>
      <c r="AF2178" s="10"/>
    </row>
    <row r="2179">
      <c r="A2179" s="7"/>
      <c r="B2179" s="8">
        <v>174.0</v>
      </c>
      <c r="C2179" s="8">
        <v>1.0</v>
      </c>
      <c r="D2179" s="8" t="s">
        <v>2934</v>
      </c>
      <c r="E2179" s="7">
        <v>2.0</v>
      </c>
      <c r="F2179" s="7" t="s">
        <v>320</v>
      </c>
      <c r="G2179" s="7" t="s">
        <v>313</v>
      </c>
      <c r="H2179" s="7" t="s">
        <v>312</v>
      </c>
      <c r="I2179" s="10"/>
      <c r="J2179" s="9" t="s">
        <v>2935</v>
      </c>
      <c r="K2179" s="20" t="s">
        <v>2764</v>
      </c>
      <c r="L2179" s="12"/>
      <c r="M2179" s="10"/>
      <c r="N2179" s="10"/>
      <c r="O2179" s="10"/>
      <c r="P2179" s="10"/>
      <c r="Q2179" s="10"/>
      <c r="R2179" s="10"/>
      <c r="S2179" s="10"/>
      <c r="T2179" s="10"/>
      <c r="U2179" s="10"/>
      <c r="V2179" s="10"/>
      <c r="W2179" s="10"/>
      <c r="X2179" s="10"/>
      <c r="Y2179" s="10"/>
      <c r="Z2179" s="10"/>
      <c r="AA2179" s="10"/>
      <c r="AB2179" s="10"/>
      <c r="AC2179" s="10"/>
      <c r="AD2179" s="10"/>
      <c r="AE2179" s="10"/>
      <c r="AF2179" s="10"/>
    </row>
    <row r="2180">
      <c r="A2180" s="21" t="s">
        <v>175</v>
      </c>
      <c r="B2180" s="12"/>
      <c r="C2180" s="12"/>
      <c r="D2180" s="12"/>
      <c r="E2180" s="10"/>
      <c r="F2180" s="10"/>
      <c r="G2180" s="10"/>
      <c r="H2180" s="10"/>
      <c r="I2180" s="10"/>
      <c r="J2180" s="11"/>
      <c r="K2180" s="12"/>
      <c r="L2180" s="12"/>
      <c r="M2180" s="10"/>
      <c r="N2180" s="10"/>
      <c r="O2180" s="10"/>
      <c r="P2180" s="10"/>
      <c r="Q2180" s="10"/>
      <c r="R2180" s="10"/>
      <c r="S2180" s="10"/>
      <c r="T2180" s="10"/>
      <c r="U2180" s="10"/>
      <c r="V2180" s="10"/>
      <c r="W2180" s="10"/>
      <c r="X2180" s="10"/>
      <c r="Y2180" s="10"/>
      <c r="Z2180" s="10"/>
      <c r="AA2180" s="10"/>
      <c r="AB2180" s="10"/>
      <c r="AC2180" s="10"/>
      <c r="AD2180" s="10"/>
      <c r="AE2180" s="10"/>
      <c r="AF2180" s="10"/>
    </row>
    <row r="2181">
      <c r="A2181" s="7"/>
      <c r="B2181" s="8">
        <v>175.0</v>
      </c>
      <c r="C2181" s="8">
        <v>1.0</v>
      </c>
      <c r="D2181" s="8" t="s">
        <v>2936</v>
      </c>
      <c r="E2181" s="7">
        <v>2.0</v>
      </c>
      <c r="F2181" s="7" t="s">
        <v>320</v>
      </c>
      <c r="G2181" s="7" t="s">
        <v>313</v>
      </c>
      <c r="H2181" s="7" t="s">
        <v>312</v>
      </c>
      <c r="I2181" s="10"/>
      <c r="J2181" s="9" t="s">
        <v>2937</v>
      </c>
      <c r="K2181" s="20" t="s">
        <v>2764</v>
      </c>
      <c r="L2181" s="12"/>
      <c r="M2181" s="10"/>
      <c r="N2181" s="10"/>
      <c r="O2181" s="10"/>
      <c r="P2181" s="10"/>
      <c r="Q2181" s="10"/>
      <c r="R2181" s="10"/>
      <c r="S2181" s="10"/>
      <c r="T2181" s="10"/>
      <c r="U2181" s="10"/>
      <c r="V2181" s="10"/>
      <c r="W2181" s="10"/>
      <c r="X2181" s="10"/>
      <c r="Y2181" s="10"/>
      <c r="Z2181" s="10"/>
      <c r="AA2181" s="10"/>
      <c r="AB2181" s="10"/>
      <c r="AC2181" s="10"/>
      <c r="AD2181" s="10"/>
      <c r="AE2181" s="10"/>
      <c r="AF2181" s="10"/>
    </row>
    <row r="2182">
      <c r="A2182" s="21" t="s">
        <v>176</v>
      </c>
      <c r="B2182" s="12"/>
      <c r="C2182" s="12"/>
      <c r="D2182" s="12"/>
      <c r="E2182" s="10"/>
      <c r="F2182" s="10"/>
      <c r="G2182" s="10"/>
      <c r="H2182" s="10"/>
      <c r="I2182" s="10"/>
      <c r="J2182" s="11"/>
      <c r="K2182" s="12"/>
      <c r="L2182" s="12"/>
      <c r="M2182" s="10"/>
      <c r="N2182" s="10"/>
      <c r="O2182" s="10"/>
      <c r="P2182" s="10"/>
      <c r="Q2182" s="10"/>
      <c r="R2182" s="10"/>
      <c r="S2182" s="10"/>
      <c r="T2182" s="10"/>
      <c r="U2182" s="10"/>
      <c r="V2182" s="10"/>
      <c r="W2182" s="10"/>
      <c r="X2182" s="10"/>
      <c r="Y2182" s="10"/>
      <c r="Z2182" s="10"/>
      <c r="AA2182" s="10"/>
      <c r="AB2182" s="10"/>
      <c r="AC2182" s="10"/>
      <c r="AD2182" s="10"/>
      <c r="AE2182" s="10"/>
      <c r="AF2182" s="10"/>
    </row>
    <row r="2183">
      <c r="A2183" s="7"/>
      <c r="B2183" s="26">
        <v>176.0</v>
      </c>
      <c r="C2183" s="27">
        <v>1.0</v>
      </c>
      <c r="D2183" s="8" t="s">
        <v>2938</v>
      </c>
      <c r="E2183" s="7">
        <v>2.0</v>
      </c>
      <c r="F2183" s="7" t="s">
        <v>320</v>
      </c>
      <c r="G2183" s="7" t="s">
        <v>313</v>
      </c>
      <c r="H2183" s="7" t="s">
        <v>312</v>
      </c>
      <c r="I2183" s="10"/>
      <c r="J2183" s="9" t="s">
        <v>2939</v>
      </c>
      <c r="K2183" s="20" t="s">
        <v>2764</v>
      </c>
      <c r="L2183" s="12"/>
      <c r="M2183" s="10"/>
      <c r="N2183" s="10"/>
      <c r="O2183" s="10"/>
      <c r="P2183" s="10"/>
      <c r="Q2183" s="10"/>
      <c r="R2183" s="10"/>
      <c r="S2183" s="10"/>
      <c r="T2183" s="10"/>
      <c r="U2183" s="10"/>
      <c r="V2183" s="10"/>
      <c r="W2183" s="10"/>
      <c r="X2183" s="10"/>
      <c r="Y2183" s="10"/>
      <c r="Z2183" s="10"/>
      <c r="AA2183" s="10"/>
      <c r="AB2183" s="10"/>
      <c r="AC2183" s="10"/>
      <c r="AD2183" s="10"/>
      <c r="AE2183" s="10"/>
      <c r="AF2183" s="10"/>
    </row>
    <row r="2184">
      <c r="A2184" s="7"/>
      <c r="B2184" s="26">
        <v>176.0</v>
      </c>
      <c r="C2184" s="27">
        <v>2.0</v>
      </c>
      <c r="D2184" s="8" t="s">
        <v>2940</v>
      </c>
      <c r="E2184" s="7">
        <v>2.0</v>
      </c>
      <c r="F2184" s="7" t="s">
        <v>320</v>
      </c>
      <c r="G2184" s="7" t="s">
        <v>313</v>
      </c>
      <c r="H2184" s="7" t="s">
        <v>312</v>
      </c>
      <c r="I2184" s="10"/>
      <c r="J2184" s="9" t="s">
        <v>2941</v>
      </c>
      <c r="K2184" s="20" t="s">
        <v>2764</v>
      </c>
      <c r="L2184" s="12"/>
      <c r="M2184" s="10"/>
      <c r="N2184" s="10"/>
      <c r="O2184" s="10"/>
      <c r="P2184" s="10"/>
      <c r="Q2184" s="10"/>
      <c r="R2184" s="10"/>
      <c r="S2184" s="10"/>
      <c r="T2184" s="10"/>
      <c r="U2184" s="10"/>
      <c r="V2184" s="10"/>
      <c r="W2184" s="10"/>
      <c r="X2184" s="10"/>
      <c r="Y2184" s="10"/>
      <c r="Z2184" s="10"/>
      <c r="AA2184" s="10"/>
      <c r="AB2184" s="10"/>
      <c r="AC2184" s="10"/>
      <c r="AD2184" s="10"/>
      <c r="AE2184" s="10"/>
      <c r="AF2184" s="10"/>
    </row>
    <row r="2185">
      <c r="A2185" s="7"/>
      <c r="B2185" s="26">
        <v>176.0</v>
      </c>
      <c r="C2185" s="27">
        <v>3.0</v>
      </c>
      <c r="D2185" s="8" t="s">
        <v>2942</v>
      </c>
      <c r="E2185" s="7">
        <v>0.0</v>
      </c>
      <c r="F2185" s="7"/>
      <c r="G2185" s="7" t="s">
        <v>313</v>
      </c>
      <c r="H2185" s="7" t="s">
        <v>312</v>
      </c>
      <c r="I2185" s="10"/>
      <c r="J2185" s="11"/>
      <c r="K2185" s="12"/>
      <c r="L2185" s="12"/>
      <c r="M2185" s="10"/>
      <c r="N2185" s="10"/>
      <c r="O2185" s="10"/>
      <c r="P2185" s="10"/>
      <c r="Q2185" s="10"/>
      <c r="R2185" s="10"/>
      <c r="S2185" s="10"/>
      <c r="T2185" s="10"/>
      <c r="U2185" s="10"/>
      <c r="V2185" s="10"/>
      <c r="W2185" s="10"/>
      <c r="X2185" s="10"/>
      <c r="Y2185" s="10"/>
      <c r="Z2185" s="10"/>
      <c r="AA2185" s="10"/>
      <c r="AB2185" s="10"/>
      <c r="AC2185" s="10"/>
      <c r="AD2185" s="10"/>
      <c r="AE2185" s="10"/>
      <c r="AF2185" s="10"/>
    </row>
    <row r="2186">
      <c r="A2186" s="7"/>
      <c r="B2186" s="26">
        <v>176.0</v>
      </c>
      <c r="C2186" s="27">
        <v>4.0</v>
      </c>
      <c r="D2186" s="8" t="s">
        <v>2943</v>
      </c>
      <c r="E2186" s="7">
        <v>0.0</v>
      </c>
      <c r="F2186" s="7"/>
      <c r="G2186" s="7" t="s">
        <v>313</v>
      </c>
      <c r="H2186" s="7" t="s">
        <v>312</v>
      </c>
      <c r="I2186" s="10"/>
      <c r="J2186" s="11"/>
      <c r="K2186" s="12"/>
      <c r="L2186" s="12"/>
      <c r="M2186" s="10"/>
      <c r="N2186" s="10"/>
      <c r="O2186" s="10"/>
      <c r="P2186" s="10"/>
      <c r="Q2186" s="10"/>
      <c r="R2186" s="10"/>
      <c r="S2186" s="10"/>
      <c r="T2186" s="10"/>
      <c r="U2186" s="10"/>
      <c r="V2186" s="10"/>
      <c r="W2186" s="10"/>
      <c r="X2186" s="10"/>
      <c r="Y2186" s="10"/>
      <c r="Z2186" s="10"/>
      <c r="AA2186" s="10"/>
      <c r="AB2186" s="10"/>
      <c r="AC2186" s="10"/>
      <c r="AD2186" s="10"/>
      <c r="AE2186" s="10"/>
      <c r="AF2186" s="10"/>
    </row>
    <row r="2187">
      <c r="A2187" s="7"/>
      <c r="B2187" s="26">
        <v>176.0</v>
      </c>
      <c r="C2187" s="27">
        <v>5.0</v>
      </c>
      <c r="D2187" s="8" t="s">
        <v>2944</v>
      </c>
      <c r="E2187" s="7">
        <v>0.0</v>
      </c>
      <c r="F2187" s="7"/>
      <c r="G2187" s="7" t="s">
        <v>313</v>
      </c>
      <c r="H2187" s="7" t="s">
        <v>312</v>
      </c>
      <c r="I2187" s="10"/>
      <c r="J2187" s="11"/>
      <c r="K2187" s="12"/>
      <c r="L2187" s="12"/>
      <c r="M2187" s="10"/>
      <c r="N2187" s="10"/>
      <c r="O2187" s="10"/>
      <c r="P2187" s="10"/>
      <c r="Q2187" s="10"/>
      <c r="R2187" s="10"/>
      <c r="S2187" s="10"/>
      <c r="T2187" s="10"/>
      <c r="U2187" s="10"/>
      <c r="V2187" s="10"/>
      <c r="W2187" s="10"/>
      <c r="X2187" s="10"/>
      <c r="Y2187" s="10"/>
      <c r="Z2187" s="10"/>
      <c r="AA2187" s="10"/>
      <c r="AB2187" s="10"/>
      <c r="AC2187" s="10"/>
      <c r="AD2187" s="10"/>
      <c r="AE2187" s="10"/>
      <c r="AF2187" s="10"/>
    </row>
    <row r="2188">
      <c r="A2188" s="7"/>
      <c r="B2188" s="26">
        <v>176.0</v>
      </c>
      <c r="C2188" s="27">
        <v>6.0</v>
      </c>
      <c r="D2188" s="8" t="s">
        <v>2945</v>
      </c>
      <c r="E2188" s="7">
        <v>0.0</v>
      </c>
      <c r="F2188" s="7"/>
      <c r="G2188" s="7" t="s">
        <v>313</v>
      </c>
      <c r="H2188" s="7" t="s">
        <v>312</v>
      </c>
      <c r="I2188" s="10"/>
      <c r="J2188" s="11"/>
      <c r="K2188" s="12"/>
      <c r="L2188" s="12"/>
      <c r="M2188" s="10"/>
      <c r="N2188" s="10"/>
      <c r="O2188" s="10"/>
      <c r="P2188" s="10"/>
      <c r="Q2188" s="10"/>
      <c r="R2188" s="10"/>
      <c r="S2188" s="10"/>
      <c r="T2188" s="10"/>
      <c r="U2188" s="10"/>
      <c r="V2188" s="10"/>
      <c r="W2188" s="10"/>
      <c r="X2188" s="10"/>
      <c r="Y2188" s="10"/>
      <c r="Z2188" s="10"/>
      <c r="AA2188" s="10"/>
      <c r="AB2188" s="10"/>
      <c r="AC2188" s="10"/>
      <c r="AD2188" s="10"/>
      <c r="AE2188" s="10"/>
      <c r="AF2188" s="10"/>
    </row>
    <row r="2189">
      <c r="A2189" s="21" t="s">
        <v>177</v>
      </c>
      <c r="B2189" s="3"/>
      <c r="C2189" s="12"/>
      <c r="D2189" s="12"/>
      <c r="E2189" s="10"/>
      <c r="F2189" s="10"/>
      <c r="G2189" s="10"/>
      <c r="H2189" s="10"/>
      <c r="I2189" s="10"/>
      <c r="J2189" s="11"/>
      <c r="K2189" s="12"/>
      <c r="L2189" s="12"/>
      <c r="M2189" s="10"/>
      <c r="N2189" s="10"/>
      <c r="O2189" s="10"/>
      <c r="P2189" s="10"/>
      <c r="Q2189" s="10"/>
      <c r="R2189" s="10"/>
      <c r="S2189" s="10"/>
      <c r="T2189" s="10"/>
      <c r="U2189" s="10"/>
      <c r="V2189" s="10"/>
      <c r="W2189" s="10"/>
      <c r="X2189" s="10"/>
      <c r="Y2189" s="10"/>
      <c r="Z2189" s="10"/>
      <c r="AA2189" s="10"/>
      <c r="AB2189" s="10"/>
      <c r="AC2189" s="10"/>
      <c r="AD2189" s="10"/>
      <c r="AE2189" s="10"/>
      <c r="AF2189" s="10"/>
    </row>
    <row r="2190">
      <c r="A2190" s="7"/>
      <c r="B2190" s="26">
        <v>177.0</v>
      </c>
      <c r="C2190" s="27">
        <v>1.0</v>
      </c>
      <c r="D2190" s="8" t="s">
        <v>2946</v>
      </c>
      <c r="E2190" s="7">
        <v>2.0</v>
      </c>
      <c r="F2190" s="7" t="s">
        <v>320</v>
      </c>
      <c r="G2190" s="7" t="s">
        <v>313</v>
      </c>
      <c r="H2190" s="7" t="s">
        <v>312</v>
      </c>
      <c r="I2190" s="7" t="s">
        <v>366</v>
      </c>
      <c r="J2190" s="34" t="s">
        <v>2947</v>
      </c>
      <c r="K2190" s="12"/>
      <c r="L2190" s="12"/>
      <c r="M2190" s="10"/>
      <c r="N2190" s="10"/>
      <c r="O2190" s="10"/>
      <c r="P2190" s="10"/>
      <c r="Q2190" s="10"/>
      <c r="R2190" s="10"/>
      <c r="S2190" s="10"/>
      <c r="T2190" s="10"/>
      <c r="U2190" s="10"/>
      <c r="V2190" s="10"/>
      <c r="W2190" s="10"/>
      <c r="X2190" s="10"/>
      <c r="Y2190" s="10"/>
      <c r="Z2190" s="10"/>
      <c r="AA2190" s="10"/>
      <c r="AB2190" s="10"/>
      <c r="AC2190" s="10"/>
      <c r="AD2190" s="10"/>
      <c r="AE2190" s="10"/>
      <c r="AF2190" s="10"/>
    </row>
    <row r="2191">
      <c r="A2191" s="7"/>
      <c r="B2191" s="26">
        <v>177.0</v>
      </c>
      <c r="C2191" s="27">
        <v>2.0</v>
      </c>
      <c r="D2191" s="8" t="s">
        <v>2948</v>
      </c>
      <c r="E2191" s="7">
        <v>2.0</v>
      </c>
      <c r="F2191" s="7" t="s">
        <v>320</v>
      </c>
      <c r="G2191" s="7" t="s">
        <v>313</v>
      </c>
      <c r="H2191" s="7" t="s">
        <v>312</v>
      </c>
      <c r="I2191" s="10"/>
      <c r="J2191" s="9" t="s">
        <v>2949</v>
      </c>
      <c r="K2191" s="20" t="s">
        <v>2898</v>
      </c>
      <c r="L2191" s="12"/>
      <c r="M2191" s="10"/>
      <c r="N2191" s="10"/>
      <c r="O2191" s="10"/>
      <c r="P2191" s="10"/>
      <c r="Q2191" s="10"/>
      <c r="R2191" s="10"/>
      <c r="S2191" s="10"/>
      <c r="T2191" s="10"/>
      <c r="U2191" s="10"/>
      <c r="V2191" s="10"/>
      <c r="W2191" s="10"/>
      <c r="X2191" s="10"/>
      <c r="Y2191" s="10"/>
      <c r="Z2191" s="10"/>
      <c r="AA2191" s="10"/>
      <c r="AB2191" s="10"/>
      <c r="AC2191" s="10"/>
      <c r="AD2191" s="10"/>
      <c r="AE2191" s="10"/>
      <c r="AF2191" s="10"/>
    </row>
    <row r="2192">
      <c r="A2192" s="7"/>
      <c r="B2192" s="26">
        <v>177.0</v>
      </c>
      <c r="C2192" s="27">
        <v>3.0</v>
      </c>
      <c r="D2192" s="8" t="s">
        <v>2950</v>
      </c>
      <c r="E2192" s="7">
        <v>2.0</v>
      </c>
      <c r="F2192" s="7" t="s">
        <v>320</v>
      </c>
      <c r="G2192" s="7" t="s">
        <v>313</v>
      </c>
      <c r="H2192" s="7" t="s">
        <v>312</v>
      </c>
      <c r="I2192" s="7" t="s">
        <v>366</v>
      </c>
      <c r="J2192" s="34" t="s">
        <v>2951</v>
      </c>
      <c r="K2192" s="12"/>
      <c r="L2192" s="12"/>
      <c r="M2192" s="10"/>
      <c r="N2192" s="10"/>
      <c r="O2192" s="10"/>
      <c r="P2192" s="10"/>
      <c r="Q2192" s="10"/>
      <c r="R2192" s="10"/>
      <c r="S2192" s="10"/>
      <c r="T2192" s="10"/>
      <c r="U2192" s="10"/>
      <c r="V2192" s="10"/>
      <c r="W2192" s="10"/>
      <c r="X2192" s="10"/>
      <c r="Y2192" s="10"/>
      <c r="Z2192" s="10"/>
      <c r="AA2192" s="10"/>
      <c r="AB2192" s="10"/>
      <c r="AC2192" s="10"/>
      <c r="AD2192" s="10"/>
      <c r="AE2192" s="10"/>
      <c r="AF2192" s="10"/>
    </row>
    <row r="2193">
      <c r="A2193" s="21" t="s">
        <v>178</v>
      </c>
      <c r="B2193" s="12"/>
      <c r="C2193" s="12"/>
      <c r="D2193" s="12"/>
      <c r="E2193" s="10"/>
      <c r="F2193" s="10"/>
      <c r="G2193" s="10"/>
      <c r="H2193" s="10"/>
      <c r="I2193" s="10"/>
      <c r="J2193" s="11"/>
      <c r="K2193" s="12"/>
      <c r="L2193" s="12"/>
      <c r="M2193" s="10"/>
      <c r="N2193" s="10"/>
      <c r="O2193" s="10"/>
      <c r="P2193" s="10"/>
      <c r="Q2193" s="10"/>
      <c r="R2193" s="10"/>
      <c r="S2193" s="10"/>
      <c r="T2193" s="10"/>
      <c r="U2193" s="10"/>
      <c r="V2193" s="10"/>
      <c r="W2193" s="10"/>
      <c r="X2193" s="10"/>
      <c r="Y2193" s="10"/>
      <c r="Z2193" s="10"/>
      <c r="AA2193" s="10"/>
      <c r="AB2193" s="10"/>
      <c r="AC2193" s="10"/>
      <c r="AD2193" s="10"/>
      <c r="AE2193" s="10"/>
      <c r="AF2193" s="10"/>
    </row>
    <row r="2194">
      <c r="A2194" s="7"/>
      <c r="B2194" s="26">
        <v>178.0</v>
      </c>
      <c r="C2194" s="27">
        <v>1.0</v>
      </c>
      <c r="D2194" s="8" t="s">
        <v>2952</v>
      </c>
      <c r="E2194" s="7">
        <v>2.0</v>
      </c>
      <c r="F2194" s="7" t="s">
        <v>320</v>
      </c>
      <c r="G2194" s="7" t="s">
        <v>313</v>
      </c>
      <c r="H2194" s="7" t="s">
        <v>312</v>
      </c>
      <c r="I2194" s="10"/>
      <c r="J2194" s="9" t="s">
        <v>2953</v>
      </c>
      <c r="K2194" s="20" t="s">
        <v>2954</v>
      </c>
      <c r="L2194" s="12"/>
      <c r="M2194" s="10"/>
      <c r="N2194" s="10"/>
      <c r="O2194" s="10"/>
      <c r="P2194" s="10"/>
      <c r="Q2194" s="10"/>
      <c r="R2194" s="10"/>
      <c r="S2194" s="10"/>
      <c r="T2194" s="10"/>
      <c r="U2194" s="10"/>
      <c r="V2194" s="10"/>
      <c r="W2194" s="10"/>
      <c r="X2194" s="10"/>
      <c r="Y2194" s="10"/>
      <c r="Z2194" s="10"/>
      <c r="AA2194" s="10"/>
      <c r="AB2194" s="10"/>
      <c r="AC2194" s="10"/>
      <c r="AD2194" s="10"/>
      <c r="AE2194" s="10"/>
      <c r="AF2194" s="10"/>
    </row>
    <row r="2195">
      <c r="A2195" s="7"/>
      <c r="B2195" s="26">
        <v>178.0</v>
      </c>
      <c r="C2195" s="27">
        <v>2.0</v>
      </c>
      <c r="D2195" s="8" t="s">
        <v>2955</v>
      </c>
      <c r="E2195" s="7">
        <v>0.0</v>
      </c>
      <c r="F2195" s="7"/>
      <c r="G2195" s="7" t="s">
        <v>313</v>
      </c>
      <c r="H2195" s="7" t="s">
        <v>312</v>
      </c>
      <c r="I2195" s="10"/>
      <c r="J2195" s="28"/>
      <c r="K2195" s="12"/>
      <c r="L2195" s="12"/>
      <c r="M2195" s="10"/>
      <c r="N2195" s="10"/>
      <c r="O2195" s="10"/>
      <c r="P2195" s="10"/>
      <c r="Q2195" s="10"/>
      <c r="R2195" s="10"/>
      <c r="S2195" s="10"/>
      <c r="T2195" s="10"/>
      <c r="U2195" s="10"/>
      <c r="V2195" s="10"/>
      <c r="W2195" s="10"/>
      <c r="X2195" s="10"/>
      <c r="Y2195" s="10"/>
      <c r="Z2195" s="10"/>
      <c r="AA2195" s="10"/>
      <c r="AB2195" s="10"/>
      <c r="AC2195" s="10"/>
      <c r="AD2195" s="10"/>
      <c r="AE2195" s="10"/>
      <c r="AF2195" s="10"/>
    </row>
    <row r="2196">
      <c r="A2196" s="7"/>
      <c r="B2196" s="26">
        <v>178.0</v>
      </c>
      <c r="C2196" s="27">
        <v>3.0</v>
      </c>
      <c r="D2196" s="8" t="s">
        <v>2956</v>
      </c>
      <c r="E2196" s="7">
        <v>0.0</v>
      </c>
      <c r="F2196" s="7"/>
      <c r="G2196" s="7" t="s">
        <v>313</v>
      </c>
      <c r="H2196" s="7" t="s">
        <v>312</v>
      </c>
      <c r="I2196" s="7" t="s">
        <v>366</v>
      </c>
      <c r="J2196" s="16" t="s">
        <v>2957</v>
      </c>
      <c r="K2196" s="20" t="s">
        <v>2958</v>
      </c>
      <c r="L2196" s="12"/>
      <c r="M2196" s="10"/>
      <c r="N2196" s="10"/>
      <c r="O2196" s="10"/>
      <c r="P2196" s="10"/>
      <c r="Q2196" s="10"/>
      <c r="R2196" s="10"/>
      <c r="S2196" s="10"/>
      <c r="T2196" s="10"/>
      <c r="U2196" s="10"/>
      <c r="V2196" s="10"/>
      <c r="W2196" s="10"/>
      <c r="X2196" s="10"/>
      <c r="Y2196" s="10"/>
      <c r="Z2196" s="10"/>
      <c r="AA2196" s="10"/>
      <c r="AB2196" s="10"/>
      <c r="AC2196" s="10"/>
      <c r="AD2196" s="10"/>
      <c r="AE2196" s="10"/>
      <c r="AF2196" s="10"/>
    </row>
    <row r="2197">
      <c r="A2197" s="7"/>
      <c r="B2197" s="26">
        <v>178.0</v>
      </c>
      <c r="C2197" s="27">
        <v>4.0</v>
      </c>
      <c r="D2197" s="8" t="s">
        <v>2959</v>
      </c>
      <c r="E2197" s="7">
        <v>0.0</v>
      </c>
      <c r="F2197" s="7"/>
      <c r="G2197" s="7" t="s">
        <v>313</v>
      </c>
      <c r="H2197" s="7" t="s">
        <v>312</v>
      </c>
      <c r="I2197" s="10"/>
      <c r="J2197" s="11"/>
      <c r="K2197" s="20"/>
      <c r="L2197" s="12"/>
      <c r="M2197" s="10"/>
      <c r="N2197" s="10"/>
      <c r="O2197" s="10"/>
      <c r="P2197" s="10"/>
      <c r="Q2197" s="10"/>
      <c r="R2197" s="10"/>
      <c r="S2197" s="10"/>
      <c r="T2197" s="10"/>
      <c r="U2197" s="10"/>
      <c r="V2197" s="10"/>
      <c r="W2197" s="10"/>
      <c r="X2197" s="10"/>
      <c r="Y2197" s="10"/>
      <c r="Z2197" s="10"/>
      <c r="AA2197" s="10"/>
      <c r="AB2197" s="10"/>
      <c r="AC2197" s="10"/>
      <c r="AD2197" s="10"/>
      <c r="AE2197" s="10"/>
      <c r="AF2197" s="10"/>
    </row>
    <row r="2198">
      <c r="A2198" s="7"/>
      <c r="B2198" s="26">
        <v>178.0</v>
      </c>
      <c r="C2198" s="27">
        <v>5.0</v>
      </c>
      <c r="D2198" s="8" t="s">
        <v>2960</v>
      </c>
      <c r="E2198" s="7">
        <v>0.0</v>
      </c>
      <c r="F2198" s="7"/>
      <c r="G2198" s="7" t="s">
        <v>313</v>
      </c>
      <c r="H2198" s="7" t="s">
        <v>312</v>
      </c>
      <c r="I2198" s="10"/>
      <c r="J2198" s="11"/>
      <c r="K2198" s="20"/>
      <c r="L2198" s="12"/>
      <c r="M2198" s="10"/>
      <c r="N2198" s="10"/>
      <c r="O2198" s="10"/>
      <c r="P2198" s="10"/>
      <c r="Q2198" s="10"/>
      <c r="R2198" s="10"/>
      <c r="S2198" s="10"/>
      <c r="T2198" s="10"/>
      <c r="U2198" s="10"/>
      <c r="V2198" s="10"/>
      <c r="W2198" s="10"/>
      <c r="X2198" s="10"/>
      <c r="Y2198" s="10"/>
      <c r="Z2198" s="10"/>
      <c r="AA2198" s="10"/>
      <c r="AB2198" s="10"/>
      <c r="AC2198" s="10"/>
      <c r="AD2198" s="10"/>
      <c r="AE2198" s="10"/>
      <c r="AF2198" s="10"/>
    </row>
    <row r="2199">
      <c r="A2199" s="7"/>
      <c r="B2199" s="26">
        <v>178.0</v>
      </c>
      <c r="C2199" s="27">
        <v>6.0</v>
      </c>
      <c r="D2199" s="8" t="s">
        <v>2961</v>
      </c>
      <c r="E2199" s="7">
        <v>0.0</v>
      </c>
      <c r="F2199" s="7"/>
      <c r="G2199" s="7" t="s">
        <v>313</v>
      </c>
      <c r="H2199" s="7" t="s">
        <v>312</v>
      </c>
      <c r="I2199" s="10"/>
      <c r="J2199" s="11"/>
      <c r="K2199" s="20" t="s">
        <v>2962</v>
      </c>
      <c r="L2199" s="12"/>
      <c r="M2199" s="10"/>
      <c r="N2199" s="10"/>
      <c r="O2199" s="10"/>
      <c r="P2199" s="10"/>
      <c r="Q2199" s="10"/>
      <c r="R2199" s="10"/>
      <c r="S2199" s="10"/>
      <c r="T2199" s="10"/>
      <c r="U2199" s="10"/>
      <c r="V2199" s="10"/>
      <c r="W2199" s="10"/>
      <c r="X2199" s="10"/>
      <c r="Y2199" s="10"/>
      <c r="Z2199" s="10"/>
      <c r="AA2199" s="10"/>
      <c r="AB2199" s="10"/>
      <c r="AC2199" s="10"/>
      <c r="AD2199" s="10"/>
      <c r="AE2199" s="10"/>
      <c r="AF2199" s="10"/>
    </row>
    <row r="2200">
      <c r="A2200" s="7"/>
      <c r="B2200" s="26">
        <v>178.0</v>
      </c>
      <c r="C2200" s="27">
        <v>7.0</v>
      </c>
      <c r="D2200" s="8" t="s">
        <v>2963</v>
      </c>
      <c r="E2200" s="7">
        <v>0.0</v>
      </c>
      <c r="F2200" s="7"/>
      <c r="G2200" s="7" t="s">
        <v>313</v>
      </c>
      <c r="H2200" s="7" t="s">
        <v>312</v>
      </c>
      <c r="I2200" s="10"/>
      <c r="J2200" s="11"/>
      <c r="K2200" s="12"/>
      <c r="L2200" s="12"/>
      <c r="M2200" s="10"/>
      <c r="N2200" s="10"/>
      <c r="O2200" s="10"/>
      <c r="P2200" s="10"/>
      <c r="Q2200" s="10"/>
      <c r="R2200" s="10"/>
      <c r="S2200" s="10"/>
      <c r="T2200" s="10"/>
      <c r="U2200" s="10"/>
      <c r="V2200" s="10"/>
      <c r="W2200" s="10"/>
      <c r="X2200" s="10"/>
      <c r="Y2200" s="10"/>
      <c r="Z2200" s="10"/>
      <c r="AA2200" s="10"/>
      <c r="AB2200" s="10"/>
      <c r="AC2200" s="10"/>
      <c r="AD2200" s="10"/>
      <c r="AE2200" s="10"/>
      <c r="AF2200" s="10"/>
    </row>
    <row r="2201">
      <c r="A2201" s="7"/>
      <c r="B2201" s="26">
        <v>178.0</v>
      </c>
      <c r="C2201" s="27">
        <v>8.0</v>
      </c>
      <c r="D2201" s="8" t="s">
        <v>2964</v>
      </c>
      <c r="E2201" s="7">
        <v>0.0</v>
      </c>
      <c r="F2201" s="7"/>
      <c r="G2201" s="7" t="s">
        <v>313</v>
      </c>
      <c r="H2201" s="7" t="s">
        <v>312</v>
      </c>
      <c r="I2201" s="7" t="s">
        <v>366</v>
      </c>
      <c r="J2201" s="16" t="s">
        <v>2965</v>
      </c>
      <c r="K2201" s="20" t="s">
        <v>2966</v>
      </c>
      <c r="L2201" s="12"/>
      <c r="M2201" s="10"/>
      <c r="N2201" s="10"/>
      <c r="O2201" s="10"/>
      <c r="P2201" s="10"/>
      <c r="Q2201" s="10"/>
      <c r="R2201" s="10"/>
      <c r="S2201" s="10"/>
      <c r="T2201" s="10"/>
      <c r="U2201" s="10"/>
      <c r="V2201" s="10"/>
      <c r="W2201" s="10"/>
      <c r="X2201" s="10"/>
      <c r="Y2201" s="10"/>
      <c r="Z2201" s="10"/>
      <c r="AA2201" s="10"/>
      <c r="AB2201" s="10"/>
      <c r="AC2201" s="10"/>
      <c r="AD2201" s="10"/>
      <c r="AE2201" s="10"/>
      <c r="AF2201" s="10"/>
    </row>
    <row r="2202">
      <c r="A2202" s="7"/>
      <c r="B2202" s="26">
        <v>178.0</v>
      </c>
      <c r="C2202" s="27">
        <v>9.0</v>
      </c>
      <c r="D2202" s="8" t="s">
        <v>2967</v>
      </c>
      <c r="E2202" s="7">
        <v>0.0</v>
      </c>
      <c r="F2202" s="7"/>
      <c r="G2202" s="7" t="s">
        <v>313</v>
      </c>
      <c r="H2202" s="7" t="s">
        <v>312</v>
      </c>
      <c r="I2202" s="10"/>
      <c r="J2202" s="11"/>
      <c r="K2202" s="20"/>
      <c r="L2202" s="12"/>
      <c r="M2202" s="10"/>
      <c r="N2202" s="10"/>
      <c r="O2202" s="10"/>
      <c r="P2202" s="10"/>
      <c r="Q2202" s="10"/>
      <c r="R2202" s="10"/>
      <c r="S2202" s="10"/>
      <c r="T2202" s="10"/>
      <c r="U2202" s="10"/>
      <c r="V2202" s="10"/>
      <c r="W2202" s="10"/>
      <c r="X2202" s="10"/>
      <c r="Y2202" s="10"/>
      <c r="Z2202" s="10"/>
      <c r="AA2202" s="10"/>
      <c r="AB2202" s="10"/>
      <c r="AC2202" s="10"/>
      <c r="AD2202" s="10"/>
      <c r="AE2202" s="10"/>
      <c r="AF2202" s="10"/>
    </row>
    <row r="2203">
      <c r="A2203" s="7"/>
      <c r="B2203" s="26">
        <v>178.0</v>
      </c>
      <c r="C2203" s="27">
        <v>10.0</v>
      </c>
      <c r="D2203" s="8" t="s">
        <v>2968</v>
      </c>
      <c r="E2203" s="7">
        <v>0.0</v>
      </c>
      <c r="F2203" s="7"/>
      <c r="G2203" s="7" t="s">
        <v>313</v>
      </c>
      <c r="H2203" s="7" t="s">
        <v>312</v>
      </c>
      <c r="I2203" s="10"/>
      <c r="J2203" s="11"/>
      <c r="K2203" s="20"/>
      <c r="L2203" s="12"/>
      <c r="M2203" s="10"/>
      <c r="N2203" s="10"/>
      <c r="O2203" s="10"/>
      <c r="P2203" s="10"/>
      <c r="Q2203" s="10"/>
      <c r="R2203" s="10"/>
      <c r="S2203" s="10"/>
      <c r="T2203" s="10"/>
      <c r="U2203" s="10"/>
      <c r="V2203" s="10"/>
      <c r="W2203" s="10"/>
      <c r="X2203" s="10"/>
      <c r="Y2203" s="10"/>
      <c r="Z2203" s="10"/>
      <c r="AA2203" s="10"/>
      <c r="AB2203" s="10"/>
      <c r="AC2203" s="10"/>
      <c r="AD2203" s="10"/>
      <c r="AE2203" s="10"/>
      <c r="AF2203" s="10"/>
    </row>
    <row r="2204">
      <c r="A2204" s="7"/>
      <c r="B2204" s="26">
        <v>178.0</v>
      </c>
      <c r="C2204" s="27">
        <v>11.0</v>
      </c>
      <c r="D2204" s="8" t="s">
        <v>2969</v>
      </c>
      <c r="E2204" s="7">
        <v>0.0</v>
      </c>
      <c r="F2204" s="7"/>
      <c r="G2204" s="7" t="s">
        <v>313</v>
      </c>
      <c r="H2204" s="7" t="s">
        <v>312</v>
      </c>
      <c r="I2204" s="10"/>
      <c r="J2204" s="11"/>
      <c r="K2204" s="20" t="s">
        <v>2970</v>
      </c>
      <c r="L2204" s="12"/>
      <c r="M2204" s="10"/>
      <c r="N2204" s="10"/>
      <c r="O2204" s="10"/>
      <c r="P2204" s="10"/>
      <c r="Q2204" s="10"/>
      <c r="R2204" s="10"/>
      <c r="S2204" s="10"/>
      <c r="T2204" s="10"/>
      <c r="U2204" s="10"/>
      <c r="V2204" s="10"/>
      <c r="W2204" s="10"/>
      <c r="X2204" s="10"/>
      <c r="Y2204" s="10"/>
      <c r="Z2204" s="10"/>
      <c r="AA2204" s="10"/>
      <c r="AB2204" s="10"/>
      <c r="AC2204" s="10"/>
      <c r="AD2204" s="10"/>
      <c r="AE2204" s="10"/>
      <c r="AF2204" s="10"/>
    </row>
    <row r="2205">
      <c r="A2205" s="7"/>
      <c r="B2205" s="26">
        <v>178.0</v>
      </c>
      <c r="C2205" s="27">
        <v>12.0</v>
      </c>
      <c r="D2205" s="8" t="s">
        <v>2971</v>
      </c>
      <c r="E2205" s="7">
        <v>1.0</v>
      </c>
      <c r="F2205" s="7"/>
      <c r="G2205" s="7" t="s">
        <v>313</v>
      </c>
      <c r="H2205" s="7" t="s">
        <v>312</v>
      </c>
      <c r="I2205" s="7" t="s">
        <v>366</v>
      </c>
      <c r="J2205" s="9" t="s">
        <v>2972</v>
      </c>
      <c r="K2205" s="12"/>
      <c r="L2205" s="12"/>
      <c r="M2205" s="10"/>
      <c r="N2205" s="10"/>
      <c r="O2205" s="10"/>
      <c r="P2205" s="10"/>
      <c r="Q2205" s="10"/>
      <c r="R2205" s="10"/>
      <c r="S2205" s="10"/>
      <c r="T2205" s="10"/>
      <c r="U2205" s="10"/>
      <c r="V2205" s="10"/>
      <c r="W2205" s="10"/>
      <c r="X2205" s="10"/>
      <c r="Y2205" s="10"/>
      <c r="Z2205" s="10"/>
      <c r="AA2205" s="10"/>
      <c r="AB2205" s="10"/>
      <c r="AC2205" s="10"/>
      <c r="AD2205" s="10"/>
      <c r="AE2205" s="10"/>
      <c r="AF2205" s="10"/>
    </row>
    <row r="2206">
      <c r="A2206" s="7"/>
      <c r="B2206" s="26">
        <v>178.0</v>
      </c>
      <c r="C2206" s="27">
        <v>13.0</v>
      </c>
      <c r="D2206" s="8" t="s">
        <v>2973</v>
      </c>
      <c r="E2206" s="7">
        <v>0.0</v>
      </c>
      <c r="F2206" s="7"/>
      <c r="G2206" s="7" t="s">
        <v>313</v>
      </c>
      <c r="H2206" s="7" t="s">
        <v>312</v>
      </c>
      <c r="I2206" s="10"/>
      <c r="J2206" s="11"/>
      <c r="K2206" s="12"/>
      <c r="L2206" s="12"/>
      <c r="M2206" s="10"/>
      <c r="N2206" s="10"/>
      <c r="O2206" s="10"/>
      <c r="P2206" s="10"/>
      <c r="Q2206" s="10"/>
      <c r="R2206" s="10"/>
      <c r="S2206" s="10"/>
      <c r="T2206" s="10"/>
      <c r="U2206" s="10"/>
      <c r="V2206" s="10"/>
      <c r="W2206" s="10"/>
      <c r="X2206" s="10"/>
      <c r="Y2206" s="10"/>
      <c r="Z2206" s="10"/>
      <c r="AA2206" s="10"/>
      <c r="AB2206" s="10"/>
      <c r="AC2206" s="10"/>
      <c r="AD2206" s="10"/>
      <c r="AE2206" s="10"/>
      <c r="AF2206" s="10"/>
    </row>
    <row r="2207">
      <c r="A2207" s="7"/>
      <c r="B2207" s="26">
        <v>178.0</v>
      </c>
      <c r="C2207" s="27">
        <v>14.0</v>
      </c>
      <c r="D2207" s="8" t="s">
        <v>2974</v>
      </c>
      <c r="E2207" s="7">
        <v>0.0</v>
      </c>
      <c r="F2207" s="7"/>
      <c r="G2207" s="7" t="s">
        <v>313</v>
      </c>
      <c r="H2207" s="7" t="s">
        <v>312</v>
      </c>
      <c r="I2207" s="10"/>
      <c r="J2207" s="11"/>
      <c r="K2207" s="12"/>
      <c r="L2207" s="12"/>
      <c r="M2207" s="10"/>
      <c r="N2207" s="10"/>
      <c r="O2207" s="10"/>
      <c r="P2207" s="10"/>
      <c r="Q2207" s="10"/>
      <c r="R2207" s="10"/>
      <c r="S2207" s="10"/>
      <c r="T2207" s="10"/>
      <c r="U2207" s="10"/>
      <c r="V2207" s="10"/>
      <c r="W2207" s="10"/>
      <c r="X2207" s="10"/>
      <c r="Y2207" s="10"/>
      <c r="Z2207" s="10"/>
      <c r="AA2207" s="10"/>
      <c r="AB2207" s="10"/>
      <c r="AC2207" s="10"/>
      <c r="AD2207" s="10"/>
      <c r="AE2207" s="10"/>
      <c r="AF2207" s="10"/>
    </row>
    <row r="2208">
      <c r="A2208" s="7"/>
      <c r="B2208" s="26">
        <v>178.0</v>
      </c>
      <c r="C2208" s="27">
        <v>15.0</v>
      </c>
      <c r="D2208" s="8" t="s">
        <v>2975</v>
      </c>
      <c r="E2208" s="7">
        <v>0.0</v>
      </c>
      <c r="F2208" s="7"/>
      <c r="G2208" s="7" t="s">
        <v>313</v>
      </c>
      <c r="H2208" s="7" t="s">
        <v>312</v>
      </c>
      <c r="I2208" s="10"/>
      <c r="J2208" s="11"/>
      <c r="K2208" s="12"/>
      <c r="L2208" s="12"/>
      <c r="M2208" s="10"/>
      <c r="N2208" s="10"/>
      <c r="O2208" s="10"/>
      <c r="P2208" s="10"/>
      <c r="Q2208" s="10"/>
      <c r="R2208" s="10"/>
      <c r="S2208" s="10"/>
      <c r="T2208" s="10"/>
      <c r="U2208" s="10"/>
      <c r="V2208" s="10"/>
      <c r="W2208" s="10"/>
      <c r="X2208" s="10"/>
      <c r="Y2208" s="10"/>
      <c r="Z2208" s="10"/>
      <c r="AA2208" s="10"/>
      <c r="AB2208" s="10"/>
      <c r="AC2208" s="10"/>
      <c r="AD2208" s="10"/>
      <c r="AE2208" s="10"/>
      <c r="AF2208" s="10"/>
    </row>
    <row r="2209">
      <c r="A2209" s="7"/>
      <c r="B2209" s="26">
        <v>178.0</v>
      </c>
      <c r="C2209" s="27">
        <v>16.0</v>
      </c>
      <c r="D2209" s="8" t="s">
        <v>2976</v>
      </c>
      <c r="E2209" s="7">
        <v>0.0</v>
      </c>
      <c r="F2209" s="7" t="s">
        <v>320</v>
      </c>
      <c r="G2209" s="7" t="s">
        <v>313</v>
      </c>
      <c r="H2209" s="7" t="s">
        <v>312</v>
      </c>
      <c r="I2209" s="10"/>
      <c r="J2209" s="16" t="s">
        <v>2977</v>
      </c>
      <c r="L2209" s="12"/>
      <c r="M2209" s="10"/>
      <c r="N2209" s="10"/>
      <c r="O2209" s="10"/>
      <c r="P2209" s="10"/>
      <c r="Q2209" s="10"/>
      <c r="R2209" s="10"/>
      <c r="S2209" s="10"/>
      <c r="T2209" s="10"/>
      <c r="U2209" s="10"/>
      <c r="V2209" s="10"/>
      <c r="W2209" s="10"/>
      <c r="X2209" s="10"/>
      <c r="Y2209" s="10"/>
      <c r="Z2209" s="10"/>
      <c r="AA2209" s="10"/>
      <c r="AB2209" s="10"/>
      <c r="AC2209" s="10"/>
      <c r="AD2209" s="10"/>
      <c r="AE2209" s="10"/>
      <c r="AF2209" s="10"/>
    </row>
    <row r="2210">
      <c r="A2210" s="7"/>
      <c r="B2210" s="26">
        <v>178.0</v>
      </c>
      <c r="C2210" s="27">
        <v>17.0</v>
      </c>
      <c r="D2210" s="8" t="s">
        <v>2978</v>
      </c>
      <c r="E2210" s="7">
        <v>0.0</v>
      </c>
      <c r="F2210" s="7"/>
      <c r="G2210" s="7" t="s">
        <v>313</v>
      </c>
      <c r="H2210" s="7" t="s">
        <v>312</v>
      </c>
      <c r="I2210" s="10"/>
      <c r="J2210" s="11"/>
      <c r="K2210" s="12"/>
      <c r="L2210" s="12"/>
      <c r="M2210" s="10"/>
      <c r="N2210" s="10"/>
      <c r="O2210" s="10"/>
      <c r="P2210" s="10"/>
      <c r="Q2210" s="10"/>
      <c r="R2210" s="10"/>
      <c r="S2210" s="10"/>
      <c r="T2210" s="10"/>
      <c r="U2210" s="10"/>
      <c r="V2210" s="10"/>
      <c r="W2210" s="10"/>
      <c r="X2210" s="10"/>
      <c r="Y2210" s="10"/>
      <c r="Z2210" s="10"/>
      <c r="AA2210" s="10"/>
      <c r="AB2210" s="10"/>
      <c r="AC2210" s="10"/>
      <c r="AD2210" s="10"/>
      <c r="AE2210" s="10"/>
      <c r="AF2210" s="10"/>
    </row>
    <row r="2211">
      <c r="A2211" s="7"/>
      <c r="B2211" s="26">
        <v>178.0</v>
      </c>
      <c r="C2211" s="27">
        <v>18.0</v>
      </c>
      <c r="D2211" s="8" t="s">
        <v>2979</v>
      </c>
      <c r="E2211" s="7">
        <v>0.0</v>
      </c>
      <c r="F2211" s="7"/>
      <c r="G2211" s="7" t="s">
        <v>313</v>
      </c>
      <c r="H2211" s="7" t="s">
        <v>312</v>
      </c>
      <c r="I2211" s="10"/>
      <c r="J2211" s="16"/>
      <c r="L2211" s="12"/>
      <c r="M2211" s="10"/>
      <c r="N2211" s="10"/>
      <c r="O2211" s="10"/>
      <c r="P2211" s="10"/>
      <c r="Q2211" s="10"/>
      <c r="R2211" s="10"/>
      <c r="S2211" s="10"/>
      <c r="T2211" s="10"/>
      <c r="U2211" s="10"/>
      <c r="V2211" s="10"/>
      <c r="W2211" s="10"/>
      <c r="X2211" s="10"/>
      <c r="Y2211" s="10"/>
      <c r="Z2211" s="10"/>
      <c r="AA2211" s="10"/>
      <c r="AB2211" s="10"/>
      <c r="AC2211" s="10"/>
      <c r="AD2211" s="10"/>
      <c r="AE2211" s="10"/>
      <c r="AF2211" s="10"/>
    </row>
    <row r="2212">
      <c r="A2212" s="7"/>
      <c r="B2212" s="26">
        <v>178.0</v>
      </c>
      <c r="C2212" s="27">
        <v>19.0</v>
      </c>
      <c r="D2212" s="8" t="s">
        <v>2980</v>
      </c>
      <c r="E2212" s="7">
        <v>0.0</v>
      </c>
      <c r="F2212" s="7"/>
      <c r="G2212" s="7" t="s">
        <v>313</v>
      </c>
      <c r="H2212" s="7" t="s">
        <v>312</v>
      </c>
      <c r="I2212" s="10"/>
      <c r="J2212" s="11"/>
      <c r="K2212" s="12"/>
      <c r="L2212" s="12"/>
      <c r="M2212" s="10"/>
      <c r="N2212" s="10"/>
      <c r="O2212" s="10"/>
      <c r="P2212" s="10"/>
      <c r="Q2212" s="10"/>
      <c r="R2212" s="10"/>
      <c r="S2212" s="10"/>
      <c r="T2212" s="10"/>
      <c r="U2212" s="10"/>
      <c r="V2212" s="10"/>
      <c r="W2212" s="10"/>
      <c r="X2212" s="10"/>
      <c r="Y2212" s="10"/>
      <c r="Z2212" s="10"/>
      <c r="AA2212" s="10"/>
      <c r="AB2212" s="10"/>
      <c r="AC2212" s="10"/>
      <c r="AD2212" s="10"/>
      <c r="AE2212" s="10"/>
      <c r="AF2212" s="10"/>
    </row>
    <row r="2213">
      <c r="A2213" s="7"/>
      <c r="B2213" s="26">
        <v>178.0</v>
      </c>
      <c r="C2213" s="27">
        <v>20.0</v>
      </c>
      <c r="D2213" s="8" t="s">
        <v>2981</v>
      </c>
      <c r="E2213" s="7">
        <v>0.0</v>
      </c>
      <c r="F2213" s="7"/>
      <c r="G2213" s="7" t="s">
        <v>313</v>
      </c>
      <c r="H2213" s="7" t="s">
        <v>312</v>
      </c>
      <c r="I2213" s="10"/>
      <c r="J2213" s="28"/>
      <c r="K2213" s="20" t="s">
        <v>2982</v>
      </c>
      <c r="L2213" s="12"/>
      <c r="M2213" s="10"/>
      <c r="N2213" s="10"/>
      <c r="O2213" s="10"/>
      <c r="P2213" s="10"/>
      <c r="Q2213" s="10"/>
      <c r="R2213" s="10"/>
      <c r="S2213" s="10"/>
      <c r="T2213" s="10"/>
      <c r="U2213" s="10"/>
      <c r="V2213" s="10"/>
      <c r="W2213" s="10"/>
      <c r="X2213" s="10"/>
      <c r="Y2213" s="10"/>
      <c r="Z2213" s="10"/>
      <c r="AA2213" s="10"/>
      <c r="AB2213" s="10"/>
      <c r="AC2213" s="10"/>
      <c r="AD2213" s="10"/>
      <c r="AE2213" s="10"/>
      <c r="AF2213" s="10"/>
    </row>
    <row r="2214">
      <c r="A2214" s="7"/>
      <c r="B2214" s="26">
        <v>178.0</v>
      </c>
      <c r="C2214" s="27">
        <v>21.0</v>
      </c>
      <c r="D2214" s="8" t="s">
        <v>2983</v>
      </c>
      <c r="E2214" s="7">
        <v>0.0</v>
      </c>
      <c r="F2214" s="7"/>
      <c r="G2214" s="7" t="s">
        <v>313</v>
      </c>
      <c r="H2214" s="7" t="s">
        <v>312</v>
      </c>
      <c r="I2214" s="10"/>
      <c r="J2214" s="11"/>
      <c r="L2214" s="12"/>
      <c r="M2214" s="10"/>
      <c r="N2214" s="10"/>
      <c r="O2214" s="10"/>
      <c r="P2214" s="10"/>
      <c r="Q2214" s="10"/>
      <c r="R2214" s="10"/>
      <c r="S2214" s="10"/>
      <c r="T2214" s="10"/>
      <c r="U2214" s="10"/>
      <c r="V2214" s="10"/>
      <c r="W2214" s="10"/>
      <c r="X2214" s="10"/>
      <c r="Y2214" s="10"/>
      <c r="Z2214" s="10"/>
      <c r="AA2214" s="10"/>
      <c r="AB2214" s="10"/>
      <c r="AC2214" s="10"/>
      <c r="AD2214" s="10"/>
      <c r="AE2214" s="10"/>
      <c r="AF2214" s="10"/>
    </row>
    <row r="2215">
      <c r="A2215" s="21" t="s">
        <v>179</v>
      </c>
      <c r="B2215" s="12"/>
      <c r="C2215" s="12"/>
      <c r="D2215" s="12"/>
      <c r="E2215" s="10"/>
      <c r="F2215" s="10"/>
      <c r="G2215" s="10"/>
      <c r="H2215" s="10"/>
      <c r="I2215" s="10"/>
      <c r="J2215" s="11"/>
      <c r="K2215" s="12"/>
      <c r="L2215" s="12"/>
      <c r="M2215" s="10"/>
      <c r="N2215" s="10"/>
      <c r="O2215" s="10"/>
      <c r="P2215" s="10"/>
      <c r="Q2215" s="10"/>
      <c r="R2215" s="10"/>
      <c r="S2215" s="10"/>
      <c r="T2215" s="10"/>
      <c r="U2215" s="10"/>
      <c r="V2215" s="10"/>
      <c r="W2215" s="10"/>
      <c r="X2215" s="10"/>
      <c r="Y2215" s="10"/>
      <c r="Z2215" s="10"/>
      <c r="AA2215" s="10"/>
      <c r="AB2215" s="10"/>
      <c r="AC2215" s="10"/>
      <c r="AD2215" s="10"/>
      <c r="AE2215" s="10"/>
      <c r="AF2215" s="10"/>
    </row>
    <row r="2216">
      <c r="A2216" s="7"/>
      <c r="B2216" s="26">
        <v>179.0</v>
      </c>
      <c r="C2216" s="27">
        <v>1.0</v>
      </c>
      <c r="D2216" s="8" t="s">
        <v>2984</v>
      </c>
      <c r="E2216" s="7">
        <v>2.0</v>
      </c>
      <c r="F2216" s="7" t="s">
        <v>320</v>
      </c>
      <c r="G2216" s="7" t="s">
        <v>313</v>
      </c>
      <c r="H2216" s="7" t="s">
        <v>312</v>
      </c>
      <c r="I2216" s="10"/>
      <c r="J2216" s="9" t="s">
        <v>2985</v>
      </c>
      <c r="K2216" s="20" t="s">
        <v>2898</v>
      </c>
      <c r="L2216" s="12"/>
      <c r="M2216" s="10"/>
      <c r="N2216" s="10"/>
      <c r="O2216" s="10"/>
      <c r="P2216" s="10"/>
      <c r="Q2216" s="10"/>
      <c r="R2216" s="10"/>
      <c r="S2216" s="10"/>
      <c r="T2216" s="10"/>
      <c r="U2216" s="10"/>
      <c r="V2216" s="10"/>
      <c r="W2216" s="10"/>
      <c r="X2216" s="10"/>
      <c r="Y2216" s="10"/>
      <c r="Z2216" s="10"/>
      <c r="AA2216" s="10"/>
      <c r="AB2216" s="10"/>
      <c r="AC2216" s="10"/>
      <c r="AD2216" s="10"/>
      <c r="AE2216" s="10"/>
      <c r="AF2216" s="10"/>
    </row>
    <row r="2217">
      <c r="A2217" s="7"/>
      <c r="B2217" s="26">
        <v>179.0</v>
      </c>
      <c r="C2217" s="27">
        <v>2.0</v>
      </c>
      <c r="D2217" s="8" t="s">
        <v>2986</v>
      </c>
      <c r="E2217" s="7">
        <v>2.0</v>
      </c>
      <c r="F2217" s="7" t="s">
        <v>320</v>
      </c>
      <c r="G2217" s="7" t="s">
        <v>313</v>
      </c>
      <c r="H2217" s="7" t="s">
        <v>312</v>
      </c>
      <c r="I2217" s="10"/>
      <c r="J2217" s="11"/>
      <c r="K2217" s="20" t="s">
        <v>2898</v>
      </c>
      <c r="L2217" s="12"/>
      <c r="M2217" s="10"/>
      <c r="N2217" s="10"/>
      <c r="O2217" s="10"/>
      <c r="P2217" s="10"/>
      <c r="Q2217" s="10"/>
      <c r="R2217" s="10"/>
      <c r="S2217" s="10"/>
      <c r="T2217" s="10"/>
      <c r="U2217" s="10"/>
      <c r="V2217" s="10"/>
      <c r="W2217" s="10"/>
      <c r="X2217" s="10"/>
      <c r="Y2217" s="10"/>
      <c r="Z2217" s="10"/>
      <c r="AA2217" s="10"/>
      <c r="AB2217" s="10"/>
      <c r="AC2217" s="10"/>
      <c r="AD2217" s="10"/>
      <c r="AE2217" s="10"/>
      <c r="AF2217" s="10"/>
    </row>
    <row r="2218">
      <c r="A2218" s="7"/>
      <c r="B2218" s="26">
        <v>179.0</v>
      </c>
      <c r="C2218" s="27">
        <v>3.0</v>
      </c>
      <c r="D2218" s="8" t="s">
        <v>2987</v>
      </c>
      <c r="E2218" s="7">
        <v>0.0</v>
      </c>
      <c r="F2218" s="7"/>
      <c r="G2218" s="7" t="s">
        <v>313</v>
      </c>
      <c r="H2218" s="7" t="s">
        <v>312</v>
      </c>
      <c r="I2218" s="10"/>
      <c r="J2218" s="11"/>
      <c r="K2218" s="12"/>
      <c r="L2218" s="15" t="s">
        <v>2988</v>
      </c>
      <c r="M2218" s="10"/>
      <c r="N2218" s="10"/>
      <c r="O2218" s="10"/>
      <c r="P2218" s="10"/>
      <c r="Q2218" s="10"/>
      <c r="R2218" s="10"/>
      <c r="S2218" s="10"/>
      <c r="T2218" s="10"/>
      <c r="U2218" s="10"/>
      <c r="V2218" s="10"/>
      <c r="W2218" s="10"/>
      <c r="X2218" s="10"/>
      <c r="Y2218" s="10"/>
      <c r="Z2218" s="10"/>
      <c r="AA2218" s="10"/>
      <c r="AB2218" s="10"/>
      <c r="AC2218" s="10"/>
      <c r="AD2218" s="10"/>
      <c r="AE2218" s="10"/>
      <c r="AF2218" s="10"/>
    </row>
    <row r="2219">
      <c r="A2219" s="21" t="s">
        <v>180</v>
      </c>
      <c r="B2219" s="12"/>
      <c r="C2219" s="12"/>
      <c r="D2219" s="12"/>
      <c r="E2219" s="10"/>
      <c r="F2219" s="10"/>
      <c r="G2219" s="10"/>
      <c r="H2219" s="10"/>
      <c r="I2219" s="10"/>
      <c r="J2219" s="11"/>
      <c r="K2219" s="12"/>
      <c r="L2219" s="12"/>
      <c r="M2219" s="10"/>
      <c r="N2219" s="10"/>
      <c r="O2219" s="10"/>
      <c r="P2219" s="10"/>
      <c r="Q2219" s="10"/>
      <c r="R2219" s="10"/>
      <c r="S2219" s="10"/>
      <c r="T2219" s="10"/>
      <c r="U2219" s="10"/>
      <c r="V2219" s="10"/>
      <c r="W2219" s="10"/>
      <c r="X2219" s="10"/>
      <c r="Y2219" s="10"/>
      <c r="Z2219" s="10"/>
      <c r="AA2219" s="10"/>
      <c r="AB2219" s="10"/>
      <c r="AC2219" s="10"/>
      <c r="AD2219" s="10"/>
      <c r="AE2219" s="10"/>
      <c r="AF2219" s="10"/>
    </row>
    <row r="2220">
      <c r="A2220" s="7"/>
      <c r="B2220" s="8">
        <v>180.0</v>
      </c>
      <c r="C2220" s="8">
        <v>1.0</v>
      </c>
      <c r="D2220" s="8" t="s">
        <v>2989</v>
      </c>
      <c r="E2220" s="7">
        <v>2.0</v>
      </c>
      <c r="F2220" s="7" t="s">
        <v>320</v>
      </c>
      <c r="G2220" s="7" t="s">
        <v>313</v>
      </c>
      <c r="H2220" s="7" t="s">
        <v>312</v>
      </c>
      <c r="I2220" s="10"/>
      <c r="J2220" s="9" t="s">
        <v>2990</v>
      </c>
      <c r="K2220" s="20" t="s">
        <v>2898</v>
      </c>
      <c r="L2220" s="12"/>
      <c r="M2220" s="10"/>
      <c r="N2220" s="10"/>
      <c r="O2220" s="10"/>
      <c r="P2220" s="10"/>
      <c r="Q2220" s="10"/>
      <c r="R2220" s="10"/>
      <c r="S2220" s="10"/>
      <c r="T2220" s="10"/>
      <c r="U2220" s="10"/>
      <c r="V2220" s="10"/>
      <c r="W2220" s="10"/>
      <c r="X2220" s="10"/>
      <c r="Y2220" s="10"/>
      <c r="Z2220" s="10"/>
      <c r="AA2220" s="10"/>
      <c r="AB2220" s="10"/>
      <c r="AC2220" s="10"/>
      <c r="AD2220" s="10"/>
      <c r="AE2220" s="10"/>
      <c r="AF2220" s="10"/>
    </row>
    <row r="2221">
      <c r="A2221" s="21" t="s">
        <v>181</v>
      </c>
      <c r="B2221" s="12"/>
      <c r="C2221" s="12"/>
      <c r="D2221" s="12"/>
      <c r="E2221" s="10"/>
      <c r="F2221" s="10"/>
      <c r="G2221" s="10"/>
      <c r="H2221" s="10"/>
      <c r="I2221" s="10"/>
      <c r="J2221" s="11"/>
      <c r="K2221" s="12"/>
      <c r="L2221" s="12"/>
      <c r="M2221" s="10"/>
      <c r="N2221" s="10"/>
      <c r="O2221" s="10"/>
      <c r="P2221" s="10"/>
      <c r="Q2221" s="10"/>
      <c r="R2221" s="10"/>
      <c r="S2221" s="10"/>
      <c r="T2221" s="10"/>
      <c r="U2221" s="10"/>
      <c r="V2221" s="10"/>
      <c r="W2221" s="10"/>
      <c r="X2221" s="10"/>
      <c r="Y2221" s="10"/>
      <c r="Z2221" s="10"/>
      <c r="AA2221" s="10"/>
      <c r="AB2221" s="10"/>
      <c r="AC2221" s="10"/>
      <c r="AD2221" s="10"/>
      <c r="AE2221" s="10"/>
      <c r="AF2221" s="10"/>
    </row>
    <row r="2222">
      <c r="A2222" s="7"/>
      <c r="B2222" s="26">
        <v>181.0</v>
      </c>
      <c r="C2222" s="27">
        <v>1.0</v>
      </c>
      <c r="D2222" s="8" t="s">
        <v>2991</v>
      </c>
      <c r="E2222" s="7">
        <v>2.0</v>
      </c>
      <c r="F2222" s="7" t="s">
        <v>320</v>
      </c>
      <c r="G2222" s="7" t="s">
        <v>313</v>
      </c>
      <c r="H2222" s="7" t="s">
        <v>312</v>
      </c>
      <c r="I2222" s="7" t="s">
        <v>366</v>
      </c>
      <c r="J2222" s="34" t="s">
        <v>2992</v>
      </c>
      <c r="L2222" s="15" t="s">
        <v>2993</v>
      </c>
      <c r="M2222" s="10"/>
      <c r="N2222" s="10"/>
      <c r="O2222" s="10"/>
      <c r="P2222" s="10"/>
      <c r="Q2222" s="10"/>
      <c r="R2222" s="10"/>
      <c r="S2222" s="10"/>
      <c r="T2222" s="10"/>
      <c r="U2222" s="10"/>
      <c r="V2222" s="10"/>
      <c r="W2222" s="10"/>
      <c r="X2222" s="10"/>
      <c r="Y2222" s="10"/>
      <c r="Z2222" s="10"/>
      <c r="AA2222" s="10"/>
      <c r="AB2222" s="10"/>
      <c r="AC2222" s="10"/>
      <c r="AD2222" s="10"/>
      <c r="AE2222" s="10"/>
      <c r="AF2222" s="10"/>
    </row>
    <row r="2223">
      <c r="A2223" s="7"/>
      <c r="B2223" s="26">
        <v>181.0</v>
      </c>
      <c r="C2223" s="27">
        <v>2.0</v>
      </c>
      <c r="D2223" s="8" t="s">
        <v>2994</v>
      </c>
      <c r="E2223" s="7">
        <v>2.0</v>
      </c>
      <c r="F2223" s="7" t="s">
        <v>320</v>
      </c>
      <c r="G2223" s="7" t="s">
        <v>313</v>
      </c>
      <c r="H2223" s="7" t="s">
        <v>312</v>
      </c>
      <c r="I2223" s="10"/>
      <c r="J2223" s="9" t="s">
        <v>2995</v>
      </c>
      <c r="K2223" s="20" t="s">
        <v>2764</v>
      </c>
      <c r="L2223" s="12"/>
      <c r="M2223" s="10"/>
      <c r="N2223" s="10"/>
      <c r="O2223" s="10"/>
      <c r="P2223" s="10"/>
      <c r="Q2223" s="10"/>
      <c r="R2223" s="10"/>
      <c r="S2223" s="10"/>
      <c r="T2223" s="10"/>
      <c r="U2223" s="10"/>
      <c r="V2223" s="10"/>
      <c r="W2223" s="10"/>
      <c r="X2223" s="10"/>
      <c r="Y2223" s="10"/>
      <c r="Z2223" s="10"/>
      <c r="AA2223" s="10"/>
      <c r="AB2223" s="10"/>
      <c r="AC2223" s="10"/>
      <c r="AD2223" s="10"/>
      <c r="AE2223" s="10"/>
      <c r="AF2223" s="10"/>
    </row>
    <row r="2224">
      <c r="A2224" s="7"/>
      <c r="B2224" s="26">
        <v>181.0</v>
      </c>
      <c r="C2224" s="27">
        <v>3.0</v>
      </c>
      <c r="D2224" s="8" t="s">
        <v>2996</v>
      </c>
      <c r="E2224" s="7">
        <v>0.0</v>
      </c>
      <c r="F2224" s="7"/>
      <c r="G2224" s="7" t="s">
        <v>313</v>
      </c>
      <c r="H2224" s="7" t="s">
        <v>312</v>
      </c>
      <c r="I2224" s="10"/>
      <c r="J2224" s="11"/>
      <c r="K2224" s="12"/>
      <c r="L2224" s="12"/>
      <c r="M2224" s="10"/>
      <c r="N2224" s="10"/>
      <c r="O2224" s="10"/>
      <c r="P2224" s="10"/>
      <c r="Q2224" s="10"/>
      <c r="R2224" s="10"/>
      <c r="S2224" s="10"/>
      <c r="T2224" s="10"/>
      <c r="U2224" s="10"/>
      <c r="V2224" s="10"/>
      <c r="W2224" s="10"/>
      <c r="X2224" s="10"/>
      <c r="Y2224" s="10"/>
      <c r="Z2224" s="10"/>
      <c r="AA2224" s="10"/>
      <c r="AB2224" s="10"/>
      <c r="AC2224" s="10"/>
      <c r="AD2224" s="10"/>
      <c r="AE2224" s="10"/>
      <c r="AF2224" s="10"/>
    </row>
    <row r="2225">
      <c r="A2225" s="21" t="s">
        <v>182</v>
      </c>
      <c r="B2225" s="12"/>
      <c r="C2225" s="12"/>
      <c r="D2225" s="12"/>
      <c r="E2225" s="10"/>
      <c r="F2225" s="10"/>
      <c r="G2225" s="10"/>
      <c r="H2225" s="10"/>
      <c r="I2225" s="10"/>
      <c r="J2225" s="11"/>
      <c r="K2225" s="12"/>
      <c r="L2225" s="12"/>
      <c r="M2225" s="10"/>
      <c r="N2225" s="10"/>
      <c r="O2225" s="10"/>
      <c r="P2225" s="10"/>
      <c r="Q2225" s="10"/>
      <c r="R2225" s="10"/>
      <c r="S2225" s="10"/>
      <c r="T2225" s="10"/>
      <c r="U2225" s="10"/>
      <c r="V2225" s="10"/>
      <c r="W2225" s="10"/>
      <c r="X2225" s="10"/>
      <c r="Y2225" s="10"/>
      <c r="Z2225" s="10"/>
      <c r="AA2225" s="10"/>
      <c r="AB2225" s="10"/>
      <c r="AC2225" s="10"/>
      <c r="AD2225" s="10"/>
      <c r="AE2225" s="10"/>
      <c r="AF2225" s="10"/>
    </row>
    <row r="2226">
      <c r="A2226" s="7"/>
      <c r="B2226" s="26">
        <v>182.0</v>
      </c>
      <c r="C2226" s="27">
        <v>1.0</v>
      </c>
      <c r="D2226" s="8" t="s">
        <v>2997</v>
      </c>
      <c r="E2226" s="7">
        <v>0.0</v>
      </c>
      <c r="F2226" s="7"/>
      <c r="G2226" s="7" t="s">
        <v>313</v>
      </c>
      <c r="H2226" s="7" t="s">
        <v>312</v>
      </c>
      <c r="I2226" s="10"/>
      <c r="J2226" s="9" t="s">
        <v>2998</v>
      </c>
      <c r="K2226" s="12"/>
      <c r="L2226" s="12"/>
      <c r="M2226" s="10"/>
      <c r="N2226" s="10"/>
      <c r="O2226" s="10"/>
      <c r="P2226" s="10"/>
      <c r="Q2226" s="10"/>
      <c r="R2226" s="10"/>
      <c r="S2226" s="10"/>
      <c r="T2226" s="10"/>
      <c r="U2226" s="10"/>
      <c r="V2226" s="10"/>
      <c r="W2226" s="10"/>
      <c r="X2226" s="10"/>
      <c r="Y2226" s="10"/>
      <c r="Z2226" s="10"/>
      <c r="AA2226" s="10"/>
      <c r="AB2226" s="10"/>
      <c r="AC2226" s="10"/>
      <c r="AD2226" s="10"/>
      <c r="AE2226" s="10"/>
      <c r="AF2226" s="10"/>
    </row>
    <row r="2227">
      <c r="A2227" s="7"/>
      <c r="B2227" s="26">
        <v>182.0</v>
      </c>
      <c r="C2227" s="27">
        <v>2.0</v>
      </c>
      <c r="D2227" s="8" t="s">
        <v>2999</v>
      </c>
      <c r="E2227" s="7">
        <v>0.0</v>
      </c>
      <c r="F2227" s="7"/>
      <c r="G2227" s="7" t="s">
        <v>313</v>
      </c>
      <c r="H2227" s="7" t="s">
        <v>312</v>
      </c>
      <c r="I2227" s="10"/>
      <c r="J2227" s="11"/>
      <c r="K2227" s="12"/>
      <c r="L2227" s="12"/>
      <c r="M2227" s="10"/>
      <c r="N2227" s="10"/>
      <c r="O2227" s="10"/>
      <c r="P2227" s="10"/>
      <c r="Q2227" s="10"/>
      <c r="R2227" s="10"/>
      <c r="S2227" s="10"/>
      <c r="T2227" s="10"/>
      <c r="U2227" s="10"/>
      <c r="V2227" s="10"/>
      <c r="W2227" s="10"/>
      <c r="X2227" s="10"/>
      <c r="Y2227" s="10"/>
      <c r="Z2227" s="10"/>
      <c r="AA2227" s="10"/>
      <c r="AB2227" s="10"/>
      <c r="AC2227" s="10"/>
      <c r="AD2227" s="10"/>
      <c r="AE2227" s="10"/>
      <c r="AF2227" s="10"/>
    </row>
    <row r="2228">
      <c r="A2228" s="7"/>
      <c r="B2228" s="26">
        <v>182.0</v>
      </c>
      <c r="C2228" s="27">
        <v>3.0</v>
      </c>
      <c r="D2228" s="8" t="s">
        <v>3000</v>
      </c>
      <c r="E2228" s="7">
        <v>0.0</v>
      </c>
      <c r="F2228" s="7"/>
      <c r="G2228" s="7" t="s">
        <v>313</v>
      </c>
      <c r="H2228" s="7" t="s">
        <v>312</v>
      </c>
      <c r="I2228" s="10"/>
      <c r="J2228" s="11"/>
      <c r="K2228" s="12"/>
      <c r="L2228" s="12"/>
      <c r="M2228" s="10"/>
      <c r="N2228" s="10"/>
      <c r="O2228" s="10"/>
      <c r="P2228" s="10"/>
      <c r="Q2228" s="10"/>
      <c r="R2228" s="10"/>
      <c r="S2228" s="10"/>
      <c r="T2228" s="10"/>
      <c r="U2228" s="10"/>
      <c r="V2228" s="10"/>
      <c r="W2228" s="10"/>
      <c r="X2228" s="10"/>
      <c r="Y2228" s="10"/>
      <c r="Z2228" s="10"/>
      <c r="AA2228" s="10"/>
      <c r="AB2228" s="10"/>
      <c r="AC2228" s="10"/>
      <c r="AD2228" s="10"/>
      <c r="AE2228" s="10"/>
      <c r="AF2228" s="10"/>
    </row>
    <row r="2229">
      <c r="A2229" s="7"/>
      <c r="B2229" s="26">
        <v>182.0</v>
      </c>
      <c r="C2229" s="27">
        <v>4.0</v>
      </c>
      <c r="D2229" s="8" t="s">
        <v>3001</v>
      </c>
      <c r="E2229" s="7">
        <v>0.0</v>
      </c>
      <c r="F2229" s="7"/>
      <c r="G2229" s="7" t="s">
        <v>313</v>
      </c>
      <c r="H2229" s="7" t="s">
        <v>312</v>
      </c>
      <c r="I2229" s="10"/>
      <c r="J2229" s="11"/>
      <c r="K2229" s="12"/>
      <c r="L2229" s="12"/>
      <c r="M2229" s="10"/>
      <c r="N2229" s="10"/>
      <c r="O2229" s="10"/>
      <c r="P2229" s="10"/>
      <c r="Q2229" s="10"/>
      <c r="R2229" s="10"/>
      <c r="S2229" s="10"/>
      <c r="T2229" s="10"/>
      <c r="U2229" s="10"/>
      <c r="V2229" s="10"/>
      <c r="W2229" s="10"/>
      <c r="X2229" s="10"/>
      <c r="Y2229" s="10"/>
      <c r="Z2229" s="10"/>
      <c r="AA2229" s="10"/>
      <c r="AB2229" s="10"/>
      <c r="AC2229" s="10"/>
      <c r="AD2229" s="10"/>
      <c r="AE2229" s="10"/>
      <c r="AF2229" s="10"/>
    </row>
    <row r="2230">
      <c r="A2230" s="7"/>
      <c r="B2230" s="26">
        <v>182.0</v>
      </c>
      <c r="C2230" s="27">
        <v>5.0</v>
      </c>
      <c r="D2230" s="8" t="s">
        <v>3002</v>
      </c>
      <c r="E2230" s="7">
        <v>0.0</v>
      </c>
      <c r="F2230" s="7"/>
      <c r="G2230" s="7" t="s">
        <v>313</v>
      </c>
      <c r="H2230" s="7" t="s">
        <v>312</v>
      </c>
      <c r="I2230" s="10"/>
      <c r="J2230" s="11"/>
      <c r="K2230" s="12"/>
      <c r="L2230" s="12"/>
      <c r="M2230" s="10"/>
      <c r="N2230" s="10"/>
      <c r="O2230" s="10"/>
      <c r="P2230" s="10"/>
      <c r="Q2230" s="10"/>
      <c r="R2230" s="10"/>
      <c r="S2230" s="10"/>
      <c r="T2230" s="10"/>
      <c r="U2230" s="10"/>
      <c r="V2230" s="10"/>
      <c r="W2230" s="10"/>
      <c r="X2230" s="10"/>
      <c r="Y2230" s="10"/>
      <c r="Z2230" s="10"/>
      <c r="AA2230" s="10"/>
      <c r="AB2230" s="10"/>
      <c r="AC2230" s="10"/>
      <c r="AD2230" s="10"/>
      <c r="AE2230" s="10"/>
      <c r="AF2230" s="10"/>
    </row>
    <row r="2231">
      <c r="A2231" s="7"/>
      <c r="B2231" s="26">
        <v>182.0</v>
      </c>
      <c r="C2231" s="27">
        <v>6.0</v>
      </c>
      <c r="D2231" s="8" t="s">
        <v>3003</v>
      </c>
      <c r="E2231" s="7">
        <v>0.0</v>
      </c>
      <c r="F2231" s="7"/>
      <c r="G2231" s="7" t="s">
        <v>313</v>
      </c>
      <c r="H2231" s="7" t="s">
        <v>312</v>
      </c>
      <c r="I2231" s="10"/>
      <c r="J2231" s="11"/>
      <c r="K2231" s="12"/>
      <c r="L2231" s="12"/>
      <c r="M2231" s="10"/>
      <c r="N2231" s="10"/>
      <c r="O2231" s="10"/>
      <c r="P2231" s="10"/>
      <c r="Q2231" s="10"/>
      <c r="R2231" s="10"/>
      <c r="S2231" s="10"/>
      <c r="T2231" s="10"/>
      <c r="U2231" s="10"/>
      <c r="V2231" s="10"/>
      <c r="W2231" s="10"/>
      <c r="X2231" s="10"/>
      <c r="Y2231" s="10"/>
      <c r="Z2231" s="10"/>
      <c r="AA2231" s="10"/>
      <c r="AB2231" s="10"/>
      <c r="AC2231" s="10"/>
      <c r="AD2231" s="10"/>
      <c r="AE2231" s="10"/>
      <c r="AF2231" s="10"/>
    </row>
    <row r="2232">
      <c r="A2232" s="7"/>
      <c r="B2232" s="26">
        <v>182.0</v>
      </c>
      <c r="C2232" s="27">
        <v>7.0</v>
      </c>
      <c r="D2232" s="8" t="s">
        <v>3004</v>
      </c>
      <c r="E2232" s="7">
        <v>0.0</v>
      </c>
      <c r="F2232" s="7"/>
      <c r="G2232" s="7" t="s">
        <v>313</v>
      </c>
      <c r="H2232" s="7" t="s">
        <v>312</v>
      </c>
      <c r="I2232" s="10"/>
      <c r="J2232" s="11"/>
      <c r="K2232" s="12"/>
      <c r="L2232" s="12"/>
      <c r="M2232" s="10"/>
      <c r="N2232" s="10"/>
      <c r="O2232" s="10"/>
      <c r="P2232" s="10"/>
      <c r="Q2232" s="10"/>
      <c r="R2232" s="10"/>
      <c r="S2232" s="10"/>
      <c r="T2232" s="10"/>
      <c r="U2232" s="10"/>
      <c r="V2232" s="10"/>
      <c r="W2232" s="10"/>
      <c r="X2232" s="10"/>
      <c r="Y2232" s="10"/>
      <c r="Z2232" s="10"/>
      <c r="AA2232" s="10"/>
      <c r="AB2232" s="10"/>
      <c r="AC2232" s="10"/>
      <c r="AD2232" s="10"/>
      <c r="AE2232" s="10"/>
      <c r="AF2232" s="10"/>
    </row>
    <row r="2233">
      <c r="A2233" s="7"/>
      <c r="B2233" s="26">
        <v>182.0</v>
      </c>
      <c r="C2233" s="27">
        <v>8.0</v>
      </c>
      <c r="D2233" s="8" t="s">
        <v>3005</v>
      </c>
      <c r="E2233" s="7">
        <v>2.0</v>
      </c>
      <c r="F2233" s="2" t="s">
        <v>320</v>
      </c>
      <c r="G2233" s="7" t="s">
        <v>313</v>
      </c>
      <c r="H2233" s="7" t="s">
        <v>312</v>
      </c>
      <c r="I2233" s="10"/>
      <c r="J2233" s="11"/>
      <c r="K2233" s="20" t="s">
        <v>2811</v>
      </c>
      <c r="L2233" s="15" t="s">
        <v>3006</v>
      </c>
      <c r="M2233" s="10"/>
      <c r="N2233" s="10"/>
      <c r="O2233" s="10"/>
      <c r="P2233" s="10"/>
      <c r="Q2233" s="10"/>
      <c r="R2233" s="10"/>
      <c r="S2233" s="10"/>
      <c r="T2233" s="10"/>
      <c r="U2233" s="10"/>
      <c r="V2233" s="10"/>
      <c r="W2233" s="10"/>
      <c r="X2233" s="10"/>
      <c r="Y2233" s="10"/>
      <c r="Z2233" s="10"/>
      <c r="AA2233" s="10"/>
      <c r="AB2233" s="10"/>
      <c r="AC2233" s="10"/>
      <c r="AD2233" s="10"/>
      <c r="AE2233" s="10"/>
      <c r="AF2233" s="10"/>
    </row>
    <row r="2234">
      <c r="A2234" s="7"/>
      <c r="B2234" s="26">
        <v>182.0</v>
      </c>
      <c r="C2234" s="27">
        <v>9.0</v>
      </c>
      <c r="D2234" s="8" t="s">
        <v>3007</v>
      </c>
      <c r="E2234" s="7">
        <v>0.0</v>
      </c>
      <c r="F2234" s="7"/>
      <c r="G2234" s="7" t="s">
        <v>313</v>
      </c>
      <c r="H2234" s="7" t="s">
        <v>312</v>
      </c>
      <c r="I2234" s="10"/>
      <c r="J2234" s="11"/>
      <c r="K2234" s="12"/>
      <c r="L2234" s="15" t="s">
        <v>3008</v>
      </c>
      <c r="M2234" s="10"/>
      <c r="N2234" s="10"/>
      <c r="O2234" s="10"/>
      <c r="P2234" s="10"/>
      <c r="Q2234" s="10"/>
      <c r="R2234" s="10"/>
      <c r="S2234" s="10"/>
      <c r="T2234" s="10"/>
      <c r="U2234" s="10"/>
      <c r="V2234" s="10"/>
      <c r="W2234" s="10"/>
      <c r="X2234" s="10"/>
      <c r="Y2234" s="10"/>
      <c r="Z2234" s="10"/>
      <c r="AA2234" s="10"/>
      <c r="AB2234" s="10"/>
      <c r="AC2234" s="10"/>
      <c r="AD2234" s="10"/>
      <c r="AE2234" s="10"/>
      <c r="AF2234" s="10"/>
    </row>
    <row r="2235">
      <c r="A2235" s="7"/>
      <c r="B2235" s="26">
        <v>182.0</v>
      </c>
      <c r="C2235" s="27">
        <v>10.0</v>
      </c>
      <c r="D2235" s="8" t="s">
        <v>3009</v>
      </c>
      <c r="E2235" s="7">
        <v>0.0</v>
      </c>
      <c r="F2235" s="7"/>
      <c r="G2235" s="7" t="s">
        <v>313</v>
      </c>
      <c r="H2235" s="7" t="s">
        <v>312</v>
      </c>
      <c r="I2235" s="10"/>
      <c r="J2235" s="11"/>
      <c r="K2235" s="12"/>
      <c r="L2235" s="12"/>
      <c r="M2235" s="10"/>
      <c r="N2235" s="10"/>
      <c r="O2235" s="10"/>
      <c r="P2235" s="10"/>
      <c r="Q2235" s="10"/>
      <c r="R2235" s="10"/>
      <c r="S2235" s="10"/>
      <c r="T2235" s="10"/>
      <c r="U2235" s="10"/>
      <c r="V2235" s="10"/>
      <c r="W2235" s="10"/>
      <c r="X2235" s="10"/>
      <c r="Y2235" s="10"/>
      <c r="Z2235" s="10"/>
      <c r="AA2235" s="10"/>
      <c r="AB2235" s="10"/>
      <c r="AC2235" s="10"/>
      <c r="AD2235" s="10"/>
      <c r="AE2235" s="10"/>
      <c r="AF2235" s="10"/>
    </row>
    <row r="2236">
      <c r="A2236" s="7"/>
      <c r="B2236" s="26">
        <v>182.0</v>
      </c>
      <c r="C2236" s="27">
        <v>11.0</v>
      </c>
      <c r="D2236" s="8" t="s">
        <v>3010</v>
      </c>
      <c r="E2236" s="7">
        <v>0.0</v>
      </c>
      <c r="F2236" s="7"/>
      <c r="G2236" s="7" t="s">
        <v>313</v>
      </c>
      <c r="H2236" s="7" t="s">
        <v>312</v>
      </c>
      <c r="I2236" s="10"/>
      <c r="J2236" s="11"/>
      <c r="K2236" s="12"/>
      <c r="L2236" s="12"/>
      <c r="M2236" s="10"/>
      <c r="N2236" s="10"/>
      <c r="O2236" s="10"/>
      <c r="P2236" s="10"/>
      <c r="Q2236" s="10"/>
      <c r="R2236" s="10"/>
      <c r="S2236" s="10"/>
      <c r="T2236" s="10"/>
      <c r="U2236" s="10"/>
      <c r="V2236" s="10"/>
      <c r="W2236" s="10"/>
      <c r="X2236" s="10"/>
      <c r="Y2236" s="10"/>
      <c r="Z2236" s="10"/>
      <c r="AA2236" s="10"/>
      <c r="AB2236" s="10"/>
      <c r="AC2236" s="10"/>
      <c r="AD2236" s="10"/>
      <c r="AE2236" s="10"/>
      <c r="AF2236" s="10"/>
    </row>
    <row r="2237">
      <c r="A2237" s="7"/>
      <c r="B2237" s="26">
        <v>182.0</v>
      </c>
      <c r="C2237" s="27">
        <v>12.0</v>
      </c>
      <c r="D2237" s="8" t="s">
        <v>3011</v>
      </c>
      <c r="E2237" s="7">
        <v>0.0</v>
      </c>
      <c r="F2237" s="7"/>
      <c r="G2237" s="7" t="s">
        <v>313</v>
      </c>
      <c r="H2237" s="7" t="s">
        <v>312</v>
      </c>
      <c r="I2237" s="10"/>
      <c r="J2237" s="11"/>
      <c r="K2237" s="12"/>
      <c r="L2237" s="12"/>
      <c r="M2237" s="10"/>
      <c r="N2237" s="10"/>
      <c r="O2237" s="10"/>
      <c r="P2237" s="10"/>
      <c r="Q2237" s="10"/>
      <c r="R2237" s="10"/>
      <c r="S2237" s="10"/>
      <c r="T2237" s="10"/>
      <c r="U2237" s="10"/>
      <c r="V2237" s="10"/>
      <c r="W2237" s="10"/>
      <c r="X2237" s="10"/>
      <c r="Y2237" s="10"/>
      <c r="Z2237" s="10"/>
      <c r="AA2237" s="10"/>
      <c r="AB2237" s="10"/>
      <c r="AC2237" s="10"/>
      <c r="AD2237" s="10"/>
      <c r="AE2237" s="10"/>
      <c r="AF2237" s="10"/>
    </row>
    <row r="2238">
      <c r="A2238" s="7"/>
      <c r="B2238" s="26">
        <v>182.0</v>
      </c>
      <c r="C2238" s="27">
        <v>13.0</v>
      </c>
      <c r="D2238" s="8" t="s">
        <v>3012</v>
      </c>
      <c r="E2238" s="7">
        <v>0.0</v>
      </c>
      <c r="F2238" s="7"/>
      <c r="G2238" s="7" t="s">
        <v>313</v>
      </c>
      <c r="H2238" s="7" t="s">
        <v>312</v>
      </c>
      <c r="I2238" s="10"/>
      <c r="J2238" s="11"/>
      <c r="K2238" s="12"/>
      <c r="L2238" s="12"/>
      <c r="M2238" s="10"/>
      <c r="N2238" s="10"/>
      <c r="O2238" s="10"/>
      <c r="P2238" s="10"/>
      <c r="Q2238" s="10"/>
      <c r="R2238" s="10"/>
      <c r="S2238" s="10"/>
      <c r="T2238" s="10"/>
      <c r="U2238" s="10"/>
      <c r="V2238" s="10"/>
      <c r="W2238" s="10"/>
      <c r="X2238" s="10"/>
      <c r="Y2238" s="10"/>
      <c r="Z2238" s="10"/>
      <c r="AA2238" s="10"/>
      <c r="AB2238" s="10"/>
      <c r="AC2238" s="10"/>
      <c r="AD2238" s="10"/>
      <c r="AE2238" s="10"/>
      <c r="AF2238" s="10"/>
    </row>
    <row r="2239">
      <c r="A2239" s="7"/>
      <c r="B2239" s="26">
        <v>182.0</v>
      </c>
      <c r="C2239" s="27">
        <v>14.0</v>
      </c>
      <c r="D2239" s="8" t="s">
        <v>3013</v>
      </c>
      <c r="E2239" s="7">
        <v>0.0</v>
      </c>
      <c r="F2239" s="7"/>
      <c r="G2239" s="7" t="s">
        <v>313</v>
      </c>
      <c r="H2239" s="7" t="s">
        <v>312</v>
      </c>
      <c r="I2239" s="10"/>
      <c r="J2239" s="11"/>
      <c r="K2239" s="12"/>
      <c r="L2239" s="15" t="s">
        <v>3008</v>
      </c>
      <c r="M2239" s="10"/>
      <c r="N2239" s="10"/>
      <c r="O2239" s="10"/>
      <c r="P2239" s="10"/>
      <c r="Q2239" s="10"/>
      <c r="R2239" s="10"/>
      <c r="S2239" s="10"/>
      <c r="T2239" s="10"/>
      <c r="U2239" s="10"/>
      <c r="V2239" s="10"/>
      <c r="W2239" s="10"/>
      <c r="X2239" s="10"/>
      <c r="Y2239" s="10"/>
      <c r="Z2239" s="10"/>
      <c r="AA2239" s="10"/>
      <c r="AB2239" s="10"/>
      <c r="AC2239" s="10"/>
      <c r="AD2239" s="10"/>
      <c r="AE2239" s="10"/>
      <c r="AF2239" s="10"/>
    </row>
    <row r="2240">
      <c r="A2240" s="7"/>
      <c r="B2240" s="26">
        <v>182.0</v>
      </c>
      <c r="C2240" s="27">
        <v>15.0</v>
      </c>
      <c r="D2240" s="8" t="s">
        <v>3014</v>
      </c>
      <c r="E2240" s="7">
        <v>2.0</v>
      </c>
      <c r="F2240" s="7" t="s">
        <v>320</v>
      </c>
      <c r="G2240" s="7" t="s">
        <v>313</v>
      </c>
      <c r="H2240" s="7" t="s">
        <v>312</v>
      </c>
      <c r="I2240" s="10"/>
      <c r="J2240" s="11"/>
      <c r="K2240" s="20" t="s">
        <v>2811</v>
      </c>
      <c r="L2240" s="15" t="s">
        <v>3008</v>
      </c>
      <c r="M2240" s="10"/>
      <c r="N2240" s="10"/>
      <c r="O2240" s="10"/>
      <c r="P2240" s="10"/>
      <c r="Q2240" s="10"/>
      <c r="R2240" s="10"/>
      <c r="S2240" s="10"/>
      <c r="T2240" s="10"/>
      <c r="U2240" s="10"/>
      <c r="V2240" s="10"/>
      <c r="W2240" s="10"/>
      <c r="X2240" s="10"/>
      <c r="Y2240" s="10"/>
      <c r="Z2240" s="10"/>
      <c r="AA2240" s="10"/>
      <c r="AB2240" s="10"/>
      <c r="AC2240" s="10"/>
      <c r="AD2240" s="10"/>
      <c r="AE2240" s="10"/>
      <c r="AF2240" s="10"/>
    </row>
    <row r="2241">
      <c r="A2241" s="21" t="s">
        <v>183</v>
      </c>
      <c r="B2241" s="12"/>
      <c r="C2241" s="12"/>
      <c r="D2241" s="12"/>
      <c r="E2241" s="10"/>
      <c r="F2241" s="10"/>
      <c r="G2241" s="10"/>
      <c r="H2241" s="10"/>
      <c r="I2241" s="10"/>
      <c r="J2241" s="11"/>
      <c r="K2241" s="12"/>
      <c r="L2241" s="12"/>
      <c r="M2241" s="10"/>
      <c r="N2241" s="10"/>
      <c r="O2241" s="10"/>
      <c r="P2241" s="10"/>
      <c r="Q2241" s="10"/>
      <c r="R2241" s="10"/>
      <c r="S2241" s="10"/>
      <c r="T2241" s="10"/>
      <c r="U2241" s="10"/>
      <c r="V2241" s="10"/>
      <c r="W2241" s="10"/>
      <c r="X2241" s="10"/>
      <c r="Y2241" s="10"/>
      <c r="Z2241" s="10"/>
      <c r="AA2241" s="10"/>
      <c r="AB2241" s="10"/>
      <c r="AC2241" s="10"/>
      <c r="AD2241" s="10"/>
      <c r="AE2241" s="10"/>
      <c r="AF2241" s="10"/>
    </row>
    <row r="2242">
      <c r="A2242" s="7"/>
      <c r="B2242" s="8">
        <v>183.0</v>
      </c>
      <c r="C2242" s="8">
        <v>1.0</v>
      </c>
      <c r="D2242" s="8" t="s">
        <v>3015</v>
      </c>
      <c r="E2242" s="7">
        <v>2.0</v>
      </c>
      <c r="F2242" s="7" t="s">
        <v>320</v>
      </c>
      <c r="G2242" s="7" t="s">
        <v>313</v>
      </c>
      <c r="H2242" s="7" t="s">
        <v>312</v>
      </c>
      <c r="I2242" s="10"/>
      <c r="J2242" s="9" t="s">
        <v>3016</v>
      </c>
      <c r="K2242" s="20" t="s">
        <v>3017</v>
      </c>
      <c r="L2242" s="12"/>
      <c r="M2242" s="10"/>
      <c r="N2242" s="10"/>
      <c r="O2242" s="10"/>
      <c r="P2242" s="10"/>
      <c r="Q2242" s="10"/>
      <c r="R2242" s="10"/>
      <c r="S2242" s="10"/>
      <c r="T2242" s="10"/>
      <c r="U2242" s="10"/>
      <c r="V2242" s="10"/>
      <c r="W2242" s="10"/>
      <c r="X2242" s="10"/>
      <c r="Y2242" s="10"/>
      <c r="Z2242" s="10"/>
      <c r="AA2242" s="10"/>
      <c r="AB2242" s="10"/>
      <c r="AC2242" s="10"/>
      <c r="AD2242" s="10"/>
      <c r="AE2242" s="10"/>
      <c r="AF2242" s="10"/>
    </row>
    <row r="2243">
      <c r="A2243" s="21" t="s">
        <v>184</v>
      </c>
      <c r="B2243" s="12"/>
      <c r="C2243" s="12"/>
      <c r="D2243" s="12"/>
      <c r="E2243" s="10"/>
      <c r="F2243" s="10"/>
      <c r="G2243" s="10"/>
      <c r="H2243" s="10"/>
      <c r="I2243" s="10"/>
      <c r="J2243" s="11"/>
      <c r="K2243" s="12"/>
      <c r="L2243" s="12"/>
      <c r="M2243" s="10"/>
      <c r="N2243" s="10"/>
      <c r="O2243" s="10"/>
      <c r="P2243" s="10"/>
      <c r="Q2243" s="10"/>
      <c r="R2243" s="10"/>
      <c r="S2243" s="10"/>
      <c r="T2243" s="10"/>
      <c r="U2243" s="10"/>
      <c r="V2243" s="10"/>
      <c r="W2243" s="10"/>
      <c r="X2243" s="10"/>
      <c r="Y2243" s="10"/>
      <c r="Z2243" s="10"/>
      <c r="AA2243" s="10"/>
      <c r="AB2243" s="10"/>
      <c r="AC2243" s="10"/>
      <c r="AD2243" s="10"/>
      <c r="AE2243" s="10"/>
      <c r="AF2243" s="10"/>
    </row>
    <row r="2244">
      <c r="A2244" s="7"/>
      <c r="B2244" s="8">
        <v>184.0</v>
      </c>
      <c r="C2244" s="8">
        <v>1.0</v>
      </c>
      <c r="D2244" s="8" t="s">
        <v>3018</v>
      </c>
      <c r="E2244" s="7">
        <v>2.0</v>
      </c>
      <c r="F2244" s="7" t="s">
        <v>320</v>
      </c>
      <c r="G2244" s="7" t="s">
        <v>313</v>
      </c>
      <c r="H2244" s="7" t="s">
        <v>312</v>
      </c>
      <c r="I2244" s="10"/>
      <c r="J2244" s="9" t="s">
        <v>3019</v>
      </c>
      <c r="K2244" s="20" t="s">
        <v>2764</v>
      </c>
      <c r="L2244" s="12"/>
      <c r="M2244" s="10"/>
      <c r="N2244" s="10"/>
      <c r="O2244" s="10"/>
      <c r="P2244" s="10"/>
      <c r="Q2244" s="10"/>
      <c r="R2244" s="10"/>
      <c r="S2244" s="10"/>
      <c r="T2244" s="10"/>
      <c r="U2244" s="10"/>
      <c r="V2244" s="10"/>
      <c r="W2244" s="10"/>
      <c r="X2244" s="10"/>
      <c r="Y2244" s="10"/>
      <c r="Z2244" s="10"/>
      <c r="AA2244" s="10"/>
      <c r="AB2244" s="10"/>
      <c r="AC2244" s="10"/>
      <c r="AD2244" s="10"/>
      <c r="AE2244" s="10"/>
      <c r="AF2244" s="10"/>
    </row>
    <row r="2245">
      <c r="A2245" s="21" t="s">
        <v>185</v>
      </c>
      <c r="B2245" s="12"/>
      <c r="C2245" s="12"/>
      <c r="D2245" s="12"/>
      <c r="E2245" s="10"/>
      <c r="F2245" s="10"/>
      <c r="G2245" s="10"/>
      <c r="H2245" s="10"/>
      <c r="I2245" s="10"/>
      <c r="J2245" s="11"/>
      <c r="K2245" s="12"/>
      <c r="L2245" s="12"/>
      <c r="M2245" s="10"/>
      <c r="N2245" s="10"/>
      <c r="O2245" s="10"/>
      <c r="P2245" s="10"/>
      <c r="Q2245" s="10"/>
      <c r="R2245" s="10"/>
      <c r="S2245" s="10"/>
      <c r="T2245" s="10"/>
      <c r="U2245" s="10"/>
      <c r="V2245" s="10"/>
      <c r="W2245" s="10"/>
      <c r="X2245" s="10"/>
      <c r="Y2245" s="10"/>
      <c r="Z2245" s="10"/>
      <c r="AA2245" s="10"/>
      <c r="AB2245" s="10"/>
      <c r="AC2245" s="10"/>
      <c r="AD2245" s="10"/>
      <c r="AE2245" s="10"/>
      <c r="AF2245" s="10"/>
    </row>
    <row r="2246">
      <c r="A2246" s="7"/>
      <c r="B2246" s="26">
        <v>185.0</v>
      </c>
      <c r="C2246" s="27">
        <v>1.0</v>
      </c>
      <c r="D2246" s="8" t="s">
        <v>3020</v>
      </c>
      <c r="E2246" s="7">
        <v>0.0</v>
      </c>
      <c r="F2246" s="20" t="s">
        <v>3021</v>
      </c>
      <c r="G2246" s="7" t="s">
        <v>313</v>
      </c>
      <c r="H2246" s="7" t="s">
        <v>312</v>
      </c>
      <c r="I2246" s="7" t="s">
        <v>366</v>
      </c>
      <c r="J2246" s="16" t="s">
        <v>3022</v>
      </c>
      <c r="K2246" s="12"/>
      <c r="L2246" s="12"/>
      <c r="M2246" s="10"/>
      <c r="N2246" s="10"/>
      <c r="O2246" s="10"/>
      <c r="P2246" s="10"/>
      <c r="Q2246" s="10"/>
      <c r="R2246" s="10"/>
      <c r="S2246" s="10"/>
      <c r="T2246" s="10"/>
      <c r="U2246" s="10"/>
      <c r="V2246" s="10"/>
      <c r="W2246" s="10"/>
      <c r="X2246" s="10"/>
      <c r="Y2246" s="10"/>
      <c r="Z2246" s="10"/>
      <c r="AA2246" s="10"/>
      <c r="AB2246" s="10"/>
      <c r="AC2246" s="10"/>
      <c r="AD2246" s="10"/>
      <c r="AE2246" s="10"/>
      <c r="AF2246" s="10"/>
    </row>
    <row r="2247">
      <c r="A2247" s="7"/>
      <c r="B2247" s="26">
        <v>185.0</v>
      </c>
      <c r="C2247" s="27">
        <v>2.0</v>
      </c>
      <c r="D2247" s="8" t="s">
        <v>3023</v>
      </c>
      <c r="E2247" s="7">
        <v>2.0</v>
      </c>
      <c r="F2247" s="7" t="s">
        <v>320</v>
      </c>
      <c r="G2247" s="7" t="s">
        <v>313</v>
      </c>
      <c r="H2247" s="7" t="s">
        <v>312</v>
      </c>
      <c r="I2247" s="10"/>
      <c r="J2247" s="9" t="s">
        <v>3024</v>
      </c>
      <c r="K2247" s="20" t="s">
        <v>2764</v>
      </c>
      <c r="L2247" s="12"/>
      <c r="M2247" s="10"/>
      <c r="N2247" s="10"/>
      <c r="O2247" s="10"/>
      <c r="P2247" s="10"/>
      <c r="Q2247" s="10"/>
      <c r="R2247" s="10"/>
      <c r="S2247" s="10"/>
      <c r="T2247" s="10"/>
      <c r="U2247" s="10"/>
      <c r="V2247" s="10"/>
      <c r="W2247" s="10"/>
      <c r="X2247" s="10"/>
      <c r="Y2247" s="10"/>
      <c r="Z2247" s="10"/>
      <c r="AA2247" s="10"/>
      <c r="AB2247" s="10"/>
      <c r="AC2247" s="10"/>
      <c r="AD2247" s="10"/>
      <c r="AE2247" s="10"/>
      <c r="AF2247" s="10"/>
    </row>
    <row r="2248">
      <c r="A2248" s="7"/>
      <c r="B2248" s="26">
        <v>185.0</v>
      </c>
      <c r="C2248" s="27">
        <v>3.0</v>
      </c>
      <c r="D2248" s="8" t="s">
        <v>3025</v>
      </c>
      <c r="E2248" s="7">
        <v>2.0</v>
      </c>
      <c r="F2248" s="7" t="s">
        <v>320</v>
      </c>
      <c r="G2248" s="7" t="s">
        <v>313</v>
      </c>
      <c r="H2248" s="7" t="s">
        <v>312</v>
      </c>
      <c r="I2248" s="10"/>
      <c r="J2248" s="11"/>
      <c r="K2248" s="20" t="s">
        <v>2764</v>
      </c>
      <c r="L2248" s="12"/>
      <c r="M2248" s="10"/>
      <c r="N2248" s="10"/>
      <c r="O2248" s="10"/>
      <c r="P2248" s="10"/>
      <c r="Q2248" s="10"/>
      <c r="R2248" s="10"/>
      <c r="S2248" s="10"/>
      <c r="T2248" s="10"/>
      <c r="U2248" s="10"/>
      <c r="V2248" s="10"/>
      <c r="W2248" s="10"/>
      <c r="X2248" s="10"/>
      <c r="Y2248" s="10"/>
      <c r="Z2248" s="10"/>
      <c r="AA2248" s="10"/>
      <c r="AB2248" s="10"/>
      <c r="AC2248" s="10"/>
      <c r="AD2248" s="10"/>
      <c r="AE2248" s="10"/>
      <c r="AF2248" s="10"/>
    </row>
    <row r="2249">
      <c r="A2249" s="21" t="s">
        <v>186</v>
      </c>
      <c r="B2249" s="12"/>
      <c r="C2249" s="12"/>
      <c r="D2249" s="12"/>
      <c r="E2249" s="10"/>
      <c r="F2249" s="10"/>
      <c r="G2249" s="10"/>
      <c r="H2249" s="10"/>
      <c r="I2249" s="10"/>
      <c r="J2249" s="11"/>
      <c r="K2249" s="12"/>
      <c r="L2249" s="12"/>
      <c r="M2249" s="10"/>
      <c r="N2249" s="10"/>
      <c r="O2249" s="10"/>
      <c r="P2249" s="10"/>
      <c r="Q2249" s="10"/>
      <c r="R2249" s="10"/>
      <c r="S2249" s="10"/>
      <c r="T2249" s="10"/>
      <c r="U2249" s="10"/>
      <c r="V2249" s="10"/>
      <c r="W2249" s="10"/>
      <c r="X2249" s="10"/>
      <c r="Y2249" s="10"/>
      <c r="Z2249" s="10"/>
      <c r="AA2249" s="10"/>
      <c r="AB2249" s="10"/>
      <c r="AC2249" s="10"/>
      <c r="AD2249" s="10"/>
      <c r="AE2249" s="10"/>
      <c r="AF2249" s="10"/>
    </row>
    <row r="2250">
      <c r="A2250" s="7"/>
      <c r="B2250" s="8">
        <v>186.0</v>
      </c>
      <c r="C2250" s="8">
        <v>1.0</v>
      </c>
      <c r="D2250" s="8" t="s">
        <v>3026</v>
      </c>
      <c r="E2250" s="7">
        <v>2.0</v>
      </c>
      <c r="F2250" s="7" t="s">
        <v>320</v>
      </c>
      <c r="G2250" s="7" t="s">
        <v>313</v>
      </c>
      <c r="H2250" s="7" t="s">
        <v>312</v>
      </c>
      <c r="I2250" s="10"/>
      <c r="J2250" s="9" t="s">
        <v>3027</v>
      </c>
      <c r="K2250" s="20" t="s">
        <v>2898</v>
      </c>
      <c r="L2250" s="12"/>
      <c r="M2250" s="10"/>
      <c r="N2250" s="10"/>
      <c r="O2250" s="10"/>
      <c r="P2250" s="10"/>
      <c r="Q2250" s="10"/>
      <c r="R2250" s="10"/>
      <c r="S2250" s="10"/>
      <c r="T2250" s="10"/>
      <c r="U2250" s="10"/>
      <c r="V2250" s="10"/>
      <c r="W2250" s="10"/>
      <c r="X2250" s="10"/>
      <c r="Y2250" s="10"/>
      <c r="Z2250" s="10"/>
      <c r="AA2250" s="10"/>
      <c r="AB2250" s="10"/>
      <c r="AC2250" s="10"/>
      <c r="AD2250" s="10"/>
      <c r="AE2250" s="10"/>
      <c r="AF2250" s="10"/>
    </row>
    <row r="2251">
      <c r="A2251" s="21" t="s">
        <v>187</v>
      </c>
      <c r="B2251" s="12"/>
      <c r="C2251" s="12"/>
      <c r="D2251" s="12"/>
      <c r="E2251" s="10"/>
      <c r="F2251" s="10"/>
      <c r="G2251" s="10"/>
      <c r="H2251" s="10"/>
      <c r="I2251" s="10"/>
      <c r="J2251" s="11"/>
      <c r="K2251" s="12"/>
      <c r="L2251" s="12"/>
      <c r="M2251" s="10"/>
      <c r="N2251" s="10"/>
      <c r="O2251" s="10"/>
      <c r="P2251" s="10"/>
      <c r="Q2251" s="10"/>
      <c r="R2251" s="10"/>
      <c r="S2251" s="10"/>
      <c r="T2251" s="10"/>
      <c r="U2251" s="10"/>
      <c r="V2251" s="10"/>
      <c r="W2251" s="10"/>
      <c r="X2251" s="10"/>
      <c r="Y2251" s="10"/>
      <c r="Z2251" s="10"/>
      <c r="AA2251" s="10"/>
      <c r="AB2251" s="10"/>
      <c r="AC2251" s="10"/>
      <c r="AD2251" s="10"/>
      <c r="AE2251" s="10"/>
      <c r="AF2251" s="10"/>
    </row>
    <row r="2252">
      <c r="A2252" s="7"/>
      <c r="B2252" s="8">
        <v>187.0</v>
      </c>
      <c r="C2252" s="8">
        <v>1.0</v>
      </c>
      <c r="D2252" s="8" t="s">
        <v>3028</v>
      </c>
      <c r="E2252" s="7">
        <v>2.0</v>
      </c>
      <c r="F2252" s="7" t="s">
        <v>320</v>
      </c>
      <c r="G2252" s="7" t="s">
        <v>313</v>
      </c>
      <c r="H2252" s="7" t="s">
        <v>312</v>
      </c>
      <c r="I2252" s="7" t="s">
        <v>366</v>
      </c>
      <c r="J2252" s="9" t="s">
        <v>3029</v>
      </c>
      <c r="K2252" s="12"/>
      <c r="L2252" s="12"/>
      <c r="M2252" s="10"/>
      <c r="N2252" s="10"/>
      <c r="O2252" s="10"/>
      <c r="P2252" s="10"/>
      <c r="Q2252" s="10"/>
      <c r="R2252" s="10"/>
      <c r="S2252" s="10"/>
      <c r="T2252" s="10"/>
      <c r="U2252" s="10"/>
      <c r="V2252" s="10"/>
      <c r="W2252" s="10"/>
      <c r="X2252" s="10"/>
      <c r="Y2252" s="10"/>
      <c r="Z2252" s="10"/>
      <c r="AA2252" s="10"/>
      <c r="AB2252" s="10"/>
      <c r="AC2252" s="10"/>
      <c r="AD2252" s="10"/>
      <c r="AE2252" s="10"/>
      <c r="AF2252" s="10"/>
    </row>
    <row r="2253">
      <c r="A2253" s="21" t="s">
        <v>188</v>
      </c>
      <c r="B2253" s="12"/>
      <c r="C2253" s="12"/>
      <c r="D2253" s="12"/>
      <c r="E2253" s="10"/>
      <c r="F2253" s="10"/>
      <c r="G2253" s="10"/>
      <c r="H2253" s="10"/>
      <c r="I2253" s="10"/>
      <c r="J2253" s="11"/>
      <c r="K2253" s="12"/>
      <c r="L2253" s="12"/>
      <c r="M2253" s="10"/>
      <c r="N2253" s="10"/>
      <c r="O2253" s="10"/>
      <c r="P2253" s="10"/>
      <c r="Q2253" s="10"/>
      <c r="R2253" s="10"/>
      <c r="S2253" s="10"/>
      <c r="T2253" s="10"/>
      <c r="U2253" s="10"/>
      <c r="V2253" s="10"/>
      <c r="W2253" s="10"/>
      <c r="X2253" s="10"/>
      <c r="Y2253" s="10"/>
      <c r="Z2253" s="10"/>
      <c r="AA2253" s="10"/>
      <c r="AB2253" s="10"/>
      <c r="AC2253" s="10"/>
      <c r="AD2253" s="10"/>
      <c r="AE2253" s="10"/>
      <c r="AF2253" s="10"/>
    </row>
    <row r="2254">
      <c r="A2254" s="7"/>
      <c r="B2254" s="8">
        <v>188.0</v>
      </c>
      <c r="C2254" s="8">
        <v>1.0</v>
      </c>
      <c r="D2254" s="8" t="s">
        <v>3030</v>
      </c>
      <c r="E2254" s="7">
        <v>0.0</v>
      </c>
      <c r="F2254" s="7"/>
      <c r="G2254" s="7" t="s">
        <v>313</v>
      </c>
      <c r="H2254" s="7" t="s">
        <v>312</v>
      </c>
      <c r="I2254" s="10"/>
      <c r="J2254" s="11"/>
      <c r="K2254" s="12"/>
      <c r="L2254" s="12"/>
      <c r="M2254" s="10"/>
      <c r="N2254" s="10"/>
      <c r="O2254" s="10"/>
      <c r="P2254" s="10"/>
      <c r="Q2254" s="10"/>
      <c r="R2254" s="10"/>
      <c r="S2254" s="10"/>
      <c r="T2254" s="10"/>
      <c r="U2254" s="10"/>
      <c r="V2254" s="10"/>
      <c r="W2254" s="10"/>
      <c r="X2254" s="10"/>
      <c r="Y2254" s="10"/>
      <c r="Z2254" s="10"/>
      <c r="AA2254" s="10"/>
      <c r="AB2254" s="10"/>
      <c r="AC2254" s="10"/>
      <c r="AD2254" s="10"/>
      <c r="AE2254" s="10"/>
      <c r="AF2254" s="10"/>
    </row>
    <row r="2255">
      <c r="A2255" s="21" t="s">
        <v>189</v>
      </c>
      <c r="B2255" s="12"/>
      <c r="C2255" s="12"/>
      <c r="D2255" s="12"/>
      <c r="E2255" s="10"/>
      <c r="F2255" s="10"/>
      <c r="G2255" s="10"/>
      <c r="H2255" s="10"/>
      <c r="I2255" s="10"/>
      <c r="J2255" s="11"/>
      <c r="K2255" s="12"/>
      <c r="L2255" s="12"/>
      <c r="M2255" s="10"/>
      <c r="N2255" s="10"/>
      <c r="O2255" s="10"/>
      <c r="P2255" s="10"/>
      <c r="Q2255" s="10"/>
      <c r="R2255" s="10"/>
      <c r="S2255" s="10"/>
      <c r="T2255" s="10"/>
      <c r="U2255" s="10"/>
      <c r="V2255" s="10"/>
      <c r="W2255" s="10"/>
      <c r="X2255" s="10"/>
      <c r="Y2255" s="10"/>
      <c r="Z2255" s="10"/>
      <c r="AA2255" s="10"/>
      <c r="AB2255" s="10"/>
      <c r="AC2255" s="10"/>
      <c r="AD2255" s="10"/>
      <c r="AE2255" s="10"/>
      <c r="AF2255" s="10"/>
    </row>
    <row r="2256">
      <c r="A2256" s="7"/>
      <c r="B2256" s="26">
        <v>189.0</v>
      </c>
      <c r="C2256" s="27">
        <v>1.0</v>
      </c>
      <c r="D2256" s="8" t="s">
        <v>3031</v>
      </c>
      <c r="E2256" s="7">
        <v>0.0</v>
      </c>
      <c r="F2256" s="7"/>
      <c r="G2256" s="7" t="s">
        <v>313</v>
      </c>
      <c r="H2256" s="7" t="s">
        <v>312</v>
      </c>
      <c r="I2256" s="10"/>
      <c r="J2256" s="9" t="s">
        <v>3032</v>
      </c>
      <c r="K2256" s="12"/>
      <c r="L2256" s="12"/>
      <c r="M2256" s="10"/>
      <c r="N2256" s="10"/>
      <c r="O2256" s="10"/>
      <c r="P2256" s="10"/>
      <c r="Q2256" s="10"/>
      <c r="R2256" s="10"/>
      <c r="S2256" s="10"/>
      <c r="T2256" s="10"/>
      <c r="U2256" s="10"/>
      <c r="V2256" s="10"/>
      <c r="W2256" s="10"/>
      <c r="X2256" s="10"/>
      <c r="Y2256" s="10"/>
      <c r="Z2256" s="10"/>
      <c r="AA2256" s="10"/>
      <c r="AB2256" s="10"/>
      <c r="AC2256" s="10"/>
      <c r="AD2256" s="10"/>
      <c r="AE2256" s="10"/>
      <c r="AF2256" s="10"/>
    </row>
    <row r="2257">
      <c r="A2257" s="7"/>
      <c r="B2257" s="26">
        <v>189.0</v>
      </c>
      <c r="C2257" s="27">
        <v>2.0</v>
      </c>
      <c r="D2257" s="8" t="s">
        <v>3033</v>
      </c>
      <c r="E2257" s="7">
        <v>0.0</v>
      </c>
      <c r="F2257" s="7"/>
      <c r="G2257" s="7" t="s">
        <v>313</v>
      </c>
      <c r="H2257" s="7" t="s">
        <v>312</v>
      </c>
      <c r="I2257" s="10"/>
      <c r="J2257" s="11"/>
      <c r="K2257" s="12"/>
      <c r="L2257" s="12"/>
      <c r="M2257" s="10"/>
      <c r="N2257" s="10"/>
      <c r="O2257" s="10"/>
      <c r="P2257" s="10"/>
      <c r="Q2257" s="10"/>
      <c r="R2257" s="10"/>
      <c r="S2257" s="10"/>
      <c r="T2257" s="10"/>
      <c r="U2257" s="10"/>
      <c r="V2257" s="10"/>
      <c r="W2257" s="10"/>
      <c r="X2257" s="10"/>
      <c r="Y2257" s="10"/>
      <c r="Z2257" s="10"/>
      <c r="AA2257" s="10"/>
      <c r="AB2257" s="10"/>
      <c r="AC2257" s="10"/>
      <c r="AD2257" s="10"/>
      <c r="AE2257" s="10"/>
      <c r="AF2257" s="10"/>
    </row>
    <row r="2258">
      <c r="A2258" s="7"/>
      <c r="B2258" s="26">
        <v>189.0</v>
      </c>
      <c r="C2258" s="27">
        <v>3.0</v>
      </c>
      <c r="D2258" s="8" t="s">
        <v>3034</v>
      </c>
      <c r="E2258" s="7">
        <v>0.0</v>
      </c>
      <c r="F2258" s="7"/>
      <c r="G2258" s="7" t="s">
        <v>313</v>
      </c>
      <c r="H2258" s="7" t="s">
        <v>312</v>
      </c>
      <c r="I2258" s="10"/>
      <c r="J2258" s="11"/>
      <c r="K2258" s="12"/>
      <c r="L2258" s="12"/>
      <c r="M2258" s="10"/>
      <c r="N2258" s="10"/>
      <c r="O2258" s="10"/>
      <c r="P2258" s="10"/>
      <c r="Q2258" s="10"/>
      <c r="R2258" s="10"/>
      <c r="S2258" s="10"/>
      <c r="T2258" s="10"/>
      <c r="U2258" s="10"/>
      <c r="V2258" s="10"/>
      <c r="W2258" s="10"/>
      <c r="X2258" s="10"/>
      <c r="Y2258" s="10"/>
      <c r="Z2258" s="10"/>
      <c r="AA2258" s="10"/>
      <c r="AB2258" s="10"/>
      <c r="AC2258" s="10"/>
      <c r="AD2258" s="10"/>
      <c r="AE2258" s="10"/>
      <c r="AF2258" s="10"/>
    </row>
    <row r="2259">
      <c r="A2259" s="7"/>
      <c r="B2259" s="26">
        <v>189.0</v>
      </c>
      <c r="C2259" s="27">
        <v>4.0</v>
      </c>
      <c r="D2259" s="8" t="s">
        <v>3035</v>
      </c>
      <c r="E2259" s="7">
        <v>0.0</v>
      </c>
      <c r="F2259" s="7"/>
      <c r="G2259" s="7" t="s">
        <v>313</v>
      </c>
      <c r="H2259" s="7" t="s">
        <v>312</v>
      </c>
      <c r="I2259" s="10"/>
      <c r="J2259" s="11"/>
      <c r="K2259" s="12"/>
      <c r="L2259" s="14" t="s">
        <v>3036</v>
      </c>
      <c r="M2259" s="10"/>
      <c r="N2259" s="10"/>
      <c r="O2259" s="10"/>
      <c r="P2259" s="10"/>
      <c r="Q2259" s="10"/>
      <c r="R2259" s="10"/>
      <c r="S2259" s="10"/>
      <c r="T2259" s="10"/>
      <c r="U2259" s="10"/>
      <c r="V2259" s="10"/>
      <c r="W2259" s="10"/>
      <c r="X2259" s="10"/>
      <c r="Y2259" s="10"/>
      <c r="Z2259" s="10"/>
      <c r="AA2259" s="10"/>
      <c r="AB2259" s="10"/>
      <c r="AC2259" s="10"/>
      <c r="AD2259" s="10"/>
      <c r="AE2259" s="10"/>
      <c r="AF2259" s="10"/>
    </row>
    <row r="2260">
      <c r="A2260" s="7"/>
      <c r="B2260" s="26">
        <v>189.0</v>
      </c>
      <c r="C2260" s="27">
        <v>5.0</v>
      </c>
      <c r="D2260" s="8" t="s">
        <v>3037</v>
      </c>
      <c r="E2260" s="7">
        <v>2.0</v>
      </c>
      <c r="F2260" s="7" t="s">
        <v>320</v>
      </c>
      <c r="G2260" s="7" t="s">
        <v>313</v>
      </c>
      <c r="H2260" s="7" t="s">
        <v>312</v>
      </c>
      <c r="I2260" s="10"/>
      <c r="J2260" s="9" t="s">
        <v>850</v>
      </c>
      <c r="K2260" s="8" t="s">
        <v>851</v>
      </c>
      <c r="L2260" s="12"/>
      <c r="M2260" s="10"/>
      <c r="N2260" s="10"/>
      <c r="O2260" s="10"/>
      <c r="P2260" s="10"/>
      <c r="Q2260" s="10"/>
      <c r="R2260" s="10"/>
      <c r="S2260" s="10"/>
      <c r="T2260" s="10"/>
      <c r="U2260" s="10"/>
      <c r="V2260" s="10"/>
      <c r="W2260" s="10"/>
      <c r="X2260" s="10"/>
      <c r="Y2260" s="10"/>
      <c r="Z2260" s="10"/>
      <c r="AA2260" s="10"/>
      <c r="AB2260" s="10"/>
      <c r="AC2260" s="10"/>
      <c r="AD2260" s="10"/>
      <c r="AE2260" s="10"/>
      <c r="AF2260" s="10"/>
    </row>
    <row r="2261">
      <c r="A2261" s="7"/>
      <c r="B2261" s="26">
        <v>189.0</v>
      </c>
      <c r="C2261" s="27">
        <v>6.0</v>
      </c>
      <c r="D2261" s="8" t="s">
        <v>3038</v>
      </c>
      <c r="E2261" s="7">
        <v>0.0</v>
      </c>
      <c r="F2261" s="7"/>
      <c r="G2261" s="7" t="s">
        <v>313</v>
      </c>
      <c r="H2261" s="7" t="s">
        <v>312</v>
      </c>
      <c r="I2261" s="10"/>
      <c r="J2261" s="11"/>
      <c r="K2261" s="12"/>
      <c r="L2261" s="12"/>
      <c r="M2261" s="10"/>
      <c r="N2261" s="10"/>
      <c r="O2261" s="10"/>
      <c r="P2261" s="10"/>
      <c r="Q2261" s="10"/>
      <c r="R2261" s="10"/>
      <c r="S2261" s="10"/>
      <c r="T2261" s="10"/>
      <c r="U2261" s="10"/>
      <c r="V2261" s="10"/>
      <c r="W2261" s="10"/>
      <c r="X2261" s="10"/>
      <c r="Y2261" s="10"/>
      <c r="Z2261" s="10"/>
      <c r="AA2261" s="10"/>
      <c r="AB2261" s="10"/>
      <c r="AC2261" s="10"/>
      <c r="AD2261" s="10"/>
      <c r="AE2261" s="10"/>
      <c r="AF2261" s="10"/>
    </row>
    <row r="2262">
      <c r="A2262" s="7"/>
      <c r="B2262" s="26">
        <v>189.0</v>
      </c>
      <c r="C2262" s="27">
        <v>7.0</v>
      </c>
      <c r="D2262" s="8" t="s">
        <v>3039</v>
      </c>
      <c r="E2262" s="7">
        <v>0.0</v>
      </c>
      <c r="F2262" s="7"/>
      <c r="G2262" s="7" t="s">
        <v>313</v>
      </c>
      <c r="H2262" s="7" t="s">
        <v>312</v>
      </c>
      <c r="I2262" s="10"/>
      <c r="J2262" s="11"/>
      <c r="K2262" s="12"/>
      <c r="L2262" s="12"/>
      <c r="M2262" s="10"/>
      <c r="N2262" s="10"/>
      <c r="O2262" s="10"/>
      <c r="P2262" s="10"/>
      <c r="Q2262" s="10"/>
      <c r="R2262" s="10"/>
      <c r="S2262" s="10"/>
      <c r="T2262" s="10"/>
      <c r="U2262" s="10"/>
      <c r="V2262" s="10"/>
      <c r="W2262" s="10"/>
      <c r="X2262" s="10"/>
      <c r="Y2262" s="10"/>
      <c r="Z2262" s="10"/>
      <c r="AA2262" s="10"/>
      <c r="AB2262" s="10"/>
      <c r="AC2262" s="10"/>
      <c r="AD2262" s="10"/>
      <c r="AE2262" s="10"/>
      <c r="AF2262" s="10"/>
    </row>
    <row r="2263">
      <c r="A2263" s="7"/>
      <c r="B2263" s="26">
        <v>189.0</v>
      </c>
      <c r="C2263" s="27">
        <v>8.0</v>
      </c>
      <c r="D2263" s="8" t="s">
        <v>3040</v>
      </c>
      <c r="E2263" s="7">
        <v>0.0</v>
      </c>
      <c r="F2263" s="7"/>
      <c r="G2263" s="7" t="s">
        <v>313</v>
      </c>
      <c r="H2263" s="7" t="s">
        <v>312</v>
      </c>
      <c r="I2263" s="10"/>
      <c r="J2263" s="11"/>
      <c r="K2263" s="12"/>
      <c r="L2263" s="12"/>
      <c r="M2263" s="10"/>
      <c r="N2263" s="10"/>
      <c r="O2263" s="10"/>
      <c r="P2263" s="10"/>
      <c r="Q2263" s="10"/>
      <c r="R2263" s="10"/>
      <c r="S2263" s="10"/>
      <c r="T2263" s="10"/>
      <c r="U2263" s="10"/>
      <c r="V2263" s="10"/>
      <c r="W2263" s="10"/>
      <c r="X2263" s="10"/>
      <c r="Y2263" s="10"/>
      <c r="Z2263" s="10"/>
      <c r="AA2263" s="10"/>
      <c r="AB2263" s="10"/>
      <c r="AC2263" s="10"/>
      <c r="AD2263" s="10"/>
      <c r="AE2263" s="10"/>
      <c r="AF2263" s="10"/>
    </row>
    <row r="2264">
      <c r="A2264" s="7"/>
      <c r="B2264" s="26">
        <v>189.0</v>
      </c>
      <c r="C2264" s="27">
        <v>9.0</v>
      </c>
      <c r="D2264" s="8" t="s">
        <v>3041</v>
      </c>
      <c r="E2264" s="7">
        <v>2.0</v>
      </c>
      <c r="F2264" s="7" t="s">
        <v>320</v>
      </c>
      <c r="G2264" s="7" t="s">
        <v>313</v>
      </c>
      <c r="H2264" s="7" t="s">
        <v>312</v>
      </c>
      <c r="I2264" s="10"/>
      <c r="J2264" s="9" t="s">
        <v>850</v>
      </c>
      <c r="K2264" s="8" t="s">
        <v>851</v>
      </c>
      <c r="L2264" s="14" t="s">
        <v>3036</v>
      </c>
      <c r="M2264" s="10"/>
      <c r="N2264" s="10"/>
      <c r="O2264" s="10"/>
      <c r="P2264" s="10"/>
      <c r="Q2264" s="10"/>
      <c r="R2264" s="10"/>
      <c r="S2264" s="10"/>
      <c r="T2264" s="10"/>
      <c r="U2264" s="10"/>
      <c r="V2264" s="10"/>
      <c r="W2264" s="10"/>
      <c r="X2264" s="10"/>
      <c r="Y2264" s="10"/>
      <c r="Z2264" s="10"/>
      <c r="AA2264" s="10"/>
      <c r="AB2264" s="10"/>
      <c r="AC2264" s="10"/>
      <c r="AD2264" s="10"/>
      <c r="AE2264" s="10"/>
      <c r="AF2264" s="10"/>
    </row>
    <row r="2265">
      <c r="A2265" s="7"/>
      <c r="B2265" s="26">
        <v>189.0</v>
      </c>
      <c r="C2265" s="27">
        <v>10.0</v>
      </c>
      <c r="D2265" s="8" t="s">
        <v>3042</v>
      </c>
      <c r="E2265" s="7">
        <v>0.0</v>
      </c>
      <c r="F2265" s="7"/>
      <c r="G2265" s="7" t="s">
        <v>313</v>
      </c>
      <c r="H2265" s="7" t="s">
        <v>312</v>
      </c>
      <c r="I2265" s="10"/>
      <c r="J2265" s="11"/>
      <c r="K2265" s="12"/>
      <c r="L2265" s="12"/>
      <c r="M2265" s="10"/>
      <c r="N2265" s="10"/>
      <c r="O2265" s="10"/>
      <c r="P2265" s="10"/>
      <c r="Q2265" s="10"/>
      <c r="R2265" s="10"/>
      <c r="S2265" s="10"/>
      <c r="T2265" s="10"/>
      <c r="U2265" s="10"/>
      <c r="V2265" s="10"/>
      <c r="W2265" s="10"/>
      <c r="X2265" s="10"/>
      <c r="Y2265" s="10"/>
      <c r="Z2265" s="10"/>
      <c r="AA2265" s="10"/>
      <c r="AB2265" s="10"/>
      <c r="AC2265" s="10"/>
      <c r="AD2265" s="10"/>
      <c r="AE2265" s="10"/>
      <c r="AF2265" s="10"/>
    </row>
    <row r="2266">
      <c r="A2266" s="7"/>
      <c r="B2266" s="26">
        <v>189.0</v>
      </c>
      <c r="C2266" s="27">
        <v>11.0</v>
      </c>
      <c r="D2266" s="8" t="s">
        <v>3043</v>
      </c>
      <c r="E2266" s="7">
        <v>0.0</v>
      </c>
      <c r="F2266" s="7"/>
      <c r="G2266" s="7" t="s">
        <v>313</v>
      </c>
      <c r="H2266" s="7" t="s">
        <v>312</v>
      </c>
      <c r="I2266" s="10"/>
      <c r="J2266" s="11"/>
      <c r="K2266" s="12"/>
      <c r="L2266" s="12"/>
      <c r="M2266" s="10"/>
      <c r="N2266" s="10"/>
      <c r="O2266" s="10"/>
      <c r="P2266" s="10"/>
      <c r="Q2266" s="10"/>
      <c r="R2266" s="10"/>
      <c r="S2266" s="10"/>
      <c r="T2266" s="10"/>
      <c r="U2266" s="10"/>
      <c r="V2266" s="10"/>
      <c r="W2266" s="10"/>
      <c r="X2266" s="10"/>
      <c r="Y2266" s="10"/>
      <c r="Z2266" s="10"/>
      <c r="AA2266" s="10"/>
      <c r="AB2266" s="10"/>
      <c r="AC2266" s="10"/>
      <c r="AD2266" s="10"/>
      <c r="AE2266" s="10"/>
      <c r="AF2266" s="10"/>
    </row>
    <row r="2267">
      <c r="A2267" s="7"/>
      <c r="B2267" s="26">
        <v>189.0</v>
      </c>
      <c r="C2267" s="27">
        <v>12.0</v>
      </c>
      <c r="D2267" s="8" t="s">
        <v>3044</v>
      </c>
      <c r="E2267" s="7">
        <v>0.0</v>
      </c>
      <c r="F2267" s="7"/>
      <c r="G2267" s="7" t="s">
        <v>313</v>
      </c>
      <c r="H2267" s="7" t="s">
        <v>312</v>
      </c>
      <c r="I2267" s="10"/>
      <c r="J2267" s="11"/>
      <c r="K2267" s="12"/>
      <c r="L2267" s="12"/>
      <c r="M2267" s="10"/>
      <c r="N2267" s="10"/>
      <c r="O2267" s="10"/>
      <c r="P2267" s="10"/>
      <c r="Q2267" s="10"/>
      <c r="R2267" s="10"/>
      <c r="S2267" s="10"/>
      <c r="T2267" s="10"/>
      <c r="U2267" s="10"/>
      <c r="V2267" s="10"/>
      <c r="W2267" s="10"/>
      <c r="X2267" s="10"/>
      <c r="Y2267" s="10"/>
      <c r="Z2267" s="10"/>
      <c r="AA2267" s="10"/>
      <c r="AB2267" s="10"/>
      <c r="AC2267" s="10"/>
      <c r="AD2267" s="10"/>
      <c r="AE2267" s="10"/>
      <c r="AF2267" s="10"/>
    </row>
    <row r="2268">
      <c r="A2268" s="7"/>
      <c r="B2268" s="26">
        <v>189.0</v>
      </c>
      <c r="C2268" s="27">
        <v>13.0</v>
      </c>
      <c r="D2268" s="8" t="s">
        <v>3045</v>
      </c>
      <c r="E2268" s="7">
        <v>0.0</v>
      </c>
      <c r="F2268" s="7"/>
      <c r="G2268" s="7" t="s">
        <v>313</v>
      </c>
      <c r="H2268" s="7" t="s">
        <v>312</v>
      </c>
      <c r="I2268" s="10"/>
      <c r="J2268" s="11"/>
      <c r="K2268" s="12"/>
      <c r="L2268" s="14" t="s">
        <v>3036</v>
      </c>
      <c r="M2268" s="10"/>
      <c r="N2268" s="10"/>
      <c r="O2268" s="10"/>
      <c r="P2268" s="10"/>
      <c r="Q2268" s="10"/>
      <c r="R2268" s="10"/>
      <c r="S2268" s="10"/>
      <c r="T2268" s="10"/>
      <c r="U2268" s="10"/>
      <c r="V2268" s="10"/>
      <c r="W2268" s="10"/>
      <c r="X2268" s="10"/>
      <c r="Y2268" s="10"/>
      <c r="Z2268" s="10"/>
      <c r="AA2268" s="10"/>
      <c r="AB2268" s="10"/>
      <c r="AC2268" s="10"/>
      <c r="AD2268" s="10"/>
      <c r="AE2268" s="10"/>
      <c r="AF2268" s="10"/>
    </row>
    <row r="2269">
      <c r="A2269" s="7"/>
      <c r="B2269" s="26">
        <v>189.0</v>
      </c>
      <c r="C2269" s="27">
        <v>14.0</v>
      </c>
      <c r="D2269" s="8" t="s">
        <v>3046</v>
      </c>
      <c r="E2269" s="7">
        <v>2.0</v>
      </c>
      <c r="F2269" s="7" t="s">
        <v>320</v>
      </c>
      <c r="G2269" s="7" t="s">
        <v>313</v>
      </c>
      <c r="H2269" s="7" t="s">
        <v>312</v>
      </c>
      <c r="I2269" s="10"/>
      <c r="J2269" s="9" t="s">
        <v>850</v>
      </c>
      <c r="K2269" s="8" t="s">
        <v>851</v>
      </c>
      <c r="L2269" s="12"/>
      <c r="M2269" s="10"/>
      <c r="N2269" s="10"/>
      <c r="O2269" s="10"/>
      <c r="P2269" s="10"/>
      <c r="Q2269" s="10"/>
      <c r="R2269" s="10"/>
      <c r="S2269" s="10"/>
      <c r="T2269" s="10"/>
      <c r="U2269" s="10"/>
      <c r="V2269" s="10"/>
      <c r="W2269" s="10"/>
      <c r="X2269" s="10"/>
      <c r="Y2269" s="10"/>
      <c r="Z2269" s="10"/>
      <c r="AA2269" s="10"/>
      <c r="AB2269" s="10"/>
      <c r="AC2269" s="10"/>
      <c r="AD2269" s="10"/>
      <c r="AE2269" s="10"/>
      <c r="AF2269" s="10"/>
    </row>
    <row r="2270">
      <c r="A2270" s="7"/>
      <c r="B2270" s="26">
        <v>189.0</v>
      </c>
      <c r="C2270" s="27">
        <v>15.0</v>
      </c>
      <c r="D2270" s="8" t="s">
        <v>3047</v>
      </c>
      <c r="E2270" s="7">
        <v>0.0</v>
      </c>
      <c r="F2270" s="7"/>
      <c r="G2270" s="7" t="s">
        <v>313</v>
      </c>
      <c r="H2270" s="7" t="s">
        <v>312</v>
      </c>
      <c r="I2270" s="10"/>
      <c r="J2270" s="11"/>
      <c r="K2270" s="12"/>
      <c r="L2270" s="14" t="s">
        <v>3036</v>
      </c>
      <c r="M2270" s="10"/>
      <c r="N2270" s="10"/>
      <c r="O2270" s="10"/>
      <c r="P2270" s="10"/>
      <c r="Q2270" s="10"/>
      <c r="R2270" s="10"/>
      <c r="S2270" s="10"/>
      <c r="T2270" s="10"/>
      <c r="U2270" s="10"/>
      <c r="V2270" s="10"/>
      <c r="W2270" s="10"/>
      <c r="X2270" s="10"/>
      <c r="Y2270" s="10"/>
      <c r="Z2270" s="10"/>
      <c r="AA2270" s="10"/>
      <c r="AB2270" s="10"/>
      <c r="AC2270" s="10"/>
      <c r="AD2270" s="10"/>
      <c r="AE2270" s="10"/>
      <c r="AF2270" s="10"/>
    </row>
    <row r="2271">
      <c r="A2271" s="21" t="s">
        <v>190</v>
      </c>
      <c r="B2271" s="12"/>
      <c r="C2271" s="12"/>
      <c r="D2271" s="12"/>
      <c r="E2271" s="10"/>
      <c r="F2271" s="10"/>
      <c r="G2271" s="10"/>
      <c r="H2271" s="10"/>
      <c r="I2271" s="10"/>
      <c r="J2271" s="11"/>
      <c r="K2271" s="12"/>
      <c r="L2271" s="12"/>
      <c r="M2271" s="10"/>
      <c r="N2271" s="10"/>
      <c r="O2271" s="10"/>
      <c r="P2271" s="10"/>
      <c r="Q2271" s="10"/>
      <c r="R2271" s="10"/>
      <c r="S2271" s="10"/>
      <c r="T2271" s="10"/>
      <c r="U2271" s="10"/>
      <c r="V2271" s="10"/>
      <c r="W2271" s="10"/>
      <c r="X2271" s="10"/>
      <c r="Y2271" s="10"/>
      <c r="Z2271" s="10"/>
      <c r="AA2271" s="10"/>
      <c r="AB2271" s="10"/>
      <c r="AC2271" s="10"/>
      <c r="AD2271" s="10"/>
      <c r="AE2271" s="10"/>
      <c r="AF2271" s="10"/>
    </row>
    <row r="2272">
      <c r="A2272" s="7"/>
      <c r="B2272" s="26">
        <v>190.0</v>
      </c>
      <c r="C2272" s="27">
        <v>1.0</v>
      </c>
      <c r="D2272" s="8" t="s">
        <v>3048</v>
      </c>
      <c r="E2272" s="7">
        <v>2.0</v>
      </c>
      <c r="F2272" s="7" t="s">
        <v>320</v>
      </c>
      <c r="G2272" s="7" t="s">
        <v>313</v>
      </c>
      <c r="H2272" s="7" t="s">
        <v>312</v>
      </c>
      <c r="I2272" s="7" t="s">
        <v>366</v>
      </c>
      <c r="J2272" s="9" t="s">
        <v>3049</v>
      </c>
      <c r="K2272" s="8" t="s">
        <v>3050</v>
      </c>
      <c r="L2272" s="14" t="s">
        <v>3051</v>
      </c>
      <c r="M2272" s="10"/>
      <c r="N2272" s="10"/>
      <c r="O2272" s="10"/>
      <c r="P2272" s="10"/>
      <c r="Q2272" s="10"/>
      <c r="R2272" s="10"/>
      <c r="S2272" s="10"/>
      <c r="T2272" s="10"/>
      <c r="U2272" s="10"/>
      <c r="V2272" s="10"/>
      <c r="W2272" s="10"/>
      <c r="X2272" s="10"/>
      <c r="Y2272" s="10"/>
      <c r="Z2272" s="10"/>
      <c r="AA2272" s="10"/>
      <c r="AB2272" s="10"/>
      <c r="AC2272" s="10"/>
      <c r="AD2272" s="10"/>
      <c r="AE2272" s="10"/>
      <c r="AF2272" s="10"/>
    </row>
    <row r="2273">
      <c r="A2273" s="7"/>
      <c r="B2273" s="26">
        <v>190.0</v>
      </c>
      <c r="C2273" s="27">
        <v>2.0</v>
      </c>
      <c r="D2273" s="8" t="s">
        <v>3052</v>
      </c>
      <c r="E2273" s="7">
        <v>2.0</v>
      </c>
      <c r="F2273" s="7" t="s">
        <v>320</v>
      </c>
      <c r="G2273" s="7" t="s">
        <v>313</v>
      </c>
      <c r="H2273" s="7" t="s">
        <v>312</v>
      </c>
      <c r="I2273" s="10"/>
      <c r="J2273" s="9" t="s">
        <v>850</v>
      </c>
      <c r="K2273" s="8" t="s">
        <v>851</v>
      </c>
      <c r="L2273" s="14"/>
      <c r="M2273" s="10"/>
      <c r="N2273" s="10"/>
      <c r="O2273" s="10"/>
      <c r="P2273" s="10"/>
      <c r="Q2273" s="10"/>
      <c r="R2273" s="10"/>
      <c r="S2273" s="10"/>
      <c r="T2273" s="10"/>
      <c r="U2273" s="10"/>
      <c r="V2273" s="10"/>
      <c r="W2273" s="10"/>
      <c r="X2273" s="10"/>
      <c r="Y2273" s="10"/>
      <c r="Z2273" s="10"/>
      <c r="AA2273" s="10"/>
      <c r="AB2273" s="10"/>
      <c r="AC2273" s="10"/>
      <c r="AD2273" s="10"/>
      <c r="AE2273" s="10"/>
      <c r="AF2273" s="10"/>
    </row>
    <row r="2274">
      <c r="A2274" s="7"/>
      <c r="B2274" s="26">
        <v>190.0</v>
      </c>
      <c r="C2274" s="27">
        <v>3.0</v>
      </c>
      <c r="D2274" s="8" t="s">
        <v>3053</v>
      </c>
      <c r="E2274" s="7">
        <v>2.0</v>
      </c>
      <c r="F2274" s="7" t="s">
        <v>320</v>
      </c>
      <c r="G2274" s="7" t="s">
        <v>313</v>
      </c>
      <c r="H2274" s="7" t="s">
        <v>312</v>
      </c>
      <c r="I2274" s="10"/>
      <c r="J2274" s="9" t="s">
        <v>850</v>
      </c>
      <c r="K2274" s="8" t="s">
        <v>851</v>
      </c>
      <c r="L2274" s="12"/>
      <c r="M2274" s="10"/>
      <c r="N2274" s="10"/>
      <c r="O2274" s="10"/>
      <c r="P2274" s="10"/>
      <c r="Q2274" s="10"/>
      <c r="R2274" s="10"/>
      <c r="S2274" s="10"/>
      <c r="T2274" s="10"/>
      <c r="U2274" s="10"/>
      <c r="V2274" s="10"/>
      <c r="W2274" s="10"/>
      <c r="X2274" s="10"/>
      <c r="Y2274" s="10"/>
      <c r="Z2274" s="10"/>
      <c r="AA2274" s="10"/>
      <c r="AB2274" s="10"/>
      <c r="AC2274" s="10"/>
      <c r="AD2274" s="10"/>
      <c r="AE2274" s="10"/>
      <c r="AF2274" s="10"/>
    </row>
    <row r="2275">
      <c r="A2275" s="21" t="s">
        <v>191</v>
      </c>
      <c r="B2275" s="12"/>
      <c r="C2275" s="12"/>
      <c r="D2275" s="12"/>
      <c r="E2275" s="10"/>
      <c r="F2275" s="10"/>
      <c r="G2275" s="10"/>
      <c r="H2275" s="10"/>
      <c r="I2275" s="10"/>
      <c r="J2275" s="11"/>
      <c r="K2275" s="12"/>
      <c r="L2275" s="12"/>
      <c r="M2275" s="10"/>
      <c r="N2275" s="10"/>
      <c r="O2275" s="10"/>
      <c r="P2275" s="10"/>
      <c r="Q2275" s="10"/>
      <c r="R2275" s="10"/>
      <c r="S2275" s="10"/>
      <c r="T2275" s="10"/>
      <c r="U2275" s="10"/>
      <c r="V2275" s="10"/>
      <c r="W2275" s="10"/>
      <c r="X2275" s="10"/>
      <c r="Y2275" s="10"/>
      <c r="Z2275" s="10"/>
      <c r="AA2275" s="10"/>
      <c r="AB2275" s="10"/>
      <c r="AC2275" s="10"/>
      <c r="AD2275" s="10"/>
      <c r="AE2275" s="10"/>
      <c r="AF2275" s="10"/>
    </row>
    <row r="2276">
      <c r="A2276" s="7"/>
      <c r="B2276" s="26">
        <v>191.0</v>
      </c>
      <c r="C2276" s="27">
        <v>1.0</v>
      </c>
      <c r="D2276" s="8" t="s">
        <v>3054</v>
      </c>
      <c r="E2276" s="7">
        <v>2.0</v>
      </c>
      <c r="F2276" s="7" t="s">
        <v>320</v>
      </c>
      <c r="G2276" s="7" t="s">
        <v>313</v>
      </c>
      <c r="H2276" s="7" t="s">
        <v>312</v>
      </c>
      <c r="I2276" s="10"/>
      <c r="J2276" s="9" t="s">
        <v>3055</v>
      </c>
      <c r="K2276" s="8" t="s">
        <v>851</v>
      </c>
      <c r="L2276" s="12"/>
      <c r="M2276" s="10"/>
      <c r="N2276" s="10"/>
      <c r="O2276" s="10"/>
      <c r="P2276" s="10"/>
      <c r="Q2276" s="10"/>
      <c r="R2276" s="10"/>
      <c r="S2276" s="10"/>
      <c r="T2276" s="10"/>
      <c r="U2276" s="10"/>
      <c r="V2276" s="10"/>
      <c r="W2276" s="10"/>
      <c r="X2276" s="10"/>
      <c r="Y2276" s="10"/>
      <c r="Z2276" s="10"/>
      <c r="AA2276" s="10"/>
      <c r="AB2276" s="10"/>
      <c r="AC2276" s="10"/>
      <c r="AD2276" s="10"/>
      <c r="AE2276" s="10"/>
      <c r="AF2276" s="10"/>
    </row>
    <row r="2277">
      <c r="A2277" s="7"/>
      <c r="B2277" s="26">
        <v>191.0</v>
      </c>
      <c r="C2277" s="27">
        <v>2.0</v>
      </c>
      <c r="D2277" s="8" t="s">
        <v>3056</v>
      </c>
      <c r="E2277" s="7">
        <v>2.0</v>
      </c>
      <c r="F2277" s="7" t="s">
        <v>320</v>
      </c>
      <c r="G2277" s="7" t="s">
        <v>313</v>
      </c>
      <c r="H2277" s="7" t="s">
        <v>312</v>
      </c>
      <c r="I2277" s="10"/>
      <c r="J2277" s="9" t="s">
        <v>850</v>
      </c>
      <c r="K2277" s="8" t="s">
        <v>851</v>
      </c>
      <c r="L2277" s="12"/>
      <c r="M2277" s="10"/>
      <c r="N2277" s="10"/>
      <c r="O2277" s="10"/>
      <c r="P2277" s="10"/>
      <c r="Q2277" s="10"/>
      <c r="R2277" s="10"/>
      <c r="S2277" s="10"/>
      <c r="T2277" s="10"/>
      <c r="U2277" s="10"/>
      <c r="V2277" s="10"/>
      <c r="W2277" s="10"/>
      <c r="X2277" s="10"/>
      <c r="Y2277" s="10"/>
      <c r="Z2277" s="10"/>
      <c r="AA2277" s="10"/>
      <c r="AB2277" s="10"/>
      <c r="AC2277" s="10"/>
      <c r="AD2277" s="10"/>
      <c r="AE2277" s="10"/>
      <c r="AF2277" s="10"/>
    </row>
    <row r="2278">
      <c r="A2278" s="7"/>
      <c r="B2278" s="26">
        <v>191.0</v>
      </c>
      <c r="C2278" s="27">
        <v>3.0</v>
      </c>
      <c r="D2278" s="8" t="s">
        <v>3057</v>
      </c>
      <c r="E2278" s="7">
        <v>0.0</v>
      </c>
      <c r="F2278" s="7"/>
      <c r="G2278" s="7" t="s">
        <v>313</v>
      </c>
      <c r="H2278" s="7" t="s">
        <v>312</v>
      </c>
      <c r="I2278" s="10"/>
      <c r="J2278" s="11"/>
      <c r="K2278" s="20" t="s">
        <v>3058</v>
      </c>
      <c r="M2278" s="10"/>
      <c r="N2278" s="10"/>
      <c r="O2278" s="10"/>
      <c r="P2278" s="10"/>
      <c r="Q2278" s="10"/>
      <c r="R2278" s="10"/>
      <c r="S2278" s="10"/>
      <c r="T2278" s="10"/>
      <c r="U2278" s="10"/>
      <c r="V2278" s="10"/>
      <c r="W2278" s="10"/>
      <c r="X2278" s="10"/>
      <c r="Y2278" s="10"/>
      <c r="Z2278" s="10"/>
      <c r="AA2278" s="10"/>
      <c r="AB2278" s="10"/>
      <c r="AC2278" s="10"/>
      <c r="AD2278" s="10"/>
      <c r="AE2278" s="10"/>
      <c r="AF2278" s="10"/>
    </row>
    <row r="2279">
      <c r="A2279" s="7"/>
      <c r="B2279" s="26">
        <v>191.0</v>
      </c>
      <c r="C2279" s="27">
        <v>4.0</v>
      </c>
      <c r="D2279" s="8" t="s">
        <v>3059</v>
      </c>
      <c r="E2279" s="7">
        <v>0.0</v>
      </c>
      <c r="F2279" s="7"/>
      <c r="G2279" s="7" t="s">
        <v>313</v>
      </c>
      <c r="H2279" s="7" t="s">
        <v>312</v>
      </c>
      <c r="I2279" s="7" t="s">
        <v>366</v>
      </c>
      <c r="J2279" s="16" t="s">
        <v>3060</v>
      </c>
      <c r="K2279" s="20" t="s">
        <v>2898</v>
      </c>
      <c r="L2279" s="12"/>
      <c r="M2279" s="10"/>
      <c r="N2279" s="10"/>
      <c r="O2279" s="10"/>
      <c r="P2279" s="10"/>
      <c r="Q2279" s="10"/>
      <c r="R2279" s="10"/>
      <c r="S2279" s="10"/>
      <c r="T2279" s="10"/>
      <c r="U2279" s="10"/>
      <c r="V2279" s="10"/>
      <c r="W2279" s="10"/>
      <c r="X2279" s="10"/>
      <c r="Y2279" s="10"/>
      <c r="Z2279" s="10"/>
      <c r="AA2279" s="10"/>
      <c r="AB2279" s="10"/>
      <c r="AC2279" s="10"/>
      <c r="AD2279" s="10"/>
      <c r="AE2279" s="10"/>
      <c r="AF2279" s="10"/>
    </row>
    <row r="2280">
      <c r="A2280" s="7"/>
      <c r="B2280" s="26">
        <v>191.0</v>
      </c>
      <c r="C2280" s="27">
        <v>5.0</v>
      </c>
      <c r="D2280" s="8" t="s">
        <v>3061</v>
      </c>
      <c r="E2280" s="7">
        <v>0.0</v>
      </c>
      <c r="F2280" s="7"/>
      <c r="G2280" s="7" t="s">
        <v>313</v>
      </c>
      <c r="H2280" s="7" t="s">
        <v>312</v>
      </c>
      <c r="I2280" s="10"/>
      <c r="J2280" s="11"/>
      <c r="K2280" s="20" t="s">
        <v>3062</v>
      </c>
      <c r="L2280" s="12"/>
      <c r="M2280" s="10"/>
      <c r="N2280" s="10"/>
      <c r="O2280" s="10"/>
      <c r="P2280" s="10"/>
      <c r="Q2280" s="10"/>
      <c r="R2280" s="10"/>
      <c r="S2280" s="10"/>
      <c r="T2280" s="10"/>
      <c r="U2280" s="10"/>
      <c r="V2280" s="10"/>
      <c r="W2280" s="10"/>
      <c r="X2280" s="10"/>
      <c r="Y2280" s="10"/>
      <c r="Z2280" s="10"/>
      <c r="AA2280" s="10"/>
      <c r="AB2280" s="10"/>
      <c r="AC2280" s="10"/>
      <c r="AD2280" s="10"/>
      <c r="AE2280" s="10"/>
      <c r="AF2280" s="10"/>
    </row>
    <row r="2281">
      <c r="A2281" s="7"/>
      <c r="B2281" s="26">
        <v>191.0</v>
      </c>
      <c r="C2281" s="27">
        <v>6.0</v>
      </c>
      <c r="D2281" s="8" t="s">
        <v>3063</v>
      </c>
      <c r="E2281" s="7">
        <v>0.0</v>
      </c>
      <c r="F2281" s="7"/>
      <c r="G2281" s="7" t="s">
        <v>313</v>
      </c>
      <c r="H2281" s="7" t="s">
        <v>312</v>
      </c>
      <c r="I2281" s="10"/>
      <c r="J2281" s="11"/>
      <c r="K2281" s="20" t="s">
        <v>3064</v>
      </c>
      <c r="L2281" s="12"/>
      <c r="M2281" s="10"/>
      <c r="N2281" s="10"/>
      <c r="O2281" s="10"/>
      <c r="P2281" s="10"/>
      <c r="Q2281" s="10"/>
      <c r="R2281" s="10"/>
      <c r="S2281" s="10"/>
      <c r="T2281" s="10"/>
      <c r="U2281" s="10"/>
      <c r="V2281" s="10"/>
      <c r="W2281" s="10"/>
      <c r="X2281" s="10"/>
      <c r="Y2281" s="10"/>
      <c r="Z2281" s="10"/>
      <c r="AA2281" s="10"/>
      <c r="AB2281" s="10"/>
      <c r="AC2281" s="10"/>
      <c r="AD2281" s="10"/>
      <c r="AE2281" s="10"/>
      <c r="AF2281" s="10"/>
    </row>
    <row r="2282">
      <c r="A2282" s="21" t="s">
        <v>192</v>
      </c>
      <c r="B2282" s="12"/>
      <c r="C2282" s="12"/>
      <c r="D2282" s="12"/>
      <c r="E2282" s="10"/>
      <c r="F2282" s="10"/>
      <c r="G2282" s="10"/>
      <c r="H2282" s="10"/>
      <c r="I2282" s="10"/>
      <c r="J2282" s="11"/>
      <c r="K2282" s="12"/>
      <c r="L2282" s="12"/>
      <c r="M2282" s="10"/>
      <c r="N2282" s="10"/>
      <c r="O2282" s="10"/>
      <c r="P2282" s="10"/>
      <c r="Q2282" s="10"/>
      <c r="R2282" s="10"/>
      <c r="S2282" s="10"/>
      <c r="T2282" s="10"/>
      <c r="U2282" s="10"/>
      <c r="V2282" s="10"/>
      <c r="W2282" s="10"/>
      <c r="X2282" s="10"/>
      <c r="Y2282" s="10"/>
      <c r="Z2282" s="10"/>
      <c r="AA2282" s="10"/>
      <c r="AB2282" s="10"/>
      <c r="AC2282" s="10"/>
      <c r="AD2282" s="10"/>
      <c r="AE2282" s="10"/>
      <c r="AF2282" s="10"/>
    </row>
    <row r="2283">
      <c r="A2283" s="7"/>
      <c r="B2283" s="26">
        <v>192.0</v>
      </c>
      <c r="C2283" s="27">
        <v>1.0</v>
      </c>
      <c r="D2283" s="8" t="s">
        <v>3065</v>
      </c>
      <c r="E2283" s="7">
        <v>2.0</v>
      </c>
      <c r="F2283" s="7" t="s">
        <v>320</v>
      </c>
      <c r="G2283" s="7" t="s">
        <v>313</v>
      </c>
      <c r="H2283" s="7" t="s">
        <v>312</v>
      </c>
      <c r="I2283" s="10"/>
      <c r="J2283" s="9" t="s">
        <v>850</v>
      </c>
      <c r="K2283" s="8" t="s">
        <v>851</v>
      </c>
      <c r="L2283" s="12"/>
      <c r="M2283" s="10"/>
      <c r="N2283" s="10"/>
      <c r="O2283" s="10"/>
      <c r="P2283" s="10"/>
      <c r="Q2283" s="10"/>
      <c r="R2283" s="10"/>
      <c r="S2283" s="10"/>
      <c r="T2283" s="10"/>
      <c r="U2283" s="10"/>
      <c r="V2283" s="10"/>
      <c r="W2283" s="10"/>
      <c r="X2283" s="10"/>
      <c r="Y2283" s="10"/>
      <c r="Z2283" s="10"/>
      <c r="AA2283" s="10"/>
      <c r="AB2283" s="10"/>
      <c r="AC2283" s="10"/>
      <c r="AD2283" s="10"/>
      <c r="AE2283" s="10"/>
      <c r="AF2283" s="10"/>
    </row>
    <row r="2284">
      <c r="A2284" s="7"/>
      <c r="B2284" s="26">
        <v>192.0</v>
      </c>
      <c r="C2284" s="27">
        <v>2.0</v>
      </c>
      <c r="D2284" s="8" t="s">
        <v>3066</v>
      </c>
      <c r="E2284" s="7">
        <v>0.0</v>
      </c>
      <c r="F2284" s="7"/>
      <c r="G2284" s="7" t="s">
        <v>313</v>
      </c>
      <c r="H2284" s="7" t="s">
        <v>312</v>
      </c>
      <c r="I2284" s="10"/>
      <c r="J2284" s="9"/>
      <c r="K2284" s="12"/>
      <c r="L2284" s="12"/>
      <c r="M2284" s="10"/>
      <c r="N2284" s="10"/>
      <c r="O2284" s="10"/>
      <c r="P2284" s="10"/>
      <c r="Q2284" s="10"/>
      <c r="R2284" s="10"/>
      <c r="S2284" s="10"/>
      <c r="T2284" s="10"/>
      <c r="U2284" s="10"/>
      <c r="V2284" s="10"/>
      <c r="W2284" s="10"/>
      <c r="X2284" s="10"/>
      <c r="Y2284" s="10"/>
      <c r="Z2284" s="10"/>
      <c r="AA2284" s="10"/>
      <c r="AB2284" s="10"/>
      <c r="AC2284" s="10"/>
      <c r="AD2284" s="10"/>
      <c r="AE2284" s="10"/>
      <c r="AF2284" s="10"/>
    </row>
    <row r="2285">
      <c r="A2285" s="7"/>
      <c r="B2285" s="26">
        <v>192.0</v>
      </c>
      <c r="C2285" s="27">
        <v>3.0</v>
      </c>
      <c r="D2285" s="8" t="s">
        <v>3067</v>
      </c>
      <c r="E2285" s="7">
        <v>2.0</v>
      </c>
      <c r="F2285" s="7" t="s">
        <v>320</v>
      </c>
      <c r="G2285" s="7" t="s">
        <v>313</v>
      </c>
      <c r="H2285" s="7" t="s">
        <v>312</v>
      </c>
      <c r="I2285" s="10"/>
      <c r="J2285" s="9" t="s">
        <v>850</v>
      </c>
      <c r="K2285" s="8" t="s">
        <v>851</v>
      </c>
      <c r="L2285" s="12"/>
      <c r="M2285" s="10"/>
      <c r="N2285" s="10"/>
      <c r="O2285" s="10"/>
      <c r="P2285" s="10"/>
      <c r="Q2285" s="10"/>
      <c r="R2285" s="10"/>
      <c r="S2285" s="10"/>
      <c r="T2285" s="10"/>
      <c r="U2285" s="10"/>
      <c r="V2285" s="10"/>
      <c r="W2285" s="10"/>
      <c r="X2285" s="10"/>
      <c r="Y2285" s="10"/>
      <c r="Z2285" s="10"/>
      <c r="AA2285" s="10"/>
      <c r="AB2285" s="10"/>
      <c r="AC2285" s="10"/>
      <c r="AD2285" s="10"/>
      <c r="AE2285" s="10"/>
      <c r="AF2285" s="10"/>
    </row>
    <row r="2286">
      <c r="A2286" s="7"/>
      <c r="B2286" s="26">
        <v>192.0</v>
      </c>
      <c r="C2286" s="27">
        <v>4.0</v>
      </c>
      <c r="D2286" s="8" t="s">
        <v>3068</v>
      </c>
      <c r="E2286" s="7">
        <v>0.0</v>
      </c>
      <c r="F2286" s="7"/>
      <c r="G2286" s="7" t="s">
        <v>313</v>
      </c>
      <c r="H2286" s="7" t="s">
        <v>312</v>
      </c>
      <c r="I2286" s="10"/>
      <c r="J2286" s="11"/>
      <c r="K2286" s="12"/>
      <c r="L2286" s="12"/>
      <c r="M2286" s="10"/>
      <c r="N2286" s="10"/>
      <c r="O2286" s="10"/>
      <c r="P2286" s="10"/>
      <c r="Q2286" s="10"/>
      <c r="R2286" s="10"/>
      <c r="S2286" s="10"/>
      <c r="T2286" s="10"/>
      <c r="U2286" s="10"/>
      <c r="V2286" s="10"/>
      <c r="W2286" s="10"/>
      <c r="X2286" s="10"/>
      <c r="Y2286" s="10"/>
      <c r="Z2286" s="10"/>
      <c r="AA2286" s="10"/>
      <c r="AB2286" s="10"/>
      <c r="AC2286" s="10"/>
      <c r="AD2286" s="10"/>
      <c r="AE2286" s="10"/>
      <c r="AF2286" s="10"/>
    </row>
    <row r="2287">
      <c r="A2287" s="7"/>
      <c r="B2287" s="26">
        <v>192.0</v>
      </c>
      <c r="C2287" s="27">
        <v>5.0</v>
      </c>
      <c r="D2287" s="8" t="s">
        <v>3069</v>
      </c>
      <c r="E2287" s="7">
        <v>2.0</v>
      </c>
      <c r="F2287" s="7" t="s">
        <v>320</v>
      </c>
      <c r="G2287" s="7" t="s">
        <v>313</v>
      </c>
      <c r="H2287" s="7" t="s">
        <v>312</v>
      </c>
      <c r="I2287" s="7" t="s">
        <v>366</v>
      </c>
      <c r="J2287" s="9" t="s">
        <v>3070</v>
      </c>
      <c r="K2287" s="8" t="s">
        <v>851</v>
      </c>
      <c r="L2287" s="12"/>
      <c r="M2287" s="10"/>
      <c r="N2287" s="10"/>
      <c r="O2287" s="10"/>
      <c r="P2287" s="10"/>
      <c r="Q2287" s="10"/>
      <c r="R2287" s="10"/>
      <c r="S2287" s="10"/>
      <c r="T2287" s="10"/>
      <c r="U2287" s="10"/>
      <c r="V2287" s="10"/>
      <c r="W2287" s="10"/>
      <c r="X2287" s="10"/>
      <c r="Y2287" s="10"/>
      <c r="Z2287" s="10"/>
      <c r="AA2287" s="10"/>
      <c r="AB2287" s="10"/>
      <c r="AC2287" s="10"/>
      <c r="AD2287" s="10"/>
      <c r="AE2287" s="10"/>
      <c r="AF2287" s="10"/>
    </row>
    <row r="2288">
      <c r="A2288" s="7"/>
      <c r="B2288" s="26">
        <v>192.0</v>
      </c>
      <c r="C2288" s="27">
        <v>6.0</v>
      </c>
      <c r="D2288" s="8" t="s">
        <v>3071</v>
      </c>
      <c r="E2288" s="7">
        <v>0.0</v>
      </c>
      <c r="F2288" s="7"/>
      <c r="G2288" s="7" t="s">
        <v>313</v>
      </c>
      <c r="H2288" s="7" t="s">
        <v>312</v>
      </c>
      <c r="I2288" s="10"/>
      <c r="J2288" s="11"/>
      <c r="K2288" s="12"/>
      <c r="L2288" s="12"/>
      <c r="M2288" s="10"/>
      <c r="N2288" s="10"/>
      <c r="O2288" s="10"/>
      <c r="P2288" s="10"/>
      <c r="Q2288" s="10"/>
      <c r="R2288" s="10"/>
      <c r="S2288" s="10"/>
      <c r="T2288" s="10"/>
      <c r="U2288" s="10"/>
      <c r="V2288" s="10"/>
      <c r="W2288" s="10"/>
      <c r="X2288" s="10"/>
      <c r="Y2288" s="10"/>
      <c r="Z2288" s="10"/>
      <c r="AA2288" s="10"/>
      <c r="AB2288" s="10"/>
      <c r="AC2288" s="10"/>
      <c r="AD2288" s="10"/>
      <c r="AE2288" s="10"/>
      <c r="AF2288" s="10"/>
    </row>
    <row r="2289">
      <c r="A2289" s="7"/>
      <c r="B2289" s="26">
        <v>192.0</v>
      </c>
      <c r="C2289" s="27">
        <v>7.0</v>
      </c>
      <c r="D2289" s="8" t="s">
        <v>3072</v>
      </c>
      <c r="E2289" s="7">
        <v>2.0</v>
      </c>
      <c r="F2289" s="7" t="s">
        <v>320</v>
      </c>
      <c r="G2289" s="7" t="s">
        <v>313</v>
      </c>
      <c r="H2289" s="7" t="s">
        <v>312</v>
      </c>
      <c r="I2289" s="7" t="s">
        <v>366</v>
      </c>
      <c r="J2289" s="9" t="s">
        <v>3073</v>
      </c>
      <c r="K2289" s="8" t="s">
        <v>851</v>
      </c>
      <c r="L2289" s="12"/>
      <c r="M2289" s="10"/>
      <c r="N2289" s="10"/>
      <c r="O2289" s="10"/>
      <c r="P2289" s="10"/>
      <c r="Q2289" s="10"/>
      <c r="R2289" s="10"/>
      <c r="S2289" s="10"/>
      <c r="T2289" s="10"/>
      <c r="U2289" s="10"/>
      <c r="V2289" s="10"/>
      <c r="W2289" s="10"/>
      <c r="X2289" s="10"/>
      <c r="Y2289" s="10"/>
      <c r="Z2289" s="10"/>
      <c r="AA2289" s="10"/>
      <c r="AB2289" s="10"/>
      <c r="AC2289" s="10"/>
      <c r="AD2289" s="10"/>
      <c r="AE2289" s="10"/>
      <c r="AF2289" s="10"/>
    </row>
    <row r="2290">
      <c r="A2290" s="7"/>
      <c r="B2290" s="26">
        <v>192.0</v>
      </c>
      <c r="C2290" s="27">
        <v>8.0</v>
      </c>
      <c r="D2290" s="8" t="s">
        <v>3074</v>
      </c>
      <c r="E2290" s="7">
        <v>0.0</v>
      </c>
      <c r="F2290" s="7"/>
      <c r="G2290" s="7" t="s">
        <v>313</v>
      </c>
      <c r="H2290" s="7" t="s">
        <v>312</v>
      </c>
      <c r="I2290" s="10"/>
      <c r="J2290" s="11"/>
      <c r="K2290" s="12"/>
      <c r="L2290" s="12"/>
      <c r="M2290" s="10"/>
      <c r="N2290" s="10"/>
      <c r="O2290" s="10"/>
      <c r="P2290" s="10"/>
      <c r="Q2290" s="10"/>
      <c r="R2290" s="10"/>
      <c r="S2290" s="10"/>
      <c r="T2290" s="10"/>
      <c r="U2290" s="10"/>
      <c r="V2290" s="10"/>
      <c r="W2290" s="10"/>
      <c r="X2290" s="10"/>
      <c r="Y2290" s="10"/>
      <c r="Z2290" s="10"/>
      <c r="AA2290" s="10"/>
      <c r="AB2290" s="10"/>
      <c r="AC2290" s="10"/>
      <c r="AD2290" s="10"/>
      <c r="AE2290" s="10"/>
      <c r="AF2290" s="10"/>
    </row>
    <row r="2291">
      <c r="A2291" s="7"/>
      <c r="B2291" s="26">
        <v>192.0</v>
      </c>
      <c r="C2291" s="27">
        <v>9.0</v>
      </c>
      <c r="D2291" s="8" t="s">
        <v>3075</v>
      </c>
      <c r="E2291" s="7">
        <v>0.0</v>
      </c>
      <c r="F2291" s="7"/>
      <c r="G2291" s="7" t="s">
        <v>313</v>
      </c>
      <c r="H2291" s="7" t="s">
        <v>312</v>
      </c>
      <c r="I2291" s="10"/>
      <c r="J2291" s="11"/>
      <c r="K2291" s="12"/>
      <c r="L2291" s="12"/>
      <c r="M2291" s="10"/>
      <c r="N2291" s="10"/>
      <c r="O2291" s="10"/>
      <c r="P2291" s="10"/>
      <c r="Q2291" s="10"/>
      <c r="R2291" s="10"/>
      <c r="S2291" s="10"/>
      <c r="T2291" s="10"/>
      <c r="U2291" s="10"/>
      <c r="V2291" s="10"/>
      <c r="W2291" s="10"/>
      <c r="X2291" s="10"/>
      <c r="Y2291" s="10"/>
      <c r="Z2291" s="10"/>
      <c r="AA2291" s="10"/>
      <c r="AB2291" s="10"/>
      <c r="AC2291" s="10"/>
      <c r="AD2291" s="10"/>
      <c r="AE2291" s="10"/>
      <c r="AF2291" s="10"/>
    </row>
    <row r="2292">
      <c r="A2292" s="7"/>
      <c r="B2292" s="26">
        <v>192.0</v>
      </c>
      <c r="C2292" s="27">
        <v>10.0</v>
      </c>
      <c r="D2292" s="8" t="s">
        <v>3076</v>
      </c>
      <c r="E2292" s="7">
        <v>0.0</v>
      </c>
      <c r="F2292" s="7"/>
      <c r="G2292" s="7" t="s">
        <v>313</v>
      </c>
      <c r="H2292" s="7" t="s">
        <v>312</v>
      </c>
      <c r="I2292" s="10"/>
      <c r="J2292" s="11"/>
      <c r="K2292" s="12"/>
      <c r="L2292" s="12"/>
      <c r="M2292" s="10"/>
      <c r="N2292" s="10"/>
      <c r="O2292" s="10"/>
      <c r="P2292" s="10"/>
      <c r="Q2292" s="10"/>
      <c r="R2292" s="10"/>
      <c r="S2292" s="10"/>
      <c r="T2292" s="10"/>
      <c r="U2292" s="10"/>
      <c r="V2292" s="10"/>
      <c r="W2292" s="10"/>
      <c r="X2292" s="10"/>
      <c r="Y2292" s="10"/>
      <c r="Z2292" s="10"/>
      <c r="AA2292" s="10"/>
      <c r="AB2292" s="10"/>
      <c r="AC2292" s="10"/>
      <c r="AD2292" s="10"/>
      <c r="AE2292" s="10"/>
      <c r="AF2292" s="10"/>
    </row>
    <row r="2293">
      <c r="A2293" s="7"/>
      <c r="B2293" s="26">
        <v>192.0</v>
      </c>
      <c r="C2293" s="27">
        <v>11.0</v>
      </c>
      <c r="D2293" s="8" t="s">
        <v>3077</v>
      </c>
      <c r="E2293" s="7">
        <v>0.0</v>
      </c>
      <c r="F2293" s="7"/>
      <c r="G2293" s="7" t="s">
        <v>313</v>
      </c>
      <c r="H2293" s="7" t="s">
        <v>312</v>
      </c>
      <c r="I2293" s="10"/>
      <c r="J2293" s="11"/>
      <c r="K2293" s="12"/>
      <c r="L2293" s="12"/>
      <c r="M2293" s="10"/>
      <c r="N2293" s="10"/>
      <c r="O2293" s="10"/>
      <c r="P2293" s="10"/>
      <c r="Q2293" s="10"/>
      <c r="R2293" s="10"/>
      <c r="S2293" s="10"/>
      <c r="T2293" s="10"/>
      <c r="U2293" s="10"/>
      <c r="V2293" s="10"/>
      <c r="W2293" s="10"/>
      <c r="X2293" s="10"/>
      <c r="Y2293" s="10"/>
      <c r="Z2293" s="10"/>
      <c r="AA2293" s="10"/>
      <c r="AB2293" s="10"/>
      <c r="AC2293" s="10"/>
      <c r="AD2293" s="10"/>
      <c r="AE2293" s="10"/>
      <c r="AF2293" s="10"/>
    </row>
    <row r="2294">
      <c r="A2294" s="7"/>
      <c r="B2294" s="26">
        <v>192.0</v>
      </c>
      <c r="C2294" s="27">
        <v>12.0</v>
      </c>
      <c r="D2294" s="8" t="s">
        <v>3078</v>
      </c>
      <c r="E2294" s="7">
        <v>2.0</v>
      </c>
      <c r="F2294" s="7" t="s">
        <v>320</v>
      </c>
      <c r="G2294" s="7" t="s">
        <v>313</v>
      </c>
      <c r="H2294" s="7" t="s">
        <v>312</v>
      </c>
      <c r="I2294" s="7" t="s">
        <v>366</v>
      </c>
      <c r="J2294" s="9" t="s">
        <v>3079</v>
      </c>
      <c r="K2294" s="8" t="s">
        <v>851</v>
      </c>
      <c r="L2294" s="12"/>
      <c r="M2294" s="10"/>
      <c r="N2294" s="10"/>
      <c r="O2294" s="10"/>
      <c r="P2294" s="10"/>
      <c r="Q2294" s="10"/>
      <c r="R2294" s="10"/>
      <c r="S2294" s="10"/>
      <c r="T2294" s="10"/>
      <c r="U2294" s="10"/>
      <c r="V2294" s="10"/>
      <c r="W2294" s="10"/>
      <c r="X2294" s="10"/>
      <c r="Y2294" s="10"/>
      <c r="Z2294" s="10"/>
      <c r="AA2294" s="10"/>
      <c r="AB2294" s="10"/>
      <c r="AC2294" s="10"/>
      <c r="AD2294" s="10"/>
      <c r="AE2294" s="10"/>
      <c r="AF2294" s="10"/>
    </row>
    <row r="2295">
      <c r="A2295" s="7"/>
      <c r="B2295" s="26">
        <v>192.0</v>
      </c>
      <c r="C2295" s="27">
        <v>13.0</v>
      </c>
      <c r="D2295" s="8" t="s">
        <v>3080</v>
      </c>
      <c r="E2295" s="7">
        <v>0.0</v>
      </c>
      <c r="F2295" s="7"/>
      <c r="G2295" s="7" t="s">
        <v>313</v>
      </c>
      <c r="H2295" s="7" t="s">
        <v>312</v>
      </c>
      <c r="I2295" s="10"/>
      <c r="J2295" s="11"/>
      <c r="K2295" s="12"/>
      <c r="L2295" s="12"/>
      <c r="M2295" s="10"/>
      <c r="N2295" s="10"/>
      <c r="O2295" s="10"/>
      <c r="P2295" s="10"/>
      <c r="Q2295" s="10"/>
      <c r="R2295" s="10"/>
      <c r="S2295" s="10"/>
      <c r="T2295" s="10"/>
      <c r="U2295" s="10"/>
      <c r="V2295" s="10"/>
      <c r="W2295" s="10"/>
      <c r="X2295" s="10"/>
      <c r="Y2295" s="10"/>
      <c r="Z2295" s="10"/>
      <c r="AA2295" s="10"/>
      <c r="AB2295" s="10"/>
      <c r="AC2295" s="10"/>
      <c r="AD2295" s="10"/>
      <c r="AE2295" s="10"/>
      <c r="AF2295" s="10"/>
    </row>
    <row r="2296">
      <c r="A2296" s="7"/>
      <c r="B2296" s="26">
        <v>192.0</v>
      </c>
      <c r="C2296" s="27">
        <v>14.0</v>
      </c>
      <c r="D2296" s="8" t="s">
        <v>3081</v>
      </c>
      <c r="E2296" s="7">
        <v>0.0</v>
      </c>
      <c r="F2296" s="7"/>
      <c r="G2296" s="7" t="s">
        <v>313</v>
      </c>
      <c r="H2296" s="7" t="s">
        <v>312</v>
      </c>
      <c r="I2296" s="10"/>
      <c r="J2296" s="11"/>
      <c r="K2296" s="12"/>
      <c r="L2296" s="12"/>
      <c r="M2296" s="10"/>
      <c r="N2296" s="10"/>
      <c r="O2296" s="10"/>
      <c r="P2296" s="10"/>
      <c r="Q2296" s="10"/>
      <c r="R2296" s="10"/>
      <c r="S2296" s="10"/>
      <c r="T2296" s="10"/>
      <c r="U2296" s="10"/>
      <c r="V2296" s="10"/>
      <c r="W2296" s="10"/>
      <c r="X2296" s="10"/>
      <c r="Y2296" s="10"/>
      <c r="Z2296" s="10"/>
      <c r="AA2296" s="10"/>
      <c r="AB2296" s="10"/>
      <c r="AC2296" s="10"/>
      <c r="AD2296" s="10"/>
      <c r="AE2296" s="10"/>
      <c r="AF2296" s="10"/>
    </row>
    <row r="2297">
      <c r="A2297" s="7"/>
      <c r="B2297" s="26">
        <v>192.0</v>
      </c>
      <c r="C2297" s="27">
        <v>15.0</v>
      </c>
      <c r="D2297" s="8" t="s">
        <v>3082</v>
      </c>
      <c r="E2297" s="7">
        <v>0.0</v>
      </c>
      <c r="F2297" s="7"/>
      <c r="G2297" s="7" t="s">
        <v>313</v>
      </c>
      <c r="H2297" s="7" t="s">
        <v>312</v>
      </c>
      <c r="I2297" s="10"/>
      <c r="J2297" s="11"/>
      <c r="K2297" s="12"/>
      <c r="L2297" s="12"/>
      <c r="M2297" s="10"/>
      <c r="N2297" s="10"/>
      <c r="O2297" s="10"/>
      <c r="P2297" s="10"/>
      <c r="Q2297" s="10"/>
      <c r="R2297" s="10"/>
      <c r="S2297" s="10"/>
      <c r="T2297" s="10"/>
      <c r="U2297" s="10"/>
      <c r="V2297" s="10"/>
      <c r="W2297" s="10"/>
      <c r="X2297" s="10"/>
      <c r="Y2297" s="10"/>
      <c r="Z2297" s="10"/>
      <c r="AA2297" s="10"/>
      <c r="AB2297" s="10"/>
      <c r="AC2297" s="10"/>
      <c r="AD2297" s="10"/>
      <c r="AE2297" s="10"/>
      <c r="AF2297" s="10"/>
    </row>
    <row r="2298">
      <c r="A2298" s="7"/>
      <c r="B2298" s="26">
        <v>192.0</v>
      </c>
      <c r="C2298" s="27">
        <v>16.0</v>
      </c>
      <c r="D2298" s="8" t="s">
        <v>3083</v>
      </c>
      <c r="E2298" s="7">
        <v>0.0</v>
      </c>
      <c r="F2298" s="7"/>
      <c r="G2298" s="7" t="s">
        <v>313</v>
      </c>
      <c r="H2298" s="7" t="s">
        <v>312</v>
      </c>
      <c r="I2298" s="10"/>
      <c r="J2298" s="11"/>
      <c r="K2298" s="12"/>
      <c r="L2298" s="12"/>
      <c r="M2298" s="10"/>
      <c r="N2298" s="10"/>
      <c r="O2298" s="10"/>
      <c r="P2298" s="10"/>
      <c r="Q2298" s="10"/>
      <c r="R2298" s="10"/>
      <c r="S2298" s="10"/>
      <c r="T2298" s="10"/>
      <c r="U2298" s="10"/>
      <c r="V2298" s="10"/>
      <c r="W2298" s="10"/>
      <c r="X2298" s="10"/>
      <c r="Y2298" s="10"/>
      <c r="Z2298" s="10"/>
      <c r="AA2298" s="10"/>
      <c r="AB2298" s="10"/>
      <c r="AC2298" s="10"/>
      <c r="AD2298" s="10"/>
      <c r="AE2298" s="10"/>
      <c r="AF2298" s="10"/>
    </row>
    <row r="2299">
      <c r="A2299" s="7"/>
      <c r="B2299" s="26">
        <v>192.0</v>
      </c>
      <c r="C2299" s="27">
        <v>17.0</v>
      </c>
      <c r="D2299" s="8" t="s">
        <v>3084</v>
      </c>
      <c r="E2299" s="7">
        <v>0.0</v>
      </c>
      <c r="F2299" s="7"/>
      <c r="G2299" s="7" t="s">
        <v>313</v>
      </c>
      <c r="H2299" s="7" t="s">
        <v>312</v>
      </c>
      <c r="I2299" s="10"/>
      <c r="J2299" s="11"/>
      <c r="K2299" s="12"/>
      <c r="L2299" s="12"/>
      <c r="M2299" s="10"/>
      <c r="N2299" s="10"/>
      <c r="O2299" s="10"/>
      <c r="P2299" s="10"/>
      <c r="Q2299" s="10"/>
      <c r="R2299" s="10"/>
      <c r="S2299" s="10"/>
      <c r="T2299" s="10"/>
      <c r="U2299" s="10"/>
      <c r="V2299" s="10"/>
      <c r="W2299" s="10"/>
      <c r="X2299" s="10"/>
      <c r="Y2299" s="10"/>
      <c r="Z2299" s="10"/>
      <c r="AA2299" s="10"/>
      <c r="AB2299" s="10"/>
      <c r="AC2299" s="10"/>
      <c r="AD2299" s="10"/>
      <c r="AE2299" s="10"/>
      <c r="AF2299" s="10"/>
    </row>
    <row r="2300">
      <c r="A2300" s="7"/>
      <c r="B2300" s="26">
        <v>192.0</v>
      </c>
      <c r="C2300" s="27">
        <v>18.0</v>
      </c>
      <c r="D2300" s="8" t="s">
        <v>3085</v>
      </c>
      <c r="E2300" s="7">
        <v>0.0</v>
      </c>
      <c r="F2300" s="7"/>
      <c r="G2300" s="7" t="s">
        <v>313</v>
      </c>
      <c r="H2300" s="7" t="s">
        <v>312</v>
      </c>
      <c r="I2300" s="10"/>
      <c r="J2300" s="11"/>
      <c r="K2300" s="12"/>
      <c r="L2300" s="12"/>
      <c r="M2300" s="10"/>
      <c r="N2300" s="10"/>
      <c r="O2300" s="10"/>
      <c r="P2300" s="10"/>
      <c r="Q2300" s="10"/>
      <c r="R2300" s="10"/>
      <c r="S2300" s="10"/>
      <c r="T2300" s="10"/>
      <c r="U2300" s="10"/>
      <c r="V2300" s="10"/>
      <c r="W2300" s="10"/>
      <c r="X2300" s="10"/>
      <c r="Y2300" s="10"/>
      <c r="Z2300" s="10"/>
      <c r="AA2300" s="10"/>
      <c r="AB2300" s="10"/>
      <c r="AC2300" s="10"/>
      <c r="AD2300" s="10"/>
      <c r="AE2300" s="10"/>
      <c r="AF2300" s="10"/>
    </row>
    <row r="2301">
      <c r="A2301" s="7"/>
      <c r="B2301" s="26">
        <v>192.0</v>
      </c>
      <c r="C2301" s="27">
        <v>19.0</v>
      </c>
      <c r="D2301" s="8" t="s">
        <v>3086</v>
      </c>
      <c r="E2301" s="7">
        <v>0.0</v>
      </c>
      <c r="F2301" s="7"/>
      <c r="G2301" s="7" t="s">
        <v>313</v>
      </c>
      <c r="H2301" s="7" t="s">
        <v>312</v>
      </c>
      <c r="I2301" s="10"/>
      <c r="J2301" s="11"/>
      <c r="K2301" s="12"/>
      <c r="L2301" s="12"/>
      <c r="M2301" s="10"/>
      <c r="N2301" s="10"/>
      <c r="O2301" s="10"/>
      <c r="P2301" s="10"/>
      <c r="Q2301" s="10"/>
      <c r="R2301" s="10"/>
      <c r="S2301" s="10"/>
      <c r="T2301" s="10"/>
      <c r="U2301" s="10"/>
      <c r="V2301" s="10"/>
      <c r="W2301" s="10"/>
      <c r="X2301" s="10"/>
      <c r="Y2301" s="10"/>
      <c r="Z2301" s="10"/>
      <c r="AA2301" s="10"/>
      <c r="AB2301" s="10"/>
      <c r="AC2301" s="10"/>
      <c r="AD2301" s="10"/>
      <c r="AE2301" s="10"/>
      <c r="AF2301" s="10"/>
    </row>
    <row r="2302">
      <c r="A2302" s="7"/>
      <c r="B2302" s="26">
        <v>192.0</v>
      </c>
      <c r="C2302" s="27">
        <v>20.0</v>
      </c>
      <c r="D2302" s="8" t="s">
        <v>3087</v>
      </c>
      <c r="E2302" s="7">
        <v>0.0</v>
      </c>
      <c r="F2302" s="7"/>
      <c r="G2302" s="7" t="s">
        <v>313</v>
      </c>
      <c r="H2302" s="7" t="s">
        <v>312</v>
      </c>
      <c r="I2302" s="10"/>
      <c r="J2302" s="11"/>
      <c r="K2302" s="12"/>
      <c r="L2302" s="12"/>
      <c r="M2302" s="10"/>
      <c r="N2302" s="10"/>
      <c r="O2302" s="10"/>
      <c r="P2302" s="10"/>
      <c r="Q2302" s="10"/>
      <c r="R2302" s="10"/>
      <c r="S2302" s="10"/>
      <c r="T2302" s="10"/>
      <c r="U2302" s="10"/>
      <c r="V2302" s="10"/>
      <c r="W2302" s="10"/>
      <c r="X2302" s="10"/>
      <c r="Y2302" s="10"/>
      <c r="Z2302" s="10"/>
      <c r="AA2302" s="10"/>
      <c r="AB2302" s="10"/>
      <c r="AC2302" s="10"/>
      <c r="AD2302" s="10"/>
      <c r="AE2302" s="10"/>
      <c r="AF2302" s="10"/>
    </row>
    <row r="2303">
      <c r="A2303" s="7"/>
      <c r="B2303" s="26">
        <v>192.0</v>
      </c>
      <c r="C2303" s="27">
        <v>21.0</v>
      </c>
      <c r="D2303" s="8" t="s">
        <v>3088</v>
      </c>
      <c r="E2303" s="7">
        <v>2.0</v>
      </c>
      <c r="F2303" s="7" t="s">
        <v>320</v>
      </c>
      <c r="G2303" s="7" t="s">
        <v>313</v>
      </c>
      <c r="H2303" s="7" t="s">
        <v>312</v>
      </c>
      <c r="I2303" s="7" t="s">
        <v>366</v>
      </c>
      <c r="J2303" s="9" t="s">
        <v>3089</v>
      </c>
      <c r="K2303" s="8" t="s">
        <v>851</v>
      </c>
      <c r="L2303" s="12"/>
      <c r="M2303" s="10"/>
      <c r="N2303" s="10"/>
      <c r="O2303" s="10"/>
      <c r="P2303" s="10"/>
      <c r="Q2303" s="10"/>
      <c r="R2303" s="10"/>
      <c r="S2303" s="10"/>
      <c r="T2303" s="10"/>
      <c r="U2303" s="10"/>
      <c r="V2303" s="10"/>
      <c r="W2303" s="10"/>
      <c r="X2303" s="10"/>
      <c r="Y2303" s="10"/>
      <c r="Z2303" s="10"/>
      <c r="AA2303" s="10"/>
      <c r="AB2303" s="10"/>
      <c r="AC2303" s="10"/>
      <c r="AD2303" s="10"/>
      <c r="AE2303" s="10"/>
      <c r="AF2303" s="10"/>
    </row>
    <row r="2304">
      <c r="A2304" s="7"/>
      <c r="B2304" s="26">
        <v>192.0</v>
      </c>
      <c r="C2304" s="27">
        <v>22.0</v>
      </c>
      <c r="D2304" s="8" t="s">
        <v>3090</v>
      </c>
      <c r="E2304" s="7">
        <v>0.0</v>
      </c>
      <c r="F2304" s="7"/>
      <c r="G2304" s="7" t="s">
        <v>313</v>
      </c>
      <c r="H2304" s="7" t="s">
        <v>312</v>
      </c>
      <c r="I2304" s="10"/>
      <c r="J2304" s="11"/>
      <c r="K2304" s="12"/>
      <c r="L2304" s="12"/>
      <c r="M2304" s="10"/>
      <c r="N2304" s="10"/>
      <c r="O2304" s="10"/>
      <c r="P2304" s="10"/>
      <c r="Q2304" s="10"/>
      <c r="R2304" s="10"/>
      <c r="S2304" s="10"/>
      <c r="T2304" s="10"/>
      <c r="U2304" s="10"/>
      <c r="V2304" s="10"/>
      <c r="W2304" s="10"/>
      <c r="X2304" s="10"/>
      <c r="Y2304" s="10"/>
      <c r="Z2304" s="10"/>
      <c r="AA2304" s="10"/>
      <c r="AB2304" s="10"/>
      <c r="AC2304" s="10"/>
      <c r="AD2304" s="10"/>
      <c r="AE2304" s="10"/>
      <c r="AF2304" s="10"/>
    </row>
    <row r="2305">
      <c r="A2305" s="7"/>
      <c r="B2305" s="26">
        <v>192.0</v>
      </c>
      <c r="C2305" s="27">
        <v>23.0</v>
      </c>
      <c r="D2305" s="8" t="s">
        <v>3091</v>
      </c>
      <c r="E2305" s="7">
        <v>0.0</v>
      </c>
      <c r="F2305" s="7"/>
      <c r="G2305" s="7" t="s">
        <v>313</v>
      </c>
      <c r="H2305" s="7" t="s">
        <v>312</v>
      </c>
      <c r="I2305" s="10"/>
      <c r="J2305" s="11"/>
      <c r="K2305" s="12"/>
      <c r="L2305" s="12"/>
      <c r="M2305" s="10"/>
      <c r="N2305" s="10"/>
      <c r="O2305" s="10"/>
      <c r="P2305" s="10"/>
      <c r="Q2305" s="10"/>
      <c r="R2305" s="10"/>
      <c r="S2305" s="10"/>
      <c r="T2305" s="10"/>
      <c r="U2305" s="10"/>
      <c r="V2305" s="10"/>
      <c r="W2305" s="10"/>
      <c r="X2305" s="10"/>
      <c r="Y2305" s="10"/>
      <c r="Z2305" s="10"/>
      <c r="AA2305" s="10"/>
      <c r="AB2305" s="10"/>
      <c r="AC2305" s="10"/>
      <c r="AD2305" s="10"/>
      <c r="AE2305" s="10"/>
      <c r="AF2305" s="10"/>
    </row>
    <row r="2306">
      <c r="A2306" s="7"/>
      <c r="B2306" s="26">
        <v>192.0</v>
      </c>
      <c r="C2306" s="27">
        <v>24.0</v>
      </c>
      <c r="D2306" s="8" t="s">
        <v>3092</v>
      </c>
      <c r="E2306" s="7">
        <v>0.0</v>
      </c>
      <c r="F2306" s="7"/>
      <c r="G2306" s="7" t="s">
        <v>313</v>
      </c>
      <c r="H2306" s="7" t="s">
        <v>312</v>
      </c>
      <c r="I2306" s="10"/>
      <c r="J2306" s="11"/>
      <c r="K2306" s="12"/>
      <c r="L2306" s="12"/>
      <c r="M2306" s="10"/>
      <c r="N2306" s="10"/>
      <c r="O2306" s="10"/>
      <c r="P2306" s="10"/>
      <c r="Q2306" s="10"/>
      <c r="R2306" s="10"/>
      <c r="S2306" s="10"/>
      <c r="T2306" s="10"/>
      <c r="U2306" s="10"/>
      <c r="V2306" s="10"/>
      <c r="W2306" s="10"/>
      <c r="X2306" s="10"/>
      <c r="Y2306" s="10"/>
      <c r="Z2306" s="10"/>
      <c r="AA2306" s="10"/>
      <c r="AB2306" s="10"/>
      <c r="AC2306" s="10"/>
      <c r="AD2306" s="10"/>
      <c r="AE2306" s="10"/>
      <c r="AF2306" s="10"/>
    </row>
    <row r="2307">
      <c r="A2307" s="7"/>
      <c r="B2307" s="26">
        <v>192.0</v>
      </c>
      <c r="C2307" s="27">
        <v>25.0</v>
      </c>
      <c r="D2307" s="8" t="s">
        <v>3093</v>
      </c>
      <c r="E2307" s="7">
        <v>0.0</v>
      </c>
      <c r="F2307" s="7"/>
      <c r="G2307" s="7" t="s">
        <v>313</v>
      </c>
      <c r="H2307" s="7" t="s">
        <v>312</v>
      </c>
      <c r="I2307" s="10"/>
      <c r="J2307" s="11"/>
      <c r="K2307" s="12"/>
      <c r="L2307" s="12"/>
      <c r="M2307" s="10"/>
      <c r="N2307" s="10"/>
      <c r="O2307" s="10"/>
      <c r="P2307" s="10"/>
      <c r="Q2307" s="10"/>
      <c r="R2307" s="10"/>
      <c r="S2307" s="10"/>
      <c r="T2307" s="10"/>
      <c r="U2307" s="10"/>
      <c r="V2307" s="10"/>
      <c r="W2307" s="10"/>
      <c r="X2307" s="10"/>
      <c r="Y2307" s="10"/>
      <c r="Z2307" s="10"/>
      <c r="AA2307" s="10"/>
      <c r="AB2307" s="10"/>
      <c r="AC2307" s="10"/>
      <c r="AD2307" s="10"/>
      <c r="AE2307" s="10"/>
      <c r="AF2307" s="10"/>
    </row>
    <row r="2308">
      <c r="A2308" s="7"/>
      <c r="B2308" s="26">
        <v>192.0</v>
      </c>
      <c r="C2308" s="27">
        <v>26.0</v>
      </c>
      <c r="D2308" s="8" t="s">
        <v>3094</v>
      </c>
      <c r="E2308" s="7">
        <v>2.0</v>
      </c>
      <c r="F2308" s="7" t="s">
        <v>320</v>
      </c>
      <c r="G2308" s="7" t="s">
        <v>313</v>
      </c>
      <c r="H2308" s="7" t="s">
        <v>312</v>
      </c>
      <c r="I2308" s="7" t="s">
        <v>366</v>
      </c>
      <c r="J2308" s="9" t="s">
        <v>3095</v>
      </c>
      <c r="K2308" s="8" t="s">
        <v>851</v>
      </c>
      <c r="L2308" s="12"/>
      <c r="M2308" s="10"/>
      <c r="N2308" s="10"/>
      <c r="O2308" s="10"/>
      <c r="P2308" s="10"/>
      <c r="Q2308" s="10"/>
      <c r="R2308" s="10"/>
      <c r="S2308" s="10"/>
      <c r="T2308" s="10"/>
      <c r="U2308" s="10"/>
      <c r="V2308" s="10"/>
      <c r="W2308" s="10"/>
      <c r="X2308" s="10"/>
      <c r="Y2308" s="10"/>
      <c r="Z2308" s="10"/>
      <c r="AA2308" s="10"/>
      <c r="AB2308" s="10"/>
      <c r="AC2308" s="10"/>
      <c r="AD2308" s="10"/>
      <c r="AE2308" s="10"/>
      <c r="AF2308" s="10"/>
    </row>
    <row r="2309">
      <c r="A2309" s="7"/>
      <c r="B2309" s="26">
        <v>192.0</v>
      </c>
      <c r="C2309" s="27">
        <v>27.0</v>
      </c>
      <c r="D2309" s="8" t="s">
        <v>3096</v>
      </c>
      <c r="E2309" s="7">
        <v>0.0</v>
      </c>
      <c r="F2309" s="7"/>
      <c r="G2309" s="7" t="s">
        <v>313</v>
      </c>
      <c r="H2309" s="7" t="s">
        <v>312</v>
      </c>
      <c r="I2309" s="10"/>
      <c r="J2309" s="11"/>
      <c r="K2309" s="12"/>
      <c r="L2309" s="12"/>
      <c r="M2309" s="10"/>
      <c r="N2309" s="10"/>
      <c r="O2309" s="10"/>
      <c r="P2309" s="10"/>
      <c r="Q2309" s="10"/>
      <c r="R2309" s="10"/>
      <c r="S2309" s="10"/>
      <c r="T2309" s="10"/>
      <c r="U2309" s="10"/>
      <c r="V2309" s="10"/>
      <c r="W2309" s="10"/>
      <c r="X2309" s="10"/>
      <c r="Y2309" s="10"/>
      <c r="Z2309" s="10"/>
      <c r="AA2309" s="10"/>
      <c r="AB2309" s="10"/>
      <c r="AC2309" s="10"/>
      <c r="AD2309" s="10"/>
      <c r="AE2309" s="10"/>
      <c r="AF2309" s="10"/>
    </row>
    <row r="2310">
      <c r="A2310" s="7"/>
      <c r="B2310" s="26">
        <v>192.0</v>
      </c>
      <c r="C2310" s="27">
        <v>28.0</v>
      </c>
      <c r="D2310" s="8" t="s">
        <v>3097</v>
      </c>
      <c r="E2310" s="7">
        <v>2.0</v>
      </c>
      <c r="F2310" s="7" t="s">
        <v>320</v>
      </c>
      <c r="G2310" s="7" t="s">
        <v>313</v>
      </c>
      <c r="H2310" s="7" t="s">
        <v>312</v>
      </c>
      <c r="I2310" s="10"/>
      <c r="J2310" s="9" t="s">
        <v>850</v>
      </c>
      <c r="K2310" s="8" t="s">
        <v>851</v>
      </c>
      <c r="L2310" s="12"/>
      <c r="M2310" s="10"/>
      <c r="N2310" s="10"/>
      <c r="O2310" s="10"/>
      <c r="P2310" s="10"/>
      <c r="Q2310" s="10"/>
      <c r="R2310" s="10"/>
      <c r="S2310" s="10"/>
      <c r="T2310" s="10"/>
      <c r="U2310" s="10"/>
      <c r="V2310" s="10"/>
      <c r="W2310" s="10"/>
      <c r="X2310" s="10"/>
      <c r="Y2310" s="10"/>
      <c r="Z2310" s="10"/>
      <c r="AA2310" s="10"/>
      <c r="AB2310" s="10"/>
      <c r="AC2310" s="10"/>
      <c r="AD2310" s="10"/>
      <c r="AE2310" s="10"/>
      <c r="AF2310" s="10"/>
    </row>
    <row r="2311">
      <c r="A2311" s="21" t="s">
        <v>193</v>
      </c>
      <c r="B2311" s="12"/>
      <c r="C2311" s="12"/>
      <c r="D2311" s="12"/>
      <c r="E2311" s="10"/>
      <c r="F2311" s="10"/>
      <c r="G2311" s="10"/>
      <c r="H2311" s="10"/>
      <c r="I2311" s="10"/>
      <c r="J2311" s="11"/>
      <c r="K2311" s="12"/>
      <c r="L2311" s="12"/>
      <c r="M2311" s="10"/>
      <c r="N2311" s="10"/>
      <c r="O2311" s="10"/>
      <c r="P2311" s="10"/>
      <c r="Q2311" s="10"/>
      <c r="R2311" s="10"/>
      <c r="S2311" s="10"/>
      <c r="T2311" s="10"/>
      <c r="U2311" s="10"/>
      <c r="V2311" s="10"/>
      <c r="W2311" s="10"/>
      <c r="X2311" s="10"/>
      <c r="Y2311" s="10"/>
      <c r="Z2311" s="10"/>
      <c r="AA2311" s="10"/>
      <c r="AB2311" s="10"/>
      <c r="AC2311" s="10"/>
      <c r="AD2311" s="10"/>
      <c r="AE2311" s="10"/>
      <c r="AF2311" s="10"/>
    </row>
    <row r="2312">
      <c r="A2312" s="7"/>
      <c r="B2312" s="26">
        <v>193.0</v>
      </c>
      <c r="C2312" s="27">
        <v>1.0</v>
      </c>
      <c r="D2312" s="8" t="s">
        <v>3098</v>
      </c>
      <c r="E2312" s="7">
        <v>0.0</v>
      </c>
      <c r="F2312" s="7"/>
      <c r="G2312" s="7" t="s">
        <v>313</v>
      </c>
      <c r="H2312" s="7" t="s">
        <v>312</v>
      </c>
      <c r="I2312" s="7" t="s">
        <v>366</v>
      </c>
      <c r="J2312" s="34" t="s">
        <v>3099</v>
      </c>
      <c r="K2312" s="20" t="s">
        <v>3100</v>
      </c>
      <c r="L2312" s="12"/>
      <c r="M2312" s="10"/>
      <c r="N2312" s="10"/>
      <c r="O2312" s="10"/>
      <c r="P2312" s="10"/>
      <c r="Q2312" s="10"/>
      <c r="R2312" s="10"/>
      <c r="S2312" s="10"/>
      <c r="T2312" s="10"/>
      <c r="U2312" s="10"/>
      <c r="V2312" s="10"/>
      <c r="W2312" s="10"/>
      <c r="X2312" s="10"/>
      <c r="Y2312" s="10"/>
      <c r="Z2312" s="10"/>
      <c r="AA2312" s="10"/>
      <c r="AB2312" s="10"/>
      <c r="AC2312" s="10"/>
      <c r="AD2312" s="10"/>
      <c r="AE2312" s="10"/>
      <c r="AF2312" s="10"/>
    </row>
    <row r="2313">
      <c r="A2313" s="7"/>
      <c r="B2313" s="26">
        <v>193.0</v>
      </c>
      <c r="C2313" s="27">
        <v>2.0</v>
      </c>
      <c r="D2313" s="8" t="s">
        <v>3101</v>
      </c>
      <c r="E2313" s="7">
        <v>2.0</v>
      </c>
      <c r="F2313" s="7" t="s">
        <v>320</v>
      </c>
      <c r="G2313" s="7" t="s">
        <v>313</v>
      </c>
      <c r="H2313" s="7" t="s">
        <v>312</v>
      </c>
      <c r="I2313" s="10"/>
      <c r="J2313" s="9" t="s">
        <v>3102</v>
      </c>
      <c r="K2313" s="8" t="s">
        <v>851</v>
      </c>
      <c r="L2313" s="12"/>
      <c r="M2313" s="10"/>
      <c r="N2313" s="10"/>
      <c r="O2313" s="10"/>
      <c r="P2313" s="10"/>
      <c r="Q2313" s="10"/>
      <c r="R2313" s="10"/>
      <c r="S2313" s="10"/>
      <c r="T2313" s="10"/>
      <c r="U2313" s="10"/>
      <c r="V2313" s="10"/>
      <c r="W2313" s="10"/>
      <c r="X2313" s="10"/>
      <c r="Y2313" s="10"/>
      <c r="Z2313" s="10"/>
      <c r="AA2313" s="10"/>
      <c r="AB2313" s="10"/>
      <c r="AC2313" s="10"/>
      <c r="AD2313" s="10"/>
      <c r="AE2313" s="10"/>
      <c r="AF2313" s="10"/>
    </row>
    <row r="2314">
      <c r="A2314" s="7"/>
      <c r="B2314" s="26">
        <v>193.0</v>
      </c>
      <c r="C2314" s="27">
        <v>3.0</v>
      </c>
      <c r="D2314" s="8" t="s">
        <v>3103</v>
      </c>
      <c r="E2314" s="7">
        <v>2.0</v>
      </c>
      <c r="F2314" s="7" t="s">
        <v>320</v>
      </c>
      <c r="G2314" s="7" t="s">
        <v>313</v>
      </c>
      <c r="H2314" s="7" t="s">
        <v>312</v>
      </c>
      <c r="I2314" s="10"/>
      <c r="J2314" s="9" t="s">
        <v>3104</v>
      </c>
      <c r="K2314" s="8" t="s">
        <v>851</v>
      </c>
      <c r="L2314" s="12"/>
      <c r="M2314" s="10"/>
      <c r="N2314" s="10"/>
      <c r="O2314" s="10"/>
      <c r="P2314" s="10"/>
      <c r="Q2314" s="10"/>
      <c r="R2314" s="10"/>
      <c r="S2314" s="10"/>
      <c r="T2314" s="10"/>
      <c r="U2314" s="10"/>
      <c r="V2314" s="10"/>
      <c r="W2314" s="10"/>
      <c r="X2314" s="10"/>
      <c r="Y2314" s="10"/>
      <c r="Z2314" s="10"/>
      <c r="AA2314" s="10"/>
      <c r="AB2314" s="10"/>
      <c r="AC2314" s="10"/>
      <c r="AD2314" s="10"/>
      <c r="AE2314" s="10"/>
      <c r="AF2314" s="10"/>
    </row>
    <row r="2315">
      <c r="A2315" s="7"/>
      <c r="B2315" s="26">
        <v>193.0</v>
      </c>
      <c r="C2315" s="27">
        <v>4.0</v>
      </c>
      <c r="D2315" s="8" t="s">
        <v>3105</v>
      </c>
      <c r="E2315" s="7">
        <v>2.0</v>
      </c>
      <c r="F2315" s="7" t="s">
        <v>320</v>
      </c>
      <c r="G2315" s="7" t="s">
        <v>313</v>
      </c>
      <c r="H2315" s="7" t="s">
        <v>312</v>
      </c>
      <c r="I2315" s="7" t="s">
        <v>366</v>
      </c>
      <c r="J2315" s="34" t="s">
        <v>3106</v>
      </c>
      <c r="K2315" s="8" t="s">
        <v>851</v>
      </c>
      <c r="L2315" s="12"/>
      <c r="M2315" s="10"/>
      <c r="N2315" s="10"/>
      <c r="O2315" s="10"/>
      <c r="P2315" s="10"/>
      <c r="Q2315" s="10"/>
      <c r="R2315" s="10"/>
      <c r="S2315" s="10"/>
      <c r="T2315" s="10"/>
      <c r="U2315" s="10"/>
      <c r="V2315" s="10"/>
      <c r="W2315" s="10"/>
      <c r="X2315" s="10"/>
      <c r="Y2315" s="10"/>
      <c r="Z2315" s="10"/>
      <c r="AA2315" s="10"/>
      <c r="AB2315" s="10"/>
      <c r="AC2315" s="10"/>
      <c r="AD2315" s="10"/>
      <c r="AE2315" s="10"/>
      <c r="AF2315" s="10"/>
    </row>
    <row r="2316">
      <c r="A2316" s="7"/>
      <c r="B2316" s="26">
        <v>193.0</v>
      </c>
      <c r="C2316" s="27">
        <v>5.0</v>
      </c>
      <c r="D2316" s="8" t="s">
        <v>3107</v>
      </c>
      <c r="E2316" s="7">
        <v>0.0</v>
      </c>
      <c r="F2316" s="7"/>
      <c r="G2316" s="7" t="s">
        <v>313</v>
      </c>
      <c r="H2316" s="7" t="s">
        <v>312</v>
      </c>
      <c r="I2316" s="10"/>
      <c r="J2316" s="11"/>
      <c r="K2316" s="12"/>
      <c r="L2316" s="12"/>
      <c r="M2316" s="10"/>
      <c r="N2316" s="10"/>
      <c r="O2316" s="10"/>
      <c r="P2316" s="10"/>
      <c r="Q2316" s="10"/>
      <c r="R2316" s="10"/>
      <c r="S2316" s="10"/>
      <c r="T2316" s="10"/>
      <c r="U2316" s="10"/>
      <c r="V2316" s="10"/>
      <c r="W2316" s="10"/>
      <c r="X2316" s="10"/>
      <c r="Y2316" s="10"/>
      <c r="Z2316" s="10"/>
      <c r="AA2316" s="10"/>
      <c r="AB2316" s="10"/>
      <c r="AC2316" s="10"/>
      <c r="AD2316" s="10"/>
      <c r="AE2316" s="10"/>
      <c r="AF2316" s="10"/>
    </row>
    <row r="2317">
      <c r="A2317" s="7"/>
      <c r="B2317" s="26">
        <v>193.0</v>
      </c>
      <c r="C2317" s="27">
        <v>6.0</v>
      </c>
      <c r="D2317" s="8" t="s">
        <v>3108</v>
      </c>
      <c r="E2317" s="7">
        <v>0.0</v>
      </c>
      <c r="F2317" s="7"/>
      <c r="G2317" s="7" t="s">
        <v>313</v>
      </c>
      <c r="H2317" s="7" t="s">
        <v>312</v>
      </c>
      <c r="I2317" s="10"/>
      <c r="J2317" s="11"/>
      <c r="K2317" s="12"/>
      <c r="L2317" s="12"/>
      <c r="M2317" s="10"/>
      <c r="N2317" s="10"/>
      <c r="O2317" s="10"/>
      <c r="P2317" s="10"/>
      <c r="Q2317" s="10"/>
      <c r="R2317" s="10"/>
      <c r="S2317" s="10"/>
      <c r="T2317" s="10"/>
      <c r="U2317" s="10"/>
      <c r="V2317" s="10"/>
      <c r="W2317" s="10"/>
      <c r="X2317" s="10"/>
      <c r="Y2317" s="10"/>
      <c r="Z2317" s="10"/>
      <c r="AA2317" s="10"/>
      <c r="AB2317" s="10"/>
      <c r="AC2317" s="10"/>
      <c r="AD2317" s="10"/>
      <c r="AE2317" s="10"/>
      <c r="AF2317" s="10"/>
    </row>
    <row r="2318">
      <c r="A2318" s="7"/>
      <c r="B2318" s="26">
        <v>193.0</v>
      </c>
      <c r="C2318" s="27">
        <v>7.0</v>
      </c>
      <c r="D2318" s="8" t="s">
        <v>3109</v>
      </c>
      <c r="E2318" s="7">
        <v>0.0</v>
      </c>
      <c r="F2318" s="7"/>
      <c r="G2318" s="7" t="s">
        <v>313</v>
      </c>
      <c r="H2318" s="7" t="s">
        <v>312</v>
      </c>
      <c r="I2318" s="10"/>
      <c r="J2318" s="11"/>
      <c r="K2318" s="12"/>
      <c r="L2318" s="12"/>
      <c r="M2318" s="10"/>
      <c r="N2318" s="10"/>
      <c r="O2318" s="10"/>
      <c r="P2318" s="10"/>
      <c r="Q2318" s="10"/>
      <c r="R2318" s="10"/>
      <c r="S2318" s="10"/>
      <c r="T2318" s="10"/>
      <c r="U2318" s="10"/>
      <c r="V2318" s="10"/>
      <c r="W2318" s="10"/>
      <c r="X2318" s="10"/>
      <c r="Y2318" s="10"/>
      <c r="Z2318" s="10"/>
      <c r="AA2318" s="10"/>
      <c r="AB2318" s="10"/>
      <c r="AC2318" s="10"/>
      <c r="AD2318" s="10"/>
      <c r="AE2318" s="10"/>
      <c r="AF2318" s="10"/>
    </row>
    <row r="2319">
      <c r="A2319" s="7"/>
      <c r="B2319" s="26">
        <v>193.0</v>
      </c>
      <c r="C2319" s="27">
        <v>8.0</v>
      </c>
      <c r="D2319" s="8" t="s">
        <v>3110</v>
      </c>
      <c r="E2319" s="7">
        <v>0.0</v>
      </c>
      <c r="F2319" s="7"/>
      <c r="G2319" s="7" t="s">
        <v>313</v>
      </c>
      <c r="H2319" s="7" t="s">
        <v>312</v>
      </c>
      <c r="I2319" s="10"/>
      <c r="J2319" s="11"/>
      <c r="K2319" s="12"/>
      <c r="L2319" s="12"/>
      <c r="M2319" s="10"/>
      <c r="N2319" s="10"/>
      <c r="O2319" s="10"/>
      <c r="P2319" s="10"/>
      <c r="Q2319" s="10"/>
      <c r="R2319" s="10"/>
      <c r="S2319" s="10"/>
      <c r="T2319" s="10"/>
      <c r="U2319" s="10"/>
      <c r="V2319" s="10"/>
      <c r="W2319" s="10"/>
      <c r="X2319" s="10"/>
      <c r="Y2319" s="10"/>
      <c r="Z2319" s="10"/>
      <c r="AA2319" s="10"/>
      <c r="AB2319" s="10"/>
      <c r="AC2319" s="10"/>
      <c r="AD2319" s="10"/>
      <c r="AE2319" s="10"/>
      <c r="AF2319" s="10"/>
    </row>
    <row r="2320">
      <c r="A2320" s="7"/>
      <c r="B2320" s="26">
        <v>193.0</v>
      </c>
      <c r="C2320" s="27">
        <v>9.0</v>
      </c>
      <c r="D2320" s="8" t="s">
        <v>3111</v>
      </c>
      <c r="E2320" s="7">
        <v>0.0</v>
      </c>
      <c r="F2320" s="7"/>
      <c r="G2320" s="7" t="s">
        <v>313</v>
      </c>
      <c r="H2320" s="7" t="s">
        <v>312</v>
      </c>
      <c r="I2320" s="10"/>
      <c r="J2320" s="11"/>
      <c r="K2320" s="12"/>
      <c r="L2320" s="12"/>
      <c r="M2320" s="10"/>
      <c r="N2320" s="10"/>
      <c r="O2320" s="10"/>
      <c r="P2320" s="10"/>
      <c r="Q2320" s="10"/>
      <c r="R2320" s="10"/>
      <c r="S2320" s="10"/>
      <c r="T2320" s="10"/>
      <c r="U2320" s="10"/>
      <c r="V2320" s="10"/>
      <c r="W2320" s="10"/>
      <c r="X2320" s="10"/>
      <c r="Y2320" s="10"/>
      <c r="Z2320" s="10"/>
      <c r="AA2320" s="10"/>
      <c r="AB2320" s="10"/>
      <c r="AC2320" s="10"/>
      <c r="AD2320" s="10"/>
      <c r="AE2320" s="10"/>
      <c r="AF2320" s="10"/>
    </row>
    <row r="2321">
      <c r="A2321" s="7"/>
      <c r="B2321" s="26">
        <v>193.0</v>
      </c>
      <c r="C2321" s="27">
        <v>10.0</v>
      </c>
      <c r="D2321" s="8" t="s">
        <v>3112</v>
      </c>
      <c r="E2321" s="7">
        <v>0.0</v>
      </c>
      <c r="F2321" s="7"/>
      <c r="G2321" s="7" t="s">
        <v>313</v>
      </c>
      <c r="H2321" s="7" t="s">
        <v>312</v>
      </c>
      <c r="I2321" s="10"/>
      <c r="J2321" s="11"/>
      <c r="K2321" s="12"/>
      <c r="L2321" s="12"/>
      <c r="M2321" s="10"/>
      <c r="N2321" s="10"/>
      <c r="O2321" s="10"/>
      <c r="P2321" s="10"/>
      <c r="Q2321" s="10"/>
      <c r="R2321" s="10"/>
      <c r="S2321" s="10"/>
      <c r="T2321" s="10"/>
      <c r="U2321" s="10"/>
      <c r="V2321" s="10"/>
      <c r="W2321" s="10"/>
      <c r="X2321" s="10"/>
      <c r="Y2321" s="10"/>
      <c r="Z2321" s="10"/>
      <c r="AA2321" s="10"/>
      <c r="AB2321" s="10"/>
      <c r="AC2321" s="10"/>
      <c r="AD2321" s="10"/>
      <c r="AE2321" s="10"/>
      <c r="AF2321" s="10"/>
    </row>
    <row r="2322">
      <c r="A2322" s="21" t="s">
        <v>194</v>
      </c>
      <c r="B2322" s="12"/>
      <c r="C2322" s="12"/>
      <c r="D2322" s="12"/>
      <c r="E2322" s="10"/>
      <c r="F2322" s="10"/>
      <c r="G2322" s="10"/>
      <c r="H2322" s="10"/>
      <c r="I2322" s="10"/>
      <c r="J2322" s="11"/>
      <c r="K2322" s="12"/>
      <c r="L2322" s="12"/>
      <c r="M2322" s="10"/>
      <c r="N2322" s="10"/>
      <c r="O2322" s="10"/>
      <c r="P2322" s="10"/>
      <c r="Q2322" s="10"/>
      <c r="R2322" s="10"/>
      <c r="S2322" s="10"/>
      <c r="T2322" s="10"/>
      <c r="U2322" s="10"/>
      <c r="V2322" s="10"/>
      <c r="W2322" s="10"/>
      <c r="X2322" s="10"/>
      <c r="Y2322" s="10"/>
      <c r="Z2322" s="10"/>
      <c r="AA2322" s="10"/>
      <c r="AB2322" s="10"/>
      <c r="AC2322" s="10"/>
      <c r="AD2322" s="10"/>
      <c r="AE2322" s="10"/>
      <c r="AF2322" s="10"/>
    </row>
    <row r="2323">
      <c r="A2323" s="7"/>
      <c r="B2323" s="26">
        <v>194.0</v>
      </c>
      <c r="C2323" s="27">
        <v>1.0</v>
      </c>
      <c r="D2323" s="8" t="s">
        <v>3113</v>
      </c>
      <c r="E2323" s="7">
        <v>2.0</v>
      </c>
      <c r="F2323" s="7" t="s">
        <v>320</v>
      </c>
      <c r="G2323" s="7" t="s">
        <v>313</v>
      </c>
      <c r="H2323" s="7" t="s">
        <v>312</v>
      </c>
      <c r="I2323" s="7" t="s">
        <v>366</v>
      </c>
      <c r="J2323" s="9" t="s">
        <v>3114</v>
      </c>
      <c r="K2323" s="8" t="s">
        <v>851</v>
      </c>
      <c r="L2323" s="12"/>
      <c r="M2323" s="10"/>
      <c r="N2323" s="10"/>
      <c r="O2323" s="10"/>
      <c r="P2323" s="10"/>
      <c r="Q2323" s="10"/>
      <c r="R2323" s="10"/>
      <c r="S2323" s="10"/>
      <c r="T2323" s="10"/>
      <c r="U2323" s="10"/>
      <c r="V2323" s="10"/>
      <c r="W2323" s="10"/>
      <c r="X2323" s="10"/>
      <c r="Y2323" s="10"/>
      <c r="Z2323" s="10"/>
      <c r="AA2323" s="10"/>
      <c r="AB2323" s="10"/>
      <c r="AC2323" s="10"/>
      <c r="AD2323" s="10"/>
      <c r="AE2323" s="10"/>
      <c r="AF2323" s="10"/>
    </row>
    <row r="2324">
      <c r="A2324" s="7"/>
      <c r="B2324" s="26">
        <v>194.0</v>
      </c>
      <c r="C2324" s="27">
        <v>2.0</v>
      </c>
      <c r="D2324" s="8" t="s">
        <v>3115</v>
      </c>
      <c r="E2324" s="7">
        <v>0.0</v>
      </c>
      <c r="F2324" s="7"/>
      <c r="G2324" s="7" t="s">
        <v>313</v>
      </c>
      <c r="H2324" s="7" t="s">
        <v>312</v>
      </c>
      <c r="I2324" s="10"/>
      <c r="J2324" s="9" t="s">
        <v>3116</v>
      </c>
      <c r="K2324" s="12"/>
      <c r="L2324" s="12"/>
      <c r="M2324" s="10"/>
      <c r="N2324" s="10"/>
      <c r="O2324" s="10"/>
      <c r="P2324" s="10"/>
      <c r="Q2324" s="10"/>
      <c r="R2324" s="10"/>
      <c r="S2324" s="10"/>
      <c r="T2324" s="10"/>
      <c r="U2324" s="10"/>
      <c r="V2324" s="10"/>
      <c r="W2324" s="10"/>
      <c r="X2324" s="10"/>
      <c r="Y2324" s="10"/>
      <c r="Z2324" s="10"/>
      <c r="AA2324" s="10"/>
      <c r="AB2324" s="10"/>
      <c r="AC2324" s="10"/>
      <c r="AD2324" s="10"/>
      <c r="AE2324" s="10"/>
      <c r="AF2324" s="10"/>
    </row>
    <row r="2325">
      <c r="A2325" s="7"/>
      <c r="B2325" s="26">
        <v>194.0</v>
      </c>
      <c r="C2325" s="27">
        <v>3.0</v>
      </c>
      <c r="D2325" s="8" t="s">
        <v>3117</v>
      </c>
      <c r="E2325" s="7">
        <v>0.0</v>
      </c>
      <c r="F2325" s="7"/>
      <c r="G2325" s="7" t="s">
        <v>313</v>
      </c>
      <c r="H2325" s="7" t="s">
        <v>312</v>
      </c>
      <c r="I2325" s="10"/>
      <c r="J2325" s="11"/>
      <c r="K2325" s="12"/>
      <c r="L2325" s="12"/>
      <c r="M2325" s="10"/>
      <c r="N2325" s="10"/>
      <c r="O2325" s="10"/>
      <c r="P2325" s="10"/>
      <c r="Q2325" s="10"/>
      <c r="R2325" s="10"/>
      <c r="S2325" s="10"/>
      <c r="T2325" s="10"/>
      <c r="U2325" s="10"/>
      <c r="V2325" s="10"/>
      <c r="W2325" s="10"/>
      <c r="X2325" s="10"/>
      <c r="Y2325" s="10"/>
      <c r="Z2325" s="10"/>
      <c r="AA2325" s="10"/>
      <c r="AB2325" s="10"/>
      <c r="AC2325" s="10"/>
      <c r="AD2325" s="10"/>
      <c r="AE2325" s="10"/>
      <c r="AF2325" s="10"/>
    </row>
    <row r="2326">
      <c r="A2326" s="7"/>
      <c r="B2326" s="26">
        <v>194.0</v>
      </c>
      <c r="C2326" s="27">
        <v>4.0</v>
      </c>
      <c r="D2326" s="8" t="s">
        <v>3118</v>
      </c>
      <c r="E2326" s="7">
        <v>0.0</v>
      </c>
      <c r="F2326" s="7"/>
      <c r="G2326" s="7" t="s">
        <v>313</v>
      </c>
      <c r="H2326" s="7" t="s">
        <v>312</v>
      </c>
      <c r="I2326" s="10"/>
      <c r="J2326" s="11"/>
      <c r="K2326" s="12"/>
      <c r="L2326" s="12"/>
      <c r="M2326" s="10"/>
      <c r="N2326" s="10"/>
      <c r="O2326" s="10"/>
      <c r="P2326" s="10"/>
      <c r="Q2326" s="10"/>
      <c r="R2326" s="10"/>
      <c r="S2326" s="10"/>
      <c r="T2326" s="10"/>
      <c r="U2326" s="10"/>
      <c r="V2326" s="10"/>
      <c r="W2326" s="10"/>
      <c r="X2326" s="10"/>
      <c r="Y2326" s="10"/>
      <c r="Z2326" s="10"/>
      <c r="AA2326" s="10"/>
      <c r="AB2326" s="10"/>
      <c r="AC2326" s="10"/>
      <c r="AD2326" s="10"/>
      <c r="AE2326" s="10"/>
      <c r="AF2326" s="10"/>
    </row>
    <row r="2327">
      <c r="A2327" s="7"/>
      <c r="B2327" s="26">
        <v>194.0</v>
      </c>
      <c r="C2327" s="27">
        <v>5.0</v>
      </c>
      <c r="D2327" s="8" t="s">
        <v>3119</v>
      </c>
      <c r="E2327" s="7">
        <v>0.0</v>
      </c>
      <c r="F2327" s="7"/>
      <c r="G2327" s="7" t="s">
        <v>313</v>
      </c>
      <c r="H2327" s="7" t="s">
        <v>312</v>
      </c>
      <c r="I2327" s="10"/>
      <c r="J2327" s="11"/>
      <c r="K2327" s="12"/>
      <c r="L2327" s="12"/>
      <c r="M2327" s="10"/>
      <c r="N2327" s="10"/>
      <c r="O2327" s="10"/>
      <c r="P2327" s="10"/>
      <c r="Q2327" s="10"/>
      <c r="R2327" s="10"/>
      <c r="S2327" s="10"/>
      <c r="T2327" s="10"/>
      <c r="U2327" s="10"/>
      <c r="V2327" s="10"/>
      <c r="W2327" s="10"/>
      <c r="X2327" s="10"/>
      <c r="Y2327" s="10"/>
      <c r="Z2327" s="10"/>
      <c r="AA2327" s="10"/>
      <c r="AB2327" s="10"/>
      <c r="AC2327" s="10"/>
      <c r="AD2327" s="10"/>
      <c r="AE2327" s="10"/>
      <c r="AF2327" s="10"/>
    </row>
    <row r="2328">
      <c r="A2328" s="7"/>
      <c r="B2328" s="26">
        <v>194.0</v>
      </c>
      <c r="C2328" s="27">
        <v>6.0</v>
      </c>
      <c r="D2328" s="8" t="s">
        <v>3120</v>
      </c>
      <c r="E2328" s="7">
        <v>2.0</v>
      </c>
      <c r="F2328" s="7" t="s">
        <v>320</v>
      </c>
      <c r="G2328" s="7" t="s">
        <v>313</v>
      </c>
      <c r="H2328" s="7" t="s">
        <v>312</v>
      </c>
      <c r="I2328" s="7" t="s">
        <v>366</v>
      </c>
      <c r="J2328" s="9" t="s">
        <v>3121</v>
      </c>
      <c r="K2328" s="8" t="s">
        <v>851</v>
      </c>
      <c r="L2328" s="12"/>
      <c r="M2328" s="10"/>
      <c r="N2328" s="10"/>
      <c r="O2328" s="10"/>
      <c r="P2328" s="10"/>
      <c r="Q2328" s="10"/>
      <c r="R2328" s="10"/>
      <c r="S2328" s="10"/>
      <c r="T2328" s="10"/>
      <c r="U2328" s="10"/>
      <c r="V2328" s="10"/>
      <c r="W2328" s="10"/>
      <c r="X2328" s="10"/>
      <c r="Y2328" s="10"/>
      <c r="Z2328" s="10"/>
      <c r="AA2328" s="10"/>
      <c r="AB2328" s="10"/>
      <c r="AC2328" s="10"/>
      <c r="AD2328" s="10"/>
      <c r="AE2328" s="10"/>
      <c r="AF2328" s="10"/>
    </row>
    <row r="2329">
      <c r="A2329" s="21" t="s">
        <v>195</v>
      </c>
      <c r="B2329" s="12"/>
      <c r="C2329" s="12"/>
      <c r="D2329" s="12"/>
      <c r="E2329" s="10"/>
      <c r="F2329" s="10"/>
      <c r="G2329" s="10"/>
      <c r="H2329" s="10"/>
      <c r="I2329" s="10"/>
      <c r="J2329" s="11"/>
      <c r="K2329" s="12"/>
      <c r="L2329" s="12"/>
      <c r="M2329" s="10"/>
      <c r="N2329" s="10"/>
      <c r="O2329" s="10"/>
      <c r="P2329" s="10"/>
      <c r="Q2329" s="10"/>
      <c r="R2329" s="10"/>
      <c r="S2329" s="10"/>
      <c r="T2329" s="10"/>
      <c r="U2329" s="10"/>
      <c r="V2329" s="10"/>
      <c r="W2329" s="10"/>
      <c r="X2329" s="10"/>
      <c r="Y2329" s="10"/>
      <c r="Z2329" s="10"/>
      <c r="AA2329" s="10"/>
      <c r="AB2329" s="10"/>
      <c r="AC2329" s="10"/>
      <c r="AD2329" s="10"/>
      <c r="AE2329" s="10"/>
      <c r="AF2329" s="10"/>
    </row>
    <row r="2330">
      <c r="A2330" s="7"/>
      <c r="B2330" s="26">
        <v>195.0</v>
      </c>
      <c r="C2330" s="27">
        <v>1.0</v>
      </c>
      <c r="D2330" s="8" t="s">
        <v>3122</v>
      </c>
      <c r="E2330" s="7">
        <v>0.0</v>
      </c>
      <c r="F2330" s="7"/>
      <c r="G2330" s="7" t="s">
        <v>313</v>
      </c>
      <c r="H2330" s="7" t="s">
        <v>312</v>
      </c>
      <c r="I2330" s="10"/>
      <c r="J2330" s="9" t="s">
        <v>3123</v>
      </c>
      <c r="K2330" s="12"/>
      <c r="L2330" s="12"/>
      <c r="M2330" s="10"/>
      <c r="N2330" s="10"/>
      <c r="O2330" s="10"/>
      <c r="P2330" s="10"/>
      <c r="Q2330" s="10"/>
      <c r="R2330" s="10"/>
      <c r="S2330" s="10"/>
      <c r="T2330" s="10"/>
      <c r="U2330" s="10"/>
      <c r="V2330" s="10"/>
      <c r="W2330" s="10"/>
      <c r="X2330" s="10"/>
      <c r="Y2330" s="10"/>
      <c r="Z2330" s="10"/>
      <c r="AA2330" s="10"/>
      <c r="AB2330" s="10"/>
      <c r="AC2330" s="10"/>
      <c r="AD2330" s="10"/>
      <c r="AE2330" s="10"/>
      <c r="AF2330" s="10"/>
    </row>
    <row r="2331">
      <c r="A2331" s="7"/>
      <c r="B2331" s="26">
        <v>195.0</v>
      </c>
      <c r="C2331" s="27">
        <v>2.0</v>
      </c>
      <c r="D2331" s="8" t="s">
        <v>3124</v>
      </c>
      <c r="E2331" s="7">
        <v>2.0</v>
      </c>
      <c r="F2331" s="7" t="s">
        <v>320</v>
      </c>
      <c r="G2331" s="7" t="s">
        <v>313</v>
      </c>
      <c r="H2331" s="7" t="s">
        <v>312</v>
      </c>
      <c r="I2331" s="10"/>
      <c r="J2331" s="9" t="s">
        <v>850</v>
      </c>
      <c r="K2331" s="8" t="s">
        <v>3125</v>
      </c>
      <c r="L2331" s="12"/>
      <c r="M2331" s="10"/>
      <c r="N2331" s="10"/>
      <c r="O2331" s="10"/>
      <c r="P2331" s="10"/>
      <c r="Q2331" s="10"/>
      <c r="R2331" s="10"/>
      <c r="S2331" s="10"/>
      <c r="T2331" s="10"/>
      <c r="U2331" s="10"/>
      <c r="V2331" s="10"/>
      <c r="W2331" s="10"/>
      <c r="X2331" s="10"/>
      <c r="Y2331" s="10"/>
      <c r="Z2331" s="10"/>
      <c r="AA2331" s="10"/>
      <c r="AB2331" s="10"/>
      <c r="AC2331" s="10"/>
      <c r="AD2331" s="10"/>
      <c r="AE2331" s="10"/>
      <c r="AF2331" s="10"/>
    </row>
    <row r="2332">
      <c r="A2332" s="7"/>
      <c r="B2332" s="26">
        <v>195.0</v>
      </c>
      <c r="C2332" s="27">
        <v>3.0</v>
      </c>
      <c r="D2332" s="8" t="s">
        <v>3126</v>
      </c>
      <c r="E2332" s="7">
        <v>0.0</v>
      </c>
      <c r="F2332" s="7"/>
      <c r="G2332" s="7" t="s">
        <v>313</v>
      </c>
      <c r="H2332" s="7" t="s">
        <v>312</v>
      </c>
      <c r="I2332" s="10"/>
      <c r="J2332" s="9"/>
      <c r="K2332" s="12"/>
      <c r="L2332" s="12"/>
      <c r="M2332" s="10"/>
      <c r="N2332" s="10"/>
      <c r="O2332" s="10"/>
      <c r="P2332" s="10"/>
      <c r="Q2332" s="10"/>
      <c r="R2332" s="10"/>
      <c r="S2332" s="10"/>
      <c r="T2332" s="10"/>
      <c r="U2332" s="10"/>
      <c r="V2332" s="10"/>
      <c r="W2332" s="10"/>
      <c r="X2332" s="10"/>
      <c r="Y2332" s="10"/>
      <c r="Z2332" s="10"/>
      <c r="AA2332" s="10"/>
      <c r="AB2332" s="10"/>
      <c r="AC2332" s="10"/>
      <c r="AD2332" s="10"/>
      <c r="AE2332" s="10"/>
      <c r="AF2332" s="10"/>
    </row>
    <row r="2333">
      <c r="A2333" s="7"/>
      <c r="B2333" s="26">
        <v>195.0</v>
      </c>
      <c r="C2333" s="27">
        <v>4.0</v>
      </c>
      <c r="D2333" s="8" t="s">
        <v>3127</v>
      </c>
      <c r="E2333" s="7">
        <v>0.0</v>
      </c>
      <c r="F2333" s="7"/>
      <c r="G2333" s="7" t="s">
        <v>313</v>
      </c>
      <c r="H2333" s="7" t="s">
        <v>312</v>
      </c>
      <c r="I2333" s="10"/>
      <c r="J2333" s="9"/>
      <c r="K2333" s="12"/>
      <c r="L2333" s="12"/>
      <c r="M2333" s="10"/>
      <c r="N2333" s="10"/>
      <c r="O2333" s="10"/>
      <c r="P2333" s="10"/>
      <c r="Q2333" s="10"/>
      <c r="R2333" s="10"/>
      <c r="S2333" s="10"/>
      <c r="T2333" s="10"/>
      <c r="U2333" s="10"/>
      <c r="V2333" s="10"/>
      <c r="W2333" s="10"/>
      <c r="X2333" s="10"/>
      <c r="Y2333" s="10"/>
      <c r="Z2333" s="10"/>
      <c r="AA2333" s="10"/>
      <c r="AB2333" s="10"/>
      <c r="AC2333" s="10"/>
      <c r="AD2333" s="10"/>
      <c r="AE2333" s="10"/>
      <c r="AF2333" s="10"/>
    </row>
    <row r="2334">
      <c r="A2334" s="7"/>
      <c r="B2334" s="26">
        <v>195.0</v>
      </c>
      <c r="C2334" s="27">
        <v>5.0</v>
      </c>
      <c r="D2334" s="8" t="s">
        <v>3128</v>
      </c>
      <c r="E2334" s="7">
        <v>0.0</v>
      </c>
      <c r="F2334" s="7"/>
      <c r="G2334" s="7" t="s">
        <v>313</v>
      </c>
      <c r="H2334" s="7" t="s">
        <v>312</v>
      </c>
      <c r="I2334" s="10"/>
      <c r="J2334" s="11"/>
      <c r="K2334" s="12"/>
      <c r="L2334" s="12"/>
      <c r="M2334" s="10"/>
      <c r="N2334" s="10"/>
      <c r="O2334" s="10"/>
      <c r="P2334" s="10"/>
      <c r="Q2334" s="10"/>
      <c r="R2334" s="10"/>
      <c r="S2334" s="10"/>
      <c r="T2334" s="10"/>
      <c r="U2334" s="10"/>
      <c r="V2334" s="10"/>
      <c r="W2334" s="10"/>
      <c r="X2334" s="10"/>
      <c r="Y2334" s="10"/>
      <c r="Z2334" s="10"/>
      <c r="AA2334" s="10"/>
      <c r="AB2334" s="10"/>
      <c r="AC2334" s="10"/>
      <c r="AD2334" s="10"/>
      <c r="AE2334" s="10"/>
      <c r="AF2334" s="10"/>
    </row>
    <row r="2335">
      <c r="A2335" s="7"/>
      <c r="B2335" s="26">
        <v>195.0</v>
      </c>
      <c r="C2335" s="27">
        <v>6.0</v>
      </c>
      <c r="D2335" s="8" t="s">
        <v>3129</v>
      </c>
      <c r="E2335" s="7">
        <v>0.0</v>
      </c>
      <c r="F2335" s="7"/>
      <c r="G2335" s="7" t="s">
        <v>313</v>
      </c>
      <c r="H2335" s="7" t="s">
        <v>312</v>
      </c>
      <c r="I2335" s="10"/>
      <c r="J2335" s="11"/>
      <c r="K2335" s="12"/>
      <c r="L2335" s="12"/>
      <c r="M2335" s="10"/>
      <c r="N2335" s="10"/>
      <c r="O2335" s="10"/>
      <c r="P2335" s="10"/>
      <c r="Q2335" s="10"/>
      <c r="R2335" s="10"/>
      <c r="S2335" s="10"/>
      <c r="T2335" s="10"/>
      <c r="U2335" s="10"/>
      <c r="V2335" s="10"/>
      <c r="W2335" s="10"/>
      <c r="X2335" s="10"/>
      <c r="Y2335" s="10"/>
      <c r="Z2335" s="10"/>
      <c r="AA2335" s="10"/>
      <c r="AB2335" s="10"/>
      <c r="AC2335" s="10"/>
      <c r="AD2335" s="10"/>
      <c r="AE2335" s="10"/>
      <c r="AF2335" s="10"/>
    </row>
    <row r="2336">
      <c r="A2336" s="7"/>
      <c r="B2336" s="26">
        <v>195.0</v>
      </c>
      <c r="C2336" s="27">
        <v>7.0</v>
      </c>
      <c r="D2336" s="8" t="s">
        <v>3130</v>
      </c>
      <c r="E2336" s="7">
        <v>0.0</v>
      </c>
      <c r="F2336" s="7"/>
      <c r="G2336" s="7" t="s">
        <v>313</v>
      </c>
      <c r="H2336" s="7" t="s">
        <v>312</v>
      </c>
      <c r="I2336" s="10"/>
      <c r="J2336" s="11"/>
      <c r="K2336" s="12"/>
      <c r="L2336" s="12"/>
      <c r="M2336" s="10"/>
      <c r="N2336" s="10"/>
      <c r="O2336" s="10"/>
      <c r="P2336" s="10"/>
      <c r="Q2336" s="10"/>
      <c r="R2336" s="10"/>
      <c r="S2336" s="10"/>
      <c r="T2336" s="10"/>
      <c r="U2336" s="10"/>
      <c r="V2336" s="10"/>
      <c r="W2336" s="10"/>
      <c r="X2336" s="10"/>
      <c r="Y2336" s="10"/>
      <c r="Z2336" s="10"/>
      <c r="AA2336" s="10"/>
      <c r="AB2336" s="10"/>
      <c r="AC2336" s="10"/>
      <c r="AD2336" s="10"/>
      <c r="AE2336" s="10"/>
      <c r="AF2336" s="10"/>
    </row>
    <row r="2337">
      <c r="A2337" s="7"/>
      <c r="B2337" s="26">
        <v>195.0</v>
      </c>
      <c r="C2337" s="27">
        <v>8.0</v>
      </c>
      <c r="D2337" s="8" t="s">
        <v>3131</v>
      </c>
      <c r="E2337" s="7">
        <v>2.0</v>
      </c>
      <c r="F2337" s="7" t="s">
        <v>320</v>
      </c>
      <c r="G2337" s="7" t="s">
        <v>313</v>
      </c>
      <c r="H2337" s="7" t="s">
        <v>312</v>
      </c>
      <c r="I2337" s="10"/>
      <c r="J2337" s="9" t="s">
        <v>850</v>
      </c>
      <c r="K2337" s="8" t="s">
        <v>3132</v>
      </c>
      <c r="L2337" s="12"/>
      <c r="M2337" s="10"/>
      <c r="N2337" s="10"/>
      <c r="O2337" s="10"/>
      <c r="P2337" s="10"/>
      <c r="Q2337" s="10"/>
      <c r="R2337" s="10"/>
      <c r="S2337" s="10"/>
      <c r="T2337" s="10"/>
      <c r="U2337" s="10"/>
      <c r="V2337" s="10"/>
      <c r="W2337" s="10"/>
      <c r="X2337" s="10"/>
      <c r="Y2337" s="10"/>
      <c r="Z2337" s="10"/>
      <c r="AA2337" s="10"/>
      <c r="AB2337" s="10"/>
      <c r="AC2337" s="10"/>
      <c r="AD2337" s="10"/>
      <c r="AE2337" s="10"/>
      <c r="AF2337" s="10"/>
    </row>
    <row r="2338">
      <c r="A2338" s="7"/>
      <c r="B2338" s="26">
        <v>195.0</v>
      </c>
      <c r="C2338" s="27">
        <v>9.0</v>
      </c>
      <c r="D2338" s="8" t="s">
        <v>3133</v>
      </c>
      <c r="E2338" s="7">
        <v>0.0</v>
      </c>
      <c r="F2338" s="7"/>
      <c r="G2338" s="7" t="s">
        <v>313</v>
      </c>
      <c r="H2338" s="7" t="s">
        <v>312</v>
      </c>
      <c r="I2338" s="10"/>
      <c r="J2338" s="11"/>
      <c r="K2338" s="12"/>
      <c r="L2338" s="12"/>
      <c r="M2338" s="10"/>
      <c r="N2338" s="10"/>
      <c r="O2338" s="10"/>
      <c r="P2338" s="10"/>
      <c r="Q2338" s="10"/>
      <c r="R2338" s="10"/>
      <c r="S2338" s="10"/>
      <c r="T2338" s="10"/>
      <c r="U2338" s="10"/>
      <c r="V2338" s="10"/>
      <c r="W2338" s="10"/>
      <c r="X2338" s="10"/>
      <c r="Y2338" s="10"/>
      <c r="Z2338" s="10"/>
      <c r="AA2338" s="10"/>
      <c r="AB2338" s="10"/>
      <c r="AC2338" s="10"/>
      <c r="AD2338" s="10"/>
      <c r="AE2338" s="10"/>
      <c r="AF2338" s="10"/>
    </row>
    <row r="2339">
      <c r="A2339" s="7"/>
      <c r="B2339" s="26">
        <v>195.0</v>
      </c>
      <c r="C2339" s="27">
        <v>10.0</v>
      </c>
      <c r="D2339" s="8" t="s">
        <v>3134</v>
      </c>
      <c r="E2339" s="7">
        <v>2.0</v>
      </c>
      <c r="F2339" s="7" t="s">
        <v>320</v>
      </c>
      <c r="G2339" s="7" t="s">
        <v>313</v>
      </c>
      <c r="H2339" s="7" t="s">
        <v>312</v>
      </c>
      <c r="I2339" s="10"/>
      <c r="J2339" s="9" t="s">
        <v>850</v>
      </c>
      <c r="K2339" s="8" t="s">
        <v>3135</v>
      </c>
      <c r="L2339" s="12"/>
      <c r="M2339" s="10"/>
      <c r="N2339" s="10"/>
      <c r="O2339" s="10"/>
      <c r="P2339" s="10"/>
      <c r="Q2339" s="10"/>
      <c r="R2339" s="10"/>
      <c r="S2339" s="10"/>
      <c r="T2339" s="10"/>
      <c r="U2339" s="10"/>
      <c r="V2339" s="10"/>
      <c r="W2339" s="10"/>
      <c r="X2339" s="10"/>
      <c r="Y2339" s="10"/>
      <c r="Z2339" s="10"/>
      <c r="AA2339" s="10"/>
      <c r="AB2339" s="10"/>
      <c r="AC2339" s="10"/>
      <c r="AD2339" s="10"/>
      <c r="AE2339" s="10"/>
      <c r="AF2339" s="10"/>
    </row>
    <row r="2340">
      <c r="A2340" s="7"/>
      <c r="B2340" s="26">
        <v>195.0</v>
      </c>
      <c r="C2340" s="27">
        <v>11.0</v>
      </c>
      <c r="D2340" s="8" t="s">
        <v>3136</v>
      </c>
      <c r="E2340" s="7">
        <v>0.0</v>
      </c>
      <c r="F2340" s="7"/>
      <c r="G2340" s="7" t="s">
        <v>313</v>
      </c>
      <c r="H2340" s="7" t="s">
        <v>312</v>
      </c>
      <c r="I2340" s="10"/>
      <c r="J2340" s="11"/>
      <c r="K2340" s="12"/>
      <c r="L2340" s="12"/>
      <c r="M2340" s="10"/>
      <c r="N2340" s="10"/>
      <c r="O2340" s="10"/>
      <c r="P2340" s="10"/>
      <c r="Q2340" s="10"/>
      <c r="R2340" s="10"/>
      <c r="S2340" s="10"/>
      <c r="T2340" s="10"/>
      <c r="U2340" s="10"/>
      <c r="V2340" s="10"/>
      <c r="W2340" s="10"/>
      <c r="X2340" s="10"/>
      <c r="Y2340" s="10"/>
      <c r="Z2340" s="10"/>
      <c r="AA2340" s="10"/>
      <c r="AB2340" s="10"/>
      <c r="AC2340" s="10"/>
      <c r="AD2340" s="10"/>
      <c r="AE2340" s="10"/>
      <c r="AF2340" s="10"/>
    </row>
    <row r="2341">
      <c r="A2341" s="7"/>
      <c r="B2341" s="26">
        <v>195.0</v>
      </c>
      <c r="C2341" s="27">
        <v>12.0</v>
      </c>
      <c r="D2341" s="8" t="s">
        <v>3137</v>
      </c>
      <c r="E2341" s="7">
        <v>0.0</v>
      </c>
      <c r="F2341" s="7"/>
      <c r="G2341" s="7" t="s">
        <v>313</v>
      </c>
      <c r="H2341" s="7" t="s">
        <v>312</v>
      </c>
      <c r="I2341" s="10"/>
      <c r="J2341" s="11"/>
      <c r="K2341" s="12"/>
      <c r="L2341" s="12"/>
      <c r="M2341" s="10"/>
      <c r="N2341" s="10"/>
      <c r="O2341" s="10"/>
      <c r="P2341" s="10"/>
      <c r="Q2341" s="10"/>
      <c r="R2341" s="10"/>
      <c r="S2341" s="10"/>
      <c r="T2341" s="10"/>
      <c r="U2341" s="10"/>
      <c r="V2341" s="10"/>
      <c r="W2341" s="10"/>
      <c r="X2341" s="10"/>
      <c r="Y2341" s="10"/>
      <c r="Z2341" s="10"/>
      <c r="AA2341" s="10"/>
      <c r="AB2341" s="10"/>
      <c r="AC2341" s="10"/>
      <c r="AD2341" s="10"/>
      <c r="AE2341" s="10"/>
      <c r="AF2341" s="10"/>
    </row>
    <row r="2342">
      <c r="A2342" s="7"/>
      <c r="B2342" s="26">
        <v>195.0</v>
      </c>
      <c r="C2342" s="27">
        <v>13.0</v>
      </c>
      <c r="D2342" s="8" t="s">
        <v>3138</v>
      </c>
      <c r="E2342" s="7">
        <v>0.0</v>
      </c>
      <c r="F2342" s="7"/>
      <c r="G2342" s="7" t="s">
        <v>313</v>
      </c>
      <c r="H2342" s="7" t="s">
        <v>312</v>
      </c>
      <c r="I2342" s="10"/>
      <c r="J2342" s="11"/>
      <c r="K2342" s="12"/>
      <c r="L2342" s="12"/>
      <c r="M2342" s="10"/>
      <c r="N2342" s="10"/>
      <c r="O2342" s="10"/>
      <c r="P2342" s="10"/>
      <c r="Q2342" s="10"/>
      <c r="R2342" s="10"/>
      <c r="S2342" s="10"/>
      <c r="T2342" s="10"/>
      <c r="U2342" s="10"/>
      <c r="V2342" s="10"/>
      <c r="W2342" s="10"/>
      <c r="X2342" s="10"/>
      <c r="Y2342" s="10"/>
      <c r="Z2342" s="10"/>
      <c r="AA2342" s="10"/>
      <c r="AB2342" s="10"/>
      <c r="AC2342" s="10"/>
      <c r="AD2342" s="10"/>
      <c r="AE2342" s="10"/>
      <c r="AF2342" s="10"/>
    </row>
    <row r="2343">
      <c r="A2343" s="7"/>
      <c r="B2343" s="26">
        <v>195.0</v>
      </c>
      <c r="C2343" s="27">
        <v>14.0</v>
      </c>
      <c r="D2343" s="8" t="s">
        <v>3139</v>
      </c>
      <c r="E2343" s="7">
        <v>0.0</v>
      </c>
      <c r="F2343" s="7"/>
      <c r="G2343" s="7" t="s">
        <v>313</v>
      </c>
      <c r="H2343" s="7" t="s">
        <v>312</v>
      </c>
      <c r="I2343" s="10"/>
      <c r="J2343" s="11"/>
      <c r="K2343" s="12"/>
      <c r="L2343" s="12"/>
      <c r="M2343" s="10"/>
      <c r="N2343" s="10"/>
      <c r="O2343" s="10"/>
      <c r="P2343" s="10"/>
      <c r="Q2343" s="10"/>
      <c r="R2343" s="10"/>
      <c r="S2343" s="10"/>
      <c r="T2343" s="10"/>
      <c r="U2343" s="10"/>
      <c r="V2343" s="10"/>
      <c r="W2343" s="10"/>
      <c r="X2343" s="10"/>
      <c r="Y2343" s="10"/>
      <c r="Z2343" s="10"/>
      <c r="AA2343" s="10"/>
      <c r="AB2343" s="10"/>
      <c r="AC2343" s="10"/>
      <c r="AD2343" s="10"/>
      <c r="AE2343" s="10"/>
      <c r="AF2343" s="10"/>
    </row>
    <row r="2344">
      <c r="A2344" s="7"/>
      <c r="B2344" s="26">
        <v>195.0</v>
      </c>
      <c r="C2344" s="27">
        <v>15.0</v>
      </c>
      <c r="D2344" s="8" t="s">
        <v>3140</v>
      </c>
      <c r="E2344" s="7">
        <v>2.0</v>
      </c>
      <c r="F2344" s="7" t="s">
        <v>320</v>
      </c>
      <c r="G2344" s="7" t="s">
        <v>313</v>
      </c>
      <c r="H2344" s="7" t="s">
        <v>312</v>
      </c>
      <c r="I2344" s="10"/>
      <c r="J2344" s="9" t="s">
        <v>850</v>
      </c>
      <c r="K2344" s="8" t="s">
        <v>3141</v>
      </c>
      <c r="L2344" s="12"/>
      <c r="M2344" s="10"/>
      <c r="N2344" s="10"/>
      <c r="O2344" s="10"/>
      <c r="P2344" s="10"/>
      <c r="Q2344" s="10"/>
      <c r="R2344" s="10"/>
      <c r="S2344" s="10"/>
      <c r="T2344" s="10"/>
      <c r="U2344" s="10"/>
      <c r="V2344" s="10"/>
      <c r="W2344" s="10"/>
      <c r="X2344" s="10"/>
      <c r="Y2344" s="10"/>
      <c r="Z2344" s="10"/>
      <c r="AA2344" s="10"/>
      <c r="AB2344" s="10"/>
      <c r="AC2344" s="10"/>
      <c r="AD2344" s="10"/>
      <c r="AE2344" s="10"/>
      <c r="AF2344" s="10"/>
    </row>
    <row r="2345">
      <c r="A2345" s="21" t="s">
        <v>196</v>
      </c>
      <c r="B2345" s="12"/>
      <c r="C2345" s="12"/>
      <c r="D2345" s="12"/>
      <c r="E2345" s="10"/>
      <c r="F2345" s="10"/>
      <c r="G2345" s="10"/>
      <c r="H2345" s="10"/>
      <c r="I2345" s="10"/>
      <c r="J2345" s="11"/>
      <c r="K2345" s="12"/>
      <c r="L2345" s="12"/>
      <c r="M2345" s="10"/>
      <c r="N2345" s="10"/>
      <c r="O2345" s="10"/>
      <c r="P2345" s="10"/>
      <c r="Q2345" s="10"/>
      <c r="R2345" s="10"/>
      <c r="S2345" s="10"/>
      <c r="T2345" s="10"/>
      <c r="U2345" s="10"/>
      <c r="V2345" s="10"/>
      <c r="W2345" s="10"/>
      <c r="X2345" s="10"/>
      <c r="Y2345" s="10"/>
      <c r="Z2345" s="10"/>
      <c r="AA2345" s="10"/>
      <c r="AB2345" s="10"/>
      <c r="AC2345" s="10"/>
      <c r="AD2345" s="10"/>
      <c r="AE2345" s="10"/>
      <c r="AF2345" s="10"/>
    </row>
    <row r="2346">
      <c r="A2346" s="7"/>
      <c r="B2346" s="26">
        <v>196.0</v>
      </c>
      <c r="C2346" s="27">
        <v>1.0</v>
      </c>
      <c r="D2346" s="8" t="s">
        <v>3142</v>
      </c>
      <c r="E2346" s="7">
        <v>2.0</v>
      </c>
      <c r="F2346" s="7" t="s">
        <v>320</v>
      </c>
      <c r="G2346" s="7" t="s">
        <v>313</v>
      </c>
      <c r="H2346" s="7" t="s">
        <v>312</v>
      </c>
      <c r="I2346" s="10"/>
      <c r="J2346" s="9" t="s">
        <v>850</v>
      </c>
      <c r="K2346" s="8" t="s">
        <v>3143</v>
      </c>
      <c r="L2346" s="14" t="s">
        <v>3144</v>
      </c>
      <c r="M2346" s="10"/>
      <c r="N2346" s="10"/>
      <c r="O2346" s="10"/>
      <c r="P2346" s="10"/>
      <c r="Q2346" s="10"/>
      <c r="R2346" s="10"/>
      <c r="S2346" s="10"/>
      <c r="T2346" s="10"/>
      <c r="U2346" s="10"/>
      <c r="V2346" s="10"/>
      <c r="W2346" s="10"/>
      <c r="X2346" s="10"/>
      <c r="Y2346" s="10"/>
      <c r="Z2346" s="10"/>
      <c r="AA2346" s="10"/>
      <c r="AB2346" s="10"/>
      <c r="AC2346" s="10"/>
      <c r="AD2346" s="10"/>
      <c r="AE2346" s="10"/>
      <c r="AF2346" s="10"/>
    </row>
    <row r="2347">
      <c r="A2347" s="7"/>
      <c r="B2347" s="26">
        <v>196.0</v>
      </c>
      <c r="C2347" s="27">
        <v>2.0</v>
      </c>
      <c r="D2347" s="8" t="s">
        <v>3145</v>
      </c>
      <c r="E2347" s="7">
        <v>2.0</v>
      </c>
      <c r="F2347" s="7" t="s">
        <v>320</v>
      </c>
      <c r="G2347" s="7" t="s">
        <v>313</v>
      </c>
      <c r="H2347" s="7" t="s">
        <v>312</v>
      </c>
      <c r="I2347" s="10"/>
      <c r="J2347" s="9" t="s">
        <v>850</v>
      </c>
      <c r="K2347" s="8" t="s">
        <v>3146</v>
      </c>
      <c r="L2347" s="14" t="s">
        <v>3144</v>
      </c>
      <c r="M2347" s="10"/>
      <c r="N2347" s="10"/>
      <c r="O2347" s="10"/>
      <c r="P2347" s="10"/>
      <c r="Q2347" s="10"/>
      <c r="R2347" s="10"/>
      <c r="S2347" s="10"/>
      <c r="T2347" s="10"/>
      <c r="U2347" s="10"/>
      <c r="V2347" s="10"/>
      <c r="W2347" s="10"/>
      <c r="X2347" s="10"/>
      <c r="Y2347" s="10"/>
      <c r="Z2347" s="10"/>
      <c r="AA2347" s="10"/>
      <c r="AB2347" s="10"/>
      <c r="AC2347" s="10"/>
      <c r="AD2347" s="10"/>
      <c r="AE2347" s="10"/>
      <c r="AF2347" s="10"/>
    </row>
    <row r="2348">
      <c r="A2348" s="7"/>
      <c r="B2348" s="26">
        <v>196.0</v>
      </c>
      <c r="C2348" s="27">
        <v>3.0</v>
      </c>
      <c r="D2348" s="8" t="s">
        <v>3147</v>
      </c>
      <c r="E2348" s="7">
        <v>0.0</v>
      </c>
      <c r="F2348" s="7"/>
      <c r="G2348" s="7" t="s">
        <v>313</v>
      </c>
      <c r="H2348" s="7" t="s">
        <v>312</v>
      </c>
      <c r="I2348" s="10"/>
      <c r="J2348" s="11"/>
      <c r="K2348" s="12"/>
      <c r="L2348" s="14" t="s">
        <v>3144</v>
      </c>
      <c r="M2348" s="10"/>
      <c r="N2348" s="10"/>
      <c r="O2348" s="10"/>
      <c r="P2348" s="10"/>
      <c r="Q2348" s="10"/>
      <c r="R2348" s="10"/>
      <c r="S2348" s="10"/>
      <c r="T2348" s="10"/>
      <c r="U2348" s="10"/>
      <c r="V2348" s="10"/>
      <c r="W2348" s="10"/>
      <c r="X2348" s="10"/>
      <c r="Y2348" s="10"/>
      <c r="Z2348" s="10"/>
      <c r="AA2348" s="10"/>
      <c r="AB2348" s="10"/>
      <c r="AC2348" s="10"/>
      <c r="AD2348" s="10"/>
      <c r="AE2348" s="10"/>
      <c r="AF2348" s="10"/>
    </row>
    <row r="2349">
      <c r="A2349" s="21" t="s">
        <v>197</v>
      </c>
      <c r="B2349" s="12"/>
      <c r="C2349" s="12"/>
      <c r="D2349" s="12"/>
      <c r="E2349" s="10"/>
      <c r="F2349" s="10"/>
      <c r="G2349" s="10"/>
      <c r="H2349" s="10"/>
      <c r="I2349" s="10"/>
      <c r="J2349" s="11"/>
      <c r="K2349" s="12"/>
      <c r="L2349" s="12"/>
      <c r="M2349" s="10"/>
      <c r="N2349" s="10"/>
      <c r="O2349" s="10"/>
      <c r="P2349" s="10"/>
      <c r="Q2349" s="10"/>
      <c r="R2349" s="10"/>
      <c r="S2349" s="10"/>
      <c r="T2349" s="10"/>
      <c r="U2349" s="10"/>
      <c r="V2349" s="10"/>
      <c r="W2349" s="10"/>
      <c r="X2349" s="10"/>
      <c r="Y2349" s="10"/>
      <c r="Z2349" s="10"/>
      <c r="AA2349" s="10"/>
      <c r="AB2349" s="10"/>
      <c r="AC2349" s="10"/>
      <c r="AD2349" s="10"/>
      <c r="AE2349" s="10"/>
      <c r="AF2349" s="10"/>
    </row>
    <row r="2350">
      <c r="A2350" s="7"/>
      <c r="B2350" s="26">
        <v>197.0</v>
      </c>
      <c r="C2350" s="27">
        <v>1.0</v>
      </c>
      <c r="D2350" s="8" t="s">
        <v>3148</v>
      </c>
      <c r="E2350" s="7">
        <v>2.0</v>
      </c>
      <c r="F2350" s="7" t="s">
        <v>320</v>
      </c>
      <c r="G2350" s="7" t="s">
        <v>313</v>
      </c>
      <c r="H2350" s="7" t="s">
        <v>312</v>
      </c>
      <c r="I2350" s="10"/>
      <c r="J2350" s="9" t="s">
        <v>850</v>
      </c>
      <c r="K2350" s="8" t="s">
        <v>3149</v>
      </c>
      <c r="L2350" s="12"/>
      <c r="M2350" s="10"/>
      <c r="N2350" s="10"/>
      <c r="O2350" s="10"/>
      <c r="P2350" s="10"/>
      <c r="Q2350" s="10"/>
      <c r="R2350" s="10"/>
      <c r="S2350" s="10"/>
      <c r="T2350" s="10"/>
      <c r="U2350" s="10"/>
      <c r="V2350" s="10"/>
      <c r="W2350" s="10"/>
      <c r="X2350" s="10"/>
      <c r="Y2350" s="10"/>
      <c r="Z2350" s="10"/>
      <c r="AA2350" s="10"/>
      <c r="AB2350" s="10"/>
      <c r="AC2350" s="10"/>
      <c r="AD2350" s="10"/>
      <c r="AE2350" s="10"/>
      <c r="AF2350" s="10"/>
    </row>
    <row r="2351">
      <c r="A2351" s="7"/>
      <c r="B2351" s="26">
        <v>197.0</v>
      </c>
      <c r="C2351" s="27">
        <v>2.0</v>
      </c>
      <c r="D2351" s="8" t="s">
        <v>3150</v>
      </c>
      <c r="E2351" s="7">
        <v>0.0</v>
      </c>
      <c r="F2351" s="7"/>
      <c r="G2351" s="7" t="s">
        <v>313</v>
      </c>
      <c r="H2351" s="7" t="s">
        <v>312</v>
      </c>
      <c r="I2351" s="10"/>
      <c r="J2351" s="9"/>
      <c r="K2351" s="12"/>
      <c r="L2351" s="12"/>
      <c r="M2351" s="10"/>
      <c r="N2351" s="10"/>
      <c r="O2351" s="10"/>
      <c r="P2351" s="10"/>
      <c r="Q2351" s="10"/>
      <c r="R2351" s="10"/>
      <c r="S2351" s="10"/>
      <c r="T2351" s="10"/>
      <c r="U2351" s="10"/>
      <c r="V2351" s="10"/>
      <c r="W2351" s="10"/>
      <c r="X2351" s="10"/>
      <c r="Y2351" s="10"/>
      <c r="Z2351" s="10"/>
      <c r="AA2351" s="10"/>
      <c r="AB2351" s="10"/>
      <c r="AC2351" s="10"/>
      <c r="AD2351" s="10"/>
      <c r="AE2351" s="10"/>
      <c r="AF2351" s="10"/>
    </row>
    <row r="2352">
      <c r="A2352" s="7"/>
      <c r="B2352" s="26">
        <v>197.0</v>
      </c>
      <c r="C2352" s="27">
        <v>3.0</v>
      </c>
      <c r="D2352" s="8" t="s">
        <v>3151</v>
      </c>
      <c r="E2352" s="7">
        <v>0.0</v>
      </c>
      <c r="F2352" s="7"/>
      <c r="G2352" s="7" t="s">
        <v>313</v>
      </c>
      <c r="H2352" s="7" t="s">
        <v>312</v>
      </c>
      <c r="I2352" s="10"/>
      <c r="J2352" s="11"/>
      <c r="K2352" s="12"/>
      <c r="L2352" s="12"/>
      <c r="M2352" s="10"/>
      <c r="N2352" s="10"/>
      <c r="O2352" s="10"/>
      <c r="P2352" s="10"/>
      <c r="Q2352" s="10"/>
      <c r="R2352" s="10"/>
      <c r="S2352" s="10"/>
      <c r="T2352" s="10"/>
      <c r="U2352" s="10"/>
      <c r="V2352" s="10"/>
      <c r="W2352" s="10"/>
      <c r="X2352" s="10"/>
      <c r="Y2352" s="10"/>
      <c r="Z2352" s="10"/>
      <c r="AA2352" s="10"/>
      <c r="AB2352" s="10"/>
      <c r="AC2352" s="10"/>
      <c r="AD2352" s="10"/>
      <c r="AE2352" s="10"/>
      <c r="AF2352" s="10"/>
    </row>
    <row r="2353">
      <c r="A2353" s="7"/>
      <c r="B2353" s="26">
        <v>197.0</v>
      </c>
      <c r="C2353" s="27">
        <v>4.0</v>
      </c>
      <c r="D2353" s="8" t="s">
        <v>3152</v>
      </c>
      <c r="E2353" s="7">
        <v>0.0</v>
      </c>
      <c r="F2353" s="7"/>
      <c r="G2353" s="7" t="s">
        <v>313</v>
      </c>
      <c r="H2353" s="7" t="s">
        <v>312</v>
      </c>
      <c r="I2353" s="10"/>
      <c r="J2353" s="11"/>
      <c r="K2353" s="12"/>
      <c r="L2353" s="12"/>
      <c r="M2353" s="10"/>
      <c r="N2353" s="10"/>
      <c r="O2353" s="10"/>
      <c r="P2353" s="10"/>
      <c r="Q2353" s="10"/>
      <c r="R2353" s="10"/>
      <c r="S2353" s="10"/>
      <c r="T2353" s="10"/>
      <c r="U2353" s="10"/>
      <c r="V2353" s="10"/>
      <c r="W2353" s="10"/>
      <c r="X2353" s="10"/>
      <c r="Y2353" s="10"/>
      <c r="Z2353" s="10"/>
      <c r="AA2353" s="10"/>
      <c r="AB2353" s="10"/>
      <c r="AC2353" s="10"/>
      <c r="AD2353" s="10"/>
      <c r="AE2353" s="10"/>
      <c r="AF2353" s="10"/>
    </row>
    <row r="2354">
      <c r="A2354" s="7"/>
      <c r="B2354" s="26">
        <v>197.0</v>
      </c>
      <c r="C2354" s="27">
        <v>5.0</v>
      </c>
      <c r="D2354" s="8" t="s">
        <v>3153</v>
      </c>
      <c r="E2354" s="7">
        <v>0.0</v>
      </c>
      <c r="F2354" s="7"/>
      <c r="G2354" s="7" t="s">
        <v>313</v>
      </c>
      <c r="H2354" s="7" t="s">
        <v>312</v>
      </c>
      <c r="I2354" s="10"/>
      <c r="J2354" s="11"/>
      <c r="K2354" s="12"/>
      <c r="L2354" s="12"/>
      <c r="M2354" s="10"/>
      <c r="N2354" s="10"/>
      <c r="O2354" s="10"/>
      <c r="P2354" s="10"/>
      <c r="Q2354" s="10"/>
      <c r="R2354" s="10"/>
      <c r="S2354" s="10"/>
      <c r="T2354" s="10"/>
      <c r="U2354" s="10"/>
      <c r="V2354" s="10"/>
      <c r="W2354" s="10"/>
      <c r="X2354" s="10"/>
      <c r="Y2354" s="10"/>
      <c r="Z2354" s="10"/>
      <c r="AA2354" s="10"/>
      <c r="AB2354" s="10"/>
      <c r="AC2354" s="10"/>
      <c r="AD2354" s="10"/>
      <c r="AE2354" s="10"/>
      <c r="AF2354" s="10"/>
    </row>
    <row r="2355">
      <c r="A2355" s="7"/>
      <c r="B2355" s="26">
        <v>197.0</v>
      </c>
      <c r="C2355" s="27">
        <v>6.0</v>
      </c>
      <c r="D2355" s="8" t="s">
        <v>3154</v>
      </c>
      <c r="E2355" s="7">
        <v>0.0</v>
      </c>
      <c r="F2355" s="7"/>
      <c r="G2355" s="7" t="s">
        <v>313</v>
      </c>
      <c r="H2355" s="7" t="s">
        <v>312</v>
      </c>
      <c r="I2355" s="10"/>
      <c r="J2355" s="11"/>
      <c r="K2355" s="12"/>
      <c r="L2355" s="12"/>
      <c r="M2355" s="10"/>
      <c r="N2355" s="10"/>
      <c r="O2355" s="10"/>
      <c r="P2355" s="10"/>
      <c r="Q2355" s="10"/>
      <c r="R2355" s="10"/>
      <c r="S2355" s="10"/>
      <c r="T2355" s="10"/>
      <c r="U2355" s="10"/>
      <c r="V2355" s="10"/>
      <c r="W2355" s="10"/>
      <c r="X2355" s="10"/>
      <c r="Y2355" s="10"/>
      <c r="Z2355" s="10"/>
      <c r="AA2355" s="10"/>
      <c r="AB2355" s="10"/>
      <c r="AC2355" s="10"/>
      <c r="AD2355" s="10"/>
      <c r="AE2355" s="10"/>
      <c r="AF2355" s="10"/>
    </row>
    <row r="2356">
      <c r="A2356" s="7"/>
      <c r="B2356" s="26">
        <v>197.0</v>
      </c>
      <c r="C2356" s="27">
        <v>7.0</v>
      </c>
      <c r="D2356" s="8" t="s">
        <v>3155</v>
      </c>
      <c r="E2356" s="7">
        <v>0.0</v>
      </c>
      <c r="F2356" s="7"/>
      <c r="G2356" s="7" t="s">
        <v>313</v>
      </c>
      <c r="H2356" s="7" t="s">
        <v>312</v>
      </c>
      <c r="I2356" s="10"/>
      <c r="J2356" s="11"/>
      <c r="K2356" s="12"/>
      <c r="L2356" s="12"/>
      <c r="M2356" s="10"/>
      <c r="N2356" s="10"/>
      <c r="O2356" s="10"/>
      <c r="P2356" s="10"/>
      <c r="Q2356" s="10"/>
      <c r="R2356" s="10"/>
      <c r="S2356" s="10"/>
      <c r="T2356" s="10"/>
      <c r="U2356" s="10"/>
      <c r="V2356" s="10"/>
      <c r="W2356" s="10"/>
      <c r="X2356" s="10"/>
      <c r="Y2356" s="10"/>
      <c r="Z2356" s="10"/>
      <c r="AA2356" s="10"/>
      <c r="AB2356" s="10"/>
      <c r="AC2356" s="10"/>
      <c r="AD2356" s="10"/>
      <c r="AE2356" s="10"/>
      <c r="AF2356" s="10"/>
    </row>
    <row r="2357">
      <c r="A2357" s="7"/>
      <c r="B2357" s="26">
        <v>197.0</v>
      </c>
      <c r="C2357" s="27">
        <v>8.0</v>
      </c>
      <c r="D2357" s="8" t="s">
        <v>3156</v>
      </c>
      <c r="E2357" s="7">
        <v>0.0</v>
      </c>
      <c r="F2357" s="7"/>
      <c r="G2357" s="7" t="s">
        <v>313</v>
      </c>
      <c r="H2357" s="7" t="s">
        <v>312</v>
      </c>
      <c r="I2357" s="10"/>
      <c r="J2357" s="11"/>
      <c r="K2357" s="12"/>
      <c r="L2357" s="12"/>
      <c r="M2357" s="10"/>
      <c r="N2357" s="10"/>
      <c r="O2357" s="10"/>
      <c r="P2357" s="10"/>
      <c r="Q2357" s="10"/>
      <c r="R2357" s="10"/>
      <c r="S2357" s="10"/>
      <c r="T2357" s="10"/>
      <c r="U2357" s="10"/>
      <c r="V2357" s="10"/>
      <c r="W2357" s="10"/>
      <c r="X2357" s="10"/>
      <c r="Y2357" s="10"/>
      <c r="Z2357" s="10"/>
      <c r="AA2357" s="10"/>
      <c r="AB2357" s="10"/>
      <c r="AC2357" s="10"/>
      <c r="AD2357" s="10"/>
      <c r="AE2357" s="10"/>
      <c r="AF2357" s="10"/>
    </row>
    <row r="2358">
      <c r="A2358" s="7"/>
      <c r="B2358" s="26">
        <v>197.0</v>
      </c>
      <c r="C2358" s="27">
        <v>9.0</v>
      </c>
      <c r="D2358" s="8" t="s">
        <v>3157</v>
      </c>
      <c r="E2358" s="7">
        <v>2.0</v>
      </c>
      <c r="F2358" s="7" t="s">
        <v>320</v>
      </c>
      <c r="G2358" s="7" t="s">
        <v>313</v>
      </c>
      <c r="H2358" s="7" t="s">
        <v>312</v>
      </c>
      <c r="I2358" s="10"/>
      <c r="J2358" s="9" t="s">
        <v>850</v>
      </c>
      <c r="K2358" s="8" t="s">
        <v>3158</v>
      </c>
      <c r="L2358" s="12"/>
      <c r="M2358" s="10"/>
      <c r="N2358" s="10"/>
      <c r="O2358" s="10"/>
      <c r="P2358" s="10"/>
      <c r="Q2358" s="10"/>
      <c r="R2358" s="10"/>
      <c r="S2358" s="10"/>
      <c r="T2358" s="10"/>
      <c r="U2358" s="10"/>
      <c r="V2358" s="10"/>
      <c r="W2358" s="10"/>
      <c r="X2358" s="10"/>
      <c r="Y2358" s="10"/>
      <c r="Z2358" s="10"/>
      <c r="AA2358" s="10"/>
      <c r="AB2358" s="10"/>
      <c r="AC2358" s="10"/>
      <c r="AD2358" s="10"/>
      <c r="AE2358" s="10"/>
      <c r="AF2358" s="10"/>
    </row>
    <row r="2359">
      <c r="A2359" s="7"/>
      <c r="B2359" s="26">
        <v>197.0</v>
      </c>
      <c r="C2359" s="27">
        <v>10.0</v>
      </c>
      <c r="D2359" s="8" t="s">
        <v>3159</v>
      </c>
      <c r="E2359" s="7">
        <v>2.0</v>
      </c>
      <c r="F2359" s="7" t="s">
        <v>320</v>
      </c>
      <c r="G2359" s="7" t="s">
        <v>313</v>
      </c>
      <c r="H2359" s="7" t="s">
        <v>312</v>
      </c>
      <c r="I2359" s="10"/>
      <c r="J2359" s="9" t="s">
        <v>850</v>
      </c>
      <c r="K2359" s="8" t="s">
        <v>3160</v>
      </c>
      <c r="L2359" s="12"/>
      <c r="M2359" s="10"/>
      <c r="N2359" s="10"/>
      <c r="O2359" s="10"/>
      <c r="P2359" s="10"/>
      <c r="Q2359" s="10"/>
      <c r="R2359" s="10"/>
      <c r="S2359" s="10"/>
      <c r="T2359" s="10"/>
      <c r="U2359" s="10"/>
      <c r="V2359" s="10"/>
      <c r="W2359" s="10"/>
      <c r="X2359" s="10"/>
      <c r="Y2359" s="10"/>
      <c r="Z2359" s="10"/>
      <c r="AA2359" s="10"/>
      <c r="AB2359" s="10"/>
      <c r="AC2359" s="10"/>
      <c r="AD2359" s="10"/>
      <c r="AE2359" s="10"/>
      <c r="AF2359" s="10"/>
    </row>
    <row r="2360">
      <c r="A2360" s="21" t="s">
        <v>198</v>
      </c>
      <c r="B2360" s="12"/>
      <c r="C2360" s="12"/>
      <c r="D2360" s="12"/>
      <c r="E2360" s="10"/>
      <c r="F2360" s="10"/>
      <c r="G2360" s="10"/>
      <c r="H2360" s="10"/>
      <c r="I2360" s="10"/>
      <c r="J2360" s="11"/>
      <c r="K2360" s="12"/>
      <c r="L2360" s="12"/>
      <c r="M2360" s="10"/>
      <c r="N2360" s="10"/>
      <c r="O2360" s="10"/>
      <c r="P2360" s="10"/>
      <c r="Q2360" s="10"/>
      <c r="R2360" s="10"/>
      <c r="S2360" s="10"/>
      <c r="T2360" s="10"/>
      <c r="U2360" s="10"/>
      <c r="V2360" s="10"/>
      <c r="W2360" s="10"/>
      <c r="X2360" s="10"/>
      <c r="Y2360" s="10"/>
      <c r="Z2360" s="10"/>
      <c r="AA2360" s="10"/>
      <c r="AB2360" s="10"/>
      <c r="AC2360" s="10"/>
      <c r="AD2360" s="10"/>
      <c r="AE2360" s="10"/>
      <c r="AF2360" s="10"/>
    </row>
    <row r="2361">
      <c r="A2361" s="7"/>
      <c r="B2361" s="8">
        <v>198.0</v>
      </c>
      <c r="C2361" s="8">
        <v>1.0</v>
      </c>
      <c r="D2361" s="8" t="s">
        <v>3161</v>
      </c>
      <c r="E2361" s="7">
        <v>2.0</v>
      </c>
      <c r="F2361" s="7" t="s">
        <v>320</v>
      </c>
      <c r="G2361" s="7" t="s">
        <v>313</v>
      </c>
      <c r="H2361" s="7" t="s">
        <v>312</v>
      </c>
      <c r="I2361" s="10"/>
      <c r="J2361" s="9" t="s">
        <v>850</v>
      </c>
      <c r="K2361" s="8" t="s">
        <v>3162</v>
      </c>
      <c r="L2361" s="12"/>
      <c r="M2361" s="10"/>
      <c r="N2361" s="10"/>
      <c r="O2361" s="10"/>
      <c r="P2361" s="10"/>
      <c r="Q2361" s="10"/>
      <c r="R2361" s="10"/>
      <c r="S2361" s="10"/>
      <c r="T2361" s="10"/>
      <c r="U2361" s="10"/>
      <c r="V2361" s="10"/>
      <c r="W2361" s="10"/>
      <c r="X2361" s="10"/>
      <c r="Y2361" s="10"/>
      <c r="Z2361" s="10"/>
      <c r="AA2361" s="10"/>
      <c r="AB2361" s="10"/>
      <c r="AC2361" s="10"/>
      <c r="AD2361" s="10"/>
      <c r="AE2361" s="10"/>
      <c r="AF2361" s="10"/>
    </row>
    <row r="2362">
      <c r="A2362" s="21" t="s">
        <v>199</v>
      </c>
      <c r="B2362" s="12"/>
      <c r="C2362" s="12"/>
      <c r="D2362" s="12"/>
      <c r="E2362" s="10"/>
      <c r="F2362" s="10"/>
      <c r="G2362" s="10"/>
      <c r="H2362" s="10"/>
      <c r="I2362" s="10"/>
      <c r="J2362" s="11"/>
      <c r="K2362" s="12"/>
      <c r="L2362" s="12"/>
      <c r="M2362" s="10"/>
      <c r="N2362" s="10"/>
      <c r="O2362" s="10"/>
      <c r="P2362" s="10"/>
      <c r="Q2362" s="10"/>
      <c r="R2362" s="10"/>
      <c r="S2362" s="10"/>
      <c r="T2362" s="10"/>
      <c r="U2362" s="10"/>
      <c r="V2362" s="10"/>
      <c r="W2362" s="10"/>
      <c r="X2362" s="10"/>
      <c r="Y2362" s="10"/>
      <c r="Z2362" s="10"/>
      <c r="AA2362" s="10"/>
      <c r="AB2362" s="10"/>
      <c r="AC2362" s="10"/>
      <c r="AD2362" s="10"/>
      <c r="AE2362" s="10"/>
      <c r="AF2362" s="10"/>
    </row>
    <row r="2363">
      <c r="A2363" s="7"/>
      <c r="B2363" s="26">
        <v>199.0</v>
      </c>
      <c r="C2363" s="27">
        <v>1.0</v>
      </c>
      <c r="D2363" s="8" t="s">
        <v>3163</v>
      </c>
      <c r="E2363" s="7">
        <v>0.0</v>
      </c>
      <c r="F2363" s="7"/>
      <c r="G2363" s="7" t="s">
        <v>313</v>
      </c>
      <c r="H2363" s="7" t="s">
        <v>312</v>
      </c>
      <c r="I2363" s="10"/>
      <c r="J2363" s="9" t="s">
        <v>3164</v>
      </c>
      <c r="K2363" s="12"/>
      <c r="L2363" s="12"/>
      <c r="M2363" s="10"/>
      <c r="N2363" s="10"/>
      <c r="O2363" s="10"/>
      <c r="P2363" s="10"/>
      <c r="Q2363" s="10"/>
      <c r="R2363" s="10"/>
      <c r="S2363" s="10"/>
      <c r="T2363" s="10"/>
      <c r="U2363" s="10"/>
      <c r="V2363" s="10"/>
      <c r="W2363" s="10"/>
      <c r="X2363" s="10"/>
      <c r="Y2363" s="10"/>
      <c r="Z2363" s="10"/>
      <c r="AA2363" s="10"/>
      <c r="AB2363" s="10"/>
      <c r="AC2363" s="10"/>
      <c r="AD2363" s="10"/>
      <c r="AE2363" s="10"/>
      <c r="AF2363" s="10"/>
    </row>
    <row r="2364">
      <c r="A2364" s="7"/>
      <c r="B2364" s="26">
        <v>199.0</v>
      </c>
      <c r="C2364" s="27">
        <v>2.0</v>
      </c>
      <c r="D2364" s="8" t="s">
        <v>3165</v>
      </c>
      <c r="E2364" s="7">
        <v>2.0</v>
      </c>
      <c r="F2364" s="7" t="s">
        <v>320</v>
      </c>
      <c r="G2364" s="7" t="s">
        <v>313</v>
      </c>
      <c r="H2364" s="7" t="s">
        <v>312</v>
      </c>
      <c r="I2364" s="10"/>
      <c r="J2364" s="9" t="s">
        <v>850</v>
      </c>
      <c r="K2364" s="8" t="s">
        <v>3166</v>
      </c>
      <c r="L2364" s="12"/>
      <c r="M2364" s="10"/>
      <c r="N2364" s="10"/>
      <c r="O2364" s="10"/>
      <c r="P2364" s="10"/>
      <c r="Q2364" s="10"/>
      <c r="R2364" s="10"/>
      <c r="S2364" s="10"/>
      <c r="T2364" s="10"/>
      <c r="U2364" s="10"/>
      <c r="V2364" s="10"/>
      <c r="W2364" s="10"/>
      <c r="X2364" s="10"/>
      <c r="Y2364" s="10"/>
      <c r="Z2364" s="10"/>
      <c r="AA2364" s="10"/>
      <c r="AB2364" s="10"/>
      <c r="AC2364" s="10"/>
      <c r="AD2364" s="10"/>
      <c r="AE2364" s="10"/>
      <c r="AF2364" s="10"/>
    </row>
    <row r="2365">
      <c r="A2365" s="7"/>
      <c r="B2365" s="26">
        <v>199.0</v>
      </c>
      <c r="C2365" s="27">
        <v>3.0</v>
      </c>
      <c r="D2365" s="8" t="s">
        <v>3167</v>
      </c>
      <c r="E2365" s="7">
        <v>0.0</v>
      </c>
      <c r="F2365" s="7"/>
      <c r="G2365" s="7" t="s">
        <v>313</v>
      </c>
      <c r="H2365" s="7" t="s">
        <v>312</v>
      </c>
      <c r="I2365" s="10"/>
      <c r="J2365" s="11"/>
      <c r="K2365" s="12"/>
      <c r="L2365" s="12"/>
      <c r="M2365" s="10"/>
      <c r="N2365" s="10"/>
      <c r="O2365" s="10"/>
      <c r="P2365" s="10"/>
      <c r="Q2365" s="10"/>
      <c r="R2365" s="10"/>
      <c r="S2365" s="10"/>
      <c r="T2365" s="10"/>
      <c r="U2365" s="10"/>
      <c r="V2365" s="10"/>
      <c r="W2365" s="10"/>
      <c r="X2365" s="10"/>
      <c r="Y2365" s="10"/>
      <c r="Z2365" s="10"/>
      <c r="AA2365" s="10"/>
      <c r="AB2365" s="10"/>
      <c r="AC2365" s="10"/>
      <c r="AD2365" s="10"/>
      <c r="AE2365" s="10"/>
      <c r="AF2365" s="10"/>
    </row>
    <row r="2366">
      <c r="A2366" s="7"/>
      <c r="B2366" s="26">
        <v>199.0</v>
      </c>
      <c r="C2366" s="27">
        <v>4.0</v>
      </c>
      <c r="D2366" s="8" t="s">
        <v>3168</v>
      </c>
      <c r="E2366" s="7">
        <v>0.0</v>
      </c>
      <c r="F2366" s="7"/>
      <c r="G2366" s="7" t="s">
        <v>313</v>
      </c>
      <c r="H2366" s="7" t="s">
        <v>312</v>
      </c>
      <c r="I2366" s="10"/>
      <c r="J2366" s="11"/>
      <c r="K2366" s="20" t="s">
        <v>3169</v>
      </c>
      <c r="L2366" s="12"/>
      <c r="M2366" s="10"/>
      <c r="N2366" s="10"/>
      <c r="O2366" s="10"/>
      <c r="P2366" s="10"/>
      <c r="Q2366" s="10"/>
      <c r="R2366" s="10"/>
      <c r="S2366" s="10"/>
      <c r="T2366" s="10"/>
      <c r="U2366" s="10"/>
      <c r="V2366" s="10"/>
      <c r="W2366" s="10"/>
      <c r="X2366" s="10"/>
      <c r="Y2366" s="10"/>
      <c r="Z2366" s="10"/>
      <c r="AA2366" s="10"/>
      <c r="AB2366" s="10"/>
      <c r="AC2366" s="10"/>
      <c r="AD2366" s="10"/>
      <c r="AE2366" s="10"/>
      <c r="AF2366" s="10"/>
    </row>
    <row r="2367">
      <c r="A2367" s="7"/>
      <c r="B2367" s="26">
        <v>199.0</v>
      </c>
      <c r="C2367" s="27">
        <v>5.0</v>
      </c>
      <c r="D2367" s="8" t="s">
        <v>3170</v>
      </c>
      <c r="E2367" s="7">
        <v>2.0</v>
      </c>
      <c r="F2367" s="7" t="s">
        <v>320</v>
      </c>
      <c r="G2367" s="7" t="s">
        <v>313</v>
      </c>
      <c r="H2367" s="7" t="s">
        <v>312</v>
      </c>
      <c r="I2367" s="7" t="s">
        <v>366</v>
      </c>
      <c r="J2367" s="9" t="s">
        <v>3171</v>
      </c>
      <c r="K2367" s="8" t="s">
        <v>851</v>
      </c>
      <c r="L2367" s="12"/>
      <c r="M2367" s="10"/>
      <c r="N2367" s="10"/>
      <c r="O2367" s="10"/>
      <c r="P2367" s="10"/>
      <c r="Q2367" s="10"/>
      <c r="R2367" s="10"/>
      <c r="S2367" s="10"/>
      <c r="T2367" s="10"/>
      <c r="U2367" s="10"/>
      <c r="V2367" s="10"/>
      <c r="W2367" s="10"/>
      <c r="X2367" s="10"/>
      <c r="Y2367" s="10"/>
      <c r="Z2367" s="10"/>
      <c r="AA2367" s="10"/>
      <c r="AB2367" s="10"/>
      <c r="AC2367" s="10"/>
      <c r="AD2367" s="10"/>
      <c r="AE2367" s="10"/>
      <c r="AF2367" s="10"/>
    </row>
    <row r="2368">
      <c r="A2368" s="7"/>
      <c r="B2368" s="26">
        <v>199.0</v>
      </c>
      <c r="C2368" s="27">
        <v>6.0</v>
      </c>
      <c r="D2368" s="8" t="s">
        <v>3172</v>
      </c>
      <c r="E2368" s="7">
        <v>2.0</v>
      </c>
      <c r="F2368" s="7" t="s">
        <v>320</v>
      </c>
      <c r="G2368" s="7" t="s">
        <v>313</v>
      </c>
      <c r="H2368" s="7" t="s">
        <v>312</v>
      </c>
      <c r="I2368" s="10"/>
      <c r="J2368" s="9" t="s">
        <v>850</v>
      </c>
      <c r="K2368" s="8" t="s">
        <v>3173</v>
      </c>
      <c r="L2368" s="12"/>
      <c r="M2368" s="10"/>
      <c r="N2368" s="10"/>
      <c r="O2368" s="10"/>
      <c r="P2368" s="10"/>
      <c r="Q2368" s="10"/>
      <c r="R2368" s="10"/>
      <c r="S2368" s="10"/>
      <c r="T2368" s="10"/>
      <c r="U2368" s="10"/>
      <c r="V2368" s="10"/>
      <c r="W2368" s="10"/>
      <c r="X2368" s="10"/>
      <c r="Y2368" s="10"/>
      <c r="Z2368" s="10"/>
      <c r="AA2368" s="10"/>
      <c r="AB2368" s="10"/>
      <c r="AC2368" s="10"/>
      <c r="AD2368" s="10"/>
      <c r="AE2368" s="10"/>
      <c r="AF2368" s="10"/>
    </row>
    <row r="2369">
      <c r="A2369" s="7"/>
      <c r="B2369" s="26">
        <v>199.0</v>
      </c>
      <c r="C2369" s="27">
        <v>7.0</v>
      </c>
      <c r="D2369" s="8" t="s">
        <v>3174</v>
      </c>
      <c r="E2369" s="7">
        <v>0.0</v>
      </c>
      <c r="F2369" s="7"/>
      <c r="G2369" s="7" t="s">
        <v>313</v>
      </c>
      <c r="H2369" s="7" t="s">
        <v>312</v>
      </c>
      <c r="I2369" s="10"/>
      <c r="J2369" s="11"/>
      <c r="K2369" s="12"/>
      <c r="L2369" s="12"/>
      <c r="M2369" s="10"/>
      <c r="N2369" s="10"/>
      <c r="O2369" s="10"/>
      <c r="P2369" s="10"/>
      <c r="Q2369" s="10"/>
      <c r="R2369" s="10"/>
      <c r="S2369" s="10"/>
      <c r="T2369" s="10"/>
      <c r="U2369" s="10"/>
      <c r="V2369" s="10"/>
      <c r="W2369" s="10"/>
      <c r="X2369" s="10"/>
      <c r="Y2369" s="10"/>
      <c r="Z2369" s="10"/>
      <c r="AA2369" s="10"/>
      <c r="AB2369" s="10"/>
      <c r="AC2369" s="10"/>
      <c r="AD2369" s="10"/>
      <c r="AE2369" s="10"/>
      <c r="AF2369" s="10"/>
    </row>
    <row r="2370">
      <c r="A2370" s="7"/>
      <c r="B2370" s="26">
        <v>199.0</v>
      </c>
      <c r="C2370" s="27">
        <v>8.0</v>
      </c>
      <c r="D2370" s="8" t="s">
        <v>3175</v>
      </c>
      <c r="E2370" s="7">
        <v>0.0</v>
      </c>
      <c r="F2370" s="7"/>
      <c r="G2370" s="7" t="s">
        <v>313</v>
      </c>
      <c r="H2370" s="7" t="s">
        <v>312</v>
      </c>
      <c r="I2370" s="10"/>
      <c r="J2370" s="11"/>
      <c r="K2370" s="20" t="s">
        <v>3169</v>
      </c>
      <c r="L2370" s="12"/>
      <c r="M2370" s="10"/>
      <c r="N2370" s="10"/>
      <c r="O2370" s="10"/>
      <c r="P2370" s="10"/>
      <c r="Q2370" s="10"/>
      <c r="R2370" s="10"/>
      <c r="S2370" s="10"/>
      <c r="T2370" s="10"/>
      <c r="U2370" s="10"/>
      <c r="V2370" s="10"/>
      <c r="W2370" s="10"/>
      <c r="X2370" s="10"/>
      <c r="Y2370" s="10"/>
      <c r="Z2370" s="10"/>
      <c r="AA2370" s="10"/>
      <c r="AB2370" s="10"/>
      <c r="AC2370" s="10"/>
      <c r="AD2370" s="10"/>
      <c r="AE2370" s="10"/>
      <c r="AF2370" s="10"/>
    </row>
    <row r="2371">
      <c r="A2371" s="7"/>
      <c r="B2371" s="26">
        <v>199.0</v>
      </c>
      <c r="C2371" s="27">
        <v>9.0</v>
      </c>
      <c r="D2371" s="8" t="s">
        <v>3176</v>
      </c>
      <c r="E2371" s="7">
        <v>2.0</v>
      </c>
      <c r="F2371" s="7" t="s">
        <v>320</v>
      </c>
      <c r="G2371" s="7" t="s">
        <v>313</v>
      </c>
      <c r="H2371" s="7" t="s">
        <v>312</v>
      </c>
      <c r="I2371" s="7" t="s">
        <v>366</v>
      </c>
      <c r="J2371" s="9" t="s">
        <v>3177</v>
      </c>
      <c r="K2371" s="8" t="s">
        <v>851</v>
      </c>
      <c r="L2371" s="12"/>
      <c r="M2371" s="10"/>
      <c r="N2371" s="10"/>
      <c r="O2371" s="10"/>
      <c r="P2371" s="10"/>
      <c r="Q2371" s="10"/>
      <c r="R2371" s="10"/>
      <c r="S2371" s="10"/>
      <c r="T2371" s="10"/>
      <c r="U2371" s="10"/>
      <c r="V2371" s="10"/>
      <c r="W2371" s="10"/>
      <c r="X2371" s="10"/>
      <c r="Y2371" s="10"/>
      <c r="Z2371" s="10"/>
      <c r="AA2371" s="10"/>
      <c r="AB2371" s="10"/>
      <c r="AC2371" s="10"/>
      <c r="AD2371" s="10"/>
      <c r="AE2371" s="10"/>
      <c r="AF2371" s="10"/>
    </row>
    <row r="2372">
      <c r="A2372" s="7"/>
      <c r="B2372" s="26">
        <v>199.0</v>
      </c>
      <c r="C2372" s="27">
        <v>10.0</v>
      </c>
      <c r="D2372" s="8" t="s">
        <v>3178</v>
      </c>
      <c r="E2372" s="7">
        <v>0.0</v>
      </c>
      <c r="F2372" s="7"/>
      <c r="G2372" s="7" t="s">
        <v>313</v>
      </c>
      <c r="H2372" s="7" t="s">
        <v>312</v>
      </c>
      <c r="I2372" s="10"/>
      <c r="J2372" s="11"/>
      <c r="K2372" s="12"/>
      <c r="L2372" s="12"/>
      <c r="M2372" s="10"/>
      <c r="N2372" s="10"/>
      <c r="O2372" s="10"/>
      <c r="P2372" s="10"/>
      <c r="Q2372" s="10"/>
      <c r="R2372" s="10"/>
      <c r="S2372" s="10"/>
      <c r="T2372" s="10"/>
      <c r="U2372" s="10"/>
      <c r="V2372" s="10"/>
      <c r="W2372" s="10"/>
      <c r="X2372" s="10"/>
      <c r="Y2372" s="10"/>
      <c r="Z2372" s="10"/>
      <c r="AA2372" s="10"/>
      <c r="AB2372" s="10"/>
      <c r="AC2372" s="10"/>
      <c r="AD2372" s="10"/>
      <c r="AE2372" s="10"/>
      <c r="AF2372" s="10"/>
    </row>
    <row r="2373">
      <c r="A2373" s="7"/>
      <c r="B2373" s="26">
        <v>199.0</v>
      </c>
      <c r="C2373" s="27">
        <v>11.0</v>
      </c>
      <c r="D2373" s="8" t="s">
        <v>3179</v>
      </c>
      <c r="E2373" s="7">
        <v>0.0</v>
      </c>
      <c r="F2373" s="7"/>
      <c r="G2373" s="7" t="s">
        <v>313</v>
      </c>
      <c r="H2373" s="7" t="s">
        <v>312</v>
      </c>
      <c r="I2373" s="10"/>
      <c r="J2373" s="11"/>
      <c r="K2373" s="12"/>
      <c r="L2373" s="12"/>
      <c r="M2373" s="10"/>
      <c r="N2373" s="10"/>
      <c r="O2373" s="10"/>
      <c r="P2373" s="10"/>
      <c r="Q2373" s="10"/>
      <c r="R2373" s="10"/>
      <c r="S2373" s="10"/>
      <c r="T2373" s="10"/>
      <c r="U2373" s="10"/>
      <c r="V2373" s="10"/>
      <c r="W2373" s="10"/>
      <c r="X2373" s="10"/>
      <c r="Y2373" s="10"/>
      <c r="Z2373" s="10"/>
      <c r="AA2373" s="10"/>
      <c r="AB2373" s="10"/>
      <c r="AC2373" s="10"/>
      <c r="AD2373" s="10"/>
      <c r="AE2373" s="10"/>
      <c r="AF2373" s="10"/>
    </row>
    <row r="2374">
      <c r="A2374" s="7"/>
      <c r="B2374" s="26">
        <v>199.0</v>
      </c>
      <c r="C2374" s="27">
        <v>12.0</v>
      </c>
      <c r="D2374" s="8" t="s">
        <v>3180</v>
      </c>
      <c r="E2374" s="7">
        <v>0.0</v>
      </c>
      <c r="F2374" s="7"/>
      <c r="G2374" s="7" t="s">
        <v>313</v>
      </c>
      <c r="H2374" s="7" t="s">
        <v>312</v>
      </c>
      <c r="I2374" s="10"/>
      <c r="J2374" s="11"/>
      <c r="K2374" s="12"/>
      <c r="L2374" s="12"/>
      <c r="M2374" s="10"/>
      <c r="N2374" s="10"/>
      <c r="O2374" s="10"/>
      <c r="P2374" s="10"/>
      <c r="Q2374" s="10"/>
      <c r="R2374" s="10"/>
      <c r="S2374" s="10"/>
      <c r="T2374" s="10"/>
      <c r="U2374" s="10"/>
      <c r="V2374" s="10"/>
      <c r="W2374" s="10"/>
      <c r="X2374" s="10"/>
      <c r="Y2374" s="10"/>
      <c r="Z2374" s="10"/>
      <c r="AA2374" s="10"/>
      <c r="AB2374" s="10"/>
      <c r="AC2374" s="10"/>
      <c r="AD2374" s="10"/>
      <c r="AE2374" s="10"/>
      <c r="AF2374" s="10"/>
    </row>
    <row r="2375">
      <c r="A2375" s="7"/>
      <c r="B2375" s="26">
        <v>199.0</v>
      </c>
      <c r="C2375" s="27">
        <v>13.0</v>
      </c>
      <c r="D2375" s="8" t="s">
        <v>3181</v>
      </c>
      <c r="E2375" s="7">
        <v>0.0</v>
      </c>
      <c r="F2375" s="7"/>
      <c r="G2375" s="7" t="s">
        <v>313</v>
      </c>
      <c r="H2375" s="7" t="s">
        <v>312</v>
      </c>
      <c r="I2375" s="10"/>
      <c r="J2375" s="11"/>
      <c r="K2375" s="12"/>
      <c r="L2375" s="12"/>
      <c r="M2375" s="10"/>
      <c r="N2375" s="10"/>
      <c r="O2375" s="10"/>
      <c r="P2375" s="10"/>
      <c r="Q2375" s="10"/>
      <c r="R2375" s="10"/>
      <c r="S2375" s="10"/>
      <c r="T2375" s="10"/>
      <c r="U2375" s="10"/>
      <c r="V2375" s="10"/>
      <c r="W2375" s="10"/>
      <c r="X2375" s="10"/>
      <c r="Y2375" s="10"/>
      <c r="Z2375" s="10"/>
      <c r="AA2375" s="10"/>
      <c r="AB2375" s="10"/>
      <c r="AC2375" s="10"/>
      <c r="AD2375" s="10"/>
      <c r="AE2375" s="10"/>
      <c r="AF2375" s="10"/>
    </row>
    <row r="2376">
      <c r="A2376" s="7"/>
      <c r="B2376" s="26">
        <v>199.0</v>
      </c>
      <c r="C2376" s="27">
        <v>14.0</v>
      </c>
      <c r="D2376" s="8" t="s">
        <v>3182</v>
      </c>
      <c r="E2376" s="7">
        <v>0.0</v>
      </c>
      <c r="F2376" s="7"/>
      <c r="G2376" s="7" t="s">
        <v>313</v>
      </c>
      <c r="H2376" s="7" t="s">
        <v>312</v>
      </c>
      <c r="I2376" s="10"/>
      <c r="J2376" s="11"/>
      <c r="K2376" s="12"/>
      <c r="L2376" s="12"/>
      <c r="M2376" s="10"/>
      <c r="N2376" s="10"/>
      <c r="O2376" s="10"/>
      <c r="P2376" s="10"/>
      <c r="Q2376" s="10"/>
      <c r="R2376" s="10"/>
      <c r="S2376" s="10"/>
      <c r="T2376" s="10"/>
      <c r="U2376" s="10"/>
      <c r="V2376" s="10"/>
      <c r="W2376" s="10"/>
      <c r="X2376" s="10"/>
      <c r="Y2376" s="10"/>
      <c r="Z2376" s="10"/>
      <c r="AA2376" s="10"/>
      <c r="AB2376" s="10"/>
      <c r="AC2376" s="10"/>
      <c r="AD2376" s="10"/>
      <c r="AE2376" s="10"/>
      <c r="AF2376" s="10"/>
    </row>
    <row r="2377">
      <c r="A2377" s="7"/>
      <c r="B2377" s="26">
        <v>199.0</v>
      </c>
      <c r="C2377" s="27">
        <v>15.0</v>
      </c>
      <c r="D2377" s="8" t="s">
        <v>3183</v>
      </c>
      <c r="E2377" s="7">
        <v>0.0</v>
      </c>
      <c r="F2377" s="7"/>
      <c r="G2377" s="7" t="s">
        <v>313</v>
      </c>
      <c r="H2377" s="7" t="s">
        <v>312</v>
      </c>
      <c r="I2377" s="10"/>
      <c r="J2377" s="11"/>
      <c r="K2377" s="20" t="s">
        <v>3184</v>
      </c>
      <c r="L2377" s="12"/>
      <c r="M2377" s="10"/>
      <c r="N2377" s="10"/>
      <c r="O2377" s="10"/>
      <c r="P2377" s="10"/>
      <c r="Q2377" s="10"/>
      <c r="R2377" s="10"/>
      <c r="S2377" s="10"/>
      <c r="T2377" s="10"/>
      <c r="U2377" s="10"/>
      <c r="V2377" s="10"/>
      <c r="W2377" s="10"/>
      <c r="X2377" s="10"/>
      <c r="Y2377" s="10"/>
      <c r="Z2377" s="10"/>
      <c r="AA2377" s="10"/>
      <c r="AB2377" s="10"/>
      <c r="AC2377" s="10"/>
      <c r="AD2377" s="10"/>
      <c r="AE2377" s="10"/>
      <c r="AF2377" s="10"/>
    </row>
    <row r="2378">
      <c r="A2378" s="21" t="s">
        <v>200</v>
      </c>
      <c r="B2378" s="12"/>
      <c r="C2378" s="12"/>
      <c r="D2378" s="12"/>
      <c r="E2378" s="10"/>
      <c r="F2378" s="10"/>
      <c r="G2378" s="10"/>
      <c r="H2378" s="10"/>
      <c r="I2378" s="10"/>
      <c r="J2378" s="11"/>
      <c r="K2378" s="12"/>
      <c r="L2378" s="12"/>
      <c r="M2378" s="10"/>
      <c r="N2378" s="10"/>
      <c r="O2378" s="10"/>
      <c r="P2378" s="10"/>
      <c r="Q2378" s="10"/>
      <c r="R2378" s="10"/>
      <c r="S2378" s="10"/>
      <c r="T2378" s="10"/>
      <c r="U2378" s="10"/>
      <c r="V2378" s="10"/>
      <c r="W2378" s="10"/>
      <c r="X2378" s="10"/>
      <c r="Y2378" s="10"/>
      <c r="Z2378" s="10"/>
      <c r="AA2378" s="10"/>
      <c r="AB2378" s="10"/>
      <c r="AC2378" s="10"/>
      <c r="AD2378" s="10"/>
      <c r="AE2378" s="10"/>
      <c r="AF2378" s="10"/>
    </row>
    <row r="2379">
      <c r="A2379" s="7"/>
      <c r="B2379" s="8">
        <v>200.0</v>
      </c>
      <c r="C2379" s="8">
        <v>1.0</v>
      </c>
      <c r="D2379" s="8" t="s">
        <v>3185</v>
      </c>
      <c r="E2379" s="7">
        <v>0.0</v>
      </c>
      <c r="F2379" s="7"/>
      <c r="G2379" s="7" t="s">
        <v>313</v>
      </c>
      <c r="H2379" s="7" t="s">
        <v>312</v>
      </c>
      <c r="I2379" s="10"/>
      <c r="J2379" s="11"/>
      <c r="K2379" s="12"/>
      <c r="L2379" s="12"/>
      <c r="M2379" s="10"/>
      <c r="N2379" s="10"/>
      <c r="O2379" s="10"/>
      <c r="P2379" s="10"/>
      <c r="Q2379" s="10"/>
      <c r="R2379" s="10"/>
      <c r="S2379" s="10"/>
      <c r="T2379" s="10"/>
      <c r="U2379" s="10"/>
      <c r="V2379" s="10"/>
      <c r="W2379" s="10"/>
      <c r="X2379" s="10"/>
      <c r="Y2379" s="10"/>
      <c r="Z2379" s="10"/>
      <c r="AA2379" s="10"/>
      <c r="AB2379" s="10"/>
      <c r="AC2379" s="10"/>
      <c r="AD2379" s="10"/>
      <c r="AE2379" s="10"/>
      <c r="AF2379" s="10"/>
    </row>
    <row r="2380">
      <c r="A2380" s="21" t="s">
        <v>201</v>
      </c>
      <c r="B2380" s="12"/>
      <c r="C2380" s="12"/>
      <c r="D2380" s="12"/>
      <c r="E2380" s="10"/>
      <c r="F2380" s="10"/>
      <c r="G2380" s="10"/>
      <c r="H2380" s="10"/>
      <c r="I2380" s="10"/>
      <c r="J2380" s="11"/>
      <c r="K2380" s="12"/>
      <c r="L2380" s="12"/>
      <c r="M2380" s="10"/>
      <c r="N2380" s="10"/>
      <c r="O2380" s="10"/>
      <c r="P2380" s="10"/>
      <c r="Q2380" s="10"/>
      <c r="R2380" s="10"/>
      <c r="S2380" s="10"/>
      <c r="T2380" s="10"/>
      <c r="U2380" s="10"/>
      <c r="V2380" s="10"/>
      <c r="W2380" s="10"/>
      <c r="X2380" s="10"/>
      <c r="Y2380" s="10"/>
      <c r="Z2380" s="10"/>
      <c r="AA2380" s="10"/>
      <c r="AB2380" s="10"/>
      <c r="AC2380" s="10"/>
      <c r="AD2380" s="10"/>
      <c r="AE2380" s="10"/>
      <c r="AF2380" s="10"/>
    </row>
    <row r="2381">
      <c r="A2381" s="7"/>
      <c r="B2381" s="26">
        <v>201.0</v>
      </c>
      <c r="C2381" s="27">
        <v>1.0</v>
      </c>
      <c r="D2381" s="8" t="s">
        <v>3186</v>
      </c>
      <c r="E2381" s="7">
        <v>2.0</v>
      </c>
      <c r="F2381" s="7" t="s">
        <v>320</v>
      </c>
      <c r="G2381" s="7" t="s">
        <v>313</v>
      </c>
      <c r="H2381" s="7" t="s">
        <v>312</v>
      </c>
      <c r="I2381" s="10"/>
      <c r="J2381" s="9" t="s">
        <v>3187</v>
      </c>
      <c r="K2381" s="20" t="s">
        <v>2764</v>
      </c>
      <c r="L2381" s="12"/>
      <c r="M2381" s="10"/>
      <c r="N2381" s="10"/>
      <c r="O2381" s="10"/>
      <c r="P2381" s="10"/>
      <c r="Q2381" s="10"/>
      <c r="R2381" s="10"/>
      <c r="S2381" s="10"/>
      <c r="T2381" s="10"/>
      <c r="U2381" s="10"/>
      <c r="V2381" s="10"/>
      <c r="W2381" s="10"/>
      <c r="X2381" s="10"/>
      <c r="Y2381" s="10"/>
      <c r="Z2381" s="10"/>
      <c r="AA2381" s="10"/>
      <c r="AB2381" s="10"/>
      <c r="AC2381" s="10"/>
      <c r="AD2381" s="10"/>
      <c r="AE2381" s="10"/>
      <c r="AF2381" s="10"/>
    </row>
    <row r="2382">
      <c r="A2382" s="7"/>
      <c r="B2382" s="26">
        <v>201.0</v>
      </c>
      <c r="C2382" s="27">
        <v>2.0</v>
      </c>
      <c r="D2382" s="8" t="s">
        <v>3188</v>
      </c>
      <c r="E2382" s="7">
        <v>0.0</v>
      </c>
      <c r="F2382" s="7"/>
      <c r="G2382" s="7" t="s">
        <v>313</v>
      </c>
      <c r="H2382" s="7" t="s">
        <v>312</v>
      </c>
      <c r="I2382" s="10"/>
      <c r="J2382" s="11"/>
      <c r="K2382" s="12"/>
      <c r="L2382" s="12"/>
      <c r="M2382" s="10"/>
      <c r="N2382" s="10"/>
      <c r="O2382" s="10"/>
      <c r="P2382" s="10"/>
      <c r="Q2382" s="10"/>
      <c r="R2382" s="10"/>
      <c r="S2382" s="10"/>
      <c r="T2382" s="10"/>
      <c r="U2382" s="10"/>
      <c r="V2382" s="10"/>
      <c r="W2382" s="10"/>
      <c r="X2382" s="10"/>
      <c r="Y2382" s="10"/>
      <c r="Z2382" s="10"/>
      <c r="AA2382" s="10"/>
      <c r="AB2382" s="10"/>
      <c r="AC2382" s="10"/>
      <c r="AD2382" s="10"/>
      <c r="AE2382" s="10"/>
      <c r="AF2382" s="10"/>
    </row>
    <row r="2383">
      <c r="A2383" s="7"/>
      <c r="B2383" s="26">
        <v>201.0</v>
      </c>
      <c r="C2383" s="27">
        <v>3.0</v>
      </c>
      <c r="D2383" s="8" t="s">
        <v>3189</v>
      </c>
      <c r="E2383" s="7">
        <v>0.0</v>
      </c>
      <c r="F2383" s="7"/>
      <c r="G2383" s="7" t="s">
        <v>313</v>
      </c>
      <c r="H2383" s="7" t="s">
        <v>312</v>
      </c>
      <c r="I2383" s="10"/>
      <c r="J2383" s="11"/>
      <c r="K2383" s="12"/>
      <c r="L2383" s="12"/>
      <c r="M2383" s="10"/>
      <c r="N2383" s="10"/>
      <c r="O2383" s="10"/>
      <c r="P2383" s="10"/>
      <c r="Q2383" s="10"/>
      <c r="R2383" s="10"/>
      <c r="S2383" s="10"/>
      <c r="T2383" s="10"/>
      <c r="U2383" s="10"/>
      <c r="V2383" s="10"/>
      <c r="W2383" s="10"/>
      <c r="X2383" s="10"/>
      <c r="Y2383" s="10"/>
      <c r="Z2383" s="10"/>
      <c r="AA2383" s="10"/>
      <c r="AB2383" s="10"/>
      <c r="AC2383" s="10"/>
      <c r="AD2383" s="10"/>
      <c r="AE2383" s="10"/>
      <c r="AF2383" s="10"/>
    </row>
    <row r="2384">
      <c r="A2384" s="7"/>
      <c r="B2384" s="26">
        <v>201.0</v>
      </c>
      <c r="C2384" s="27">
        <v>4.0</v>
      </c>
      <c r="D2384" s="8" t="s">
        <v>3190</v>
      </c>
      <c r="E2384" s="7">
        <v>0.0</v>
      </c>
      <c r="F2384" s="7"/>
      <c r="G2384" s="7" t="s">
        <v>313</v>
      </c>
      <c r="H2384" s="7" t="s">
        <v>312</v>
      </c>
      <c r="I2384" s="10"/>
      <c r="J2384" s="11"/>
      <c r="K2384" s="12"/>
      <c r="L2384" s="12"/>
      <c r="M2384" s="10"/>
      <c r="N2384" s="10"/>
      <c r="O2384" s="10"/>
      <c r="P2384" s="10"/>
      <c r="Q2384" s="10"/>
      <c r="R2384" s="10"/>
      <c r="S2384" s="10"/>
      <c r="T2384" s="10"/>
      <c r="U2384" s="10"/>
      <c r="V2384" s="10"/>
      <c r="W2384" s="10"/>
      <c r="X2384" s="10"/>
      <c r="Y2384" s="10"/>
      <c r="Z2384" s="10"/>
      <c r="AA2384" s="10"/>
      <c r="AB2384" s="10"/>
      <c r="AC2384" s="10"/>
      <c r="AD2384" s="10"/>
      <c r="AE2384" s="10"/>
      <c r="AF2384" s="10"/>
    </row>
    <row r="2385">
      <c r="A2385" s="7"/>
      <c r="B2385" s="26">
        <v>201.0</v>
      </c>
      <c r="C2385" s="27">
        <v>5.0</v>
      </c>
      <c r="D2385" s="8" t="s">
        <v>3191</v>
      </c>
      <c r="E2385" s="7">
        <v>0.0</v>
      </c>
      <c r="F2385" s="7"/>
      <c r="G2385" s="7" t="s">
        <v>313</v>
      </c>
      <c r="H2385" s="7" t="s">
        <v>312</v>
      </c>
      <c r="I2385" s="10"/>
      <c r="J2385" s="11"/>
      <c r="K2385" s="12"/>
      <c r="L2385" s="12"/>
      <c r="M2385" s="10"/>
      <c r="N2385" s="10"/>
      <c r="O2385" s="10"/>
      <c r="P2385" s="10"/>
      <c r="Q2385" s="10"/>
      <c r="R2385" s="10"/>
      <c r="S2385" s="10"/>
      <c r="T2385" s="10"/>
      <c r="U2385" s="10"/>
      <c r="V2385" s="10"/>
      <c r="W2385" s="10"/>
      <c r="X2385" s="10"/>
      <c r="Y2385" s="10"/>
      <c r="Z2385" s="10"/>
      <c r="AA2385" s="10"/>
      <c r="AB2385" s="10"/>
      <c r="AC2385" s="10"/>
      <c r="AD2385" s="10"/>
      <c r="AE2385" s="10"/>
      <c r="AF2385" s="10"/>
    </row>
    <row r="2386">
      <c r="A2386" s="7"/>
      <c r="B2386" s="26">
        <v>201.0</v>
      </c>
      <c r="C2386" s="27">
        <v>6.0</v>
      </c>
      <c r="D2386" s="8" t="s">
        <v>3192</v>
      </c>
      <c r="E2386" s="7">
        <v>0.0</v>
      </c>
      <c r="F2386" s="7"/>
      <c r="G2386" s="7" t="s">
        <v>313</v>
      </c>
      <c r="H2386" s="7" t="s">
        <v>312</v>
      </c>
      <c r="I2386" s="10"/>
      <c r="J2386" s="11"/>
      <c r="K2386" s="12"/>
      <c r="L2386" s="12"/>
      <c r="M2386" s="10"/>
      <c r="N2386" s="10"/>
      <c r="O2386" s="10"/>
      <c r="P2386" s="10"/>
      <c r="Q2386" s="10"/>
      <c r="R2386" s="10"/>
      <c r="S2386" s="10"/>
      <c r="T2386" s="10"/>
      <c r="U2386" s="10"/>
      <c r="V2386" s="10"/>
      <c r="W2386" s="10"/>
      <c r="X2386" s="10"/>
      <c r="Y2386" s="10"/>
      <c r="Z2386" s="10"/>
      <c r="AA2386" s="10"/>
      <c r="AB2386" s="10"/>
      <c r="AC2386" s="10"/>
      <c r="AD2386" s="10"/>
      <c r="AE2386" s="10"/>
      <c r="AF2386" s="10"/>
    </row>
    <row r="2387">
      <c r="A2387" s="7"/>
      <c r="B2387" s="26">
        <v>201.0</v>
      </c>
      <c r="C2387" s="27">
        <v>7.0</v>
      </c>
      <c r="D2387" s="8" t="s">
        <v>3193</v>
      </c>
      <c r="E2387" s="7">
        <v>0.0</v>
      </c>
      <c r="F2387" s="7"/>
      <c r="G2387" s="7" t="s">
        <v>313</v>
      </c>
      <c r="H2387" s="7" t="s">
        <v>312</v>
      </c>
      <c r="I2387" s="10"/>
      <c r="J2387" s="11"/>
      <c r="K2387" s="12"/>
      <c r="L2387" s="12"/>
      <c r="M2387" s="10"/>
      <c r="N2387" s="10"/>
      <c r="O2387" s="10"/>
      <c r="P2387" s="10"/>
      <c r="Q2387" s="10"/>
      <c r="R2387" s="10"/>
      <c r="S2387" s="10"/>
      <c r="T2387" s="10"/>
      <c r="U2387" s="10"/>
      <c r="V2387" s="10"/>
      <c r="W2387" s="10"/>
      <c r="X2387" s="10"/>
      <c r="Y2387" s="10"/>
      <c r="Z2387" s="10"/>
      <c r="AA2387" s="10"/>
      <c r="AB2387" s="10"/>
      <c r="AC2387" s="10"/>
      <c r="AD2387" s="10"/>
      <c r="AE2387" s="10"/>
      <c r="AF2387" s="10"/>
    </row>
    <row r="2388">
      <c r="A2388" s="7"/>
      <c r="B2388" s="26">
        <v>201.0</v>
      </c>
      <c r="C2388" s="27">
        <v>8.0</v>
      </c>
      <c r="D2388" s="8" t="s">
        <v>3194</v>
      </c>
      <c r="E2388" s="7">
        <v>0.0</v>
      </c>
      <c r="F2388" s="7"/>
      <c r="G2388" s="7" t="s">
        <v>313</v>
      </c>
      <c r="H2388" s="7" t="s">
        <v>312</v>
      </c>
      <c r="I2388" s="10"/>
      <c r="J2388" s="11"/>
      <c r="K2388" s="12"/>
      <c r="L2388" s="12"/>
      <c r="M2388" s="10"/>
      <c r="N2388" s="10"/>
      <c r="O2388" s="10"/>
      <c r="P2388" s="10"/>
      <c r="Q2388" s="10"/>
      <c r="R2388" s="10"/>
      <c r="S2388" s="10"/>
      <c r="T2388" s="10"/>
      <c r="U2388" s="10"/>
      <c r="V2388" s="10"/>
      <c r="W2388" s="10"/>
      <c r="X2388" s="10"/>
      <c r="Y2388" s="10"/>
      <c r="Z2388" s="10"/>
      <c r="AA2388" s="10"/>
      <c r="AB2388" s="10"/>
      <c r="AC2388" s="10"/>
      <c r="AD2388" s="10"/>
      <c r="AE2388" s="10"/>
      <c r="AF2388" s="10"/>
    </row>
    <row r="2389">
      <c r="A2389" s="7"/>
      <c r="B2389" s="26">
        <v>201.0</v>
      </c>
      <c r="C2389" s="27">
        <v>9.0</v>
      </c>
      <c r="D2389" s="8" t="s">
        <v>3195</v>
      </c>
      <c r="E2389" s="7">
        <v>0.0</v>
      </c>
      <c r="F2389" s="7"/>
      <c r="G2389" s="7" t="s">
        <v>313</v>
      </c>
      <c r="H2389" s="7" t="s">
        <v>312</v>
      </c>
      <c r="I2389" s="10"/>
      <c r="J2389" s="11"/>
      <c r="K2389" s="12"/>
      <c r="L2389" s="12"/>
      <c r="M2389" s="10"/>
      <c r="N2389" s="10"/>
      <c r="O2389" s="10"/>
      <c r="P2389" s="10"/>
      <c r="Q2389" s="10"/>
      <c r="R2389" s="10"/>
      <c r="S2389" s="10"/>
      <c r="T2389" s="10"/>
      <c r="U2389" s="10"/>
      <c r="V2389" s="10"/>
      <c r="W2389" s="10"/>
      <c r="X2389" s="10"/>
      <c r="Y2389" s="10"/>
      <c r="Z2389" s="10"/>
      <c r="AA2389" s="10"/>
      <c r="AB2389" s="10"/>
      <c r="AC2389" s="10"/>
      <c r="AD2389" s="10"/>
      <c r="AE2389" s="10"/>
      <c r="AF2389" s="10"/>
    </row>
    <row r="2390">
      <c r="A2390" s="7"/>
      <c r="B2390" s="26">
        <v>201.0</v>
      </c>
      <c r="C2390" s="27">
        <v>10.0</v>
      </c>
      <c r="D2390" s="8" t="s">
        <v>3196</v>
      </c>
      <c r="E2390" s="7">
        <v>0.0</v>
      </c>
      <c r="F2390" s="7"/>
      <c r="G2390" s="7" t="s">
        <v>313</v>
      </c>
      <c r="H2390" s="7" t="s">
        <v>312</v>
      </c>
      <c r="I2390" s="10"/>
      <c r="J2390" s="11"/>
      <c r="K2390" s="12"/>
      <c r="L2390" s="12"/>
      <c r="M2390" s="10"/>
      <c r="N2390" s="10"/>
      <c r="O2390" s="10"/>
      <c r="P2390" s="10"/>
      <c r="Q2390" s="10"/>
      <c r="R2390" s="10"/>
      <c r="S2390" s="10"/>
      <c r="T2390" s="10"/>
      <c r="U2390" s="10"/>
      <c r="V2390" s="10"/>
      <c r="W2390" s="10"/>
      <c r="X2390" s="10"/>
      <c r="Y2390" s="10"/>
      <c r="Z2390" s="10"/>
      <c r="AA2390" s="10"/>
      <c r="AB2390" s="10"/>
      <c r="AC2390" s="10"/>
      <c r="AD2390" s="10"/>
      <c r="AE2390" s="10"/>
      <c r="AF2390" s="10"/>
    </row>
    <row r="2391">
      <c r="A2391" s="21" t="s">
        <v>202</v>
      </c>
      <c r="B2391" s="12"/>
      <c r="C2391" s="12"/>
      <c r="D2391" s="12"/>
      <c r="E2391" s="10"/>
      <c r="F2391" s="10"/>
      <c r="G2391" s="10"/>
      <c r="H2391" s="10"/>
      <c r="I2391" s="10"/>
      <c r="J2391" s="11"/>
      <c r="K2391" s="12"/>
      <c r="L2391" s="12"/>
      <c r="M2391" s="10"/>
      <c r="N2391" s="10"/>
      <c r="O2391" s="10"/>
      <c r="P2391" s="10"/>
      <c r="Q2391" s="10"/>
      <c r="R2391" s="10"/>
      <c r="S2391" s="10"/>
      <c r="T2391" s="10"/>
      <c r="U2391" s="10"/>
      <c r="V2391" s="10"/>
      <c r="W2391" s="10"/>
      <c r="X2391" s="10"/>
      <c r="Y2391" s="10"/>
      <c r="Z2391" s="10"/>
      <c r="AA2391" s="10"/>
      <c r="AB2391" s="10"/>
      <c r="AC2391" s="10"/>
      <c r="AD2391" s="10"/>
      <c r="AE2391" s="10"/>
      <c r="AF2391" s="10"/>
    </row>
    <row r="2392">
      <c r="A2392" s="7"/>
      <c r="B2392" s="8">
        <v>202.0</v>
      </c>
      <c r="C2392" s="8">
        <v>1.0</v>
      </c>
      <c r="D2392" s="8" t="s">
        <v>3197</v>
      </c>
      <c r="E2392" s="7">
        <v>0.0</v>
      </c>
      <c r="F2392" s="7"/>
      <c r="G2392" s="7" t="s">
        <v>313</v>
      </c>
      <c r="H2392" s="7" t="s">
        <v>312</v>
      </c>
      <c r="I2392" s="10"/>
      <c r="J2392" s="11"/>
      <c r="K2392" s="12"/>
      <c r="L2392" s="14" t="s">
        <v>3198</v>
      </c>
      <c r="M2392" s="10"/>
      <c r="N2392" s="10"/>
      <c r="O2392" s="10"/>
      <c r="P2392" s="10"/>
      <c r="Q2392" s="10"/>
      <c r="R2392" s="10"/>
      <c r="S2392" s="10"/>
      <c r="T2392" s="10"/>
      <c r="U2392" s="10"/>
      <c r="V2392" s="10"/>
      <c r="W2392" s="10"/>
      <c r="X2392" s="10"/>
      <c r="Y2392" s="10"/>
      <c r="Z2392" s="10"/>
      <c r="AA2392" s="10"/>
      <c r="AB2392" s="10"/>
      <c r="AC2392" s="10"/>
      <c r="AD2392" s="10"/>
      <c r="AE2392" s="10"/>
      <c r="AF2392" s="10"/>
    </row>
    <row r="2393">
      <c r="A2393" s="21" t="s">
        <v>203</v>
      </c>
      <c r="B2393" s="12"/>
      <c r="C2393" s="12"/>
      <c r="D2393" s="12"/>
      <c r="E2393" s="10"/>
      <c r="F2393" s="10"/>
      <c r="G2393" s="10"/>
      <c r="H2393" s="10"/>
      <c r="I2393" s="10"/>
      <c r="J2393" s="11"/>
      <c r="K2393" s="12"/>
      <c r="L2393" s="12"/>
      <c r="M2393" s="10"/>
      <c r="N2393" s="10"/>
      <c r="O2393" s="10"/>
      <c r="P2393" s="10"/>
      <c r="Q2393" s="10"/>
      <c r="R2393" s="10"/>
      <c r="S2393" s="10"/>
      <c r="T2393" s="10"/>
      <c r="U2393" s="10"/>
      <c r="V2393" s="10"/>
      <c r="W2393" s="10"/>
      <c r="X2393" s="10"/>
      <c r="Y2393" s="10"/>
      <c r="Z2393" s="10"/>
      <c r="AA2393" s="10"/>
      <c r="AB2393" s="10"/>
      <c r="AC2393" s="10"/>
      <c r="AD2393" s="10"/>
      <c r="AE2393" s="10"/>
      <c r="AF2393" s="10"/>
    </row>
    <row r="2394">
      <c r="A2394" s="7"/>
      <c r="B2394" s="26">
        <v>203.0</v>
      </c>
      <c r="C2394" s="27">
        <v>1.0</v>
      </c>
      <c r="D2394" s="8" t="s">
        <v>3199</v>
      </c>
      <c r="E2394" s="7">
        <v>0.0</v>
      </c>
      <c r="F2394" s="7"/>
      <c r="G2394" s="7" t="s">
        <v>313</v>
      </c>
      <c r="H2394" s="7" t="s">
        <v>312</v>
      </c>
      <c r="I2394" s="10"/>
      <c r="J2394" s="11"/>
      <c r="K2394" s="20" t="s">
        <v>3200</v>
      </c>
      <c r="L2394" s="12"/>
      <c r="M2394" s="10"/>
      <c r="N2394" s="10"/>
      <c r="O2394" s="10"/>
      <c r="P2394" s="10"/>
      <c r="Q2394" s="10"/>
      <c r="R2394" s="10"/>
      <c r="S2394" s="10"/>
      <c r="T2394" s="10"/>
      <c r="U2394" s="10"/>
      <c r="V2394" s="10"/>
      <c r="W2394" s="10"/>
      <c r="X2394" s="10"/>
      <c r="Y2394" s="10"/>
      <c r="Z2394" s="10"/>
      <c r="AA2394" s="10"/>
      <c r="AB2394" s="10"/>
      <c r="AC2394" s="10"/>
      <c r="AD2394" s="10"/>
      <c r="AE2394" s="10"/>
      <c r="AF2394" s="10"/>
    </row>
    <row r="2395">
      <c r="A2395" s="7"/>
      <c r="B2395" s="26">
        <v>203.0</v>
      </c>
      <c r="C2395" s="27">
        <v>2.0</v>
      </c>
      <c r="D2395" s="8" t="s">
        <v>3201</v>
      </c>
      <c r="E2395" s="7">
        <v>0.0</v>
      </c>
      <c r="F2395" s="7"/>
      <c r="G2395" s="7" t="s">
        <v>313</v>
      </c>
      <c r="H2395" s="7" t="s">
        <v>312</v>
      </c>
      <c r="I2395" s="10"/>
      <c r="J2395" s="11"/>
      <c r="K2395" s="20" t="s">
        <v>3202</v>
      </c>
      <c r="L2395" s="12"/>
      <c r="M2395" s="10"/>
      <c r="N2395" s="10"/>
      <c r="O2395" s="10"/>
      <c r="P2395" s="10"/>
      <c r="Q2395" s="10"/>
      <c r="R2395" s="10"/>
      <c r="S2395" s="10"/>
      <c r="T2395" s="10"/>
      <c r="U2395" s="10"/>
      <c r="V2395" s="10"/>
      <c r="W2395" s="10"/>
      <c r="X2395" s="10"/>
      <c r="Y2395" s="10"/>
      <c r="Z2395" s="10"/>
      <c r="AA2395" s="10"/>
      <c r="AB2395" s="10"/>
      <c r="AC2395" s="10"/>
      <c r="AD2395" s="10"/>
      <c r="AE2395" s="10"/>
      <c r="AF2395" s="10"/>
    </row>
    <row r="2396">
      <c r="A2396" s="7"/>
      <c r="B2396" s="26">
        <v>203.0</v>
      </c>
      <c r="C2396" s="27">
        <v>3.0</v>
      </c>
      <c r="D2396" s="8" t="s">
        <v>3203</v>
      </c>
      <c r="E2396" s="7">
        <v>0.0</v>
      </c>
      <c r="F2396" s="7"/>
      <c r="G2396" s="7" t="s">
        <v>313</v>
      </c>
      <c r="H2396" s="7" t="s">
        <v>312</v>
      </c>
      <c r="I2396" s="10"/>
      <c r="J2396" s="11"/>
      <c r="K2396" s="12"/>
      <c r="L2396" s="12"/>
      <c r="M2396" s="10"/>
      <c r="N2396" s="10"/>
      <c r="O2396" s="10"/>
      <c r="P2396" s="10"/>
      <c r="Q2396" s="10"/>
      <c r="R2396" s="10"/>
      <c r="S2396" s="10"/>
      <c r="T2396" s="10"/>
      <c r="U2396" s="10"/>
      <c r="V2396" s="10"/>
      <c r="W2396" s="10"/>
      <c r="X2396" s="10"/>
      <c r="Y2396" s="10"/>
      <c r="Z2396" s="10"/>
      <c r="AA2396" s="10"/>
      <c r="AB2396" s="10"/>
      <c r="AC2396" s="10"/>
      <c r="AD2396" s="10"/>
      <c r="AE2396" s="10"/>
      <c r="AF2396" s="10"/>
    </row>
    <row r="2397">
      <c r="A2397" s="21" t="s">
        <v>204</v>
      </c>
      <c r="B2397" s="12"/>
      <c r="C2397" s="12"/>
      <c r="D2397" s="12"/>
      <c r="E2397" s="10"/>
      <c r="F2397" s="10"/>
      <c r="G2397" s="10"/>
      <c r="H2397" s="10"/>
      <c r="I2397" s="10"/>
      <c r="J2397" s="11"/>
      <c r="K2397" s="12"/>
      <c r="L2397" s="12"/>
      <c r="M2397" s="10"/>
      <c r="N2397" s="10"/>
      <c r="O2397" s="10"/>
      <c r="P2397" s="10"/>
      <c r="Q2397" s="10"/>
      <c r="R2397" s="10"/>
      <c r="S2397" s="10"/>
      <c r="T2397" s="10"/>
      <c r="U2397" s="10"/>
      <c r="V2397" s="10"/>
      <c r="W2397" s="10"/>
      <c r="X2397" s="10"/>
      <c r="Y2397" s="10"/>
      <c r="Z2397" s="10"/>
      <c r="AA2397" s="10"/>
      <c r="AB2397" s="10"/>
      <c r="AC2397" s="10"/>
      <c r="AD2397" s="10"/>
      <c r="AE2397" s="10"/>
      <c r="AF2397" s="10"/>
    </row>
    <row r="2398">
      <c r="A2398" s="7"/>
      <c r="B2398" s="26">
        <v>204.0</v>
      </c>
      <c r="C2398" s="27">
        <v>1.0</v>
      </c>
      <c r="D2398" s="8" t="s">
        <v>3204</v>
      </c>
      <c r="E2398" s="7">
        <v>0.0</v>
      </c>
      <c r="F2398" s="7"/>
      <c r="G2398" s="7" t="s">
        <v>313</v>
      </c>
      <c r="H2398" s="7" t="s">
        <v>312</v>
      </c>
      <c r="I2398" s="10"/>
      <c r="J2398" s="11"/>
      <c r="K2398" s="12"/>
      <c r="L2398" s="12"/>
      <c r="M2398" s="10"/>
      <c r="N2398" s="10"/>
      <c r="O2398" s="10"/>
      <c r="P2398" s="10"/>
      <c r="Q2398" s="10"/>
      <c r="R2398" s="10"/>
      <c r="S2398" s="10"/>
      <c r="T2398" s="10"/>
      <c r="U2398" s="10"/>
      <c r="V2398" s="10"/>
      <c r="W2398" s="10"/>
      <c r="X2398" s="10"/>
      <c r="Y2398" s="10"/>
      <c r="Z2398" s="10"/>
      <c r="AA2398" s="10"/>
      <c r="AB2398" s="10"/>
      <c r="AC2398" s="10"/>
      <c r="AD2398" s="10"/>
      <c r="AE2398" s="10"/>
      <c r="AF2398" s="10"/>
    </row>
    <row r="2399">
      <c r="A2399" s="7"/>
      <c r="B2399" s="26">
        <v>204.0</v>
      </c>
      <c r="C2399" s="27">
        <v>2.0</v>
      </c>
      <c r="D2399" s="8" t="s">
        <v>3205</v>
      </c>
      <c r="E2399" s="7">
        <v>0.0</v>
      </c>
      <c r="F2399" s="7"/>
      <c r="G2399" s="7" t="s">
        <v>313</v>
      </c>
      <c r="H2399" s="7" t="s">
        <v>312</v>
      </c>
      <c r="I2399" s="10"/>
      <c r="J2399" s="11"/>
      <c r="K2399" s="12"/>
      <c r="L2399" s="12"/>
      <c r="M2399" s="10"/>
      <c r="N2399" s="10"/>
      <c r="O2399" s="10"/>
      <c r="P2399" s="10"/>
      <c r="Q2399" s="10"/>
      <c r="R2399" s="10"/>
      <c r="S2399" s="10"/>
      <c r="T2399" s="10"/>
      <c r="U2399" s="10"/>
      <c r="V2399" s="10"/>
      <c r="W2399" s="10"/>
      <c r="X2399" s="10"/>
      <c r="Y2399" s="10"/>
      <c r="Z2399" s="10"/>
      <c r="AA2399" s="10"/>
      <c r="AB2399" s="10"/>
      <c r="AC2399" s="10"/>
      <c r="AD2399" s="10"/>
      <c r="AE2399" s="10"/>
      <c r="AF2399" s="10"/>
    </row>
    <row r="2400">
      <c r="A2400" s="7"/>
      <c r="B2400" s="26">
        <v>204.0</v>
      </c>
      <c r="C2400" s="27">
        <v>3.0</v>
      </c>
      <c r="D2400" s="8" t="s">
        <v>3206</v>
      </c>
      <c r="E2400" s="7">
        <v>0.0</v>
      </c>
      <c r="F2400" s="7"/>
      <c r="G2400" s="7" t="s">
        <v>313</v>
      </c>
      <c r="H2400" s="7" t="s">
        <v>312</v>
      </c>
      <c r="I2400" s="10"/>
      <c r="J2400" s="11"/>
      <c r="K2400" s="12"/>
      <c r="L2400" s="12"/>
      <c r="M2400" s="10"/>
      <c r="N2400" s="10"/>
      <c r="O2400" s="10"/>
      <c r="P2400" s="10"/>
      <c r="Q2400" s="10"/>
      <c r="R2400" s="10"/>
      <c r="S2400" s="10"/>
      <c r="T2400" s="10"/>
      <c r="U2400" s="10"/>
      <c r="V2400" s="10"/>
      <c r="W2400" s="10"/>
      <c r="X2400" s="10"/>
      <c r="Y2400" s="10"/>
      <c r="Z2400" s="10"/>
      <c r="AA2400" s="10"/>
      <c r="AB2400" s="10"/>
      <c r="AC2400" s="10"/>
      <c r="AD2400" s="10"/>
      <c r="AE2400" s="10"/>
      <c r="AF2400" s="10"/>
    </row>
    <row r="2401">
      <c r="A2401" s="21" t="s">
        <v>205</v>
      </c>
      <c r="B2401" s="12"/>
      <c r="C2401" s="12"/>
      <c r="D2401" s="12"/>
      <c r="E2401" s="10"/>
      <c r="F2401" s="10"/>
      <c r="G2401" s="10"/>
      <c r="H2401" s="10"/>
      <c r="I2401" s="10"/>
      <c r="J2401" s="11"/>
      <c r="K2401" s="12"/>
      <c r="L2401" s="12"/>
      <c r="M2401" s="10"/>
      <c r="N2401" s="10"/>
      <c r="O2401" s="10"/>
      <c r="P2401" s="10"/>
      <c r="Q2401" s="10"/>
      <c r="R2401" s="10"/>
      <c r="S2401" s="10"/>
      <c r="T2401" s="10"/>
      <c r="U2401" s="10"/>
      <c r="V2401" s="10"/>
      <c r="W2401" s="10"/>
      <c r="X2401" s="10"/>
      <c r="Y2401" s="10"/>
      <c r="Z2401" s="10"/>
      <c r="AA2401" s="10"/>
      <c r="AB2401" s="10"/>
      <c r="AC2401" s="10"/>
      <c r="AD2401" s="10"/>
      <c r="AE2401" s="10"/>
      <c r="AF2401" s="10"/>
    </row>
    <row r="2402">
      <c r="A2402" s="7"/>
      <c r="B2402" s="26">
        <v>205.0</v>
      </c>
      <c r="C2402" s="27">
        <v>1.0</v>
      </c>
      <c r="D2402" s="8" t="s">
        <v>3207</v>
      </c>
      <c r="E2402" s="10"/>
      <c r="F2402" s="7" t="s">
        <v>320</v>
      </c>
      <c r="G2402" s="7" t="s">
        <v>313</v>
      </c>
      <c r="H2402" s="7" t="s">
        <v>312</v>
      </c>
      <c r="I2402" s="7" t="s">
        <v>366</v>
      </c>
      <c r="J2402" s="9" t="s">
        <v>3208</v>
      </c>
      <c r="K2402" s="20" t="s">
        <v>3209</v>
      </c>
      <c r="L2402" s="12"/>
      <c r="M2402" s="10"/>
      <c r="N2402" s="10"/>
      <c r="O2402" s="10"/>
      <c r="P2402" s="10"/>
      <c r="Q2402" s="10"/>
      <c r="R2402" s="10"/>
      <c r="S2402" s="10"/>
      <c r="T2402" s="10"/>
      <c r="U2402" s="10"/>
      <c r="V2402" s="10"/>
      <c r="W2402" s="10"/>
      <c r="X2402" s="10"/>
      <c r="Y2402" s="10"/>
      <c r="Z2402" s="10"/>
      <c r="AA2402" s="10"/>
      <c r="AB2402" s="10"/>
      <c r="AC2402" s="10"/>
      <c r="AD2402" s="10"/>
      <c r="AE2402" s="10"/>
      <c r="AF2402" s="10"/>
    </row>
    <row r="2403">
      <c r="A2403" s="7"/>
      <c r="B2403" s="26">
        <v>205.0</v>
      </c>
      <c r="C2403" s="27">
        <v>2.0</v>
      </c>
      <c r="D2403" s="8" t="s">
        <v>3210</v>
      </c>
      <c r="E2403" s="10"/>
      <c r="F2403" s="7" t="s">
        <v>320</v>
      </c>
      <c r="G2403" s="7" t="s">
        <v>313</v>
      </c>
      <c r="H2403" s="7" t="s">
        <v>312</v>
      </c>
      <c r="I2403" s="7" t="s">
        <v>366</v>
      </c>
      <c r="J2403" s="16" t="s">
        <v>3211</v>
      </c>
      <c r="K2403" s="12"/>
      <c r="L2403" s="12"/>
      <c r="M2403" s="10"/>
      <c r="N2403" s="10"/>
      <c r="O2403" s="10"/>
      <c r="P2403" s="10"/>
      <c r="Q2403" s="10"/>
      <c r="R2403" s="10"/>
      <c r="S2403" s="10"/>
      <c r="T2403" s="10"/>
      <c r="U2403" s="10"/>
      <c r="V2403" s="10"/>
      <c r="W2403" s="10"/>
      <c r="X2403" s="10"/>
      <c r="Y2403" s="10"/>
      <c r="Z2403" s="10"/>
      <c r="AA2403" s="10"/>
      <c r="AB2403" s="10"/>
      <c r="AC2403" s="10"/>
      <c r="AD2403" s="10"/>
      <c r="AE2403" s="10"/>
      <c r="AF2403" s="10"/>
    </row>
    <row r="2404">
      <c r="A2404" s="7"/>
      <c r="B2404" s="26">
        <v>205.0</v>
      </c>
      <c r="C2404" s="27">
        <v>3.0</v>
      </c>
      <c r="D2404" s="8" t="s">
        <v>3212</v>
      </c>
      <c r="E2404" s="10"/>
      <c r="F2404" s="7" t="s">
        <v>320</v>
      </c>
      <c r="G2404" s="7" t="s">
        <v>313</v>
      </c>
      <c r="H2404" s="7" t="s">
        <v>312</v>
      </c>
      <c r="I2404" s="7" t="s">
        <v>366</v>
      </c>
      <c r="J2404" s="16" t="s">
        <v>3213</v>
      </c>
      <c r="K2404" s="12"/>
      <c r="L2404" s="12"/>
      <c r="M2404" s="10"/>
      <c r="N2404" s="10"/>
      <c r="O2404" s="10"/>
      <c r="P2404" s="10"/>
      <c r="Q2404" s="10"/>
      <c r="R2404" s="10"/>
      <c r="S2404" s="10"/>
      <c r="T2404" s="10"/>
      <c r="U2404" s="10"/>
      <c r="V2404" s="10"/>
      <c r="W2404" s="10"/>
      <c r="X2404" s="10"/>
      <c r="Y2404" s="10"/>
      <c r="Z2404" s="10"/>
      <c r="AA2404" s="10"/>
      <c r="AB2404" s="10"/>
      <c r="AC2404" s="10"/>
      <c r="AD2404" s="10"/>
      <c r="AE2404" s="10"/>
      <c r="AF2404" s="10"/>
    </row>
    <row r="2405">
      <c r="A2405" s="10"/>
      <c r="B2405" s="12"/>
      <c r="C2405" s="12"/>
      <c r="D2405" s="12"/>
      <c r="E2405" s="10"/>
      <c r="F2405" s="10"/>
      <c r="G2405" s="10"/>
      <c r="H2405" s="10"/>
      <c r="I2405" s="10"/>
      <c r="J2405" s="11"/>
      <c r="K2405" s="12"/>
      <c r="L2405" s="12"/>
      <c r="M2405" s="10"/>
      <c r="N2405" s="10"/>
      <c r="O2405" s="10"/>
      <c r="P2405" s="10"/>
      <c r="Q2405" s="10"/>
      <c r="R2405" s="10"/>
      <c r="S2405" s="10"/>
      <c r="T2405" s="10"/>
      <c r="U2405" s="10"/>
      <c r="V2405" s="10"/>
      <c r="W2405" s="10"/>
      <c r="X2405" s="10"/>
      <c r="Y2405" s="10"/>
      <c r="Z2405" s="10"/>
      <c r="AA2405" s="10"/>
      <c r="AB2405" s="10"/>
      <c r="AC2405" s="10"/>
      <c r="AD2405" s="10"/>
      <c r="AE2405" s="10"/>
      <c r="AF2405" s="10"/>
    </row>
    <row r="2406">
      <c r="A2406" s="10"/>
      <c r="B2406" s="8">
        <v>206.0</v>
      </c>
      <c r="C2406" s="8">
        <v>1.0</v>
      </c>
      <c r="D2406" s="35" t="s">
        <v>3214</v>
      </c>
      <c r="E2406" s="8" t="s">
        <v>3215</v>
      </c>
      <c r="F2406" s="7" t="s">
        <v>320</v>
      </c>
      <c r="G2406" s="7" t="s">
        <v>312</v>
      </c>
      <c r="H2406" s="10"/>
      <c r="I2406" s="10"/>
      <c r="J2406" s="9">
        <v>0.0</v>
      </c>
      <c r="K2406" s="12"/>
      <c r="L2406" s="12"/>
      <c r="M2406" s="10"/>
      <c r="N2406" s="10"/>
      <c r="O2406" s="10"/>
      <c r="P2406" s="10"/>
      <c r="Q2406" s="10"/>
      <c r="R2406" s="10"/>
      <c r="S2406" s="10"/>
      <c r="T2406" s="10"/>
      <c r="U2406" s="10"/>
      <c r="V2406" s="10"/>
      <c r="W2406" s="10"/>
      <c r="X2406" s="10"/>
      <c r="Y2406" s="10"/>
      <c r="Z2406" s="10"/>
      <c r="AA2406" s="10"/>
      <c r="AB2406" s="10"/>
      <c r="AC2406" s="10"/>
      <c r="AD2406" s="10"/>
      <c r="AE2406" s="10"/>
      <c r="AF2406" s="10"/>
    </row>
    <row r="2407">
      <c r="A2407" s="10"/>
      <c r="B2407" s="8">
        <v>206.0</v>
      </c>
      <c r="C2407" s="12">
        <f t="shared" ref="C2407:C2495" si="1">C2406+1</f>
        <v>2</v>
      </c>
      <c r="D2407" s="35" t="s">
        <v>3216</v>
      </c>
      <c r="E2407" s="10"/>
      <c r="F2407" s="7" t="s">
        <v>320</v>
      </c>
      <c r="G2407" s="7" t="s">
        <v>312</v>
      </c>
      <c r="H2407" s="10"/>
      <c r="I2407" s="10"/>
      <c r="J2407" s="9">
        <v>0.0</v>
      </c>
      <c r="K2407" s="8" t="s">
        <v>3217</v>
      </c>
      <c r="L2407" s="14" t="s">
        <v>3218</v>
      </c>
      <c r="M2407" s="10"/>
      <c r="N2407" s="10"/>
      <c r="O2407" s="10"/>
      <c r="P2407" s="10"/>
      <c r="Q2407" s="10"/>
      <c r="R2407" s="10"/>
      <c r="S2407" s="10"/>
      <c r="T2407" s="10"/>
      <c r="U2407" s="10"/>
      <c r="V2407" s="10"/>
      <c r="W2407" s="10"/>
      <c r="X2407" s="10"/>
      <c r="Y2407" s="10"/>
      <c r="Z2407" s="10"/>
      <c r="AA2407" s="10"/>
      <c r="AB2407" s="10"/>
      <c r="AC2407" s="10"/>
      <c r="AD2407" s="10"/>
      <c r="AE2407" s="10"/>
      <c r="AF2407" s="10"/>
    </row>
    <row r="2408">
      <c r="A2408" s="10"/>
      <c r="B2408" s="8">
        <v>206.0</v>
      </c>
      <c r="C2408" s="12">
        <f t="shared" si="1"/>
        <v>3</v>
      </c>
      <c r="D2408" s="35" t="s">
        <v>3219</v>
      </c>
      <c r="E2408" s="10"/>
      <c r="F2408" s="7" t="s">
        <v>320</v>
      </c>
      <c r="G2408" s="7" t="s">
        <v>312</v>
      </c>
      <c r="H2408" s="10"/>
      <c r="I2408" s="10"/>
      <c r="J2408" s="9">
        <v>0.0</v>
      </c>
      <c r="K2408" s="12"/>
      <c r="L2408" s="12"/>
      <c r="M2408" s="10"/>
      <c r="N2408" s="10"/>
      <c r="O2408" s="10"/>
      <c r="P2408" s="10"/>
      <c r="Q2408" s="10"/>
      <c r="R2408" s="10"/>
      <c r="S2408" s="10"/>
      <c r="T2408" s="10"/>
      <c r="U2408" s="10"/>
      <c r="V2408" s="10"/>
      <c r="W2408" s="10"/>
      <c r="X2408" s="10"/>
      <c r="Y2408" s="10"/>
      <c r="Z2408" s="10"/>
      <c r="AA2408" s="10"/>
      <c r="AB2408" s="10"/>
      <c r="AC2408" s="10"/>
      <c r="AD2408" s="10"/>
      <c r="AE2408" s="10"/>
      <c r="AF2408" s="10"/>
    </row>
    <row r="2409">
      <c r="A2409" s="10"/>
      <c r="B2409" s="8">
        <v>206.0</v>
      </c>
      <c r="C2409" s="12">
        <f t="shared" si="1"/>
        <v>4</v>
      </c>
      <c r="D2409" s="35" t="s">
        <v>3220</v>
      </c>
      <c r="E2409" s="10"/>
      <c r="F2409" s="7" t="s">
        <v>320</v>
      </c>
      <c r="G2409" s="7" t="s">
        <v>312</v>
      </c>
      <c r="H2409" s="10"/>
      <c r="I2409" s="10"/>
      <c r="J2409" s="9" t="s">
        <v>3221</v>
      </c>
      <c r="K2409" s="36" t="s">
        <v>2764</v>
      </c>
      <c r="L2409" s="12"/>
      <c r="M2409" s="10"/>
      <c r="N2409" s="10"/>
      <c r="O2409" s="10"/>
      <c r="P2409" s="10"/>
      <c r="Q2409" s="10"/>
      <c r="R2409" s="10"/>
      <c r="S2409" s="10"/>
      <c r="T2409" s="10"/>
      <c r="U2409" s="10"/>
      <c r="V2409" s="10"/>
      <c r="W2409" s="10"/>
      <c r="X2409" s="10"/>
      <c r="Y2409" s="10"/>
      <c r="Z2409" s="10"/>
      <c r="AA2409" s="10"/>
      <c r="AB2409" s="10"/>
      <c r="AC2409" s="10"/>
      <c r="AD2409" s="10"/>
      <c r="AE2409" s="10"/>
      <c r="AF2409" s="10"/>
    </row>
    <row r="2410">
      <c r="A2410" s="10"/>
      <c r="B2410" s="8">
        <v>206.0</v>
      </c>
      <c r="C2410" s="12">
        <f t="shared" si="1"/>
        <v>5</v>
      </c>
      <c r="D2410" s="35" t="s">
        <v>3222</v>
      </c>
      <c r="E2410" s="10"/>
      <c r="F2410" s="7" t="s">
        <v>320</v>
      </c>
      <c r="G2410" s="7" t="s">
        <v>312</v>
      </c>
      <c r="H2410" s="10"/>
      <c r="I2410" s="10"/>
      <c r="J2410" s="9" t="s">
        <v>3223</v>
      </c>
      <c r="K2410" s="12"/>
      <c r="L2410" s="12"/>
      <c r="M2410" s="10"/>
      <c r="N2410" s="10"/>
      <c r="O2410" s="10"/>
      <c r="P2410" s="10"/>
      <c r="Q2410" s="10"/>
      <c r="R2410" s="10"/>
      <c r="S2410" s="10"/>
      <c r="T2410" s="10"/>
      <c r="U2410" s="10"/>
      <c r="V2410" s="10"/>
      <c r="W2410" s="10"/>
      <c r="X2410" s="10"/>
      <c r="Y2410" s="10"/>
      <c r="Z2410" s="10"/>
      <c r="AA2410" s="10"/>
      <c r="AB2410" s="10"/>
      <c r="AC2410" s="10"/>
      <c r="AD2410" s="10"/>
      <c r="AE2410" s="10"/>
      <c r="AF2410" s="10"/>
    </row>
    <row r="2411">
      <c r="A2411" s="10"/>
      <c r="B2411" s="8">
        <v>206.0</v>
      </c>
      <c r="C2411" s="12">
        <f t="shared" si="1"/>
        <v>6</v>
      </c>
      <c r="D2411" s="35" t="s">
        <v>3224</v>
      </c>
      <c r="E2411" s="10"/>
      <c r="F2411" s="7" t="s">
        <v>320</v>
      </c>
      <c r="G2411" s="7" t="s">
        <v>312</v>
      </c>
      <c r="H2411" s="10"/>
      <c r="I2411" s="10"/>
      <c r="J2411" s="9">
        <v>0.0</v>
      </c>
      <c r="K2411" s="12"/>
      <c r="L2411" s="12"/>
      <c r="M2411" s="10"/>
      <c r="N2411" s="10"/>
      <c r="O2411" s="10"/>
      <c r="P2411" s="10"/>
      <c r="Q2411" s="10"/>
      <c r="R2411" s="10"/>
      <c r="S2411" s="10"/>
      <c r="T2411" s="10"/>
      <c r="U2411" s="10"/>
      <c r="V2411" s="10"/>
      <c r="W2411" s="10"/>
      <c r="X2411" s="10"/>
      <c r="Y2411" s="10"/>
      <c r="Z2411" s="10"/>
      <c r="AA2411" s="10"/>
      <c r="AB2411" s="10"/>
      <c r="AC2411" s="10"/>
      <c r="AD2411" s="10"/>
      <c r="AE2411" s="10"/>
      <c r="AF2411" s="10"/>
    </row>
    <row r="2412">
      <c r="A2412" s="10"/>
      <c r="B2412" s="8">
        <v>206.0</v>
      </c>
      <c r="C2412" s="12">
        <f t="shared" si="1"/>
        <v>7</v>
      </c>
      <c r="D2412" s="35" t="s">
        <v>3225</v>
      </c>
      <c r="E2412" s="10"/>
      <c r="F2412" s="7" t="s">
        <v>320</v>
      </c>
      <c r="G2412" s="7" t="s">
        <v>312</v>
      </c>
      <c r="H2412" s="10"/>
      <c r="I2412" s="10"/>
      <c r="J2412" s="9" t="s">
        <v>3223</v>
      </c>
      <c r="K2412" s="12"/>
      <c r="L2412" s="12"/>
      <c r="M2412" s="10"/>
      <c r="N2412" s="10"/>
      <c r="O2412" s="10"/>
      <c r="P2412" s="10"/>
      <c r="Q2412" s="10"/>
      <c r="R2412" s="10"/>
      <c r="S2412" s="10"/>
      <c r="T2412" s="10"/>
      <c r="U2412" s="10"/>
      <c r="V2412" s="10"/>
      <c r="W2412" s="10"/>
      <c r="X2412" s="10"/>
      <c r="Y2412" s="10"/>
      <c r="Z2412" s="10"/>
      <c r="AA2412" s="10"/>
      <c r="AB2412" s="10"/>
      <c r="AC2412" s="10"/>
      <c r="AD2412" s="10"/>
      <c r="AE2412" s="10"/>
      <c r="AF2412" s="10"/>
    </row>
    <row r="2413">
      <c r="A2413" s="10"/>
      <c r="B2413" s="8">
        <v>206.0</v>
      </c>
      <c r="C2413" s="12">
        <f t="shared" si="1"/>
        <v>8</v>
      </c>
      <c r="D2413" s="35" t="s">
        <v>3226</v>
      </c>
      <c r="E2413" s="10"/>
      <c r="F2413" s="7" t="s">
        <v>320</v>
      </c>
      <c r="G2413" s="7" t="s">
        <v>312</v>
      </c>
      <c r="H2413" s="10"/>
      <c r="I2413" s="10"/>
      <c r="J2413" s="9" t="s">
        <v>3223</v>
      </c>
      <c r="K2413" s="12"/>
      <c r="L2413" s="12"/>
      <c r="M2413" s="10"/>
      <c r="N2413" s="10"/>
      <c r="O2413" s="10"/>
      <c r="P2413" s="10"/>
      <c r="Q2413" s="10"/>
      <c r="R2413" s="10"/>
      <c r="S2413" s="10"/>
      <c r="T2413" s="10"/>
      <c r="U2413" s="10"/>
      <c r="V2413" s="10"/>
      <c r="W2413" s="10"/>
      <c r="X2413" s="10"/>
      <c r="Y2413" s="10"/>
      <c r="Z2413" s="10"/>
      <c r="AA2413" s="10"/>
      <c r="AB2413" s="10"/>
      <c r="AC2413" s="10"/>
      <c r="AD2413" s="10"/>
      <c r="AE2413" s="10"/>
      <c r="AF2413" s="10"/>
    </row>
    <row r="2414">
      <c r="A2414" s="10"/>
      <c r="B2414" s="8">
        <v>206.0</v>
      </c>
      <c r="C2414" s="12">
        <f t="shared" si="1"/>
        <v>9</v>
      </c>
      <c r="D2414" s="35" t="s">
        <v>3227</v>
      </c>
      <c r="E2414" s="10"/>
      <c r="F2414" s="7" t="s">
        <v>320</v>
      </c>
      <c r="G2414" s="7" t="s">
        <v>312</v>
      </c>
      <c r="H2414" s="10"/>
      <c r="I2414" s="10"/>
      <c r="J2414" s="9" t="s">
        <v>3228</v>
      </c>
      <c r="K2414" s="12"/>
      <c r="L2414" s="14" t="s">
        <v>3229</v>
      </c>
      <c r="M2414" s="10"/>
      <c r="N2414" s="10"/>
      <c r="O2414" s="10"/>
      <c r="P2414" s="10"/>
      <c r="Q2414" s="10"/>
      <c r="R2414" s="10"/>
      <c r="S2414" s="10"/>
      <c r="T2414" s="10"/>
      <c r="U2414" s="10"/>
      <c r="V2414" s="10"/>
      <c r="W2414" s="10"/>
      <c r="X2414" s="10"/>
      <c r="Y2414" s="10"/>
      <c r="Z2414" s="10"/>
      <c r="AA2414" s="10"/>
      <c r="AB2414" s="10"/>
      <c r="AC2414" s="10"/>
      <c r="AD2414" s="10"/>
      <c r="AE2414" s="10"/>
      <c r="AF2414" s="10"/>
    </row>
    <row r="2415">
      <c r="A2415" s="10"/>
      <c r="B2415" s="8">
        <v>206.0</v>
      </c>
      <c r="C2415" s="12">
        <f t="shared" si="1"/>
        <v>10</v>
      </c>
      <c r="D2415" s="35" t="s">
        <v>3230</v>
      </c>
      <c r="E2415" s="10"/>
      <c r="F2415" s="7" t="s">
        <v>320</v>
      </c>
      <c r="G2415" s="7" t="s">
        <v>312</v>
      </c>
      <c r="H2415" s="10"/>
      <c r="I2415" s="10"/>
      <c r="J2415" s="9">
        <v>0.0</v>
      </c>
      <c r="K2415" s="12"/>
      <c r="L2415" s="12"/>
      <c r="M2415" s="10"/>
      <c r="N2415" s="10"/>
      <c r="O2415" s="10"/>
      <c r="P2415" s="10"/>
      <c r="Q2415" s="10"/>
      <c r="R2415" s="10"/>
      <c r="S2415" s="10"/>
      <c r="T2415" s="10"/>
      <c r="U2415" s="10"/>
      <c r="V2415" s="10"/>
      <c r="W2415" s="10"/>
      <c r="X2415" s="10"/>
      <c r="Y2415" s="10"/>
      <c r="Z2415" s="10"/>
      <c r="AA2415" s="10"/>
      <c r="AB2415" s="10"/>
      <c r="AC2415" s="10"/>
      <c r="AD2415" s="10"/>
      <c r="AE2415" s="10"/>
      <c r="AF2415" s="10"/>
    </row>
    <row r="2416">
      <c r="A2416" s="10"/>
      <c r="B2416" s="8">
        <v>206.0</v>
      </c>
      <c r="C2416" s="12">
        <f t="shared" si="1"/>
        <v>11</v>
      </c>
      <c r="D2416" s="35" t="s">
        <v>3231</v>
      </c>
      <c r="E2416" s="10"/>
      <c r="F2416" s="7" t="s">
        <v>320</v>
      </c>
      <c r="G2416" s="7" t="s">
        <v>312</v>
      </c>
      <c r="H2416" s="10"/>
      <c r="I2416" s="10"/>
      <c r="J2416" s="9">
        <v>0.0</v>
      </c>
      <c r="K2416" s="12"/>
      <c r="L2416" s="12"/>
      <c r="M2416" s="10"/>
      <c r="N2416" s="10"/>
      <c r="O2416" s="10"/>
      <c r="P2416" s="10"/>
      <c r="Q2416" s="10"/>
      <c r="R2416" s="10"/>
      <c r="S2416" s="10"/>
      <c r="T2416" s="10"/>
      <c r="U2416" s="10"/>
      <c r="V2416" s="10"/>
      <c r="W2416" s="10"/>
      <c r="X2416" s="10"/>
      <c r="Y2416" s="10"/>
      <c r="Z2416" s="10"/>
      <c r="AA2416" s="10"/>
      <c r="AB2416" s="10"/>
      <c r="AC2416" s="10"/>
      <c r="AD2416" s="10"/>
      <c r="AE2416" s="10"/>
      <c r="AF2416" s="10"/>
    </row>
    <row r="2417">
      <c r="A2417" s="10"/>
      <c r="B2417" s="8">
        <v>206.0</v>
      </c>
      <c r="C2417" s="12">
        <f t="shared" si="1"/>
        <v>12</v>
      </c>
      <c r="D2417" s="35" t="s">
        <v>3232</v>
      </c>
      <c r="E2417" s="10"/>
      <c r="F2417" s="7" t="s">
        <v>320</v>
      </c>
      <c r="G2417" s="7" t="s">
        <v>312</v>
      </c>
      <c r="H2417" s="10"/>
      <c r="I2417" s="10"/>
      <c r="J2417" s="9" t="s">
        <v>3233</v>
      </c>
      <c r="K2417" s="36" t="s">
        <v>3234</v>
      </c>
      <c r="L2417" s="12"/>
      <c r="M2417" s="10"/>
      <c r="N2417" s="10"/>
      <c r="O2417" s="10"/>
      <c r="P2417" s="10"/>
      <c r="Q2417" s="10"/>
      <c r="R2417" s="10"/>
      <c r="S2417" s="10"/>
      <c r="T2417" s="10"/>
      <c r="U2417" s="10"/>
      <c r="V2417" s="10"/>
      <c r="W2417" s="10"/>
      <c r="X2417" s="10"/>
      <c r="Y2417" s="10"/>
      <c r="Z2417" s="10"/>
      <c r="AA2417" s="10"/>
      <c r="AB2417" s="10"/>
      <c r="AC2417" s="10"/>
      <c r="AD2417" s="10"/>
      <c r="AE2417" s="10"/>
      <c r="AF2417" s="10"/>
    </row>
    <row r="2418">
      <c r="A2418" s="10"/>
      <c r="B2418" s="8">
        <v>206.0</v>
      </c>
      <c r="C2418" s="12">
        <f t="shared" si="1"/>
        <v>13</v>
      </c>
      <c r="D2418" s="35" t="s">
        <v>3235</v>
      </c>
      <c r="E2418" s="10"/>
      <c r="F2418" s="7" t="s">
        <v>320</v>
      </c>
      <c r="G2418" s="7" t="s">
        <v>312</v>
      </c>
      <c r="H2418" s="10"/>
      <c r="I2418" s="10"/>
      <c r="J2418" s="9">
        <v>0.0</v>
      </c>
      <c r="K2418" s="12"/>
      <c r="L2418" s="12"/>
      <c r="M2418" s="10"/>
      <c r="N2418" s="10"/>
      <c r="O2418" s="10"/>
      <c r="P2418" s="10"/>
      <c r="Q2418" s="10"/>
      <c r="R2418" s="10"/>
      <c r="S2418" s="10"/>
      <c r="T2418" s="10"/>
      <c r="U2418" s="10"/>
      <c r="V2418" s="10"/>
      <c r="W2418" s="10"/>
      <c r="X2418" s="10"/>
      <c r="Y2418" s="10"/>
      <c r="Z2418" s="10"/>
      <c r="AA2418" s="10"/>
      <c r="AB2418" s="10"/>
      <c r="AC2418" s="10"/>
      <c r="AD2418" s="10"/>
      <c r="AE2418" s="10"/>
      <c r="AF2418" s="10"/>
    </row>
    <row r="2419">
      <c r="A2419" s="10"/>
      <c r="B2419" s="8">
        <v>206.0</v>
      </c>
      <c r="C2419" s="12">
        <f t="shared" si="1"/>
        <v>14</v>
      </c>
      <c r="D2419" s="35" t="s">
        <v>3236</v>
      </c>
      <c r="E2419" s="10"/>
      <c r="F2419" s="7" t="s">
        <v>320</v>
      </c>
      <c r="G2419" s="7" t="s">
        <v>312</v>
      </c>
      <c r="H2419" s="10"/>
      <c r="I2419" s="10"/>
      <c r="J2419" s="9">
        <v>0.0</v>
      </c>
      <c r="K2419" s="8" t="s">
        <v>3217</v>
      </c>
      <c r="L2419" s="14" t="s">
        <v>3218</v>
      </c>
      <c r="M2419" s="10"/>
      <c r="N2419" s="10"/>
      <c r="O2419" s="10"/>
      <c r="P2419" s="10"/>
      <c r="Q2419" s="10"/>
      <c r="R2419" s="10"/>
      <c r="S2419" s="10"/>
      <c r="T2419" s="10"/>
      <c r="U2419" s="10"/>
      <c r="V2419" s="10"/>
      <c r="W2419" s="10"/>
      <c r="X2419" s="10"/>
      <c r="Y2419" s="10"/>
      <c r="Z2419" s="10"/>
      <c r="AA2419" s="10"/>
      <c r="AB2419" s="10"/>
      <c r="AC2419" s="10"/>
      <c r="AD2419" s="10"/>
      <c r="AE2419" s="10"/>
      <c r="AF2419" s="10"/>
    </row>
    <row r="2420">
      <c r="A2420" s="10"/>
      <c r="B2420" s="8">
        <v>206.0</v>
      </c>
      <c r="C2420" s="12">
        <f t="shared" si="1"/>
        <v>15</v>
      </c>
      <c r="D2420" s="35" t="s">
        <v>3237</v>
      </c>
      <c r="E2420" s="10"/>
      <c r="F2420" s="7" t="s">
        <v>320</v>
      </c>
      <c r="G2420" s="7" t="s">
        <v>312</v>
      </c>
      <c r="H2420" s="10"/>
      <c r="I2420" s="10"/>
      <c r="J2420" s="9">
        <v>0.0</v>
      </c>
      <c r="K2420" s="12"/>
      <c r="L2420" s="12"/>
      <c r="M2420" s="10"/>
      <c r="N2420" s="10"/>
      <c r="O2420" s="10"/>
      <c r="P2420" s="10"/>
      <c r="Q2420" s="10"/>
      <c r="R2420" s="10"/>
      <c r="S2420" s="10"/>
      <c r="T2420" s="10"/>
      <c r="U2420" s="10"/>
      <c r="V2420" s="10"/>
      <c r="W2420" s="10"/>
      <c r="X2420" s="10"/>
      <c r="Y2420" s="10"/>
      <c r="Z2420" s="10"/>
      <c r="AA2420" s="10"/>
      <c r="AB2420" s="10"/>
      <c r="AC2420" s="10"/>
      <c r="AD2420" s="10"/>
      <c r="AE2420" s="10"/>
      <c r="AF2420" s="10"/>
    </row>
    <row r="2421">
      <c r="A2421" s="10"/>
      <c r="B2421" s="8">
        <v>206.0</v>
      </c>
      <c r="C2421" s="12">
        <f t="shared" si="1"/>
        <v>16</v>
      </c>
      <c r="D2421" s="35" t="s">
        <v>3238</v>
      </c>
      <c r="E2421" s="10"/>
      <c r="F2421" s="7" t="s">
        <v>320</v>
      </c>
      <c r="G2421" s="7" t="s">
        <v>312</v>
      </c>
      <c r="H2421" s="10"/>
      <c r="I2421" s="10"/>
      <c r="J2421" s="9" t="s">
        <v>3221</v>
      </c>
      <c r="K2421" s="36" t="s">
        <v>2764</v>
      </c>
      <c r="L2421" s="12"/>
      <c r="M2421" s="10"/>
      <c r="N2421" s="10"/>
      <c r="O2421" s="10"/>
      <c r="P2421" s="10"/>
      <c r="Q2421" s="10"/>
      <c r="R2421" s="10"/>
      <c r="S2421" s="10"/>
      <c r="T2421" s="10"/>
      <c r="U2421" s="10"/>
      <c r="V2421" s="10"/>
      <c r="W2421" s="10"/>
      <c r="X2421" s="10"/>
      <c r="Y2421" s="10"/>
      <c r="Z2421" s="10"/>
      <c r="AA2421" s="10"/>
      <c r="AB2421" s="10"/>
      <c r="AC2421" s="10"/>
      <c r="AD2421" s="10"/>
      <c r="AE2421" s="10"/>
      <c r="AF2421" s="10"/>
    </row>
    <row r="2422">
      <c r="A2422" s="10"/>
      <c r="B2422" s="8">
        <v>206.0</v>
      </c>
      <c r="C2422" s="12">
        <f t="shared" si="1"/>
        <v>17</v>
      </c>
      <c r="D2422" s="35" t="s">
        <v>3239</v>
      </c>
      <c r="E2422" s="10"/>
      <c r="F2422" s="7" t="s">
        <v>320</v>
      </c>
      <c r="G2422" s="7" t="s">
        <v>312</v>
      </c>
      <c r="H2422" s="10"/>
      <c r="I2422" s="10"/>
      <c r="J2422" s="9" t="s">
        <v>3223</v>
      </c>
      <c r="K2422" s="12"/>
      <c r="L2422" s="12"/>
      <c r="M2422" s="10"/>
      <c r="N2422" s="10"/>
      <c r="O2422" s="10"/>
      <c r="P2422" s="10"/>
      <c r="Q2422" s="10"/>
      <c r="R2422" s="10"/>
      <c r="S2422" s="10"/>
      <c r="T2422" s="10"/>
      <c r="U2422" s="10"/>
      <c r="V2422" s="10"/>
      <c r="W2422" s="10"/>
      <c r="X2422" s="10"/>
      <c r="Y2422" s="10"/>
      <c r="Z2422" s="10"/>
      <c r="AA2422" s="10"/>
      <c r="AB2422" s="10"/>
      <c r="AC2422" s="10"/>
      <c r="AD2422" s="10"/>
      <c r="AE2422" s="10"/>
      <c r="AF2422" s="10"/>
    </row>
    <row r="2423">
      <c r="A2423" s="10"/>
      <c r="B2423" s="8">
        <v>206.0</v>
      </c>
      <c r="C2423" s="12">
        <f t="shared" si="1"/>
        <v>18</v>
      </c>
      <c r="D2423" s="35" t="s">
        <v>3240</v>
      </c>
      <c r="E2423" s="10"/>
      <c r="F2423" s="7" t="s">
        <v>320</v>
      </c>
      <c r="G2423" s="7" t="s">
        <v>312</v>
      </c>
      <c r="H2423" s="10"/>
      <c r="I2423" s="10"/>
      <c r="J2423" s="9">
        <v>0.0</v>
      </c>
      <c r="K2423" s="12"/>
      <c r="L2423" s="12"/>
      <c r="M2423" s="10"/>
      <c r="N2423" s="10"/>
      <c r="O2423" s="10"/>
      <c r="P2423" s="10"/>
      <c r="Q2423" s="10"/>
      <c r="R2423" s="10"/>
      <c r="S2423" s="10"/>
      <c r="T2423" s="10"/>
      <c r="U2423" s="10"/>
      <c r="V2423" s="10"/>
      <c r="W2423" s="10"/>
      <c r="X2423" s="10"/>
      <c r="Y2423" s="10"/>
      <c r="Z2423" s="10"/>
      <c r="AA2423" s="10"/>
      <c r="AB2423" s="10"/>
      <c r="AC2423" s="10"/>
      <c r="AD2423" s="10"/>
      <c r="AE2423" s="10"/>
      <c r="AF2423" s="10"/>
    </row>
    <row r="2424">
      <c r="A2424" s="10"/>
      <c r="B2424" s="8">
        <v>206.0</v>
      </c>
      <c r="C2424" s="12">
        <f t="shared" si="1"/>
        <v>19</v>
      </c>
      <c r="D2424" s="35" t="s">
        <v>3241</v>
      </c>
      <c r="E2424" s="10"/>
      <c r="F2424" s="7" t="s">
        <v>320</v>
      </c>
      <c r="G2424" s="7" t="s">
        <v>312</v>
      </c>
      <c r="H2424" s="10"/>
      <c r="I2424" s="10"/>
      <c r="J2424" s="9" t="s">
        <v>3223</v>
      </c>
      <c r="K2424" s="12"/>
      <c r="L2424" s="12"/>
      <c r="M2424" s="10"/>
      <c r="N2424" s="10"/>
      <c r="O2424" s="10"/>
      <c r="P2424" s="10"/>
      <c r="Q2424" s="10"/>
      <c r="R2424" s="10"/>
      <c r="S2424" s="10"/>
      <c r="T2424" s="10"/>
      <c r="U2424" s="10"/>
      <c r="V2424" s="10"/>
      <c r="W2424" s="10"/>
      <c r="X2424" s="10"/>
      <c r="Y2424" s="10"/>
      <c r="Z2424" s="10"/>
      <c r="AA2424" s="10"/>
      <c r="AB2424" s="10"/>
      <c r="AC2424" s="10"/>
      <c r="AD2424" s="10"/>
      <c r="AE2424" s="10"/>
      <c r="AF2424" s="10"/>
    </row>
    <row r="2425">
      <c r="A2425" s="10"/>
      <c r="B2425" s="8">
        <v>206.0</v>
      </c>
      <c r="C2425" s="12">
        <f t="shared" si="1"/>
        <v>20</v>
      </c>
      <c r="D2425" s="35" t="s">
        <v>3242</v>
      </c>
      <c r="E2425" s="10"/>
      <c r="F2425" s="7" t="s">
        <v>320</v>
      </c>
      <c r="G2425" s="7" t="s">
        <v>312</v>
      </c>
      <c r="H2425" s="10"/>
      <c r="I2425" s="10"/>
      <c r="J2425" s="9" t="s">
        <v>3223</v>
      </c>
      <c r="K2425" s="12"/>
      <c r="L2425" s="12"/>
      <c r="M2425" s="10"/>
      <c r="N2425" s="10"/>
      <c r="O2425" s="10"/>
      <c r="P2425" s="10"/>
      <c r="Q2425" s="10"/>
      <c r="R2425" s="10"/>
      <c r="S2425" s="10"/>
      <c r="T2425" s="10"/>
      <c r="U2425" s="10"/>
      <c r="V2425" s="10"/>
      <c r="W2425" s="10"/>
      <c r="X2425" s="10"/>
      <c r="Y2425" s="10"/>
      <c r="Z2425" s="10"/>
      <c r="AA2425" s="10"/>
      <c r="AB2425" s="10"/>
      <c r="AC2425" s="10"/>
      <c r="AD2425" s="10"/>
      <c r="AE2425" s="10"/>
      <c r="AF2425" s="10"/>
    </row>
    <row r="2426">
      <c r="A2426" s="10"/>
      <c r="B2426" s="8">
        <v>206.0</v>
      </c>
      <c r="C2426" s="12">
        <f t="shared" si="1"/>
        <v>21</v>
      </c>
      <c r="D2426" s="35" t="s">
        <v>3243</v>
      </c>
      <c r="E2426" s="10"/>
      <c r="F2426" s="7" t="s">
        <v>320</v>
      </c>
      <c r="G2426" s="7" t="s">
        <v>312</v>
      </c>
      <c r="H2426" s="10"/>
      <c r="I2426" s="10"/>
      <c r="J2426" s="9" t="s">
        <v>3228</v>
      </c>
      <c r="K2426" s="12"/>
      <c r="L2426" s="14" t="s">
        <v>3229</v>
      </c>
      <c r="M2426" s="10"/>
      <c r="N2426" s="10"/>
      <c r="O2426" s="10"/>
      <c r="P2426" s="10"/>
      <c r="Q2426" s="10"/>
      <c r="R2426" s="10"/>
      <c r="S2426" s="10"/>
      <c r="T2426" s="10"/>
      <c r="U2426" s="10"/>
      <c r="V2426" s="10"/>
      <c r="W2426" s="10"/>
      <c r="X2426" s="10"/>
      <c r="Y2426" s="10"/>
      <c r="Z2426" s="10"/>
      <c r="AA2426" s="10"/>
      <c r="AB2426" s="10"/>
      <c r="AC2426" s="10"/>
      <c r="AD2426" s="10"/>
      <c r="AE2426" s="10"/>
      <c r="AF2426" s="10"/>
    </row>
    <row r="2427">
      <c r="A2427" s="10"/>
      <c r="B2427" s="8">
        <v>206.0</v>
      </c>
      <c r="C2427" s="12">
        <f t="shared" si="1"/>
        <v>22</v>
      </c>
      <c r="D2427" s="35" t="s">
        <v>3244</v>
      </c>
      <c r="E2427" s="10"/>
      <c r="F2427" s="7" t="s">
        <v>320</v>
      </c>
      <c r="G2427" s="7" t="s">
        <v>312</v>
      </c>
      <c r="H2427" s="10"/>
      <c r="I2427" s="10"/>
      <c r="J2427" s="9">
        <v>0.0</v>
      </c>
      <c r="K2427" s="12"/>
      <c r="L2427" s="12"/>
      <c r="M2427" s="10"/>
      <c r="N2427" s="10"/>
      <c r="O2427" s="10"/>
      <c r="P2427" s="10"/>
      <c r="Q2427" s="10"/>
      <c r="R2427" s="10"/>
      <c r="S2427" s="10"/>
      <c r="T2427" s="10"/>
      <c r="U2427" s="10"/>
      <c r="V2427" s="10"/>
      <c r="W2427" s="10"/>
      <c r="X2427" s="10"/>
      <c r="Y2427" s="10"/>
      <c r="Z2427" s="10"/>
      <c r="AA2427" s="10"/>
      <c r="AB2427" s="10"/>
      <c r="AC2427" s="10"/>
      <c r="AD2427" s="10"/>
      <c r="AE2427" s="10"/>
      <c r="AF2427" s="10"/>
    </row>
    <row r="2428">
      <c r="A2428" s="10"/>
      <c r="B2428" s="8">
        <v>206.0</v>
      </c>
      <c r="C2428" s="12">
        <f t="shared" si="1"/>
        <v>23</v>
      </c>
      <c r="D2428" s="35" t="s">
        <v>3245</v>
      </c>
      <c r="E2428" s="10"/>
      <c r="F2428" s="7" t="s">
        <v>320</v>
      </c>
      <c r="G2428" s="7" t="s">
        <v>312</v>
      </c>
      <c r="H2428" s="10"/>
      <c r="I2428" s="10"/>
      <c r="J2428" s="9">
        <v>0.0</v>
      </c>
      <c r="K2428" s="12"/>
      <c r="L2428" s="12"/>
      <c r="M2428" s="10"/>
      <c r="N2428" s="10"/>
      <c r="O2428" s="10"/>
      <c r="P2428" s="10"/>
      <c r="Q2428" s="10"/>
      <c r="R2428" s="10"/>
      <c r="S2428" s="10"/>
      <c r="T2428" s="10"/>
      <c r="U2428" s="10"/>
      <c r="V2428" s="10"/>
      <c r="W2428" s="10"/>
      <c r="X2428" s="10"/>
      <c r="Y2428" s="10"/>
      <c r="Z2428" s="10"/>
      <c r="AA2428" s="10"/>
      <c r="AB2428" s="10"/>
      <c r="AC2428" s="10"/>
      <c r="AD2428" s="10"/>
      <c r="AE2428" s="10"/>
      <c r="AF2428" s="10"/>
    </row>
    <row r="2429">
      <c r="A2429" s="10"/>
      <c r="B2429" s="8">
        <v>206.0</v>
      </c>
      <c r="C2429" s="12">
        <f t="shared" si="1"/>
        <v>24</v>
      </c>
      <c r="D2429" s="35" t="s">
        <v>3246</v>
      </c>
      <c r="E2429" s="10"/>
      <c r="F2429" s="7" t="s">
        <v>320</v>
      </c>
      <c r="G2429" s="7" t="s">
        <v>312</v>
      </c>
      <c r="H2429" s="10"/>
      <c r="I2429" s="10"/>
      <c r="J2429" s="9" t="s">
        <v>3233</v>
      </c>
      <c r="K2429" s="36" t="s">
        <v>3234</v>
      </c>
      <c r="L2429" s="12"/>
      <c r="M2429" s="10"/>
      <c r="N2429" s="10"/>
      <c r="O2429" s="10"/>
      <c r="P2429" s="10"/>
      <c r="Q2429" s="10"/>
      <c r="R2429" s="10"/>
      <c r="S2429" s="10"/>
      <c r="T2429" s="10"/>
      <c r="U2429" s="10"/>
      <c r="V2429" s="10"/>
      <c r="W2429" s="10"/>
      <c r="X2429" s="10"/>
      <c r="Y2429" s="10"/>
      <c r="Z2429" s="10"/>
      <c r="AA2429" s="10"/>
      <c r="AB2429" s="10"/>
      <c r="AC2429" s="10"/>
      <c r="AD2429" s="10"/>
      <c r="AE2429" s="10"/>
      <c r="AF2429" s="10"/>
    </row>
    <row r="2430">
      <c r="A2430" s="10"/>
      <c r="B2430" s="8">
        <v>206.0</v>
      </c>
      <c r="C2430" s="12">
        <f t="shared" si="1"/>
        <v>25</v>
      </c>
      <c r="D2430" s="35" t="s">
        <v>3247</v>
      </c>
      <c r="E2430" s="10"/>
      <c r="F2430" s="7" t="s">
        <v>320</v>
      </c>
      <c r="G2430" s="7" t="s">
        <v>312</v>
      </c>
      <c r="H2430" s="10"/>
      <c r="I2430" s="10"/>
      <c r="J2430" s="9">
        <v>0.0</v>
      </c>
      <c r="K2430" s="12"/>
      <c r="L2430" s="12"/>
      <c r="M2430" s="10"/>
      <c r="N2430" s="10"/>
      <c r="O2430" s="10"/>
      <c r="P2430" s="10"/>
      <c r="Q2430" s="10"/>
      <c r="R2430" s="10"/>
      <c r="S2430" s="10"/>
      <c r="T2430" s="10"/>
      <c r="U2430" s="10"/>
      <c r="V2430" s="10"/>
      <c r="W2430" s="10"/>
      <c r="X2430" s="10"/>
      <c r="Y2430" s="10"/>
      <c r="Z2430" s="10"/>
      <c r="AA2430" s="10"/>
      <c r="AB2430" s="10"/>
      <c r="AC2430" s="10"/>
      <c r="AD2430" s="10"/>
      <c r="AE2430" s="10"/>
      <c r="AF2430" s="10"/>
    </row>
    <row r="2431">
      <c r="A2431" s="10"/>
      <c r="B2431" s="8">
        <v>206.0</v>
      </c>
      <c r="C2431" s="12">
        <f t="shared" si="1"/>
        <v>26</v>
      </c>
      <c r="D2431" s="35" t="s">
        <v>3248</v>
      </c>
      <c r="E2431" s="10"/>
      <c r="F2431" s="7" t="s">
        <v>320</v>
      </c>
      <c r="G2431" s="7" t="s">
        <v>312</v>
      </c>
      <c r="H2431" s="10"/>
      <c r="I2431" s="10"/>
      <c r="J2431" s="9">
        <v>0.0</v>
      </c>
      <c r="K2431" s="12"/>
      <c r="L2431" s="14" t="s">
        <v>3218</v>
      </c>
      <c r="M2431" s="10"/>
      <c r="N2431" s="10"/>
      <c r="O2431" s="10"/>
      <c r="P2431" s="10"/>
      <c r="Q2431" s="10"/>
      <c r="R2431" s="10"/>
      <c r="S2431" s="10"/>
      <c r="T2431" s="10"/>
      <c r="U2431" s="10"/>
      <c r="V2431" s="10"/>
      <c r="W2431" s="10"/>
      <c r="X2431" s="10"/>
      <c r="Y2431" s="10"/>
      <c r="Z2431" s="10"/>
      <c r="AA2431" s="10"/>
      <c r="AB2431" s="10"/>
      <c r="AC2431" s="10"/>
      <c r="AD2431" s="10"/>
      <c r="AE2431" s="10"/>
      <c r="AF2431" s="10"/>
    </row>
    <row r="2432">
      <c r="A2432" s="10"/>
      <c r="B2432" s="8">
        <v>206.0</v>
      </c>
      <c r="C2432" s="12">
        <f t="shared" si="1"/>
        <v>27</v>
      </c>
      <c r="D2432" s="35" t="s">
        <v>3249</v>
      </c>
      <c r="E2432" s="10"/>
      <c r="F2432" s="7" t="s">
        <v>320</v>
      </c>
      <c r="G2432" s="7" t="s">
        <v>312</v>
      </c>
      <c r="H2432" s="10"/>
      <c r="I2432" s="10"/>
      <c r="J2432" s="9">
        <v>0.0</v>
      </c>
      <c r="K2432" s="12"/>
      <c r="L2432" s="14" t="s">
        <v>3218</v>
      </c>
      <c r="M2432" s="10"/>
      <c r="N2432" s="10"/>
      <c r="O2432" s="10"/>
      <c r="P2432" s="10"/>
      <c r="Q2432" s="10"/>
      <c r="R2432" s="10"/>
      <c r="S2432" s="10"/>
      <c r="T2432" s="10"/>
      <c r="U2432" s="10"/>
      <c r="V2432" s="10"/>
      <c r="W2432" s="10"/>
      <c r="X2432" s="10"/>
      <c r="Y2432" s="10"/>
      <c r="Z2432" s="10"/>
      <c r="AA2432" s="10"/>
      <c r="AB2432" s="10"/>
      <c r="AC2432" s="10"/>
      <c r="AD2432" s="10"/>
      <c r="AE2432" s="10"/>
      <c r="AF2432" s="10"/>
    </row>
    <row r="2433">
      <c r="A2433" s="10"/>
      <c r="B2433" s="8">
        <v>206.0</v>
      </c>
      <c r="C2433" s="12">
        <f t="shared" si="1"/>
        <v>28</v>
      </c>
      <c r="D2433" s="35" t="s">
        <v>3250</v>
      </c>
      <c r="E2433" s="10"/>
      <c r="F2433" s="7" t="s">
        <v>320</v>
      </c>
      <c r="G2433" s="7" t="s">
        <v>312</v>
      </c>
      <c r="H2433" s="10"/>
      <c r="I2433" s="10"/>
      <c r="J2433" s="9" t="s">
        <v>3251</v>
      </c>
      <c r="K2433" s="12"/>
      <c r="L2433" s="14" t="s">
        <v>3218</v>
      </c>
      <c r="M2433" s="10"/>
      <c r="N2433" s="10"/>
      <c r="O2433" s="10"/>
      <c r="P2433" s="10"/>
      <c r="Q2433" s="10"/>
      <c r="R2433" s="10"/>
      <c r="S2433" s="10"/>
      <c r="T2433" s="10"/>
      <c r="U2433" s="10"/>
      <c r="V2433" s="10"/>
      <c r="W2433" s="10"/>
      <c r="X2433" s="10"/>
      <c r="Y2433" s="10"/>
      <c r="Z2433" s="10"/>
      <c r="AA2433" s="10"/>
      <c r="AB2433" s="10"/>
      <c r="AC2433" s="10"/>
      <c r="AD2433" s="10"/>
      <c r="AE2433" s="10"/>
      <c r="AF2433" s="10"/>
    </row>
    <row r="2434">
      <c r="A2434" s="10"/>
      <c r="B2434" s="8">
        <v>206.0</v>
      </c>
      <c r="C2434" s="12">
        <f t="shared" si="1"/>
        <v>29</v>
      </c>
      <c r="D2434" s="35" t="s">
        <v>3252</v>
      </c>
      <c r="E2434" s="10"/>
      <c r="F2434" s="7" t="s">
        <v>320</v>
      </c>
      <c r="G2434" s="7" t="s">
        <v>312</v>
      </c>
      <c r="H2434" s="10"/>
      <c r="I2434" s="10"/>
      <c r="J2434" s="9">
        <v>0.0</v>
      </c>
      <c r="K2434" s="12"/>
      <c r="L2434" s="14" t="s">
        <v>3218</v>
      </c>
      <c r="M2434" s="10"/>
      <c r="N2434" s="10"/>
      <c r="O2434" s="10"/>
      <c r="P2434" s="10"/>
      <c r="Q2434" s="10"/>
      <c r="R2434" s="10"/>
      <c r="S2434" s="10"/>
      <c r="T2434" s="10"/>
      <c r="U2434" s="10"/>
      <c r="V2434" s="10"/>
      <c r="W2434" s="10"/>
      <c r="X2434" s="10"/>
      <c r="Y2434" s="10"/>
      <c r="Z2434" s="10"/>
      <c r="AA2434" s="10"/>
      <c r="AB2434" s="10"/>
      <c r="AC2434" s="10"/>
      <c r="AD2434" s="10"/>
      <c r="AE2434" s="10"/>
      <c r="AF2434" s="10"/>
    </row>
    <row r="2435">
      <c r="A2435" s="10"/>
      <c r="B2435" s="8">
        <v>206.0</v>
      </c>
      <c r="C2435" s="12">
        <f t="shared" si="1"/>
        <v>30</v>
      </c>
      <c r="D2435" s="35" t="s">
        <v>3253</v>
      </c>
      <c r="E2435" s="10"/>
      <c r="F2435" s="7" t="s">
        <v>320</v>
      </c>
      <c r="G2435" s="7" t="s">
        <v>312</v>
      </c>
      <c r="H2435" s="10"/>
      <c r="I2435" s="10"/>
      <c r="J2435" s="9" t="s">
        <v>3251</v>
      </c>
      <c r="K2435" s="12"/>
      <c r="L2435" s="14" t="s">
        <v>3218</v>
      </c>
      <c r="M2435" s="10"/>
      <c r="N2435" s="10"/>
      <c r="O2435" s="10"/>
      <c r="P2435" s="10"/>
      <c r="Q2435" s="10"/>
      <c r="R2435" s="10"/>
      <c r="S2435" s="10"/>
      <c r="T2435" s="10"/>
      <c r="U2435" s="10"/>
      <c r="V2435" s="10"/>
      <c r="W2435" s="10"/>
      <c r="X2435" s="10"/>
      <c r="Y2435" s="10"/>
      <c r="Z2435" s="10"/>
      <c r="AA2435" s="10"/>
      <c r="AB2435" s="10"/>
      <c r="AC2435" s="10"/>
      <c r="AD2435" s="10"/>
      <c r="AE2435" s="10"/>
      <c r="AF2435" s="10"/>
    </row>
    <row r="2436">
      <c r="A2436" s="10"/>
      <c r="B2436" s="8">
        <v>206.0</v>
      </c>
      <c r="C2436" s="12">
        <f t="shared" si="1"/>
        <v>31</v>
      </c>
      <c r="D2436" s="35" t="s">
        <v>3254</v>
      </c>
      <c r="E2436" s="10"/>
      <c r="F2436" s="7" t="s">
        <v>320</v>
      </c>
      <c r="G2436" s="7" t="s">
        <v>312</v>
      </c>
      <c r="H2436" s="10"/>
      <c r="I2436" s="10"/>
      <c r="J2436" s="9" t="s">
        <v>3251</v>
      </c>
      <c r="K2436" s="12"/>
      <c r="L2436" s="14" t="s">
        <v>3218</v>
      </c>
      <c r="M2436" s="10"/>
      <c r="N2436" s="10"/>
      <c r="O2436" s="10"/>
      <c r="P2436" s="10"/>
      <c r="Q2436" s="10"/>
      <c r="R2436" s="10"/>
      <c r="S2436" s="10"/>
      <c r="T2436" s="10"/>
      <c r="U2436" s="10"/>
      <c r="V2436" s="10"/>
      <c r="W2436" s="10"/>
      <c r="X2436" s="10"/>
      <c r="Y2436" s="10"/>
      <c r="Z2436" s="10"/>
      <c r="AA2436" s="10"/>
      <c r="AB2436" s="10"/>
      <c r="AC2436" s="10"/>
      <c r="AD2436" s="10"/>
      <c r="AE2436" s="10"/>
      <c r="AF2436" s="10"/>
    </row>
    <row r="2437">
      <c r="A2437" s="10"/>
      <c r="B2437" s="8">
        <v>206.0</v>
      </c>
      <c r="C2437" s="12">
        <f t="shared" si="1"/>
        <v>32</v>
      </c>
      <c r="D2437" s="35" t="s">
        <v>3255</v>
      </c>
      <c r="E2437" s="10"/>
      <c r="F2437" s="7" t="s">
        <v>320</v>
      </c>
      <c r="G2437" s="7" t="s">
        <v>312</v>
      </c>
      <c r="H2437" s="10"/>
      <c r="I2437" s="10"/>
      <c r="J2437" s="9" t="s">
        <v>3228</v>
      </c>
      <c r="K2437" s="12"/>
      <c r="L2437" s="14" t="s">
        <v>3256</v>
      </c>
      <c r="M2437" s="10"/>
      <c r="N2437" s="10"/>
      <c r="O2437" s="10"/>
      <c r="P2437" s="10"/>
      <c r="Q2437" s="10"/>
      <c r="R2437" s="10"/>
      <c r="S2437" s="10"/>
      <c r="T2437" s="10"/>
      <c r="U2437" s="10"/>
      <c r="V2437" s="10"/>
      <c r="W2437" s="10"/>
      <c r="X2437" s="10"/>
      <c r="Y2437" s="10"/>
      <c r="Z2437" s="10"/>
      <c r="AA2437" s="10"/>
      <c r="AB2437" s="10"/>
      <c r="AC2437" s="10"/>
      <c r="AD2437" s="10"/>
      <c r="AE2437" s="10"/>
      <c r="AF2437" s="10"/>
    </row>
    <row r="2438">
      <c r="A2438" s="10"/>
      <c r="B2438" s="8">
        <v>206.0</v>
      </c>
      <c r="C2438" s="12">
        <f t="shared" si="1"/>
        <v>33</v>
      </c>
      <c r="D2438" s="35" t="s">
        <v>3257</v>
      </c>
      <c r="E2438" s="10"/>
      <c r="F2438" s="7" t="s">
        <v>320</v>
      </c>
      <c r="G2438" s="7" t="s">
        <v>312</v>
      </c>
      <c r="H2438" s="10"/>
      <c r="I2438" s="10"/>
      <c r="J2438" s="9">
        <v>0.0</v>
      </c>
      <c r="K2438" s="12"/>
      <c r="L2438" s="14" t="s">
        <v>3218</v>
      </c>
      <c r="M2438" s="10"/>
      <c r="N2438" s="10"/>
      <c r="O2438" s="10"/>
      <c r="P2438" s="10"/>
      <c r="Q2438" s="10"/>
      <c r="R2438" s="10"/>
      <c r="S2438" s="10"/>
      <c r="T2438" s="10"/>
      <c r="U2438" s="10"/>
      <c r="V2438" s="10"/>
      <c r="W2438" s="10"/>
      <c r="X2438" s="10"/>
      <c r="Y2438" s="10"/>
      <c r="Z2438" s="10"/>
      <c r="AA2438" s="10"/>
      <c r="AB2438" s="10"/>
      <c r="AC2438" s="10"/>
      <c r="AD2438" s="10"/>
      <c r="AE2438" s="10"/>
      <c r="AF2438" s="10"/>
    </row>
    <row r="2439">
      <c r="A2439" s="10"/>
      <c r="B2439" s="8">
        <v>206.0</v>
      </c>
      <c r="C2439" s="12">
        <f t="shared" si="1"/>
        <v>34</v>
      </c>
      <c r="D2439" s="35" t="s">
        <v>3258</v>
      </c>
      <c r="E2439" s="10"/>
      <c r="F2439" s="7" t="s">
        <v>320</v>
      </c>
      <c r="G2439" s="7" t="s">
        <v>312</v>
      </c>
      <c r="H2439" s="10"/>
      <c r="I2439" s="10"/>
      <c r="J2439" s="9">
        <v>0.0</v>
      </c>
      <c r="K2439" s="12"/>
      <c r="L2439" s="14" t="s">
        <v>3218</v>
      </c>
      <c r="M2439" s="10"/>
      <c r="N2439" s="10"/>
      <c r="O2439" s="10"/>
      <c r="P2439" s="10"/>
      <c r="Q2439" s="10"/>
      <c r="R2439" s="10"/>
      <c r="S2439" s="10"/>
      <c r="T2439" s="10"/>
      <c r="U2439" s="10"/>
      <c r="V2439" s="10"/>
      <c r="W2439" s="10"/>
      <c r="X2439" s="10"/>
      <c r="Y2439" s="10"/>
      <c r="Z2439" s="10"/>
      <c r="AA2439" s="10"/>
      <c r="AB2439" s="10"/>
      <c r="AC2439" s="10"/>
      <c r="AD2439" s="10"/>
      <c r="AE2439" s="10"/>
      <c r="AF2439" s="10"/>
    </row>
    <row r="2440">
      <c r="A2440" s="10"/>
      <c r="B2440" s="8">
        <v>206.0</v>
      </c>
      <c r="C2440" s="12">
        <f t="shared" si="1"/>
        <v>35</v>
      </c>
      <c r="D2440" s="35" t="s">
        <v>3259</v>
      </c>
      <c r="E2440" s="10"/>
      <c r="F2440" s="7" t="s">
        <v>320</v>
      </c>
      <c r="G2440" s="7" t="s">
        <v>312</v>
      </c>
      <c r="H2440" s="10"/>
      <c r="I2440" s="10"/>
      <c r="J2440" s="9">
        <v>0.0</v>
      </c>
      <c r="K2440" s="12"/>
      <c r="L2440" s="14" t="s">
        <v>3218</v>
      </c>
      <c r="M2440" s="10"/>
      <c r="N2440" s="10"/>
      <c r="O2440" s="10"/>
      <c r="P2440" s="10"/>
      <c r="Q2440" s="10"/>
      <c r="R2440" s="10"/>
      <c r="S2440" s="10"/>
      <c r="T2440" s="10"/>
      <c r="U2440" s="10"/>
      <c r="V2440" s="10"/>
      <c r="W2440" s="10"/>
      <c r="X2440" s="10"/>
      <c r="Y2440" s="10"/>
      <c r="Z2440" s="10"/>
      <c r="AA2440" s="10"/>
      <c r="AB2440" s="10"/>
      <c r="AC2440" s="10"/>
      <c r="AD2440" s="10"/>
      <c r="AE2440" s="10"/>
      <c r="AF2440" s="10"/>
    </row>
    <row r="2441">
      <c r="A2441" s="10"/>
      <c r="B2441" s="8">
        <v>206.0</v>
      </c>
      <c r="C2441" s="12">
        <f t="shared" si="1"/>
        <v>36</v>
      </c>
      <c r="D2441" s="35" t="s">
        <v>3260</v>
      </c>
      <c r="E2441" s="10"/>
      <c r="F2441" s="7" t="s">
        <v>320</v>
      </c>
      <c r="G2441" s="7" t="s">
        <v>312</v>
      </c>
      <c r="H2441" s="10"/>
      <c r="I2441" s="10"/>
      <c r="J2441" s="9">
        <v>0.0</v>
      </c>
      <c r="K2441" s="12"/>
      <c r="L2441" s="14" t="s">
        <v>3218</v>
      </c>
      <c r="M2441" s="10"/>
      <c r="N2441" s="10"/>
      <c r="O2441" s="10"/>
      <c r="P2441" s="10"/>
      <c r="Q2441" s="10"/>
      <c r="R2441" s="10"/>
      <c r="S2441" s="10"/>
      <c r="T2441" s="10"/>
      <c r="U2441" s="10"/>
      <c r="V2441" s="10"/>
      <c r="W2441" s="10"/>
      <c r="X2441" s="10"/>
      <c r="Y2441" s="10"/>
      <c r="Z2441" s="10"/>
      <c r="AA2441" s="10"/>
      <c r="AB2441" s="10"/>
      <c r="AC2441" s="10"/>
      <c r="AD2441" s="10"/>
      <c r="AE2441" s="10"/>
      <c r="AF2441" s="10"/>
    </row>
    <row r="2442">
      <c r="A2442" s="10"/>
      <c r="B2442" s="8">
        <v>206.0</v>
      </c>
      <c r="C2442" s="12">
        <f t="shared" si="1"/>
        <v>37</v>
      </c>
      <c r="D2442" s="35" t="s">
        <v>3261</v>
      </c>
      <c r="E2442" s="10"/>
      <c r="F2442" s="7" t="s">
        <v>320</v>
      </c>
      <c r="G2442" s="7" t="s">
        <v>312</v>
      </c>
      <c r="H2442" s="10"/>
      <c r="I2442" s="10"/>
      <c r="J2442" s="9">
        <v>0.0</v>
      </c>
      <c r="K2442" s="12"/>
      <c r="L2442" s="14" t="s">
        <v>3218</v>
      </c>
      <c r="M2442" s="10"/>
      <c r="N2442" s="10"/>
      <c r="O2442" s="10"/>
      <c r="P2442" s="10"/>
      <c r="Q2442" s="10"/>
      <c r="R2442" s="10"/>
      <c r="S2442" s="10"/>
      <c r="T2442" s="10"/>
      <c r="U2442" s="10"/>
      <c r="V2442" s="10"/>
      <c r="W2442" s="10"/>
      <c r="X2442" s="10"/>
      <c r="Y2442" s="10"/>
      <c r="Z2442" s="10"/>
      <c r="AA2442" s="10"/>
      <c r="AB2442" s="10"/>
      <c r="AC2442" s="10"/>
      <c r="AD2442" s="10"/>
      <c r="AE2442" s="10"/>
      <c r="AF2442" s="10"/>
    </row>
    <row r="2443">
      <c r="A2443" s="10"/>
      <c r="B2443" s="8">
        <v>206.0</v>
      </c>
      <c r="C2443" s="12">
        <f t="shared" si="1"/>
        <v>38</v>
      </c>
      <c r="D2443" s="35" t="s">
        <v>3262</v>
      </c>
      <c r="E2443" s="10"/>
      <c r="F2443" s="7" t="s">
        <v>320</v>
      </c>
      <c r="G2443" s="7" t="s">
        <v>312</v>
      </c>
      <c r="H2443" s="10"/>
      <c r="I2443" s="10"/>
      <c r="J2443" s="9" t="s">
        <v>3251</v>
      </c>
      <c r="K2443" s="12"/>
      <c r="L2443" s="14" t="s">
        <v>3218</v>
      </c>
      <c r="M2443" s="10"/>
      <c r="N2443" s="10"/>
      <c r="O2443" s="10"/>
      <c r="P2443" s="10"/>
      <c r="Q2443" s="10"/>
      <c r="R2443" s="10"/>
      <c r="S2443" s="10"/>
      <c r="T2443" s="10"/>
      <c r="U2443" s="10"/>
      <c r="V2443" s="10"/>
      <c r="W2443" s="10"/>
      <c r="X2443" s="10"/>
      <c r="Y2443" s="10"/>
      <c r="Z2443" s="10"/>
      <c r="AA2443" s="10"/>
      <c r="AB2443" s="10"/>
      <c r="AC2443" s="10"/>
      <c r="AD2443" s="10"/>
      <c r="AE2443" s="10"/>
      <c r="AF2443" s="10"/>
    </row>
    <row r="2444">
      <c r="A2444" s="10"/>
      <c r="B2444" s="8">
        <v>206.0</v>
      </c>
      <c r="C2444" s="12">
        <f t="shared" si="1"/>
        <v>39</v>
      </c>
      <c r="D2444" s="35" t="s">
        <v>3263</v>
      </c>
      <c r="E2444" s="10"/>
      <c r="F2444" s="7" t="s">
        <v>320</v>
      </c>
      <c r="G2444" s="7" t="s">
        <v>312</v>
      </c>
      <c r="H2444" s="10"/>
      <c r="I2444" s="10"/>
      <c r="J2444" s="9">
        <v>0.0</v>
      </c>
      <c r="K2444" s="12"/>
      <c r="L2444" s="14" t="s">
        <v>3218</v>
      </c>
      <c r="M2444" s="10"/>
      <c r="N2444" s="10"/>
      <c r="O2444" s="10"/>
      <c r="P2444" s="10"/>
      <c r="Q2444" s="10"/>
      <c r="R2444" s="10"/>
      <c r="S2444" s="10"/>
      <c r="T2444" s="10"/>
      <c r="U2444" s="10"/>
      <c r="V2444" s="10"/>
      <c r="W2444" s="10"/>
      <c r="X2444" s="10"/>
      <c r="Y2444" s="10"/>
      <c r="Z2444" s="10"/>
      <c r="AA2444" s="10"/>
      <c r="AB2444" s="10"/>
      <c r="AC2444" s="10"/>
      <c r="AD2444" s="10"/>
      <c r="AE2444" s="10"/>
      <c r="AF2444" s="10"/>
    </row>
    <row r="2445">
      <c r="A2445" s="10"/>
      <c r="B2445" s="8">
        <v>206.0</v>
      </c>
      <c r="C2445" s="12">
        <f t="shared" si="1"/>
        <v>40</v>
      </c>
      <c r="D2445" s="35" t="s">
        <v>3264</v>
      </c>
      <c r="E2445" s="10"/>
      <c r="F2445" s="7" t="s">
        <v>320</v>
      </c>
      <c r="G2445" s="7" t="s">
        <v>312</v>
      </c>
      <c r="H2445" s="10"/>
      <c r="I2445" s="10"/>
      <c r="J2445" s="9" t="s">
        <v>3251</v>
      </c>
      <c r="K2445" s="12"/>
      <c r="L2445" s="14" t="s">
        <v>3218</v>
      </c>
      <c r="M2445" s="10"/>
      <c r="N2445" s="10"/>
      <c r="O2445" s="10"/>
      <c r="P2445" s="10"/>
      <c r="Q2445" s="10"/>
      <c r="R2445" s="10"/>
      <c r="S2445" s="10"/>
      <c r="T2445" s="10"/>
      <c r="U2445" s="10"/>
      <c r="V2445" s="10"/>
      <c r="W2445" s="10"/>
      <c r="X2445" s="10"/>
      <c r="Y2445" s="10"/>
      <c r="Z2445" s="10"/>
      <c r="AA2445" s="10"/>
      <c r="AB2445" s="10"/>
      <c r="AC2445" s="10"/>
      <c r="AD2445" s="10"/>
      <c r="AE2445" s="10"/>
      <c r="AF2445" s="10"/>
    </row>
    <row r="2446">
      <c r="A2446" s="10"/>
      <c r="B2446" s="8">
        <v>206.0</v>
      </c>
      <c r="C2446" s="12">
        <f t="shared" si="1"/>
        <v>41</v>
      </c>
      <c r="D2446" s="35" t="s">
        <v>3265</v>
      </c>
      <c r="E2446" s="10"/>
      <c r="F2446" s="7" t="s">
        <v>320</v>
      </c>
      <c r="G2446" s="7" t="s">
        <v>312</v>
      </c>
      <c r="H2446" s="10"/>
      <c r="I2446" s="10"/>
      <c r="J2446" s="9" t="s">
        <v>3251</v>
      </c>
      <c r="K2446" s="12"/>
      <c r="L2446" s="14" t="s">
        <v>3218</v>
      </c>
      <c r="M2446" s="10"/>
      <c r="N2446" s="10"/>
      <c r="O2446" s="10"/>
      <c r="P2446" s="10"/>
      <c r="Q2446" s="10"/>
      <c r="R2446" s="10"/>
      <c r="S2446" s="10"/>
      <c r="T2446" s="10"/>
      <c r="U2446" s="10"/>
      <c r="V2446" s="10"/>
      <c r="W2446" s="10"/>
      <c r="X2446" s="10"/>
      <c r="Y2446" s="10"/>
      <c r="Z2446" s="10"/>
      <c r="AA2446" s="10"/>
      <c r="AB2446" s="10"/>
      <c r="AC2446" s="10"/>
      <c r="AD2446" s="10"/>
      <c r="AE2446" s="10"/>
      <c r="AF2446" s="10"/>
    </row>
    <row r="2447">
      <c r="A2447" s="10"/>
      <c r="B2447" s="8">
        <v>206.0</v>
      </c>
      <c r="C2447" s="12">
        <f t="shared" si="1"/>
        <v>42</v>
      </c>
      <c r="D2447" s="35" t="s">
        <v>3266</v>
      </c>
      <c r="E2447" s="10"/>
      <c r="F2447" s="7" t="s">
        <v>320</v>
      </c>
      <c r="G2447" s="7" t="s">
        <v>312</v>
      </c>
      <c r="H2447" s="10"/>
      <c r="I2447" s="10"/>
      <c r="J2447" s="9" t="s">
        <v>3228</v>
      </c>
      <c r="K2447" s="12"/>
      <c r="L2447" s="14" t="s">
        <v>3256</v>
      </c>
      <c r="M2447" s="10"/>
      <c r="N2447" s="10"/>
      <c r="O2447" s="10"/>
      <c r="P2447" s="10"/>
      <c r="Q2447" s="10"/>
      <c r="R2447" s="10"/>
      <c r="S2447" s="10"/>
      <c r="T2447" s="10"/>
      <c r="U2447" s="10"/>
      <c r="V2447" s="10"/>
      <c r="W2447" s="10"/>
      <c r="X2447" s="10"/>
      <c r="Y2447" s="10"/>
      <c r="Z2447" s="10"/>
      <c r="AA2447" s="10"/>
      <c r="AB2447" s="10"/>
      <c r="AC2447" s="10"/>
      <c r="AD2447" s="10"/>
      <c r="AE2447" s="10"/>
      <c r="AF2447" s="10"/>
    </row>
    <row r="2448">
      <c r="A2448" s="10"/>
      <c r="B2448" s="8">
        <v>206.0</v>
      </c>
      <c r="C2448" s="12">
        <f t="shared" si="1"/>
        <v>43</v>
      </c>
      <c r="D2448" s="35" t="s">
        <v>3267</v>
      </c>
      <c r="E2448" s="10"/>
      <c r="F2448" s="7" t="s">
        <v>320</v>
      </c>
      <c r="G2448" s="7" t="s">
        <v>312</v>
      </c>
      <c r="H2448" s="10"/>
      <c r="I2448" s="10"/>
      <c r="J2448" s="9">
        <v>0.0</v>
      </c>
      <c r="K2448" s="12"/>
      <c r="L2448" s="14" t="s">
        <v>3218</v>
      </c>
      <c r="M2448" s="10"/>
      <c r="N2448" s="10"/>
      <c r="O2448" s="10"/>
      <c r="P2448" s="10"/>
      <c r="Q2448" s="10"/>
      <c r="R2448" s="10"/>
      <c r="S2448" s="10"/>
      <c r="T2448" s="10"/>
      <c r="U2448" s="10"/>
      <c r="V2448" s="10"/>
      <c r="W2448" s="10"/>
      <c r="X2448" s="10"/>
      <c r="Y2448" s="10"/>
      <c r="Z2448" s="10"/>
      <c r="AA2448" s="10"/>
      <c r="AB2448" s="10"/>
      <c r="AC2448" s="10"/>
      <c r="AD2448" s="10"/>
      <c r="AE2448" s="10"/>
      <c r="AF2448" s="10"/>
    </row>
    <row r="2449">
      <c r="A2449" s="10"/>
      <c r="B2449" s="8">
        <v>206.0</v>
      </c>
      <c r="C2449" s="12">
        <f t="shared" si="1"/>
        <v>44</v>
      </c>
      <c r="D2449" s="35" t="s">
        <v>3268</v>
      </c>
      <c r="E2449" s="10"/>
      <c r="F2449" s="7" t="s">
        <v>320</v>
      </c>
      <c r="G2449" s="7" t="s">
        <v>312</v>
      </c>
      <c r="H2449" s="10"/>
      <c r="I2449" s="10"/>
      <c r="J2449" s="9">
        <v>0.0</v>
      </c>
      <c r="K2449" s="12"/>
      <c r="L2449" s="14" t="s">
        <v>3218</v>
      </c>
      <c r="M2449" s="10"/>
      <c r="N2449" s="10"/>
      <c r="O2449" s="10"/>
      <c r="P2449" s="10"/>
      <c r="Q2449" s="10"/>
      <c r="R2449" s="10"/>
      <c r="S2449" s="10"/>
      <c r="T2449" s="10"/>
      <c r="U2449" s="10"/>
      <c r="V2449" s="10"/>
      <c r="W2449" s="10"/>
      <c r="X2449" s="10"/>
      <c r="Y2449" s="10"/>
      <c r="Z2449" s="10"/>
      <c r="AA2449" s="10"/>
      <c r="AB2449" s="10"/>
      <c r="AC2449" s="10"/>
      <c r="AD2449" s="10"/>
      <c r="AE2449" s="10"/>
      <c r="AF2449" s="10"/>
    </row>
    <row r="2450">
      <c r="A2450" s="10"/>
      <c r="B2450" s="8">
        <v>206.0</v>
      </c>
      <c r="C2450" s="12">
        <f t="shared" si="1"/>
        <v>45</v>
      </c>
      <c r="D2450" s="35" t="s">
        <v>3269</v>
      </c>
      <c r="E2450" s="10"/>
      <c r="F2450" s="7" t="s">
        <v>320</v>
      </c>
      <c r="G2450" s="7" t="s">
        <v>312</v>
      </c>
      <c r="H2450" s="10"/>
      <c r="I2450" s="10"/>
      <c r="J2450" s="9">
        <v>0.0</v>
      </c>
      <c r="K2450" s="12"/>
      <c r="L2450" s="14" t="s">
        <v>3218</v>
      </c>
      <c r="M2450" s="10"/>
      <c r="N2450" s="10"/>
      <c r="O2450" s="10"/>
      <c r="P2450" s="10"/>
      <c r="Q2450" s="10"/>
      <c r="R2450" s="10"/>
      <c r="S2450" s="10"/>
      <c r="T2450" s="10"/>
      <c r="U2450" s="10"/>
      <c r="V2450" s="10"/>
      <c r="W2450" s="10"/>
      <c r="X2450" s="10"/>
      <c r="Y2450" s="10"/>
      <c r="Z2450" s="10"/>
      <c r="AA2450" s="10"/>
      <c r="AB2450" s="10"/>
      <c r="AC2450" s="10"/>
      <c r="AD2450" s="10"/>
      <c r="AE2450" s="10"/>
      <c r="AF2450" s="10"/>
    </row>
    <row r="2451">
      <c r="A2451" s="10"/>
      <c r="B2451" s="8">
        <v>206.0</v>
      </c>
      <c r="C2451" s="12">
        <f t="shared" si="1"/>
        <v>46</v>
      </c>
      <c r="D2451" s="35" t="s">
        <v>3270</v>
      </c>
      <c r="E2451" s="10"/>
      <c r="F2451" s="7" t="s">
        <v>320</v>
      </c>
      <c r="G2451" s="7" t="s">
        <v>312</v>
      </c>
      <c r="H2451" s="10"/>
      <c r="I2451" s="10"/>
      <c r="J2451" s="9">
        <v>0.0</v>
      </c>
      <c r="K2451" s="12"/>
      <c r="L2451" s="14" t="s">
        <v>3218</v>
      </c>
      <c r="M2451" s="10"/>
      <c r="N2451" s="10"/>
      <c r="O2451" s="10"/>
      <c r="P2451" s="10"/>
      <c r="Q2451" s="10"/>
      <c r="R2451" s="10"/>
      <c r="S2451" s="10"/>
      <c r="T2451" s="10"/>
      <c r="U2451" s="10"/>
      <c r="V2451" s="10"/>
      <c r="W2451" s="10"/>
      <c r="X2451" s="10"/>
      <c r="Y2451" s="10"/>
      <c r="Z2451" s="10"/>
      <c r="AA2451" s="10"/>
      <c r="AB2451" s="10"/>
      <c r="AC2451" s="10"/>
      <c r="AD2451" s="10"/>
      <c r="AE2451" s="10"/>
      <c r="AF2451" s="10"/>
    </row>
    <row r="2452">
      <c r="A2452" s="10"/>
      <c r="B2452" s="8">
        <v>206.0</v>
      </c>
      <c r="C2452" s="12">
        <f t="shared" si="1"/>
        <v>47</v>
      </c>
      <c r="D2452" s="35" t="s">
        <v>3271</v>
      </c>
      <c r="E2452" s="10"/>
      <c r="F2452" s="7" t="s">
        <v>320</v>
      </c>
      <c r="G2452" s="7" t="s">
        <v>312</v>
      </c>
      <c r="H2452" s="10"/>
      <c r="I2452" s="10"/>
      <c r="J2452" s="9">
        <v>0.0</v>
      </c>
      <c r="K2452" s="12"/>
      <c r="L2452" s="12"/>
      <c r="M2452" s="10"/>
      <c r="N2452" s="10"/>
      <c r="O2452" s="10"/>
      <c r="P2452" s="10"/>
      <c r="Q2452" s="10"/>
      <c r="R2452" s="10"/>
      <c r="S2452" s="10"/>
      <c r="T2452" s="10"/>
      <c r="U2452" s="10"/>
      <c r="V2452" s="10"/>
      <c r="W2452" s="10"/>
      <c r="X2452" s="10"/>
      <c r="Y2452" s="10"/>
      <c r="Z2452" s="10"/>
      <c r="AA2452" s="10"/>
      <c r="AB2452" s="10"/>
      <c r="AC2452" s="10"/>
      <c r="AD2452" s="10"/>
      <c r="AE2452" s="10"/>
      <c r="AF2452" s="10"/>
    </row>
    <row r="2453">
      <c r="A2453" s="10"/>
      <c r="B2453" s="8">
        <v>206.0</v>
      </c>
      <c r="C2453" s="12">
        <f t="shared" si="1"/>
        <v>48</v>
      </c>
      <c r="D2453" s="35" t="s">
        <v>3272</v>
      </c>
      <c r="E2453" s="10"/>
      <c r="F2453" s="7" t="s">
        <v>320</v>
      </c>
      <c r="G2453" s="7" t="s">
        <v>312</v>
      </c>
      <c r="H2453" s="10"/>
      <c r="I2453" s="10"/>
      <c r="J2453" s="9" t="s">
        <v>3273</v>
      </c>
      <c r="K2453" s="12"/>
      <c r="L2453" s="12"/>
      <c r="M2453" s="10"/>
      <c r="N2453" s="10"/>
      <c r="O2453" s="10"/>
      <c r="P2453" s="10"/>
      <c r="Q2453" s="10"/>
      <c r="R2453" s="10"/>
      <c r="S2453" s="10"/>
      <c r="T2453" s="10"/>
      <c r="U2453" s="10"/>
      <c r="V2453" s="10"/>
      <c r="W2453" s="10"/>
      <c r="X2453" s="10"/>
      <c r="Y2453" s="10"/>
      <c r="Z2453" s="10"/>
      <c r="AA2453" s="10"/>
      <c r="AB2453" s="10"/>
      <c r="AC2453" s="10"/>
      <c r="AD2453" s="10"/>
      <c r="AE2453" s="10"/>
      <c r="AF2453" s="10"/>
    </row>
    <row r="2454">
      <c r="A2454" s="10"/>
      <c r="B2454" s="8">
        <v>206.0</v>
      </c>
      <c r="C2454" s="12">
        <f t="shared" si="1"/>
        <v>49</v>
      </c>
      <c r="D2454" s="35" t="s">
        <v>3274</v>
      </c>
      <c r="E2454" s="10"/>
      <c r="F2454" s="7" t="s">
        <v>320</v>
      </c>
      <c r="G2454" s="7" t="s">
        <v>312</v>
      </c>
      <c r="H2454" s="10"/>
      <c r="I2454" s="10"/>
      <c r="J2454" s="9">
        <v>0.0</v>
      </c>
      <c r="K2454" s="12"/>
      <c r="L2454" s="12"/>
      <c r="M2454" s="10"/>
      <c r="N2454" s="10"/>
      <c r="O2454" s="10"/>
      <c r="P2454" s="10"/>
      <c r="Q2454" s="10"/>
      <c r="R2454" s="10"/>
      <c r="S2454" s="10"/>
      <c r="T2454" s="10"/>
      <c r="U2454" s="10"/>
      <c r="V2454" s="10"/>
      <c r="W2454" s="10"/>
      <c r="X2454" s="10"/>
      <c r="Y2454" s="10"/>
      <c r="Z2454" s="10"/>
      <c r="AA2454" s="10"/>
      <c r="AB2454" s="10"/>
      <c r="AC2454" s="10"/>
      <c r="AD2454" s="10"/>
      <c r="AE2454" s="10"/>
      <c r="AF2454" s="10"/>
    </row>
    <row r="2455">
      <c r="A2455" s="10"/>
      <c r="B2455" s="8">
        <v>206.0</v>
      </c>
      <c r="C2455" s="12">
        <f t="shared" si="1"/>
        <v>50</v>
      </c>
      <c r="D2455" s="35" t="s">
        <v>3275</v>
      </c>
      <c r="E2455" s="10"/>
      <c r="F2455" s="7" t="s">
        <v>320</v>
      </c>
      <c r="G2455" s="7" t="s">
        <v>312</v>
      </c>
      <c r="H2455" s="10"/>
      <c r="I2455" s="10"/>
      <c r="J2455" s="9">
        <v>0.0</v>
      </c>
      <c r="K2455" s="12"/>
      <c r="L2455" s="12"/>
      <c r="M2455" s="10"/>
      <c r="N2455" s="10"/>
      <c r="O2455" s="10"/>
      <c r="P2455" s="10"/>
      <c r="Q2455" s="10"/>
      <c r="R2455" s="10"/>
      <c r="S2455" s="10"/>
      <c r="T2455" s="10"/>
      <c r="U2455" s="10"/>
      <c r="V2455" s="10"/>
      <c r="W2455" s="10"/>
      <c r="X2455" s="10"/>
      <c r="Y2455" s="10"/>
      <c r="Z2455" s="10"/>
      <c r="AA2455" s="10"/>
      <c r="AB2455" s="10"/>
      <c r="AC2455" s="10"/>
      <c r="AD2455" s="10"/>
      <c r="AE2455" s="10"/>
      <c r="AF2455" s="10"/>
    </row>
    <row r="2456">
      <c r="A2456" s="10"/>
      <c r="B2456" s="8">
        <v>206.0</v>
      </c>
      <c r="C2456" s="12">
        <f t="shared" si="1"/>
        <v>51</v>
      </c>
      <c r="D2456" s="35" t="s">
        <v>3276</v>
      </c>
      <c r="E2456" s="10"/>
      <c r="F2456" s="7" t="s">
        <v>320</v>
      </c>
      <c r="G2456" s="7" t="s">
        <v>312</v>
      </c>
      <c r="H2456" s="10"/>
      <c r="I2456" s="10"/>
      <c r="J2456" s="9" t="s">
        <v>3228</v>
      </c>
      <c r="K2456" s="12"/>
      <c r="L2456" s="14" t="s">
        <v>3229</v>
      </c>
      <c r="M2456" s="10"/>
      <c r="N2456" s="10"/>
      <c r="O2456" s="10"/>
      <c r="P2456" s="10"/>
      <c r="Q2456" s="10"/>
      <c r="R2456" s="10"/>
      <c r="S2456" s="10"/>
      <c r="T2456" s="10"/>
      <c r="U2456" s="10"/>
      <c r="V2456" s="10"/>
      <c r="W2456" s="10"/>
      <c r="X2456" s="10"/>
      <c r="Y2456" s="10"/>
      <c r="Z2456" s="10"/>
      <c r="AA2456" s="10"/>
      <c r="AB2456" s="10"/>
      <c r="AC2456" s="10"/>
      <c r="AD2456" s="10"/>
      <c r="AE2456" s="10"/>
      <c r="AF2456" s="10"/>
    </row>
    <row r="2457">
      <c r="A2457" s="10"/>
      <c r="B2457" s="8">
        <v>206.0</v>
      </c>
      <c r="C2457" s="12">
        <f t="shared" si="1"/>
        <v>52</v>
      </c>
      <c r="D2457" s="35" t="s">
        <v>3277</v>
      </c>
      <c r="E2457" s="10"/>
      <c r="F2457" s="7" t="s">
        <v>320</v>
      </c>
      <c r="G2457" s="7" t="s">
        <v>312</v>
      </c>
      <c r="H2457" s="10"/>
      <c r="I2457" s="10"/>
      <c r="J2457" s="9">
        <v>0.0</v>
      </c>
      <c r="K2457" s="12"/>
      <c r="L2457" s="12"/>
      <c r="M2457" s="10"/>
      <c r="N2457" s="10"/>
      <c r="O2457" s="10"/>
      <c r="P2457" s="10"/>
      <c r="Q2457" s="10"/>
      <c r="R2457" s="10"/>
      <c r="S2457" s="10"/>
      <c r="T2457" s="10"/>
      <c r="U2457" s="10"/>
      <c r="V2457" s="10"/>
      <c r="W2457" s="10"/>
      <c r="X2457" s="10"/>
      <c r="Y2457" s="10"/>
      <c r="Z2457" s="10"/>
      <c r="AA2457" s="10"/>
      <c r="AB2457" s="10"/>
      <c r="AC2457" s="10"/>
      <c r="AD2457" s="10"/>
      <c r="AE2457" s="10"/>
      <c r="AF2457" s="10"/>
    </row>
    <row r="2458">
      <c r="A2458" s="10"/>
      <c r="B2458" s="8">
        <v>206.0</v>
      </c>
      <c r="C2458" s="12">
        <f t="shared" si="1"/>
        <v>53</v>
      </c>
      <c r="D2458" s="35" t="s">
        <v>3278</v>
      </c>
      <c r="E2458" s="10"/>
      <c r="F2458" s="7" t="s">
        <v>320</v>
      </c>
      <c r="G2458" s="7" t="s">
        <v>312</v>
      </c>
      <c r="H2458" s="10"/>
      <c r="I2458" s="10"/>
      <c r="J2458" s="9">
        <v>0.0</v>
      </c>
      <c r="K2458" s="12"/>
      <c r="L2458" s="12"/>
      <c r="M2458" s="10"/>
      <c r="N2458" s="10"/>
      <c r="O2458" s="10"/>
      <c r="P2458" s="10"/>
      <c r="Q2458" s="10"/>
      <c r="R2458" s="10"/>
      <c r="S2458" s="10"/>
      <c r="T2458" s="10"/>
      <c r="U2458" s="10"/>
      <c r="V2458" s="10"/>
      <c r="W2458" s="10"/>
      <c r="X2458" s="10"/>
      <c r="Y2458" s="10"/>
      <c r="Z2458" s="10"/>
      <c r="AA2458" s="10"/>
      <c r="AB2458" s="10"/>
      <c r="AC2458" s="10"/>
      <c r="AD2458" s="10"/>
      <c r="AE2458" s="10"/>
      <c r="AF2458" s="10"/>
    </row>
    <row r="2459">
      <c r="A2459" s="10"/>
      <c r="B2459" s="8">
        <v>206.0</v>
      </c>
      <c r="C2459" s="12">
        <f t="shared" si="1"/>
        <v>54</v>
      </c>
      <c r="D2459" s="35" t="s">
        <v>3279</v>
      </c>
      <c r="E2459" s="10"/>
      <c r="F2459" s="7" t="s">
        <v>320</v>
      </c>
      <c r="G2459" s="7" t="s">
        <v>312</v>
      </c>
      <c r="H2459" s="10"/>
      <c r="I2459" s="10"/>
      <c r="J2459" s="9">
        <v>0.0</v>
      </c>
      <c r="K2459" s="12"/>
      <c r="L2459" s="12"/>
      <c r="M2459" s="10"/>
      <c r="N2459" s="10"/>
      <c r="O2459" s="10"/>
      <c r="P2459" s="10"/>
      <c r="Q2459" s="10"/>
      <c r="R2459" s="10"/>
      <c r="S2459" s="10"/>
      <c r="T2459" s="10"/>
      <c r="U2459" s="10"/>
      <c r="V2459" s="10"/>
      <c r="W2459" s="10"/>
      <c r="X2459" s="10"/>
      <c r="Y2459" s="10"/>
      <c r="Z2459" s="10"/>
      <c r="AA2459" s="10"/>
      <c r="AB2459" s="10"/>
      <c r="AC2459" s="10"/>
      <c r="AD2459" s="10"/>
      <c r="AE2459" s="10"/>
      <c r="AF2459" s="10"/>
    </row>
    <row r="2460">
      <c r="A2460" s="10"/>
      <c r="B2460" s="8">
        <v>206.0</v>
      </c>
      <c r="C2460" s="12">
        <f t="shared" si="1"/>
        <v>55</v>
      </c>
      <c r="D2460" s="35" t="s">
        <v>3280</v>
      </c>
      <c r="E2460" s="10"/>
      <c r="F2460" s="7" t="s">
        <v>320</v>
      </c>
      <c r="G2460" s="7" t="s">
        <v>312</v>
      </c>
      <c r="H2460" s="10"/>
      <c r="I2460" s="10"/>
      <c r="J2460" s="9">
        <v>0.0</v>
      </c>
      <c r="K2460" s="12"/>
      <c r="L2460" s="14" t="s">
        <v>3218</v>
      </c>
      <c r="M2460" s="10"/>
      <c r="N2460" s="10"/>
      <c r="O2460" s="10"/>
      <c r="P2460" s="10"/>
      <c r="Q2460" s="10"/>
      <c r="R2460" s="10"/>
      <c r="S2460" s="10"/>
      <c r="T2460" s="10"/>
      <c r="U2460" s="10"/>
      <c r="V2460" s="10"/>
      <c r="W2460" s="10"/>
      <c r="X2460" s="10"/>
      <c r="Y2460" s="10"/>
      <c r="Z2460" s="10"/>
      <c r="AA2460" s="10"/>
      <c r="AB2460" s="10"/>
      <c r="AC2460" s="10"/>
      <c r="AD2460" s="10"/>
      <c r="AE2460" s="10"/>
      <c r="AF2460" s="10"/>
    </row>
    <row r="2461">
      <c r="A2461" s="10"/>
      <c r="B2461" s="8">
        <v>206.0</v>
      </c>
      <c r="C2461" s="12">
        <f t="shared" si="1"/>
        <v>56</v>
      </c>
      <c r="D2461" s="35" t="s">
        <v>3281</v>
      </c>
      <c r="E2461" s="10"/>
      <c r="F2461" s="7" t="s">
        <v>320</v>
      </c>
      <c r="G2461" s="7" t="s">
        <v>312</v>
      </c>
      <c r="H2461" s="10"/>
      <c r="I2461" s="10"/>
      <c r="J2461" s="9">
        <v>3.0</v>
      </c>
      <c r="K2461" s="12"/>
      <c r="L2461" s="12"/>
      <c r="M2461" s="10"/>
      <c r="N2461" s="10"/>
      <c r="O2461" s="10"/>
      <c r="P2461" s="10"/>
      <c r="Q2461" s="10"/>
      <c r="R2461" s="10"/>
      <c r="S2461" s="10"/>
      <c r="T2461" s="10"/>
      <c r="U2461" s="10"/>
      <c r="V2461" s="10"/>
      <c r="W2461" s="10"/>
      <c r="X2461" s="10"/>
      <c r="Y2461" s="10"/>
      <c r="Z2461" s="10"/>
      <c r="AA2461" s="10"/>
      <c r="AB2461" s="10"/>
      <c r="AC2461" s="10"/>
      <c r="AD2461" s="10"/>
      <c r="AE2461" s="10"/>
      <c r="AF2461" s="10"/>
    </row>
    <row r="2462">
      <c r="A2462" s="10"/>
      <c r="B2462" s="8">
        <v>206.0</v>
      </c>
      <c r="C2462" s="12">
        <f t="shared" si="1"/>
        <v>57</v>
      </c>
      <c r="D2462" s="35" t="s">
        <v>3282</v>
      </c>
      <c r="E2462" s="10"/>
      <c r="F2462" s="7" t="s">
        <v>320</v>
      </c>
      <c r="G2462" s="7" t="s">
        <v>312</v>
      </c>
      <c r="H2462" s="10"/>
      <c r="I2462" s="10"/>
      <c r="J2462" s="9">
        <v>0.0</v>
      </c>
      <c r="K2462" s="12"/>
      <c r="L2462" s="12"/>
      <c r="M2462" s="10"/>
      <c r="N2462" s="10"/>
      <c r="O2462" s="10"/>
      <c r="P2462" s="10"/>
      <c r="Q2462" s="10"/>
      <c r="R2462" s="10"/>
      <c r="S2462" s="10"/>
      <c r="T2462" s="10"/>
      <c r="U2462" s="10"/>
      <c r="V2462" s="10"/>
      <c r="W2462" s="10"/>
      <c r="X2462" s="10"/>
      <c r="Y2462" s="10"/>
      <c r="Z2462" s="10"/>
      <c r="AA2462" s="10"/>
      <c r="AB2462" s="10"/>
      <c r="AC2462" s="10"/>
      <c r="AD2462" s="10"/>
      <c r="AE2462" s="10"/>
      <c r="AF2462" s="10"/>
    </row>
    <row r="2463">
      <c r="A2463" s="10"/>
      <c r="B2463" s="8">
        <v>206.0</v>
      </c>
      <c r="C2463" s="12">
        <f t="shared" si="1"/>
        <v>58</v>
      </c>
      <c r="D2463" s="35" t="s">
        <v>3283</v>
      </c>
      <c r="E2463" s="10"/>
      <c r="F2463" s="7" t="s">
        <v>320</v>
      </c>
      <c r="G2463" s="7" t="s">
        <v>312</v>
      </c>
      <c r="H2463" s="10"/>
      <c r="I2463" s="10"/>
      <c r="J2463" s="9">
        <v>0.0</v>
      </c>
      <c r="K2463" s="12"/>
      <c r="L2463" s="12"/>
      <c r="M2463" s="10"/>
      <c r="N2463" s="10"/>
      <c r="O2463" s="10"/>
      <c r="P2463" s="10"/>
      <c r="Q2463" s="10"/>
      <c r="R2463" s="10"/>
      <c r="S2463" s="10"/>
      <c r="T2463" s="10"/>
      <c r="U2463" s="10"/>
      <c r="V2463" s="10"/>
      <c r="W2463" s="10"/>
      <c r="X2463" s="10"/>
      <c r="Y2463" s="10"/>
      <c r="Z2463" s="10"/>
      <c r="AA2463" s="10"/>
      <c r="AB2463" s="10"/>
      <c r="AC2463" s="10"/>
      <c r="AD2463" s="10"/>
      <c r="AE2463" s="10"/>
      <c r="AF2463" s="10"/>
    </row>
    <row r="2464">
      <c r="A2464" s="10"/>
      <c r="B2464" s="8">
        <v>206.0</v>
      </c>
      <c r="C2464" s="12">
        <f t="shared" si="1"/>
        <v>59</v>
      </c>
      <c r="D2464" s="35" t="s">
        <v>3284</v>
      </c>
      <c r="E2464" s="10"/>
      <c r="F2464" s="7" t="s">
        <v>320</v>
      </c>
      <c r="G2464" s="7" t="s">
        <v>312</v>
      </c>
      <c r="H2464" s="10"/>
      <c r="I2464" s="10"/>
      <c r="J2464" s="9" t="s">
        <v>3228</v>
      </c>
      <c r="K2464" s="12"/>
      <c r="L2464" s="14" t="s">
        <v>3229</v>
      </c>
      <c r="M2464" s="10"/>
      <c r="N2464" s="10"/>
      <c r="O2464" s="10"/>
      <c r="P2464" s="10"/>
      <c r="Q2464" s="10"/>
      <c r="R2464" s="10"/>
      <c r="S2464" s="10"/>
      <c r="T2464" s="10"/>
      <c r="U2464" s="10"/>
      <c r="V2464" s="10"/>
      <c r="W2464" s="10"/>
      <c r="X2464" s="10"/>
      <c r="Y2464" s="10"/>
      <c r="Z2464" s="10"/>
      <c r="AA2464" s="10"/>
      <c r="AB2464" s="10"/>
      <c r="AC2464" s="10"/>
      <c r="AD2464" s="10"/>
      <c r="AE2464" s="10"/>
      <c r="AF2464" s="10"/>
    </row>
    <row r="2465">
      <c r="A2465" s="10"/>
      <c r="B2465" s="8">
        <v>206.0</v>
      </c>
      <c r="C2465" s="12">
        <f t="shared" si="1"/>
        <v>60</v>
      </c>
      <c r="D2465" s="35" t="s">
        <v>3285</v>
      </c>
      <c r="E2465" s="10"/>
      <c r="F2465" s="7" t="s">
        <v>320</v>
      </c>
      <c r="G2465" s="7" t="s">
        <v>312</v>
      </c>
      <c r="H2465" s="10"/>
      <c r="I2465" s="10"/>
      <c r="J2465" s="9">
        <v>0.0</v>
      </c>
      <c r="K2465" s="12"/>
      <c r="L2465" s="12"/>
      <c r="M2465" s="10"/>
      <c r="N2465" s="10"/>
      <c r="O2465" s="10"/>
      <c r="P2465" s="10"/>
      <c r="Q2465" s="10"/>
      <c r="R2465" s="10"/>
      <c r="S2465" s="10"/>
      <c r="T2465" s="10"/>
      <c r="U2465" s="10"/>
      <c r="V2465" s="10"/>
      <c r="W2465" s="10"/>
      <c r="X2465" s="10"/>
      <c r="Y2465" s="10"/>
      <c r="Z2465" s="10"/>
      <c r="AA2465" s="10"/>
      <c r="AB2465" s="10"/>
      <c r="AC2465" s="10"/>
      <c r="AD2465" s="10"/>
      <c r="AE2465" s="10"/>
      <c r="AF2465" s="10"/>
    </row>
    <row r="2466">
      <c r="A2466" s="10"/>
      <c r="B2466" s="8">
        <v>206.0</v>
      </c>
      <c r="C2466" s="12">
        <f t="shared" si="1"/>
        <v>61</v>
      </c>
      <c r="D2466" s="35" t="s">
        <v>3286</v>
      </c>
      <c r="E2466" s="10"/>
      <c r="F2466" s="7" t="s">
        <v>320</v>
      </c>
      <c r="G2466" s="7" t="s">
        <v>312</v>
      </c>
      <c r="H2466" s="10"/>
      <c r="I2466" s="10"/>
      <c r="J2466" s="9">
        <v>0.0</v>
      </c>
      <c r="K2466" s="12"/>
      <c r="L2466" s="12"/>
      <c r="M2466" s="10"/>
      <c r="N2466" s="10"/>
      <c r="O2466" s="10"/>
      <c r="P2466" s="10"/>
      <c r="Q2466" s="10"/>
      <c r="R2466" s="10"/>
      <c r="S2466" s="10"/>
      <c r="T2466" s="10"/>
      <c r="U2466" s="10"/>
      <c r="V2466" s="10"/>
      <c r="W2466" s="10"/>
      <c r="X2466" s="10"/>
      <c r="Y2466" s="10"/>
      <c r="Z2466" s="10"/>
      <c r="AA2466" s="10"/>
      <c r="AB2466" s="10"/>
      <c r="AC2466" s="10"/>
      <c r="AD2466" s="10"/>
      <c r="AE2466" s="10"/>
      <c r="AF2466" s="10"/>
    </row>
    <row r="2467">
      <c r="A2467" s="10"/>
      <c r="B2467" s="8">
        <v>206.0</v>
      </c>
      <c r="C2467" s="12">
        <f t="shared" si="1"/>
        <v>62</v>
      </c>
      <c r="D2467" s="35" t="s">
        <v>3287</v>
      </c>
      <c r="E2467" s="10"/>
      <c r="F2467" s="7" t="s">
        <v>320</v>
      </c>
      <c r="G2467" s="7" t="s">
        <v>312</v>
      </c>
      <c r="H2467" s="10"/>
      <c r="I2467" s="10"/>
      <c r="J2467" s="9">
        <v>0.0</v>
      </c>
      <c r="K2467" s="12"/>
      <c r="L2467" s="12"/>
      <c r="M2467" s="10"/>
      <c r="N2467" s="10"/>
      <c r="O2467" s="10"/>
      <c r="P2467" s="10"/>
      <c r="Q2467" s="10"/>
      <c r="R2467" s="10"/>
      <c r="S2467" s="10"/>
      <c r="T2467" s="10"/>
      <c r="U2467" s="10"/>
      <c r="V2467" s="10"/>
      <c r="W2467" s="10"/>
      <c r="X2467" s="10"/>
      <c r="Y2467" s="10"/>
      <c r="Z2467" s="10"/>
      <c r="AA2467" s="10"/>
      <c r="AB2467" s="10"/>
      <c r="AC2467" s="10"/>
      <c r="AD2467" s="10"/>
      <c r="AE2467" s="10"/>
      <c r="AF2467" s="10"/>
    </row>
    <row r="2468">
      <c r="A2468" s="10"/>
      <c r="B2468" s="8">
        <v>206.0</v>
      </c>
      <c r="C2468" s="12">
        <f t="shared" si="1"/>
        <v>63</v>
      </c>
      <c r="D2468" s="35" t="s">
        <v>3288</v>
      </c>
      <c r="E2468" s="10"/>
      <c r="F2468" s="7" t="s">
        <v>320</v>
      </c>
      <c r="G2468" s="7" t="s">
        <v>312</v>
      </c>
      <c r="H2468" s="10"/>
      <c r="I2468" s="10"/>
      <c r="J2468" s="9">
        <v>0.0</v>
      </c>
      <c r="K2468" s="12"/>
      <c r="L2468" s="14" t="s">
        <v>3218</v>
      </c>
      <c r="M2468" s="10"/>
      <c r="N2468" s="10"/>
      <c r="O2468" s="10"/>
      <c r="P2468" s="10"/>
      <c r="Q2468" s="10"/>
      <c r="R2468" s="10"/>
      <c r="S2468" s="10"/>
      <c r="T2468" s="10"/>
      <c r="U2468" s="10"/>
      <c r="V2468" s="10"/>
      <c r="W2468" s="10"/>
      <c r="X2468" s="10"/>
      <c r="Y2468" s="10"/>
      <c r="Z2468" s="10"/>
      <c r="AA2468" s="10"/>
      <c r="AB2468" s="10"/>
      <c r="AC2468" s="10"/>
      <c r="AD2468" s="10"/>
      <c r="AE2468" s="10"/>
      <c r="AF2468" s="10"/>
    </row>
    <row r="2469">
      <c r="A2469" s="10"/>
      <c r="B2469" s="8">
        <v>206.0</v>
      </c>
      <c r="C2469" s="12">
        <f t="shared" si="1"/>
        <v>64</v>
      </c>
      <c r="D2469" s="35" t="s">
        <v>3289</v>
      </c>
      <c r="E2469" s="10"/>
      <c r="F2469" s="7" t="s">
        <v>320</v>
      </c>
      <c r="G2469" s="7" t="s">
        <v>312</v>
      </c>
      <c r="H2469" s="10"/>
      <c r="I2469" s="10"/>
      <c r="J2469" s="9">
        <v>3.0</v>
      </c>
      <c r="K2469" s="12"/>
      <c r="L2469" s="12"/>
      <c r="M2469" s="10"/>
      <c r="N2469" s="10"/>
      <c r="O2469" s="10"/>
      <c r="P2469" s="10"/>
      <c r="Q2469" s="10"/>
      <c r="R2469" s="10"/>
      <c r="S2469" s="10"/>
      <c r="T2469" s="10"/>
      <c r="U2469" s="10"/>
      <c r="V2469" s="10"/>
      <c r="W2469" s="10"/>
      <c r="X2469" s="10"/>
      <c r="Y2469" s="10"/>
      <c r="Z2469" s="10"/>
      <c r="AA2469" s="10"/>
      <c r="AB2469" s="10"/>
      <c r="AC2469" s="10"/>
      <c r="AD2469" s="10"/>
      <c r="AE2469" s="10"/>
      <c r="AF2469" s="10"/>
    </row>
    <row r="2470">
      <c r="A2470" s="10"/>
      <c r="B2470" s="8">
        <v>206.0</v>
      </c>
      <c r="C2470" s="12">
        <f t="shared" si="1"/>
        <v>65</v>
      </c>
      <c r="D2470" s="35" t="s">
        <v>3290</v>
      </c>
      <c r="E2470" s="10"/>
      <c r="F2470" s="7" t="s">
        <v>320</v>
      </c>
      <c r="G2470" s="7" t="s">
        <v>312</v>
      </c>
      <c r="H2470" s="10"/>
      <c r="I2470" s="10"/>
      <c r="J2470" s="9">
        <v>3.0</v>
      </c>
      <c r="K2470" s="12"/>
      <c r="L2470" s="12"/>
      <c r="M2470" s="10"/>
      <c r="N2470" s="10"/>
      <c r="O2470" s="10"/>
      <c r="P2470" s="10"/>
      <c r="Q2470" s="10"/>
      <c r="R2470" s="10"/>
      <c r="S2470" s="10"/>
      <c r="T2470" s="10"/>
      <c r="U2470" s="10"/>
      <c r="V2470" s="10"/>
      <c r="W2470" s="10"/>
      <c r="X2470" s="10"/>
      <c r="Y2470" s="10"/>
      <c r="Z2470" s="10"/>
      <c r="AA2470" s="10"/>
      <c r="AB2470" s="10"/>
      <c r="AC2470" s="10"/>
      <c r="AD2470" s="10"/>
      <c r="AE2470" s="10"/>
      <c r="AF2470" s="10"/>
    </row>
    <row r="2471">
      <c r="A2471" s="10"/>
      <c r="B2471" s="8">
        <v>206.0</v>
      </c>
      <c r="C2471" s="12">
        <f t="shared" si="1"/>
        <v>66</v>
      </c>
      <c r="D2471" s="35" t="s">
        <v>3291</v>
      </c>
      <c r="E2471" s="10"/>
      <c r="F2471" s="7" t="s">
        <v>320</v>
      </c>
      <c r="G2471" s="7" t="s">
        <v>312</v>
      </c>
      <c r="H2471" s="10"/>
      <c r="I2471" s="10"/>
      <c r="J2471" s="9" t="s">
        <v>3228</v>
      </c>
      <c r="K2471" s="12"/>
      <c r="L2471" s="14" t="s">
        <v>3229</v>
      </c>
      <c r="M2471" s="10"/>
      <c r="N2471" s="10"/>
      <c r="O2471" s="10"/>
      <c r="P2471" s="10"/>
      <c r="Q2471" s="10"/>
      <c r="R2471" s="10"/>
      <c r="S2471" s="10"/>
      <c r="T2471" s="10"/>
      <c r="U2471" s="10"/>
      <c r="V2471" s="10"/>
      <c r="W2471" s="10"/>
      <c r="X2471" s="10"/>
      <c r="Y2471" s="10"/>
      <c r="Z2471" s="10"/>
      <c r="AA2471" s="10"/>
      <c r="AB2471" s="10"/>
      <c r="AC2471" s="10"/>
      <c r="AD2471" s="10"/>
      <c r="AE2471" s="10"/>
      <c r="AF2471" s="10"/>
    </row>
    <row r="2472">
      <c r="A2472" s="10"/>
      <c r="B2472" s="8">
        <v>206.0</v>
      </c>
      <c r="C2472" s="12">
        <f t="shared" si="1"/>
        <v>67</v>
      </c>
      <c r="D2472" s="35" t="s">
        <v>3292</v>
      </c>
      <c r="E2472" s="10"/>
      <c r="F2472" s="7" t="s">
        <v>320</v>
      </c>
      <c r="G2472" s="7" t="s">
        <v>312</v>
      </c>
      <c r="H2472" s="10"/>
      <c r="I2472" s="10"/>
      <c r="J2472" s="9">
        <v>0.0</v>
      </c>
      <c r="K2472" s="12"/>
      <c r="L2472" s="12"/>
      <c r="M2472" s="10"/>
      <c r="N2472" s="10"/>
      <c r="O2472" s="10"/>
      <c r="P2472" s="10"/>
      <c r="Q2472" s="10"/>
      <c r="R2472" s="10"/>
      <c r="S2472" s="10"/>
      <c r="T2472" s="10"/>
      <c r="U2472" s="10"/>
      <c r="V2472" s="10"/>
      <c r="W2472" s="10"/>
      <c r="X2472" s="10"/>
      <c r="Y2472" s="10"/>
      <c r="Z2472" s="10"/>
      <c r="AA2472" s="10"/>
      <c r="AB2472" s="10"/>
      <c r="AC2472" s="10"/>
      <c r="AD2472" s="10"/>
      <c r="AE2472" s="10"/>
      <c r="AF2472" s="10"/>
    </row>
    <row r="2473">
      <c r="A2473" s="10"/>
      <c r="B2473" s="8">
        <v>206.0</v>
      </c>
      <c r="C2473" s="12">
        <f t="shared" si="1"/>
        <v>68</v>
      </c>
      <c r="D2473" s="35" t="s">
        <v>3293</v>
      </c>
      <c r="E2473" s="10"/>
      <c r="F2473" s="7" t="s">
        <v>320</v>
      </c>
      <c r="G2473" s="7" t="s">
        <v>312</v>
      </c>
      <c r="H2473" s="10"/>
      <c r="I2473" s="10"/>
      <c r="J2473" s="9">
        <v>0.0</v>
      </c>
      <c r="K2473" s="12"/>
      <c r="L2473" s="12"/>
      <c r="M2473" s="10"/>
      <c r="N2473" s="10"/>
      <c r="O2473" s="10"/>
      <c r="P2473" s="10"/>
      <c r="Q2473" s="10"/>
      <c r="R2473" s="10"/>
      <c r="S2473" s="10"/>
      <c r="T2473" s="10"/>
      <c r="U2473" s="10"/>
      <c r="V2473" s="10"/>
      <c r="W2473" s="10"/>
      <c r="X2473" s="10"/>
      <c r="Y2473" s="10"/>
      <c r="Z2473" s="10"/>
      <c r="AA2473" s="10"/>
      <c r="AB2473" s="10"/>
      <c r="AC2473" s="10"/>
      <c r="AD2473" s="10"/>
      <c r="AE2473" s="10"/>
      <c r="AF2473" s="10"/>
    </row>
    <row r="2474">
      <c r="A2474" s="10"/>
      <c r="B2474" s="8">
        <v>206.0</v>
      </c>
      <c r="C2474" s="12">
        <f t="shared" si="1"/>
        <v>69</v>
      </c>
      <c r="D2474" s="35" t="s">
        <v>3294</v>
      </c>
      <c r="E2474" s="10"/>
      <c r="F2474" s="7" t="s">
        <v>320</v>
      </c>
      <c r="G2474" s="7" t="s">
        <v>312</v>
      </c>
      <c r="H2474" s="10"/>
      <c r="I2474" s="10"/>
      <c r="J2474" s="9">
        <v>0.0</v>
      </c>
      <c r="K2474" s="12"/>
      <c r="L2474" s="12"/>
      <c r="M2474" s="10"/>
      <c r="N2474" s="10"/>
      <c r="O2474" s="10"/>
      <c r="P2474" s="10"/>
      <c r="Q2474" s="10"/>
      <c r="R2474" s="10"/>
      <c r="S2474" s="10"/>
      <c r="T2474" s="10"/>
      <c r="U2474" s="10"/>
      <c r="V2474" s="10"/>
      <c r="W2474" s="10"/>
      <c r="X2474" s="10"/>
      <c r="Y2474" s="10"/>
      <c r="Z2474" s="10"/>
      <c r="AA2474" s="10"/>
      <c r="AB2474" s="10"/>
      <c r="AC2474" s="10"/>
      <c r="AD2474" s="10"/>
      <c r="AE2474" s="10"/>
      <c r="AF2474" s="10"/>
    </row>
    <row r="2475">
      <c r="A2475" s="10"/>
      <c r="B2475" s="8">
        <v>206.0</v>
      </c>
      <c r="C2475" s="12">
        <f t="shared" si="1"/>
        <v>70</v>
      </c>
      <c r="D2475" s="35" t="s">
        <v>3295</v>
      </c>
      <c r="E2475" s="10"/>
      <c r="F2475" s="7" t="s">
        <v>320</v>
      </c>
      <c r="G2475" s="7" t="s">
        <v>312</v>
      </c>
      <c r="H2475" s="10"/>
      <c r="I2475" s="10"/>
      <c r="J2475" s="9">
        <v>0.0</v>
      </c>
      <c r="K2475" s="12"/>
      <c r="L2475" s="14" t="s">
        <v>3218</v>
      </c>
      <c r="M2475" s="10"/>
      <c r="N2475" s="10"/>
      <c r="O2475" s="10"/>
      <c r="P2475" s="10"/>
      <c r="Q2475" s="10"/>
      <c r="R2475" s="10"/>
      <c r="S2475" s="10"/>
      <c r="T2475" s="10"/>
      <c r="U2475" s="10"/>
      <c r="V2475" s="10"/>
      <c r="W2475" s="10"/>
      <c r="X2475" s="10"/>
      <c r="Y2475" s="10"/>
      <c r="Z2475" s="10"/>
      <c r="AA2475" s="10"/>
      <c r="AB2475" s="10"/>
      <c r="AC2475" s="10"/>
      <c r="AD2475" s="10"/>
      <c r="AE2475" s="10"/>
      <c r="AF2475" s="10"/>
    </row>
    <row r="2476">
      <c r="A2476" s="10"/>
      <c r="B2476" s="8">
        <v>206.0</v>
      </c>
      <c r="C2476" s="12">
        <f t="shared" si="1"/>
        <v>71</v>
      </c>
      <c r="D2476" s="35" t="s">
        <v>3296</v>
      </c>
      <c r="E2476" s="10"/>
      <c r="F2476" s="7" t="s">
        <v>320</v>
      </c>
      <c r="G2476" s="7" t="s">
        <v>312</v>
      </c>
      <c r="H2476" s="10"/>
      <c r="I2476" s="10"/>
      <c r="J2476" s="9">
        <v>0.0</v>
      </c>
      <c r="K2476" s="12"/>
      <c r="L2476" s="12"/>
      <c r="M2476" s="10"/>
      <c r="N2476" s="10"/>
      <c r="O2476" s="10"/>
      <c r="P2476" s="10"/>
      <c r="Q2476" s="10"/>
      <c r="R2476" s="10"/>
      <c r="S2476" s="10"/>
      <c r="T2476" s="10"/>
      <c r="U2476" s="10"/>
      <c r="V2476" s="10"/>
      <c r="W2476" s="10"/>
      <c r="X2476" s="10"/>
      <c r="Y2476" s="10"/>
      <c r="Z2476" s="10"/>
      <c r="AA2476" s="10"/>
      <c r="AB2476" s="10"/>
      <c r="AC2476" s="10"/>
      <c r="AD2476" s="10"/>
      <c r="AE2476" s="10"/>
      <c r="AF2476" s="10"/>
    </row>
    <row r="2477">
      <c r="A2477" s="10"/>
      <c r="B2477" s="8">
        <v>206.0</v>
      </c>
      <c r="C2477" s="12">
        <f t="shared" si="1"/>
        <v>72</v>
      </c>
      <c r="D2477" s="35" t="s">
        <v>3297</v>
      </c>
      <c r="E2477" s="10"/>
      <c r="F2477" s="7" t="s">
        <v>320</v>
      </c>
      <c r="G2477" s="7" t="s">
        <v>312</v>
      </c>
      <c r="H2477" s="10"/>
      <c r="I2477" s="10"/>
      <c r="J2477" s="9" t="s">
        <v>3228</v>
      </c>
      <c r="K2477" s="12"/>
      <c r="L2477" s="14" t="s">
        <v>3229</v>
      </c>
      <c r="M2477" s="10"/>
      <c r="N2477" s="10"/>
      <c r="O2477" s="10"/>
      <c r="P2477" s="10"/>
      <c r="Q2477" s="10"/>
      <c r="R2477" s="10"/>
      <c r="S2477" s="10"/>
      <c r="T2477" s="10"/>
      <c r="U2477" s="10"/>
      <c r="V2477" s="10"/>
      <c r="W2477" s="10"/>
      <c r="X2477" s="10"/>
      <c r="Y2477" s="10"/>
      <c r="Z2477" s="10"/>
      <c r="AA2477" s="10"/>
      <c r="AB2477" s="10"/>
      <c r="AC2477" s="10"/>
      <c r="AD2477" s="10"/>
      <c r="AE2477" s="10"/>
      <c r="AF2477" s="10"/>
    </row>
    <row r="2478">
      <c r="A2478" s="10"/>
      <c r="B2478" s="8">
        <v>206.0</v>
      </c>
      <c r="C2478" s="12">
        <f t="shared" si="1"/>
        <v>73</v>
      </c>
      <c r="D2478" s="35" t="s">
        <v>3298</v>
      </c>
      <c r="E2478" s="10"/>
      <c r="F2478" s="7" t="s">
        <v>320</v>
      </c>
      <c r="G2478" s="7" t="s">
        <v>312</v>
      </c>
      <c r="H2478" s="10"/>
      <c r="I2478" s="10"/>
      <c r="J2478" s="9">
        <v>0.0</v>
      </c>
      <c r="K2478" s="12"/>
      <c r="L2478" s="12"/>
      <c r="M2478" s="10"/>
      <c r="N2478" s="10"/>
      <c r="O2478" s="10"/>
      <c r="P2478" s="10"/>
      <c r="Q2478" s="10"/>
      <c r="R2478" s="10"/>
      <c r="S2478" s="10"/>
      <c r="T2478" s="10"/>
      <c r="U2478" s="10"/>
      <c r="V2478" s="10"/>
      <c r="W2478" s="10"/>
      <c r="X2478" s="10"/>
      <c r="Y2478" s="10"/>
      <c r="Z2478" s="10"/>
      <c r="AA2478" s="10"/>
      <c r="AB2478" s="10"/>
      <c r="AC2478" s="10"/>
      <c r="AD2478" s="10"/>
      <c r="AE2478" s="10"/>
      <c r="AF2478" s="10"/>
    </row>
    <row r="2479">
      <c r="A2479" s="10"/>
      <c r="B2479" s="8">
        <v>206.0</v>
      </c>
      <c r="C2479" s="12">
        <f t="shared" si="1"/>
        <v>74</v>
      </c>
      <c r="D2479" s="35" t="s">
        <v>3299</v>
      </c>
      <c r="E2479" s="10"/>
      <c r="F2479" s="7" t="s">
        <v>320</v>
      </c>
      <c r="G2479" s="7" t="s">
        <v>312</v>
      </c>
      <c r="H2479" s="10"/>
      <c r="I2479" s="10"/>
      <c r="J2479" s="9">
        <v>0.0</v>
      </c>
      <c r="K2479" s="12"/>
      <c r="L2479" s="12"/>
      <c r="M2479" s="10"/>
      <c r="N2479" s="10"/>
      <c r="O2479" s="10"/>
      <c r="P2479" s="10"/>
      <c r="Q2479" s="10"/>
      <c r="R2479" s="10"/>
      <c r="S2479" s="10"/>
      <c r="T2479" s="10"/>
      <c r="U2479" s="10"/>
      <c r="V2479" s="10"/>
      <c r="W2479" s="10"/>
      <c r="X2479" s="10"/>
      <c r="Y2479" s="10"/>
      <c r="Z2479" s="10"/>
      <c r="AA2479" s="10"/>
      <c r="AB2479" s="10"/>
      <c r="AC2479" s="10"/>
      <c r="AD2479" s="10"/>
      <c r="AE2479" s="10"/>
      <c r="AF2479" s="10"/>
    </row>
    <row r="2480">
      <c r="A2480" s="10"/>
      <c r="B2480" s="8">
        <v>206.0</v>
      </c>
      <c r="C2480" s="12">
        <f t="shared" si="1"/>
        <v>75</v>
      </c>
      <c r="D2480" s="35" t="s">
        <v>3300</v>
      </c>
      <c r="E2480" s="10"/>
      <c r="F2480" s="7" t="s">
        <v>320</v>
      </c>
      <c r="G2480" s="7" t="s">
        <v>312</v>
      </c>
      <c r="H2480" s="10"/>
      <c r="I2480" s="10"/>
      <c r="J2480" s="9">
        <v>0.0</v>
      </c>
      <c r="K2480" s="12"/>
      <c r="L2480" s="12"/>
      <c r="M2480" s="10"/>
      <c r="N2480" s="10"/>
      <c r="O2480" s="10"/>
      <c r="P2480" s="10"/>
      <c r="Q2480" s="10"/>
      <c r="R2480" s="10"/>
      <c r="S2480" s="10"/>
      <c r="T2480" s="10"/>
      <c r="U2480" s="10"/>
      <c r="V2480" s="10"/>
      <c r="W2480" s="10"/>
      <c r="X2480" s="10"/>
      <c r="Y2480" s="10"/>
      <c r="Z2480" s="10"/>
      <c r="AA2480" s="10"/>
      <c r="AB2480" s="10"/>
      <c r="AC2480" s="10"/>
      <c r="AD2480" s="10"/>
      <c r="AE2480" s="10"/>
      <c r="AF2480" s="10"/>
    </row>
    <row r="2481">
      <c r="A2481" s="10"/>
      <c r="B2481" s="8">
        <v>206.0</v>
      </c>
      <c r="C2481" s="12">
        <f t="shared" si="1"/>
        <v>76</v>
      </c>
      <c r="D2481" s="35" t="s">
        <v>3301</v>
      </c>
      <c r="E2481" s="10"/>
      <c r="F2481" s="7" t="s">
        <v>320</v>
      </c>
      <c r="G2481" s="7" t="s">
        <v>312</v>
      </c>
      <c r="H2481" s="10"/>
      <c r="I2481" s="10"/>
      <c r="J2481" s="9" t="s">
        <v>3251</v>
      </c>
      <c r="K2481" s="12"/>
      <c r="L2481" s="14" t="s">
        <v>3218</v>
      </c>
      <c r="M2481" s="10"/>
      <c r="N2481" s="10"/>
      <c r="O2481" s="10"/>
      <c r="P2481" s="10"/>
      <c r="Q2481" s="10"/>
      <c r="R2481" s="10"/>
      <c r="S2481" s="10"/>
      <c r="T2481" s="10"/>
      <c r="U2481" s="10"/>
      <c r="V2481" s="10"/>
      <c r="W2481" s="10"/>
      <c r="X2481" s="10"/>
      <c r="Y2481" s="10"/>
      <c r="Z2481" s="10"/>
      <c r="AA2481" s="10"/>
      <c r="AB2481" s="10"/>
      <c r="AC2481" s="10"/>
      <c r="AD2481" s="10"/>
      <c r="AE2481" s="10"/>
      <c r="AF2481" s="10"/>
    </row>
    <row r="2482">
      <c r="A2482" s="10"/>
      <c r="B2482" s="8">
        <v>206.0</v>
      </c>
      <c r="C2482" s="12">
        <f t="shared" si="1"/>
        <v>77</v>
      </c>
      <c r="D2482" s="35" t="s">
        <v>3302</v>
      </c>
      <c r="E2482" s="10"/>
      <c r="F2482" s="7" t="s">
        <v>320</v>
      </c>
      <c r="G2482" s="7" t="s">
        <v>312</v>
      </c>
      <c r="H2482" s="10"/>
      <c r="I2482" s="10"/>
      <c r="J2482" s="9" t="s">
        <v>3228</v>
      </c>
      <c r="K2482" s="12"/>
      <c r="L2482" s="14" t="s">
        <v>3229</v>
      </c>
      <c r="M2482" s="10"/>
      <c r="N2482" s="10"/>
      <c r="O2482" s="10"/>
      <c r="P2482" s="10"/>
      <c r="Q2482" s="10"/>
      <c r="R2482" s="10"/>
      <c r="S2482" s="10"/>
      <c r="T2482" s="10"/>
      <c r="U2482" s="10"/>
      <c r="V2482" s="10"/>
      <c r="W2482" s="10"/>
      <c r="X2482" s="10"/>
      <c r="Y2482" s="10"/>
      <c r="Z2482" s="10"/>
      <c r="AA2482" s="10"/>
      <c r="AB2482" s="10"/>
      <c r="AC2482" s="10"/>
      <c r="AD2482" s="10"/>
      <c r="AE2482" s="10"/>
      <c r="AF2482" s="10"/>
    </row>
    <row r="2483">
      <c r="A2483" s="10"/>
      <c r="B2483" s="8">
        <v>206.0</v>
      </c>
      <c r="C2483" s="12">
        <f t="shared" si="1"/>
        <v>78</v>
      </c>
      <c r="D2483" s="35" t="s">
        <v>3303</v>
      </c>
      <c r="E2483" s="10"/>
      <c r="F2483" s="7" t="s">
        <v>320</v>
      </c>
      <c r="G2483" s="7" t="s">
        <v>312</v>
      </c>
      <c r="H2483" s="10"/>
      <c r="I2483" s="10"/>
      <c r="J2483" s="9">
        <v>0.0</v>
      </c>
      <c r="K2483" s="12"/>
      <c r="L2483" s="12"/>
      <c r="M2483" s="10"/>
      <c r="N2483" s="10"/>
      <c r="O2483" s="10"/>
      <c r="P2483" s="10"/>
      <c r="Q2483" s="10"/>
      <c r="R2483" s="10"/>
      <c r="S2483" s="10"/>
      <c r="T2483" s="10"/>
      <c r="U2483" s="10"/>
      <c r="V2483" s="10"/>
      <c r="W2483" s="10"/>
      <c r="X2483" s="10"/>
      <c r="Y2483" s="10"/>
      <c r="Z2483" s="10"/>
      <c r="AA2483" s="10"/>
      <c r="AB2483" s="10"/>
      <c r="AC2483" s="10"/>
      <c r="AD2483" s="10"/>
      <c r="AE2483" s="10"/>
      <c r="AF2483" s="10"/>
    </row>
    <row r="2484">
      <c r="A2484" s="10"/>
      <c r="B2484" s="8">
        <v>206.0</v>
      </c>
      <c r="C2484" s="12">
        <f t="shared" si="1"/>
        <v>79</v>
      </c>
      <c r="D2484" s="35" t="s">
        <v>3304</v>
      </c>
      <c r="E2484" s="10"/>
      <c r="F2484" s="7" t="s">
        <v>320</v>
      </c>
      <c r="G2484" s="7" t="s">
        <v>312</v>
      </c>
      <c r="H2484" s="10"/>
      <c r="I2484" s="10"/>
      <c r="J2484" s="9">
        <v>0.0</v>
      </c>
      <c r="K2484" s="12"/>
      <c r="L2484" s="12"/>
      <c r="M2484" s="10"/>
      <c r="N2484" s="10"/>
      <c r="O2484" s="10"/>
      <c r="P2484" s="10"/>
      <c r="Q2484" s="10"/>
      <c r="R2484" s="10"/>
      <c r="S2484" s="10"/>
      <c r="T2484" s="10"/>
      <c r="U2484" s="10"/>
      <c r="V2484" s="10"/>
      <c r="W2484" s="10"/>
      <c r="X2484" s="10"/>
      <c r="Y2484" s="10"/>
      <c r="Z2484" s="10"/>
      <c r="AA2484" s="10"/>
      <c r="AB2484" s="10"/>
      <c r="AC2484" s="10"/>
      <c r="AD2484" s="10"/>
      <c r="AE2484" s="10"/>
      <c r="AF2484" s="10"/>
    </row>
    <row r="2485">
      <c r="A2485" s="10"/>
      <c r="B2485" s="8">
        <v>206.0</v>
      </c>
      <c r="C2485" s="12">
        <f t="shared" si="1"/>
        <v>80</v>
      </c>
      <c r="D2485" s="35" t="s">
        <v>3305</v>
      </c>
      <c r="E2485" s="10"/>
      <c r="F2485" s="7" t="s">
        <v>320</v>
      </c>
      <c r="G2485" s="7" t="s">
        <v>312</v>
      </c>
      <c r="H2485" s="10"/>
      <c r="I2485" s="10"/>
      <c r="J2485" s="9">
        <v>0.0</v>
      </c>
      <c r="K2485" s="12"/>
      <c r="L2485" s="12"/>
      <c r="M2485" s="10"/>
      <c r="N2485" s="10"/>
      <c r="O2485" s="10"/>
      <c r="P2485" s="10"/>
      <c r="Q2485" s="10"/>
      <c r="R2485" s="10"/>
      <c r="S2485" s="10"/>
      <c r="T2485" s="10"/>
      <c r="U2485" s="10"/>
      <c r="V2485" s="10"/>
      <c r="W2485" s="10"/>
      <c r="X2485" s="10"/>
      <c r="Y2485" s="10"/>
      <c r="Z2485" s="10"/>
      <c r="AA2485" s="10"/>
      <c r="AB2485" s="10"/>
      <c r="AC2485" s="10"/>
      <c r="AD2485" s="10"/>
      <c r="AE2485" s="10"/>
      <c r="AF2485" s="10"/>
    </row>
    <row r="2486">
      <c r="A2486" s="10"/>
      <c r="B2486" s="8">
        <v>206.0</v>
      </c>
      <c r="C2486" s="12">
        <f t="shared" si="1"/>
        <v>81</v>
      </c>
      <c r="D2486" s="35" t="s">
        <v>3306</v>
      </c>
      <c r="E2486" s="10"/>
      <c r="F2486" s="7" t="s">
        <v>320</v>
      </c>
      <c r="G2486" s="7" t="s">
        <v>312</v>
      </c>
      <c r="H2486" s="10"/>
      <c r="I2486" s="10"/>
      <c r="J2486" s="9" t="s">
        <v>3251</v>
      </c>
      <c r="K2486" s="12"/>
      <c r="L2486" s="14" t="s">
        <v>3218</v>
      </c>
      <c r="M2486" s="10"/>
      <c r="N2486" s="10"/>
      <c r="O2486" s="10"/>
      <c r="P2486" s="10"/>
      <c r="Q2486" s="10"/>
      <c r="R2486" s="10"/>
      <c r="S2486" s="10"/>
      <c r="T2486" s="10"/>
      <c r="U2486" s="10"/>
      <c r="V2486" s="10"/>
      <c r="W2486" s="10"/>
      <c r="X2486" s="10"/>
      <c r="Y2486" s="10"/>
      <c r="Z2486" s="10"/>
      <c r="AA2486" s="10"/>
      <c r="AB2486" s="10"/>
      <c r="AC2486" s="10"/>
      <c r="AD2486" s="10"/>
      <c r="AE2486" s="10"/>
      <c r="AF2486" s="10"/>
    </row>
    <row r="2487">
      <c r="A2487" s="10"/>
      <c r="B2487" s="8">
        <v>206.0</v>
      </c>
      <c r="C2487" s="12">
        <f t="shared" si="1"/>
        <v>82</v>
      </c>
      <c r="D2487" s="35" t="s">
        <v>3307</v>
      </c>
      <c r="E2487" s="10"/>
      <c r="F2487" s="7" t="s">
        <v>320</v>
      </c>
      <c r="G2487" s="7" t="s">
        <v>312</v>
      </c>
      <c r="H2487" s="10"/>
      <c r="I2487" s="10"/>
      <c r="J2487" s="9" t="s">
        <v>3228</v>
      </c>
      <c r="K2487" s="12"/>
      <c r="L2487" s="14" t="s">
        <v>3229</v>
      </c>
      <c r="M2487" s="10"/>
      <c r="N2487" s="10"/>
      <c r="O2487" s="10"/>
      <c r="P2487" s="10"/>
      <c r="Q2487" s="10"/>
      <c r="R2487" s="10"/>
      <c r="S2487" s="10"/>
      <c r="T2487" s="10"/>
      <c r="U2487" s="10"/>
      <c r="V2487" s="10"/>
      <c r="W2487" s="10"/>
      <c r="X2487" s="10"/>
      <c r="Y2487" s="10"/>
      <c r="Z2487" s="10"/>
      <c r="AA2487" s="10"/>
      <c r="AB2487" s="10"/>
      <c r="AC2487" s="10"/>
      <c r="AD2487" s="10"/>
      <c r="AE2487" s="10"/>
      <c r="AF2487" s="10"/>
    </row>
    <row r="2488">
      <c r="A2488" s="10"/>
      <c r="B2488" s="8">
        <v>206.0</v>
      </c>
      <c r="C2488" s="12">
        <f t="shared" si="1"/>
        <v>83</v>
      </c>
      <c r="D2488" s="35" t="s">
        <v>3308</v>
      </c>
      <c r="E2488" s="10"/>
      <c r="F2488" s="7" t="s">
        <v>320</v>
      </c>
      <c r="G2488" s="7" t="s">
        <v>312</v>
      </c>
      <c r="H2488" s="10"/>
      <c r="I2488" s="10"/>
      <c r="J2488" s="9" t="s">
        <v>3228</v>
      </c>
      <c r="K2488" s="12"/>
      <c r="L2488" s="14" t="s">
        <v>3229</v>
      </c>
      <c r="M2488" s="10"/>
      <c r="N2488" s="10"/>
      <c r="O2488" s="10"/>
      <c r="P2488" s="10"/>
      <c r="Q2488" s="10"/>
      <c r="R2488" s="10"/>
      <c r="S2488" s="10"/>
      <c r="T2488" s="10"/>
      <c r="U2488" s="10"/>
      <c r="V2488" s="10"/>
      <c r="W2488" s="10"/>
      <c r="X2488" s="10"/>
      <c r="Y2488" s="10"/>
      <c r="Z2488" s="10"/>
      <c r="AA2488" s="10"/>
      <c r="AB2488" s="10"/>
      <c r="AC2488" s="10"/>
      <c r="AD2488" s="10"/>
      <c r="AE2488" s="10"/>
      <c r="AF2488" s="10"/>
    </row>
    <row r="2489">
      <c r="A2489" s="10"/>
      <c r="B2489" s="8">
        <v>206.0</v>
      </c>
      <c r="C2489" s="12">
        <f t="shared" si="1"/>
        <v>84</v>
      </c>
      <c r="D2489" s="35" t="s">
        <v>3309</v>
      </c>
      <c r="E2489" s="10"/>
      <c r="F2489" s="7" t="s">
        <v>320</v>
      </c>
      <c r="G2489" s="7" t="s">
        <v>312</v>
      </c>
      <c r="H2489" s="10"/>
      <c r="I2489" s="10"/>
      <c r="J2489" s="9" t="s">
        <v>3228</v>
      </c>
      <c r="K2489" s="12"/>
      <c r="L2489" s="14" t="s">
        <v>3229</v>
      </c>
      <c r="M2489" s="10"/>
      <c r="N2489" s="10"/>
      <c r="O2489" s="10"/>
      <c r="P2489" s="10"/>
      <c r="Q2489" s="10"/>
      <c r="R2489" s="10"/>
      <c r="S2489" s="10"/>
      <c r="T2489" s="10"/>
      <c r="U2489" s="10"/>
      <c r="V2489" s="10"/>
      <c r="W2489" s="10"/>
      <c r="X2489" s="10"/>
      <c r="Y2489" s="10"/>
      <c r="Z2489" s="10"/>
      <c r="AA2489" s="10"/>
      <c r="AB2489" s="10"/>
      <c r="AC2489" s="10"/>
      <c r="AD2489" s="10"/>
      <c r="AE2489" s="10"/>
      <c r="AF2489" s="10"/>
    </row>
    <row r="2490">
      <c r="A2490" s="10"/>
      <c r="B2490" s="8">
        <v>206.0</v>
      </c>
      <c r="C2490" s="12">
        <f t="shared" si="1"/>
        <v>85</v>
      </c>
      <c r="D2490" s="35" t="s">
        <v>3310</v>
      </c>
      <c r="E2490" s="10"/>
      <c r="F2490" s="7" t="s">
        <v>320</v>
      </c>
      <c r="G2490" s="7" t="s">
        <v>312</v>
      </c>
      <c r="H2490" s="10"/>
      <c r="I2490" s="10"/>
      <c r="J2490" s="9" t="s">
        <v>3228</v>
      </c>
      <c r="K2490" s="12"/>
      <c r="L2490" s="14" t="s">
        <v>3311</v>
      </c>
      <c r="M2490" s="10"/>
      <c r="N2490" s="10"/>
      <c r="O2490" s="10"/>
      <c r="P2490" s="10"/>
      <c r="Q2490" s="10"/>
      <c r="R2490" s="10"/>
      <c r="S2490" s="10"/>
      <c r="T2490" s="10"/>
      <c r="U2490" s="10"/>
      <c r="V2490" s="10"/>
      <c r="W2490" s="10"/>
      <c r="X2490" s="10"/>
      <c r="Y2490" s="10"/>
      <c r="Z2490" s="10"/>
      <c r="AA2490" s="10"/>
      <c r="AB2490" s="10"/>
      <c r="AC2490" s="10"/>
      <c r="AD2490" s="10"/>
      <c r="AE2490" s="10"/>
      <c r="AF2490" s="10"/>
    </row>
    <row r="2491">
      <c r="A2491" s="10"/>
      <c r="B2491" s="8">
        <v>206.0</v>
      </c>
      <c r="C2491" s="12">
        <f t="shared" si="1"/>
        <v>86</v>
      </c>
      <c r="D2491" s="35" t="s">
        <v>3312</v>
      </c>
      <c r="E2491" s="10"/>
      <c r="F2491" s="7" t="s">
        <v>320</v>
      </c>
      <c r="G2491" s="7" t="s">
        <v>312</v>
      </c>
      <c r="H2491" s="10"/>
      <c r="I2491" s="10"/>
      <c r="J2491" s="9" t="s">
        <v>3313</v>
      </c>
      <c r="K2491" s="12"/>
      <c r="L2491" s="12"/>
      <c r="M2491" s="10"/>
      <c r="N2491" s="10"/>
      <c r="O2491" s="10"/>
      <c r="P2491" s="10"/>
      <c r="Q2491" s="10"/>
      <c r="R2491" s="10"/>
      <c r="S2491" s="10"/>
      <c r="T2491" s="10"/>
      <c r="U2491" s="10"/>
      <c r="V2491" s="10"/>
      <c r="W2491" s="10"/>
      <c r="X2491" s="10"/>
      <c r="Y2491" s="10"/>
      <c r="Z2491" s="10"/>
      <c r="AA2491" s="10"/>
      <c r="AB2491" s="10"/>
      <c r="AC2491" s="10"/>
      <c r="AD2491" s="10"/>
      <c r="AE2491" s="10"/>
      <c r="AF2491" s="10"/>
    </row>
    <row r="2492">
      <c r="A2492" s="10"/>
      <c r="B2492" s="8">
        <v>206.0</v>
      </c>
      <c r="C2492" s="12">
        <f t="shared" si="1"/>
        <v>87</v>
      </c>
      <c r="D2492" s="35" t="s">
        <v>3314</v>
      </c>
      <c r="E2492" s="10"/>
      <c r="F2492" s="7" t="s">
        <v>320</v>
      </c>
      <c r="G2492" s="7" t="s">
        <v>312</v>
      </c>
      <c r="H2492" s="10"/>
      <c r="I2492" s="10"/>
      <c r="J2492" s="9" t="s">
        <v>3313</v>
      </c>
      <c r="K2492" s="12"/>
      <c r="L2492" s="12"/>
      <c r="M2492" s="10"/>
      <c r="N2492" s="10"/>
      <c r="O2492" s="10"/>
      <c r="P2492" s="10"/>
      <c r="Q2492" s="10"/>
      <c r="R2492" s="10"/>
      <c r="S2492" s="10"/>
      <c r="T2492" s="10"/>
      <c r="U2492" s="10"/>
      <c r="V2492" s="10"/>
      <c r="W2492" s="10"/>
      <c r="X2492" s="10"/>
      <c r="Y2492" s="10"/>
      <c r="Z2492" s="10"/>
      <c r="AA2492" s="10"/>
      <c r="AB2492" s="10"/>
      <c r="AC2492" s="10"/>
      <c r="AD2492" s="10"/>
      <c r="AE2492" s="10"/>
      <c r="AF2492" s="10"/>
    </row>
    <row r="2493">
      <c r="A2493" s="10"/>
      <c r="B2493" s="8">
        <v>206.0</v>
      </c>
      <c r="C2493" s="12">
        <f t="shared" si="1"/>
        <v>88</v>
      </c>
      <c r="D2493" s="35" t="s">
        <v>3315</v>
      </c>
      <c r="E2493" s="10"/>
      <c r="F2493" s="7" t="s">
        <v>320</v>
      </c>
      <c r="G2493" s="7" t="s">
        <v>312</v>
      </c>
      <c r="H2493" s="10"/>
      <c r="I2493" s="10"/>
      <c r="J2493" s="9">
        <v>0.0</v>
      </c>
      <c r="K2493" s="12"/>
      <c r="L2493" s="14" t="s">
        <v>3218</v>
      </c>
      <c r="M2493" s="10"/>
      <c r="N2493" s="10"/>
      <c r="O2493" s="10"/>
      <c r="P2493" s="10"/>
      <c r="Q2493" s="10"/>
      <c r="R2493" s="10"/>
      <c r="S2493" s="10"/>
      <c r="T2493" s="10"/>
      <c r="U2493" s="10"/>
      <c r="V2493" s="10"/>
      <c r="W2493" s="10"/>
      <c r="X2493" s="10"/>
      <c r="Y2493" s="10"/>
      <c r="Z2493" s="10"/>
      <c r="AA2493" s="10"/>
      <c r="AB2493" s="10"/>
      <c r="AC2493" s="10"/>
      <c r="AD2493" s="10"/>
      <c r="AE2493" s="10"/>
      <c r="AF2493" s="10"/>
    </row>
    <row r="2494">
      <c r="A2494" s="10"/>
      <c r="B2494" s="8">
        <v>206.0</v>
      </c>
      <c r="C2494" s="12">
        <f t="shared" si="1"/>
        <v>89</v>
      </c>
      <c r="D2494" s="35" t="s">
        <v>3316</v>
      </c>
      <c r="E2494" s="10"/>
      <c r="F2494" s="7" t="s">
        <v>320</v>
      </c>
      <c r="G2494" s="7" t="s">
        <v>312</v>
      </c>
      <c r="H2494" s="10"/>
      <c r="I2494" s="10"/>
      <c r="J2494" s="9">
        <v>0.0</v>
      </c>
      <c r="K2494" s="12"/>
      <c r="L2494" s="12"/>
      <c r="M2494" s="10"/>
      <c r="N2494" s="10"/>
      <c r="O2494" s="10"/>
      <c r="P2494" s="10"/>
      <c r="Q2494" s="10"/>
      <c r="R2494" s="10"/>
      <c r="S2494" s="10"/>
      <c r="T2494" s="10"/>
      <c r="U2494" s="10"/>
      <c r="V2494" s="10"/>
      <c r="W2494" s="10"/>
      <c r="X2494" s="10"/>
      <c r="Y2494" s="10"/>
      <c r="Z2494" s="10"/>
      <c r="AA2494" s="10"/>
      <c r="AB2494" s="10"/>
      <c r="AC2494" s="10"/>
      <c r="AD2494" s="10"/>
      <c r="AE2494" s="10"/>
      <c r="AF2494" s="10"/>
    </row>
    <row r="2495">
      <c r="A2495" s="10"/>
      <c r="B2495" s="8">
        <v>206.0</v>
      </c>
      <c r="C2495" s="12">
        <f t="shared" si="1"/>
        <v>90</v>
      </c>
      <c r="D2495" s="35" t="s">
        <v>3317</v>
      </c>
      <c r="E2495" s="10"/>
      <c r="F2495" s="7" t="s">
        <v>320</v>
      </c>
      <c r="G2495" s="7" t="s">
        <v>312</v>
      </c>
      <c r="H2495" s="10"/>
      <c r="I2495" s="10"/>
      <c r="J2495" s="9" t="s">
        <v>3318</v>
      </c>
      <c r="K2495" s="12"/>
      <c r="L2495" s="12"/>
      <c r="M2495" s="10"/>
      <c r="N2495" s="10"/>
      <c r="O2495" s="10"/>
      <c r="P2495" s="10"/>
      <c r="Q2495" s="10"/>
      <c r="R2495" s="10"/>
      <c r="S2495" s="10"/>
      <c r="T2495" s="10"/>
      <c r="U2495" s="10"/>
      <c r="V2495" s="10"/>
      <c r="W2495" s="10"/>
      <c r="X2495" s="10"/>
      <c r="Y2495" s="10"/>
      <c r="Z2495" s="10"/>
      <c r="AA2495" s="10"/>
      <c r="AB2495" s="10"/>
      <c r="AC2495" s="10"/>
      <c r="AD2495" s="10"/>
      <c r="AE2495" s="10"/>
      <c r="AF2495" s="10"/>
    </row>
    <row r="2496">
      <c r="A2496" s="10"/>
      <c r="B2496" s="8">
        <v>206.0</v>
      </c>
      <c r="C2496" s="8">
        <v>91.0</v>
      </c>
      <c r="D2496" s="35" t="s">
        <v>3319</v>
      </c>
      <c r="E2496" s="10"/>
      <c r="F2496" s="7" t="s">
        <v>320</v>
      </c>
      <c r="G2496" s="7" t="s">
        <v>312</v>
      </c>
      <c r="H2496" s="10"/>
      <c r="I2496" s="10"/>
      <c r="J2496" s="9" t="s">
        <v>3320</v>
      </c>
      <c r="K2496" s="12"/>
      <c r="L2496" s="14" t="s">
        <v>3218</v>
      </c>
      <c r="M2496" s="10"/>
      <c r="N2496" s="10"/>
      <c r="O2496" s="10"/>
      <c r="P2496" s="10"/>
      <c r="Q2496" s="10"/>
      <c r="R2496" s="10"/>
      <c r="S2496" s="10"/>
      <c r="T2496" s="10"/>
      <c r="U2496" s="10"/>
      <c r="V2496" s="10"/>
      <c r="W2496" s="10"/>
      <c r="X2496" s="10"/>
      <c r="Y2496" s="10"/>
      <c r="Z2496" s="10"/>
      <c r="AA2496" s="10"/>
      <c r="AB2496" s="10"/>
      <c r="AC2496" s="10"/>
      <c r="AD2496" s="10"/>
      <c r="AE2496" s="10"/>
      <c r="AF2496" s="10"/>
    </row>
    <row r="2497">
      <c r="A2497" s="10"/>
      <c r="B2497" s="12"/>
      <c r="C2497" s="12"/>
      <c r="D2497" s="12"/>
      <c r="E2497" s="10"/>
      <c r="F2497" s="10"/>
      <c r="G2497" s="10"/>
      <c r="H2497" s="10"/>
      <c r="I2497" s="10"/>
      <c r="J2497" s="11"/>
      <c r="K2497" s="12"/>
      <c r="L2497" s="12"/>
      <c r="M2497" s="10"/>
      <c r="N2497" s="10"/>
      <c r="O2497" s="10"/>
      <c r="P2497" s="10"/>
      <c r="Q2497" s="10"/>
      <c r="R2497" s="10"/>
      <c r="S2497" s="10"/>
      <c r="T2497" s="10"/>
      <c r="U2497" s="10"/>
      <c r="V2497" s="10"/>
      <c r="W2497" s="10"/>
      <c r="X2497" s="10"/>
      <c r="Y2497" s="10"/>
      <c r="Z2497" s="10"/>
      <c r="AA2497" s="10"/>
      <c r="AB2497" s="10"/>
      <c r="AC2497" s="10"/>
      <c r="AD2497" s="10"/>
      <c r="AE2497" s="10"/>
      <c r="AF2497" s="10"/>
    </row>
    <row r="2498">
      <c r="A2498" s="21" t="s">
        <v>207</v>
      </c>
      <c r="B2498" s="12"/>
      <c r="C2498" s="12"/>
      <c r="D2498" s="12"/>
      <c r="E2498" s="10"/>
      <c r="F2498" s="10"/>
      <c r="G2498" s="10"/>
      <c r="H2498" s="10"/>
      <c r="I2498" s="10"/>
      <c r="J2498" s="11"/>
      <c r="K2498" s="12"/>
      <c r="L2498" s="12"/>
      <c r="M2498" s="10"/>
      <c r="N2498" s="10"/>
      <c r="O2498" s="10"/>
      <c r="P2498" s="10"/>
      <c r="Q2498" s="10"/>
      <c r="R2498" s="10"/>
      <c r="S2498" s="10"/>
      <c r="T2498" s="10"/>
      <c r="U2498" s="10"/>
      <c r="V2498" s="10"/>
      <c r="W2498" s="10"/>
      <c r="X2498" s="10"/>
      <c r="Y2498" s="10"/>
      <c r="Z2498" s="10"/>
      <c r="AA2498" s="10"/>
      <c r="AB2498" s="10"/>
      <c r="AC2498" s="10"/>
      <c r="AD2498" s="10"/>
      <c r="AE2498" s="10"/>
      <c r="AF2498" s="10"/>
    </row>
    <row r="2499">
      <c r="A2499" s="7"/>
      <c r="B2499" s="26">
        <v>207.0</v>
      </c>
      <c r="C2499" s="27">
        <v>1.0</v>
      </c>
      <c r="D2499" s="8" t="s">
        <v>3321</v>
      </c>
      <c r="E2499" s="7">
        <v>0.0</v>
      </c>
      <c r="F2499" s="7"/>
      <c r="G2499" s="7" t="s">
        <v>313</v>
      </c>
      <c r="H2499" s="7" t="s">
        <v>312</v>
      </c>
      <c r="I2499" s="10"/>
      <c r="J2499" s="9" t="s">
        <v>3322</v>
      </c>
      <c r="K2499" s="20" t="s">
        <v>3323</v>
      </c>
      <c r="L2499" s="12"/>
      <c r="M2499" s="10"/>
      <c r="N2499" s="10"/>
      <c r="O2499" s="10"/>
      <c r="P2499" s="10"/>
      <c r="Q2499" s="10"/>
      <c r="R2499" s="10"/>
      <c r="S2499" s="10"/>
      <c r="T2499" s="10"/>
      <c r="U2499" s="10"/>
      <c r="V2499" s="10"/>
      <c r="W2499" s="10"/>
      <c r="X2499" s="10"/>
      <c r="Y2499" s="10"/>
      <c r="Z2499" s="10"/>
      <c r="AA2499" s="10"/>
      <c r="AB2499" s="10"/>
      <c r="AC2499" s="10"/>
      <c r="AD2499" s="10"/>
      <c r="AE2499" s="10"/>
      <c r="AF2499" s="10"/>
    </row>
    <row r="2500">
      <c r="A2500" s="7"/>
      <c r="B2500" s="26">
        <v>207.0</v>
      </c>
      <c r="C2500" s="27">
        <v>2.0</v>
      </c>
      <c r="D2500" s="8" t="s">
        <v>3324</v>
      </c>
      <c r="E2500" s="7">
        <v>1.0</v>
      </c>
      <c r="F2500" s="7"/>
      <c r="G2500" s="7" t="s">
        <v>313</v>
      </c>
      <c r="H2500" s="7" t="s">
        <v>312</v>
      </c>
      <c r="I2500" s="10"/>
      <c r="J2500" s="9" t="s">
        <v>3325</v>
      </c>
      <c r="K2500" s="12"/>
      <c r="L2500" s="12"/>
      <c r="M2500" s="10"/>
      <c r="N2500" s="10"/>
      <c r="O2500" s="10"/>
      <c r="P2500" s="10"/>
      <c r="Q2500" s="10"/>
      <c r="R2500" s="10"/>
      <c r="S2500" s="10"/>
      <c r="T2500" s="10"/>
      <c r="U2500" s="10"/>
      <c r="V2500" s="10"/>
      <c r="W2500" s="10"/>
      <c r="X2500" s="10"/>
      <c r="Y2500" s="10"/>
      <c r="Z2500" s="10"/>
      <c r="AA2500" s="10"/>
      <c r="AB2500" s="10"/>
      <c r="AC2500" s="10"/>
      <c r="AD2500" s="10"/>
      <c r="AE2500" s="10"/>
      <c r="AF2500" s="10"/>
    </row>
    <row r="2501">
      <c r="A2501" s="7"/>
      <c r="B2501" s="26">
        <v>207.0</v>
      </c>
      <c r="C2501" s="27">
        <v>3.0</v>
      </c>
      <c r="D2501" s="8" t="s">
        <v>3326</v>
      </c>
      <c r="E2501" s="7">
        <v>0.0</v>
      </c>
      <c r="F2501" s="7"/>
      <c r="G2501" s="7" t="s">
        <v>313</v>
      </c>
      <c r="H2501" s="7" t="s">
        <v>312</v>
      </c>
      <c r="I2501" s="10"/>
      <c r="J2501" s="11"/>
      <c r="K2501" s="12"/>
      <c r="L2501" s="12"/>
      <c r="M2501" s="10"/>
      <c r="N2501" s="10"/>
      <c r="O2501" s="10"/>
      <c r="P2501" s="10"/>
      <c r="Q2501" s="10"/>
      <c r="R2501" s="10"/>
      <c r="S2501" s="10"/>
      <c r="T2501" s="10"/>
      <c r="U2501" s="10"/>
      <c r="V2501" s="10"/>
      <c r="W2501" s="10"/>
      <c r="X2501" s="10"/>
      <c r="Y2501" s="10"/>
      <c r="Z2501" s="10"/>
      <c r="AA2501" s="10"/>
      <c r="AB2501" s="10"/>
      <c r="AC2501" s="10"/>
      <c r="AD2501" s="10"/>
      <c r="AE2501" s="10"/>
      <c r="AF2501" s="10"/>
    </row>
    <row r="2502">
      <c r="A2502" s="7"/>
      <c r="B2502" s="26">
        <v>207.0</v>
      </c>
      <c r="C2502" s="27">
        <v>4.0</v>
      </c>
      <c r="D2502" s="8" t="s">
        <v>3327</v>
      </c>
      <c r="E2502" s="7">
        <v>0.0</v>
      </c>
      <c r="F2502" s="7"/>
      <c r="G2502" s="7" t="s">
        <v>313</v>
      </c>
      <c r="H2502" s="7" t="s">
        <v>312</v>
      </c>
      <c r="I2502" s="10"/>
      <c r="J2502" s="11"/>
      <c r="K2502" s="12"/>
      <c r="L2502" s="12"/>
      <c r="M2502" s="10"/>
      <c r="N2502" s="10"/>
      <c r="O2502" s="10"/>
      <c r="P2502" s="10"/>
      <c r="Q2502" s="10"/>
      <c r="R2502" s="10"/>
      <c r="S2502" s="10"/>
      <c r="T2502" s="10"/>
      <c r="U2502" s="10"/>
      <c r="V2502" s="10"/>
      <c r="W2502" s="10"/>
      <c r="X2502" s="10"/>
      <c r="Y2502" s="10"/>
      <c r="Z2502" s="10"/>
      <c r="AA2502" s="10"/>
      <c r="AB2502" s="10"/>
      <c r="AC2502" s="10"/>
      <c r="AD2502" s="10"/>
      <c r="AE2502" s="10"/>
      <c r="AF2502" s="10"/>
    </row>
    <row r="2503">
      <c r="A2503" s="7"/>
      <c r="B2503" s="26">
        <v>207.0</v>
      </c>
      <c r="C2503" s="27">
        <v>5.0</v>
      </c>
      <c r="D2503" s="8" t="s">
        <v>3328</v>
      </c>
      <c r="E2503" s="7">
        <v>1.0</v>
      </c>
      <c r="F2503" s="7"/>
      <c r="G2503" s="7" t="s">
        <v>313</v>
      </c>
      <c r="H2503" s="7" t="s">
        <v>312</v>
      </c>
      <c r="I2503" s="10"/>
      <c r="J2503" s="11"/>
      <c r="K2503" s="12"/>
      <c r="L2503" s="12"/>
      <c r="M2503" s="10"/>
      <c r="N2503" s="10"/>
      <c r="O2503" s="10"/>
      <c r="P2503" s="10"/>
      <c r="Q2503" s="10"/>
      <c r="R2503" s="10"/>
      <c r="S2503" s="10"/>
      <c r="T2503" s="10"/>
      <c r="U2503" s="10"/>
      <c r="V2503" s="10"/>
      <c r="W2503" s="10"/>
      <c r="X2503" s="10"/>
      <c r="Y2503" s="10"/>
      <c r="Z2503" s="10"/>
      <c r="AA2503" s="10"/>
      <c r="AB2503" s="10"/>
      <c r="AC2503" s="10"/>
      <c r="AD2503" s="10"/>
      <c r="AE2503" s="10"/>
      <c r="AF2503" s="10"/>
    </row>
    <row r="2504">
      <c r="A2504" s="7"/>
      <c r="B2504" s="26">
        <v>207.0</v>
      </c>
      <c r="C2504" s="27">
        <v>6.0</v>
      </c>
      <c r="D2504" s="8" t="s">
        <v>3329</v>
      </c>
      <c r="E2504" s="7">
        <v>0.0</v>
      </c>
      <c r="F2504" s="7"/>
      <c r="G2504" s="7" t="s">
        <v>313</v>
      </c>
      <c r="H2504" s="7" t="s">
        <v>312</v>
      </c>
      <c r="I2504" s="10"/>
      <c r="J2504" s="11"/>
      <c r="K2504" s="12"/>
      <c r="L2504" s="12"/>
      <c r="M2504" s="10"/>
      <c r="N2504" s="10"/>
      <c r="O2504" s="10"/>
      <c r="P2504" s="10"/>
      <c r="Q2504" s="10"/>
      <c r="R2504" s="10"/>
      <c r="S2504" s="10"/>
      <c r="T2504" s="10"/>
      <c r="U2504" s="10"/>
      <c r="V2504" s="10"/>
      <c r="W2504" s="10"/>
      <c r="X2504" s="10"/>
      <c r="Y2504" s="10"/>
      <c r="Z2504" s="10"/>
      <c r="AA2504" s="10"/>
      <c r="AB2504" s="10"/>
      <c r="AC2504" s="10"/>
      <c r="AD2504" s="10"/>
      <c r="AE2504" s="10"/>
      <c r="AF2504" s="10"/>
    </row>
    <row r="2505">
      <c r="A2505" s="7"/>
      <c r="B2505" s="26">
        <v>207.0</v>
      </c>
      <c r="C2505" s="27">
        <v>7.0</v>
      </c>
      <c r="D2505" s="8" t="s">
        <v>3330</v>
      </c>
      <c r="E2505" s="7">
        <v>0.0</v>
      </c>
      <c r="F2505" s="7"/>
      <c r="G2505" s="7" t="s">
        <v>313</v>
      </c>
      <c r="H2505" s="7" t="s">
        <v>312</v>
      </c>
      <c r="I2505" s="10"/>
      <c r="J2505" s="11"/>
      <c r="K2505" s="12"/>
      <c r="L2505" s="12"/>
      <c r="M2505" s="10"/>
      <c r="N2505" s="10"/>
      <c r="O2505" s="10"/>
      <c r="P2505" s="10"/>
      <c r="Q2505" s="10"/>
      <c r="R2505" s="10"/>
      <c r="S2505" s="10"/>
      <c r="T2505" s="10"/>
      <c r="U2505" s="10"/>
      <c r="V2505" s="10"/>
      <c r="W2505" s="10"/>
      <c r="X2505" s="10"/>
      <c r="Y2505" s="10"/>
      <c r="Z2505" s="10"/>
      <c r="AA2505" s="10"/>
      <c r="AB2505" s="10"/>
      <c r="AC2505" s="10"/>
      <c r="AD2505" s="10"/>
      <c r="AE2505" s="10"/>
      <c r="AF2505" s="10"/>
    </row>
    <row r="2506">
      <c r="A2506" s="7"/>
      <c r="B2506" s="26">
        <v>207.0</v>
      </c>
      <c r="C2506" s="27">
        <v>8.0</v>
      </c>
      <c r="D2506" s="8" t="s">
        <v>3331</v>
      </c>
      <c r="E2506" s="7">
        <v>1.0</v>
      </c>
      <c r="F2506" s="7"/>
      <c r="G2506" s="7" t="s">
        <v>313</v>
      </c>
      <c r="H2506" s="7" t="s">
        <v>312</v>
      </c>
      <c r="I2506" s="10"/>
      <c r="J2506" s="11"/>
      <c r="K2506" s="20" t="s">
        <v>3323</v>
      </c>
      <c r="L2506" s="12"/>
      <c r="M2506" s="10"/>
      <c r="N2506" s="10"/>
      <c r="O2506" s="10"/>
      <c r="P2506" s="10"/>
      <c r="Q2506" s="10"/>
      <c r="R2506" s="10"/>
      <c r="S2506" s="10"/>
      <c r="T2506" s="10"/>
      <c r="U2506" s="10"/>
      <c r="V2506" s="10"/>
      <c r="W2506" s="10"/>
      <c r="X2506" s="10"/>
      <c r="Y2506" s="10"/>
      <c r="Z2506" s="10"/>
      <c r="AA2506" s="10"/>
      <c r="AB2506" s="10"/>
      <c r="AC2506" s="10"/>
      <c r="AD2506" s="10"/>
      <c r="AE2506" s="10"/>
      <c r="AF2506" s="10"/>
    </row>
    <row r="2507">
      <c r="A2507" s="7"/>
      <c r="B2507" s="26">
        <v>207.0</v>
      </c>
      <c r="C2507" s="27">
        <v>9.0</v>
      </c>
      <c r="D2507" s="8" t="s">
        <v>3332</v>
      </c>
      <c r="E2507" s="7">
        <v>1.0</v>
      </c>
      <c r="F2507" s="7"/>
      <c r="G2507" s="7" t="s">
        <v>313</v>
      </c>
      <c r="H2507" s="7" t="s">
        <v>312</v>
      </c>
      <c r="I2507" s="10"/>
      <c r="J2507" s="11"/>
      <c r="K2507" s="20" t="s">
        <v>3323</v>
      </c>
      <c r="L2507" s="12"/>
      <c r="M2507" s="10"/>
      <c r="N2507" s="10"/>
      <c r="O2507" s="10"/>
      <c r="P2507" s="10"/>
      <c r="Q2507" s="10"/>
      <c r="R2507" s="10"/>
      <c r="S2507" s="10"/>
      <c r="T2507" s="10"/>
      <c r="U2507" s="10"/>
      <c r="V2507" s="10"/>
      <c r="W2507" s="10"/>
      <c r="X2507" s="10"/>
      <c r="Y2507" s="10"/>
      <c r="Z2507" s="10"/>
      <c r="AA2507" s="10"/>
      <c r="AB2507" s="10"/>
      <c r="AC2507" s="10"/>
      <c r="AD2507" s="10"/>
      <c r="AE2507" s="10"/>
      <c r="AF2507" s="10"/>
    </row>
    <row r="2508">
      <c r="A2508" s="7"/>
      <c r="B2508" s="26">
        <v>207.0</v>
      </c>
      <c r="C2508" s="27">
        <v>10.0</v>
      </c>
      <c r="D2508" s="8" t="s">
        <v>3333</v>
      </c>
      <c r="E2508" s="7">
        <v>0.0</v>
      </c>
      <c r="F2508" s="7"/>
      <c r="G2508" s="7" t="s">
        <v>313</v>
      </c>
      <c r="H2508" s="7" t="s">
        <v>312</v>
      </c>
      <c r="I2508" s="10"/>
      <c r="J2508" s="11"/>
      <c r="K2508" s="12"/>
      <c r="L2508" s="12"/>
      <c r="M2508" s="10"/>
      <c r="N2508" s="10"/>
      <c r="O2508" s="10"/>
      <c r="P2508" s="10"/>
      <c r="Q2508" s="10"/>
      <c r="R2508" s="10"/>
      <c r="S2508" s="10"/>
      <c r="T2508" s="10"/>
      <c r="U2508" s="10"/>
      <c r="V2508" s="10"/>
      <c r="W2508" s="10"/>
      <c r="X2508" s="10"/>
      <c r="Y2508" s="10"/>
      <c r="Z2508" s="10"/>
      <c r="AA2508" s="10"/>
      <c r="AB2508" s="10"/>
      <c r="AC2508" s="10"/>
      <c r="AD2508" s="10"/>
      <c r="AE2508" s="10"/>
      <c r="AF2508" s="10"/>
    </row>
    <row r="2509">
      <c r="A2509" s="7"/>
      <c r="B2509" s="26"/>
      <c r="C2509" s="27"/>
      <c r="D2509" s="8"/>
      <c r="E2509" s="7"/>
      <c r="F2509" s="7"/>
      <c r="G2509" s="7"/>
      <c r="H2509" s="7"/>
      <c r="I2509" s="10"/>
      <c r="J2509" s="11"/>
      <c r="K2509" s="12"/>
      <c r="L2509" s="12"/>
      <c r="M2509" s="10"/>
      <c r="N2509" s="10"/>
      <c r="O2509" s="10"/>
      <c r="P2509" s="10"/>
      <c r="Q2509" s="10"/>
      <c r="R2509" s="10"/>
      <c r="S2509" s="10"/>
      <c r="T2509" s="10"/>
      <c r="U2509" s="10"/>
      <c r="V2509" s="10"/>
      <c r="W2509" s="10"/>
      <c r="X2509" s="10"/>
      <c r="Y2509" s="10"/>
      <c r="Z2509" s="10"/>
      <c r="AA2509" s="10"/>
      <c r="AB2509" s="10"/>
      <c r="AC2509" s="10"/>
      <c r="AD2509" s="10"/>
      <c r="AE2509" s="10"/>
      <c r="AF2509" s="10"/>
    </row>
    <row r="2510">
      <c r="A2510" s="21" t="s">
        <v>208</v>
      </c>
      <c r="B2510" s="12"/>
      <c r="C2510" s="12"/>
      <c r="D2510" s="12"/>
      <c r="E2510" s="10"/>
      <c r="F2510" s="10"/>
      <c r="G2510" s="10"/>
      <c r="H2510" s="10"/>
      <c r="I2510" s="10"/>
      <c r="J2510" s="11"/>
      <c r="K2510" s="12"/>
      <c r="L2510" s="12"/>
      <c r="M2510" s="10"/>
      <c r="N2510" s="10"/>
      <c r="O2510" s="10"/>
      <c r="P2510" s="10"/>
      <c r="Q2510" s="10"/>
      <c r="R2510" s="10"/>
      <c r="S2510" s="10"/>
      <c r="T2510" s="10"/>
      <c r="U2510" s="10"/>
      <c r="V2510" s="10"/>
      <c r="W2510" s="10"/>
      <c r="X2510" s="10"/>
      <c r="Y2510" s="10"/>
      <c r="Z2510" s="10"/>
      <c r="AA2510" s="10"/>
      <c r="AB2510" s="10"/>
      <c r="AC2510" s="10"/>
      <c r="AD2510" s="10"/>
      <c r="AE2510" s="10"/>
      <c r="AF2510" s="10"/>
    </row>
    <row r="2511">
      <c r="A2511" s="7"/>
      <c r="B2511" s="26">
        <v>208.0</v>
      </c>
      <c r="C2511" s="27">
        <v>1.0</v>
      </c>
      <c r="D2511" s="8" t="s">
        <v>3334</v>
      </c>
      <c r="E2511" s="7">
        <v>0.0</v>
      </c>
      <c r="F2511" s="7"/>
      <c r="G2511" s="7" t="s">
        <v>313</v>
      </c>
      <c r="H2511" s="7" t="s">
        <v>312</v>
      </c>
      <c r="I2511" s="10"/>
      <c r="J2511" s="9" t="s">
        <v>3335</v>
      </c>
      <c r="K2511" s="20" t="s">
        <v>3336</v>
      </c>
      <c r="L2511" s="12"/>
      <c r="M2511" s="10"/>
      <c r="N2511" s="10"/>
      <c r="O2511" s="10"/>
      <c r="P2511" s="10"/>
      <c r="Q2511" s="10"/>
      <c r="R2511" s="10"/>
      <c r="S2511" s="10"/>
      <c r="T2511" s="10"/>
      <c r="U2511" s="10"/>
      <c r="V2511" s="10"/>
      <c r="W2511" s="10"/>
      <c r="X2511" s="10"/>
      <c r="Y2511" s="10"/>
      <c r="Z2511" s="10"/>
      <c r="AA2511" s="10"/>
      <c r="AB2511" s="10"/>
      <c r="AC2511" s="10"/>
      <c r="AD2511" s="10"/>
      <c r="AE2511" s="10"/>
      <c r="AF2511" s="10"/>
    </row>
    <row r="2512">
      <c r="A2512" s="7"/>
      <c r="B2512" s="26">
        <v>208.0</v>
      </c>
      <c r="C2512" s="27">
        <v>2.0</v>
      </c>
      <c r="D2512" s="8" t="s">
        <v>3337</v>
      </c>
      <c r="E2512" s="7">
        <v>0.0</v>
      </c>
      <c r="F2512" s="7"/>
      <c r="G2512" s="7" t="s">
        <v>313</v>
      </c>
      <c r="H2512" s="7" t="s">
        <v>312</v>
      </c>
      <c r="I2512" s="10"/>
      <c r="J2512" s="11"/>
      <c r="K2512" s="20" t="s">
        <v>3336</v>
      </c>
      <c r="L2512" s="12"/>
      <c r="M2512" s="10"/>
      <c r="N2512" s="10"/>
      <c r="O2512" s="10"/>
      <c r="P2512" s="10"/>
      <c r="Q2512" s="10"/>
      <c r="R2512" s="10"/>
      <c r="S2512" s="10"/>
      <c r="T2512" s="10"/>
      <c r="U2512" s="10"/>
      <c r="V2512" s="10"/>
      <c r="W2512" s="10"/>
      <c r="X2512" s="10"/>
      <c r="Y2512" s="10"/>
      <c r="Z2512" s="10"/>
      <c r="AA2512" s="10"/>
      <c r="AB2512" s="10"/>
      <c r="AC2512" s="10"/>
      <c r="AD2512" s="10"/>
      <c r="AE2512" s="10"/>
      <c r="AF2512" s="10"/>
    </row>
    <row r="2513">
      <c r="A2513" s="7"/>
      <c r="B2513" s="26">
        <v>208.0</v>
      </c>
      <c r="C2513" s="27">
        <v>3.0</v>
      </c>
      <c r="D2513" s="8" t="s">
        <v>3338</v>
      </c>
      <c r="E2513" s="7">
        <v>0.0</v>
      </c>
      <c r="F2513" s="7"/>
      <c r="G2513" s="7" t="s">
        <v>313</v>
      </c>
      <c r="H2513" s="7" t="s">
        <v>312</v>
      </c>
      <c r="I2513" s="10"/>
      <c r="J2513" s="11"/>
      <c r="K2513" s="12"/>
      <c r="L2513" s="12"/>
      <c r="M2513" s="10"/>
      <c r="N2513" s="10"/>
      <c r="O2513" s="10"/>
      <c r="P2513" s="10"/>
      <c r="Q2513" s="10"/>
      <c r="R2513" s="10"/>
      <c r="S2513" s="10"/>
      <c r="T2513" s="10"/>
      <c r="U2513" s="10"/>
      <c r="V2513" s="10"/>
      <c r="W2513" s="10"/>
      <c r="X2513" s="10"/>
      <c r="Y2513" s="10"/>
      <c r="Z2513" s="10"/>
      <c r="AA2513" s="10"/>
      <c r="AB2513" s="10"/>
      <c r="AC2513" s="10"/>
      <c r="AD2513" s="10"/>
      <c r="AE2513" s="10"/>
      <c r="AF2513" s="10"/>
    </row>
    <row r="2514">
      <c r="A2514" s="7"/>
      <c r="B2514" s="26">
        <v>208.0</v>
      </c>
      <c r="C2514" s="27">
        <v>4.0</v>
      </c>
      <c r="D2514" s="8" t="s">
        <v>3339</v>
      </c>
      <c r="E2514" s="7">
        <v>0.0</v>
      </c>
      <c r="F2514" s="7"/>
      <c r="G2514" s="7" t="s">
        <v>313</v>
      </c>
      <c r="H2514" s="7" t="s">
        <v>312</v>
      </c>
      <c r="I2514" s="10"/>
      <c r="J2514" s="11"/>
      <c r="K2514" s="12"/>
      <c r="L2514" s="12"/>
      <c r="M2514" s="10"/>
      <c r="N2514" s="10"/>
      <c r="O2514" s="10"/>
      <c r="P2514" s="10"/>
      <c r="Q2514" s="10"/>
      <c r="R2514" s="10"/>
      <c r="S2514" s="10"/>
      <c r="T2514" s="10"/>
      <c r="U2514" s="10"/>
      <c r="V2514" s="10"/>
      <c r="W2514" s="10"/>
      <c r="X2514" s="10"/>
      <c r="Y2514" s="10"/>
      <c r="Z2514" s="10"/>
      <c r="AA2514" s="10"/>
      <c r="AB2514" s="10"/>
      <c r="AC2514" s="10"/>
      <c r="AD2514" s="10"/>
      <c r="AE2514" s="10"/>
      <c r="AF2514" s="10"/>
    </row>
    <row r="2515">
      <c r="A2515" s="7"/>
      <c r="B2515" s="26">
        <v>208.0</v>
      </c>
      <c r="C2515" s="27">
        <v>5.0</v>
      </c>
      <c r="D2515" s="8" t="s">
        <v>3340</v>
      </c>
      <c r="E2515" s="7">
        <v>0.0</v>
      </c>
      <c r="F2515" s="7"/>
      <c r="G2515" s="7" t="s">
        <v>313</v>
      </c>
      <c r="H2515" s="7" t="s">
        <v>312</v>
      </c>
      <c r="I2515" s="10"/>
      <c r="J2515" s="11"/>
      <c r="K2515" s="12"/>
      <c r="L2515" s="12"/>
      <c r="M2515" s="10"/>
      <c r="N2515" s="10"/>
      <c r="O2515" s="10"/>
      <c r="P2515" s="10"/>
      <c r="Q2515" s="10"/>
      <c r="R2515" s="10"/>
      <c r="S2515" s="10"/>
      <c r="T2515" s="10"/>
      <c r="U2515" s="10"/>
      <c r="V2515" s="10"/>
      <c r="W2515" s="10"/>
      <c r="X2515" s="10"/>
      <c r="Y2515" s="10"/>
      <c r="Z2515" s="10"/>
      <c r="AA2515" s="10"/>
      <c r="AB2515" s="10"/>
      <c r="AC2515" s="10"/>
      <c r="AD2515" s="10"/>
      <c r="AE2515" s="10"/>
      <c r="AF2515" s="10"/>
    </row>
    <row r="2516">
      <c r="A2516" s="7"/>
      <c r="B2516" s="26">
        <v>208.0</v>
      </c>
      <c r="C2516" s="27">
        <v>6.0</v>
      </c>
      <c r="D2516" s="8" t="s">
        <v>3341</v>
      </c>
      <c r="E2516" s="7">
        <v>0.0</v>
      </c>
      <c r="F2516" s="7"/>
      <c r="G2516" s="7" t="s">
        <v>313</v>
      </c>
      <c r="H2516" s="7" t="s">
        <v>312</v>
      </c>
      <c r="I2516" s="10"/>
      <c r="J2516" s="11"/>
      <c r="K2516" s="12"/>
      <c r="L2516" s="12"/>
      <c r="M2516" s="10"/>
      <c r="N2516" s="10"/>
      <c r="O2516" s="10"/>
      <c r="P2516" s="10"/>
      <c r="Q2516" s="10"/>
      <c r="R2516" s="10"/>
      <c r="S2516" s="10"/>
      <c r="T2516" s="10"/>
      <c r="U2516" s="10"/>
      <c r="V2516" s="10"/>
      <c r="W2516" s="10"/>
      <c r="X2516" s="10"/>
      <c r="Y2516" s="10"/>
      <c r="Z2516" s="10"/>
      <c r="AA2516" s="10"/>
      <c r="AB2516" s="10"/>
      <c r="AC2516" s="10"/>
      <c r="AD2516" s="10"/>
      <c r="AE2516" s="10"/>
      <c r="AF2516" s="10"/>
    </row>
    <row r="2517">
      <c r="A2517" s="7"/>
      <c r="B2517" s="26">
        <v>208.0</v>
      </c>
      <c r="C2517" s="27">
        <v>7.0</v>
      </c>
      <c r="D2517" s="8" t="s">
        <v>3342</v>
      </c>
      <c r="E2517" s="7">
        <v>0.0</v>
      </c>
      <c r="F2517" s="7"/>
      <c r="G2517" s="7" t="s">
        <v>313</v>
      </c>
      <c r="H2517" s="7" t="s">
        <v>312</v>
      </c>
      <c r="I2517" s="10"/>
      <c r="J2517" s="11"/>
      <c r="K2517" s="12"/>
      <c r="L2517" s="12"/>
      <c r="M2517" s="10"/>
      <c r="N2517" s="10"/>
      <c r="O2517" s="10"/>
      <c r="P2517" s="10"/>
      <c r="Q2517" s="10"/>
      <c r="R2517" s="10"/>
      <c r="S2517" s="10"/>
      <c r="T2517" s="10"/>
      <c r="U2517" s="10"/>
      <c r="V2517" s="10"/>
      <c r="W2517" s="10"/>
      <c r="X2517" s="10"/>
      <c r="Y2517" s="10"/>
      <c r="Z2517" s="10"/>
      <c r="AA2517" s="10"/>
      <c r="AB2517" s="10"/>
      <c r="AC2517" s="10"/>
      <c r="AD2517" s="10"/>
      <c r="AE2517" s="10"/>
      <c r="AF2517" s="10"/>
    </row>
    <row r="2518">
      <c r="A2518" s="7"/>
      <c r="B2518" s="26">
        <v>208.0</v>
      </c>
      <c r="C2518" s="27">
        <v>8.0</v>
      </c>
      <c r="D2518" s="8" t="s">
        <v>3343</v>
      </c>
      <c r="E2518" s="7">
        <v>0.0</v>
      </c>
      <c r="F2518" s="7"/>
      <c r="G2518" s="7" t="s">
        <v>313</v>
      </c>
      <c r="H2518" s="7" t="s">
        <v>312</v>
      </c>
      <c r="I2518" s="10"/>
      <c r="J2518" s="11"/>
      <c r="K2518" s="12"/>
      <c r="L2518" s="12"/>
      <c r="M2518" s="10"/>
      <c r="N2518" s="10"/>
      <c r="O2518" s="10"/>
      <c r="P2518" s="10"/>
      <c r="Q2518" s="10"/>
      <c r="R2518" s="10"/>
      <c r="S2518" s="10"/>
      <c r="T2518" s="10"/>
      <c r="U2518" s="10"/>
      <c r="V2518" s="10"/>
      <c r="W2518" s="10"/>
      <c r="X2518" s="10"/>
      <c r="Y2518" s="10"/>
      <c r="Z2518" s="10"/>
      <c r="AA2518" s="10"/>
      <c r="AB2518" s="10"/>
      <c r="AC2518" s="10"/>
      <c r="AD2518" s="10"/>
      <c r="AE2518" s="10"/>
      <c r="AF2518" s="10"/>
    </row>
    <row r="2519">
      <c r="A2519" s="7"/>
      <c r="B2519" s="26">
        <v>208.0</v>
      </c>
      <c r="C2519" s="27">
        <v>9.0</v>
      </c>
      <c r="D2519" s="8" t="s">
        <v>3344</v>
      </c>
      <c r="E2519" s="7">
        <v>0.0</v>
      </c>
      <c r="F2519" s="7"/>
      <c r="G2519" s="7" t="s">
        <v>313</v>
      </c>
      <c r="H2519" s="7" t="s">
        <v>312</v>
      </c>
      <c r="I2519" s="10"/>
      <c r="J2519" s="11"/>
      <c r="K2519" s="12"/>
      <c r="L2519" s="12"/>
      <c r="M2519" s="10"/>
      <c r="N2519" s="10"/>
      <c r="O2519" s="10"/>
      <c r="P2519" s="10"/>
      <c r="Q2519" s="10"/>
      <c r="R2519" s="10"/>
      <c r="S2519" s="10"/>
      <c r="T2519" s="10"/>
      <c r="U2519" s="10"/>
      <c r="V2519" s="10"/>
      <c r="W2519" s="10"/>
      <c r="X2519" s="10"/>
      <c r="Y2519" s="10"/>
      <c r="Z2519" s="10"/>
      <c r="AA2519" s="10"/>
      <c r="AB2519" s="10"/>
      <c r="AC2519" s="10"/>
      <c r="AD2519" s="10"/>
      <c r="AE2519" s="10"/>
      <c r="AF2519" s="10"/>
    </row>
    <row r="2520">
      <c r="A2520" s="7"/>
      <c r="B2520" s="26">
        <v>208.0</v>
      </c>
      <c r="C2520" s="27">
        <v>10.0</v>
      </c>
      <c r="D2520" s="8" t="s">
        <v>3345</v>
      </c>
      <c r="E2520" s="7">
        <v>0.0</v>
      </c>
      <c r="F2520" s="7"/>
      <c r="G2520" s="7" t="s">
        <v>313</v>
      </c>
      <c r="H2520" s="7" t="s">
        <v>312</v>
      </c>
      <c r="I2520" s="10"/>
      <c r="J2520" s="11"/>
      <c r="K2520" s="12"/>
      <c r="L2520" s="12"/>
      <c r="M2520" s="10"/>
      <c r="N2520" s="10"/>
      <c r="O2520" s="10"/>
      <c r="P2520" s="10"/>
      <c r="Q2520" s="10"/>
      <c r="R2520" s="10"/>
      <c r="S2520" s="10"/>
      <c r="T2520" s="10"/>
      <c r="U2520" s="10"/>
      <c r="V2520" s="10"/>
      <c r="W2520" s="10"/>
      <c r="X2520" s="10"/>
      <c r="Y2520" s="10"/>
      <c r="Z2520" s="10"/>
      <c r="AA2520" s="10"/>
      <c r="AB2520" s="10"/>
      <c r="AC2520" s="10"/>
      <c r="AD2520" s="10"/>
      <c r="AE2520" s="10"/>
      <c r="AF2520" s="10"/>
    </row>
    <row r="2521">
      <c r="A2521" s="7"/>
      <c r="B2521" s="26">
        <v>208.0</v>
      </c>
      <c r="C2521" s="27">
        <v>11.0</v>
      </c>
      <c r="D2521" s="8" t="s">
        <v>3346</v>
      </c>
      <c r="E2521" s="7">
        <v>0.0</v>
      </c>
      <c r="F2521" s="7"/>
      <c r="G2521" s="7" t="s">
        <v>313</v>
      </c>
      <c r="H2521" s="7" t="s">
        <v>312</v>
      </c>
      <c r="I2521" s="10"/>
      <c r="J2521" s="11"/>
      <c r="K2521" s="12"/>
      <c r="L2521" s="12"/>
      <c r="M2521" s="10"/>
      <c r="N2521" s="10"/>
      <c r="O2521" s="10"/>
      <c r="P2521" s="10"/>
      <c r="Q2521" s="10"/>
      <c r="R2521" s="10"/>
      <c r="S2521" s="10"/>
      <c r="T2521" s="10"/>
      <c r="U2521" s="10"/>
      <c r="V2521" s="10"/>
      <c r="W2521" s="10"/>
      <c r="X2521" s="10"/>
      <c r="Y2521" s="10"/>
      <c r="Z2521" s="10"/>
      <c r="AA2521" s="10"/>
      <c r="AB2521" s="10"/>
      <c r="AC2521" s="10"/>
      <c r="AD2521" s="10"/>
      <c r="AE2521" s="10"/>
      <c r="AF2521" s="10"/>
    </row>
    <row r="2522">
      <c r="A2522" s="7"/>
      <c r="B2522" s="26">
        <v>208.0</v>
      </c>
      <c r="C2522" s="27">
        <v>12.0</v>
      </c>
      <c r="D2522" s="8" t="s">
        <v>3347</v>
      </c>
      <c r="E2522" s="7">
        <v>0.0</v>
      </c>
      <c r="F2522" s="7"/>
      <c r="G2522" s="7" t="s">
        <v>313</v>
      </c>
      <c r="H2522" s="7" t="s">
        <v>312</v>
      </c>
      <c r="I2522" s="10"/>
      <c r="J2522" s="11"/>
      <c r="K2522" s="12"/>
      <c r="L2522" s="12"/>
      <c r="M2522" s="10"/>
      <c r="N2522" s="10"/>
      <c r="O2522" s="10"/>
      <c r="P2522" s="10"/>
      <c r="Q2522" s="10"/>
      <c r="R2522" s="10"/>
      <c r="S2522" s="10"/>
      <c r="T2522" s="10"/>
      <c r="U2522" s="10"/>
      <c r="V2522" s="10"/>
      <c r="W2522" s="10"/>
      <c r="X2522" s="10"/>
      <c r="Y2522" s="10"/>
      <c r="Z2522" s="10"/>
      <c r="AA2522" s="10"/>
      <c r="AB2522" s="10"/>
      <c r="AC2522" s="10"/>
      <c r="AD2522" s="10"/>
      <c r="AE2522" s="10"/>
      <c r="AF2522" s="10"/>
    </row>
    <row r="2523">
      <c r="A2523" s="7"/>
      <c r="B2523" s="26">
        <v>208.0</v>
      </c>
      <c r="C2523" s="27">
        <v>13.0</v>
      </c>
      <c r="D2523" s="8" t="s">
        <v>3348</v>
      </c>
      <c r="E2523" s="7">
        <v>0.0</v>
      </c>
      <c r="F2523" s="7"/>
      <c r="G2523" s="7" t="s">
        <v>313</v>
      </c>
      <c r="H2523" s="7" t="s">
        <v>312</v>
      </c>
      <c r="I2523" s="10"/>
      <c r="J2523" s="11"/>
      <c r="K2523" s="12"/>
      <c r="L2523" s="12"/>
      <c r="M2523" s="10"/>
      <c r="N2523" s="10"/>
      <c r="O2523" s="10"/>
      <c r="P2523" s="10"/>
      <c r="Q2523" s="10"/>
      <c r="R2523" s="10"/>
      <c r="S2523" s="10"/>
      <c r="T2523" s="10"/>
      <c r="U2523" s="10"/>
      <c r="V2523" s="10"/>
      <c r="W2523" s="10"/>
      <c r="X2523" s="10"/>
      <c r="Y2523" s="10"/>
      <c r="Z2523" s="10"/>
      <c r="AA2523" s="10"/>
      <c r="AB2523" s="10"/>
      <c r="AC2523" s="10"/>
      <c r="AD2523" s="10"/>
      <c r="AE2523" s="10"/>
      <c r="AF2523" s="10"/>
    </row>
    <row r="2524">
      <c r="A2524" s="7"/>
      <c r="B2524" s="26">
        <v>208.0</v>
      </c>
      <c r="C2524" s="27">
        <v>14.0</v>
      </c>
      <c r="D2524" s="8" t="s">
        <v>3349</v>
      </c>
      <c r="E2524" s="7">
        <v>0.0</v>
      </c>
      <c r="F2524" s="7"/>
      <c r="G2524" s="7" t="s">
        <v>313</v>
      </c>
      <c r="H2524" s="7" t="s">
        <v>312</v>
      </c>
      <c r="I2524" s="10"/>
      <c r="J2524" s="11"/>
      <c r="K2524" s="12"/>
      <c r="L2524" s="12"/>
      <c r="M2524" s="10"/>
      <c r="N2524" s="10"/>
      <c r="O2524" s="10"/>
      <c r="P2524" s="10"/>
      <c r="Q2524" s="10"/>
      <c r="R2524" s="10"/>
      <c r="S2524" s="10"/>
      <c r="T2524" s="10"/>
      <c r="U2524" s="10"/>
      <c r="V2524" s="10"/>
      <c r="W2524" s="10"/>
      <c r="X2524" s="10"/>
      <c r="Y2524" s="10"/>
      <c r="Z2524" s="10"/>
      <c r="AA2524" s="10"/>
      <c r="AB2524" s="10"/>
      <c r="AC2524" s="10"/>
      <c r="AD2524" s="10"/>
      <c r="AE2524" s="10"/>
      <c r="AF2524" s="10"/>
    </row>
    <row r="2525">
      <c r="A2525" s="7"/>
      <c r="B2525" s="26">
        <v>208.0</v>
      </c>
      <c r="C2525" s="27">
        <v>15.0</v>
      </c>
      <c r="D2525" s="8" t="s">
        <v>3350</v>
      </c>
      <c r="E2525" s="7">
        <v>0.0</v>
      </c>
      <c r="F2525" s="7"/>
      <c r="G2525" s="7" t="s">
        <v>313</v>
      </c>
      <c r="H2525" s="7" t="s">
        <v>312</v>
      </c>
      <c r="I2525" s="7" t="s">
        <v>366</v>
      </c>
      <c r="J2525" s="16" t="s">
        <v>3351</v>
      </c>
      <c r="K2525" s="12"/>
      <c r="L2525" s="12"/>
      <c r="M2525" s="10"/>
      <c r="N2525" s="10"/>
      <c r="O2525" s="10"/>
      <c r="P2525" s="10"/>
      <c r="Q2525" s="10"/>
      <c r="R2525" s="10"/>
      <c r="S2525" s="10"/>
      <c r="T2525" s="10"/>
      <c r="U2525" s="10"/>
      <c r="V2525" s="10"/>
      <c r="W2525" s="10"/>
      <c r="X2525" s="10"/>
      <c r="Y2525" s="10"/>
      <c r="Z2525" s="10"/>
      <c r="AA2525" s="10"/>
      <c r="AB2525" s="10"/>
      <c r="AC2525" s="10"/>
      <c r="AD2525" s="10"/>
      <c r="AE2525" s="10"/>
      <c r="AF2525" s="10"/>
    </row>
    <row r="2526">
      <c r="A2526" s="7"/>
      <c r="B2526" s="26">
        <v>208.0</v>
      </c>
      <c r="C2526" s="27">
        <v>16.0</v>
      </c>
      <c r="D2526" s="8" t="s">
        <v>3352</v>
      </c>
      <c r="E2526" s="7">
        <v>0.0</v>
      </c>
      <c r="F2526" s="7"/>
      <c r="G2526" s="7" t="s">
        <v>313</v>
      </c>
      <c r="H2526" s="7" t="s">
        <v>312</v>
      </c>
      <c r="I2526" s="10"/>
      <c r="J2526" s="11"/>
      <c r="K2526" s="12"/>
      <c r="L2526" s="12"/>
      <c r="M2526" s="10"/>
      <c r="N2526" s="10"/>
      <c r="O2526" s="10"/>
      <c r="P2526" s="10"/>
      <c r="Q2526" s="10"/>
      <c r="R2526" s="10"/>
      <c r="S2526" s="10"/>
      <c r="T2526" s="10"/>
      <c r="U2526" s="10"/>
      <c r="V2526" s="10"/>
      <c r="W2526" s="10"/>
      <c r="X2526" s="10"/>
      <c r="Y2526" s="10"/>
      <c r="Z2526" s="10"/>
      <c r="AA2526" s="10"/>
      <c r="AB2526" s="10"/>
      <c r="AC2526" s="10"/>
      <c r="AD2526" s="10"/>
      <c r="AE2526" s="10"/>
      <c r="AF2526" s="10"/>
    </row>
    <row r="2527">
      <c r="A2527" s="7"/>
      <c r="B2527" s="26">
        <v>208.0</v>
      </c>
      <c r="C2527" s="27">
        <v>17.0</v>
      </c>
      <c r="D2527" s="8" t="s">
        <v>3353</v>
      </c>
      <c r="E2527" s="7">
        <v>0.0</v>
      </c>
      <c r="F2527" s="7"/>
      <c r="G2527" s="7" t="s">
        <v>313</v>
      </c>
      <c r="H2527" s="7" t="s">
        <v>312</v>
      </c>
      <c r="I2527" s="10"/>
      <c r="J2527" s="11"/>
      <c r="K2527" s="12"/>
      <c r="L2527" s="12"/>
      <c r="M2527" s="10"/>
      <c r="N2527" s="10"/>
      <c r="O2527" s="10"/>
      <c r="P2527" s="10"/>
      <c r="Q2527" s="10"/>
      <c r="R2527" s="10"/>
      <c r="S2527" s="10"/>
      <c r="T2527" s="10"/>
      <c r="U2527" s="10"/>
      <c r="V2527" s="10"/>
      <c r="W2527" s="10"/>
      <c r="X2527" s="10"/>
      <c r="Y2527" s="10"/>
      <c r="Z2527" s="10"/>
      <c r="AA2527" s="10"/>
      <c r="AB2527" s="10"/>
      <c r="AC2527" s="10"/>
      <c r="AD2527" s="10"/>
      <c r="AE2527" s="10"/>
      <c r="AF2527" s="10"/>
    </row>
    <row r="2528">
      <c r="A2528" s="7"/>
      <c r="B2528" s="26">
        <v>208.0</v>
      </c>
      <c r="C2528" s="27">
        <v>18.0</v>
      </c>
      <c r="D2528" s="8" t="s">
        <v>3354</v>
      </c>
      <c r="E2528" s="7">
        <v>0.0</v>
      </c>
      <c r="F2528" s="7"/>
      <c r="G2528" s="7" t="s">
        <v>313</v>
      </c>
      <c r="H2528" s="7" t="s">
        <v>312</v>
      </c>
      <c r="I2528" s="10"/>
      <c r="J2528" s="11"/>
      <c r="K2528" s="12"/>
      <c r="L2528" s="12"/>
      <c r="M2528" s="10"/>
      <c r="N2528" s="10"/>
      <c r="O2528" s="10"/>
      <c r="P2528" s="10"/>
      <c r="Q2528" s="10"/>
      <c r="R2528" s="10"/>
      <c r="S2528" s="10"/>
      <c r="T2528" s="10"/>
      <c r="U2528" s="10"/>
      <c r="V2528" s="10"/>
      <c r="W2528" s="10"/>
      <c r="X2528" s="10"/>
      <c r="Y2528" s="10"/>
      <c r="Z2528" s="10"/>
      <c r="AA2528" s="10"/>
      <c r="AB2528" s="10"/>
      <c r="AC2528" s="10"/>
      <c r="AD2528" s="10"/>
      <c r="AE2528" s="10"/>
      <c r="AF2528" s="10"/>
    </row>
    <row r="2529">
      <c r="A2529" s="7"/>
      <c r="B2529" s="26">
        <v>208.0</v>
      </c>
      <c r="C2529" s="27">
        <v>19.0</v>
      </c>
      <c r="D2529" s="8" t="s">
        <v>3355</v>
      </c>
      <c r="E2529" s="7">
        <v>0.0</v>
      </c>
      <c r="F2529" s="7"/>
      <c r="G2529" s="7" t="s">
        <v>313</v>
      </c>
      <c r="H2529" s="7" t="s">
        <v>312</v>
      </c>
      <c r="I2529" s="10"/>
      <c r="J2529" s="11"/>
      <c r="K2529" s="12"/>
      <c r="L2529" s="12"/>
      <c r="M2529" s="10"/>
      <c r="N2529" s="10"/>
      <c r="O2529" s="10"/>
      <c r="P2529" s="10"/>
      <c r="Q2529" s="10"/>
      <c r="R2529" s="10"/>
      <c r="S2529" s="10"/>
      <c r="T2529" s="10"/>
      <c r="U2529" s="10"/>
      <c r="V2529" s="10"/>
      <c r="W2529" s="10"/>
      <c r="X2529" s="10"/>
      <c r="Y2529" s="10"/>
      <c r="Z2529" s="10"/>
      <c r="AA2529" s="10"/>
      <c r="AB2529" s="10"/>
      <c r="AC2529" s="10"/>
      <c r="AD2529" s="10"/>
      <c r="AE2529" s="10"/>
      <c r="AF2529" s="10"/>
    </row>
    <row r="2530">
      <c r="A2530" s="7"/>
      <c r="B2530" s="26">
        <v>208.0</v>
      </c>
      <c r="C2530" s="27">
        <v>20.0</v>
      </c>
      <c r="D2530" s="8" t="s">
        <v>3356</v>
      </c>
      <c r="E2530" s="7">
        <v>0.0</v>
      </c>
      <c r="F2530" s="7"/>
      <c r="G2530" s="7" t="s">
        <v>313</v>
      </c>
      <c r="H2530" s="7" t="s">
        <v>312</v>
      </c>
      <c r="I2530" s="10"/>
      <c r="J2530" s="11"/>
      <c r="K2530" s="12"/>
      <c r="L2530" s="12"/>
      <c r="M2530" s="10"/>
      <c r="N2530" s="10"/>
      <c r="O2530" s="10"/>
      <c r="P2530" s="10"/>
      <c r="Q2530" s="10"/>
      <c r="R2530" s="10"/>
      <c r="S2530" s="10"/>
      <c r="T2530" s="10"/>
      <c r="U2530" s="10"/>
      <c r="V2530" s="10"/>
      <c r="W2530" s="10"/>
      <c r="X2530" s="10"/>
      <c r="Y2530" s="10"/>
      <c r="Z2530" s="10"/>
      <c r="AA2530" s="10"/>
      <c r="AB2530" s="10"/>
      <c r="AC2530" s="10"/>
      <c r="AD2530" s="10"/>
      <c r="AE2530" s="10"/>
      <c r="AF2530" s="10"/>
    </row>
    <row r="2531">
      <c r="A2531" s="7"/>
      <c r="B2531" s="26">
        <v>208.0</v>
      </c>
      <c r="C2531" s="27">
        <v>21.0</v>
      </c>
      <c r="D2531" s="8" t="s">
        <v>3357</v>
      </c>
      <c r="E2531" s="7">
        <v>0.0</v>
      </c>
      <c r="F2531" s="7"/>
      <c r="G2531" s="7" t="s">
        <v>313</v>
      </c>
      <c r="H2531" s="7" t="s">
        <v>312</v>
      </c>
      <c r="I2531" s="7" t="s">
        <v>366</v>
      </c>
      <c r="J2531" s="16" t="s">
        <v>3351</v>
      </c>
      <c r="K2531" s="12"/>
      <c r="L2531" s="12"/>
      <c r="M2531" s="10"/>
      <c r="N2531" s="10"/>
      <c r="O2531" s="10"/>
      <c r="P2531" s="10"/>
      <c r="Q2531" s="10"/>
      <c r="R2531" s="10"/>
      <c r="S2531" s="10"/>
      <c r="T2531" s="10"/>
      <c r="U2531" s="10"/>
      <c r="V2531" s="10"/>
      <c r="W2531" s="10"/>
      <c r="X2531" s="10"/>
      <c r="Y2531" s="10"/>
      <c r="Z2531" s="10"/>
      <c r="AA2531" s="10"/>
      <c r="AB2531" s="10"/>
      <c r="AC2531" s="10"/>
      <c r="AD2531" s="10"/>
      <c r="AE2531" s="10"/>
      <c r="AF2531" s="10"/>
    </row>
    <row r="2532">
      <c r="A2532" s="7"/>
      <c r="B2532" s="26">
        <v>208.0</v>
      </c>
      <c r="C2532" s="27">
        <v>22.0</v>
      </c>
      <c r="D2532" s="8" t="s">
        <v>3358</v>
      </c>
      <c r="E2532" s="7">
        <v>0.0</v>
      </c>
      <c r="F2532" s="7"/>
      <c r="G2532" s="7" t="s">
        <v>313</v>
      </c>
      <c r="H2532" s="7" t="s">
        <v>312</v>
      </c>
      <c r="I2532" s="10"/>
      <c r="J2532" s="11"/>
      <c r="K2532" s="12"/>
      <c r="L2532" s="12"/>
      <c r="M2532" s="10"/>
      <c r="N2532" s="10"/>
      <c r="O2532" s="10"/>
      <c r="P2532" s="10"/>
      <c r="Q2532" s="10"/>
      <c r="R2532" s="10"/>
      <c r="S2532" s="10"/>
      <c r="T2532" s="10"/>
      <c r="U2532" s="10"/>
      <c r="V2532" s="10"/>
      <c r="W2532" s="10"/>
      <c r="X2532" s="10"/>
      <c r="Y2532" s="10"/>
      <c r="Z2532" s="10"/>
      <c r="AA2532" s="10"/>
      <c r="AB2532" s="10"/>
      <c r="AC2532" s="10"/>
      <c r="AD2532" s="10"/>
      <c r="AE2532" s="10"/>
      <c r="AF2532" s="10"/>
    </row>
    <row r="2533">
      <c r="A2533" s="7"/>
      <c r="B2533" s="26">
        <v>208.0</v>
      </c>
      <c r="C2533" s="27">
        <v>23.0</v>
      </c>
      <c r="D2533" s="8" t="s">
        <v>3359</v>
      </c>
      <c r="E2533" s="7">
        <v>0.0</v>
      </c>
      <c r="F2533" s="7"/>
      <c r="G2533" s="7" t="s">
        <v>313</v>
      </c>
      <c r="H2533" s="7" t="s">
        <v>312</v>
      </c>
      <c r="I2533" s="10"/>
      <c r="J2533" s="11"/>
      <c r="K2533" s="12"/>
      <c r="L2533" s="12"/>
      <c r="M2533" s="10"/>
      <c r="N2533" s="10"/>
      <c r="O2533" s="10"/>
      <c r="P2533" s="10"/>
      <c r="Q2533" s="10"/>
      <c r="R2533" s="10"/>
      <c r="S2533" s="10"/>
      <c r="T2533" s="10"/>
      <c r="U2533" s="10"/>
      <c r="V2533" s="10"/>
      <c r="W2533" s="10"/>
      <c r="X2533" s="10"/>
      <c r="Y2533" s="10"/>
      <c r="Z2533" s="10"/>
      <c r="AA2533" s="10"/>
      <c r="AB2533" s="10"/>
      <c r="AC2533" s="10"/>
      <c r="AD2533" s="10"/>
      <c r="AE2533" s="10"/>
      <c r="AF2533" s="10"/>
    </row>
    <row r="2534">
      <c r="A2534" s="7"/>
      <c r="B2534" s="26">
        <v>208.0</v>
      </c>
      <c r="C2534" s="27">
        <v>24.0</v>
      </c>
      <c r="D2534" s="8" t="s">
        <v>3360</v>
      </c>
      <c r="E2534" s="7">
        <v>0.0</v>
      </c>
      <c r="F2534" s="7"/>
      <c r="G2534" s="7" t="s">
        <v>313</v>
      </c>
      <c r="H2534" s="7" t="s">
        <v>312</v>
      </c>
      <c r="I2534" s="10"/>
      <c r="J2534" s="11"/>
      <c r="K2534" s="12"/>
      <c r="L2534" s="12"/>
      <c r="M2534" s="10"/>
      <c r="N2534" s="10"/>
      <c r="O2534" s="10"/>
      <c r="P2534" s="10"/>
      <c r="Q2534" s="10"/>
      <c r="R2534" s="10"/>
      <c r="S2534" s="10"/>
      <c r="T2534" s="10"/>
      <c r="U2534" s="10"/>
      <c r="V2534" s="10"/>
      <c r="W2534" s="10"/>
      <c r="X2534" s="10"/>
      <c r="Y2534" s="10"/>
      <c r="Z2534" s="10"/>
      <c r="AA2534" s="10"/>
      <c r="AB2534" s="10"/>
      <c r="AC2534" s="10"/>
      <c r="AD2534" s="10"/>
      <c r="AE2534" s="10"/>
      <c r="AF2534" s="10"/>
    </row>
    <row r="2535">
      <c r="A2535" s="7"/>
      <c r="B2535" s="26">
        <v>208.0</v>
      </c>
      <c r="C2535" s="27">
        <v>25.0</v>
      </c>
      <c r="D2535" s="8" t="s">
        <v>3361</v>
      </c>
      <c r="E2535" s="7">
        <v>0.0</v>
      </c>
      <c r="F2535" s="7"/>
      <c r="G2535" s="7" t="s">
        <v>313</v>
      </c>
      <c r="H2535" s="7" t="s">
        <v>312</v>
      </c>
      <c r="I2535" s="10"/>
      <c r="J2535" s="11"/>
      <c r="K2535" s="12"/>
      <c r="L2535" s="12"/>
      <c r="M2535" s="10"/>
      <c r="N2535" s="10"/>
      <c r="O2535" s="10"/>
      <c r="P2535" s="10"/>
      <c r="Q2535" s="10"/>
      <c r="R2535" s="10"/>
      <c r="S2535" s="10"/>
      <c r="T2535" s="10"/>
      <c r="U2535" s="10"/>
      <c r="V2535" s="10"/>
      <c r="W2535" s="10"/>
      <c r="X2535" s="10"/>
      <c r="Y2535" s="10"/>
      <c r="Z2535" s="10"/>
      <c r="AA2535" s="10"/>
      <c r="AB2535" s="10"/>
      <c r="AC2535" s="10"/>
      <c r="AD2535" s="10"/>
      <c r="AE2535" s="10"/>
      <c r="AF2535" s="10"/>
    </row>
    <row r="2536">
      <c r="A2536" s="7"/>
      <c r="B2536" s="26">
        <v>208.0</v>
      </c>
      <c r="C2536" s="27">
        <v>26.0</v>
      </c>
      <c r="D2536" s="8" t="s">
        <v>3362</v>
      </c>
      <c r="E2536" s="7">
        <v>0.0</v>
      </c>
      <c r="F2536" s="7"/>
      <c r="G2536" s="7" t="s">
        <v>313</v>
      </c>
      <c r="H2536" s="7" t="s">
        <v>312</v>
      </c>
      <c r="I2536" s="7" t="s">
        <v>366</v>
      </c>
      <c r="J2536" s="16" t="s">
        <v>3363</v>
      </c>
      <c r="K2536" s="12"/>
      <c r="L2536" s="12"/>
      <c r="M2536" s="10"/>
      <c r="N2536" s="10"/>
      <c r="O2536" s="10"/>
      <c r="P2536" s="10"/>
      <c r="Q2536" s="10"/>
      <c r="R2536" s="10"/>
      <c r="S2536" s="10"/>
      <c r="T2536" s="10"/>
      <c r="U2536" s="10"/>
      <c r="V2536" s="10"/>
      <c r="W2536" s="10"/>
      <c r="X2536" s="10"/>
      <c r="Y2536" s="10"/>
      <c r="Z2536" s="10"/>
      <c r="AA2536" s="10"/>
      <c r="AB2536" s="10"/>
      <c r="AC2536" s="10"/>
      <c r="AD2536" s="10"/>
      <c r="AE2536" s="10"/>
      <c r="AF2536" s="10"/>
    </row>
    <row r="2537">
      <c r="A2537" s="7"/>
      <c r="B2537" s="26">
        <v>208.0</v>
      </c>
      <c r="C2537" s="27">
        <v>27.0</v>
      </c>
      <c r="D2537" s="8" t="s">
        <v>3364</v>
      </c>
      <c r="E2537" s="7">
        <v>0.0</v>
      </c>
      <c r="F2537" s="7"/>
      <c r="G2537" s="7" t="s">
        <v>313</v>
      </c>
      <c r="H2537" s="7" t="s">
        <v>312</v>
      </c>
      <c r="I2537" s="2" t="s">
        <v>366</v>
      </c>
      <c r="J2537" s="16" t="s">
        <v>3365</v>
      </c>
      <c r="K2537" s="20" t="s">
        <v>2764</v>
      </c>
      <c r="L2537" s="12"/>
      <c r="M2537" s="10"/>
      <c r="N2537" s="10"/>
      <c r="O2537" s="10"/>
      <c r="P2537" s="10"/>
      <c r="Q2537" s="10"/>
      <c r="R2537" s="10"/>
      <c r="S2537" s="10"/>
      <c r="T2537" s="10"/>
      <c r="U2537" s="10"/>
      <c r="V2537" s="10"/>
      <c r="W2537" s="10"/>
      <c r="X2537" s="10"/>
      <c r="Y2537" s="10"/>
      <c r="Z2537" s="10"/>
      <c r="AA2537" s="10"/>
      <c r="AB2537" s="10"/>
      <c r="AC2537" s="10"/>
      <c r="AD2537" s="10"/>
      <c r="AE2537" s="10"/>
      <c r="AF2537" s="10"/>
    </row>
    <row r="2538">
      <c r="A2538" s="7"/>
      <c r="B2538" s="26">
        <v>208.0</v>
      </c>
      <c r="C2538" s="27">
        <v>28.0</v>
      </c>
      <c r="D2538" s="8" t="s">
        <v>3366</v>
      </c>
      <c r="E2538" s="7">
        <v>0.0</v>
      </c>
      <c r="F2538" s="7"/>
      <c r="G2538" s="7" t="s">
        <v>313</v>
      </c>
      <c r="H2538" s="7" t="s">
        <v>312</v>
      </c>
      <c r="I2538" s="2" t="s">
        <v>366</v>
      </c>
      <c r="J2538" s="16" t="s">
        <v>3365</v>
      </c>
      <c r="K2538" s="20" t="s">
        <v>2764</v>
      </c>
      <c r="L2538" s="12"/>
      <c r="M2538" s="10"/>
      <c r="N2538" s="10"/>
      <c r="O2538" s="10"/>
      <c r="P2538" s="10"/>
      <c r="Q2538" s="10"/>
      <c r="R2538" s="10"/>
      <c r="S2538" s="10"/>
      <c r="T2538" s="10"/>
      <c r="U2538" s="10"/>
      <c r="V2538" s="10"/>
      <c r="W2538" s="10"/>
      <c r="X2538" s="10"/>
      <c r="Y2538" s="10"/>
      <c r="Z2538" s="10"/>
      <c r="AA2538" s="10"/>
      <c r="AB2538" s="10"/>
      <c r="AC2538" s="10"/>
      <c r="AD2538" s="10"/>
      <c r="AE2538" s="10"/>
      <c r="AF2538" s="10"/>
    </row>
    <row r="2539">
      <c r="A2539" s="7"/>
      <c r="B2539" s="26">
        <v>208.0</v>
      </c>
      <c r="C2539" s="27">
        <v>29.0</v>
      </c>
      <c r="D2539" s="8" t="s">
        <v>3367</v>
      </c>
      <c r="E2539" s="7">
        <v>0.0</v>
      </c>
      <c r="F2539" s="7"/>
      <c r="G2539" s="7" t="s">
        <v>313</v>
      </c>
      <c r="H2539" s="7" t="s">
        <v>312</v>
      </c>
      <c r="I2539" s="7" t="s">
        <v>366</v>
      </c>
      <c r="J2539" s="16" t="s">
        <v>3368</v>
      </c>
      <c r="K2539" s="20" t="s">
        <v>3100</v>
      </c>
      <c r="L2539" s="12"/>
      <c r="M2539" s="10"/>
      <c r="N2539" s="10"/>
      <c r="O2539" s="10"/>
      <c r="P2539" s="10"/>
      <c r="Q2539" s="10"/>
      <c r="R2539" s="10"/>
      <c r="S2539" s="10"/>
      <c r="T2539" s="10"/>
      <c r="U2539" s="10"/>
      <c r="V2539" s="10"/>
      <c r="W2539" s="10"/>
      <c r="X2539" s="10"/>
      <c r="Y2539" s="10"/>
      <c r="Z2539" s="10"/>
      <c r="AA2539" s="10"/>
      <c r="AB2539" s="10"/>
      <c r="AC2539" s="10"/>
      <c r="AD2539" s="10"/>
      <c r="AE2539" s="10"/>
      <c r="AF2539" s="10"/>
    </row>
    <row r="2540">
      <c r="A2540" s="7"/>
      <c r="B2540" s="26">
        <v>208.0</v>
      </c>
      <c r="C2540" s="27">
        <v>30.0</v>
      </c>
      <c r="D2540" s="8" t="s">
        <v>3369</v>
      </c>
      <c r="E2540" s="7">
        <v>0.0</v>
      </c>
      <c r="F2540" s="7"/>
      <c r="G2540" s="7" t="s">
        <v>313</v>
      </c>
      <c r="H2540" s="7" t="s">
        <v>312</v>
      </c>
      <c r="I2540" s="10"/>
      <c r="J2540" s="11"/>
      <c r="K2540" s="12"/>
      <c r="L2540" s="12"/>
      <c r="M2540" s="10"/>
      <c r="N2540" s="10"/>
      <c r="O2540" s="10"/>
      <c r="P2540" s="10"/>
      <c r="Q2540" s="10"/>
      <c r="R2540" s="10"/>
      <c r="S2540" s="10"/>
      <c r="T2540" s="10"/>
      <c r="U2540" s="10"/>
      <c r="V2540" s="10"/>
      <c r="W2540" s="10"/>
      <c r="X2540" s="10"/>
      <c r="Y2540" s="10"/>
      <c r="Z2540" s="10"/>
      <c r="AA2540" s="10"/>
      <c r="AB2540" s="10"/>
      <c r="AC2540" s="10"/>
      <c r="AD2540" s="10"/>
      <c r="AE2540" s="10"/>
      <c r="AF2540" s="10"/>
    </row>
    <row r="2541">
      <c r="A2541" s="7"/>
      <c r="B2541" s="26">
        <v>208.0</v>
      </c>
      <c r="C2541" s="27">
        <v>31.0</v>
      </c>
      <c r="D2541" s="8" t="s">
        <v>3370</v>
      </c>
      <c r="E2541" s="7">
        <v>0.0</v>
      </c>
      <c r="F2541" s="7"/>
      <c r="G2541" s="7" t="s">
        <v>313</v>
      </c>
      <c r="H2541" s="7" t="s">
        <v>312</v>
      </c>
      <c r="I2541" s="2" t="s">
        <v>366</v>
      </c>
      <c r="J2541" s="16" t="s">
        <v>3365</v>
      </c>
      <c r="K2541" s="20" t="s">
        <v>2764</v>
      </c>
      <c r="L2541" s="12"/>
      <c r="M2541" s="10"/>
      <c r="N2541" s="10"/>
      <c r="O2541" s="10"/>
      <c r="P2541" s="10"/>
      <c r="Q2541" s="10"/>
      <c r="R2541" s="10"/>
      <c r="S2541" s="10"/>
      <c r="T2541" s="10"/>
      <c r="U2541" s="10"/>
      <c r="V2541" s="10"/>
      <c r="W2541" s="10"/>
      <c r="X2541" s="10"/>
      <c r="Y2541" s="10"/>
      <c r="Z2541" s="10"/>
      <c r="AA2541" s="10"/>
      <c r="AB2541" s="10"/>
      <c r="AC2541" s="10"/>
      <c r="AD2541" s="10"/>
      <c r="AE2541" s="10"/>
      <c r="AF2541" s="10"/>
    </row>
    <row r="2542">
      <c r="A2542" s="7"/>
      <c r="B2542" s="26">
        <v>208.0</v>
      </c>
      <c r="C2542" s="27">
        <v>32.0</v>
      </c>
      <c r="D2542" s="8" t="s">
        <v>3371</v>
      </c>
      <c r="E2542" s="7">
        <v>0.0</v>
      </c>
      <c r="F2542" s="7"/>
      <c r="G2542" s="7" t="s">
        <v>313</v>
      </c>
      <c r="H2542" s="7" t="s">
        <v>312</v>
      </c>
      <c r="I2542" s="10"/>
      <c r="J2542" s="11"/>
      <c r="K2542" s="12"/>
      <c r="L2542" s="12"/>
      <c r="M2542" s="10"/>
      <c r="N2542" s="10"/>
      <c r="O2542" s="10"/>
      <c r="P2542" s="10"/>
      <c r="Q2542" s="10"/>
      <c r="R2542" s="10"/>
      <c r="S2542" s="10"/>
      <c r="T2542" s="10"/>
      <c r="U2542" s="10"/>
      <c r="V2542" s="10"/>
      <c r="W2542" s="10"/>
      <c r="X2542" s="10"/>
      <c r="Y2542" s="10"/>
      <c r="Z2542" s="10"/>
      <c r="AA2542" s="10"/>
      <c r="AB2542" s="10"/>
      <c r="AC2542" s="10"/>
      <c r="AD2542" s="10"/>
      <c r="AE2542" s="10"/>
      <c r="AF2542" s="10"/>
    </row>
    <row r="2543">
      <c r="A2543" s="7"/>
      <c r="B2543" s="26">
        <v>208.0</v>
      </c>
      <c r="C2543" s="27">
        <v>33.0</v>
      </c>
      <c r="D2543" s="8" t="s">
        <v>3372</v>
      </c>
      <c r="E2543" s="7">
        <v>1.0</v>
      </c>
      <c r="F2543" s="7"/>
      <c r="G2543" s="7" t="s">
        <v>313</v>
      </c>
      <c r="H2543" s="7" t="s">
        <v>312</v>
      </c>
      <c r="I2543" s="7" t="s">
        <v>366</v>
      </c>
      <c r="J2543" s="16" t="s">
        <v>3373</v>
      </c>
      <c r="K2543" s="12"/>
      <c r="L2543" s="12"/>
      <c r="M2543" s="10"/>
      <c r="N2543" s="10"/>
      <c r="O2543" s="10"/>
      <c r="P2543" s="10"/>
      <c r="Q2543" s="10"/>
      <c r="R2543" s="10"/>
      <c r="S2543" s="10"/>
      <c r="T2543" s="10"/>
      <c r="U2543" s="10"/>
      <c r="V2543" s="10"/>
      <c r="W2543" s="10"/>
      <c r="X2543" s="10"/>
      <c r="Y2543" s="10"/>
      <c r="Z2543" s="10"/>
      <c r="AA2543" s="10"/>
      <c r="AB2543" s="10"/>
      <c r="AC2543" s="10"/>
      <c r="AD2543" s="10"/>
      <c r="AE2543" s="10"/>
      <c r="AF2543" s="10"/>
    </row>
    <row r="2544">
      <c r="A2544" s="7"/>
      <c r="B2544" s="26">
        <v>208.0</v>
      </c>
      <c r="C2544" s="27">
        <v>34.0</v>
      </c>
      <c r="D2544" s="8" t="s">
        <v>3374</v>
      </c>
      <c r="E2544" s="7">
        <v>0.0</v>
      </c>
      <c r="F2544" s="7"/>
      <c r="G2544" s="7" t="s">
        <v>313</v>
      </c>
      <c r="H2544" s="7" t="s">
        <v>312</v>
      </c>
      <c r="I2544" s="7" t="s">
        <v>366</v>
      </c>
      <c r="J2544" s="16" t="s">
        <v>3368</v>
      </c>
      <c r="K2544" s="12"/>
      <c r="L2544" s="12"/>
      <c r="M2544" s="10"/>
      <c r="N2544" s="10"/>
      <c r="O2544" s="10"/>
      <c r="P2544" s="10"/>
      <c r="Q2544" s="10"/>
      <c r="R2544" s="10"/>
      <c r="S2544" s="10"/>
      <c r="T2544" s="10"/>
      <c r="U2544" s="10"/>
      <c r="V2544" s="10"/>
      <c r="W2544" s="10"/>
      <c r="X2544" s="10"/>
      <c r="Y2544" s="10"/>
      <c r="Z2544" s="10"/>
      <c r="AA2544" s="10"/>
      <c r="AB2544" s="10"/>
      <c r="AC2544" s="10"/>
      <c r="AD2544" s="10"/>
      <c r="AE2544" s="10"/>
      <c r="AF2544" s="10"/>
    </row>
    <row r="2545">
      <c r="A2545" s="7"/>
      <c r="B2545" s="26">
        <v>208.0</v>
      </c>
      <c r="C2545" s="27">
        <v>35.0</v>
      </c>
      <c r="D2545" s="8" t="s">
        <v>3375</v>
      </c>
      <c r="E2545" s="7">
        <v>0.0</v>
      </c>
      <c r="F2545" s="7"/>
      <c r="G2545" s="7" t="s">
        <v>313</v>
      </c>
      <c r="H2545" s="7" t="s">
        <v>312</v>
      </c>
      <c r="I2545" s="10"/>
      <c r="J2545" s="11"/>
      <c r="K2545" s="12"/>
      <c r="L2545" s="12"/>
      <c r="M2545" s="10"/>
      <c r="N2545" s="10"/>
      <c r="O2545" s="10"/>
      <c r="P2545" s="10"/>
      <c r="Q2545" s="10"/>
      <c r="R2545" s="10"/>
      <c r="S2545" s="10"/>
      <c r="T2545" s="10"/>
      <c r="U2545" s="10"/>
      <c r="V2545" s="10"/>
      <c r="W2545" s="10"/>
      <c r="X2545" s="10"/>
      <c r="Y2545" s="10"/>
      <c r="Z2545" s="10"/>
      <c r="AA2545" s="10"/>
      <c r="AB2545" s="10"/>
      <c r="AC2545" s="10"/>
      <c r="AD2545" s="10"/>
      <c r="AE2545" s="10"/>
      <c r="AF2545" s="10"/>
    </row>
    <row r="2546">
      <c r="A2546" s="7"/>
      <c r="B2546" s="26">
        <v>208.0</v>
      </c>
      <c r="C2546" s="27">
        <v>36.0</v>
      </c>
      <c r="D2546" s="8" t="s">
        <v>3376</v>
      </c>
      <c r="E2546" s="7">
        <v>1.0</v>
      </c>
      <c r="F2546" s="7"/>
      <c r="G2546" s="7" t="s">
        <v>313</v>
      </c>
      <c r="H2546" s="7" t="s">
        <v>312</v>
      </c>
      <c r="I2546" s="10"/>
      <c r="J2546" s="11"/>
      <c r="K2546" s="20" t="s">
        <v>3377</v>
      </c>
      <c r="L2546" s="12"/>
      <c r="M2546" s="10"/>
      <c r="N2546" s="10"/>
      <c r="O2546" s="10"/>
      <c r="P2546" s="10"/>
      <c r="Q2546" s="10"/>
      <c r="R2546" s="10"/>
      <c r="S2546" s="10"/>
      <c r="T2546" s="10"/>
      <c r="U2546" s="10"/>
      <c r="V2546" s="10"/>
      <c r="W2546" s="10"/>
      <c r="X2546" s="10"/>
      <c r="Y2546" s="10"/>
      <c r="Z2546" s="10"/>
      <c r="AA2546" s="10"/>
      <c r="AB2546" s="10"/>
      <c r="AC2546" s="10"/>
      <c r="AD2546" s="10"/>
      <c r="AE2546" s="10"/>
      <c r="AF2546" s="10"/>
    </row>
    <row r="2547">
      <c r="A2547" s="21" t="s">
        <v>209</v>
      </c>
      <c r="B2547" s="12"/>
      <c r="C2547" s="12"/>
      <c r="D2547" s="12"/>
      <c r="E2547" s="10"/>
      <c r="F2547" s="10"/>
      <c r="G2547" s="10"/>
      <c r="H2547" s="10"/>
      <c r="I2547" s="10"/>
      <c r="J2547" s="11"/>
      <c r="K2547" s="12"/>
      <c r="L2547" s="12"/>
      <c r="M2547" s="10"/>
      <c r="N2547" s="10"/>
      <c r="O2547" s="10"/>
      <c r="P2547" s="10"/>
      <c r="Q2547" s="10"/>
      <c r="R2547" s="10"/>
      <c r="S2547" s="10"/>
      <c r="T2547" s="10"/>
      <c r="U2547" s="10"/>
      <c r="V2547" s="10"/>
      <c r="W2547" s="10"/>
      <c r="X2547" s="10"/>
      <c r="Y2547" s="10"/>
      <c r="Z2547" s="10"/>
      <c r="AA2547" s="10"/>
      <c r="AB2547" s="10"/>
      <c r="AC2547" s="10"/>
      <c r="AD2547" s="10"/>
      <c r="AE2547" s="10"/>
      <c r="AF2547" s="10"/>
    </row>
    <row r="2548">
      <c r="A2548" s="7"/>
      <c r="B2548" s="26">
        <v>209.0</v>
      </c>
      <c r="C2548" s="27">
        <v>1.0</v>
      </c>
      <c r="D2548" s="8" t="s">
        <v>3378</v>
      </c>
      <c r="E2548" s="7">
        <v>3.0</v>
      </c>
      <c r="F2548" s="7"/>
      <c r="G2548" s="7" t="s">
        <v>313</v>
      </c>
      <c r="H2548" s="7" t="s">
        <v>312</v>
      </c>
      <c r="I2548" s="10"/>
      <c r="J2548" s="9"/>
      <c r="K2548" s="12"/>
      <c r="L2548" s="12"/>
      <c r="M2548" s="10"/>
      <c r="N2548" s="10"/>
      <c r="O2548" s="10"/>
      <c r="P2548" s="10"/>
      <c r="Q2548" s="10"/>
      <c r="R2548" s="10"/>
      <c r="S2548" s="10"/>
      <c r="T2548" s="10"/>
      <c r="U2548" s="10"/>
      <c r="V2548" s="10"/>
      <c r="W2548" s="10"/>
      <c r="X2548" s="10"/>
      <c r="Y2548" s="10"/>
      <c r="Z2548" s="10"/>
      <c r="AA2548" s="10"/>
      <c r="AB2548" s="10"/>
      <c r="AC2548" s="10"/>
      <c r="AD2548" s="10"/>
      <c r="AE2548" s="10"/>
      <c r="AF2548" s="10"/>
    </row>
    <row r="2549">
      <c r="A2549" s="7"/>
      <c r="B2549" s="26">
        <v>209.0</v>
      </c>
      <c r="C2549" s="27">
        <v>2.0</v>
      </c>
      <c r="D2549" s="8" t="s">
        <v>3379</v>
      </c>
      <c r="E2549" s="7">
        <v>0.0</v>
      </c>
      <c r="F2549" s="7"/>
      <c r="G2549" s="7" t="s">
        <v>313</v>
      </c>
      <c r="H2549" s="7" t="s">
        <v>312</v>
      </c>
      <c r="I2549" s="10"/>
      <c r="J2549" s="11"/>
      <c r="K2549" s="12"/>
      <c r="L2549" s="12"/>
      <c r="M2549" s="10"/>
      <c r="N2549" s="10"/>
      <c r="O2549" s="10"/>
      <c r="P2549" s="10"/>
      <c r="Q2549" s="10"/>
      <c r="R2549" s="10"/>
      <c r="S2549" s="10"/>
      <c r="T2549" s="10"/>
      <c r="U2549" s="10"/>
      <c r="V2549" s="10"/>
      <c r="W2549" s="10"/>
      <c r="X2549" s="10"/>
      <c r="Y2549" s="10"/>
      <c r="Z2549" s="10"/>
      <c r="AA2549" s="10"/>
      <c r="AB2549" s="10"/>
      <c r="AC2549" s="10"/>
      <c r="AD2549" s="10"/>
      <c r="AE2549" s="10"/>
      <c r="AF2549" s="10"/>
    </row>
    <row r="2550">
      <c r="A2550" s="7"/>
      <c r="B2550" s="26">
        <v>209.0</v>
      </c>
      <c r="C2550" s="27">
        <v>3.0</v>
      </c>
      <c r="D2550" s="8" t="s">
        <v>3380</v>
      </c>
      <c r="E2550" s="7">
        <v>0.0</v>
      </c>
      <c r="F2550" s="7"/>
      <c r="G2550" s="7" t="s">
        <v>313</v>
      </c>
      <c r="H2550" s="7" t="s">
        <v>312</v>
      </c>
      <c r="I2550" s="10"/>
      <c r="J2550" s="11"/>
      <c r="K2550" s="12"/>
      <c r="L2550" s="12"/>
      <c r="M2550" s="10"/>
      <c r="N2550" s="10"/>
      <c r="O2550" s="10"/>
      <c r="P2550" s="10"/>
      <c r="Q2550" s="10"/>
      <c r="R2550" s="10"/>
      <c r="S2550" s="10"/>
      <c r="T2550" s="10"/>
      <c r="U2550" s="10"/>
      <c r="V2550" s="10"/>
      <c r="W2550" s="10"/>
      <c r="X2550" s="10"/>
      <c r="Y2550" s="10"/>
      <c r="Z2550" s="10"/>
      <c r="AA2550" s="10"/>
      <c r="AB2550" s="10"/>
      <c r="AC2550" s="10"/>
      <c r="AD2550" s="10"/>
      <c r="AE2550" s="10"/>
      <c r="AF2550" s="10"/>
    </row>
    <row r="2551">
      <c r="A2551" s="21" t="s">
        <v>210</v>
      </c>
      <c r="B2551" s="12"/>
      <c r="C2551" s="12"/>
      <c r="D2551" s="12"/>
      <c r="E2551" s="10"/>
      <c r="F2551" s="10"/>
      <c r="G2551" s="10"/>
      <c r="H2551" s="10"/>
      <c r="I2551" s="10"/>
      <c r="J2551" s="11"/>
      <c r="K2551" s="12"/>
      <c r="L2551" s="12"/>
      <c r="M2551" s="10"/>
      <c r="N2551" s="10"/>
      <c r="O2551" s="10"/>
      <c r="P2551" s="10"/>
      <c r="Q2551" s="10"/>
      <c r="R2551" s="10"/>
      <c r="S2551" s="10"/>
      <c r="T2551" s="10"/>
      <c r="U2551" s="10"/>
      <c r="V2551" s="10"/>
      <c r="W2551" s="10"/>
      <c r="X2551" s="10"/>
      <c r="Y2551" s="10"/>
      <c r="Z2551" s="10"/>
      <c r="AA2551" s="10"/>
      <c r="AB2551" s="10"/>
      <c r="AC2551" s="10"/>
      <c r="AD2551" s="10"/>
      <c r="AE2551" s="10"/>
      <c r="AF2551" s="10"/>
    </row>
    <row r="2552">
      <c r="A2552" s="7"/>
      <c r="B2552" s="26">
        <v>210.0</v>
      </c>
      <c r="C2552" s="27">
        <v>1.0</v>
      </c>
      <c r="D2552" s="8" t="s">
        <v>3381</v>
      </c>
      <c r="E2552" s="7">
        <v>2.0</v>
      </c>
      <c r="F2552" s="7" t="s">
        <v>320</v>
      </c>
      <c r="G2552" s="10"/>
      <c r="H2552" s="7" t="s">
        <v>312</v>
      </c>
      <c r="I2552" s="10"/>
      <c r="J2552" s="9" t="s">
        <v>3382</v>
      </c>
      <c r="K2552" s="8" t="s">
        <v>3383</v>
      </c>
      <c r="L2552" s="12"/>
      <c r="M2552" s="10"/>
      <c r="N2552" s="10"/>
      <c r="O2552" s="10"/>
      <c r="P2552" s="10"/>
      <c r="Q2552" s="10"/>
      <c r="R2552" s="10"/>
      <c r="S2552" s="10"/>
      <c r="T2552" s="10"/>
      <c r="U2552" s="10"/>
      <c r="V2552" s="10"/>
      <c r="W2552" s="10"/>
      <c r="X2552" s="10"/>
      <c r="Y2552" s="10"/>
      <c r="Z2552" s="10"/>
      <c r="AA2552" s="10"/>
      <c r="AB2552" s="10"/>
      <c r="AC2552" s="10"/>
      <c r="AD2552" s="10"/>
      <c r="AE2552" s="10"/>
      <c r="AF2552" s="10"/>
    </row>
    <row r="2553">
      <c r="A2553" s="7"/>
      <c r="B2553" s="26">
        <v>210.0</v>
      </c>
      <c r="C2553" s="27">
        <v>2.0</v>
      </c>
      <c r="D2553" s="8" t="s">
        <v>3384</v>
      </c>
      <c r="E2553" s="7">
        <v>0.0</v>
      </c>
      <c r="F2553" s="7"/>
      <c r="G2553" s="7" t="s">
        <v>313</v>
      </c>
      <c r="H2553" s="7" t="s">
        <v>312</v>
      </c>
      <c r="I2553" s="10"/>
      <c r="J2553" s="9" t="s">
        <v>3385</v>
      </c>
      <c r="K2553" s="12"/>
      <c r="L2553" s="15" t="s">
        <v>3386</v>
      </c>
      <c r="M2553" s="10"/>
      <c r="N2553" s="10"/>
      <c r="O2553" s="10"/>
      <c r="P2553" s="10"/>
      <c r="Q2553" s="10"/>
      <c r="R2553" s="10"/>
      <c r="S2553" s="10"/>
      <c r="T2553" s="10"/>
      <c r="U2553" s="10"/>
      <c r="V2553" s="10"/>
      <c r="W2553" s="10"/>
      <c r="X2553" s="10"/>
      <c r="Y2553" s="10"/>
      <c r="Z2553" s="10"/>
      <c r="AA2553" s="10"/>
      <c r="AB2553" s="10"/>
      <c r="AC2553" s="10"/>
      <c r="AD2553" s="10"/>
      <c r="AE2553" s="10"/>
      <c r="AF2553" s="10"/>
    </row>
    <row r="2554">
      <c r="A2554" s="7"/>
      <c r="B2554" s="26">
        <v>210.0</v>
      </c>
      <c r="C2554" s="27">
        <v>3.0</v>
      </c>
      <c r="D2554" s="8" t="s">
        <v>3387</v>
      </c>
      <c r="E2554" s="7">
        <v>0.0</v>
      </c>
      <c r="F2554" s="7"/>
      <c r="G2554" s="7" t="s">
        <v>313</v>
      </c>
      <c r="H2554" s="7" t="s">
        <v>312</v>
      </c>
      <c r="I2554" s="10"/>
      <c r="J2554" s="11"/>
      <c r="K2554" s="20" t="s">
        <v>3388</v>
      </c>
      <c r="L2554" s="12"/>
      <c r="M2554" s="10"/>
      <c r="N2554" s="10"/>
      <c r="O2554" s="10"/>
      <c r="P2554" s="10"/>
      <c r="Q2554" s="10"/>
      <c r="R2554" s="10"/>
      <c r="S2554" s="10"/>
      <c r="T2554" s="10"/>
      <c r="U2554" s="10"/>
      <c r="V2554" s="10"/>
      <c r="W2554" s="10"/>
      <c r="X2554" s="10"/>
      <c r="Y2554" s="10"/>
      <c r="Z2554" s="10"/>
      <c r="AA2554" s="10"/>
      <c r="AB2554" s="10"/>
      <c r="AC2554" s="10"/>
      <c r="AD2554" s="10"/>
      <c r="AE2554" s="10"/>
      <c r="AF2554" s="10"/>
    </row>
    <row r="2555">
      <c r="A2555" s="7"/>
      <c r="B2555" s="26">
        <v>210.0</v>
      </c>
      <c r="C2555" s="27">
        <v>4.0</v>
      </c>
      <c r="D2555" s="8" t="s">
        <v>3389</v>
      </c>
      <c r="E2555" s="7">
        <v>0.0</v>
      </c>
      <c r="F2555" s="7"/>
      <c r="G2555" s="7" t="s">
        <v>313</v>
      </c>
      <c r="H2555" s="7" t="s">
        <v>312</v>
      </c>
      <c r="I2555" s="10"/>
      <c r="J2555" s="11"/>
      <c r="K2555" s="20" t="s">
        <v>3390</v>
      </c>
      <c r="L2555" s="12"/>
      <c r="M2555" s="10"/>
      <c r="N2555" s="10"/>
      <c r="O2555" s="10"/>
      <c r="P2555" s="10"/>
      <c r="Q2555" s="10"/>
      <c r="R2555" s="10"/>
      <c r="S2555" s="10"/>
      <c r="T2555" s="10"/>
      <c r="U2555" s="10"/>
      <c r="V2555" s="10"/>
      <c r="W2555" s="10"/>
      <c r="X2555" s="10"/>
      <c r="Y2555" s="10"/>
      <c r="Z2555" s="10"/>
      <c r="AA2555" s="10"/>
      <c r="AB2555" s="10"/>
      <c r="AC2555" s="10"/>
      <c r="AD2555" s="10"/>
      <c r="AE2555" s="10"/>
      <c r="AF2555" s="10"/>
    </row>
    <row r="2556">
      <c r="A2556" s="7"/>
      <c r="B2556" s="26">
        <v>210.0</v>
      </c>
      <c r="C2556" s="27">
        <v>5.0</v>
      </c>
      <c r="D2556" s="8" t="s">
        <v>3391</v>
      </c>
      <c r="E2556" s="7">
        <v>0.0</v>
      </c>
      <c r="F2556" s="7"/>
      <c r="G2556" s="7" t="s">
        <v>313</v>
      </c>
      <c r="H2556" s="7" t="s">
        <v>312</v>
      </c>
      <c r="I2556" s="10"/>
      <c r="J2556" s="11"/>
      <c r="K2556" s="12"/>
      <c r="L2556" s="15" t="s">
        <v>3386</v>
      </c>
      <c r="M2556" s="10"/>
      <c r="N2556" s="10"/>
      <c r="O2556" s="10"/>
      <c r="P2556" s="10"/>
      <c r="Q2556" s="10"/>
      <c r="R2556" s="10"/>
      <c r="S2556" s="10"/>
      <c r="T2556" s="10"/>
      <c r="U2556" s="10"/>
      <c r="V2556" s="10"/>
      <c r="W2556" s="10"/>
      <c r="X2556" s="10"/>
      <c r="Y2556" s="10"/>
      <c r="Z2556" s="10"/>
      <c r="AA2556" s="10"/>
      <c r="AB2556" s="10"/>
      <c r="AC2556" s="10"/>
      <c r="AD2556" s="10"/>
      <c r="AE2556" s="10"/>
      <c r="AF2556" s="10"/>
    </row>
    <row r="2557">
      <c r="A2557" s="7"/>
      <c r="B2557" s="26">
        <v>210.0</v>
      </c>
      <c r="C2557" s="27">
        <v>6.0</v>
      </c>
      <c r="D2557" s="8" t="s">
        <v>3392</v>
      </c>
      <c r="E2557" s="7">
        <v>0.0</v>
      </c>
      <c r="F2557" s="7"/>
      <c r="G2557" s="7" t="s">
        <v>313</v>
      </c>
      <c r="H2557" s="7" t="s">
        <v>312</v>
      </c>
      <c r="I2557" s="10"/>
      <c r="J2557" s="11"/>
      <c r="K2557" s="12"/>
      <c r="L2557" s="15" t="s">
        <v>3386</v>
      </c>
      <c r="M2557" s="10"/>
      <c r="N2557" s="10"/>
      <c r="O2557" s="10"/>
      <c r="P2557" s="10"/>
      <c r="Q2557" s="10"/>
      <c r="R2557" s="10"/>
      <c r="S2557" s="10"/>
      <c r="T2557" s="10"/>
      <c r="U2557" s="10"/>
      <c r="V2557" s="10"/>
      <c r="W2557" s="10"/>
      <c r="X2557" s="10"/>
      <c r="Y2557" s="10"/>
      <c r="Z2557" s="10"/>
      <c r="AA2557" s="10"/>
      <c r="AB2557" s="10"/>
      <c r="AC2557" s="10"/>
      <c r="AD2557" s="10"/>
      <c r="AE2557" s="10"/>
      <c r="AF2557" s="10"/>
    </row>
    <row r="2558">
      <c r="A2558" s="7"/>
      <c r="B2558" s="26">
        <v>210.0</v>
      </c>
      <c r="C2558" s="27">
        <v>7.0</v>
      </c>
      <c r="D2558" s="8" t="s">
        <v>3393</v>
      </c>
      <c r="E2558" s="7">
        <v>0.0</v>
      </c>
      <c r="F2558" s="7"/>
      <c r="G2558" s="7" t="s">
        <v>313</v>
      </c>
      <c r="H2558" s="7" t="s">
        <v>312</v>
      </c>
      <c r="I2558" s="10"/>
      <c r="J2558" s="11"/>
      <c r="K2558" s="20" t="s">
        <v>3388</v>
      </c>
      <c r="L2558" s="12"/>
      <c r="M2558" s="10"/>
      <c r="N2558" s="10"/>
      <c r="O2558" s="10"/>
      <c r="P2558" s="10"/>
      <c r="Q2558" s="10"/>
      <c r="R2558" s="10"/>
      <c r="S2558" s="10"/>
      <c r="T2558" s="10"/>
      <c r="U2558" s="10"/>
      <c r="V2558" s="10"/>
      <c r="W2558" s="10"/>
      <c r="X2558" s="10"/>
      <c r="Y2558" s="10"/>
      <c r="Z2558" s="10"/>
      <c r="AA2558" s="10"/>
      <c r="AB2558" s="10"/>
      <c r="AC2558" s="10"/>
      <c r="AD2558" s="10"/>
      <c r="AE2558" s="10"/>
      <c r="AF2558" s="10"/>
    </row>
    <row r="2559">
      <c r="A2559" s="7"/>
      <c r="B2559" s="26">
        <v>210.0</v>
      </c>
      <c r="C2559" s="27">
        <v>8.0</v>
      </c>
      <c r="D2559" s="8" t="s">
        <v>3394</v>
      </c>
      <c r="E2559" s="7">
        <v>0.0</v>
      </c>
      <c r="F2559" s="7"/>
      <c r="G2559" s="7" t="s">
        <v>313</v>
      </c>
      <c r="H2559" s="7" t="s">
        <v>312</v>
      </c>
      <c r="I2559" s="10"/>
      <c r="J2559" s="11"/>
      <c r="K2559" s="20" t="s">
        <v>3390</v>
      </c>
      <c r="L2559" s="12"/>
      <c r="M2559" s="10"/>
      <c r="N2559" s="10"/>
      <c r="O2559" s="10"/>
      <c r="P2559" s="10"/>
      <c r="Q2559" s="10"/>
      <c r="R2559" s="10"/>
      <c r="S2559" s="10"/>
      <c r="T2559" s="10"/>
      <c r="U2559" s="10"/>
      <c r="V2559" s="10"/>
      <c r="W2559" s="10"/>
      <c r="X2559" s="10"/>
      <c r="Y2559" s="10"/>
      <c r="Z2559" s="10"/>
      <c r="AA2559" s="10"/>
      <c r="AB2559" s="10"/>
      <c r="AC2559" s="10"/>
      <c r="AD2559" s="10"/>
      <c r="AE2559" s="10"/>
      <c r="AF2559" s="10"/>
    </row>
    <row r="2560">
      <c r="A2560" s="7"/>
      <c r="B2560" s="26">
        <v>210.0</v>
      </c>
      <c r="C2560" s="27">
        <v>9.0</v>
      </c>
      <c r="D2560" s="8" t="s">
        <v>3395</v>
      </c>
      <c r="E2560" s="7">
        <v>0.0</v>
      </c>
      <c r="F2560" s="7"/>
      <c r="G2560" s="7" t="s">
        <v>313</v>
      </c>
      <c r="H2560" s="7" t="s">
        <v>312</v>
      </c>
      <c r="I2560" s="10"/>
      <c r="J2560" s="11"/>
      <c r="K2560" s="12"/>
      <c r="L2560" s="15" t="s">
        <v>3386</v>
      </c>
      <c r="M2560" s="10"/>
      <c r="N2560" s="10"/>
      <c r="O2560" s="10"/>
      <c r="P2560" s="10"/>
      <c r="Q2560" s="10"/>
      <c r="R2560" s="10"/>
      <c r="S2560" s="10"/>
      <c r="T2560" s="10"/>
      <c r="U2560" s="10"/>
      <c r="V2560" s="10"/>
      <c r="W2560" s="10"/>
      <c r="X2560" s="10"/>
      <c r="Y2560" s="10"/>
      <c r="Z2560" s="10"/>
      <c r="AA2560" s="10"/>
      <c r="AB2560" s="10"/>
      <c r="AC2560" s="10"/>
      <c r="AD2560" s="10"/>
      <c r="AE2560" s="10"/>
      <c r="AF2560" s="10"/>
    </row>
    <row r="2561">
      <c r="A2561" s="7"/>
      <c r="B2561" s="26">
        <v>210.0</v>
      </c>
      <c r="C2561" s="27">
        <v>10.0</v>
      </c>
      <c r="D2561" s="8" t="s">
        <v>3396</v>
      </c>
      <c r="E2561" s="7">
        <v>3.0</v>
      </c>
      <c r="F2561" s="7"/>
      <c r="G2561" s="7" t="s">
        <v>313</v>
      </c>
      <c r="H2561" s="7" t="s">
        <v>312</v>
      </c>
      <c r="I2561" s="7" t="s">
        <v>366</v>
      </c>
      <c r="J2561" s="20" t="s">
        <v>3397</v>
      </c>
      <c r="K2561" s="20" t="s">
        <v>3388</v>
      </c>
      <c r="L2561" s="15" t="s">
        <v>3386</v>
      </c>
      <c r="M2561" s="10"/>
      <c r="N2561" s="10"/>
      <c r="O2561" s="10"/>
      <c r="P2561" s="10"/>
      <c r="Q2561" s="10"/>
      <c r="R2561" s="10"/>
      <c r="S2561" s="10"/>
      <c r="T2561" s="10"/>
      <c r="U2561" s="10"/>
      <c r="V2561" s="10"/>
      <c r="W2561" s="10"/>
      <c r="X2561" s="10"/>
      <c r="Y2561" s="10"/>
      <c r="Z2561" s="10"/>
      <c r="AA2561" s="10"/>
      <c r="AB2561" s="10"/>
      <c r="AC2561" s="10"/>
      <c r="AD2561" s="10"/>
      <c r="AE2561" s="10"/>
      <c r="AF2561" s="10"/>
    </row>
    <row r="2562">
      <c r="A2562" s="7"/>
      <c r="B2562" s="26">
        <v>210.0</v>
      </c>
      <c r="C2562" s="27">
        <v>11.0</v>
      </c>
      <c r="D2562" s="8" t="s">
        <v>3398</v>
      </c>
      <c r="E2562" s="7">
        <v>0.0</v>
      </c>
      <c r="F2562" s="7"/>
      <c r="G2562" s="7" t="s">
        <v>313</v>
      </c>
      <c r="H2562" s="7" t="s">
        <v>312</v>
      </c>
      <c r="I2562" s="10"/>
      <c r="J2562" s="11"/>
      <c r="K2562" s="20" t="s">
        <v>3390</v>
      </c>
      <c r="L2562" s="12"/>
      <c r="M2562" s="10"/>
      <c r="N2562" s="10"/>
      <c r="O2562" s="10"/>
      <c r="P2562" s="10"/>
      <c r="Q2562" s="10"/>
      <c r="R2562" s="10"/>
      <c r="S2562" s="10"/>
      <c r="T2562" s="10"/>
      <c r="U2562" s="10"/>
      <c r="V2562" s="10"/>
      <c r="W2562" s="10"/>
      <c r="X2562" s="10"/>
      <c r="Y2562" s="10"/>
      <c r="Z2562" s="10"/>
      <c r="AA2562" s="10"/>
      <c r="AB2562" s="10"/>
      <c r="AC2562" s="10"/>
      <c r="AD2562" s="10"/>
      <c r="AE2562" s="10"/>
      <c r="AF2562" s="10"/>
    </row>
    <row r="2563">
      <c r="A2563" s="7"/>
      <c r="B2563" s="26">
        <v>210.0</v>
      </c>
      <c r="C2563" s="27">
        <v>12.0</v>
      </c>
      <c r="D2563" s="8" t="s">
        <v>3399</v>
      </c>
      <c r="E2563" s="7">
        <v>0.0</v>
      </c>
      <c r="F2563" s="7"/>
      <c r="G2563" s="7" t="s">
        <v>313</v>
      </c>
      <c r="H2563" s="7" t="s">
        <v>312</v>
      </c>
      <c r="I2563" s="10"/>
      <c r="J2563" s="11"/>
      <c r="K2563" s="12"/>
      <c r="L2563" s="12"/>
      <c r="M2563" s="10"/>
      <c r="N2563" s="10"/>
      <c r="O2563" s="10"/>
      <c r="P2563" s="10"/>
      <c r="Q2563" s="10"/>
      <c r="R2563" s="10"/>
      <c r="S2563" s="10"/>
      <c r="T2563" s="10"/>
      <c r="U2563" s="10"/>
      <c r="V2563" s="10"/>
      <c r="W2563" s="10"/>
      <c r="X2563" s="10"/>
      <c r="Y2563" s="10"/>
      <c r="Z2563" s="10"/>
      <c r="AA2563" s="10"/>
      <c r="AB2563" s="10"/>
      <c r="AC2563" s="10"/>
      <c r="AD2563" s="10"/>
      <c r="AE2563" s="10"/>
      <c r="AF2563" s="10"/>
    </row>
    <row r="2564">
      <c r="A2564" s="7"/>
      <c r="B2564" s="26">
        <v>210.0</v>
      </c>
      <c r="C2564" s="27">
        <v>13.0</v>
      </c>
      <c r="D2564" s="8" t="s">
        <v>3400</v>
      </c>
      <c r="E2564" s="7">
        <v>0.0</v>
      </c>
      <c r="F2564" s="7"/>
      <c r="G2564" s="7" t="s">
        <v>313</v>
      </c>
      <c r="H2564" s="7" t="s">
        <v>312</v>
      </c>
      <c r="I2564" s="10"/>
      <c r="J2564" s="11"/>
      <c r="K2564" s="20" t="s">
        <v>3401</v>
      </c>
      <c r="L2564" s="12"/>
      <c r="M2564" s="10"/>
      <c r="N2564" s="10"/>
      <c r="O2564" s="10"/>
      <c r="P2564" s="10"/>
      <c r="Q2564" s="10"/>
      <c r="R2564" s="10"/>
      <c r="S2564" s="10"/>
      <c r="T2564" s="10"/>
      <c r="U2564" s="10"/>
      <c r="V2564" s="10"/>
      <c r="W2564" s="10"/>
      <c r="X2564" s="10"/>
      <c r="Y2564" s="10"/>
      <c r="Z2564" s="10"/>
      <c r="AA2564" s="10"/>
      <c r="AB2564" s="10"/>
      <c r="AC2564" s="10"/>
      <c r="AD2564" s="10"/>
      <c r="AE2564" s="10"/>
      <c r="AF2564" s="10"/>
    </row>
    <row r="2565">
      <c r="A2565" s="7"/>
      <c r="B2565" s="26">
        <v>210.0</v>
      </c>
      <c r="C2565" s="27">
        <v>14.0</v>
      </c>
      <c r="D2565" s="8" t="s">
        <v>3402</v>
      </c>
      <c r="E2565" s="7">
        <v>0.0</v>
      </c>
      <c r="F2565" s="7"/>
      <c r="G2565" s="7" t="s">
        <v>313</v>
      </c>
      <c r="H2565" s="7" t="s">
        <v>312</v>
      </c>
      <c r="I2565" s="10"/>
      <c r="J2565" s="11"/>
      <c r="K2565" s="12"/>
      <c r="L2565" s="12"/>
      <c r="M2565" s="10"/>
      <c r="N2565" s="10"/>
      <c r="O2565" s="10"/>
      <c r="P2565" s="10"/>
      <c r="Q2565" s="10"/>
      <c r="R2565" s="10"/>
      <c r="S2565" s="10"/>
      <c r="T2565" s="10"/>
      <c r="U2565" s="10"/>
      <c r="V2565" s="10"/>
      <c r="W2565" s="10"/>
      <c r="X2565" s="10"/>
      <c r="Y2565" s="10"/>
      <c r="Z2565" s="10"/>
      <c r="AA2565" s="10"/>
      <c r="AB2565" s="10"/>
      <c r="AC2565" s="10"/>
      <c r="AD2565" s="10"/>
      <c r="AE2565" s="10"/>
      <c r="AF2565" s="10"/>
    </row>
    <row r="2566">
      <c r="A2566" s="7"/>
      <c r="B2566" s="26">
        <v>210.0</v>
      </c>
      <c r="C2566" s="27">
        <v>15.0</v>
      </c>
      <c r="D2566" s="8" t="s">
        <v>3403</v>
      </c>
      <c r="E2566" s="7">
        <v>0.0</v>
      </c>
      <c r="F2566" s="7"/>
      <c r="G2566" s="7" t="s">
        <v>313</v>
      </c>
      <c r="H2566" s="7" t="s">
        <v>312</v>
      </c>
      <c r="I2566" s="10"/>
      <c r="J2566" s="11"/>
      <c r="K2566" s="12"/>
      <c r="L2566" s="12"/>
      <c r="M2566" s="10"/>
      <c r="N2566" s="10"/>
      <c r="O2566" s="10"/>
      <c r="P2566" s="10"/>
      <c r="Q2566" s="10"/>
      <c r="R2566" s="10"/>
      <c r="S2566" s="10"/>
      <c r="T2566" s="10"/>
      <c r="U2566" s="10"/>
      <c r="V2566" s="10"/>
      <c r="W2566" s="10"/>
      <c r="X2566" s="10"/>
      <c r="Y2566" s="10"/>
      <c r="Z2566" s="10"/>
      <c r="AA2566" s="10"/>
      <c r="AB2566" s="10"/>
      <c r="AC2566" s="10"/>
      <c r="AD2566" s="10"/>
      <c r="AE2566" s="10"/>
      <c r="AF2566" s="10"/>
    </row>
    <row r="2567">
      <c r="A2567" s="21" t="s">
        <v>211</v>
      </c>
      <c r="B2567" s="12"/>
      <c r="C2567" s="12"/>
      <c r="D2567" s="12"/>
      <c r="E2567" s="10"/>
      <c r="F2567" s="10"/>
      <c r="G2567" s="10"/>
      <c r="H2567" s="10"/>
      <c r="I2567" s="10"/>
      <c r="J2567" s="11"/>
      <c r="K2567" s="12"/>
      <c r="L2567" s="12"/>
      <c r="M2567" s="10"/>
      <c r="N2567" s="10"/>
      <c r="O2567" s="10"/>
      <c r="P2567" s="10"/>
      <c r="Q2567" s="10"/>
      <c r="R2567" s="10"/>
      <c r="S2567" s="10"/>
      <c r="T2567" s="10"/>
      <c r="U2567" s="10"/>
      <c r="V2567" s="10"/>
      <c r="W2567" s="10"/>
      <c r="X2567" s="10"/>
      <c r="Y2567" s="10"/>
      <c r="Z2567" s="10"/>
      <c r="AA2567" s="10"/>
      <c r="AB2567" s="10"/>
      <c r="AC2567" s="10"/>
      <c r="AD2567" s="10"/>
      <c r="AE2567" s="10"/>
      <c r="AF2567" s="10"/>
    </row>
    <row r="2568">
      <c r="A2568" s="7"/>
      <c r="B2568" s="26">
        <v>211.0</v>
      </c>
      <c r="C2568" s="27">
        <v>1.0</v>
      </c>
      <c r="D2568" s="8" t="s">
        <v>3404</v>
      </c>
      <c r="E2568" s="7">
        <v>3.0</v>
      </c>
      <c r="F2568" s="7" t="s">
        <v>320</v>
      </c>
      <c r="G2568" s="7" t="s">
        <v>313</v>
      </c>
      <c r="H2568" s="7" t="s">
        <v>312</v>
      </c>
      <c r="I2568" s="7" t="s">
        <v>320</v>
      </c>
      <c r="J2568" s="9" t="s">
        <v>3405</v>
      </c>
      <c r="K2568" s="12"/>
      <c r="L2568" s="12"/>
      <c r="M2568" s="10"/>
      <c r="N2568" s="10"/>
      <c r="O2568" s="10"/>
      <c r="P2568" s="10"/>
      <c r="Q2568" s="10"/>
      <c r="R2568" s="10"/>
      <c r="S2568" s="10"/>
      <c r="T2568" s="10"/>
      <c r="U2568" s="10"/>
      <c r="V2568" s="10"/>
      <c r="W2568" s="10"/>
      <c r="X2568" s="10"/>
      <c r="Y2568" s="10"/>
      <c r="Z2568" s="10"/>
      <c r="AA2568" s="10"/>
      <c r="AB2568" s="10"/>
      <c r="AC2568" s="10"/>
      <c r="AD2568" s="10"/>
      <c r="AE2568" s="10"/>
      <c r="AF2568" s="10"/>
    </row>
    <row r="2569">
      <c r="A2569" s="7"/>
      <c r="B2569" s="26">
        <v>211.0</v>
      </c>
      <c r="C2569" s="27">
        <v>2.0</v>
      </c>
      <c r="D2569" s="8" t="s">
        <v>3406</v>
      </c>
      <c r="E2569" s="7">
        <v>0.0</v>
      </c>
      <c r="F2569" s="7"/>
      <c r="G2569" s="7" t="s">
        <v>313</v>
      </c>
      <c r="H2569" s="7" t="s">
        <v>312</v>
      </c>
      <c r="I2569" s="10"/>
      <c r="J2569" s="11"/>
      <c r="K2569" s="12"/>
      <c r="L2569" s="12"/>
      <c r="M2569" s="10"/>
      <c r="N2569" s="10"/>
      <c r="O2569" s="10"/>
      <c r="P2569" s="10"/>
      <c r="Q2569" s="10"/>
      <c r="R2569" s="10"/>
      <c r="S2569" s="10"/>
      <c r="T2569" s="10"/>
      <c r="U2569" s="10"/>
      <c r="V2569" s="10"/>
      <c r="W2569" s="10"/>
      <c r="X2569" s="10"/>
      <c r="Y2569" s="10"/>
      <c r="Z2569" s="10"/>
      <c r="AA2569" s="10"/>
      <c r="AB2569" s="10"/>
      <c r="AC2569" s="10"/>
      <c r="AD2569" s="10"/>
      <c r="AE2569" s="10"/>
      <c r="AF2569" s="10"/>
    </row>
    <row r="2570">
      <c r="A2570" s="7"/>
      <c r="B2570" s="26">
        <v>211.0</v>
      </c>
      <c r="C2570" s="27">
        <v>3.0</v>
      </c>
      <c r="D2570" s="8" t="s">
        <v>3407</v>
      </c>
      <c r="E2570" s="7">
        <v>3.0</v>
      </c>
      <c r="F2570" s="7" t="s">
        <v>320</v>
      </c>
      <c r="G2570" s="7" t="s">
        <v>313</v>
      </c>
      <c r="H2570" s="7" t="s">
        <v>312</v>
      </c>
      <c r="I2570" s="7" t="s">
        <v>366</v>
      </c>
      <c r="J2570" s="9" t="s">
        <v>3408</v>
      </c>
      <c r="K2570" s="12"/>
      <c r="L2570" s="12"/>
      <c r="M2570" s="10"/>
      <c r="N2570" s="10"/>
      <c r="O2570" s="10"/>
      <c r="P2570" s="10"/>
      <c r="Q2570" s="10"/>
      <c r="R2570" s="10"/>
      <c r="S2570" s="10"/>
      <c r="T2570" s="10"/>
      <c r="U2570" s="10"/>
      <c r="V2570" s="10"/>
      <c r="W2570" s="10"/>
      <c r="X2570" s="10"/>
      <c r="Y2570" s="10"/>
      <c r="Z2570" s="10"/>
      <c r="AA2570" s="10"/>
      <c r="AB2570" s="10"/>
      <c r="AC2570" s="10"/>
      <c r="AD2570" s="10"/>
      <c r="AE2570" s="10"/>
      <c r="AF2570" s="10"/>
    </row>
    <row r="2571">
      <c r="A2571" s="21" t="s">
        <v>212</v>
      </c>
      <c r="B2571" s="12"/>
      <c r="C2571" s="12"/>
      <c r="D2571" s="12"/>
      <c r="E2571" s="10"/>
      <c r="F2571" s="10"/>
      <c r="G2571" s="10"/>
      <c r="H2571" s="10"/>
      <c r="I2571" s="10"/>
      <c r="J2571" s="11"/>
      <c r="K2571" s="12"/>
      <c r="L2571" s="12"/>
      <c r="M2571" s="10"/>
      <c r="N2571" s="10"/>
      <c r="O2571" s="10"/>
      <c r="P2571" s="10"/>
      <c r="Q2571" s="10"/>
      <c r="R2571" s="10"/>
      <c r="S2571" s="10"/>
      <c r="T2571" s="10"/>
      <c r="U2571" s="10"/>
      <c r="V2571" s="10"/>
      <c r="W2571" s="10"/>
      <c r="X2571" s="10"/>
      <c r="Y2571" s="10"/>
      <c r="Z2571" s="10"/>
      <c r="AA2571" s="10"/>
      <c r="AB2571" s="10"/>
      <c r="AC2571" s="10"/>
      <c r="AD2571" s="10"/>
      <c r="AE2571" s="10"/>
      <c r="AF2571" s="10"/>
    </row>
    <row r="2572">
      <c r="A2572" s="7"/>
      <c r="B2572" s="26">
        <v>212.0</v>
      </c>
      <c r="C2572" s="27">
        <v>1.0</v>
      </c>
      <c r="D2572" s="8" t="s">
        <v>3409</v>
      </c>
      <c r="E2572" s="7">
        <v>3.0</v>
      </c>
      <c r="F2572" s="7"/>
      <c r="G2572" s="7" t="s">
        <v>313</v>
      </c>
      <c r="H2572" s="7" t="s">
        <v>312</v>
      </c>
      <c r="I2572" s="10"/>
      <c r="J2572" s="9" t="s">
        <v>3410</v>
      </c>
      <c r="K2572" s="20" t="s">
        <v>3411</v>
      </c>
      <c r="L2572" s="12"/>
      <c r="M2572" s="10"/>
      <c r="N2572" s="10"/>
      <c r="O2572" s="10"/>
      <c r="P2572" s="10"/>
      <c r="Q2572" s="10"/>
      <c r="R2572" s="10"/>
      <c r="S2572" s="10"/>
      <c r="T2572" s="10"/>
      <c r="U2572" s="10"/>
      <c r="V2572" s="10"/>
      <c r="W2572" s="10"/>
      <c r="X2572" s="10"/>
      <c r="Y2572" s="10"/>
      <c r="Z2572" s="10"/>
      <c r="AA2572" s="10"/>
      <c r="AB2572" s="10"/>
      <c r="AC2572" s="10"/>
      <c r="AD2572" s="10"/>
      <c r="AE2572" s="10"/>
      <c r="AF2572" s="10"/>
    </row>
    <row r="2573">
      <c r="A2573" s="7"/>
      <c r="B2573" s="26">
        <v>212.0</v>
      </c>
      <c r="C2573" s="27">
        <v>2.0</v>
      </c>
      <c r="D2573" s="8" t="s">
        <v>3412</v>
      </c>
      <c r="E2573" s="7">
        <v>3.0</v>
      </c>
      <c r="F2573" s="7"/>
      <c r="G2573" s="7" t="s">
        <v>313</v>
      </c>
      <c r="H2573" s="7" t="s">
        <v>312</v>
      </c>
      <c r="I2573" s="10"/>
      <c r="J2573" s="9" t="s">
        <v>3413</v>
      </c>
      <c r="K2573" s="20" t="s">
        <v>3411</v>
      </c>
      <c r="L2573" s="15" t="s">
        <v>3414</v>
      </c>
      <c r="M2573" s="10"/>
      <c r="N2573" s="10"/>
      <c r="O2573" s="10"/>
      <c r="P2573" s="10"/>
      <c r="Q2573" s="10"/>
      <c r="R2573" s="10"/>
      <c r="S2573" s="10"/>
      <c r="T2573" s="10"/>
      <c r="U2573" s="10"/>
      <c r="V2573" s="10"/>
      <c r="W2573" s="10"/>
      <c r="X2573" s="10"/>
      <c r="Y2573" s="10"/>
      <c r="Z2573" s="10"/>
      <c r="AA2573" s="10"/>
      <c r="AB2573" s="10"/>
      <c r="AC2573" s="10"/>
      <c r="AD2573" s="10"/>
      <c r="AE2573" s="10"/>
      <c r="AF2573" s="10"/>
    </row>
    <row r="2574">
      <c r="A2574" s="7"/>
      <c r="B2574" s="26">
        <v>212.0</v>
      </c>
      <c r="C2574" s="27">
        <v>3.0</v>
      </c>
      <c r="D2574" s="8" t="s">
        <v>3415</v>
      </c>
      <c r="E2574" s="7">
        <v>0.0</v>
      </c>
      <c r="F2574" s="7"/>
      <c r="G2574" s="7" t="s">
        <v>313</v>
      </c>
      <c r="H2574" s="7" t="s">
        <v>312</v>
      </c>
      <c r="I2574" s="10"/>
      <c r="J2574" s="9" t="s">
        <v>3416</v>
      </c>
      <c r="K2574" s="12"/>
      <c r="L2574" s="12"/>
      <c r="M2574" s="10"/>
      <c r="N2574" s="10"/>
      <c r="O2574" s="10"/>
      <c r="P2574" s="10"/>
      <c r="Q2574" s="10"/>
      <c r="R2574" s="10"/>
      <c r="S2574" s="10"/>
      <c r="T2574" s="10"/>
      <c r="U2574" s="10"/>
      <c r="V2574" s="10"/>
      <c r="W2574" s="10"/>
      <c r="X2574" s="10"/>
      <c r="Y2574" s="10"/>
      <c r="Z2574" s="10"/>
      <c r="AA2574" s="10"/>
      <c r="AB2574" s="10"/>
      <c r="AC2574" s="10"/>
      <c r="AD2574" s="10"/>
      <c r="AE2574" s="10"/>
      <c r="AF2574" s="10"/>
    </row>
    <row r="2575">
      <c r="A2575" s="7"/>
      <c r="B2575" s="26">
        <v>212.0</v>
      </c>
      <c r="C2575" s="27">
        <v>4.0</v>
      </c>
      <c r="D2575" s="8" t="s">
        <v>3417</v>
      </c>
      <c r="E2575" s="7">
        <v>0.0</v>
      </c>
      <c r="F2575" s="7"/>
      <c r="G2575" s="7" t="s">
        <v>313</v>
      </c>
      <c r="H2575" s="7" t="s">
        <v>312</v>
      </c>
      <c r="I2575" s="10"/>
      <c r="J2575" s="11"/>
      <c r="K2575" s="12"/>
      <c r="L2575" s="12"/>
      <c r="M2575" s="10"/>
      <c r="N2575" s="10"/>
      <c r="O2575" s="10"/>
      <c r="P2575" s="10"/>
      <c r="Q2575" s="10"/>
      <c r="R2575" s="10"/>
      <c r="S2575" s="10"/>
      <c r="T2575" s="10"/>
      <c r="U2575" s="10"/>
      <c r="V2575" s="10"/>
      <c r="W2575" s="10"/>
      <c r="X2575" s="10"/>
      <c r="Y2575" s="10"/>
      <c r="Z2575" s="10"/>
      <c r="AA2575" s="10"/>
      <c r="AB2575" s="10"/>
      <c r="AC2575" s="10"/>
      <c r="AD2575" s="10"/>
      <c r="AE2575" s="10"/>
      <c r="AF2575" s="10"/>
    </row>
    <row r="2576">
      <c r="A2576" s="7"/>
      <c r="B2576" s="26">
        <v>212.0</v>
      </c>
      <c r="C2576" s="27">
        <v>5.0</v>
      </c>
      <c r="D2576" s="8" t="s">
        <v>3418</v>
      </c>
      <c r="E2576" s="7">
        <v>3.0</v>
      </c>
      <c r="F2576" s="7"/>
      <c r="G2576" s="7" t="s">
        <v>313</v>
      </c>
      <c r="H2576" s="7" t="s">
        <v>312</v>
      </c>
      <c r="I2576" s="10"/>
      <c r="J2576" s="11"/>
      <c r="K2576" s="20" t="s">
        <v>3411</v>
      </c>
      <c r="L2576" s="12"/>
      <c r="M2576" s="10"/>
      <c r="N2576" s="10"/>
      <c r="O2576" s="10"/>
      <c r="P2576" s="10"/>
      <c r="Q2576" s="10"/>
      <c r="R2576" s="10"/>
      <c r="S2576" s="10"/>
      <c r="T2576" s="10"/>
      <c r="U2576" s="10"/>
      <c r="V2576" s="10"/>
      <c r="W2576" s="10"/>
      <c r="X2576" s="10"/>
      <c r="Y2576" s="10"/>
      <c r="Z2576" s="10"/>
      <c r="AA2576" s="10"/>
      <c r="AB2576" s="10"/>
      <c r="AC2576" s="10"/>
      <c r="AD2576" s="10"/>
      <c r="AE2576" s="10"/>
      <c r="AF2576" s="10"/>
    </row>
    <row r="2577">
      <c r="A2577" s="7"/>
      <c r="B2577" s="26">
        <v>212.0</v>
      </c>
      <c r="C2577" s="27">
        <v>6.0</v>
      </c>
      <c r="D2577" s="8" t="s">
        <v>3419</v>
      </c>
      <c r="E2577" s="7">
        <v>3.0</v>
      </c>
      <c r="F2577" s="7"/>
      <c r="G2577" s="7" t="s">
        <v>313</v>
      </c>
      <c r="H2577" s="7" t="s">
        <v>312</v>
      </c>
      <c r="I2577" s="10"/>
      <c r="J2577" s="11"/>
      <c r="K2577" s="20" t="s">
        <v>3411</v>
      </c>
      <c r="L2577" s="15" t="s">
        <v>3414</v>
      </c>
      <c r="M2577" s="10"/>
      <c r="N2577" s="10"/>
      <c r="O2577" s="10"/>
      <c r="P2577" s="10"/>
      <c r="Q2577" s="10"/>
      <c r="R2577" s="10"/>
      <c r="S2577" s="10"/>
      <c r="T2577" s="10"/>
      <c r="U2577" s="10"/>
      <c r="V2577" s="10"/>
      <c r="W2577" s="10"/>
      <c r="X2577" s="10"/>
      <c r="Y2577" s="10"/>
      <c r="Z2577" s="10"/>
      <c r="AA2577" s="10"/>
      <c r="AB2577" s="10"/>
      <c r="AC2577" s="10"/>
      <c r="AD2577" s="10"/>
      <c r="AE2577" s="10"/>
      <c r="AF2577" s="10"/>
    </row>
    <row r="2578">
      <c r="A2578" s="21" t="s">
        <v>213</v>
      </c>
      <c r="B2578" s="12"/>
      <c r="C2578" s="12"/>
      <c r="D2578" s="12"/>
      <c r="E2578" s="10"/>
      <c r="F2578" s="10"/>
      <c r="G2578" s="10"/>
      <c r="H2578" s="10"/>
      <c r="I2578" s="10"/>
      <c r="J2578" s="11"/>
      <c r="K2578" s="12"/>
      <c r="L2578" s="12"/>
      <c r="M2578" s="10"/>
      <c r="N2578" s="10"/>
      <c r="O2578" s="10"/>
      <c r="P2578" s="10"/>
      <c r="Q2578" s="10"/>
      <c r="R2578" s="10"/>
      <c r="S2578" s="10"/>
      <c r="T2578" s="10"/>
      <c r="U2578" s="10"/>
      <c r="V2578" s="10"/>
      <c r="W2578" s="10"/>
      <c r="X2578" s="10"/>
      <c r="Y2578" s="10"/>
      <c r="Z2578" s="10"/>
      <c r="AA2578" s="10"/>
      <c r="AB2578" s="10"/>
      <c r="AC2578" s="10"/>
      <c r="AD2578" s="10"/>
      <c r="AE2578" s="10"/>
      <c r="AF2578" s="10"/>
    </row>
    <row r="2579">
      <c r="A2579" s="7"/>
      <c r="B2579" s="26">
        <v>213.0</v>
      </c>
      <c r="C2579" s="27">
        <v>1.0</v>
      </c>
      <c r="D2579" s="8" t="s">
        <v>3420</v>
      </c>
      <c r="E2579" s="7">
        <v>0.0</v>
      </c>
      <c r="F2579" s="7"/>
      <c r="G2579" s="7" t="s">
        <v>313</v>
      </c>
      <c r="H2579" s="7" t="s">
        <v>312</v>
      </c>
      <c r="I2579" s="10"/>
      <c r="J2579" s="9" t="s">
        <v>3421</v>
      </c>
      <c r="K2579" s="12"/>
      <c r="L2579" s="12"/>
      <c r="M2579" s="10"/>
      <c r="N2579" s="10"/>
      <c r="O2579" s="10"/>
      <c r="P2579" s="10"/>
      <c r="Q2579" s="10"/>
      <c r="R2579" s="10"/>
      <c r="S2579" s="10"/>
      <c r="T2579" s="10"/>
      <c r="U2579" s="10"/>
      <c r="V2579" s="10"/>
      <c r="W2579" s="10"/>
      <c r="X2579" s="10"/>
      <c r="Y2579" s="10"/>
      <c r="Z2579" s="10"/>
      <c r="AA2579" s="10"/>
      <c r="AB2579" s="10"/>
      <c r="AC2579" s="10"/>
      <c r="AD2579" s="10"/>
      <c r="AE2579" s="10"/>
      <c r="AF2579" s="10"/>
    </row>
    <row r="2580">
      <c r="A2580" s="7"/>
      <c r="B2580" s="26">
        <v>213.0</v>
      </c>
      <c r="C2580" s="27">
        <v>2.0</v>
      </c>
      <c r="D2580" s="8" t="s">
        <v>3422</v>
      </c>
      <c r="E2580" s="7">
        <v>3.0</v>
      </c>
      <c r="F2580" s="7"/>
      <c r="G2580" s="7" t="s">
        <v>313</v>
      </c>
      <c r="H2580" s="7" t="s">
        <v>312</v>
      </c>
      <c r="I2580" s="7" t="s">
        <v>366</v>
      </c>
      <c r="J2580" s="20" t="s">
        <v>3423</v>
      </c>
      <c r="K2580" s="20"/>
      <c r="L2580" s="12"/>
      <c r="M2580" s="10"/>
      <c r="N2580" s="10"/>
      <c r="O2580" s="10"/>
      <c r="P2580" s="10"/>
      <c r="Q2580" s="10"/>
      <c r="R2580" s="10"/>
      <c r="S2580" s="10"/>
      <c r="T2580" s="10"/>
      <c r="U2580" s="10"/>
      <c r="V2580" s="10"/>
      <c r="W2580" s="10"/>
      <c r="X2580" s="10"/>
      <c r="Y2580" s="10"/>
      <c r="Z2580" s="10"/>
      <c r="AA2580" s="10"/>
      <c r="AB2580" s="10"/>
      <c r="AC2580" s="10"/>
      <c r="AD2580" s="10"/>
      <c r="AE2580" s="10"/>
      <c r="AF2580" s="10"/>
    </row>
    <row r="2581">
      <c r="A2581" s="7"/>
      <c r="B2581" s="26">
        <v>213.0</v>
      </c>
      <c r="C2581" s="27">
        <v>3.0</v>
      </c>
      <c r="D2581" s="8" t="s">
        <v>3424</v>
      </c>
      <c r="E2581" s="7">
        <v>0.0</v>
      </c>
      <c r="F2581" s="7"/>
      <c r="G2581" s="7" t="s">
        <v>313</v>
      </c>
      <c r="H2581" s="7" t="s">
        <v>312</v>
      </c>
      <c r="I2581" s="10"/>
      <c r="J2581" s="11"/>
      <c r="K2581" s="12"/>
      <c r="L2581" s="12"/>
      <c r="M2581" s="10"/>
      <c r="N2581" s="10"/>
      <c r="O2581" s="10"/>
      <c r="P2581" s="10"/>
      <c r="Q2581" s="10"/>
      <c r="R2581" s="10"/>
      <c r="S2581" s="10"/>
      <c r="T2581" s="10"/>
      <c r="U2581" s="10"/>
      <c r="V2581" s="10"/>
      <c r="W2581" s="10"/>
      <c r="X2581" s="10"/>
      <c r="Y2581" s="10"/>
      <c r="Z2581" s="10"/>
      <c r="AA2581" s="10"/>
      <c r="AB2581" s="10"/>
      <c r="AC2581" s="10"/>
      <c r="AD2581" s="10"/>
      <c r="AE2581" s="10"/>
      <c r="AF2581" s="10"/>
    </row>
    <row r="2582">
      <c r="A2582" s="7"/>
      <c r="B2582" s="26">
        <v>213.0</v>
      </c>
      <c r="C2582" s="27">
        <v>4.0</v>
      </c>
      <c r="D2582" s="8" t="s">
        <v>3425</v>
      </c>
      <c r="E2582" s="7">
        <v>3.0</v>
      </c>
      <c r="F2582" s="7"/>
      <c r="G2582" s="7" t="s">
        <v>313</v>
      </c>
      <c r="H2582" s="7" t="s">
        <v>312</v>
      </c>
      <c r="I2582" s="10"/>
      <c r="J2582" s="11"/>
      <c r="K2582" s="20" t="s">
        <v>3426</v>
      </c>
      <c r="L2582" s="12"/>
      <c r="M2582" s="10"/>
      <c r="N2582" s="10"/>
      <c r="O2582" s="10"/>
      <c r="P2582" s="10"/>
      <c r="Q2582" s="10"/>
      <c r="R2582" s="10"/>
      <c r="S2582" s="10"/>
      <c r="T2582" s="10"/>
      <c r="U2582" s="10"/>
      <c r="V2582" s="10"/>
      <c r="W2582" s="10"/>
      <c r="X2582" s="10"/>
      <c r="Y2582" s="10"/>
      <c r="Z2582" s="10"/>
      <c r="AA2582" s="10"/>
      <c r="AB2582" s="10"/>
      <c r="AC2582" s="10"/>
      <c r="AD2582" s="10"/>
      <c r="AE2582" s="10"/>
      <c r="AF2582" s="10"/>
    </row>
    <row r="2583">
      <c r="A2583" s="7"/>
      <c r="B2583" s="26">
        <v>213.0</v>
      </c>
      <c r="C2583" s="27">
        <v>5.0</v>
      </c>
      <c r="D2583" s="8" t="s">
        <v>3427</v>
      </c>
      <c r="E2583" s="7">
        <v>0.0</v>
      </c>
      <c r="F2583" s="7"/>
      <c r="G2583" s="7" t="s">
        <v>313</v>
      </c>
      <c r="H2583" s="7" t="s">
        <v>312</v>
      </c>
      <c r="I2583" s="10"/>
      <c r="J2583" s="11"/>
      <c r="K2583" s="20" t="s">
        <v>3428</v>
      </c>
      <c r="L2583" s="12"/>
      <c r="M2583" s="10"/>
      <c r="N2583" s="10"/>
      <c r="O2583" s="10"/>
      <c r="P2583" s="10"/>
      <c r="Q2583" s="10"/>
      <c r="R2583" s="10"/>
      <c r="S2583" s="10"/>
      <c r="T2583" s="10"/>
      <c r="U2583" s="10"/>
      <c r="V2583" s="10"/>
      <c r="W2583" s="10"/>
      <c r="X2583" s="10"/>
      <c r="Y2583" s="10"/>
      <c r="Z2583" s="10"/>
      <c r="AA2583" s="10"/>
      <c r="AB2583" s="10"/>
      <c r="AC2583" s="10"/>
      <c r="AD2583" s="10"/>
      <c r="AE2583" s="10"/>
      <c r="AF2583" s="10"/>
    </row>
    <row r="2584">
      <c r="A2584" s="7"/>
      <c r="B2584" s="26">
        <v>213.0</v>
      </c>
      <c r="C2584" s="27">
        <v>6.0</v>
      </c>
      <c r="D2584" s="8" t="s">
        <v>3429</v>
      </c>
      <c r="E2584" s="7">
        <v>0.0</v>
      </c>
      <c r="F2584" s="7"/>
      <c r="G2584" s="7" t="s">
        <v>313</v>
      </c>
      <c r="H2584" s="7" t="s">
        <v>312</v>
      </c>
      <c r="I2584" s="10"/>
      <c r="J2584" s="11"/>
      <c r="K2584" s="20" t="s">
        <v>3428</v>
      </c>
      <c r="L2584" s="12"/>
      <c r="M2584" s="10"/>
      <c r="N2584" s="10"/>
      <c r="O2584" s="10"/>
      <c r="P2584" s="10"/>
      <c r="Q2584" s="10"/>
      <c r="R2584" s="10"/>
      <c r="S2584" s="10"/>
      <c r="T2584" s="10"/>
      <c r="U2584" s="10"/>
      <c r="V2584" s="10"/>
      <c r="W2584" s="10"/>
      <c r="X2584" s="10"/>
      <c r="Y2584" s="10"/>
      <c r="Z2584" s="10"/>
      <c r="AA2584" s="10"/>
      <c r="AB2584" s="10"/>
      <c r="AC2584" s="10"/>
      <c r="AD2584" s="10"/>
      <c r="AE2584" s="10"/>
      <c r="AF2584" s="10"/>
    </row>
    <row r="2585">
      <c r="A2585" s="21" t="s">
        <v>214</v>
      </c>
      <c r="B2585" s="12"/>
      <c r="C2585" s="12"/>
      <c r="D2585" s="12"/>
      <c r="E2585" s="10"/>
      <c r="F2585" s="10"/>
      <c r="G2585" s="10"/>
      <c r="H2585" s="10"/>
      <c r="I2585" s="10"/>
      <c r="J2585" s="11"/>
      <c r="K2585" s="12"/>
      <c r="L2585" s="12"/>
      <c r="M2585" s="10"/>
      <c r="N2585" s="10"/>
      <c r="O2585" s="10"/>
      <c r="P2585" s="10"/>
      <c r="Q2585" s="10"/>
      <c r="R2585" s="10"/>
      <c r="S2585" s="10"/>
      <c r="T2585" s="10"/>
      <c r="U2585" s="10"/>
      <c r="V2585" s="10"/>
      <c r="W2585" s="10"/>
      <c r="X2585" s="10"/>
      <c r="Y2585" s="10"/>
      <c r="Z2585" s="10"/>
      <c r="AA2585" s="10"/>
      <c r="AB2585" s="10"/>
      <c r="AC2585" s="10"/>
      <c r="AD2585" s="10"/>
      <c r="AE2585" s="10"/>
      <c r="AF2585" s="10"/>
    </row>
    <row r="2586">
      <c r="A2586" s="7"/>
      <c r="B2586" s="26">
        <v>214.0</v>
      </c>
      <c r="C2586" s="27">
        <v>1.0</v>
      </c>
      <c r="D2586" s="8" t="s">
        <v>3430</v>
      </c>
      <c r="E2586" s="7">
        <v>0.0</v>
      </c>
      <c r="F2586" s="7" t="s">
        <v>320</v>
      </c>
      <c r="G2586" s="7" t="s">
        <v>313</v>
      </c>
      <c r="H2586" s="7" t="s">
        <v>312</v>
      </c>
      <c r="I2586" s="10"/>
      <c r="J2586" s="20" t="s">
        <v>3431</v>
      </c>
      <c r="L2586" s="12"/>
      <c r="M2586" s="10"/>
      <c r="N2586" s="10"/>
      <c r="O2586" s="10"/>
      <c r="P2586" s="10"/>
      <c r="Q2586" s="10"/>
      <c r="R2586" s="10"/>
      <c r="S2586" s="10"/>
      <c r="T2586" s="10"/>
      <c r="U2586" s="10"/>
      <c r="V2586" s="10"/>
      <c r="W2586" s="10"/>
      <c r="X2586" s="10"/>
      <c r="Y2586" s="10"/>
      <c r="Z2586" s="10"/>
      <c r="AA2586" s="10"/>
      <c r="AB2586" s="10"/>
      <c r="AC2586" s="10"/>
      <c r="AD2586" s="10"/>
      <c r="AE2586" s="10"/>
      <c r="AF2586" s="10"/>
    </row>
    <row r="2587">
      <c r="A2587" s="7"/>
      <c r="B2587" s="26">
        <v>214.0</v>
      </c>
      <c r="C2587" s="27">
        <v>2.0</v>
      </c>
      <c r="D2587" s="8" t="s">
        <v>3432</v>
      </c>
      <c r="E2587" s="7">
        <v>0.0</v>
      </c>
      <c r="F2587" s="7" t="s">
        <v>320</v>
      </c>
      <c r="G2587" s="7" t="s">
        <v>313</v>
      </c>
      <c r="H2587" s="7" t="s">
        <v>312</v>
      </c>
      <c r="I2587" s="10"/>
      <c r="J2587" s="9" t="s">
        <v>3433</v>
      </c>
      <c r="K2587" s="20" t="s">
        <v>3434</v>
      </c>
      <c r="L2587" s="12"/>
      <c r="M2587" s="10"/>
      <c r="N2587" s="10"/>
      <c r="O2587" s="10"/>
      <c r="P2587" s="10"/>
      <c r="Q2587" s="10"/>
      <c r="R2587" s="10"/>
      <c r="S2587" s="10"/>
      <c r="T2587" s="10"/>
      <c r="U2587" s="10"/>
      <c r="V2587" s="10"/>
      <c r="W2587" s="10"/>
      <c r="X2587" s="10"/>
      <c r="Y2587" s="10"/>
      <c r="Z2587" s="10"/>
      <c r="AA2587" s="10"/>
      <c r="AB2587" s="10"/>
      <c r="AC2587" s="10"/>
      <c r="AD2587" s="10"/>
      <c r="AE2587" s="10"/>
      <c r="AF2587" s="10"/>
    </row>
    <row r="2588">
      <c r="A2588" s="7"/>
      <c r="B2588" s="26">
        <v>214.0</v>
      </c>
      <c r="C2588" s="27">
        <v>3.0</v>
      </c>
      <c r="D2588" s="8" t="s">
        <v>3435</v>
      </c>
      <c r="E2588" s="7">
        <v>0.0</v>
      </c>
      <c r="F2588" s="7" t="s">
        <v>320</v>
      </c>
      <c r="G2588" s="7" t="s">
        <v>313</v>
      </c>
      <c r="H2588" s="7" t="s">
        <v>312</v>
      </c>
      <c r="I2588" s="10"/>
      <c r="J2588" s="20" t="s">
        <v>3431</v>
      </c>
      <c r="K2588" s="12"/>
      <c r="L2588" s="12"/>
      <c r="M2588" s="10"/>
      <c r="N2588" s="10"/>
      <c r="O2588" s="10"/>
      <c r="P2588" s="10"/>
      <c r="Q2588" s="10"/>
      <c r="R2588" s="10"/>
      <c r="S2588" s="10"/>
      <c r="T2588" s="10"/>
      <c r="U2588" s="10"/>
      <c r="V2588" s="10"/>
      <c r="W2588" s="10"/>
      <c r="X2588" s="10"/>
      <c r="Y2588" s="10"/>
      <c r="Z2588" s="10"/>
      <c r="AA2588" s="10"/>
      <c r="AB2588" s="10"/>
      <c r="AC2588" s="10"/>
      <c r="AD2588" s="10"/>
      <c r="AE2588" s="10"/>
      <c r="AF2588" s="10"/>
    </row>
    <row r="2589">
      <c r="A2589" s="7"/>
      <c r="B2589" s="26">
        <v>214.0</v>
      </c>
      <c r="C2589" s="27">
        <v>4.0</v>
      </c>
      <c r="D2589" s="8" t="s">
        <v>3436</v>
      </c>
      <c r="E2589" s="7">
        <v>3.0</v>
      </c>
      <c r="F2589" s="7" t="s">
        <v>320</v>
      </c>
      <c r="G2589" s="7" t="s">
        <v>313</v>
      </c>
      <c r="H2589" s="7" t="s">
        <v>312</v>
      </c>
      <c r="I2589" s="10"/>
      <c r="J2589" s="20" t="s">
        <v>3437</v>
      </c>
      <c r="K2589" s="12"/>
      <c r="L2589" s="12"/>
      <c r="M2589" s="10"/>
      <c r="N2589" s="10"/>
      <c r="O2589" s="10"/>
      <c r="P2589" s="10"/>
      <c r="Q2589" s="10"/>
      <c r="R2589" s="10"/>
      <c r="S2589" s="10"/>
      <c r="T2589" s="10"/>
      <c r="U2589" s="10"/>
      <c r="V2589" s="10"/>
      <c r="W2589" s="10"/>
      <c r="X2589" s="10"/>
      <c r="Y2589" s="10"/>
      <c r="Z2589" s="10"/>
      <c r="AA2589" s="10"/>
      <c r="AB2589" s="10"/>
      <c r="AC2589" s="10"/>
      <c r="AD2589" s="10"/>
      <c r="AE2589" s="10"/>
      <c r="AF2589" s="10"/>
    </row>
    <row r="2590">
      <c r="A2590" s="7"/>
      <c r="B2590" s="26">
        <v>214.0</v>
      </c>
      <c r="C2590" s="27">
        <v>5.0</v>
      </c>
      <c r="D2590" s="8" t="s">
        <v>3438</v>
      </c>
      <c r="E2590" s="7">
        <v>0.0</v>
      </c>
      <c r="F2590" s="7" t="s">
        <v>320</v>
      </c>
      <c r="G2590" s="7" t="s">
        <v>313</v>
      </c>
      <c r="H2590" s="7" t="s">
        <v>312</v>
      </c>
      <c r="I2590" s="10"/>
      <c r="J2590" s="11"/>
      <c r="K2590" s="20" t="s">
        <v>3434</v>
      </c>
      <c r="L2590" s="12"/>
      <c r="M2590" s="10"/>
      <c r="N2590" s="10"/>
      <c r="O2590" s="10"/>
      <c r="P2590" s="10"/>
      <c r="Q2590" s="10"/>
      <c r="R2590" s="10"/>
      <c r="S2590" s="10"/>
      <c r="T2590" s="10"/>
      <c r="U2590" s="10"/>
      <c r="V2590" s="10"/>
      <c r="W2590" s="10"/>
      <c r="X2590" s="10"/>
      <c r="Y2590" s="10"/>
      <c r="Z2590" s="10"/>
      <c r="AA2590" s="10"/>
      <c r="AB2590" s="10"/>
      <c r="AC2590" s="10"/>
      <c r="AD2590" s="10"/>
      <c r="AE2590" s="10"/>
      <c r="AF2590" s="10"/>
    </row>
    <row r="2591">
      <c r="A2591" s="7"/>
      <c r="B2591" s="26">
        <v>214.0</v>
      </c>
      <c r="C2591" s="27">
        <v>6.0</v>
      </c>
      <c r="D2591" s="8" t="s">
        <v>3439</v>
      </c>
      <c r="E2591" s="7">
        <v>0.0</v>
      </c>
      <c r="F2591" s="7" t="s">
        <v>320</v>
      </c>
      <c r="G2591" s="7" t="s">
        <v>313</v>
      </c>
      <c r="H2591" s="7" t="s">
        <v>312</v>
      </c>
      <c r="I2591" s="10"/>
      <c r="J2591" s="11"/>
      <c r="K2591" s="12"/>
      <c r="L2591" s="12"/>
      <c r="M2591" s="10"/>
      <c r="N2591" s="10"/>
      <c r="O2591" s="10"/>
      <c r="P2591" s="10"/>
      <c r="Q2591" s="10"/>
      <c r="R2591" s="10"/>
      <c r="S2591" s="10"/>
      <c r="T2591" s="10"/>
      <c r="U2591" s="10"/>
      <c r="V2591" s="10"/>
      <c r="W2591" s="10"/>
      <c r="X2591" s="10"/>
      <c r="Y2591" s="10"/>
      <c r="Z2591" s="10"/>
      <c r="AA2591" s="10"/>
      <c r="AB2591" s="10"/>
      <c r="AC2591" s="10"/>
      <c r="AD2591" s="10"/>
      <c r="AE2591" s="10"/>
      <c r="AF2591" s="10"/>
    </row>
    <row r="2592">
      <c r="A2592" s="7"/>
      <c r="B2592" s="26">
        <v>214.0</v>
      </c>
      <c r="C2592" s="27">
        <v>7.0</v>
      </c>
      <c r="D2592" s="8" t="s">
        <v>3440</v>
      </c>
      <c r="E2592" s="7">
        <v>3.0</v>
      </c>
      <c r="F2592" s="7" t="s">
        <v>320</v>
      </c>
      <c r="G2592" s="7" t="s">
        <v>313</v>
      </c>
      <c r="H2592" s="7" t="s">
        <v>312</v>
      </c>
      <c r="I2592" s="7" t="s">
        <v>366</v>
      </c>
      <c r="J2592" s="16" t="s">
        <v>3441</v>
      </c>
      <c r="K2592" s="20" t="s">
        <v>3442</v>
      </c>
      <c r="L2592" s="12"/>
      <c r="M2592" s="10"/>
      <c r="N2592" s="10"/>
      <c r="O2592" s="10"/>
      <c r="P2592" s="10"/>
      <c r="Q2592" s="10"/>
      <c r="R2592" s="10"/>
      <c r="S2592" s="10"/>
      <c r="T2592" s="10"/>
      <c r="U2592" s="10"/>
      <c r="V2592" s="10"/>
      <c r="W2592" s="10"/>
      <c r="X2592" s="10"/>
      <c r="Y2592" s="10"/>
      <c r="Z2592" s="10"/>
      <c r="AA2592" s="10"/>
      <c r="AB2592" s="10"/>
      <c r="AC2592" s="10"/>
      <c r="AD2592" s="10"/>
      <c r="AE2592" s="10"/>
      <c r="AF2592" s="10"/>
    </row>
    <row r="2593">
      <c r="A2593" s="7"/>
      <c r="B2593" s="26">
        <v>214.0</v>
      </c>
      <c r="C2593" s="27">
        <v>8.0</v>
      </c>
      <c r="D2593" s="8" t="s">
        <v>3443</v>
      </c>
      <c r="E2593" s="7">
        <v>1.0</v>
      </c>
      <c r="F2593" s="7" t="s">
        <v>320</v>
      </c>
      <c r="G2593" s="7" t="s">
        <v>313</v>
      </c>
      <c r="H2593" s="7" t="s">
        <v>312</v>
      </c>
      <c r="I2593" s="10"/>
      <c r="J2593" s="11"/>
      <c r="K2593" s="20" t="s">
        <v>3434</v>
      </c>
      <c r="L2593" s="12"/>
      <c r="M2593" s="10"/>
      <c r="N2593" s="10"/>
      <c r="O2593" s="10"/>
      <c r="P2593" s="10"/>
      <c r="Q2593" s="10"/>
      <c r="R2593" s="10"/>
      <c r="S2593" s="10"/>
      <c r="T2593" s="10"/>
      <c r="U2593" s="10"/>
      <c r="V2593" s="10"/>
      <c r="W2593" s="10"/>
      <c r="X2593" s="10"/>
      <c r="Y2593" s="10"/>
      <c r="Z2593" s="10"/>
      <c r="AA2593" s="10"/>
      <c r="AB2593" s="10"/>
      <c r="AC2593" s="10"/>
      <c r="AD2593" s="10"/>
      <c r="AE2593" s="10"/>
      <c r="AF2593" s="10"/>
    </row>
    <row r="2594">
      <c r="A2594" s="7"/>
      <c r="B2594" s="26">
        <v>214.0</v>
      </c>
      <c r="C2594" s="27">
        <v>9.0</v>
      </c>
      <c r="D2594" s="8" t="s">
        <v>3444</v>
      </c>
      <c r="E2594" s="7">
        <v>3.0</v>
      </c>
      <c r="F2594" s="7" t="s">
        <v>320</v>
      </c>
      <c r="G2594" s="7" t="s">
        <v>313</v>
      </c>
      <c r="H2594" s="7" t="s">
        <v>312</v>
      </c>
      <c r="I2594" s="10"/>
      <c r="J2594" s="9" t="s">
        <v>3445</v>
      </c>
      <c r="K2594" s="12"/>
      <c r="L2594" s="12"/>
      <c r="M2594" s="10"/>
      <c r="N2594" s="10"/>
      <c r="O2594" s="10"/>
      <c r="P2594" s="10"/>
      <c r="Q2594" s="10"/>
      <c r="R2594" s="10"/>
      <c r="S2594" s="10"/>
      <c r="T2594" s="10"/>
      <c r="U2594" s="10"/>
      <c r="V2594" s="10"/>
      <c r="W2594" s="10"/>
      <c r="X2594" s="10"/>
      <c r="Y2594" s="10"/>
      <c r="Z2594" s="10"/>
      <c r="AA2594" s="10"/>
      <c r="AB2594" s="10"/>
      <c r="AC2594" s="10"/>
      <c r="AD2594" s="10"/>
      <c r="AE2594" s="10"/>
      <c r="AF2594" s="10"/>
    </row>
    <row r="2595">
      <c r="A2595" s="7"/>
      <c r="B2595" s="26">
        <v>214.0</v>
      </c>
      <c r="C2595" s="27">
        <v>10.0</v>
      </c>
      <c r="D2595" s="8" t="s">
        <v>3446</v>
      </c>
      <c r="E2595" s="7">
        <v>0.0</v>
      </c>
      <c r="F2595" s="7" t="s">
        <v>320</v>
      </c>
      <c r="G2595" s="7" t="s">
        <v>313</v>
      </c>
      <c r="H2595" s="7" t="s">
        <v>312</v>
      </c>
      <c r="I2595" s="7" t="s">
        <v>366</v>
      </c>
      <c r="J2595" s="20" t="s">
        <v>3447</v>
      </c>
      <c r="K2595" s="20" t="s">
        <v>3442</v>
      </c>
      <c r="L2595" s="12"/>
      <c r="M2595" s="10"/>
      <c r="N2595" s="10"/>
      <c r="O2595" s="10"/>
      <c r="P2595" s="10"/>
      <c r="Q2595" s="10"/>
      <c r="R2595" s="10"/>
      <c r="S2595" s="10"/>
      <c r="T2595" s="10"/>
      <c r="U2595" s="10"/>
      <c r="V2595" s="10"/>
      <c r="W2595" s="10"/>
      <c r="X2595" s="10"/>
      <c r="Y2595" s="10"/>
      <c r="Z2595" s="10"/>
      <c r="AA2595" s="10"/>
      <c r="AB2595" s="10"/>
      <c r="AC2595" s="10"/>
      <c r="AD2595" s="10"/>
      <c r="AE2595" s="10"/>
      <c r="AF2595" s="10"/>
    </row>
    <row r="2596">
      <c r="A2596" s="21" t="s">
        <v>215</v>
      </c>
      <c r="B2596" s="12"/>
      <c r="C2596" s="12"/>
      <c r="D2596" s="12"/>
      <c r="E2596" s="10"/>
      <c r="F2596" s="10"/>
      <c r="G2596" s="10"/>
      <c r="H2596" s="10"/>
      <c r="I2596" s="10"/>
      <c r="J2596" s="11"/>
      <c r="K2596" s="12"/>
      <c r="L2596" s="12"/>
      <c r="M2596" s="10"/>
      <c r="N2596" s="10"/>
      <c r="O2596" s="10"/>
      <c r="P2596" s="10"/>
      <c r="Q2596" s="10"/>
      <c r="R2596" s="10"/>
      <c r="S2596" s="10"/>
      <c r="T2596" s="10"/>
      <c r="U2596" s="10"/>
      <c r="V2596" s="10"/>
      <c r="W2596" s="10"/>
      <c r="X2596" s="10"/>
      <c r="Y2596" s="10"/>
      <c r="Z2596" s="10"/>
      <c r="AA2596" s="10"/>
      <c r="AB2596" s="10"/>
      <c r="AC2596" s="10"/>
      <c r="AD2596" s="10"/>
      <c r="AE2596" s="10"/>
      <c r="AF2596" s="10"/>
    </row>
    <row r="2597">
      <c r="A2597" s="7"/>
      <c r="B2597" s="26">
        <v>215.0</v>
      </c>
      <c r="C2597" s="27">
        <v>1.0</v>
      </c>
      <c r="D2597" s="8" t="s">
        <v>3448</v>
      </c>
      <c r="E2597" s="7">
        <v>0.0</v>
      </c>
      <c r="F2597" s="7"/>
      <c r="G2597" s="7" t="s">
        <v>313</v>
      </c>
      <c r="H2597" s="7" t="s">
        <v>312</v>
      </c>
      <c r="I2597" s="10"/>
      <c r="J2597" s="9"/>
      <c r="K2597" s="20" t="s">
        <v>3449</v>
      </c>
      <c r="L2597" s="15" t="s">
        <v>3450</v>
      </c>
      <c r="M2597" s="10"/>
      <c r="N2597" s="10"/>
      <c r="O2597" s="10"/>
      <c r="P2597" s="10"/>
      <c r="Q2597" s="10"/>
      <c r="R2597" s="10"/>
      <c r="S2597" s="10"/>
      <c r="T2597" s="10"/>
      <c r="U2597" s="10"/>
      <c r="V2597" s="10"/>
      <c r="W2597" s="10"/>
      <c r="X2597" s="10"/>
      <c r="Y2597" s="10"/>
      <c r="Z2597" s="10"/>
      <c r="AA2597" s="10"/>
      <c r="AB2597" s="10"/>
      <c r="AC2597" s="10"/>
      <c r="AD2597" s="10"/>
      <c r="AE2597" s="10"/>
      <c r="AF2597" s="10"/>
    </row>
    <row r="2598">
      <c r="A2598" s="7"/>
      <c r="B2598" s="26">
        <v>215.0</v>
      </c>
      <c r="C2598" s="27">
        <v>2.0</v>
      </c>
      <c r="D2598" s="8" t="s">
        <v>3451</v>
      </c>
      <c r="E2598" s="7">
        <v>0.0</v>
      </c>
      <c r="F2598" s="7"/>
      <c r="G2598" s="7" t="s">
        <v>313</v>
      </c>
      <c r="H2598" s="7" t="s">
        <v>312</v>
      </c>
      <c r="I2598" s="10"/>
      <c r="J2598" s="9"/>
      <c r="K2598" s="20" t="s">
        <v>3449</v>
      </c>
      <c r="L2598" s="15" t="s">
        <v>3450</v>
      </c>
      <c r="M2598" s="10"/>
      <c r="N2598" s="10"/>
      <c r="O2598" s="10"/>
      <c r="P2598" s="10"/>
      <c r="Q2598" s="10"/>
      <c r="R2598" s="10"/>
      <c r="S2598" s="10"/>
      <c r="T2598" s="10"/>
      <c r="U2598" s="10"/>
      <c r="V2598" s="10"/>
      <c r="W2598" s="10"/>
      <c r="X2598" s="10"/>
      <c r="Y2598" s="10"/>
      <c r="Z2598" s="10"/>
      <c r="AA2598" s="10"/>
      <c r="AB2598" s="10"/>
      <c r="AC2598" s="10"/>
      <c r="AD2598" s="10"/>
      <c r="AE2598" s="10"/>
      <c r="AF2598" s="10"/>
    </row>
    <row r="2599">
      <c r="A2599" s="7"/>
      <c r="B2599" s="26">
        <v>215.0</v>
      </c>
      <c r="C2599" s="27">
        <v>3.0</v>
      </c>
      <c r="D2599" s="8" t="s">
        <v>3452</v>
      </c>
      <c r="E2599" s="7">
        <v>1.0</v>
      </c>
      <c r="F2599" s="7" t="s">
        <v>320</v>
      </c>
      <c r="G2599" s="7" t="s">
        <v>313</v>
      </c>
      <c r="H2599" s="7" t="s">
        <v>312</v>
      </c>
      <c r="I2599" s="7" t="s">
        <v>320</v>
      </c>
      <c r="J2599" s="9" t="s">
        <v>3453</v>
      </c>
      <c r="K2599" s="20" t="s">
        <v>3454</v>
      </c>
      <c r="L2599" s="12"/>
      <c r="M2599" s="10"/>
      <c r="N2599" s="10"/>
      <c r="O2599" s="10"/>
      <c r="P2599" s="10"/>
      <c r="Q2599" s="10"/>
      <c r="R2599" s="10"/>
      <c r="S2599" s="10"/>
      <c r="T2599" s="10"/>
      <c r="U2599" s="10"/>
      <c r="V2599" s="10"/>
      <c r="W2599" s="10"/>
      <c r="X2599" s="10"/>
      <c r="Y2599" s="10"/>
      <c r="Z2599" s="10"/>
      <c r="AA2599" s="10"/>
      <c r="AB2599" s="10"/>
      <c r="AC2599" s="10"/>
      <c r="AD2599" s="10"/>
      <c r="AE2599" s="10"/>
      <c r="AF2599" s="10"/>
    </row>
    <row r="2600">
      <c r="A2600" s="7"/>
      <c r="B2600" s="26">
        <v>215.0</v>
      </c>
      <c r="C2600" s="27">
        <v>4.0</v>
      </c>
      <c r="D2600" s="8" t="s">
        <v>3455</v>
      </c>
      <c r="E2600" s="7">
        <v>3.0</v>
      </c>
      <c r="F2600" s="7" t="s">
        <v>320</v>
      </c>
      <c r="G2600" s="7" t="s">
        <v>313</v>
      </c>
      <c r="H2600" s="7" t="s">
        <v>312</v>
      </c>
      <c r="I2600" s="7" t="s">
        <v>320</v>
      </c>
      <c r="J2600" s="9" t="s">
        <v>3456</v>
      </c>
      <c r="K2600" s="20" t="s">
        <v>3457</v>
      </c>
      <c r="L2600" s="12"/>
      <c r="M2600" s="10"/>
      <c r="N2600" s="10"/>
      <c r="O2600" s="10"/>
      <c r="P2600" s="10"/>
      <c r="Q2600" s="10"/>
      <c r="R2600" s="10"/>
      <c r="S2600" s="10"/>
      <c r="T2600" s="10"/>
      <c r="U2600" s="10"/>
      <c r="V2600" s="10"/>
      <c r="W2600" s="10"/>
      <c r="X2600" s="10"/>
      <c r="Y2600" s="10"/>
      <c r="Z2600" s="10"/>
      <c r="AA2600" s="10"/>
      <c r="AB2600" s="10"/>
      <c r="AC2600" s="10"/>
      <c r="AD2600" s="10"/>
      <c r="AE2600" s="10"/>
      <c r="AF2600" s="10"/>
    </row>
    <row r="2601">
      <c r="A2601" s="7"/>
      <c r="B2601" s="26">
        <v>215.0</v>
      </c>
      <c r="C2601" s="27">
        <v>5.0</v>
      </c>
      <c r="D2601" s="8" t="s">
        <v>3458</v>
      </c>
      <c r="E2601" s="7">
        <v>0.0</v>
      </c>
      <c r="F2601" s="7"/>
      <c r="G2601" s="7" t="s">
        <v>313</v>
      </c>
      <c r="H2601" s="7" t="s">
        <v>312</v>
      </c>
      <c r="I2601" s="10"/>
      <c r="J2601" s="11"/>
      <c r="K2601" s="12"/>
      <c r="L2601" s="15" t="s">
        <v>3450</v>
      </c>
      <c r="M2601" s="10"/>
      <c r="N2601" s="10"/>
      <c r="O2601" s="10"/>
      <c r="P2601" s="10"/>
      <c r="Q2601" s="10"/>
      <c r="R2601" s="10"/>
      <c r="S2601" s="10"/>
      <c r="T2601" s="10"/>
      <c r="U2601" s="10"/>
      <c r="V2601" s="10"/>
      <c r="W2601" s="10"/>
      <c r="X2601" s="10"/>
      <c r="Y2601" s="10"/>
      <c r="Z2601" s="10"/>
      <c r="AA2601" s="10"/>
      <c r="AB2601" s="10"/>
      <c r="AC2601" s="10"/>
      <c r="AD2601" s="10"/>
      <c r="AE2601" s="10"/>
      <c r="AF2601" s="10"/>
    </row>
    <row r="2602">
      <c r="A2602" s="7"/>
      <c r="B2602" s="26">
        <v>215.0</v>
      </c>
      <c r="C2602" s="27">
        <v>6.0</v>
      </c>
      <c r="D2602" s="8" t="s">
        <v>3459</v>
      </c>
      <c r="E2602" s="7">
        <v>0.0</v>
      </c>
      <c r="F2602" s="7"/>
      <c r="G2602" s="7" t="s">
        <v>313</v>
      </c>
      <c r="H2602" s="7" t="s">
        <v>312</v>
      </c>
      <c r="I2602" s="10"/>
      <c r="J2602" s="11"/>
      <c r="K2602" s="12"/>
      <c r="L2602" s="15" t="s">
        <v>3450</v>
      </c>
      <c r="M2602" s="10"/>
      <c r="N2602" s="10"/>
      <c r="O2602" s="10"/>
      <c r="P2602" s="10"/>
      <c r="Q2602" s="10"/>
      <c r="R2602" s="10"/>
      <c r="S2602" s="10"/>
      <c r="T2602" s="10"/>
      <c r="U2602" s="10"/>
      <c r="V2602" s="10"/>
      <c r="W2602" s="10"/>
      <c r="X2602" s="10"/>
      <c r="Y2602" s="10"/>
      <c r="Z2602" s="10"/>
      <c r="AA2602" s="10"/>
      <c r="AB2602" s="10"/>
      <c r="AC2602" s="10"/>
      <c r="AD2602" s="10"/>
      <c r="AE2602" s="10"/>
      <c r="AF2602" s="10"/>
    </row>
    <row r="2603">
      <c r="A2603" s="7"/>
      <c r="B2603" s="26">
        <v>215.0</v>
      </c>
      <c r="C2603" s="27">
        <v>7.0</v>
      </c>
      <c r="D2603" s="8" t="s">
        <v>3460</v>
      </c>
      <c r="E2603" s="7">
        <v>0.0</v>
      </c>
      <c r="F2603" s="7"/>
      <c r="G2603" s="7" t="s">
        <v>313</v>
      </c>
      <c r="H2603" s="7" t="s">
        <v>312</v>
      </c>
      <c r="I2603" s="10"/>
      <c r="J2603" s="11"/>
      <c r="K2603" s="12"/>
      <c r="L2603" s="15" t="s">
        <v>3450</v>
      </c>
      <c r="M2603" s="10"/>
      <c r="N2603" s="10"/>
      <c r="O2603" s="10"/>
      <c r="P2603" s="10"/>
      <c r="Q2603" s="10"/>
      <c r="R2603" s="10"/>
      <c r="S2603" s="10"/>
      <c r="T2603" s="10"/>
      <c r="U2603" s="10"/>
      <c r="V2603" s="10"/>
      <c r="W2603" s="10"/>
      <c r="X2603" s="10"/>
      <c r="Y2603" s="10"/>
      <c r="Z2603" s="10"/>
      <c r="AA2603" s="10"/>
      <c r="AB2603" s="10"/>
      <c r="AC2603" s="10"/>
      <c r="AD2603" s="10"/>
      <c r="AE2603" s="10"/>
      <c r="AF2603" s="10"/>
    </row>
    <row r="2604">
      <c r="A2604" s="7"/>
      <c r="B2604" s="26">
        <v>215.0</v>
      </c>
      <c r="C2604" s="27">
        <v>8.0</v>
      </c>
      <c r="D2604" s="8" t="s">
        <v>3461</v>
      </c>
      <c r="E2604" s="7">
        <v>0.0</v>
      </c>
      <c r="F2604" s="7"/>
      <c r="G2604" s="7" t="s">
        <v>313</v>
      </c>
      <c r="H2604" s="7" t="s">
        <v>312</v>
      </c>
      <c r="I2604" s="10"/>
      <c r="J2604" s="11"/>
      <c r="K2604" s="12"/>
      <c r="L2604" s="15" t="s">
        <v>3450</v>
      </c>
      <c r="M2604" s="10"/>
      <c r="N2604" s="10"/>
      <c r="O2604" s="10"/>
      <c r="P2604" s="10"/>
      <c r="Q2604" s="10"/>
      <c r="R2604" s="10"/>
      <c r="S2604" s="10"/>
      <c r="T2604" s="10"/>
      <c r="U2604" s="10"/>
      <c r="V2604" s="10"/>
      <c r="W2604" s="10"/>
      <c r="X2604" s="10"/>
      <c r="Y2604" s="10"/>
      <c r="Z2604" s="10"/>
      <c r="AA2604" s="10"/>
      <c r="AB2604" s="10"/>
      <c r="AC2604" s="10"/>
      <c r="AD2604" s="10"/>
      <c r="AE2604" s="10"/>
      <c r="AF2604" s="10"/>
    </row>
    <row r="2605">
      <c r="A2605" s="7"/>
      <c r="B2605" s="26">
        <v>215.0</v>
      </c>
      <c r="C2605" s="27">
        <v>9.0</v>
      </c>
      <c r="D2605" s="8" t="s">
        <v>3462</v>
      </c>
      <c r="E2605" s="7">
        <v>0.0</v>
      </c>
      <c r="F2605" s="7"/>
      <c r="G2605" s="7" t="s">
        <v>313</v>
      </c>
      <c r="H2605" s="7" t="s">
        <v>312</v>
      </c>
      <c r="I2605" s="10"/>
      <c r="J2605" s="11"/>
      <c r="K2605" s="12"/>
      <c r="L2605" s="15" t="s">
        <v>3450</v>
      </c>
      <c r="M2605" s="10"/>
      <c r="N2605" s="10"/>
      <c r="O2605" s="10"/>
      <c r="P2605" s="10"/>
      <c r="Q2605" s="10"/>
      <c r="R2605" s="10"/>
      <c r="S2605" s="10"/>
      <c r="T2605" s="10"/>
      <c r="U2605" s="10"/>
      <c r="V2605" s="10"/>
      <c r="W2605" s="10"/>
      <c r="X2605" s="10"/>
      <c r="Y2605" s="10"/>
      <c r="Z2605" s="10"/>
      <c r="AA2605" s="10"/>
      <c r="AB2605" s="10"/>
      <c r="AC2605" s="10"/>
      <c r="AD2605" s="10"/>
      <c r="AE2605" s="10"/>
      <c r="AF2605" s="10"/>
    </row>
    <row r="2606">
      <c r="A2606" s="7"/>
      <c r="B2606" s="26">
        <v>215.0</v>
      </c>
      <c r="C2606" s="27">
        <v>10.0</v>
      </c>
      <c r="D2606" s="8" t="s">
        <v>3463</v>
      </c>
      <c r="E2606" s="7">
        <v>0.0</v>
      </c>
      <c r="F2606" s="7"/>
      <c r="G2606" s="7" t="s">
        <v>313</v>
      </c>
      <c r="H2606" s="7" t="s">
        <v>312</v>
      </c>
      <c r="I2606" s="10"/>
      <c r="J2606" s="11"/>
      <c r="K2606" s="12"/>
      <c r="L2606" s="12"/>
      <c r="M2606" s="10"/>
      <c r="N2606" s="10"/>
      <c r="O2606" s="10"/>
      <c r="P2606" s="10"/>
      <c r="Q2606" s="10"/>
      <c r="R2606" s="10"/>
      <c r="S2606" s="10"/>
      <c r="T2606" s="10"/>
      <c r="U2606" s="10"/>
      <c r="V2606" s="10"/>
      <c r="W2606" s="10"/>
      <c r="X2606" s="10"/>
      <c r="Y2606" s="10"/>
      <c r="Z2606" s="10"/>
      <c r="AA2606" s="10"/>
      <c r="AB2606" s="10"/>
      <c r="AC2606" s="10"/>
      <c r="AD2606" s="10"/>
      <c r="AE2606" s="10"/>
      <c r="AF2606" s="10"/>
    </row>
    <row r="2607">
      <c r="A2607" s="21" t="s">
        <v>216</v>
      </c>
      <c r="B2607" s="12"/>
      <c r="C2607" s="12"/>
      <c r="D2607" s="12"/>
      <c r="E2607" s="10"/>
      <c r="F2607" s="10"/>
      <c r="G2607" s="10"/>
      <c r="H2607" s="10"/>
      <c r="I2607" s="10"/>
      <c r="J2607" s="11"/>
      <c r="K2607" s="12"/>
      <c r="L2607" s="12"/>
      <c r="M2607" s="10"/>
      <c r="N2607" s="10"/>
      <c r="O2607" s="10"/>
      <c r="P2607" s="10"/>
      <c r="Q2607" s="10"/>
      <c r="R2607" s="10"/>
      <c r="S2607" s="10"/>
      <c r="T2607" s="10"/>
      <c r="U2607" s="10"/>
      <c r="V2607" s="10"/>
      <c r="W2607" s="10"/>
      <c r="X2607" s="10"/>
      <c r="Y2607" s="10"/>
      <c r="Z2607" s="10"/>
      <c r="AA2607" s="10"/>
      <c r="AB2607" s="10"/>
      <c r="AC2607" s="10"/>
      <c r="AD2607" s="10"/>
      <c r="AE2607" s="10"/>
      <c r="AF2607" s="10"/>
    </row>
    <row r="2608">
      <c r="A2608" s="7"/>
      <c r="B2608" s="26">
        <v>216.0</v>
      </c>
      <c r="C2608" s="27">
        <v>1.0</v>
      </c>
      <c r="D2608" s="8" t="s">
        <v>3464</v>
      </c>
      <c r="E2608" s="7">
        <v>3.0</v>
      </c>
      <c r="F2608" s="7"/>
      <c r="G2608" s="7" t="s">
        <v>313</v>
      </c>
      <c r="H2608" s="7" t="s">
        <v>312</v>
      </c>
      <c r="I2608" s="10"/>
      <c r="J2608" s="9" t="s">
        <v>3465</v>
      </c>
      <c r="K2608" s="20" t="s">
        <v>3466</v>
      </c>
      <c r="L2608" s="12"/>
      <c r="M2608" s="10"/>
      <c r="N2608" s="10"/>
      <c r="O2608" s="10"/>
      <c r="P2608" s="10"/>
      <c r="Q2608" s="10"/>
      <c r="R2608" s="10"/>
      <c r="S2608" s="10"/>
      <c r="T2608" s="10"/>
      <c r="U2608" s="10"/>
      <c r="V2608" s="10"/>
      <c r="W2608" s="10"/>
      <c r="X2608" s="10"/>
      <c r="Y2608" s="10"/>
      <c r="Z2608" s="10"/>
      <c r="AA2608" s="10"/>
      <c r="AB2608" s="10"/>
      <c r="AC2608" s="10"/>
      <c r="AD2608" s="10"/>
      <c r="AE2608" s="10"/>
      <c r="AF2608" s="10"/>
    </row>
    <row r="2609">
      <c r="A2609" s="7"/>
      <c r="B2609" s="26">
        <v>216.0</v>
      </c>
      <c r="C2609" s="27">
        <v>2.0</v>
      </c>
      <c r="D2609" s="8" t="s">
        <v>3467</v>
      </c>
      <c r="E2609" s="7">
        <v>3.0</v>
      </c>
      <c r="F2609" s="7"/>
      <c r="G2609" s="7" t="s">
        <v>313</v>
      </c>
      <c r="H2609" s="7" t="s">
        <v>312</v>
      </c>
      <c r="I2609" s="10"/>
      <c r="J2609" s="9" t="s">
        <v>3468</v>
      </c>
      <c r="K2609" s="20" t="s">
        <v>3466</v>
      </c>
      <c r="L2609" s="12"/>
      <c r="M2609" s="10"/>
      <c r="N2609" s="10"/>
      <c r="O2609" s="10"/>
      <c r="P2609" s="10"/>
      <c r="Q2609" s="10"/>
      <c r="R2609" s="10"/>
      <c r="S2609" s="10"/>
      <c r="T2609" s="10"/>
      <c r="U2609" s="10"/>
      <c r="V2609" s="10"/>
      <c r="W2609" s="10"/>
      <c r="X2609" s="10"/>
      <c r="Y2609" s="10"/>
      <c r="Z2609" s="10"/>
      <c r="AA2609" s="10"/>
      <c r="AB2609" s="10"/>
      <c r="AC2609" s="10"/>
      <c r="AD2609" s="10"/>
      <c r="AE2609" s="10"/>
      <c r="AF2609" s="10"/>
    </row>
    <row r="2610">
      <c r="A2610" s="7"/>
      <c r="B2610" s="26">
        <v>216.0</v>
      </c>
      <c r="C2610" s="27">
        <v>3.0</v>
      </c>
      <c r="D2610" s="8" t="s">
        <v>3469</v>
      </c>
      <c r="E2610" s="7">
        <v>3.0</v>
      </c>
      <c r="F2610" s="7"/>
      <c r="G2610" s="7" t="s">
        <v>313</v>
      </c>
      <c r="H2610" s="7" t="s">
        <v>312</v>
      </c>
      <c r="I2610" s="10"/>
      <c r="J2610" s="9" t="s">
        <v>3470</v>
      </c>
      <c r="K2610" s="20" t="s">
        <v>3466</v>
      </c>
      <c r="L2610" s="12"/>
      <c r="M2610" s="10"/>
      <c r="N2610" s="10"/>
      <c r="O2610" s="10"/>
      <c r="P2610" s="10"/>
      <c r="Q2610" s="10"/>
      <c r="R2610" s="10"/>
      <c r="S2610" s="10"/>
      <c r="T2610" s="10"/>
      <c r="U2610" s="10"/>
      <c r="V2610" s="10"/>
      <c r="W2610" s="10"/>
      <c r="X2610" s="10"/>
      <c r="Y2610" s="10"/>
      <c r="Z2610" s="10"/>
      <c r="AA2610" s="10"/>
      <c r="AB2610" s="10"/>
      <c r="AC2610" s="10"/>
      <c r="AD2610" s="10"/>
      <c r="AE2610" s="10"/>
      <c r="AF2610" s="10"/>
    </row>
    <row r="2611">
      <c r="A2611" s="7"/>
      <c r="B2611" s="26">
        <v>216.0</v>
      </c>
      <c r="C2611" s="27">
        <v>4.0</v>
      </c>
      <c r="D2611" s="8" t="s">
        <v>3471</v>
      </c>
      <c r="E2611" s="7">
        <v>0.0</v>
      </c>
      <c r="F2611" s="7"/>
      <c r="G2611" s="7" t="s">
        <v>313</v>
      </c>
      <c r="H2611" s="7" t="s">
        <v>312</v>
      </c>
      <c r="I2611" s="7" t="s">
        <v>366</v>
      </c>
      <c r="J2611" s="16" t="s">
        <v>3472</v>
      </c>
      <c r="K2611" s="20" t="s">
        <v>3473</v>
      </c>
      <c r="L2611" s="12"/>
      <c r="M2611" s="10"/>
      <c r="N2611" s="10"/>
      <c r="O2611" s="10"/>
      <c r="P2611" s="10"/>
      <c r="Q2611" s="10"/>
      <c r="R2611" s="10"/>
      <c r="S2611" s="10"/>
      <c r="T2611" s="10"/>
      <c r="U2611" s="10"/>
      <c r="V2611" s="10"/>
      <c r="W2611" s="10"/>
      <c r="X2611" s="10"/>
      <c r="Y2611" s="10"/>
      <c r="Z2611" s="10"/>
      <c r="AA2611" s="10"/>
      <c r="AB2611" s="10"/>
      <c r="AC2611" s="10"/>
      <c r="AD2611" s="10"/>
      <c r="AE2611" s="10"/>
      <c r="AF2611" s="10"/>
    </row>
    <row r="2612">
      <c r="A2612" s="7"/>
      <c r="B2612" s="26">
        <v>216.0</v>
      </c>
      <c r="C2612" s="27">
        <v>5.0</v>
      </c>
      <c r="D2612" s="8" t="s">
        <v>3474</v>
      </c>
      <c r="E2612" s="7">
        <v>0.0</v>
      </c>
      <c r="F2612" s="7"/>
      <c r="G2612" s="7" t="s">
        <v>313</v>
      </c>
      <c r="H2612" s="7" t="s">
        <v>312</v>
      </c>
      <c r="I2612" s="7" t="s">
        <v>366</v>
      </c>
      <c r="J2612" s="16" t="s">
        <v>3472</v>
      </c>
      <c r="K2612" s="20" t="s">
        <v>3473</v>
      </c>
      <c r="L2612" s="12"/>
      <c r="M2612" s="10"/>
      <c r="N2612" s="10"/>
      <c r="O2612" s="10"/>
      <c r="P2612" s="10"/>
      <c r="Q2612" s="10"/>
      <c r="R2612" s="10"/>
      <c r="S2612" s="10"/>
      <c r="T2612" s="10"/>
      <c r="U2612" s="10"/>
      <c r="V2612" s="10"/>
      <c r="W2612" s="10"/>
      <c r="X2612" s="10"/>
      <c r="Y2612" s="10"/>
      <c r="Z2612" s="10"/>
      <c r="AA2612" s="10"/>
      <c r="AB2612" s="10"/>
      <c r="AC2612" s="10"/>
      <c r="AD2612" s="10"/>
      <c r="AE2612" s="10"/>
      <c r="AF2612" s="10"/>
    </row>
    <row r="2613">
      <c r="A2613" s="7"/>
      <c r="B2613" s="26">
        <v>216.0</v>
      </c>
      <c r="C2613" s="27">
        <v>6.0</v>
      </c>
      <c r="D2613" s="8" t="s">
        <v>3475</v>
      </c>
      <c r="E2613" s="7">
        <v>0.0</v>
      </c>
      <c r="F2613" s="7"/>
      <c r="G2613" s="7" t="s">
        <v>313</v>
      </c>
      <c r="H2613" s="7" t="s">
        <v>312</v>
      </c>
      <c r="I2613" s="10"/>
      <c r="J2613" s="11"/>
      <c r="K2613" s="12"/>
      <c r="L2613" s="12"/>
      <c r="M2613" s="10"/>
      <c r="N2613" s="10"/>
      <c r="O2613" s="10"/>
      <c r="P2613" s="10"/>
      <c r="Q2613" s="10"/>
      <c r="R2613" s="10"/>
      <c r="S2613" s="10"/>
      <c r="T2613" s="10"/>
      <c r="U2613" s="10"/>
      <c r="V2613" s="10"/>
      <c r="W2613" s="10"/>
      <c r="X2613" s="10"/>
      <c r="Y2613" s="10"/>
      <c r="Z2613" s="10"/>
      <c r="AA2613" s="10"/>
      <c r="AB2613" s="10"/>
      <c r="AC2613" s="10"/>
      <c r="AD2613" s="10"/>
      <c r="AE2613" s="10"/>
      <c r="AF2613" s="10"/>
    </row>
    <row r="2614">
      <c r="A2614" s="7"/>
      <c r="B2614" s="26">
        <v>216.0</v>
      </c>
      <c r="C2614" s="27">
        <v>7.0</v>
      </c>
      <c r="D2614" s="8" t="s">
        <v>3476</v>
      </c>
      <c r="E2614" s="7">
        <v>0.0</v>
      </c>
      <c r="F2614" s="7"/>
      <c r="G2614" s="7" t="s">
        <v>313</v>
      </c>
      <c r="H2614" s="7" t="s">
        <v>312</v>
      </c>
      <c r="I2614" s="10"/>
      <c r="J2614" s="11"/>
      <c r="K2614" s="12"/>
      <c r="L2614" s="12"/>
      <c r="M2614" s="10"/>
      <c r="N2614" s="10"/>
      <c r="O2614" s="10"/>
      <c r="P2614" s="10"/>
      <c r="Q2614" s="10"/>
      <c r="R2614" s="10"/>
      <c r="S2614" s="10"/>
      <c r="T2614" s="10"/>
      <c r="U2614" s="10"/>
      <c r="V2614" s="10"/>
      <c r="W2614" s="10"/>
      <c r="X2614" s="10"/>
      <c r="Y2614" s="10"/>
      <c r="Z2614" s="10"/>
      <c r="AA2614" s="10"/>
      <c r="AB2614" s="10"/>
      <c r="AC2614" s="10"/>
      <c r="AD2614" s="10"/>
      <c r="AE2614" s="10"/>
      <c r="AF2614" s="10"/>
    </row>
    <row r="2615">
      <c r="A2615" s="7"/>
      <c r="B2615" s="26">
        <v>216.0</v>
      </c>
      <c r="C2615" s="27">
        <v>8.0</v>
      </c>
      <c r="D2615" s="8" t="s">
        <v>3477</v>
      </c>
      <c r="E2615" s="7">
        <v>0.0</v>
      </c>
      <c r="F2615" s="7"/>
      <c r="G2615" s="7" t="s">
        <v>313</v>
      </c>
      <c r="H2615" s="7" t="s">
        <v>312</v>
      </c>
      <c r="I2615" s="10"/>
      <c r="J2615" s="11"/>
      <c r="K2615" s="12"/>
      <c r="L2615" s="12"/>
      <c r="M2615" s="10"/>
      <c r="N2615" s="10"/>
      <c r="O2615" s="10"/>
      <c r="P2615" s="10"/>
      <c r="Q2615" s="10"/>
      <c r="R2615" s="10"/>
      <c r="S2615" s="10"/>
      <c r="T2615" s="10"/>
      <c r="U2615" s="10"/>
      <c r="V2615" s="10"/>
      <c r="W2615" s="10"/>
      <c r="X2615" s="10"/>
      <c r="Y2615" s="10"/>
      <c r="Z2615" s="10"/>
      <c r="AA2615" s="10"/>
      <c r="AB2615" s="10"/>
      <c r="AC2615" s="10"/>
      <c r="AD2615" s="10"/>
      <c r="AE2615" s="10"/>
      <c r="AF2615" s="10"/>
    </row>
    <row r="2616">
      <c r="A2616" s="7"/>
      <c r="B2616" s="26">
        <v>216.0</v>
      </c>
      <c r="C2616" s="27">
        <v>9.0</v>
      </c>
      <c r="D2616" s="8" t="s">
        <v>3478</v>
      </c>
      <c r="E2616" s="7">
        <v>0.0</v>
      </c>
      <c r="F2616" s="7"/>
      <c r="G2616" s="7" t="s">
        <v>313</v>
      </c>
      <c r="H2616" s="7" t="s">
        <v>312</v>
      </c>
      <c r="I2616" s="10"/>
      <c r="J2616" s="11"/>
      <c r="K2616" s="12"/>
      <c r="L2616" s="12"/>
      <c r="M2616" s="10"/>
      <c r="N2616" s="10"/>
      <c r="O2616" s="10"/>
      <c r="P2616" s="10"/>
      <c r="Q2616" s="10"/>
      <c r="R2616" s="10"/>
      <c r="S2616" s="10"/>
      <c r="T2616" s="10"/>
      <c r="U2616" s="10"/>
      <c r="V2616" s="10"/>
      <c r="W2616" s="10"/>
      <c r="X2616" s="10"/>
      <c r="Y2616" s="10"/>
      <c r="Z2616" s="10"/>
      <c r="AA2616" s="10"/>
      <c r="AB2616" s="10"/>
      <c r="AC2616" s="10"/>
      <c r="AD2616" s="10"/>
      <c r="AE2616" s="10"/>
      <c r="AF2616" s="10"/>
    </row>
    <row r="2617">
      <c r="A2617" s="7"/>
      <c r="B2617" s="26">
        <v>216.0</v>
      </c>
      <c r="C2617" s="27">
        <v>10.0</v>
      </c>
      <c r="D2617" s="8" t="s">
        <v>3479</v>
      </c>
      <c r="E2617" s="7">
        <v>0.0</v>
      </c>
      <c r="F2617" s="7"/>
      <c r="G2617" s="7" t="s">
        <v>313</v>
      </c>
      <c r="H2617" s="7" t="s">
        <v>312</v>
      </c>
      <c r="I2617" s="10"/>
      <c r="J2617" s="11"/>
      <c r="K2617" s="12"/>
      <c r="L2617" s="12"/>
      <c r="M2617" s="10"/>
      <c r="N2617" s="10"/>
      <c r="O2617" s="10"/>
      <c r="P2617" s="10"/>
      <c r="Q2617" s="10"/>
      <c r="R2617" s="10"/>
      <c r="S2617" s="10"/>
      <c r="T2617" s="10"/>
      <c r="U2617" s="10"/>
      <c r="V2617" s="10"/>
      <c r="W2617" s="10"/>
      <c r="X2617" s="10"/>
      <c r="Y2617" s="10"/>
      <c r="Z2617" s="10"/>
      <c r="AA2617" s="10"/>
      <c r="AB2617" s="10"/>
      <c r="AC2617" s="10"/>
      <c r="AD2617" s="10"/>
      <c r="AE2617" s="10"/>
      <c r="AF2617" s="10"/>
    </row>
    <row r="2618">
      <c r="A2618" s="7"/>
      <c r="B2618" s="26">
        <v>216.0</v>
      </c>
      <c r="C2618" s="27">
        <v>11.0</v>
      </c>
      <c r="D2618" s="8" t="s">
        <v>3480</v>
      </c>
      <c r="E2618" s="7">
        <v>0.0</v>
      </c>
      <c r="F2618" s="7"/>
      <c r="G2618" s="7" t="s">
        <v>313</v>
      </c>
      <c r="H2618" s="7" t="s">
        <v>312</v>
      </c>
      <c r="I2618" s="10"/>
      <c r="J2618" s="11"/>
      <c r="K2618" s="12"/>
      <c r="L2618" s="12"/>
      <c r="M2618" s="10"/>
      <c r="N2618" s="10"/>
      <c r="O2618" s="10"/>
      <c r="P2618" s="10"/>
      <c r="Q2618" s="10"/>
      <c r="R2618" s="10"/>
      <c r="S2618" s="10"/>
      <c r="T2618" s="10"/>
      <c r="U2618" s="10"/>
      <c r="V2618" s="10"/>
      <c r="W2618" s="10"/>
      <c r="X2618" s="10"/>
      <c r="Y2618" s="10"/>
      <c r="Z2618" s="10"/>
      <c r="AA2618" s="10"/>
      <c r="AB2618" s="10"/>
      <c r="AC2618" s="10"/>
      <c r="AD2618" s="10"/>
      <c r="AE2618" s="10"/>
      <c r="AF2618" s="10"/>
    </row>
    <row r="2619">
      <c r="A2619" s="7"/>
      <c r="B2619" s="26">
        <v>216.0</v>
      </c>
      <c r="C2619" s="27">
        <v>12.0</v>
      </c>
      <c r="D2619" s="8" t="s">
        <v>3481</v>
      </c>
      <c r="E2619" s="7">
        <v>0.0</v>
      </c>
      <c r="F2619" s="7"/>
      <c r="G2619" s="7" t="s">
        <v>313</v>
      </c>
      <c r="H2619" s="7" t="s">
        <v>312</v>
      </c>
      <c r="I2619" s="10"/>
      <c r="J2619" s="11"/>
      <c r="K2619" s="12"/>
      <c r="L2619" s="12"/>
      <c r="M2619" s="10"/>
      <c r="N2619" s="10"/>
      <c r="O2619" s="10"/>
      <c r="P2619" s="10"/>
      <c r="Q2619" s="10"/>
      <c r="R2619" s="10"/>
      <c r="S2619" s="10"/>
      <c r="T2619" s="10"/>
      <c r="U2619" s="10"/>
      <c r="V2619" s="10"/>
      <c r="W2619" s="10"/>
      <c r="X2619" s="10"/>
      <c r="Y2619" s="10"/>
      <c r="Z2619" s="10"/>
      <c r="AA2619" s="10"/>
      <c r="AB2619" s="10"/>
      <c r="AC2619" s="10"/>
      <c r="AD2619" s="10"/>
      <c r="AE2619" s="10"/>
      <c r="AF2619" s="10"/>
    </row>
    <row r="2620">
      <c r="A2620" s="7"/>
      <c r="B2620" s="26">
        <v>216.0</v>
      </c>
      <c r="C2620" s="27">
        <v>13.0</v>
      </c>
      <c r="D2620" s="8" t="s">
        <v>3482</v>
      </c>
      <c r="E2620" s="7">
        <v>0.0</v>
      </c>
      <c r="F2620" s="7"/>
      <c r="G2620" s="7" t="s">
        <v>313</v>
      </c>
      <c r="H2620" s="7" t="s">
        <v>312</v>
      </c>
      <c r="I2620" s="10"/>
      <c r="J2620" s="11"/>
      <c r="K2620" s="12"/>
      <c r="L2620" s="12"/>
      <c r="M2620" s="10"/>
      <c r="N2620" s="10"/>
      <c r="O2620" s="10"/>
      <c r="P2620" s="10"/>
      <c r="Q2620" s="10"/>
      <c r="R2620" s="10"/>
      <c r="S2620" s="10"/>
      <c r="T2620" s="10"/>
      <c r="U2620" s="10"/>
      <c r="V2620" s="10"/>
      <c r="W2620" s="10"/>
      <c r="X2620" s="10"/>
      <c r="Y2620" s="10"/>
      <c r="Z2620" s="10"/>
      <c r="AA2620" s="10"/>
      <c r="AB2620" s="10"/>
      <c r="AC2620" s="10"/>
      <c r="AD2620" s="10"/>
      <c r="AE2620" s="10"/>
      <c r="AF2620" s="10"/>
    </row>
    <row r="2621">
      <c r="A2621" s="7"/>
      <c r="B2621" s="26">
        <v>216.0</v>
      </c>
      <c r="C2621" s="27">
        <v>14.0</v>
      </c>
      <c r="D2621" s="8" t="s">
        <v>3483</v>
      </c>
      <c r="E2621" s="7">
        <v>0.0</v>
      </c>
      <c r="F2621" s="7"/>
      <c r="G2621" s="7" t="s">
        <v>313</v>
      </c>
      <c r="H2621" s="7" t="s">
        <v>312</v>
      </c>
      <c r="I2621" s="10"/>
      <c r="J2621" s="11"/>
      <c r="K2621" s="12"/>
      <c r="L2621" s="12"/>
      <c r="M2621" s="10"/>
      <c r="N2621" s="10"/>
      <c r="O2621" s="10"/>
      <c r="P2621" s="10"/>
      <c r="Q2621" s="10"/>
      <c r="R2621" s="10"/>
      <c r="S2621" s="10"/>
      <c r="T2621" s="10"/>
      <c r="U2621" s="10"/>
      <c r="V2621" s="10"/>
      <c r="W2621" s="10"/>
      <c r="X2621" s="10"/>
      <c r="Y2621" s="10"/>
      <c r="Z2621" s="10"/>
      <c r="AA2621" s="10"/>
      <c r="AB2621" s="10"/>
      <c r="AC2621" s="10"/>
      <c r="AD2621" s="10"/>
      <c r="AE2621" s="10"/>
      <c r="AF2621" s="10"/>
    </row>
    <row r="2622">
      <c r="A2622" s="7"/>
      <c r="B2622" s="26">
        <v>216.0</v>
      </c>
      <c r="C2622" s="27">
        <v>15.0</v>
      </c>
      <c r="D2622" s="8" t="s">
        <v>3484</v>
      </c>
      <c r="E2622" s="7">
        <v>0.0</v>
      </c>
      <c r="F2622" s="7"/>
      <c r="G2622" s="7" t="s">
        <v>313</v>
      </c>
      <c r="H2622" s="7" t="s">
        <v>312</v>
      </c>
      <c r="I2622" s="10"/>
      <c r="J2622" s="11"/>
      <c r="K2622" s="12"/>
      <c r="L2622" s="12"/>
      <c r="M2622" s="10"/>
      <c r="N2622" s="10"/>
      <c r="O2622" s="10"/>
      <c r="P2622" s="10"/>
      <c r="Q2622" s="10"/>
      <c r="R2622" s="10"/>
      <c r="S2622" s="10"/>
      <c r="T2622" s="10"/>
      <c r="U2622" s="10"/>
      <c r="V2622" s="10"/>
      <c r="W2622" s="10"/>
      <c r="X2622" s="10"/>
      <c r="Y2622" s="10"/>
      <c r="Z2622" s="10"/>
      <c r="AA2622" s="10"/>
      <c r="AB2622" s="10"/>
      <c r="AC2622" s="10"/>
      <c r="AD2622" s="10"/>
      <c r="AE2622" s="10"/>
      <c r="AF2622" s="10"/>
    </row>
    <row r="2623">
      <c r="A2623" s="21" t="s">
        <v>217</v>
      </c>
      <c r="B2623" s="12"/>
      <c r="C2623" s="12"/>
      <c r="D2623" s="12"/>
      <c r="E2623" s="10"/>
      <c r="F2623" s="10"/>
      <c r="G2623" s="10"/>
      <c r="H2623" s="10"/>
      <c r="I2623" s="10"/>
      <c r="J2623" s="11"/>
      <c r="K2623" s="12"/>
      <c r="L2623" s="12"/>
      <c r="M2623" s="10"/>
      <c r="N2623" s="10"/>
      <c r="O2623" s="10"/>
      <c r="P2623" s="10"/>
      <c r="Q2623" s="10"/>
      <c r="R2623" s="10"/>
      <c r="S2623" s="10"/>
      <c r="T2623" s="10"/>
      <c r="U2623" s="10"/>
      <c r="V2623" s="10"/>
      <c r="W2623" s="10"/>
      <c r="X2623" s="10"/>
      <c r="Y2623" s="10"/>
      <c r="Z2623" s="10"/>
      <c r="AA2623" s="10"/>
      <c r="AB2623" s="10"/>
      <c r="AC2623" s="10"/>
      <c r="AD2623" s="10"/>
      <c r="AE2623" s="10"/>
      <c r="AF2623" s="10"/>
    </row>
    <row r="2624">
      <c r="A2624" s="7"/>
      <c r="B2624" s="26">
        <v>217.0</v>
      </c>
      <c r="C2624" s="27">
        <v>1.0</v>
      </c>
      <c r="D2624" s="8" t="s">
        <v>3485</v>
      </c>
      <c r="E2624" s="7">
        <v>3.0</v>
      </c>
      <c r="F2624" s="7"/>
      <c r="G2624" s="7" t="s">
        <v>313</v>
      </c>
      <c r="H2624" s="7" t="s">
        <v>312</v>
      </c>
      <c r="I2624" s="10"/>
      <c r="J2624" s="9" t="s">
        <v>3486</v>
      </c>
      <c r="K2624" s="12"/>
      <c r="L2624" s="12"/>
      <c r="M2624" s="10"/>
      <c r="N2624" s="10"/>
      <c r="O2624" s="10"/>
      <c r="P2624" s="10"/>
      <c r="Q2624" s="10"/>
      <c r="R2624" s="10"/>
      <c r="S2624" s="10"/>
      <c r="T2624" s="10"/>
      <c r="U2624" s="10"/>
      <c r="V2624" s="10"/>
      <c r="W2624" s="10"/>
      <c r="X2624" s="10"/>
      <c r="Y2624" s="10"/>
      <c r="Z2624" s="10"/>
      <c r="AA2624" s="10"/>
      <c r="AB2624" s="10"/>
      <c r="AC2624" s="10"/>
      <c r="AD2624" s="10"/>
      <c r="AE2624" s="10"/>
      <c r="AF2624" s="10"/>
    </row>
    <row r="2625">
      <c r="A2625" s="7"/>
      <c r="B2625" s="26">
        <v>217.0</v>
      </c>
      <c r="C2625" s="27">
        <v>2.0</v>
      </c>
      <c r="D2625" s="8" t="s">
        <v>3487</v>
      </c>
      <c r="E2625" s="7">
        <v>3.0</v>
      </c>
      <c r="F2625" s="7"/>
      <c r="G2625" s="7" t="s">
        <v>313</v>
      </c>
      <c r="H2625" s="7" t="s">
        <v>312</v>
      </c>
      <c r="I2625" s="10"/>
      <c r="J2625" s="9" t="s">
        <v>3488</v>
      </c>
      <c r="K2625" s="12"/>
      <c r="L2625" s="12"/>
      <c r="M2625" s="10"/>
      <c r="N2625" s="10"/>
      <c r="O2625" s="10"/>
      <c r="P2625" s="10"/>
      <c r="Q2625" s="10"/>
      <c r="R2625" s="10"/>
      <c r="S2625" s="10"/>
      <c r="T2625" s="10"/>
      <c r="U2625" s="10"/>
      <c r="V2625" s="10"/>
      <c r="W2625" s="10"/>
      <c r="X2625" s="10"/>
      <c r="Y2625" s="10"/>
      <c r="Z2625" s="10"/>
      <c r="AA2625" s="10"/>
      <c r="AB2625" s="10"/>
      <c r="AC2625" s="10"/>
      <c r="AD2625" s="10"/>
      <c r="AE2625" s="10"/>
      <c r="AF2625" s="10"/>
    </row>
    <row r="2626">
      <c r="A2626" s="7"/>
      <c r="B2626" s="26">
        <v>217.0</v>
      </c>
      <c r="C2626" s="27">
        <v>3.0</v>
      </c>
      <c r="D2626" s="8" t="s">
        <v>3489</v>
      </c>
      <c r="E2626" s="7">
        <v>0.0</v>
      </c>
      <c r="F2626" s="7"/>
      <c r="G2626" s="7" t="s">
        <v>313</v>
      </c>
      <c r="H2626" s="7" t="s">
        <v>312</v>
      </c>
      <c r="I2626" s="10"/>
      <c r="J2626" s="9" t="s">
        <v>3490</v>
      </c>
      <c r="K2626" s="12"/>
      <c r="L2626" s="12"/>
      <c r="M2626" s="10"/>
      <c r="N2626" s="10"/>
      <c r="O2626" s="10"/>
      <c r="P2626" s="10"/>
      <c r="Q2626" s="10"/>
      <c r="R2626" s="10"/>
      <c r="S2626" s="10"/>
      <c r="T2626" s="10"/>
      <c r="U2626" s="10"/>
      <c r="V2626" s="10"/>
      <c r="W2626" s="10"/>
      <c r="X2626" s="10"/>
      <c r="Y2626" s="10"/>
      <c r="Z2626" s="10"/>
      <c r="AA2626" s="10"/>
      <c r="AB2626" s="10"/>
      <c r="AC2626" s="10"/>
      <c r="AD2626" s="10"/>
      <c r="AE2626" s="10"/>
      <c r="AF2626" s="10"/>
    </row>
    <row r="2627">
      <c r="A2627" s="7"/>
      <c r="B2627" s="26">
        <v>217.0</v>
      </c>
      <c r="C2627" s="27">
        <v>4.0</v>
      </c>
      <c r="D2627" s="8" t="s">
        <v>3491</v>
      </c>
      <c r="E2627" s="7">
        <v>3.0</v>
      </c>
      <c r="F2627" s="7"/>
      <c r="G2627" s="7" t="s">
        <v>313</v>
      </c>
      <c r="H2627" s="7" t="s">
        <v>312</v>
      </c>
      <c r="I2627" s="10"/>
      <c r="J2627" s="11"/>
      <c r="K2627" s="12"/>
      <c r="L2627" s="12"/>
      <c r="M2627" s="10"/>
      <c r="N2627" s="10"/>
      <c r="O2627" s="10"/>
      <c r="P2627" s="10"/>
      <c r="Q2627" s="10"/>
      <c r="R2627" s="10"/>
      <c r="S2627" s="10"/>
      <c r="T2627" s="10"/>
      <c r="U2627" s="10"/>
      <c r="V2627" s="10"/>
      <c r="W2627" s="10"/>
      <c r="X2627" s="10"/>
      <c r="Y2627" s="10"/>
      <c r="Z2627" s="10"/>
      <c r="AA2627" s="10"/>
      <c r="AB2627" s="10"/>
      <c r="AC2627" s="10"/>
      <c r="AD2627" s="10"/>
      <c r="AE2627" s="10"/>
      <c r="AF2627" s="10"/>
    </row>
    <row r="2628">
      <c r="A2628" s="7"/>
      <c r="B2628" s="26">
        <v>217.0</v>
      </c>
      <c r="C2628" s="27">
        <v>5.0</v>
      </c>
      <c r="D2628" s="8" t="s">
        <v>3492</v>
      </c>
      <c r="E2628" s="7">
        <v>0.0</v>
      </c>
      <c r="F2628" s="7"/>
      <c r="G2628" s="7" t="s">
        <v>313</v>
      </c>
      <c r="H2628" s="7" t="s">
        <v>312</v>
      </c>
      <c r="I2628" s="10"/>
      <c r="J2628" s="11"/>
      <c r="K2628" s="12"/>
      <c r="L2628" s="12"/>
      <c r="M2628" s="10"/>
      <c r="N2628" s="10"/>
      <c r="O2628" s="10"/>
      <c r="P2628" s="10"/>
      <c r="Q2628" s="10"/>
      <c r="R2628" s="10"/>
      <c r="S2628" s="10"/>
      <c r="T2628" s="10"/>
      <c r="U2628" s="10"/>
      <c r="V2628" s="10"/>
      <c r="W2628" s="10"/>
      <c r="X2628" s="10"/>
      <c r="Y2628" s="10"/>
      <c r="Z2628" s="10"/>
      <c r="AA2628" s="10"/>
      <c r="AB2628" s="10"/>
      <c r="AC2628" s="10"/>
      <c r="AD2628" s="10"/>
      <c r="AE2628" s="10"/>
      <c r="AF2628" s="10"/>
    </row>
    <row r="2629">
      <c r="A2629" s="7"/>
      <c r="B2629" s="26">
        <v>217.0</v>
      </c>
      <c r="C2629" s="27">
        <v>6.0</v>
      </c>
      <c r="D2629" s="8" t="s">
        <v>3493</v>
      </c>
      <c r="E2629" s="7">
        <v>0.0</v>
      </c>
      <c r="F2629" s="7"/>
      <c r="G2629" s="7" t="s">
        <v>313</v>
      </c>
      <c r="H2629" s="7" t="s">
        <v>312</v>
      </c>
      <c r="I2629" s="10"/>
      <c r="J2629" s="11"/>
      <c r="K2629" s="12"/>
      <c r="L2629" s="12"/>
      <c r="M2629" s="10"/>
      <c r="N2629" s="10"/>
      <c r="O2629" s="10"/>
      <c r="P2629" s="10"/>
      <c r="Q2629" s="10"/>
      <c r="R2629" s="10"/>
      <c r="S2629" s="10"/>
      <c r="T2629" s="10"/>
      <c r="U2629" s="10"/>
      <c r="V2629" s="10"/>
      <c r="W2629" s="10"/>
      <c r="X2629" s="10"/>
      <c r="Y2629" s="10"/>
      <c r="Z2629" s="10"/>
      <c r="AA2629" s="10"/>
      <c r="AB2629" s="10"/>
      <c r="AC2629" s="10"/>
      <c r="AD2629" s="10"/>
      <c r="AE2629" s="10"/>
      <c r="AF2629" s="10"/>
    </row>
    <row r="2630">
      <c r="A2630" s="7"/>
      <c r="B2630" s="26">
        <v>217.0</v>
      </c>
      <c r="C2630" s="27">
        <v>7.0</v>
      </c>
      <c r="D2630" s="8" t="s">
        <v>3494</v>
      </c>
      <c r="E2630" s="7">
        <v>0.0</v>
      </c>
      <c r="F2630" s="7"/>
      <c r="G2630" s="7" t="s">
        <v>313</v>
      </c>
      <c r="H2630" s="7" t="s">
        <v>312</v>
      </c>
      <c r="I2630" s="10"/>
      <c r="J2630" s="11"/>
      <c r="K2630" s="12"/>
      <c r="L2630" s="12"/>
      <c r="M2630" s="10"/>
      <c r="N2630" s="10"/>
      <c r="O2630" s="10"/>
      <c r="P2630" s="10"/>
      <c r="Q2630" s="10"/>
      <c r="R2630" s="10"/>
      <c r="S2630" s="10"/>
      <c r="T2630" s="10"/>
      <c r="U2630" s="10"/>
      <c r="V2630" s="10"/>
      <c r="W2630" s="10"/>
      <c r="X2630" s="10"/>
      <c r="Y2630" s="10"/>
      <c r="Z2630" s="10"/>
      <c r="AA2630" s="10"/>
      <c r="AB2630" s="10"/>
      <c r="AC2630" s="10"/>
      <c r="AD2630" s="10"/>
      <c r="AE2630" s="10"/>
      <c r="AF2630" s="10"/>
    </row>
    <row r="2631">
      <c r="A2631" s="7"/>
      <c r="B2631" s="26">
        <v>217.0</v>
      </c>
      <c r="C2631" s="27">
        <v>8.0</v>
      </c>
      <c r="D2631" s="8" t="s">
        <v>3495</v>
      </c>
      <c r="E2631" s="7">
        <v>0.0</v>
      </c>
      <c r="F2631" s="7"/>
      <c r="G2631" s="7" t="s">
        <v>313</v>
      </c>
      <c r="H2631" s="7" t="s">
        <v>312</v>
      </c>
      <c r="I2631" s="10"/>
      <c r="J2631" s="11"/>
      <c r="K2631" s="12"/>
      <c r="L2631" s="12"/>
      <c r="M2631" s="10"/>
      <c r="N2631" s="10"/>
      <c r="O2631" s="10"/>
      <c r="P2631" s="10"/>
      <c r="Q2631" s="10"/>
      <c r="R2631" s="10"/>
      <c r="S2631" s="10"/>
      <c r="T2631" s="10"/>
      <c r="U2631" s="10"/>
      <c r="V2631" s="10"/>
      <c r="W2631" s="10"/>
      <c r="X2631" s="10"/>
      <c r="Y2631" s="10"/>
      <c r="Z2631" s="10"/>
      <c r="AA2631" s="10"/>
      <c r="AB2631" s="10"/>
      <c r="AC2631" s="10"/>
      <c r="AD2631" s="10"/>
      <c r="AE2631" s="10"/>
      <c r="AF2631" s="10"/>
    </row>
    <row r="2632">
      <c r="A2632" s="7"/>
      <c r="B2632" s="26">
        <v>217.0</v>
      </c>
      <c r="C2632" s="27">
        <v>9.0</v>
      </c>
      <c r="D2632" s="8" t="s">
        <v>3496</v>
      </c>
      <c r="E2632" s="7">
        <v>0.0</v>
      </c>
      <c r="F2632" s="7"/>
      <c r="G2632" s="7" t="s">
        <v>313</v>
      </c>
      <c r="H2632" s="7" t="s">
        <v>312</v>
      </c>
      <c r="I2632" s="10"/>
      <c r="J2632" s="11"/>
      <c r="K2632" s="12"/>
      <c r="L2632" s="12"/>
      <c r="M2632" s="10"/>
      <c r="N2632" s="10"/>
      <c r="O2632" s="10"/>
      <c r="P2632" s="10"/>
      <c r="Q2632" s="10"/>
      <c r="R2632" s="10"/>
      <c r="S2632" s="10"/>
      <c r="T2632" s="10"/>
      <c r="U2632" s="10"/>
      <c r="V2632" s="10"/>
      <c r="W2632" s="10"/>
      <c r="X2632" s="10"/>
      <c r="Y2632" s="10"/>
      <c r="Z2632" s="10"/>
      <c r="AA2632" s="10"/>
      <c r="AB2632" s="10"/>
      <c r="AC2632" s="10"/>
      <c r="AD2632" s="10"/>
      <c r="AE2632" s="10"/>
      <c r="AF2632" s="10"/>
    </row>
    <row r="2633">
      <c r="A2633" s="7"/>
      <c r="B2633" s="26">
        <v>217.0</v>
      </c>
      <c r="C2633" s="27">
        <v>10.0</v>
      </c>
      <c r="D2633" s="8" t="s">
        <v>3497</v>
      </c>
      <c r="E2633" s="7">
        <v>0.0</v>
      </c>
      <c r="F2633" s="7"/>
      <c r="G2633" s="7" t="s">
        <v>313</v>
      </c>
      <c r="H2633" s="7" t="s">
        <v>312</v>
      </c>
      <c r="I2633" s="10"/>
      <c r="J2633" s="11"/>
      <c r="K2633" s="12"/>
      <c r="L2633" s="12"/>
      <c r="M2633" s="10"/>
      <c r="N2633" s="10"/>
      <c r="O2633" s="10"/>
      <c r="P2633" s="10"/>
      <c r="Q2633" s="10"/>
      <c r="R2633" s="10"/>
      <c r="S2633" s="10"/>
      <c r="T2633" s="10"/>
      <c r="U2633" s="10"/>
      <c r="V2633" s="10"/>
      <c r="W2633" s="10"/>
      <c r="X2633" s="10"/>
      <c r="Y2633" s="10"/>
      <c r="Z2633" s="10"/>
      <c r="AA2633" s="10"/>
      <c r="AB2633" s="10"/>
      <c r="AC2633" s="10"/>
      <c r="AD2633" s="10"/>
      <c r="AE2633" s="10"/>
      <c r="AF2633" s="10"/>
    </row>
    <row r="2634">
      <c r="A2634" s="21" t="s">
        <v>218</v>
      </c>
      <c r="B2634" s="3"/>
      <c r="C2634" s="12"/>
      <c r="D2634" s="12"/>
      <c r="E2634" s="10"/>
      <c r="F2634" s="10"/>
      <c r="G2634" s="10"/>
      <c r="H2634" s="10"/>
      <c r="I2634" s="10"/>
      <c r="J2634" s="11"/>
      <c r="K2634" s="12"/>
      <c r="L2634" s="12"/>
      <c r="M2634" s="10"/>
      <c r="N2634" s="10"/>
      <c r="O2634" s="10"/>
      <c r="P2634" s="10"/>
      <c r="Q2634" s="10"/>
      <c r="R2634" s="10"/>
      <c r="S2634" s="10"/>
      <c r="T2634" s="10"/>
      <c r="U2634" s="10"/>
      <c r="V2634" s="10"/>
      <c r="W2634" s="10"/>
      <c r="X2634" s="10"/>
      <c r="Y2634" s="10"/>
      <c r="Z2634" s="10"/>
      <c r="AA2634" s="10"/>
      <c r="AB2634" s="10"/>
      <c r="AC2634" s="10"/>
      <c r="AD2634" s="10"/>
      <c r="AE2634" s="10"/>
      <c r="AF2634" s="10"/>
    </row>
    <row r="2635">
      <c r="A2635" s="7"/>
      <c r="B2635" s="26">
        <v>218.0</v>
      </c>
      <c r="C2635" s="27">
        <v>1.0</v>
      </c>
      <c r="D2635" s="8" t="s">
        <v>3498</v>
      </c>
      <c r="E2635" s="7">
        <v>2.0</v>
      </c>
      <c r="F2635" s="7" t="s">
        <v>320</v>
      </c>
      <c r="G2635" s="7" t="s">
        <v>313</v>
      </c>
      <c r="H2635" s="7" t="s">
        <v>312</v>
      </c>
      <c r="I2635" s="7" t="s">
        <v>320</v>
      </c>
      <c r="J2635" s="9" t="s">
        <v>850</v>
      </c>
      <c r="K2635" s="8" t="s">
        <v>3499</v>
      </c>
      <c r="L2635" s="12"/>
      <c r="M2635" s="10"/>
      <c r="N2635" s="10"/>
      <c r="O2635" s="10"/>
      <c r="P2635" s="10"/>
      <c r="Q2635" s="10"/>
      <c r="R2635" s="10"/>
      <c r="S2635" s="10"/>
      <c r="T2635" s="10"/>
      <c r="U2635" s="10"/>
      <c r="V2635" s="10"/>
      <c r="W2635" s="10"/>
      <c r="X2635" s="10"/>
      <c r="Y2635" s="10"/>
      <c r="Z2635" s="10"/>
      <c r="AA2635" s="10"/>
      <c r="AB2635" s="10"/>
      <c r="AC2635" s="10"/>
      <c r="AD2635" s="10"/>
      <c r="AE2635" s="10"/>
      <c r="AF2635" s="10"/>
    </row>
    <row r="2636">
      <c r="A2636" s="7"/>
      <c r="B2636" s="26">
        <v>218.0</v>
      </c>
      <c r="C2636" s="27">
        <v>2.0</v>
      </c>
      <c r="D2636" s="8" t="s">
        <v>3500</v>
      </c>
      <c r="E2636" s="7">
        <v>3.0</v>
      </c>
      <c r="F2636" s="7"/>
      <c r="G2636" s="7" t="s">
        <v>313</v>
      </c>
      <c r="H2636" s="7" t="s">
        <v>312</v>
      </c>
      <c r="I2636" s="10"/>
      <c r="J2636" s="11"/>
      <c r="K2636" s="20" t="s">
        <v>3501</v>
      </c>
      <c r="L2636" s="12"/>
      <c r="M2636" s="10"/>
      <c r="N2636" s="10"/>
      <c r="O2636" s="10"/>
      <c r="P2636" s="10"/>
      <c r="Q2636" s="10"/>
      <c r="R2636" s="10"/>
      <c r="S2636" s="10"/>
      <c r="T2636" s="10"/>
      <c r="U2636" s="10"/>
      <c r="V2636" s="10"/>
      <c r="W2636" s="10"/>
      <c r="X2636" s="10"/>
      <c r="Y2636" s="10"/>
      <c r="Z2636" s="10"/>
      <c r="AA2636" s="10"/>
      <c r="AB2636" s="10"/>
      <c r="AC2636" s="10"/>
      <c r="AD2636" s="10"/>
      <c r="AE2636" s="10"/>
      <c r="AF2636" s="10"/>
    </row>
    <row r="2637">
      <c r="A2637" s="7"/>
      <c r="B2637" s="26">
        <v>218.0</v>
      </c>
      <c r="C2637" s="27">
        <v>3.0</v>
      </c>
      <c r="D2637" s="8" t="s">
        <v>3502</v>
      </c>
      <c r="E2637" s="7">
        <v>0.0</v>
      </c>
      <c r="F2637" s="7"/>
      <c r="G2637" s="7" t="s">
        <v>313</v>
      </c>
      <c r="H2637" s="7" t="s">
        <v>312</v>
      </c>
      <c r="I2637" s="10"/>
      <c r="J2637" s="11"/>
      <c r="K2637" s="20"/>
      <c r="L2637" s="12"/>
      <c r="M2637" s="10"/>
      <c r="N2637" s="10"/>
      <c r="O2637" s="10"/>
      <c r="P2637" s="10"/>
      <c r="Q2637" s="10"/>
      <c r="R2637" s="10"/>
      <c r="S2637" s="10"/>
      <c r="T2637" s="10"/>
      <c r="U2637" s="10"/>
      <c r="V2637" s="10"/>
      <c r="W2637" s="10"/>
      <c r="X2637" s="10"/>
      <c r="Y2637" s="10"/>
      <c r="Z2637" s="10"/>
      <c r="AA2637" s="10"/>
      <c r="AB2637" s="10"/>
      <c r="AC2637" s="10"/>
      <c r="AD2637" s="10"/>
      <c r="AE2637" s="10"/>
      <c r="AF2637" s="10"/>
    </row>
    <row r="2638">
      <c r="A2638" s="7"/>
      <c r="B2638" s="26">
        <v>218.0</v>
      </c>
      <c r="C2638" s="27">
        <v>4.0</v>
      </c>
      <c r="D2638" s="8" t="s">
        <v>3503</v>
      </c>
      <c r="E2638" s="7">
        <v>3.0</v>
      </c>
      <c r="F2638" s="7"/>
      <c r="G2638" s="7" t="s">
        <v>313</v>
      </c>
      <c r="H2638" s="7" t="s">
        <v>312</v>
      </c>
      <c r="I2638" s="10"/>
      <c r="J2638" s="11"/>
      <c r="K2638" s="20" t="s">
        <v>3501</v>
      </c>
      <c r="L2638" s="12"/>
      <c r="M2638" s="10"/>
      <c r="N2638" s="10"/>
      <c r="O2638" s="10"/>
      <c r="P2638" s="10"/>
      <c r="Q2638" s="10"/>
      <c r="R2638" s="10"/>
      <c r="S2638" s="10"/>
      <c r="T2638" s="10"/>
      <c r="U2638" s="10"/>
      <c r="V2638" s="10"/>
      <c r="W2638" s="10"/>
      <c r="X2638" s="10"/>
      <c r="Y2638" s="10"/>
      <c r="Z2638" s="10"/>
      <c r="AA2638" s="10"/>
      <c r="AB2638" s="10"/>
      <c r="AC2638" s="10"/>
      <c r="AD2638" s="10"/>
      <c r="AE2638" s="10"/>
      <c r="AF2638" s="10"/>
    </row>
    <row r="2639">
      <c r="A2639" s="7"/>
      <c r="B2639" s="26">
        <v>218.0</v>
      </c>
      <c r="C2639" s="27">
        <v>5.0</v>
      </c>
      <c r="D2639" s="8" t="s">
        <v>3504</v>
      </c>
      <c r="E2639" s="7">
        <v>0.0</v>
      </c>
      <c r="F2639" s="7"/>
      <c r="G2639" s="7" t="s">
        <v>313</v>
      </c>
      <c r="H2639" s="7" t="s">
        <v>312</v>
      </c>
      <c r="I2639" s="10"/>
      <c r="J2639" s="11"/>
      <c r="K2639" s="12"/>
      <c r="L2639" s="12"/>
      <c r="M2639" s="10"/>
      <c r="N2639" s="10"/>
      <c r="O2639" s="10"/>
      <c r="P2639" s="10"/>
      <c r="Q2639" s="10"/>
      <c r="R2639" s="10"/>
      <c r="S2639" s="10"/>
      <c r="T2639" s="10"/>
      <c r="U2639" s="10"/>
      <c r="V2639" s="10"/>
      <c r="W2639" s="10"/>
      <c r="X2639" s="10"/>
      <c r="Y2639" s="10"/>
      <c r="Z2639" s="10"/>
      <c r="AA2639" s="10"/>
      <c r="AB2639" s="10"/>
      <c r="AC2639" s="10"/>
      <c r="AD2639" s="10"/>
      <c r="AE2639" s="10"/>
      <c r="AF2639" s="10"/>
    </row>
    <row r="2640">
      <c r="A2640" s="7"/>
      <c r="B2640" s="26">
        <v>218.0</v>
      </c>
      <c r="C2640" s="27">
        <v>6.0</v>
      </c>
      <c r="D2640" s="8" t="s">
        <v>3505</v>
      </c>
      <c r="E2640" s="7">
        <v>0.0</v>
      </c>
      <c r="F2640" s="7"/>
      <c r="G2640" s="7" t="s">
        <v>313</v>
      </c>
      <c r="H2640" s="7" t="s">
        <v>312</v>
      </c>
      <c r="I2640" s="10"/>
      <c r="J2640" s="11"/>
      <c r="K2640" s="12"/>
      <c r="L2640" s="12"/>
      <c r="M2640" s="10"/>
      <c r="N2640" s="10"/>
      <c r="O2640" s="10"/>
      <c r="P2640" s="10"/>
      <c r="Q2640" s="10"/>
      <c r="R2640" s="10"/>
      <c r="S2640" s="10"/>
      <c r="T2640" s="10"/>
      <c r="U2640" s="10"/>
      <c r="V2640" s="10"/>
      <c r="W2640" s="10"/>
      <c r="X2640" s="10"/>
      <c r="Y2640" s="10"/>
      <c r="Z2640" s="10"/>
      <c r="AA2640" s="10"/>
      <c r="AB2640" s="10"/>
      <c r="AC2640" s="10"/>
      <c r="AD2640" s="10"/>
      <c r="AE2640" s="10"/>
      <c r="AF2640" s="10"/>
    </row>
    <row r="2641">
      <c r="A2641" s="21" t="s">
        <v>219</v>
      </c>
      <c r="B2641" s="12"/>
      <c r="C2641" s="12"/>
      <c r="D2641" s="12"/>
      <c r="E2641" s="10"/>
      <c r="F2641" s="10"/>
      <c r="G2641" s="10"/>
      <c r="H2641" s="10"/>
      <c r="I2641" s="10"/>
      <c r="J2641" s="11"/>
      <c r="K2641" s="12"/>
      <c r="L2641" s="12"/>
      <c r="M2641" s="10"/>
      <c r="N2641" s="10"/>
      <c r="O2641" s="10"/>
      <c r="P2641" s="10"/>
      <c r="Q2641" s="10"/>
      <c r="R2641" s="10"/>
      <c r="S2641" s="10"/>
      <c r="T2641" s="10"/>
      <c r="U2641" s="10"/>
      <c r="V2641" s="10"/>
      <c r="W2641" s="10"/>
      <c r="X2641" s="10"/>
      <c r="Y2641" s="10"/>
      <c r="Z2641" s="10"/>
      <c r="AA2641" s="10"/>
      <c r="AB2641" s="10"/>
      <c r="AC2641" s="10"/>
      <c r="AD2641" s="10"/>
      <c r="AE2641" s="10"/>
      <c r="AF2641" s="10"/>
    </row>
    <row r="2642">
      <c r="A2642" s="7"/>
      <c r="B2642" s="26">
        <v>219.0</v>
      </c>
      <c r="C2642" s="27">
        <v>1.0</v>
      </c>
      <c r="D2642" s="8" t="s">
        <v>3506</v>
      </c>
      <c r="E2642" s="7">
        <v>0.0</v>
      </c>
      <c r="F2642" s="7"/>
      <c r="G2642" s="7" t="s">
        <v>313</v>
      </c>
      <c r="H2642" s="7" t="s">
        <v>312</v>
      </c>
      <c r="I2642" s="10"/>
      <c r="K2642" s="12"/>
      <c r="L2642" s="12"/>
      <c r="M2642" s="10"/>
      <c r="N2642" s="10"/>
      <c r="O2642" s="10"/>
      <c r="P2642" s="10"/>
      <c r="Q2642" s="10"/>
      <c r="R2642" s="10"/>
      <c r="S2642" s="10"/>
      <c r="T2642" s="10"/>
      <c r="U2642" s="10"/>
      <c r="V2642" s="10"/>
      <c r="W2642" s="10"/>
      <c r="X2642" s="10"/>
      <c r="Y2642" s="10"/>
      <c r="Z2642" s="10"/>
      <c r="AA2642" s="10"/>
      <c r="AB2642" s="10"/>
      <c r="AC2642" s="10"/>
      <c r="AD2642" s="10"/>
      <c r="AE2642" s="10"/>
      <c r="AF2642" s="10"/>
    </row>
    <row r="2643">
      <c r="A2643" s="7"/>
      <c r="B2643" s="26">
        <v>219.0</v>
      </c>
      <c r="C2643" s="27">
        <v>2.0</v>
      </c>
      <c r="D2643" s="8" t="s">
        <v>3507</v>
      </c>
      <c r="E2643" s="7">
        <v>3.0</v>
      </c>
      <c r="F2643" s="7"/>
      <c r="G2643" s="7" t="s">
        <v>313</v>
      </c>
      <c r="H2643" s="7" t="s">
        <v>312</v>
      </c>
      <c r="I2643" s="7" t="s">
        <v>366</v>
      </c>
      <c r="J2643" s="16" t="s">
        <v>3508</v>
      </c>
      <c r="K2643" s="12"/>
      <c r="L2643" s="12"/>
      <c r="M2643" s="10"/>
      <c r="N2643" s="10"/>
      <c r="O2643" s="10"/>
      <c r="P2643" s="10"/>
      <c r="Q2643" s="10"/>
      <c r="R2643" s="10"/>
      <c r="S2643" s="10"/>
      <c r="T2643" s="10"/>
      <c r="U2643" s="10"/>
      <c r="V2643" s="10"/>
      <c r="W2643" s="10"/>
      <c r="X2643" s="10"/>
      <c r="Y2643" s="10"/>
      <c r="Z2643" s="10"/>
      <c r="AA2643" s="10"/>
      <c r="AB2643" s="10"/>
      <c r="AC2643" s="10"/>
      <c r="AD2643" s="10"/>
      <c r="AE2643" s="10"/>
      <c r="AF2643" s="10"/>
    </row>
    <row r="2644">
      <c r="A2644" s="7"/>
      <c r="B2644" s="26">
        <v>219.0</v>
      </c>
      <c r="C2644" s="27">
        <v>3.0</v>
      </c>
      <c r="D2644" s="8" t="s">
        <v>3509</v>
      </c>
      <c r="E2644" s="7">
        <v>3.0</v>
      </c>
      <c r="F2644" s="7"/>
      <c r="G2644" s="7" t="s">
        <v>313</v>
      </c>
      <c r="H2644" s="7" t="s">
        <v>312</v>
      </c>
      <c r="I2644" s="7" t="s">
        <v>366</v>
      </c>
      <c r="J2644" s="16" t="s">
        <v>3510</v>
      </c>
      <c r="K2644" s="12"/>
      <c r="L2644" s="12"/>
      <c r="M2644" s="10"/>
      <c r="N2644" s="10"/>
      <c r="O2644" s="10"/>
      <c r="P2644" s="10"/>
      <c r="Q2644" s="10"/>
      <c r="R2644" s="10"/>
      <c r="S2644" s="10"/>
      <c r="T2644" s="10"/>
      <c r="U2644" s="10"/>
      <c r="V2644" s="10"/>
      <c r="W2644" s="10"/>
      <c r="X2644" s="10"/>
      <c r="Y2644" s="10"/>
      <c r="Z2644" s="10"/>
      <c r="AA2644" s="10"/>
      <c r="AB2644" s="10"/>
      <c r="AC2644" s="10"/>
      <c r="AD2644" s="10"/>
      <c r="AE2644" s="10"/>
      <c r="AF2644" s="10"/>
    </row>
    <row r="2645">
      <c r="A2645" s="7"/>
      <c r="B2645" s="26">
        <v>219.0</v>
      </c>
      <c r="C2645" s="27">
        <v>4.0</v>
      </c>
      <c r="D2645" s="8" t="s">
        <v>3511</v>
      </c>
      <c r="E2645" s="7">
        <v>3.0</v>
      </c>
      <c r="F2645" s="7"/>
      <c r="G2645" s="7" t="s">
        <v>313</v>
      </c>
      <c r="H2645" s="7" t="s">
        <v>312</v>
      </c>
      <c r="I2645" s="7" t="s">
        <v>366</v>
      </c>
      <c r="J2645" s="16" t="s">
        <v>3510</v>
      </c>
      <c r="K2645" s="12"/>
      <c r="L2645" s="12"/>
      <c r="M2645" s="10"/>
      <c r="N2645" s="10"/>
      <c r="O2645" s="10"/>
      <c r="P2645" s="10"/>
      <c r="Q2645" s="10"/>
      <c r="R2645" s="10"/>
      <c r="S2645" s="10"/>
      <c r="T2645" s="10"/>
      <c r="U2645" s="10"/>
      <c r="V2645" s="10"/>
      <c r="W2645" s="10"/>
      <c r="X2645" s="10"/>
      <c r="Y2645" s="10"/>
      <c r="Z2645" s="10"/>
      <c r="AA2645" s="10"/>
      <c r="AB2645" s="10"/>
      <c r="AC2645" s="10"/>
      <c r="AD2645" s="10"/>
      <c r="AE2645" s="10"/>
      <c r="AF2645" s="10"/>
    </row>
    <row r="2646">
      <c r="A2646" s="7"/>
      <c r="B2646" s="26">
        <v>219.0</v>
      </c>
      <c r="C2646" s="27">
        <v>5.0</v>
      </c>
      <c r="D2646" s="8" t="s">
        <v>3512</v>
      </c>
      <c r="E2646" s="7">
        <v>0.0</v>
      </c>
      <c r="F2646" s="7"/>
      <c r="G2646" s="7" t="s">
        <v>313</v>
      </c>
      <c r="H2646" s="7" t="s">
        <v>312</v>
      </c>
      <c r="I2646" s="10"/>
      <c r="J2646" s="11"/>
      <c r="K2646" s="12"/>
      <c r="L2646" s="12"/>
      <c r="M2646" s="10"/>
      <c r="N2646" s="10"/>
      <c r="O2646" s="10"/>
      <c r="P2646" s="10"/>
      <c r="Q2646" s="10"/>
      <c r="R2646" s="10"/>
      <c r="S2646" s="10"/>
      <c r="T2646" s="10"/>
      <c r="U2646" s="10"/>
      <c r="V2646" s="10"/>
      <c r="W2646" s="10"/>
      <c r="X2646" s="10"/>
      <c r="Y2646" s="10"/>
      <c r="Z2646" s="10"/>
      <c r="AA2646" s="10"/>
      <c r="AB2646" s="10"/>
      <c r="AC2646" s="10"/>
      <c r="AD2646" s="10"/>
      <c r="AE2646" s="10"/>
      <c r="AF2646" s="10"/>
    </row>
    <row r="2647">
      <c r="A2647" s="7"/>
      <c r="B2647" s="26">
        <v>219.0</v>
      </c>
      <c r="C2647" s="27">
        <v>6.0</v>
      </c>
      <c r="D2647" s="8" t="s">
        <v>3513</v>
      </c>
      <c r="E2647" s="7">
        <v>3.0</v>
      </c>
      <c r="F2647" s="7"/>
      <c r="G2647" s="7" t="s">
        <v>313</v>
      </c>
      <c r="H2647" s="7" t="s">
        <v>312</v>
      </c>
      <c r="I2647" s="7" t="s">
        <v>366</v>
      </c>
      <c r="J2647" s="16" t="s">
        <v>3508</v>
      </c>
      <c r="K2647" s="12"/>
      <c r="L2647" s="12"/>
      <c r="M2647" s="10"/>
      <c r="N2647" s="10"/>
      <c r="O2647" s="10"/>
      <c r="P2647" s="10"/>
      <c r="Q2647" s="10"/>
      <c r="R2647" s="10"/>
      <c r="S2647" s="10"/>
      <c r="T2647" s="10"/>
      <c r="U2647" s="10"/>
      <c r="V2647" s="10"/>
      <c r="W2647" s="10"/>
      <c r="X2647" s="10"/>
      <c r="Y2647" s="10"/>
      <c r="Z2647" s="10"/>
      <c r="AA2647" s="10"/>
      <c r="AB2647" s="10"/>
      <c r="AC2647" s="10"/>
      <c r="AD2647" s="10"/>
      <c r="AE2647" s="10"/>
      <c r="AF2647" s="10"/>
    </row>
    <row r="2648">
      <c r="A2648" s="7"/>
      <c r="B2648" s="26">
        <v>219.0</v>
      </c>
      <c r="C2648" s="27">
        <v>7.0</v>
      </c>
      <c r="D2648" s="8" t="s">
        <v>3514</v>
      </c>
      <c r="E2648" s="7">
        <v>3.0</v>
      </c>
      <c r="F2648" s="7"/>
      <c r="G2648" s="7" t="s">
        <v>313</v>
      </c>
      <c r="H2648" s="7" t="s">
        <v>312</v>
      </c>
      <c r="I2648" s="10"/>
      <c r="J2648" s="9" t="s">
        <v>3515</v>
      </c>
      <c r="K2648" s="20" t="s">
        <v>3501</v>
      </c>
      <c r="L2648" s="12"/>
      <c r="M2648" s="10"/>
      <c r="N2648" s="10"/>
      <c r="O2648" s="10"/>
      <c r="P2648" s="10"/>
      <c r="Q2648" s="10"/>
      <c r="R2648" s="10"/>
      <c r="S2648" s="10"/>
      <c r="T2648" s="10"/>
      <c r="U2648" s="10"/>
      <c r="V2648" s="10"/>
      <c r="W2648" s="10"/>
      <c r="X2648" s="10"/>
      <c r="Y2648" s="10"/>
      <c r="Z2648" s="10"/>
      <c r="AA2648" s="10"/>
      <c r="AB2648" s="10"/>
      <c r="AC2648" s="10"/>
      <c r="AD2648" s="10"/>
      <c r="AE2648" s="10"/>
      <c r="AF2648" s="10"/>
    </row>
    <row r="2649">
      <c r="A2649" s="7"/>
      <c r="B2649" s="26">
        <v>219.0</v>
      </c>
      <c r="C2649" s="27">
        <v>8.0</v>
      </c>
      <c r="D2649" s="8" t="s">
        <v>3516</v>
      </c>
      <c r="E2649" s="7">
        <v>3.0</v>
      </c>
      <c r="F2649" s="7"/>
      <c r="G2649" s="7" t="s">
        <v>313</v>
      </c>
      <c r="H2649" s="7" t="s">
        <v>312</v>
      </c>
      <c r="I2649" s="10"/>
      <c r="J2649" s="11"/>
      <c r="K2649" s="20" t="s">
        <v>3501</v>
      </c>
      <c r="L2649" s="12"/>
      <c r="M2649" s="10"/>
      <c r="N2649" s="10"/>
      <c r="O2649" s="10"/>
      <c r="P2649" s="10"/>
      <c r="Q2649" s="10"/>
      <c r="R2649" s="10"/>
      <c r="S2649" s="10"/>
      <c r="T2649" s="10"/>
      <c r="U2649" s="10"/>
      <c r="V2649" s="10"/>
      <c r="W2649" s="10"/>
      <c r="X2649" s="10"/>
      <c r="Y2649" s="10"/>
      <c r="Z2649" s="10"/>
      <c r="AA2649" s="10"/>
      <c r="AB2649" s="10"/>
      <c r="AC2649" s="10"/>
      <c r="AD2649" s="10"/>
      <c r="AE2649" s="10"/>
      <c r="AF2649" s="10"/>
    </row>
    <row r="2650">
      <c r="A2650" s="7"/>
      <c r="B2650" s="26">
        <v>219.0</v>
      </c>
      <c r="C2650" s="27">
        <v>9.0</v>
      </c>
      <c r="D2650" s="8" t="s">
        <v>3517</v>
      </c>
      <c r="E2650" s="7">
        <v>0.0</v>
      </c>
      <c r="F2650" s="7"/>
      <c r="G2650" s="7" t="s">
        <v>313</v>
      </c>
      <c r="H2650" s="7" t="s">
        <v>312</v>
      </c>
      <c r="I2650" s="10"/>
      <c r="J2650" s="11"/>
      <c r="K2650" s="12"/>
      <c r="L2650" s="12"/>
      <c r="M2650" s="10"/>
      <c r="N2650" s="10"/>
      <c r="O2650" s="10"/>
      <c r="P2650" s="10"/>
      <c r="Q2650" s="10"/>
      <c r="R2650" s="10"/>
      <c r="S2650" s="10"/>
      <c r="T2650" s="10"/>
      <c r="U2650" s="10"/>
      <c r="V2650" s="10"/>
      <c r="W2650" s="10"/>
      <c r="X2650" s="10"/>
      <c r="Y2650" s="10"/>
      <c r="Z2650" s="10"/>
      <c r="AA2650" s="10"/>
      <c r="AB2650" s="10"/>
      <c r="AC2650" s="10"/>
      <c r="AD2650" s="10"/>
      <c r="AE2650" s="10"/>
      <c r="AF2650" s="10"/>
    </row>
    <row r="2651">
      <c r="A2651" s="7"/>
      <c r="B2651" s="26">
        <v>219.0</v>
      </c>
      <c r="C2651" s="27">
        <v>10.0</v>
      </c>
      <c r="D2651" s="8" t="s">
        <v>3518</v>
      </c>
      <c r="E2651" s="7">
        <v>0.0</v>
      </c>
      <c r="F2651" s="7"/>
      <c r="G2651" s="7" t="s">
        <v>313</v>
      </c>
      <c r="H2651" s="7" t="s">
        <v>312</v>
      </c>
      <c r="I2651" s="10"/>
      <c r="J2651" s="11"/>
      <c r="K2651" s="12"/>
      <c r="L2651" s="12"/>
      <c r="M2651" s="10"/>
      <c r="N2651" s="10"/>
      <c r="O2651" s="10"/>
      <c r="P2651" s="10"/>
      <c r="Q2651" s="10"/>
      <c r="R2651" s="10"/>
      <c r="S2651" s="10"/>
      <c r="T2651" s="10"/>
      <c r="U2651" s="10"/>
      <c r="V2651" s="10"/>
      <c r="W2651" s="10"/>
      <c r="X2651" s="10"/>
      <c r="Y2651" s="10"/>
      <c r="Z2651" s="10"/>
      <c r="AA2651" s="10"/>
      <c r="AB2651" s="10"/>
      <c r="AC2651" s="10"/>
      <c r="AD2651" s="10"/>
      <c r="AE2651" s="10"/>
      <c r="AF2651" s="10"/>
    </row>
    <row r="2652">
      <c r="A2652" s="7"/>
      <c r="B2652" s="26">
        <v>219.0</v>
      </c>
      <c r="C2652" s="27">
        <v>11.0</v>
      </c>
      <c r="D2652" s="8" t="s">
        <v>3519</v>
      </c>
      <c r="E2652" s="7">
        <v>0.0</v>
      </c>
      <c r="F2652" s="7"/>
      <c r="G2652" s="7" t="s">
        <v>313</v>
      </c>
      <c r="H2652" s="7" t="s">
        <v>312</v>
      </c>
      <c r="I2652" s="10"/>
      <c r="J2652" s="11"/>
      <c r="K2652" s="12"/>
      <c r="L2652" s="12"/>
      <c r="M2652" s="10"/>
      <c r="N2652" s="10"/>
      <c r="O2652" s="10"/>
      <c r="P2652" s="10"/>
      <c r="Q2652" s="10"/>
      <c r="R2652" s="10"/>
      <c r="S2652" s="10"/>
      <c r="T2652" s="10"/>
      <c r="U2652" s="10"/>
      <c r="V2652" s="10"/>
      <c r="W2652" s="10"/>
      <c r="X2652" s="10"/>
      <c r="Y2652" s="10"/>
      <c r="Z2652" s="10"/>
      <c r="AA2652" s="10"/>
      <c r="AB2652" s="10"/>
      <c r="AC2652" s="10"/>
      <c r="AD2652" s="10"/>
      <c r="AE2652" s="10"/>
      <c r="AF2652" s="10"/>
    </row>
    <row r="2653">
      <c r="A2653" s="7"/>
      <c r="B2653" s="26">
        <v>219.0</v>
      </c>
      <c r="C2653" s="27">
        <v>12.0</v>
      </c>
      <c r="D2653" s="8" t="s">
        <v>3520</v>
      </c>
      <c r="E2653" s="7">
        <v>3.0</v>
      </c>
      <c r="F2653" s="7"/>
      <c r="G2653" s="7" t="s">
        <v>313</v>
      </c>
      <c r="H2653" s="7" t="s">
        <v>312</v>
      </c>
      <c r="I2653" s="7" t="s">
        <v>366</v>
      </c>
      <c r="J2653" s="16" t="s">
        <v>3508</v>
      </c>
      <c r="K2653" s="12"/>
      <c r="L2653" s="12"/>
      <c r="M2653" s="10"/>
      <c r="N2653" s="10"/>
      <c r="O2653" s="10"/>
      <c r="P2653" s="10"/>
      <c r="Q2653" s="10"/>
      <c r="R2653" s="10"/>
      <c r="S2653" s="10"/>
      <c r="T2653" s="10"/>
      <c r="U2653" s="10"/>
      <c r="V2653" s="10"/>
      <c r="W2653" s="10"/>
      <c r="X2653" s="10"/>
      <c r="Y2653" s="10"/>
      <c r="Z2653" s="10"/>
      <c r="AA2653" s="10"/>
      <c r="AB2653" s="10"/>
      <c r="AC2653" s="10"/>
      <c r="AD2653" s="10"/>
      <c r="AE2653" s="10"/>
      <c r="AF2653" s="10"/>
    </row>
    <row r="2654">
      <c r="A2654" s="7"/>
      <c r="B2654" s="26">
        <v>219.0</v>
      </c>
      <c r="C2654" s="27">
        <v>13.0</v>
      </c>
      <c r="D2654" s="8" t="s">
        <v>3521</v>
      </c>
      <c r="E2654" s="7">
        <v>0.0</v>
      </c>
      <c r="F2654" s="7"/>
      <c r="G2654" s="7" t="s">
        <v>313</v>
      </c>
      <c r="H2654" s="7" t="s">
        <v>312</v>
      </c>
      <c r="I2654" s="7" t="s">
        <v>366</v>
      </c>
      <c r="J2654" s="16" t="s">
        <v>3522</v>
      </c>
      <c r="K2654" s="20" t="s">
        <v>2764</v>
      </c>
      <c r="L2654" s="12"/>
      <c r="M2654" s="10"/>
      <c r="N2654" s="10"/>
      <c r="O2654" s="10"/>
      <c r="P2654" s="10"/>
      <c r="Q2654" s="10"/>
      <c r="R2654" s="10"/>
      <c r="S2654" s="10"/>
      <c r="T2654" s="10"/>
      <c r="U2654" s="10"/>
      <c r="V2654" s="10"/>
      <c r="W2654" s="10"/>
      <c r="X2654" s="10"/>
      <c r="Y2654" s="10"/>
      <c r="Z2654" s="10"/>
      <c r="AA2654" s="10"/>
      <c r="AB2654" s="10"/>
      <c r="AC2654" s="10"/>
      <c r="AD2654" s="10"/>
      <c r="AE2654" s="10"/>
      <c r="AF2654" s="10"/>
    </row>
    <row r="2655">
      <c r="A2655" s="7"/>
      <c r="B2655" s="26">
        <v>219.0</v>
      </c>
      <c r="C2655" s="27">
        <v>14.0</v>
      </c>
      <c r="D2655" s="8" t="s">
        <v>3523</v>
      </c>
      <c r="E2655" s="7">
        <v>3.0</v>
      </c>
      <c r="F2655" s="7"/>
      <c r="G2655" s="7" t="s">
        <v>313</v>
      </c>
      <c r="H2655" s="7" t="s">
        <v>312</v>
      </c>
      <c r="I2655" s="10"/>
      <c r="J2655" s="11"/>
      <c r="K2655" s="20" t="s">
        <v>3501</v>
      </c>
      <c r="L2655" s="12"/>
      <c r="M2655" s="10"/>
      <c r="N2655" s="10"/>
      <c r="O2655" s="10"/>
      <c r="P2655" s="10"/>
      <c r="Q2655" s="10"/>
      <c r="R2655" s="10"/>
      <c r="S2655" s="10"/>
      <c r="T2655" s="10"/>
      <c r="U2655" s="10"/>
      <c r="V2655" s="10"/>
      <c r="W2655" s="10"/>
      <c r="X2655" s="10"/>
      <c r="Y2655" s="10"/>
      <c r="Z2655" s="10"/>
      <c r="AA2655" s="10"/>
      <c r="AB2655" s="10"/>
      <c r="AC2655" s="10"/>
      <c r="AD2655" s="10"/>
      <c r="AE2655" s="10"/>
      <c r="AF2655" s="10"/>
    </row>
    <row r="2656">
      <c r="A2656" s="7"/>
      <c r="B2656" s="26">
        <v>219.0</v>
      </c>
      <c r="C2656" s="27">
        <v>15.0</v>
      </c>
      <c r="D2656" s="8" t="s">
        <v>3524</v>
      </c>
      <c r="E2656" s="7">
        <v>3.0</v>
      </c>
      <c r="F2656" s="7"/>
      <c r="G2656" s="7" t="s">
        <v>313</v>
      </c>
      <c r="H2656" s="7" t="s">
        <v>312</v>
      </c>
      <c r="I2656" s="10"/>
      <c r="J2656" s="11"/>
      <c r="K2656" s="20" t="s">
        <v>3501</v>
      </c>
      <c r="L2656" s="12"/>
      <c r="M2656" s="10"/>
      <c r="N2656" s="10"/>
      <c r="O2656" s="10"/>
      <c r="P2656" s="10"/>
      <c r="Q2656" s="10"/>
      <c r="R2656" s="10"/>
      <c r="S2656" s="10"/>
      <c r="T2656" s="10"/>
      <c r="U2656" s="10"/>
      <c r="V2656" s="10"/>
      <c r="W2656" s="10"/>
      <c r="X2656" s="10"/>
      <c r="Y2656" s="10"/>
      <c r="Z2656" s="10"/>
      <c r="AA2656" s="10"/>
      <c r="AB2656" s="10"/>
      <c r="AC2656" s="10"/>
      <c r="AD2656" s="10"/>
      <c r="AE2656" s="10"/>
      <c r="AF2656" s="10"/>
    </row>
    <row r="2657">
      <c r="A2657" s="13" t="s">
        <v>220</v>
      </c>
      <c r="B2657" s="12"/>
      <c r="C2657" s="12"/>
      <c r="D2657" s="12"/>
      <c r="E2657" s="10"/>
      <c r="F2657" s="10"/>
      <c r="G2657" s="10"/>
      <c r="H2657" s="10"/>
      <c r="I2657" s="10"/>
      <c r="J2657" s="11"/>
      <c r="K2657" s="12"/>
      <c r="L2657" s="12"/>
      <c r="M2657" s="10"/>
      <c r="N2657" s="10"/>
      <c r="O2657" s="10"/>
      <c r="P2657" s="10"/>
      <c r="Q2657" s="10"/>
      <c r="R2657" s="10"/>
      <c r="S2657" s="10"/>
      <c r="T2657" s="10"/>
      <c r="U2657" s="10"/>
      <c r="V2657" s="10"/>
      <c r="W2657" s="10"/>
      <c r="X2657" s="10"/>
      <c r="Y2657" s="10"/>
      <c r="Z2657" s="10"/>
      <c r="AA2657" s="10"/>
      <c r="AB2657" s="10"/>
      <c r="AC2657" s="10"/>
      <c r="AD2657" s="10"/>
      <c r="AE2657" s="10"/>
      <c r="AF2657" s="10"/>
    </row>
    <row r="2658">
      <c r="A2658" s="7"/>
      <c r="B2658" s="26">
        <v>220.0</v>
      </c>
      <c r="C2658" s="27">
        <v>1.0</v>
      </c>
      <c r="D2658" s="8" t="s">
        <v>3525</v>
      </c>
      <c r="E2658" s="7">
        <v>0.0</v>
      </c>
      <c r="F2658" s="7" t="s">
        <v>320</v>
      </c>
      <c r="G2658" s="7" t="s">
        <v>313</v>
      </c>
      <c r="H2658" s="7" t="s">
        <v>312</v>
      </c>
      <c r="I2658" s="7" t="s">
        <v>320</v>
      </c>
      <c r="J2658" s="9" t="s">
        <v>3526</v>
      </c>
      <c r="K2658" s="8" t="s">
        <v>3527</v>
      </c>
      <c r="L2658" s="12"/>
      <c r="M2658" s="10"/>
      <c r="N2658" s="10"/>
      <c r="O2658" s="10"/>
      <c r="P2658" s="10"/>
      <c r="Q2658" s="10"/>
      <c r="R2658" s="10"/>
      <c r="S2658" s="10"/>
      <c r="T2658" s="10"/>
      <c r="U2658" s="10"/>
      <c r="V2658" s="10"/>
      <c r="W2658" s="10"/>
      <c r="X2658" s="10"/>
      <c r="Y2658" s="10"/>
      <c r="Z2658" s="10"/>
      <c r="AA2658" s="10"/>
      <c r="AB2658" s="10"/>
      <c r="AC2658" s="10"/>
      <c r="AD2658" s="10"/>
      <c r="AE2658" s="10"/>
      <c r="AF2658" s="10"/>
    </row>
    <row r="2659">
      <c r="A2659" s="7"/>
      <c r="B2659" s="26">
        <v>220.0</v>
      </c>
      <c r="C2659" s="27">
        <v>2.0</v>
      </c>
      <c r="D2659" s="8" t="s">
        <v>3528</v>
      </c>
      <c r="E2659" s="7">
        <v>3.0</v>
      </c>
      <c r="F2659" s="7"/>
      <c r="G2659" s="7" t="s">
        <v>313</v>
      </c>
      <c r="H2659" s="7" t="s">
        <v>312</v>
      </c>
      <c r="I2659" s="10"/>
      <c r="J2659" s="11"/>
      <c r="K2659" s="20" t="s">
        <v>3529</v>
      </c>
      <c r="L2659" s="12"/>
      <c r="M2659" s="10"/>
      <c r="N2659" s="10"/>
      <c r="O2659" s="10"/>
      <c r="P2659" s="10"/>
      <c r="Q2659" s="10"/>
      <c r="R2659" s="10"/>
      <c r="S2659" s="10"/>
      <c r="T2659" s="10"/>
      <c r="U2659" s="10"/>
      <c r="V2659" s="10"/>
      <c r="W2659" s="10"/>
      <c r="X2659" s="10"/>
      <c r="Y2659" s="10"/>
      <c r="Z2659" s="10"/>
      <c r="AA2659" s="10"/>
      <c r="AB2659" s="10"/>
      <c r="AC2659" s="10"/>
      <c r="AD2659" s="10"/>
      <c r="AE2659" s="10"/>
      <c r="AF2659" s="10"/>
    </row>
    <row r="2660">
      <c r="A2660" s="7"/>
      <c r="B2660" s="26">
        <v>220.0</v>
      </c>
      <c r="C2660" s="27">
        <v>3.0</v>
      </c>
      <c r="D2660" s="8" t="s">
        <v>3530</v>
      </c>
      <c r="E2660" s="7">
        <v>0.0</v>
      </c>
      <c r="F2660" s="7" t="s">
        <v>320</v>
      </c>
      <c r="G2660" s="7" t="s">
        <v>313</v>
      </c>
      <c r="H2660" s="7" t="s">
        <v>312</v>
      </c>
      <c r="I2660" s="7" t="s">
        <v>366</v>
      </c>
      <c r="J2660" s="9" t="s">
        <v>3531</v>
      </c>
      <c r="K2660" s="12"/>
      <c r="L2660" s="12"/>
      <c r="M2660" s="10"/>
      <c r="N2660" s="10"/>
      <c r="O2660" s="10"/>
      <c r="P2660" s="10"/>
      <c r="Q2660" s="10"/>
      <c r="R2660" s="10"/>
      <c r="S2660" s="10"/>
      <c r="T2660" s="10"/>
      <c r="U2660" s="10"/>
      <c r="V2660" s="10"/>
      <c r="W2660" s="10"/>
      <c r="X2660" s="10"/>
      <c r="Y2660" s="10"/>
      <c r="Z2660" s="10"/>
      <c r="AA2660" s="10"/>
      <c r="AB2660" s="10"/>
      <c r="AC2660" s="10"/>
      <c r="AD2660" s="10"/>
      <c r="AE2660" s="10"/>
      <c r="AF2660" s="10"/>
    </row>
    <row r="2661">
      <c r="A2661" s="13" t="s">
        <v>221</v>
      </c>
      <c r="B2661" s="12"/>
      <c r="C2661" s="12"/>
      <c r="D2661" s="12"/>
      <c r="E2661" s="10"/>
      <c r="F2661" s="10"/>
      <c r="G2661" s="7"/>
      <c r="H2661" s="10"/>
      <c r="I2661" s="10"/>
      <c r="J2661" s="11"/>
      <c r="K2661" s="12"/>
      <c r="L2661" s="12"/>
      <c r="M2661" s="10"/>
      <c r="N2661" s="10"/>
      <c r="O2661" s="10"/>
      <c r="P2661" s="10"/>
      <c r="Q2661" s="10"/>
      <c r="R2661" s="10"/>
      <c r="S2661" s="10"/>
      <c r="T2661" s="10"/>
      <c r="U2661" s="10"/>
      <c r="V2661" s="10"/>
      <c r="W2661" s="10"/>
      <c r="X2661" s="10"/>
      <c r="Y2661" s="10"/>
      <c r="Z2661" s="10"/>
      <c r="AA2661" s="10"/>
      <c r="AB2661" s="10"/>
      <c r="AC2661" s="10"/>
      <c r="AD2661" s="10"/>
      <c r="AE2661" s="10"/>
      <c r="AF2661" s="10"/>
    </row>
    <row r="2662">
      <c r="A2662" s="7"/>
      <c r="B2662" s="8">
        <v>221.0</v>
      </c>
      <c r="C2662" s="8">
        <v>1.0</v>
      </c>
      <c r="D2662" s="8" t="s">
        <v>3532</v>
      </c>
      <c r="E2662" s="7">
        <v>2.0</v>
      </c>
      <c r="F2662" s="7" t="s">
        <v>320</v>
      </c>
      <c r="G2662" s="7" t="s">
        <v>313</v>
      </c>
      <c r="H2662" s="7" t="s">
        <v>312</v>
      </c>
      <c r="I2662" s="7" t="s">
        <v>320</v>
      </c>
      <c r="J2662" s="9" t="s">
        <v>3533</v>
      </c>
      <c r="K2662" s="8" t="s">
        <v>3534</v>
      </c>
      <c r="L2662" s="12"/>
      <c r="M2662" s="10"/>
      <c r="N2662" s="10"/>
      <c r="O2662" s="10"/>
      <c r="P2662" s="10"/>
      <c r="Q2662" s="10"/>
      <c r="R2662" s="10"/>
      <c r="S2662" s="10"/>
      <c r="T2662" s="10"/>
      <c r="U2662" s="10"/>
      <c r="V2662" s="10"/>
      <c r="W2662" s="10"/>
      <c r="X2662" s="10"/>
      <c r="Y2662" s="10"/>
      <c r="Z2662" s="10"/>
      <c r="AA2662" s="10"/>
      <c r="AB2662" s="10"/>
      <c r="AC2662" s="10"/>
      <c r="AD2662" s="10"/>
      <c r="AE2662" s="10"/>
      <c r="AF2662" s="10"/>
    </row>
    <row r="2663">
      <c r="A2663" s="13" t="s">
        <v>222</v>
      </c>
      <c r="B2663" s="12"/>
      <c r="C2663" s="12"/>
      <c r="D2663" s="12"/>
      <c r="E2663" s="10"/>
      <c r="F2663" s="10"/>
      <c r="G2663" s="7"/>
      <c r="H2663" s="10"/>
      <c r="I2663" s="10"/>
      <c r="J2663" s="11"/>
      <c r="K2663" s="12"/>
      <c r="L2663" s="12"/>
      <c r="M2663" s="10"/>
      <c r="N2663" s="10"/>
      <c r="O2663" s="10"/>
      <c r="P2663" s="10"/>
      <c r="Q2663" s="10"/>
      <c r="R2663" s="10"/>
      <c r="S2663" s="10"/>
      <c r="T2663" s="10"/>
      <c r="U2663" s="10"/>
      <c r="V2663" s="10"/>
      <c r="W2663" s="10"/>
      <c r="X2663" s="10"/>
      <c r="Y2663" s="10"/>
      <c r="Z2663" s="10"/>
      <c r="AA2663" s="10"/>
      <c r="AB2663" s="10"/>
      <c r="AC2663" s="10"/>
      <c r="AD2663" s="10"/>
      <c r="AE2663" s="10"/>
      <c r="AF2663" s="10"/>
    </row>
    <row r="2664">
      <c r="A2664" s="7"/>
      <c r="B2664" s="8">
        <v>222.0</v>
      </c>
      <c r="C2664" s="8">
        <v>1.0</v>
      </c>
      <c r="D2664" s="8" t="s">
        <v>3535</v>
      </c>
      <c r="E2664" s="7">
        <v>3.0</v>
      </c>
      <c r="F2664" s="7"/>
      <c r="G2664" s="7" t="s">
        <v>313</v>
      </c>
      <c r="H2664" s="7" t="s">
        <v>312</v>
      </c>
      <c r="I2664" s="10"/>
      <c r="J2664" s="9" t="s">
        <v>3536</v>
      </c>
      <c r="K2664" s="20"/>
      <c r="L2664" s="12"/>
      <c r="M2664" s="10"/>
      <c r="N2664" s="10"/>
      <c r="O2664" s="10"/>
      <c r="P2664" s="10"/>
      <c r="Q2664" s="10"/>
      <c r="R2664" s="10"/>
      <c r="S2664" s="10"/>
      <c r="T2664" s="10"/>
      <c r="U2664" s="10"/>
      <c r="V2664" s="10"/>
      <c r="W2664" s="10"/>
      <c r="X2664" s="10"/>
      <c r="Y2664" s="10"/>
      <c r="Z2664" s="10"/>
      <c r="AA2664" s="10"/>
      <c r="AB2664" s="10"/>
      <c r="AC2664" s="10"/>
      <c r="AD2664" s="10"/>
      <c r="AE2664" s="10"/>
      <c r="AF2664" s="10"/>
    </row>
    <row r="2665">
      <c r="A2665" s="13" t="s">
        <v>223</v>
      </c>
      <c r="B2665" s="12"/>
      <c r="C2665" s="12"/>
      <c r="D2665" s="12"/>
      <c r="E2665" s="10"/>
      <c r="F2665" s="10"/>
      <c r="G2665" s="10"/>
      <c r="H2665" s="10"/>
      <c r="I2665" s="10"/>
      <c r="J2665" s="11"/>
      <c r="K2665" s="12"/>
      <c r="L2665" s="12"/>
      <c r="M2665" s="10"/>
      <c r="N2665" s="10"/>
      <c r="O2665" s="10"/>
      <c r="P2665" s="10"/>
      <c r="Q2665" s="10"/>
      <c r="R2665" s="10"/>
      <c r="S2665" s="10"/>
      <c r="T2665" s="10"/>
      <c r="U2665" s="10"/>
      <c r="V2665" s="10"/>
      <c r="W2665" s="10"/>
      <c r="X2665" s="10"/>
      <c r="Y2665" s="10"/>
      <c r="Z2665" s="10"/>
      <c r="AA2665" s="10"/>
      <c r="AB2665" s="10"/>
      <c r="AC2665" s="10"/>
      <c r="AD2665" s="10"/>
      <c r="AE2665" s="10"/>
      <c r="AF2665" s="10"/>
    </row>
    <row r="2666">
      <c r="A2666" s="7"/>
      <c r="B2666" s="26">
        <v>223.0</v>
      </c>
      <c r="C2666" s="27">
        <v>1.0</v>
      </c>
      <c r="D2666" s="8" t="s">
        <v>3537</v>
      </c>
      <c r="E2666" s="7">
        <v>0.0</v>
      </c>
      <c r="F2666" s="7"/>
      <c r="G2666" s="7" t="s">
        <v>313</v>
      </c>
      <c r="H2666" s="7" t="s">
        <v>312</v>
      </c>
      <c r="I2666" s="10"/>
      <c r="J2666" s="11"/>
      <c r="K2666" s="12"/>
      <c r="L2666" s="12"/>
      <c r="M2666" s="10"/>
      <c r="N2666" s="10"/>
      <c r="O2666" s="10"/>
      <c r="P2666" s="10"/>
      <c r="Q2666" s="10"/>
      <c r="R2666" s="10"/>
      <c r="S2666" s="10"/>
      <c r="T2666" s="10"/>
      <c r="U2666" s="10"/>
      <c r="V2666" s="10"/>
      <c r="W2666" s="10"/>
      <c r="X2666" s="10"/>
      <c r="Y2666" s="10"/>
      <c r="Z2666" s="10"/>
      <c r="AA2666" s="10"/>
      <c r="AB2666" s="10"/>
      <c r="AC2666" s="10"/>
      <c r="AD2666" s="10"/>
      <c r="AE2666" s="10"/>
      <c r="AF2666" s="10"/>
    </row>
    <row r="2667">
      <c r="A2667" s="7"/>
      <c r="B2667" s="26">
        <v>223.0</v>
      </c>
      <c r="C2667" s="27">
        <v>2.0</v>
      </c>
      <c r="D2667" s="8" t="s">
        <v>3538</v>
      </c>
      <c r="E2667" s="7">
        <v>0.0</v>
      </c>
      <c r="F2667" s="7"/>
      <c r="G2667" s="7" t="s">
        <v>313</v>
      </c>
      <c r="H2667" s="7" t="s">
        <v>312</v>
      </c>
      <c r="I2667" s="10"/>
      <c r="J2667" s="11"/>
      <c r="K2667" s="12"/>
      <c r="L2667" s="12"/>
      <c r="M2667" s="10"/>
      <c r="N2667" s="10"/>
      <c r="O2667" s="10"/>
      <c r="P2667" s="10"/>
      <c r="Q2667" s="10"/>
      <c r="R2667" s="10"/>
      <c r="S2667" s="10"/>
      <c r="T2667" s="10"/>
      <c r="U2667" s="10"/>
      <c r="V2667" s="10"/>
      <c r="W2667" s="10"/>
      <c r="X2667" s="10"/>
      <c r="Y2667" s="10"/>
      <c r="Z2667" s="10"/>
      <c r="AA2667" s="10"/>
      <c r="AB2667" s="10"/>
      <c r="AC2667" s="10"/>
      <c r="AD2667" s="10"/>
      <c r="AE2667" s="10"/>
      <c r="AF2667" s="10"/>
    </row>
    <row r="2668">
      <c r="A2668" s="7"/>
      <c r="B2668" s="26">
        <v>223.0</v>
      </c>
      <c r="C2668" s="27">
        <v>3.0</v>
      </c>
      <c r="D2668" s="8" t="s">
        <v>3539</v>
      </c>
      <c r="E2668" s="7">
        <v>0.0</v>
      </c>
      <c r="F2668" s="7"/>
      <c r="G2668" s="7" t="s">
        <v>313</v>
      </c>
      <c r="H2668" s="7" t="s">
        <v>312</v>
      </c>
      <c r="I2668" s="10"/>
      <c r="J2668" s="11"/>
      <c r="K2668" s="12"/>
      <c r="L2668" s="12"/>
      <c r="M2668" s="10"/>
      <c r="N2668" s="10"/>
      <c r="O2668" s="10"/>
      <c r="P2668" s="10"/>
      <c r="Q2668" s="10"/>
      <c r="R2668" s="10"/>
      <c r="S2668" s="10"/>
      <c r="T2668" s="10"/>
      <c r="U2668" s="10"/>
      <c r="V2668" s="10"/>
      <c r="W2668" s="10"/>
      <c r="X2668" s="10"/>
      <c r="Y2668" s="10"/>
      <c r="Z2668" s="10"/>
      <c r="AA2668" s="10"/>
      <c r="AB2668" s="10"/>
      <c r="AC2668" s="10"/>
      <c r="AD2668" s="10"/>
      <c r="AE2668" s="10"/>
      <c r="AF2668" s="10"/>
    </row>
    <row r="2669">
      <c r="A2669" s="7"/>
      <c r="B2669" s="26">
        <v>223.0</v>
      </c>
      <c r="C2669" s="27">
        <v>4.0</v>
      </c>
      <c r="D2669" s="8" t="s">
        <v>3540</v>
      </c>
      <c r="E2669" s="7">
        <v>0.0</v>
      </c>
      <c r="F2669" s="7"/>
      <c r="G2669" s="7" t="s">
        <v>313</v>
      </c>
      <c r="H2669" s="7" t="s">
        <v>312</v>
      </c>
      <c r="I2669" s="10"/>
      <c r="J2669" s="11"/>
      <c r="K2669" s="12"/>
      <c r="L2669" s="12"/>
      <c r="M2669" s="10"/>
      <c r="N2669" s="10"/>
      <c r="O2669" s="10"/>
      <c r="P2669" s="10"/>
      <c r="Q2669" s="10"/>
      <c r="R2669" s="10"/>
      <c r="S2669" s="10"/>
      <c r="T2669" s="10"/>
      <c r="U2669" s="10"/>
      <c r="V2669" s="10"/>
      <c r="W2669" s="10"/>
      <c r="X2669" s="10"/>
      <c r="Y2669" s="10"/>
      <c r="Z2669" s="10"/>
      <c r="AA2669" s="10"/>
      <c r="AB2669" s="10"/>
      <c r="AC2669" s="10"/>
      <c r="AD2669" s="10"/>
      <c r="AE2669" s="10"/>
      <c r="AF2669" s="10"/>
    </row>
    <row r="2670">
      <c r="A2670" s="7"/>
      <c r="B2670" s="26">
        <v>223.0</v>
      </c>
      <c r="C2670" s="27">
        <v>5.0</v>
      </c>
      <c r="D2670" s="8" t="s">
        <v>3541</v>
      </c>
      <c r="E2670" s="7">
        <v>0.0</v>
      </c>
      <c r="F2670" s="7"/>
      <c r="G2670" s="7" t="s">
        <v>313</v>
      </c>
      <c r="H2670" s="7" t="s">
        <v>312</v>
      </c>
      <c r="I2670" s="10"/>
      <c r="J2670" s="11"/>
      <c r="K2670" s="12"/>
      <c r="L2670" s="12"/>
      <c r="M2670" s="10"/>
      <c r="N2670" s="10"/>
      <c r="O2670" s="10"/>
      <c r="P2670" s="10"/>
      <c r="Q2670" s="10"/>
      <c r="R2670" s="10"/>
      <c r="S2670" s="10"/>
      <c r="T2670" s="10"/>
      <c r="U2670" s="10"/>
      <c r="V2670" s="10"/>
      <c r="W2670" s="10"/>
      <c r="X2670" s="10"/>
      <c r="Y2670" s="10"/>
      <c r="Z2670" s="10"/>
      <c r="AA2670" s="10"/>
      <c r="AB2670" s="10"/>
      <c r="AC2670" s="10"/>
      <c r="AD2670" s="10"/>
      <c r="AE2670" s="10"/>
      <c r="AF2670" s="10"/>
    </row>
    <row r="2671">
      <c r="A2671" s="7"/>
      <c r="B2671" s="26">
        <v>223.0</v>
      </c>
      <c r="C2671" s="27">
        <v>6.0</v>
      </c>
      <c r="D2671" s="8" t="s">
        <v>3542</v>
      </c>
      <c r="E2671" s="7">
        <v>0.0</v>
      </c>
      <c r="F2671" s="7"/>
      <c r="G2671" s="7" t="s">
        <v>313</v>
      </c>
      <c r="H2671" s="7" t="s">
        <v>312</v>
      </c>
      <c r="I2671" s="10"/>
      <c r="J2671" s="11"/>
      <c r="K2671" s="12"/>
      <c r="L2671" s="12"/>
      <c r="M2671" s="10"/>
      <c r="N2671" s="10"/>
      <c r="O2671" s="10"/>
      <c r="P2671" s="10"/>
      <c r="Q2671" s="10"/>
      <c r="R2671" s="10"/>
      <c r="S2671" s="10"/>
      <c r="T2671" s="10"/>
      <c r="U2671" s="10"/>
      <c r="V2671" s="10"/>
      <c r="W2671" s="10"/>
      <c r="X2671" s="10"/>
      <c r="Y2671" s="10"/>
      <c r="Z2671" s="10"/>
      <c r="AA2671" s="10"/>
      <c r="AB2671" s="10"/>
      <c r="AC2671" s="10"/>
      <c r="AD2671" s="10"/>
      <c r="AE2671" s="10"/>
      <c r="AF2671" s="10"/>
    </row>
    <row r="2672">
      <c r="A2672" s="13" t="s">
        <v>224</v>
      </c>
      <c r="B2672" s="12"/>
      <c r="C2672" s="12"/>
      <c r="D2672" s="12"/>
      <c r="E2672" s="10"/>
      <c r="F2672" s="10"/>
      <c r="G2672" s="10"/>
      <c r="H2672" s="10"/>
      <c r="I2672" s="10"/>
      <c r="J2672" s="11"/>
      <c r="K2672" s="12"/>
      <c r="L2672" s="12"/>
      <c r="M2672" s="10"/>
      <c r="N2672" s="10"/>
      <c r="O2672" s="10"/>
      <c r="P2672" s="10"/>
      <c r="Q2672" s="10"/>
      <c r="R2672" s="10"/>
      <c r="S2672" s="10"/>
      <c r="T2672" s="10"/>
      <c r="U2672" s="10"/>
      <c r="V2672" s="10"/>
      <c r="W2672" s="10"/>
      <c r="X2672" s="10"/>
      <c r="Y2672" s="10"/>
      <c r="Z2672" s="10"/>
      <c r="AA2672" s="10"/>
      <c r="AB2672" s="10"/>
      <c r="AC2672" s="10"/>
      <c r="AD2672" s="10"/>
      <c r="AE2672" s="10"/>
      <c r="AF2672" s="10"/>
    </row>
    <row r="2673">
      <c r="A2673" s="7"/>
      <c r="B2673" s="26">
        <v>224.0</v>
      </c>
      <c r="C2673" s="27">
        <v>1.0</v>
      </c>
      <c r="D2673" s="8" t="s">
        <v>3543</v>
      </c>
      <c r="E2673" s="7">
        <v>3.0</v>
      </c>
      <c r="F2673" s="7" t="s">
        <v>320</v>
      </c>
      <c r="G2673" s="7" t="s">
        <v>313</v>
      </c>
      <c r="H2673" s="7" t="s">
        <v>312</v>
      </c>
      <c r="I2673" s="7" t="s">
        <v>366</v>
      </c>
      <c r="J2673" s="9" t="s">
        <v>3544</v>
      </c>
      <c r="K2673" s="8" t="s">
        <v>3545</v>
      </c>
      <c r="L2673" s="12"/>
      <c r="M2673" s="10"/>
      <c r="N2673" s="10"/>
      <c r="O2673" s="10"/>
      <c r="P2673" s="10"/>
      <c r="Q2673" s="10"/>
      <c r="R2673" s="10"/>
      <c r="S2673" s="10"/>
      <c r="T2673" s="10"/>
      <c r="U2673" s="10"/>
      <c r="V2673" s="10"/>
      <c r="W2673" s="10"/>
      <c r="X2673" s="10"/>
      <c r="Y2673" s="10"/>
      <c r="Z2673" s="10"/>
      <c r="AA2673" s="10"/>
      <c r="AB2673" s="10"/>
      <c r="AC2673" s="10"/>
      <c r="AD2673" s="10"/>
      <c r="AE2673" s="10"/>
      <c r="AF2673" s="10"/>
    </row>
    <row r="2674">
      <c r="A2674" s="7"/>
      <c r="B2674" s="26">
        <v>224.0</v>
      </c>
      <c r="C2674" s="27">
        <v>2.0</v>
      </c>
      <c r="D2674" s="8" t="s">
        <v>3546</v>
      </c>
      <c r="E2674" s="7">
        <v>3.0</v>
      </c>
      <c r="F2674" s="7" t="s">
        <v>320</v>
      </c>
      <c r="G2674" s="7" t="s">
        <v>313</v>
      </c>
      <c r="H2674" s="7" t="s">
        <v>312</v>
      </c>
      <c r="I2674" s="7" t="s">
        <v>366</v>
      </c>
      <c r="J2674" s="9" t="s">
        <v>3547</v>
      </c>
      <c r="K2674" s="8" t="s">
        <v>3545</v>
      </c>
      <c r="L2674" s="14" t="s">
        <v>3548</v>
      </c>
      <c r="M2674" s="10"/>
      <c r="N2674" s="10"/>
      <c r="O2674" s="10"/>
      <c r="P2674" s="10"/>
      <c r="Q2674" s="10"/>
      <c r="R2674" s="10"/>
      <c r="S2674" s="10"/>
      <c r="T2674" s="10"/>
      <c r="U2674" s="10"/>
      <c r="V2674" s="10"/>
      <c r="W2674" s="10"/>
      <c r="X2674" s="10"/>
      <c r="Y2674" s="10"/>
      <c r="Z2674" s="10"/>
      <c r="AA2674" s="10"/>
      <c r="AB2674" s="10"/>
      <c r="AC2674" s="10"/>
      <c r="AD2674" s="10"/>
      <c r="AE2674" s="10"/>
      <c r="AF2674" s="10"/>
    </row>
    <row r="2675">
      <c r="A2675" s="7"/>
      <c r="B2675" s="26">
        <v>224.0</v>
      </c>
      <c r="C2675" s="27">
        <v>3.0</v>
      </c>
      <c r="D2675" s="8" t="s">
        <v>3549</v>
      </c>
      <c r="E2675" s="7">
        <v>3.0</v>
      </c>
      <c r="F2675" s="7" t="s">
        <v>320</v>
      </c>
      <c r="G2675" s="7" t="s">
        <v>313</v>
      </c>
      <c r="H2675" s="7" t="s">
        <v>312</v>
      </c>
      <c r="I2675" s="7" t="s">
        <v>366</v>
      </c>
      <c r="J2675" s="9" t="s">
        <v>3550</v>
      </c>
      <c r="K2675" s="8" t="s">
        <v>3545</v>
      </c>
      <c r="L2675" s="12"/>
      <c r="M2675" s="10"/>
      <c r="N2675" s="10"/>
      <c r="O2675" s="10"/>
      <c r="P2675" s="10"/>
      <c r="Q2675" s="10"/>
      <c r="R2675" s="10"/>
      <c r="S2675" s="10"/>
      <c r="T2675" s="10"/>
      <c r="U2675" s="10"/>
      <c r="V2675" s="10"/>
      <c r="W2675" s="10"/>
      <c r="X2675" s="10"/>
      <c r="Y2675" s="10"/>
      <c r="Z2675" s="10"/>
      <c r="AA2675" s="10"/>
      <c r="AB2675" s="10"/>
      <c r="AC2675" s="10"/>
      <c r="AD2675" s="10"/>
      <c r="AE2675" s="10"/>
      <c r="AF2675" s="10"/>
    </row>
    <row r="2676">
      <c r="A2676" s="7"/>
      <c r="B2676" s="26">
        <v>224.0</v>
      </c>
      <c r="C2676" s="27">
        <v>4.0</v>
      </c>
      <c r="D2676" s="8" t="s">
        <v>3551</v>
      </c>
      <c r="E2676" s="7">
        <v>0.0</v>
      </c>
      <c r="F2676" s="7"/>
      <c r="G2676" s="7" t="s">
        <v>313</v>
      </c>
      <c r="H2676" s="7" t="s">
        <v>312</v>
      </c>
      <c r="I2676" s="10"/>
      <c r="J2676" s="11"/>
      <c r="K2676" s="12"/>
      <c r="L2676" s="12"/>
      <c r="M2676" s="10"/>
      <c r="N2676" s="10"/>
      <c r="O2676" s="10"/>
      <c r="P2676" s="10"/>
      <c r="Q2676" s="10"/>
      <c r="R2676" s="10"/>
      <c r="S2676" s="10"/>
      <c r="T2676" s="10"/>
      <c r="U2676" s="10"/>
      <c r="V2676" s="10"/>
      <c r="W2676" s="10"/>
      <c r="X2676" s="10"/>
      <c r="Y2676" s="10"/>
      <c r="Z2676" s="10"/>
      <c r="AA2676" s="10"/>
      <c r="AB2676" s="10"/>
      <c r="AC2676" s="10"/>
      <c r="AD2676" s="10"/>
      <c r="AE2676" s="10"/>
      <c r="AF2676" s="10"/>
    </row>
    <row r="2677">
      <c r="A2677" s="7"/>
      <c r="B2677" s="26">
        <v>224.0</v>
      </c>
      <c r="C2677" s="27">
        <v>5.0</v>
      </c>
      <c r="D2677" s="8" t="s">
        <v>3552</v>
      </c>
      <c r="E2677" s="7">
        <v>0.0</v>
      </c>
      <c r="F2677" s="7"/>
      <c r="G2677" s="7" t="s">
        <v>313</v>
      </c>
      <c r="H2677" s="7" t="s">
        <v>312</v>
      </c>
      <c r="I2677" s="10"/>
      <c r="J2677" s="11"/>
      <c r="K2677" s="12"/>
      <c r="L2677" s="12"/>
      <c r="M2677" s="10"/>
      <c r="N2677" s="10"/>
      <c r="O2677" s="10"/>
      <c r="P2677" s="10"/>
      <c r="Q2677" s="10"/>
      <c r="R2677" s="10"/>
      <c r="S2677" s="10"/>
      <c r="T2677" s="10"/>
      <c r="U2677" s="10"/>
      <c r="V2677" s="10"/>
      <c r="W2677" s="10"/>
      <c r="X2677" s="10"/>
      <c r="Y2677" s="10"/>
      <c r="Z2677" s="10"/>
      <c r="AA2677" s="10"/>
      <c r="AB2677" s="10"/>
      <c r="AC2677" s="10"/>
      <c r="AD2677" s="10"/>
      <c r="AE2677" s="10"/>
      <c r="AF2677" s="10"/>
    </row>
    <row r="2678">
      <c r="A2678" s="7"/>
      <c r="B2678" s="26">
        <v>224.0</v>
      </c>
      <c r="C2678" s="27">
        <v>6.0</v>
      </c>
      <c r="D2678" s="8" t="s">
        <v>3553</v>
      </c>
      <c r="E2678" s="7">
        <v>0.0</v>
      </c>
      <c r="F2678" s="7"/>
      <c r="G2678" s="7" t="s">
        <v>313</v>
      </c>
      <c r="H2678" s="7" t="s">
        <v>312</v>
      </c>
      <c r="I2678" s="10"/>
      <c r="J2678" s="11"/>
      <c r="K2678" s="12"/>
      <c r="L2678" s="12"/>
      <c r="M2678" s="10"/>
      <c r="N2678" s="10"/>
      <c r="O2678" s="10"/>
      <c r="P2678" s="10"/>
      <c r="Q2678" s="10"/>
      <c r="R2678" s="10"/>
      <c r="S2678" s="10"/>
      <c r="T2678" s="10"/>
      <c r="U2678" s="10"/>
      <c r="V2678" s="10"/>
      <c r="W2678" s="10"/>
      <c r="X2678" s="10"/>
      <c r="Y2678" s="10"/>
      <c r="Z2678" s="10"/>
      <c r="AA2678" s="10"/>
      <c r="AB2678" s="10"/>
      <c r="AC2678" s="10"/>
      <c r="AD2678" s="10"/>
      <c r="AE2678" s="10"/>
      <c r="AF2678" s="10"/>
    </row>
    <row r="2679">
      <c r="A2679" s="7"/>
      <c r="B2679" s="26">
        <v>224.0</v>
      </c>
      <c r="C2679" s="27">
        <v>7.0</v>
      </c>
      <c r="D2679" s="8" t="s">
        <v>3554</v>
      </c>
      <c r="E2679" s="7">
        <v>0.0</v>
      </c>
      <c r="F2679" s="7"/>
      <c r="G2679" s="7" t="s">
        <v>313</v>
      </c>
      <c r="H2679" s="7" t="s">
        <v>312</v>
      </c>
      <c r="I2679" s="10"/>
      <c r="J2679" s="11"/>
      <c r="K2679" s="12"/>
      <c r="L2679" s="12"/>
      <c r="M2679" s="10"/>
      <c r="N2679" s="10"/>
      <c r="O2679" s="10"/>
      <c r="P2679" s="10"/>
      <c r="Q2679" s="10"/>
      <c r="R2679" s="10"/>
      <c r="S2679" s="10"/>
      <c r="T2679" s="10"/>
      <c r="U2679" s="10"/>
      <c r="V2679" s="10"/>
      <c r="W2679" s="10"/>
      <c r="X2679" s="10"/>
      <c r="Y2679" s="10"/>
      <c r="Z2679" s="10"/>
      <c r="AA2679" s="10"/>
      <c r="AB2679" s="10"/>
      <c r="AC2679" s="10"/>
      <c r="AD2679" s="10"/>
      <c r="AE2679" s="10"/>
      <c r="AF2679" s="10"/>
    </row>
    <row r="2680">
      <c r="A2680" s="7"/>
      <c r="B2680" s="26">
        <v>224.0</v>
      </c>
      <c r="C2680" s="27">
        <v>8.0</v>
      </c>
      <c r="D2680" s="8" t="s">
        <v>3555</v>
      </c>
      <c r="E2680" s="7">
        <v>0.0</v>
      </c>
      <c r="F2680" s="7"/>
      <c r="G2680" s="7" t="s">
        <v>313</v>
      </c>
      <c r="H2680" s="7" t="s">
        <v>312</v>
      </c>
      <c r="I2680" s="10"/>
      <c r="J2680" s="11"/>
      <c r="K2680" s="12"/>
      <c r="L2680" s="12"/>
      <c r="M2680" s="10"/>
      <c r="N2680" s="10"/>
      <c r="O2680" s="10"/>
      <c r="P2680" s="10"/>
      <c r="Q2680" s="10"/>
      <c r="R2680" s="10"/>
      <c r="S2680" s="10"/>
      <c r="T2680" s="10"/>
      <c r="U2680" s="10"/>
      <c r="V2680" s="10"/>
      <c r="W2680" s="10"/>
      <c r="X2680" s="10"/>
      <c r="Y2680" s="10"/>
      <c r="Z2680" s="10"/>
      <c r="AA2680" s="10"/>
      <c r="AB2680" s="10"/>
      <c r="AC2680" s="10"/>
      <c r="AD2680" s="10"/>
      <c r="AE2680" s="10"/>
      <c r="AF2680" s="10"/>
    </row>
    <row r="2681">
      <c r="A2681" s="7"/>
      <c r="B2681" s="26">
        <v>224.0</v>
      </c>
      <c r="C2681" s="27">
        <v>9.0</v>
      </c>
      <c r="D2681" s="8" t="s">
        <v>3556</v>
      </c>
      <c r="E2681" s="7">
        <v>0.0</v>
      </c>
      <c r="F2681" s="7"/>
      <c r="G2681" s="7" t="s">
        <v>313</v>
      </c>
      <c r="H2681" s="7" t="s">
        <v>312</v>
      </c>
      <c r="I2681" s="10"/>
      <c r="J2681" s="11"/>
      <c r="K2681" s="12"/>
      <c r="L2681" s="12"/>
      <c r="M2681" s="10"/>
      <c r="N2681" s="10"/>
      <c r="O2681" s="10"/>
      <c r="P2681" s="10"/>
      <c r="Q2681" s="10"/>
      <c r="R2681" s="10"/>
      <c r="S2681" s="10"/>
      <c r="T2681" s="10"/>
      <c r="U2681" s="10"/>
      <c r="V2681" s="10"/>
      <c r="W2681" s="10"/>
      <c r="X2681" s="10"/>
      <c r="Y2681" s="10"/>
      <c r="Z2681" s="10"/>
      <c r="AA2681" s="10"/>
      <c r="AB2681" s="10"/>
      <c r="AC2681" s="10"/>
      <c r="AD2681" s="10"/>
      <c r="AE2681" s="10"/>
      <c r="AF2681" s="10"/>
    </row>
    <row r="2682">
      <c r="A2682" s="7"/>
      <c r="B2682" s="26">
        <v>224.0</v>
      </c>
      <c r="C2682" s="27">
        <v>10.0</v>
      </c>
      <c r="D2682" s="8" t="s">
        <v>3557</v>
      </c>
      <c r="E2682" s="7">
        <v>0.0</v>
      </c>
      <c r="F2682" s="7"/>
      <c r="G2682" s="7" t="s">
        <v>313</v>
      </c>
      <c r="H2682" s="7" t="s">
        <v>312</v>
      </c>
      <c r="I2682" s="10"/>
      <c r="J2682" s="11"/>
      <c r="K2682" s="12"/>
      <c r="L2682" s="12"/>
      <c r="M2682" s="10"/>
      <c r="N2682" s="10"/>
      <c r="O2682" s="10"/>
      <c r="P2682" s="10"/>
      <c r="Q2682" s="10"/>
      <c r="R2682" s="10"/>
      <c r="S2682" s="10"/>
      <c r="T2682" s="10"/>
      <c r="U2682" s="10"/>
      <c r="V2682" s="10"/>
      <c r="W2682" s="10"/>
      <c r="X2682" s="10"/>
      <c r="Y2682" s="10"/>
      <c r="Z2682" s="10"/>
      <c r="AA2682" s="10"/>
      <c r="AB2682" s="10"/>
      <c r="AC2682" s="10"/>
      <c r="AD2682" s="10"/>
      <c r="AE2682" s="10"/>
      <c r="AF2682" s="10"/>
    </row>
    <row r="2683">
      <c r="A2683" s="7"/>
      <c r="B2683" s="26">
        <v>224.0</v>
      </c>
      <c r="C2683" s="27">
        <v>11.0</v>
      </c>
      <c r="D2683" s="8" t="s">
        <v>3558</v>
      </c>
      <c r="E2683" s="7">
        <v>0.0</v>
      </c>
      <c r="F2683" s="7"/>
      <c r="G2683" s="7" t="s">
        <v>313</v>
      </c>
      <c r="H2683" s="7" t="s">
        <v>312</v>
      </c>
      <c r="I2683" s="10"/>
      <c r="J2683" s="11"/>
      <c r="K2683" s="12"/>
      <c r="L2683" s="12"/>
      <c r="M2683" s="10"/>
      <c r="N2683" s="10"/>
      <c r="O2683" s="10"/>
      <c r="P2683" s="10"/>
      <c r="Q2683" s="10"/>
      <c r="R2683" s="10"/>
      <c r="S2683" s="10"/>
      <c r="T2683" s="10"/>
      <c r="U2683" s="10"/>
      <c r="V2683" s="10"/>
      <c r="W2683" s="10"/>
      <c r="X2683" s="10"/>
      <c r="Y2683" s="10"/>
      <c r="Z2683" s="10"/>
      <c r="AA2683" s="10"/>
      <c r="AB2683" s="10"/>
      <c r="AC2683" s="10"/>
      <c r="AD2683" s="10"/>
      <c r="AE2683" s="10"/>
      <c r="AF2683" s="10"/>
    </row>
    <row r="2684">
      <c r="A2684" s="7"/>
      <c r="B2684" s="26">
        <v>224.0</v>
      </c>
      <c r="C2684" s="27">
        <v>12.0</v>
      </c>
      <c r="D2684" s="8" t="s">
        <v>3559</v>
      </c>
      <c r="E2684" s="7">
        <v>0.0</v>
      </c>
      <c r="F2684" s="7"/>
      <c r="G2684" s="7" t="s">
        <v>313</v>
      </c>
      <c r="H2684" s="7" t="s">
        <v>312</v>
      </c>
      <c r="I2684" s="10"/>
      <c r="J2684" s="11"/>
      <c r="K2684" s="12"/>
      <c r="L2684" s="12"/>
      <c r="M2684" s="10"/>
      <c r="N2684" s="10"/>
      <c r="O2684" s="10"/>
      <c r="P2684" s="10"/>
      <c r="Q2684" s="10"/>
      <c r="R2684" s="10"/>
      <c r="S2684" s="10"/>
      <c r="T2684" s="10"/>
      <c r="U2684" s="10"/>
      <c r="V2684" s="10"/>
      <c r="W2684" s="10"/>
      <c r="X2684" s="10"/>
      <c r="Y2684" s="10"/>
      <c r="Z2684" s="10"/>
      <c r="AA2684" s="10"/>
      <c r="AB2684" s="10"/>
      <c r="AC2684" s="10"/>
      <c r="AD2684" s="10"/>
      <c r="AE2684" s="10"/>
      <c r="AF2684" s="10"/>
    </row>
    <row r="2685">
      <c r="A2685" s="7"/>
      <c r="B2685" s="26">
        <v>224.0</v>
      </c>
      <c r="C2685" s="27">
        <v>13.0</v>
      </c>
      <c r="D2685" s="8" t="s">
        <v>3560</v>
      </c>
      <c r="E2685" s="7">
        <v>0.0</v>
      </c>
      <c r="F2685" s="7"/>
      <c r="G2685" s="7" t="s">
        <v>313</v>
      </c>
      <c r="H2685" s="7" t="s">
        <v>312</v>
      </c>
      <c r="I2685" s="10"/>
      <c r="J2685" s="11"/>
      <c r="K2685" s="12"/>
      <c r="L2685" s="12"/>
      <c r="M2685" s="10"/>
      <c r="N2685" s="10"/>
      <c r="O2685" s="10"/>
      <c r="P2685" s="10"/>
      <c r="Q2685" s="10"/>
      <c r="R2685" s="10"/>
      <c r="S2685" s="10"/>
      <c r="T2685" s="10"/>
      <c r="U2685" s="10"/>
      <c r="V2685" s="10"/>
      <c r="W2685" s="10"/>
      <c r="X2685" s="10"/>
      <c r="Y2685" s="10"/>
      <c r="Z2685" s="10"/>
      <c r="AA2685" s="10"/>
      <c r="AB2685" s="10"/>
      <c r="AC2685" s="10"/>
      <c r="AD2685" s="10"/>
      <c r="AE2685" s="10"/>
      <c r="AF2685" s="10"/>
    </row>
    <row r="2686">
      <c r="A2686" s="7"/>
      <c r="B2686" s="26">
        <v>224.0</v>
      </c>
      <c r="C2686" s="27">
        <v>14.0</v>
      </c>
      <c r="D2686" s="8" t="s">
        <v>3561</v>
      </c>
      <c r="E2686" s="7">
        <v>0.0</v>
      </c>
      <c r="F2686" s="7"/>
      <c r="G2686" s="7" t="s">
        <v>313</v>
      </c>
      <c r="H2686" s="7" t="s">
        <v>312</v>
      </c>
      <c r="I2686" s="10"/>
      <c r="J2686" s="11"/>
      <c r="K2686" s="12"/>
      <c r="L2686" s="12"/>
      <c r="M2686" s="10"/>
      <c r="N2686" s="10"/>
      <c r="O2686" s="10"/>
      <c r="P2686" s="10"/>
      <c r="Q2686" s="10"/>
      <c r="R2686" s="10"/>
      <c r="S2686" s="10"/>
      <c r="T2686" s="10"/>
      <c r="U2686" s="10"/>
      <c r="V2686" s="10"/>
      <c r="W2686" s="10"/>
      <c r="X2686" s="10"/>
      <c r="Y2686" s="10"/>
      <c r="Z2686" s="10"/>
      <c r="AA2686" s="10"/>
      <c r="AB2686" s="10"/>
      <c r="AC2686" s="10"/>
      <c r="AD2686" s="10"/>
      <c r="AE2686" s="10"/>
      <c r="AF2686" s="10"/>
    </row>
    <row r="2687">
      <c r="A2687" s="7"/>
      <c r="B2687" s="26">
        <v>224.0</v>
      </c>
      <c r="C2687" s="27">
        <v>15.0</v>
      </c>
      <c r="D2687" s="8" t="s">
        <v>3562</v>
      </c>
      <c r="E2687" s="7">
        <v>0.0</v>
      </c>
      <c r="F2687" s="7"/>
      <c r="G2687" s="7" t="s">
        <v>313</v>
      </c>
      <c r="H2687" s="7" t="s">
        <v>312</v>
      </c>
      <c r="I2687" s="10"/>
      <c r="J2687" s="11"/>
      <c r="K2687" s="12"/>
      <c r="L2687" s="12"/>
      <c r="M2687" s="10"/>
      <c r="N2687" s="10"/>
      <c r="O2687" s="10"/>
      <c r="P2687" s="10"/>
      <c r="Q2687" s="10"/>
      <c r="R2687" s="10"/>
      <c r="S2687" s="10"/>
      <c r="T2687" s="10"/>
      <c r="U2687" s="10"/>
      <c r="V2687" s="10"/>
      <c r="W2687" s="10"/>
      <c r="X2687" s="10"/>
      <c r="Y2687" s="10"/>
      <c r="Z2687" s="10"/>
      <c r="AA2687" s="10"/>
      <c r="AB2687" s="10"/>
      <c r="AC2687" s="10"/>
      <c r="AD2687" s="10"/>
      <c r="AE2687" s="10"/>
      <c r="AF2687" s="10"/>
    </row>
    <row r="2688">
      <c r="A2688" s="7"/>
      <c r="B2688" s="26">
        <v>224.0</v>
      </c>
      <c r="C2688" s="27">
        <v>16.0</v>
      </c>
      <c r="D2688" s="8" t="s">
        <v>3563</v>
      </c>
      <c r="E2688" s="7">
        <v>0.0</v>
      </c>
      <c r="F2688" s="7"/>
      <c r="G2688" s="7" t="s">
        <v>313</v>
      </c>
      <c r="H2688" s="7" t="s">
        <v>312</v>
      </c>
      <c r="I2688" s="10"/>
      <c r="J2688" s="11"/>
      <c r="K2688" s="12"/>
      <c r="L2688" s="12"/>
      <c r="M2688" s="10"/>
      <c r="N2688" s="10"/>
      <c r="O2688" s="10"/>
      <c r="P2688" s="10"/>
      <c r="Q2688" s="10"/>
      <c r="R2688" s="10"/>
      <c r="S2688" s="10"/>
      <c r="T2688" s="10"/>
      <c r="U2688" s="10"/>
      <c r="V2688" s="10"/>
      <c r="W2688" s="10"/>
      <c r="X2688" s="10"/>
      <c r="Y2688" s="10"/>
      <c r="Z2688" s="10"/>
      <c r="AA2688" s="10"/>
      <c r="AB2688" s="10"/>
      <c r="AC2688" s="10"/>
      <c r="AD2688" s="10"/>
      <c r="AE2688" s="10"/>
      <c r="AF2688" s="10"/>
    </row>
    <row r="2689">
      <c r="A2689" s="7"/>
      <c r="B2689" s="26">
        <v>224.0</v>
      </c>
      <c r="C2689" s="27">
        <v>17.0</v>
      </c>
      <c r="D2689" s="8" t="s">
        <v>3564</v>
      </c>
      <c r="E2689" s="7">
        <v>0.0</v>
      </c>
      <c r="F2689" s="7"/>
      <c r="G2689" s="7" t="s">
        <v>313</v>
      </c>
      <c r="H2689" s="7" t="s">
        <v>312</v>
      </c>
      <c r="I2689" s="10"/>
      <c r="J2689" s="11"/>
      <c r="K2689" s="12"/>
      <c r="L2689" s="12"/>
      <c r="M2689" s="10"/>
      <c r="N2689" s="10"/>
      <c r="O2689" s="10"/>
      <c r="P2689" s="10"/>
      <c r="Q2689" s="10"/>
      <c r="R2689" s="10"/>
      <c r="S2689" s="10"/>
      <c r="T2689" s="10"/>
      <c r="U2689" s="10"/>
      <c r="V2689" s="10"/>
      <c r="W2689" s="10"/>
      <c r="X2689" s="10"/>
      <c r="Y2689" s="10"/>
      <c r="Z2689" s="10"/>
      <c r="AA2689" s="10"/>
      <c r="AB2689" s="10"/>
      <c r="AC2689" s="10"/>
      <c r="AD2689" s="10"/>
      <c r="AE2689" s="10"/>
      <c r="AF2689" s="10"/>
    </row>
    <row r="2690">
      <c r="A2690" s="7"/>
      <c r="B2690" s="26">
        <v>224.0</v>
      </c>
      <c r="C2690" s="27">
        <v>18.0</v>
      </c>
      <c r="D2690" s="8" t="s">
        <v>3565</v>
      </c>
      <c r="E2690" s="7">
        <v>0.0</v>
      </c>
      <c r="F2690" s="7"/>
      <c r="G2690" s="7" t="s">
        <v>313</v>
      </c>
      <c r="H2690" s="7" t="s">
        <v>312</v>
      </c>
      <c r="I2690" s="10"/>
      <c r="J2690" s="11"/>
      <c r="K2690" s="12"/>
      <c r="L2690" s="12"/>
      <c r="M2690" s="10"/>
      <c r="N2690" s="10"/>
      <c r="O2690" s="10"/>
      <c r="P2690" s="10"/>
      <c r="Q2690" s="10"/>
      <c r="R2690" s="10"/>
      <c r="S2690" s="10"/>
      <c r="T2690" s="10"/>
      <c r="U2690" s="10"/>
      <c r="V2690" s="10"/>
      <c r="W2690" s="10"/>
      <c r="X2690" s="10"/>
      <c r="Y2690" s="10"/>
      <c r="Z2690" s="10"/>
      <c r="AA2690" s="10"/>
      <c r="AB2690" s="10"/>
      <c r="AC2690" s="10"/>
      <c r="AD2690" s="10"/>
      <c r="AE2690" s="10"/>
      <c r="AF2690" s="10"/>
    </row>
    <row r="2691">
      <c r="A2691" s="7"/>
      <c r="B2691" s="26">
        <v>224.0</v>
      </c>
      <c r="C2691" s="27">
        <v>19.0</v>
      </c>
      <c r="D2691" s="8" t="s">
        <v>3566</v>
      </c>
      <c r="E2691" s="7">
        <v>3.0</v>
      </c>
      <c r="F2691" s="7" t="s">
        <v>320</v>
      </c>
      <c r="G2691" s="7" t="s">
        <v>313</v>
      </c>
      <c r="H2691" s="7" t="s">
        <v>312</v>
      </c>
      <c r="I2691" s="7" t="s">
        <v>366</v>
      </c>
      <c r="J2691" s="9" t="s">
        <v>3567</v>
      </c>
      <c r="K2691" s="8" t="s">
        <v>3568</v>
      </c>
      <c r="L2691" s="12"/>
      <c r="M2691" s="10"/>
      <c r="N2691" s="10"/>
      <c r="O2691" s="10"/>
      <c r="P2691" s="10"/>
      <c r="Q2691" s="10"/>
      <c r="R2691" s="10"/>
      <c r="S2691" s="10"/>
      <c r="T2691" s="10"/>
      <c r="U2691" s="10"/>
      <c r="V2691" s="10"/>
      <c r="W2691" s="10"/>
      <c r="X2691" s="10"/>
      <c r="Y2691" s="10"/>
      <c r="Z2691" s="10"/>
      <c r="AA2691" s="10"/>
      <c r="AB2691" s="10"/>
      <c r="AC2691" s="10"/>
      <c r="AD2691" s="10"/>
      <c r="AE2691" s="10"/>
      <c r="AF2691" s="10"/>
    </row>
    <row r="2692">
      <c r="A2692" s="7"/>
      <c r="B2692" s="26">
        <v>224.0</v>
      </c>
      <c r="C2692" s="27">
        <v>20.0</v>
      </c>
      <c r="D2692" s="8" t="s">
        <v>3569</v>
      </c>
      <c r="E2692" s="7">
        <v>3.0</v>
      </c>
      <c r="F2692" s="7" t="s">
        <v>320</v>
      </c>
      <c r="G2692" s="7" t="s">
        <v>313</v>
      </c>
      <c r="H2692" s="7" t="s">
        <v>312</v>
      </c>
      <c r="I2692" s="7" t="s">
        <v>366</v>
      </c>
      <c r="J2692" s="9" t="s">
        <v>3570</v>
      </c>
      <c r="K2692" s="8" t="s">
        <v>3571</v>
      </c>
      <c r="L2692" s="12"/>
      <c r="M2692" s="10"/>
      <c r="N2692" s="10"/>
      <c r="O2692" s="10"/>
      <c r="P2692" s="10"/>
      <c r="Q2692" s="10"/>
      <c r="R2692" s="10"/>
      <c r="S2692" s="10"/>
      <c r="T2692" s="10"/>
      <c r="U2692" s="10"/>
      <c r="V2692" s="10"/>
      <c r="W2692" s="10"/>
      <c r="X2692" s="10"/>
      <c r="Y2692" s="10"/>
      <c r="Z2692" s="10"/>
      <c r="AA2692" s="10"/>
      <c r="AB2692" s="10"/>
      <c r="AC2692" s="10"/>
      <c r="AD2692" s="10"/>
      <c r="AE2692" s="10"/>
      <c r="AF2692" s="10"/>
    </row>
    <row r="2693">
      <c r="A2693" s="7"/>
      <c r="B2693" s="26">
        <v>224.0</v>
      </c>
      <c r="C2693" s="27">
        <v>21.0</v>
      </c>
      <c r="D2693" s="8" t="s">
        <v>3572</v>
      </c>
      <c r="E2693" s="7">
        <v>0.0</v>
      </c>
      <c r="F2693" s="7"/>
      <c r="G2693" s="7" t="s">
        <v>313</v>
      </c>
      <c r="H2693" s="7" t="s">
        <v>312</v>
      </c>
      <c r="I2693" s="10"/>
      <c r="J2693" s="11"/>
      <c r="K2693" s="12"/>
      <c r="L2693" s="12"/>
      <c r="M2693" s="10"/>
      <c r="N2693" s="10"/>
      <c r="O2693" s="10"/>
      <c r="P2693" s="10"/>
      <c r="Q2693" s="10"/>
      <c r="R2693" s="10"/>
      <c r="S2693" s="10"/>
      <c r="T2693" s="10"/>
      <c r="U2693" s="10"/>
      <c r="V2693" s="10"/>
      <c r="W2693" s="10"/>
      <c r="X2693" s="10"/>
      <c r="Y2693" s="10"/>
      <c r="Z2693" s="10"/>
      <c r="AA2693" s="10"/>
      <c r="AB2693" s="10"/>
      <c r="AC2693" s="10"/>
      <c r="AD2693" s="10"/>
      <c r="AE2693" s="10"/>
      <c r="AF2693" s="10"/>
    </row>
    <row r="2694">
      <c r="A2694" s="13" t="s">
        <v>225</v>
      </c>
      <c r="B2694" s="12"/>
      <c r="C2694" s="12"/>
      <c r="D2694" s="12"/>
      <c r="E2694" s="10"/>
      <c r="F2694" s="10"/>
      <c r="G2694" s="10"/>
      <c r="H2694" s="10"/>
      <c r="I2694" s="10"/>
      <c r="J2694" s="11"/>
      <c r="K2694" s="12"/>
      <c r="L2694" s="12"/>
      <c r="M2694" s="10"/>
      <c r="N2694" s="10"/>
      <c r="O2694" s="10"/>
      <c r="P2694" s="10"/>
      <c r="Q2694" s="10"/>
      <c r="R2694" s="10"/>
      <c r="S2694" s="10"/>
      <c r="T2694" s="10"/>
      <c r="U2694" s="10"/>
      <c r="V2694" s="10"/>
      <c r="W2694" s="10"/>
      <c r="X2694" s="10"/>
      <c r="Y2694" s="10"/>
      <c r="Z2694" s="10"/>
      <c r="AA2694" s="10"/>
      <c r="AB2694" s="10"/>
      <c r="AC2694" s="10"/>
      <c r="AD2694" s="10"/>
      <c r="AE2694" s="10"/>
      <c r="AF2694" s="10"/>
    </row>
    <row r="2695">
      <c r="A2695" s="7"/>
      <c r="B2695" s="26">
        <v>225.0</v>
      </c>
      <c r="C2695" s="27">
        <v>1.0</v>
      </c>
      <c r="D2695" s="8" t="s">
        <v>3573</v>
      </c>
      <c r="E2695" s="7">
        <v>2.0</v>
      </c>
      <c r="F2695" s="7" t="s">
        <v>320</v>
      </c>
      <c r="G2695" s="7" t="s">
        <v>313</v>
      </c>
      <c r="H2695" s="7" t="s">
        <v>312</v>
      </c>
      <c r="I2695" s="7" t="s">
        <v>320</v>
      </c>
      <c r="J2695" s="9" t="s">
        <v>3574</v>
      </c>
      <c r="K2695" s="8" t="s">
        <v>3575</v>
      </c>
      <c r="L2695" s="12"/>
      <c r="M2695" s="10"/>
      <c r="N2695" s="10"/>
      <c r="O2695" s="10"/>
      <c r="P2695" s="10"/>
      <c r="Q2695" s="10"/>
      <c r="R2695" s="10"/>
      <c r="S2695" s="10"/>
      <c r="T2695" s="10"/>
      <c r="U2695" s="10"/>
      <c r="V2695" s="10"/>
      <c r="W2695" s="10"/>
      <c r="X2695" s="10"/>
      <c r="Y2695" s="10"/>
      <c r="Z2695" s="10"/>
      <c r="AA2695" s="10"/>
      <c r="AB2695" s="10"/>
      <c r="AC2695" s="10"/>
      <c r="AD2695" s="10"/>
      <c r="AE2695" s="10"/>
      <c r="AF2695" s="10"/>
    </row>
    <row r="2696">
      <c r="A2696" s="7"/>
      <c r="B2696" s="26">
        <v>225.0</v>
      </c>
      <c r="C2696" s="27">
        <v>2.0</v>
      </c>
      <c r="D2696" s="8" t="s">
        <v>3576</v>
      </c>
      <c r="E2696" s="7">
        <v>0.0</v>
      </c>
      <c r="F2696" s="7"/>
      <c r="G2696" s="7" t="s">
        <v>313</v>
      </c>
      <c r="H2696" s="7" t="s">
        <v>312</v>
      </c>
      <c r="I2696" s="10"/>
      <c r="J2696" s="11"/>
      <c r="K2696" s="12"/>
      <c r="L2696" s="12"/>
      <c r="M2696" s="10"/>
      <c r="N2696" s="10"/>
      <c r="O2696" s="10"/>
      <c r="P2696" s="10"/>
      <c r="Q2696" s="10"/>
      <c r="R2696" s="10"/>
      <c r="S2696" s="10"/>
      <c r="T2696" s="10"/>
      <c r="U2696" s="10"/>
      <c r="V2696" s="10"/>
      <c r="W2696" s="10"/>
      <c r="X2696" s="10"/>
      <c r="Y2696" s="10"/>
      <c r="Z2696" s="10"/>
      <c r="AA2696" s="10"/>
      <c r="AB2696" s="10"/>
      <c r="AC2696" s="10"/>
      <c r="AD2696" s="10"/>
      <c r="AE2696" s="10"/>
      <c r="AF2696" s="10"/>
    </row>
    <row r="2697">
      <c r="A2697" s="7"/>
      <c r="B2697" s="26">
        <v>225.0</v>
      </c>
      <c r="C2697" s="27">
        <v>3.0</v>
      </c>
      <c r="D2697" s="8" t="s">
        <v>3577</v>
      </c>
      <c r="E2697" s="7">
        <v>0.0</v>
      </c>
      <c r="F2697" s="7"/>
      <c r="G2697" s="7" t="s">
        <v>313</v>
      </c>
      <c r="H2697" s="7" t="s">
        <v>312</v>
      </c>
      <c r="I2697" s="10"/>
      <c r="J2697" s="11"/>
      <c r="K2697" s="12"/>
      <c r="L2697" s="12"/>
      <c r="M2697" s="10"/>
      <c r="N2697" s="10"/>
      <c r="O2697" s="10"/>
      <c r="P2697" s="10"/>
      <c r="Q2697" s="10"/>
      <c r="R2697" s="10"/>
      <c r="S2697" s="10"/>
      <c r="T2697" s="10"/>
      <c r="U2697" s="10"/>
      <c r="V2697" s="10"/>
      <c r="W2697" s="10"/>
      <c r="X2697" s="10"/>
      <c r="Y2697" s="10"/>
      <c r="Z2697" s="10"/>
      <c r="AA2697" s="10"/>
      <c r="AB2697" s="10"/>
      <c r="AC2697" s="10"/>
      <c r="AD2697" s="10"/>
      <c r="AE2697" s="10"/>
      <c r="AF2697" s="10"/>
    </row>
    <row r="2698">
      <c r="A2698" s="13" t="s">
        <v>226</v>
      </c>
      <c r="B2698" s="12"/>
      <c r="C2698" s="12"/>
      <c r="D2698" s="12"/>
      <c r="E2698" s="10"/>
      <c r="F2698" s="10"/>
      <c r="G2698" s="10"/>
      <c r="H2698" s="10"/>
      <c r="I2698" s="10"/>
      <c r="J2698" s="11"/>
      <c r="K2698" s="12"/>
      <c r="L2698" s="12"/>
      <c r="M2698" s="10"/>
      <c r="N2698" s="10"/>
      <c r="O2698" s="10"/>
      <c r="P2698" s="10"/>
      <c r="Q2698" s="10"/>
      <c r="R2698" s="10"/>
      <c r="S2698" s="10"/>
      <c r="T2698" s="10"/>
      <c r="U2698" s="10"/>
      <c r="V2698" s="10"/>
      <c r="W2698" s="10"/>
      <c r="X2698" s="10"/>
      <c r="Y2698" s="10"/>
      <c r="Z2698" s="10"/>
      <c r="AA2698" s="10"/>
      <c r="AB2698" s="10"/>
      <c r="AC2698" s="10"/>
      <c r="AD2698" s="10"/>
      <c r="AE2698" s="10"/>
      <c r="AF2698" s="10"/>
    </row>
    <row r="2699">
      <c r="A2699" s="7"/>
      <c r="B2699" s="26">
        <v>226.0</v>
      </c>
      <c r="C2699" s="27">
        <v>1.0</v>
      </c>
      <c r="D2699" s="8" t="s">
        <v>3578</v>
      </c>
      <c r="E2699" s="7">
        <v>0.0</v>
      </c>
      <c r="F2699" s="7"/>
      <c r="G2699" s="7" t="s">
        <v>313</v>
      </c>
      <c r="H2699" s="7" t="s">
        <v>312</v>
      </c>
      <c r="I2699" s="10"/>
      <c r="J2699" s="9" t="s">
        <v>3579</v>
      </c>
      <c r="K2699" s="12"/>
      <c r="L2699" s="12"/>
      <c r="M2699" s="10"/>
      <c r="N2699" s="10"/>
      <c r="O2699" s="10"/>
      <c r="P2699" s="10"/>
      <c r="Q2699" s="10"/>
      <c r="R2699" s="10"/>
      <c r="S2699" s="10"/>
      <c r="T2699" s="10"/>
      <c r="U2699" s="10"/>
      <c r="V2699" s="10"/>
      <c r="W2699" s="10"/>
      <c r="X2699" s="10"/>
      <c r="Y2699" s="10"/>
      <c r="Z2699" s="10"/>
      <c r="AA2699" s="10"/>
      <c r="AB2699" s="10"/>
      <c r="AC2699" s="10"/>
      <c r="AD2699" s="10"/>
      <c r="AE2699" s="10"/>
      <c r="AF2699" s="10"/>
    </row>
    <row r="2700">
      <c r="A2700" s="7"/>
      <c r="B2700" s="26">
        <v>226.0</v>
      </c>
      <c r="C2700" s="27">
        <v>2.0</v>
      </c>
      <c r="D2700" s="8" t="s">
        <v>3580</v>
      </c>
      <c r="E2700" s="7">
        <v>2.0</v>
      </c>
      <c r="F2700" s="7" t="s">
        <v>320</v>
      </c>
      <c r="G2700" s="7" t="s">
        <v>313</v>
      </c>
      <c r="H2700" s="7" t="s">
        <v>312</v>
      </c>
      <c r="I2700" s="7" t="s">
        <v>320</v>
      </c>
      <c r="J2700" s="9" t="s">
        <v>3581</v>
      </c>
      <c r="K2700" s="8" t="s">
        <v>3582</v>
      </c>
      <c r="L2700" s="12"/>
      <c r="M2700" s="10"/>
      <c r="N2700" s="10"/>
      <c r="O2700" s="10"/>
      <c r="P2700" s="10"/>
      <c r="Q2700" s="10"/>
      <c r="R2700" s="10"/>
      <c r="S2700" s="10"/>
      <c r="T2700" s="10"/>
      <c r="U2700" s="10"/>
      <c r="V2700" s="10"/>
      <c r="W2700" s="10"/>
      <c r="X2700" s="10"/>
      <c r="Y2700" s="10"/>
      <c r="Z2700" s="10"/>
      <c r="AA2700" s="10"/>
      <c r="AB2700" s="10"/>
      <c r="AC2700" s="10"/>
      <c r="AD2700" s="10"/>
      <c r="AE2700" s="10"/>
      <c r="AF2700" s="10"/>
    </row>
    <row r="2701">
      <c r="A2701" s="7"/>
      <c r="B2701" s="26">
        <v>226.0</v>
      </c>
      <c r="C2701" s="27">
        <v>3.0</v>
      </c>
      <c r="D2701" s="8" t="s">
        <v>3583</v>
      </c>
      <c r="E2701" s="7">
        <v>0.0</v>
      </c>
      <c r="F2701" s="7"/>
      <c r="G2701" s="7" t="s">
        <v>313</v>
      </c>
      <c r="H2701" s="7" t="s">
        <v>312</v>
      </c>
      <c r="I2701" s="7" t="s">
        <v>366</v>
      </c>
      <c r="J2701" s="16" t="s">
        <v>3584</v>
      </c>
      <c r="K2701" s="20" t="s">
        <v>2764</v>
      </c>
      <c r="L2701" s="12"/>
      <c r="M2701" s="10"/>
      <c r="N2701" s="10"/>
      <c r="O2701" s="10"/>
      <c r="P2701" s="10"/>
      <c r="Q2701" s="10"/>
      <c r="R2701" s="10"/>
      <c r="S2701" s="10"/>
      <c r="T2701" s="10"/>
      <c r="U2701" s="10"/>
      <c r="V2701" s="10"/>
      <c r="W2701" s="10"/>
      <c r="X2701" s="10"/>
      <c r="Y2701" s="10"/>
      <c r="Z2701" s="10"/>
      <c r="AA2701" s="10"/>
      <c r="AB2701" s="10"/>
      <c r="AC2701" s="10"/>
      <c r="AD2701" s="10"/>
      <c r="AE2701" s="10"/>
      <c r="AF2701" s="10"/>
    </row>
    <row r="2702">
      <c r="A2702" s="7"/>
      <c r="B2702" s="26">
        <v>226.0</v>
      </c>
      <c r="C2702" s="27">
        <v>4.0</v>
      </c>
      <c r="D2702" s="8" t="s">
        <v>3585</v>
      </c>
      <c r="E2702" s="7">
        <v>2.0</v>
      </c>
      <c r="F2702" s="7" t="s">
        <v>320</v>
      </c>
      <c r="G2702" s="7" t="s">
        <v>313</v>
      </c>
      <c r="H2702" s="7" t="s">
        <v>312</v>
      </c>
      <c r="I2702" s="7" t="s">
        <v>320</v>
      </c>
      <c r="J2702" s="9" t="s">
        <v>3586</v>
      </c>
      <c r="K2702" s="8" t="s">
        <v>3587</v>
      </c>
      <c r="L2702" s="12"/>
      <c r="M2702" s="10"/>
      <c r="N2702" s="10"/>
      <c r="O2702" s="10"/>
      <c r="P2702" s="10"/>
      <c r="Q2702" s="10"/>
      <c r="R2702" s="10"/>
      <c r="S2702" s="10"/>
      <c r="T2702" s="10"/>
      <c r="U2702" s="10"/>
      <c r="V2702" s="10"/>
      <c r="W2702" s="10"/>
      <c r="X2702" s="10"/>
      <c r="Y2702" s="10"/>
      <c r="Z2702" s="10"/>
      <c r="AA2702" s="10"/>
      <c r="AB2702" s="10"/>
      <c r="AC2702" s="10"/>
      <c r="AD2702" s="10"/>
      <c r="AE2702" s="10"/>
      <c r="AF2702" s="10"/>
    </row>
    <row r="2703">
      <c r="A2703" s="7"/>
      <c r="B2703" s="26">
        <v>226.0</v>
      </c>
      <c r="C2703" s="27">
        <v>5.0</v>
      </c>
      <c r="D2703" s="8" t="s">
        <v>3588</v>
      </c>
      <c r="E2703" s="7">
        <v>0.0</v>
      </c>
      <c r="F2703" s="7"/>
      <c r="G2703" s="7" t="s">
        <v>313</v>
      </c>
      <c r="H2703" s="7" t="s">
        <v>312</v>
      </c>
      <c r="I2703" s="7" t="s">
        <v>366</v>
      </c>
      <c r="J2703" s="16" t="s">
        <v>3584</v>
      </c>
      <c r="K2703" s="20" t="s">
        <v>2764</v>
      </c>
      <c r="L2703" s="12"/>
      <c r="M2703" s="10"/>
      <c r="N2703" s="10"/>
      <c r="O2703" s="10"/>
      <c r="P2703" s="10"/>
      <c r="Q2703" s="10"/>
      <c r="R2703" s="10"/>
      <c r="S2703" s="10"/>
      <c r="T2703" s="10"/>
      <c r="U2703" s="10"/>
      <c r="V2703" s="10"/>
      <c r="W2703" s="10"/>
      <c r="X2703" s="10"/>
      <c r="Y2703" s="10"/>
      <c r="Z2703" s="10"/>
      <c r="AA2703" s="10"/>
      <c r="AB2703" s="10"/>
      <c r="AC2703" s="10"/>
      <c r="AD2703" s="10"/>
      <c r="AE2703" s="10"/>
      <c r="AF2703" s="10"/>
    </row>
    <row r="2704">
      <c r="A2704" s="7"/>
      <c r="B2704" s="26">
        <v>226.0</v>
      </c>
      <c r="C2704" s="27">
        <v>6.0</v>
      </c>
      <c r="D2704" s="8" t="s">
        <v>3589</v>
      </c>
      <c r="E2704" s="7">
        <v>0.0</v>
      </c>
      <c r="F2704" s="7"/>
      <c r="G2704" s="7" t="s">
        <v>313</v>
      </c>
      <c r="H2704" s="7" t="s">
        <v>312</v>
      </c>
      <c r="I2704" s="10"/>
      <c r="J2704" s="11"/>
      <c r="K2704" s="12"/>
      <c r="L2704" s="12"/>
      <c r="M2704" s="10"/>
      <c r="N2704" s="10"/>
      <c r="O2704" s="10"/>
      <c r="P2704" s="10"/>
      <c r="Q2704" s="10"/>
      <c r="R2704" s="10"/>
      <c r="S2704" s="10"/>
      <c r="T2704" s="10"/>
      <c r="U2704" s="10"/>
      <c r="V2704" s="10"/>
      <c r="W2704" s="10"/>
      <c r="X2704" s="10"/>
      <c r="Y2704" s="10"/>
      <c r="Z2704" s="10"/>
      <c r="AA2704" s="10"/>
      <c r="AB2704" s="10"/>
      <c r="AC2704" s="10"/>
      <c r="AD2704" s="10"/>
      <c r="AE2704" s="10"/>
      <c r="AF2704" s="10"/>
    </row>
    <row r="2705">
      <c r="A2705" s="13" t="s">
        <v>227</v>
      </c>
      <c r="B2705" s="12"/>
      <c r="C2705" s="12"/>
      <c r="D2705" s="12"/>
      <c r="E2705" s="10"/>
      <c r="F2705" s="10"/>
      <c r="G2705" s="10"/>
      <c r="H2705" s="10"/>
      <c r="I2705" s="10"/>
      <c r="J2705" s="11"/>
      <c r="K2705" s="12"/>
      <c r="L2705" s="12"/>
      <c r="M2705" s="10"/>
      <c r="N2705" s="10"/>
      <c r="O2705" s="10"/>
      <c r="P2705" s="10"/>
      <c r="Q2705" s="10"/>
      <c r="R2705" s="10"/>
      <c r="S2705" s="10"/>
      <c r="T2705" s="10"/>
      <c r="U2705" s="10"/>
      <c r="V2705" s="10"/>
      <c r="W2705" s="10"/>
      <c r="X2705" s="10"/>
      <c r="Y2705" s="10"/>
      <c r="Z2705" s="10"/>
      <c r="AA2705" s="10"/>
      <c r="AB2705" s="10"/>
      <c r="AC2705" s="10"/>
      <c r="AD2705" s="10"/>
      <c r="AE2705" s="10"/>
      <c r="AF2705" s="10"/>
    </row>
    <row r="2706">
      <c r="A2706" s="7"/>
      <c r="B2706" s="26">
        <v>227.0</v>
      </c>
      <c r="C2706" s="27">
        <v>1.0</v>
      </c>
      <c r="D2706" s="8" t="s">
        <v>3590</v>
      </c>
      <c r="E2706" s="7">
        <v>0.0</v>
      </c>
      <c r="F2706" s="7"/>
      <c r="G2706" s="7" t="s">
        <v>313</v>
      </c>
      <c r="H2706" s="7" t="s">
        <v>312</v>
      </c>
      <c r="I2706" s="10"/>
      <c r="J2706" s="9" t="s">
        <v>3591</v>
      </c>
      <c r="K2706" s="12"/>
      <c r="L2706" s="12"/>
      <c r="M2706" s="10"/>
      <c r="N2706" s="10"/>
      <c r="O2706" s="10"/>
      <c r="P2706" s="10"/>
      <c r="Q2706" s="10"/>
      <c r="R2706" s="10"/>
      <c r="S2706" s="10"/>
      <c r="T2706" s="10"/>
      <c r="U2706" s="10"/>
      <c r="V2706" s="10"/>
      <c r="W2706" s="10"/>
      <c r="X2706" s="10"/>
      <c r="Y2706" s="10"/>
      <c r="Z2706" s="10"/>
      <c r="AA2706" s="10"/>
      <c r="AB2706" s="10"/>
      <c r="AC2706" s="10"/>
      <c r="AD2706" s="10"/>
      <c r="AE2706" s="10"/>
      <c r="AF2706" s="10"/>
    </row>
    <row r="2707">
      <c r="A2707" s="7"/>
      <c r="B2707" s="26">
        <v>227.0</v>
      </c>
      <c r="C2707" s="27">
        <v>2.0</v>
      </c>
      <c r="D2707" s="8" t="s">
        <v>3592</v>
      </c>
      <c r="E2707" s="7">
        <v>0.0</v>
      </c>
      <c r="F2707" s="7"/>
      <c r="G2707" s="7" t="s">
        <v>313</v>
      </c>
      <c r="H2707" s="7" t="s">
        <v>312</v>
      </c>
      <c r="I2707" s="10"/>
      <c r="J2707" s="9" t="s">
        <v>3593</v>
      </c>
      <c r="K2707" s="12"/>
      <c r="L2707" s="12"/>
      <c r="M2707" s="10"/>
      <c r="N2707" s="10"/>
      <c r="O2707" s="10"/>
      <c r="P2707" s="10"/>
      <c r="Q2707" s="10"/>
      <c r="R2707" s="10"/>
      <c r="S2707" s="10"/>
      <c r="T2707" s="10"/>
      <c r="U2707" s="10"/>
      <c r="V2707" s="10"/>
      <c r="W2707" s="10"/>
      <c r="X2707" s="10"/>
      <c r="Y2707" s="10"/>
      <c r="Z2707" s="10"/>
      <c r="AA2707" s="10"/>
      <c r="AB2707" s="10"/>
      <c r="AC2707" s="10"/>
      <c r="AD2707" s="10"/>
      <c r="AE2707" s="10"/>
      <c r="AF2707" s="10"/>
    </row>
    <row r="2708">
      <c r="A2708" s="7"/>
      <c r="B2708" s="26">
        <v>227.0</v>
      </c>
      <c r="C2708" s="27">
        <v>3.0</v>
      </c>
      <c r="D2708" s="8" t="s">
        <v>3594</v>
      </c>
      <c r="E2708" s="7">
        <v>0.0</v>
      </c>
      <c r="F2708" s="7"/>
      <c r="G2708" s="7" t="s">
        <v>313</v>
      </c>
      <c r="H2708" s="7" t="s">
        <v>312</v>
      </c>
      <c r="I2708" s="10"/>
      <c r="J2708" s="11"/>
      <c r="K2708" s="12"/>
      <c r="L2708" s="12"/>
      <c r="M2708" s="10"/>
      <c r="N2708" s="10"/>
      <c r="O2708" s="10"/>
      <c r="P2708" s="10"/>
      <c r="Q2708" s="10"/>
      <c r="R2708" s="10"/>
      <c r="S2708" s="10"/>
      <c r="T2708" s="10"/>
      <c r="U2708" s="10"/>
      <c r="V2708" s="10"/>
      <c r="W2708" s="10"/>
      <c r="X2708" s="10"/>
      <c r="Y2708" s="10"/>
      <c r="Z2708" s="10"/>
      <c r="AA2708" s="10"/>
      <c r="AB2708" s="10"/>
      <c r="AC2708" s="10"/>
      <c r="AD2708" s="10"/>
      <c r="AE2708" s="10"/>
      <c r="AF2708" s="10"/>
    </row>
    <row r="2709">
      <c r="A2709" s="7"/>
      <c r="B2709" s="26">
        <v>227.0</v>
      </c>
      <c r="C2709" s="27">
        <v>4.0</v>
      </c>
      <c r="D2709" s="8" t="s">
        <v>3595</v>
      </c>
      <c r="E2709" s="7">
        <v>0.0</v>
      </c>
      <c r="F2709" s="7"/>
      <c r="G2709" s="7" t="s">
        <v>313</v>
      </c>
      <c r="H2709" s="7" t="s">
        <v>312</v>
      </c>
      <c r="I2709" s="10"/>
      <c r="J2709" s="11"/>
      <c r="K2709" s="12"/>
      <c r="L2709" s="12"/>
      <c r="M2709" s="10"/>
      <c r="N2709" s="10"/>
      <c r="O2709" s="10"/>
      <c r="P2709" s="10"/>
      <c r="Q2709" s="10"/>
      <c r="R2709" s="10"/>
      <c r="S2709" s="10"/>
      <c r="T2709" s="10"/>
      <c r="U2709" s="10"/>
      <c r="V2709" s="10"/>
      <c r="W2709" s="10"/>
      <c r="X2709" s="10"/>
      <c r="Y2709" s="10"/>
      <c r="Z2709" s="10"/>
      <c r="AA2709" s="10"/>
      <c r="AB2709" s="10"/>
      <c r="AC2709" s="10"/>
      <c r="AD2709" s="10"/>
      <c r="AE2709" s="10"/>
      <c r="AF2709" s="10"/>
    </row>
    <row r="2710">
      <c r="A2710" s="7"/>
      <c r="B2710" s="26">
        <v>227.0</v>
      </c>
      <c r="C2710" s="27">
        <v>5.0</v>
      </c>
      <c r="D2710" s="8" t="s">
        <v>3596</v>
      </c>
      <c r="E2710" s="7">
        <v>0.0</v>
      </c>
      <c r="F2710" s="7"/>
      <c r="G2710" s="7" t="s">
        <v>313</v>
      </c>
      <c r="H2710" s="7" t="s">
        <v>312</v>
      </c>
      <c r="I2710" s="10"/>
      <c r="J2710" s="11"/>
      <c r="K2710" s="12"/>
      <c r="L2710" s="12"/>
      <c r="M2710" s="10"/>
      <c r="N2710" s="10"/>
      <c r="O2710" s="10"/>
      <c r="P2710" s="10"/>
      <c r="Q2710" s="10"/>
      <c r="R2710" s="10"/>
      <c r="S2710" s="10"/>
      <c r="T2710" s="10"/>
      <c r="U2710" s="10"/>
      <c r="V2710" s="10"/>
      <c r="W2710" s="10"/>
      <c r="X2710" s="10"/>
      <c r="Y2710" s="10"/>
      <c r="Z2710" s="10"/>
      <c r="AA2710" s="10"/>
      <c r="AB2710" s="10"/>
      <c r="AC2710" s="10"/>
      <c r="AD2710" s="10"/>
      <c r="AE2710" s="10"/>
      <c r="AF2710" s="10"/>
    </row>
    <row r="2711">
      <c r="A2711" s="7"/>
      <c r="B2711" s="26">
        <v>227.0</v>
      </c>
      <c r="C2711" s="27">
        <v>6.0</v>
      </c>
      <c r="D2711" s="8" t="s">
        <v>3597</v>
      </c>
      <c r="E2711" s="7">
        <v>2.0</v>
      </c>
      <c r="F2711" s="7" t="s">
        <v>320</v>
      </c>
      <c r="G2711" s="7" t="s">
        <v>313</v>
      </c>
      <c r="H2711" s="7" t="s">
        <v>312</v>
      </c>
      <c r="I2711" s="7"/>
      <c r="J2711" s="9" t="s">
        <v>3598</v>
      </c>
      <c r="K2711" s="8" t="s">
        <v>851</v>
      </c>
      <c r="L2711" s="12"/>
      <c r="M2711" s="10"/>
      <c r="N2711" s="10"/>
      <c r="O2711" s="10"/>
      <c r="P2711" s="10"/>
      <c r="Q2711" s="10"/>
      <c r="R2711" s="10"/>
      <c r="S2711" s="10"/>
      <c r="T2711" s="10"/>
      <c r="U2711" s="10"/>
      <c r="V2711" s="10"/>
      <c r="W2711" s="10"/>
      <c r="X2711" s="10"/>
      <c r="Y2711" s="10"/>
      <c r="Z2711" s="10"/>
      <c r="AA2711" s="10"/>
      <c r="AB2711" s="10"/>
      <c r="AC2711" s="10"/>
      <c r="AD2711" s="10"/>
      <c r="AE2711" s="10"/>
      <c r="AF2711" s="10"/>
    </row>
    <row r="2712">
      <c r="A2712" s="7"/>
      <c r="B2712" s="26">
        <v>227.0</v>
      </c>
      <c r="C2712" s="27">
        <v>7.0</v>
      </c>
      <c r="D2712" s="8" t="s">
        <v>3599</v>
      </c>
      <c r="E2712" s="7">
        <v>2.0</v>
      </c>
      <c r="F2712" s="7" t="s">
        <v>320</v>
      </c>
      <c r="G2712" s="7" t="s">
        <v>313</v>
      </c>
      <c r="H2712" s="7" t="s">
        <v>312</v>
      </c>
      <c r="I2712" s="10"/>
      <c r="J2712" s="9" t="s">
        <v>3600</v>
      </c>
      <c r="K2712" s="8" t="s">
        <v>851</v>
      </c>
      <c r="L2712" s="12"/>
      <c r="M2712" s="10"/>
      <c r="N2712" s="10"/>
      <c r="O2712" s="10"/>
      <c r="P2712" s="10"/>
      <c r="Q2712" s="10"/>
      <c r="R2712" s="10"/>
      <c r="S2712" s="10"/>
      <c r="T2712" s="10"/>
      <c r="U2712" s="10"/>
      <c r="V2712" s="10"/>
      <c r="W2712" s="10"/>
      <c r="X2712" s="10"/>
      <c r="Y2712" s="10"/>
      <c r="Z2712" s="10"/>
      <c r="AA2712" s="10"/>
      <c r="AB2712" s="10"/>
      <c r="AC2712" s="10"/>
      <c r="AD2712" s="10"/>
      <c r="AE2712" s="10"/>
      <c r="AF2712" s="10"/>
    </row>
    <row r="2713">
      <c r="A2713" s="7"/>
      <c r="B2713" s="26">
        <v>227.0</v>
      </c>
      <c r="C2713" s="27">
        <v>8.0</v>
      </c>
      <c r="D2713" s="8" t="s">
        <v>3601</v>
      </c>
      <c r="E2713" s="7">
        <v>2.0</v>
      </c>
      <c r="F2713" s="7" t="s">
        <v>320</v>
      </c>
      <c r="G2713" s="7" t="s">
        <v>313</v>
      </c>
      <c r="H2713" s="7" t="s">
        <v>312</v>
      </c>
      <c r="I2713" s="10"/>
      <c r="J2713" s="9" t="s">
        <v>3602</v>
      </c>
      <c r="K2713" s="8" t="s">
        <v>851</v>
      </c>
      <c r="L2713" s="12"/>
      <c r="M2713" s="10"/>
      <c r="N2713" s="10"/>
      <c r="O2713" s="10"/>
      <c r="P2713" s="10"/>
      <c r="Q2713" s="10"/>
      <c r="R2713" s="10"/>
      <c r="S2713" s="10"/>
      <c r="T2713" s="10"/>
      <c r="U2713" s="10"/>
      <c r="V2713" s="10"/>
      <c r="W2713" s="10"/>
      <c r="X2713" s="10"/>
      <c r="Y2713" s="10"/>
      <c r="Z2713" s="10"/>
      <c r="AA2713" s="10"/>
      <c r="AB2713" s="10"/>
      <c r="AC2713" s="10"/>
      <c r="AD2713" s="10"/>
      <c r="AE2713" s="10"/>
      <c r="AF2713" s="10"/>
    </row>
    <row r="2714">
      <c r="A2714" s="7"/>
      <c r="B2714" s="26">
        <v>227.0</v>
      </c>
      <c r="C2714" s="27">
        <v>9.0</v>
      </c>
      <c r="D2714" s="8" t="s">
        <v>3603</v>
      </c>
      <c r="E2714" s="7">
        <v>0.0</v>
      </c>
      <c r="F2714" s="7"/>
      <c r="G2714" s="7" t="s">
        <v>313</v>
      </c>
      <c r="H2714" s="7" t="s">
        <v>312</v>
      </c>
      <c r="I2714" s="10"/>
      <c r="J2714" s="11"/>
      <c r="K2714" s="12"/>
      <c r="L2714" s="12"/>
      <c r="M2714" s="10"/>
      <c r="N2714" s="10"/>
      <c r="O2714" s="10"/>
      <c r="P2714" s="10"/>
      <c r="Q2714" s="10"/>
      <c r="R2714" s="10"/>
      <c r="S2714" s="10"/>
      <c r="T2714" s="10"/>
      <c r="U2714" s="10"/>
      <c r="V2714" s="10"/>
      <c r="W2714" s="10"/>
      <c r="X2714" s="10"/>
      <c r="Y2714" s="10"/>
      <c r="Z2714" s="10"/>
      <c r="AA2714" s="10"/>
      <c r="AB2714" s="10"/>
      <c r="AC2714" s="10"/>
      <c r="AD2714" s="10"/>
      <c r="AE2714" s="10"/>
      <c r="AF2714" s="10"/>
    </row>
    <row r="2715">
      <c r="A2715" s="7"/>
      <c r="B2715" s="26">
        <v>227.0</v>
      </c>
      <c r="C2715" s="27">
        <v>10.0</v>
      </c>
      <c r="D2715" s="8" t="s">
        <v>3604</v>
      </c>
      <c r="E2715" s="7">
        <v>0.0</v>
      </c>
      <c r="F2715" s="7"/>
      <c r="G2715" s="7" t="s">
        <v>313</v>
      </c>
      <c r="H2715" s="7" t="s">
        <v>312</v>
      </c>
      <c r="I2715" s="10"/>
      <c r="J2715" s="11"/>
      <c r="K2715" s="12"/>
      <c r="L2715" s="12"/>
      <c r="M2715" s="10"/>
      <c r="N2715" s="10"/>
      <c r="O2715" s="10"/>
      <c r="P2715" s="10"/>
      <c r="Q2715" s="10"/>
      <c r="R2715" s="10"/>
      <c r="S2715" s="10"/>
      <c r="T2715" s="10"/>
      <c r="U2715" s="10"/>
      <c r="V2715" s="10"/>
      <c r="W2715" s="10"/>
      <c r="X2715" s="10"/>
      <c r="Y2715" s="10"/>
      <c r="Z2715" s="10"/>
      <c r="AA2715" s="10"/>
      <c r="AB2715" s="10"/>
      <c r="AC2715" s="10"/>
      <c r="AD2715" s="10"/>
      <c r="AE2715" s="10"/>
      <c r="AF2715" s="10"/>
    </row>
    <row r="2716">
      <c r="A2716" s="7"/>
      <c r="B2716" s="26">
        <v>227.0</v>
      </c>
      <c r="C2716" s="27">
        <v>11.0</v>
      </c>
      <c r="D2716" s="8" t="s">
        <v>3605</v>
      </c>
      <c r="E2716" s="7">
        <v>0.0</v>
      </c>
      <c r="F2716" s="7"/>
      <c r="G2716" s="7" t="s">
        <v>313</v>
      </c>
      <c r="H2716" s="7" t="s">
        <v>312</v>
      </c>
      <c r="I2716" s="10"/>
      <c r="J2716" s="11"/>
      <c r="K2716" s="12"/>
      <c r="L2716" s="12"/>
      <c r="M2716" s="10"/>
      <c r="N2716" s="10"/>
      <c r="O2716" s="10"/>
      <c r="P2716" s="10"/>
      <c r="Q2716" s="10"/>
      <c r="R2716" s="10"/>
      <c r="S2716" s="10"/>
      <c r="T2716" s="10"/>
      <c r="U2716" s="10"/>
      <c r="V2716" s="10"/>
      <c r="W2716" s="10"/>
      <c r="X2716" s="10"/>
      <c r="Y2716" s="10"/>
      <c r="Z2716" s="10"/>
      <c r="AA2716" s="10"/>
      <c r="AB2716" s="10"/>
      <c r="AC2716" s="10"/>
      <c r="AD2716" s="10"/>
      <c r="AE2716" s="10"/>
      <c r="AF2716" s="10"/>
    </row>
    <row r="2717">
      <c r="A2717" s="7"/>
      <c r="B2717" s="26">
        <v>227.0</v>
      </c>
      <c r="C2717" s="27">
        <v>12.0</v>
      </c>
      <c r="D2717" s="8" t="s">
        <v>3606</v>
      </c>
      <c r="E2717" s="7">
        <v>2.0</v>
      </c>
      <c r="F2717" s="7" t="s">
        <v>320</v>
      </c>
      <c r="G2717" s="7" t="s">
        <v>313</v>
      </c>
      <c r="H2717" s="7" t="s">
        <v>312</v>
      </c>
      <c r="I2717" s="10"/>
      <c r="J2717" s="9" t="s">
        <v>3607</v>
      </c>
      <c r="K2717" s="8" t="s">
        <v>851</v>
      </c>
      <c r="L2717" s="12"/>
      <c r="M2717" s="10"/>
      <c r="N2717" s="10"/>
      <c r="O2717" s="10"/>
      <c r="P2717" s="10"/>
      <c r="Q2717" s="10"/>
      <c r="R2717" s="10"/>
      <c r="S2717" s="10"/>
      <c r="T2717" s="10"/>
      <c r="U2717" s="10"/>
      <c r="V2717" s="10"/>
      <c r="W2717" s="10"/>
      <c r="X2717" s="10"/>
      <c r="Y2717" s="10"/>
      <c r="Z2717" s="10"/>
      <c r="AA2717" s="10"/>
      <c r="AB2717" s="10"/>
      <c r="AC2717" s="10"/>
      <c r="AD2717" s="10"/>
      <c r="AE2717" s="10"/>
      <c r="AF2717" s="10"/>
    </row>
    <row r="2718">
      <c r="A2718" s="7"/>
      <c r="B2718" s="26">
        <v>227.0</v>
      </c>
      <c r="C2718" s="27">
        <v>13.0</v>
      </c>
      <c r="D2718" s="8" t="s">
        <v>3608</v>
      </c>
      <c r="E2718" s="7">
        <v>0.0</v>
      </c>
      <c r="F2718" s="7"/>
      <c r="G2718" s="7" t="s">
        <v>313</v>
      </c>
      <c r="H2718" s="7" t="s">
        <v>312</v>
      </c>
      <c r="I2718" s="10"/>
      <c r="J2718" s="11"/>
      <c r="K2718" s="20" t="s">
        <v>3609</v>
      </c>
      <c r="L2718" s="12"/>
      <c r="M2718" s="10"/>
      <c r="N2718" s="10"/>
      <c r="O2718" s="10"/>
      <c r="P2718" s="10"/>
      <c r="Q2718" s="10"/>
      <c r="R2718" s="10"/>
      <c r="S2718" s="10"/>
      <c r="T2718" s="10"/>
      <c r="U2718" s="10"/>
      <c r="V2718" s="10"/>
      <c r="W2718" s="10"/>
      <c r="X2718" s="10"/>
      <c r="Y2718" s="10"/>
      <c r="Z2718" s="10"/>
      <c r="AA2718" s="10"/>
      <c r="AB2718" s="10"/>
      <c r="AC2718" s="10"/>
      <c r="AD2718" s="10"/>
      <c r="AE2718" s="10"/>
      <c r="AF2718" s="10"/>
    </row>
    <row r="2719">
      <c r="A2719" s="7"/>
      <c r="B2719" s="26">
        <v>227.0</v>
      </c>
      <c r="C2719" s="27">
        <v>14.0</v>
      </c>
      <c r="D2719" s="8" t="s">
        <v>3610</v>
      </c>
      <c r="E2719" s="7">
        <v>2.0</v>
      </c>
      <c r="F2719" s="7" t="s">
        <v>320</v>
      </c>
      <c r="G2719" s="7" t="s">
        <v>313</v>
      </c>
      <c r="H2719" s="7" t="s">
        <v>312</v>
      </c>
      <c r="I2719" s="7" t="s">
        <v>320</v>
      </c>
      <c r="J2719" s="9" t="s">
        <v>3611</v>
      </c>
      <c r="K2719" s="8" t="s">
        <v>3612</v>
      </c>
      <c r="L2719" s="12"/>
      <c r="M2719" s="10"/>
      <c r="N2719" s="10"/>
      <c r="O2719" s="10"/>
      <c r="P2719" s="10"/>
      <c r="Q2719" s="10"/>
      <c r="R2719" s="10"/>
      <c r="S2719" s="10"/>
      <c r="T2719" s="10"/>
      <c r="U2719" s="10"/>
      <c r="V2719" s="10"/>
      <c r="W2719" s="10"/>
      <c r="X2719" s="10"/>
      <c r="Y2719" s="10"/>
      <c r="Z2719" s="10"/>
      <c r="AA2719" s="10"/>
      <c r="AB2719" s="10"/>
      <c r="AC2719" s="10"/>
      <c r="AD2719" s="10"/>
      <c r="AE2719" s="10"/>
      <c r="AF2719" s="10"/>
    </row>
    <row r="2720">
      <c r="A2720" s="7"/>
      <c r="B2720" s="26">
        <v>227.0</v>
      </c>
      <c r="C2720" s="27">
        <v>15.0</v>
      </c>
      <c r="D2720" s="8" t="s">
        <v>3613</v>
      </c>
      <c r="E2720" s="7">
        <v>2.0</v>
      </c>
      <c r="F2720" s="7" t="s">
        <v>320</v>
      </c>
      <c r="G2720" s="7" t="s">
        <v>313</v>
      </c>
      <c r="H2720" s="7" t="s">
        <v>312</v>
      </c>
      <c r="I2720" s="7" t="s">
        <v>320</v>
      </c>
      <c r="J2720" s="9" t="s">
        <v>3614</v>
      </c>
      <c r="K2720" s="8" t="s">
        <v>3615</v>
      </c>
      <c r="L2720" s="12"/>
      <c r="M2720" s="10"/>
      <c r="N2720" s="10"/>
      <c r="O2720" s="10"/>
      <c r="P2720" s="10"/>
      <c r="Q2720" s="10"/>
      <c r="R2720" s="10"/>
      <c r="S2720" s="10"/>
      <c r="T2720" s="10"/>
      <c r="U2720" s="10"/>
      <c r="V2720" s="10"/>
      <c r="W2720" s="10"/>
      <c r="X2720" s="10"/>
      <c r="Y2720" s="10"/>
      <c r="Z2720" s="10"/>
      <c r="AA2720" s="10"/>
      <c r="AB2720" s="10"/>
      <c r="AC2720" s="10"/>
      <c r="AD2720" s="10"/>
      <c r="AE2720" s="10"/>
      <c r="AF2720" s="10"/>
    </row>
    <row r="2721">
      <c r="A2721" s="13" t="s">
        <v>228</v>
      </c>
      <c r="B2721" s="12"/>
      <c r="C2721" s="12"/>
      <c r="D2721" s="12"/>
      <c r="E2721" s="10"/>
      <c r="F2721" s="10"/>
      <c r="G2721" s="7"/>
      <c r="H2721" s="10"/>
      <c r="I2721" s="10"/>
      <c r="J2721" s="11"/>
      <c r="K2721" s="12"/>
      <c r="L2721" s="12"/>
      <c r="M2721" s="10"/>
      <c r="N2721" s="10"/>
      <c r="O2721" s="10"/>
      <c r="P2721" s="10"/>
      <c r="Q2721" s="10"/>
      <c r="R2721" s="10"/>
      <c r="S2721" s="10"/>
      <c r="T2721" s="10"/>
      <c r="U2721" s="10"/>
      <c r="V2721" s="10"/>
      <c r="W2721" s="10"/>
      <c r="X2721" s="10"/>
      <c r="Y2721" s="10"/>
      <c r="Z2721" s="10"/>
      <c r="AA2721" s="10"/>
      <c r="AB2721" s="10"/>
      <c r="AC2721" s="10"/>
      <c r="AD2721" s="10"/>
      <c r="AE2721" s="10"/>
      <c r="AF2721" s="10"/>
    </row>
    <row r="2722">
      <c r="A2722" s="7"/>
      <c r="B2722" s="26">
        <v>228.0</v>
      </c>
      <c r="C2722" s="27">
        <v>1.0</v>
      </c>
      <c r="D2722" s="8" t="s">
        <v>3616</v>
      </c>
      <c r="E2722" s="7">
        <v>2.0</v>
      </c>
      <c r="F2722" s="7" t="s">
        <v>320</v>
      </c>
      <c r="G2722" s="7" t="s">
        <v>313</v>
      </c>
      <c r="H2722" s="7" t="s">
        <v>312</v>
      </c>
      <c r="I2722" s="7" t="s">
        <v>320</v>
      </c>
      <c r="J2722" s="9" t="s">
        <v>3617</v>
      </c>
      <c r="K2722" s="8" t="s">
        <v>3618</v>
      </c>
      <c r="L2722" s="12"/>
      <c r="M2722" s="10"/>
      <c r="N2722" s="10"/>
      <c r="O2722" s="10"/>
      <c r="P2722" s="10"/>
      <c r="Q2722" s="10"/>
      <c r="R2722" s="10"/>
      <c r="S2722" s="10"/>
      <c r="T2722" s="10"/>
      <c r="U2722" s="10"/>
      <c r="V2722" s="10"/>
      <c r="W2722" s="10"/>
      <c r="X2722" s="10"/>
      <c r="Y2722" s="10"/>
      <c r="Z2722" s="10"/>
      <c r="AA2722" s="10"/>
      <c r="AB2722" s="10"/>
      <c r="AC2722" s="10"/>
      <c r="AD2722" s="10"/>
      <c r="AE2722" s="10"/>
      <c r="AF2722" s="10"/>
    </row>
    <row r="2723">
      <c r="A2723" s="7"/>
      <c r="B2723" s="26">
        <v>228.0</v>
      </c>
      <c r="C2723" s="27">
        <v>2.0</v>
      </c>
      <c r="D2723" s="8" t="s">
        <v>3619</v>
      </c>
      <c r="E2723" s="7">
        <v>2.0</v>
      </c>
      <c r="F2723" s="7" t="s">
        <v>320</v>
      </c>
      <c r="G2723" s="7" t="s">
        <v>313</v>
      </c>
      <c r="H2723" s="7" t="s">
        <v>312</v>
      </c>
      <c r="I2723" s="7" t="s">
        <v>320</v>
      </c>
      <c r="J2723" s="9" t="s">
        <v>3620</v>
      </c>
      <c r="K2723" s="8" t="s">
        <v>3621</v>
      </c>
      <c r="L2723" s="12"/>
      <c r="M2723" s="10"/>
      <c r="N2723" s="10"/>
      <c r="O2723" s="10"/>
      <c r="P2723" s="10"/>
      <c r="Q2723" s="10"/>
      <c r="R2723" s="10"/>
      <c r="S2723" s="10"/>
      <c r="T2723" s="10"/>
      <c r="U2723" s="10"/>
      <c r="V2723" s="10"/>
      <c r="W2723" s="10"/>
      <c r="X2723" s="10"/>
      <c r="Y2723" s="10"/>
      <c r="Z2723" s="10"/>
      <c r="AA2723" s="10"/>
      <c r="AB2723" s="10"/>
      <c r="AC2723" s="10"/>
      <c r="AD2723" s="10"/>
      <c r="AE2723" s="10"/>
      <c r="AF2723" s="10"/>
    </row>
    <row r="2724">
      <c r="A2724" s="7"/>
      <c r="B2724" s="26">
        <v>228.0</v>
      </c>
      <c r="C2724" s="27">
        <v>3.0</v>
      </c>
      <c r="D2724" s="8" t="s">
        <v>3622</v>
      </c>
      <c r="E2724" s="7">
        <v>2.0</v>
      </c>
      <c r="F2724" s="7" t="s">
        <v>320</v>
      </c>
      <c r="G2724" s="7" t="s">
        <v>313</v>
      </c>
      <c r="H2724" s="7" t="s">
        <v>312</v>
      </c>
      <c r="I2724" s="7" t="s">
        <v>320</v>
      </c>
      <c r="J2724" s="9" t="s">
        <v>3623</v>
      </c>
      <c r="K2724" s="8" t="s">
        <v>3624</v>
      </c>
      <c r="L2724" s="12"/>
      <c r="M2724" s="10"/>
      <c r="N2724" s="10"/>
      <c r="O2724" s="10"/>
      <c r="P2724" s="10"/>
      <c r="Q2724" s="10"/>
      <c r="R2724" s="10"/>
      <c r="S2724" s="10"/>
      <c r="T2724" s="10"/>
      <c r="U2724" s="10"/>
      <c r="V2724" s="10"/>
      <c r="W2724" s="10"/>
      <c r="X2724" s="10"/>
      <c r="Y2724" s="10"/>
      <c r="Z2724" s="10"/>
      <c r="AA2724" s="10"/>
      <c r="AB2724" s="10"/>
      <c r="AC2724" s="10"/>
      <c r="AD2724" s="10"/>
      <c r="AE2724" s="10"/>
      <c r="AF2724" s="10"/>
    </row>
    <row r="2725">
      <c r="A2725" s="13" t="s">
        <v>229</v>
      </c>
      <c r="B2725" s="12"/>
      <c r="C2725" s="12"/>
      <c r="D2725" s="12"/>
      <c r="E2725" s="10"/>
      <c r="F2725" s="10"/>
      <c r="G2725" s="10"/>
      <c r="H2725" s="10"/>
      <c r="I2725" s="10"/>
      <c r="J2725" s="11"/>
      <c r="K2725" s="12"/>
      <c r="L2725" s="12"/>
      <c r="M2725" s="10"/>
      <c r="N2725" s="10"/>
      <c r="O2725" s="10"/>
      <c r="P2725" s="10"/>
      <c r="Q2725" s="10"/>
      <c r="R2725" s="10"/>
      <c r="S2725" s="10"/>
      <c r="T2725" s="10"/>
      <c r="U2725" s="10"/>
      <c r="V2725" s="10"/>
      <c r="W2725" s="10"/>
      <c r="X2725" s="10"/>
      <c r="Y2725" s="10"/>
      <c r="Z2725" s="10"/>
      <c r="AA2725" s="10"/>
      <c r="AB2725" s="10"/>
      <c r="AC2725" s="10"/>
      <c r="AD2725" s="10"/>
      <c r="AE2725" s="10"/>
      <c r="AF2725" s="10"/>
    </row>
    <row r="2726">
      <c r="A2726" s="7"/>
      <c r="B2726" s="26">
        <v>229.0</v>
      </c>
      <c r="C2726" s="27">
        <v>1.0</v>
      </c>
      <c r="D2726" s="8" t="s">
        <v>3625</v>
      </c>
      <c r="E2726" s="7">
        <v>0.0</v>
      </c>
      <c r="F2726" s="7"/>
      <c r="G2726" s="7" t="s">
        <v>313</v>
      </c>
      <c r="H2726" s="7" t="s">
        <v>312</v>
      </c>
      <c r="I2726" s="10"/>
      <c r="J2726" s="9" t="s">
        <v>3626</v>
      </c>
      <c r="K2726" s="12"/>
      <c r="L2726" s="12"/>
      <c r="M2726" s="10"/>
      <c r="N2726" s="10"/>
      <c r="O2726" s="10"/>
      <c r="P2726" s="10"/>
      <c r="Q2726" s="10"/>
      <c r="R2726" s="10"/>
      <c r="S2726" s="10"/>
      <c r="T2726" s="10"/>
      <c r="U2726" s="10"/>
      <c r="V2726" s="10"/>
      <c r="W2726" s="10"/>
      <c r="X2726" s="10"/>
      <c r="Y2726" s="10"/>
      <c r="Z2726" s="10"/>
      <c r="AA2726" s="10"/>
      <c r="AB2726" s="10"/>
      <c r="AC2726" s="10"/>
      <c r="AD2726" s="10"/>
      <c r="AE2726" s="10"/>
      <c r="AF2726" s="10"/>
    </row>
    <row r="2727">
      <c r="A2727" s="7"/>
      <c r="B2727" s="26">
        <v>229.0</v>
      </c>
      <c r="C2727" s="27">
        <v>2.0</v>
      </c>
      <c r="D2727" s="8" t="s">
        <v>3627</v>
      </c>
      <c r="E2727" s="7">
        <v>2.0</v>
      </c>
      <c r="F2727" s="7" t="s">
        <v>320</v>
      </c>
      <c r="G2727" s="7" t="s">
        <v>313</v>
      </c>
      <c r="H2727" s="7" t="s">
        <v>312</v>
      </c>
      <c r="I2727" s="7" t="s">
        <v>320</v>
      </c>
      <c r="J2727" s="9" t="s">
        <v>3628</v>
      </c>
      <c r="K2727" s="8" t="s">
        <v>3629</v>
      </c>
      <c r="L2727" s="12"/>
      <c r="M2727" s="10"/>
      <c r="N2727" s="10"/>
      <c r="O2727" s="10"/>
      <c r="P2727" s="10"/>
      <c r="Q2727" s="10"/>
      <c r="R2727" s="10"/>
      <c r="S2727" s="10"/>
      <c r="T2727" s="10"/>
      <c r="U2727" s="10"/>
      <c r="V2727" s="10"/>
      <c r="W2727" s="10"/>
      <c r="X2727" s="10"/>
      <c r="Y2727" s="10"/>
      <c r="Z2727" s="10"/>
      <c r="AA2727" s="10"/>
      <c r="AB2727" s="10"/>
      <c r="AC2727" s="10"/>
      <c r="AD2727" s="10"/>
      <c r="AE2727" s="10"/>
      <c r="AF2727" s="10"/>
    </row>
    <row r="2728">
      <c r="A2728" s="7"/>
      <c r="B2728" s="26">
        <v>229.0</v>
      </c>
      <c r="C2728" s="27">
        <v>3.0</v>
      </c>
      <c r="D2728" s="8" t="s">
        <v>3630</v>
      </c>
      <c r="E2728" s="7">
        <v>2.0</v>
      </c>
      <c r="F2728" s="7" t="s">
        <v>320</v>
      </c>
      <c r="G2728" s="7" t="s">
        <v>313</v>
      </c>
      <c r="H2728" s="7" t="s">
        <v>312</v>
      </c>
      <c r="I2728" s="10"/>
      <c r="J2728" s="9" t="s">
        <v>3631</v>
      </c>
      <c r="K2728" s="8" t="s">
        <v>851</v>
      </c>
      <c r="L2728" s="12"/>
      <c r="M2728" s="10"/>
      <c r="N2728" s="10"/>
      <c r="O2728" s="10"/>
      <c r="P2728" s="10"/>
      <c r="Q2728" s="10"/>
      <c r="R2728" s="10"/>
      <c r="S2728" s="10"/>
      <c r="T2728" s="10"/>
      <c r="U2728" s="10"/>
      <c r="V2728" s="10"/>
      <c r="W2728" s="10"/>
      <c r="X2728" s="10"/>
      <c r="Y2728" s="10"/>
      <c r="Z2728" s="10"/>
      <c r="AA2728" s="10"/>
      <c r="AB2728" s="10"/>
      <c r="AC2728" s="10"/>
      <c r="AD2728" s="10"/>
      <c r="AE2728" s="10"/>
      <c r="AF2728" s="10"/>
    </row>
    <row r="2729">
      <c r="A2729" s="7"/>
      <c r="B2729" s="26">
        <v>229.0</v>
      </c>
      <c r="C2729" s="27">
        <v>4.0</v>
      </c>
      <c r="D2729" s="8" t="s">
        <v>3632</v>
      </c>
      <c r="E2729" s="7">
        <v>0.0</v>
      </c>
      <c r="F2729" s="7"/>
      <c r="G2729" s="7" t="s">
        <v>313</v>
      </c>
      <c r="H2729" s="7" t="s">
        <v>312</v>
      </c>
      <c r="I2729" s="10"/>
      <c r="J2729" s="11"/>
      <c r="K2729" s="12"/>
      <c r="L2729" s="12"/>
      <c r="M2729" s="10"/>
      <c r="N2729" s="10"/>
      <c r="O2729" s="10"/>
      <c r="P2729" s="10"/>
      <c r="Q2729" s="10"/>
      <c r="R2729" s="10"/>
      <c r="S2729" s="10"/>
      <c r="T2729" s="10"/>
      <c r="U2729" s="10"/>
      <c r="V2729" s="10"/>
      <c r="W2729" s="10"/>
      <c r="X2729" s="10"/>
      <c r="Y2729" s="10"/>
      <c r="Z2729" s="10"/>
      <c r="AA2729" s="10"/>
      <c r="AB2729" s="10"/>
      <c r="AC2729" s="10"/>
      <c r="AD2729" s="10"/>
      <c r="AE2729" s="10"/>
      <c r="AF2729" s="10"/>
    </row>
    <row r="2730">
      <c r="A2730" s="7"/>
      <c r="B2730" s="26">
        <v>229.0</v>
      </c>
      <c r="C2730" s="27">
        <v>5.0</v>
      </c>
      <c r="D2730" s="8" t="s">
        <v>3633</v>
      </c>
      <c r="E2730" s="7">
        <v>0.0</v>
      </c>
      <c r="F2730" s="7"/>
      <c r="G2730" s="7" t="s">
        <v>313</v>
      </c>
      <c r="H2730" s="7" t="s">
        <v>312</v>
      </c>
      <c r="I2730" s="10"/>
      <c r="J2730" s="11"/>
      <c r="K2730" s="12"/>
      <c r="L2730" s="12"/>
      <c r="M2730" s="10"/>
      <c r="N2730" s="10"/>
      <c r="O2730" s="10"/>
      <c r="P2730" s="10"/>
      <c r="Q2730" s="10"/>
      <c r="R2730" s="10"/>
      <c r="S2730" s="10"/>
      <c r="T2730" s="10"/>
      <c r="U2730" s="10"/>
      <c r="V2730" s="10"/>
      <c r="W2730" s="10"/>
      <c r="X2730" s="10"/>
      <c r="Y2730" s="10"/>
      <c r="Z2730" s="10"/>
      <c r="AA2730" s="10"/>
      <c r="AB2730" s="10"/>
      <c r="AC2730" s="10"/>
      <c r="AD2730" s="10"/>
      <c r="AE2730" s="10"/>
      <c r="AF2730" s="10"/>
    </row>
    <row r="2731">
      <c r="A2731" s="7"/>
      <c r="B2731" s="26">
        <v>229.0</v>
      </c>
      <c r="C2731" s="27">
        <v>6.0</v>
      </c>
      <c r="D2731" s="8" t="s">
        <v>3634</v>
      </c>
      <c r="E2731" s="7">
        <v>0.0</v>
      </c>
      <c r="F2731" s="7"/>
      <c r="G2731" s="7" t="s">
        <v>313</v>
      </c>
      <c r="H2731" s="7" t="s">
        <v>312</v>
      </c>
      <c r="I2731" s="10"/>
      <c r="J2731" s="20" t="s">
        <v>3635</v>
      </c>
      <c r="K2731" s="12"/>
      <c r="L2731" s="12"/>
      <c r="M2731" s="10"/>
      <c r="N2731" s="10"/>
      <c r="O2731" s="10"/>
      <c r="P2731" s="10"/>
      <c r="Q2731" s="10"/>
      <c r="R2731" s="10"/>
      <c r="S2731" s="10"/>
      <c r="T2731" s="10"/>
      <c r="U2731" s="10"/>
      <c r="V2731" s="10"/>
      <c r="W2731" s="10"/>
      <c r="X2731" s="10"/>
      <c r="Y2731" s="10"/>
      <c r="Z2731" s="10"/>
      <c r="AA2731" s="10"/>
      <c r="AB2731" s="10"/>
      <c r="AC2731" s="10"/>
      <c r="AD2731" s="10"/>
      <c r="AE2731" s="10"/>
      <c r="AF2731" s="10"/>
    </row>
    <row r="2732">
      <c r="A2732" s="7"/>
      <c r="B2732" s="26">
        <v>229.0</v>
      </c>
      <c r="C2732" s="27">
        <v>7.0</v>
      </c>
      <c r="D2732" s="8" t="s">
        <v>3636</v>
      </c>
      <c r="E2732" s="7">
        <v>2.0</v>
      </c>
      <c r="F2732" s="7" t="s">
        <v>320</v>
      </c>
      <c r="G2732" s="7" t="s">
        <v>313</v>
      </c>
      <c r="H2732" s="7" t="s">
        <v>312</v>
      </c>
      <c r="I2732" s="7" t="s">
        <v>366</v>
      </c>
      <c r="J2732" s="9" t="s">
        <v>3637</v>
      </c>
      <c r="K2732" s="8" t="s">
        <v>851</v>
      </c>
      <c r="L2732" s="12"/>
      <c r="M2732" s="10"/>
      <c r="N2732" s="10"/>
      <c r="O2732" s="10"/>
      <c r="P2732" s="10"/>
      <c r="Q2732" s="10"/>
      <c r="R2732" s="10"/>
      <c r="S2732" s="10"/>
      <c r="T2732" s="10"/>
      <c r="U2732" s="10"/>
      <c r="V2732" s="10"/>
      <c r="W2732" s="10"/>
      <c r="X2732" s="10"/>
      <c r="Y2732" s="10"/>
      <c r="Z2732" s="10"/>
      <c r="AA2732" s="10"/>
      <c r="AB2732" s="10"/>
      <c r="AC2732" s="10"/>
      <c r="AD2732" s="10"/>
      <c r="AE2732" s="10"/>
      <c r="AF2732" s="10"/>
    </row>
    <row r="2733">
      <c r="A2733" s="7"/>
      <c r="B2733" s="26">
        <v>229.0</v>
      </c>
      <c r="C2733" s="27">
        <v>8.0</v>
      </c>
      <c r="D2733" s="8" t="s">
        <v>3638</v>
      </c>
      <c r="E2733" s="7">
        <v>2.0</v>
      </c>
      <c r="F2733" s="7" t="s">
        <v>320</v>
      </c>
      <c r="G2733" s="7" t="s">
        <v>313</v>
      </c>
      <c r="H2733" s="7" t="s">
        <v>312</v>
      </c>
      <c r="I2733" s="7" t="s">
        <v>366</v>
      </c>
      <c r="J2733" s="9" t="s">
        <v>3639</v>
      </c>
      <c r="K2733" s="8" t="s">
        <v>851</v>
      </c>
      <c r="L2733" s="12"/>
      <c r="M2733" s="10"/>
      <c r="N2733" s="10"/>
      <c r="O2733" s="10"/>
      <c r="P2733" s="10"/>
      <c r="Q2733" s="10"/>
      <c r="R2733" s="10"/>
      <c r="S2733" s="10"/>
      <c r="T2733" s="10"/>
      <c r="U2733" s="10"/>
      <c r="V2733" s="10"/>
      <c r="W2733" s="10"/>
      <c r="X2733" s="10"/>
      <c r="Y2733" s="10"/>
      <c r="Z2733" s="10"/>
      <c r="AA2733" s="10"/>
      <c r="AB2733" s="10"/>
      <c r="AC2733" s="10"/>
      <c r="AD2733" s="10"/>
      <c r="AE2733" s="10"/>
      <c r="AF2733" s="10"/>
    </row>
    <row r="2734">
      <c r="A2734" s="7"/>
      <c r="B2734" s="26">
        <v>229.0</v>
      </c>
      <c r="C2734" s="27">
        <v>9.0</v>
      </c>
      <c r="D2734" s="8" t="s">
        <v>3640</v>
      </c>
      <c r="E2734" s="7">
        <v>0.0</v>
      </c>
      <c r="F2734" s="7"/>
      <c r="G2734" s="7" t="s">
        <v>313</v>
      </c>
      <c r="H2734" s="7" t="s">
        <v>312</v>
      </c>
      <c r="I2734" s="10"/>
      <c r="J2734" s="11"/>
      <c r="K2734" s="12"/>
      <c r="L2734" s="12"/>
      <c r="M2734" s="10"/>
      <c r="N2734" s="10"/>
      <c r="O2734" s="10"/>
      <c r="P2734" s="10"/>
      <c r="Q2734" s="10"/>
      <c r="R2734" s="10"/>
      <c r="S2734" s="10"/>
      <c r="T2734" s="10"/>
      <c r="U2734" s="10"/>
      <c r="V2734" s="10"/>
      <c r="W2734" s="10"/>
      <c r="X2734" s="10"/>
      <c r="Y2734" s="10"/>
      <c r="Z2734" s="10"/>
      <c r="AA2734" s="10"/>
      <c r="AB2734" s="10"/>
      <c r="AC2734" s="10"/>
      <c r="AD2734" s="10"/>
      <c r="AE2734" s="10"/>
      <c r="AF2734" s="10"/>
    </row>
    <row r="2735">
      <c r="A2735" s="7"/>
      <c r="B2735" s="26">
        <v>229.0</v>
      </c>
      <c r="C2735" s="27">
        <v>10.0</v>
      </c>
      <c r="D2735" s="8" t="s">
        <v>3641</v>
      </c>
      <c r="E2735" s="7">
        <v>0.0</v>
      </c>
      <c r="F2735" s="7"/>
      <c r="G2735" s="7" t="s">
        <v>313</v>
      </c>
      <c r="H2735" s="7" t="s">
        <v>312</v>
      </c>
      <c r="I2735" s="10"/>
      <c r="J2735" s="11"/>
      <c r="K2735" s="12"/>
      <c r="L2735" s="12"/>
      <c r="M2735" s="10"/>
      <c r="N2735" s="10"/>
      <c r="O2735" s="10"/>
      <c r="P2735" s="10"/>
      <c r="Q2735" s="10"/>
      <c r="R2735" s="10"/>
      <c r="S2735" s="10"/>
      <c r="T2735" s="10"/>
      <c r="U2735" s="10"/>
      <c r="V2735" s="10"/>
      <c r="W2735" s="10"/>
      <c r="X2735" s="10"/>
      <c r="Y2735" s="10"/>
      <c r="Z2735" s="10"/>
      <c r="AA2735" s="10"/>
      <c r="AB2735" s="10"/>
      <c r="AC2735" s="10"/>
      <c r="AD2735" s="10"/>
      <c r="AE2735" s="10"/>
      <c r="AF2735" s="10"/>
    </row>
    <row r="2736">
      <c r="A2736" s="7"/>
      <c r="B2736" s="26">
        <v>229.0</v>
      </c>
      <c r="C2736" s="27">
        <v>11.0</v>
      </c>
      <c r="D2736" s="8" t="s">
        <v>3642</v>
      </c>
      <c r="E2736" s="7">
        <v>0.0</v>
      </c>
      <c r="F2736" s="7"/>
      <c r="G2736" s="7" t="s">
        <v>313</v>
      </c>
      <c r="H2736" s="7" t="s">
        <v>312</v>
      </c>
      <c r="I2736" s="10"/>
      <c r="J2736" s="20" t="s">
        <v>3635</v>
      </c>
      <c r="K2736" s="12"/>
      <c r="L2736" s="12"/>
      <c r="M2736" s="10"/>
      <c r="N2736" s="10"/>
      <c r="O2736" s="10"/>
      <c r="P2736" s="10"/>
      <c r="Q2736" s="10"/>
      <c r="R2736" s="10"/>
      <c r="S2736" s="10"/>
      <c r="T2736" s="10"/>
      <c r="U2736" s="10"/>
      <c r="V2736" s="10"/>
      <c r="W2736" s="10"/>
      <c r="X2736" s="10"/>
      <c r="Y2736" s="10"/>
      <c r="Z2736" s="10"/>
      <c r="AA2736" s="10"/>
      <c r="AB2736" s="10"/>
      <c r="AC2736" s="10"/>
      <c r="AD2736" s="10"/>
      <c r="AE2736" s="10"/>
      <c r="AF2736" s="10"/>
    </row>
    <row r="2737">
      <c r="A2737" s="7"/>
      <c r="B2737" s="26">
        <v>229.0</v>
      </c>
      <c r="C2737" s="27">
        <v>12.0</v>
      </c>
      <c r="D2737" s="8" t="s">
        <v>3643</v>
      </c>
      <c r="E2737" s="7">
        <v>0.0</v>
      </c>
      <c r="F2737" s="7"/>
      <c r="G2737" s="7" t="s">
        <v>313</v>
      </c>
      <c r="H2737" s="7" t="s">
        <v>312</v>
      </c>
      <c r="I2737" s="10"/>
      <c r="J2737" s="11"/>
      <c r="K2737" s="12"/>
      <c r="L2737" s="12"/>
      <c r="M2737" s="10"/>
      <c r="N2737" s="10"/>
      <c r="O2737" s="10"/>
      <c r="P2737" s="10"/>
      <c r="Q2737" s="10"/>
      <c r="R2737" s="10"/>
      <c r="S2737" s="10"/>
      <c r="T2737" s="10"/>
      <c r="U2737" s="10"/>
      <c r="V2737" s="10"/>
      <c r="W2737" s="10"/>
      <c r="X2737" s="10"/>
      <c r="Y2737" s="10"/>
      <c r="Z2737" s="10"/>
      <c r="AA2737" s="10"/>
      <c r="AB2737" s="10"/>
      <c r="AC2737" s="10"/>
      <c r="AD2737" s="10"/>
      <c r="AE2737" s="10"/>
      <c r="AF2737" s="10"/>
    </row>
    <row r="2738">
      <c r="A2738" s="7"/>
      <c r="B2738" s="26">
        <v>229.0</v>
      </c>
      <c r="C2738" s="27">
        <v>13.0</v>
      </c>
      <c r="D2738" s="8" t="s">
        <v>3644</v>
      </c>
      <c r="E2738" s="7">
        <v>2.0</v>
      </c>
      <c r="F2738" s="7" t="s">
        <v>320</v>
      </c>
      <c r="G2738" s="7" t="s">
        <v>313</v>
      </c>
      <c r="H2738" s="7" t="s">
        <v>312</v>
      </c>
      <c r="I2738" s="10"/>
      <c r="J2738" s="9" t="s">
        <v>3645</v>
      </c>
      <c r="K2738" s="8" t="s">
        <v>851</v>
      </c>
      <c r="L2738" s="12"/>
      <c r="M2738" s="10"/>
      <c r="N2738" s="10"/>
      <c r="O2738" s="10"/>
      <c r="P2738" s="10"/>
      <c r="Q2738" s="10"/>
      <c r="R2738" s="10"/>
      <c r="S2738" s="10"/>
      <c r="T2738" s="10"/>
      <c r="U2738" s="10"/>
      <c r="V2738" s="10"/>
      <c r="W2738" s="10"/>
      <c r="X2738" s="10"/>
      <c r="Y2738" s="10"/>
      <c r="Z2738" s="10"/>
      <c r="AA2738" s="10"/>
      <c r="AB2738" s="10"/>
      <c r="AC2738" s="10"/>
      <c r="AD2738" s="10"/>
      <c r="AE2738" s="10"/>
      <c r="AF2738" s="10"/>
    </row>
    <row r="2739">
      <c r="A2739" s="7"/>
      <c r="B2739" s="26">
        <v>229.0</v>
      </c>
      <c r="C2739" s="27">
        <v>14.0</v>
      </c>
      <c r="D2739" s="8" t="s">
        <v>3646</v>
      </c>
      <c r="E2739" s="7">
        <v>0.0</v>
      </c>
      <c r="F2739" s="7"/>
      <c r="G2739" s="7" t="s">
        <v>313</v>
      </c>
      <c r="H2739" s="7" t="s">
        <v>312</v>
      </c>
      <c r="I2739" s="10"/>
      <c r="J2739" s="11"/>
      <c r="K2739" s="12"/>
      <c r="L2739" s="12"/>
      <c r="M2739" s="10"/>
      <c r="N2739" s="10"/>
      <c r="O2739" s="10"/>
      <c r="P2739" s="10"/>
      <c r="Q2739" s="10"/>
      <c r="R2739" s="10"/>
      <c r="S2739" s="10"/>
      <c r="T2739" s="10"/>
      <c r="U2739" s="10"/>
      <c r="V2739" s="10"/>
      <c r="W2739" s="10"/>
      <c r="X2739" s="10"/>
      <c r="Y2739" s="10"/>
      <c r="Z2739" s="10"/>
      <c r="AA2739" s="10"/>
      <c r="AB2739" s="10"/>
      <c r="AC2739" s="10"/>
      <c r="AD2739" s="10"/>
      <c r="AE2739" s="10"/>
      <c r="AF2739" s="10"/>
    </row>
    <row r="2740">
      <c r="A2740" s="7"/>
      <c r="B2740" s="26">
        <v>229.0</v>
      </c>
      <c r="C2740" s="27">
        <v>15.0</v>
      </c>
      <c r="D2740" s="8" t="s">
        <v>3647</v>
      </c>
      <c r="E2740" s="7">
        <v>0.0</v>
      </c>
      <c r="F2740" s="7"/>
      <c r="G2740" s="7" t="s">
        <v>313</v>
      </c>
      <c r="H2740" s="7" t="s">
        <v>312</v>
      </c>
      <c r="I2740" s="10"/>
      <c r="J2740" s="11"/>
      <c r="K2740" s="12"/>
      <c r="L2740" s="12"/>
      <c r="M2740" s="10"/>
      <c r="N2740" s="10"/>
      <c r="O2740" s="10"/>
      <c r="P2740" s="10"/>
      <c r="Q2740" s="10"/>
      <c r="R2740" s="10"/>
      <c r="S2740" s="10"/>
      <c r="T2740" s="10"/>
      <c r="U2740" s="10"/>
      <c r="V2740" s="10"/>
      <c r="W2740" s="10"/>
      <c r="X2740" s="10"/>
      <c r="Y2740" s="10"/>
      <c r="Z2740" s="10"/>
      <c r="AA2740" s="10"/>
      <c r="AB2740" s="10"/>
      <c r="AC2740" s="10"/>
      <c r="AD2740" s="10"/>
      <c r="AE2740" s="10"/>
      <c r="AF2740" s="10"/>
    </row>
    <row r="2741">
      <c r="A2741" s="7"/>
      <c r="B2741" s="26">
        <v>229.0</v>
      </c>
      <c r="C2741" s="27">
        <v>16.0</v>
      </c>
      <c r="D2741" s="8" t="s">
        <v>3648</v>
      </c>
      <c r="E2741" s="7">
        <v>2.0</v>
      </c>
      <c r="F2741" s="7" t="s">
        <v>320</v>
      </c>
      <c r="G2741" s="7" t="s">
        <v>313</v>
      </c>
      <c r="H2741" s="7" t="s">
        <v>312</v>
      </c>
      <c r="I2741" s="7" t="s">
        <v>320</v>
      </c>
      <c r="J2741" s="9" t="s">
        <v>3649</v>
      </c>
      <c r="K2741" s="8" t="s">
        <v>3650</v>
      </c>
      <c r="L2741" s="12"/>
      <c r="M2741" s="10"/>
      <c r="N2741" s="10"/>
      <c r="O2741" s="10"/>
      <c r="P2741" s="10"/>
      <c r="Q2741" s="10"/>
      <c r="R2741" s="10"/>
      <c r="S2741" s="10"/>
      <c r="T2741" s="10"/>
      <c r="U2741" s="10"/>
      <c r="V2741" s="10"/>
      <c r="W2741" s="10"/>
      <c r="X2741" s="10"/>
      <c r="Y2741" s="10"/>
      <c r="Z2741" s="10"/>
      <c r="AA2741" s="10"/>
      <c r="AB2741" s="10"/>
      <c r="AC2741" s="10"/>
      <c r="AD2741" s="10"/>
      <c r="AE2741" s="10"/>
      <c r="AF2741" s="10"/>
    </row>
    <row r="2742">
      <c r="A2742" s="7"/>
      <c r="B2742" s="26">
        <v>229.0</v>
      </c>
      <c r="C2742" s="27">
        <v>17.0</v>
      </c>
      <c r="D2742" s="8" t="s">
        <v>3651</v>
      </c>
      <c r="E2742" s="7">
        <v>0.0</v>
      </c>
      <c r="F2742" s="7"/>
      <c r="G2742" s="7" t="s">
        <v>313</v>
      </c>
      <c r="H2742" s="7" t="s">
        <v>312</v>
      </c>
      <c r="I2742" s="10"/>
      <c r="J2742" s="11"/>
      <c r="K2742" s="12"/>
      <c r="L2742" s="12"/>
      <c r="M2742" s="10"/>
      <c r="N2742" s="10"/>
      <c r="O2742" s="10"/>
      <c r="P2742" s="10"/>
      <c r="Q2742" s="10"/>
      <c r="R2742" s="10"/>
      <c r="S2742" s="10"/>
      <c r="T2742" s="10"/>
      <c r="U2742" s="10"/>
      <c r="V2742" s="10"/>
      <c r="W2742" s="10"/>
      <c r="X2742" s="10"/>
      <c r="Y2742" s="10"/>
      <c r="Z2742" s="10"/>
      <c r="AA2742" s="10"/>
      <c r="AB2742" s="10"/>
      <c r="AC2742" s="10"/>
      <c r="AD2742" s="10"/>
      <c r="AE2742" s="10"/>
      <c r="AF2742" s="10"/>
    </row>
    <row r="2743">
      <c r="A2743" s="7"/>
      <c r="B2743" s="26">
        <v>229.0</v>
      </c>
      <c r="C2743" s="27">
        <v>18.0</v>
      </c>
      <c r="D2743" s="8" t="s">
        <v>3652</v>
      </c>
      <c r="E2743" s="7">
        <v>0.0</v>
      </c>
      <c r="F2743" s="7"/>
      <c r="G2743" s="7" t="s">
        <v>313</v>
      </c>
      <c r="H2743" s="7" t="s">
        <v>312</v>
      </c>
      <c r="I2743" s="10"/>
      <c r="J2743" s="20" t="s">
        <v>3635</v>
      </c>
      <c r="K2743" s="12"/>
      <c r="L2743" s="12"/>
      <c r="M2743" s="10"/>
      <c r="N2743" s="10"/>
      <c r="O2743" s="10"/>
      <c r="P2743" s="10"/>
      <c r="Q2743" s="10"/>
      <c r="R2743" s="10"/>
      <c r="S2743" s="10"/>
      <c r="T2743" s="10"/>
      <c r="U2743" s="10"/>
      <c r="V2743" s="10"/>
      <c r="W2743" s="10"/>
      <c r="X2743" s="10"/>
      <c r="Y2743" s="10"/>
      <c r="Z2743" s="10"/>
      <c r="AA2743" s="10"/>
      <c r="AB2743" s="10"/>
      <c r="AC2743" s="10"/>
      <c r="AD2743" s="10"/>
      <c r="AE2743" s="10"/>
      <c r="AF2743" s="10"/>
    </row>
    <row r="2744">
      <c r="A2744" s="7"/>
      <c r="B2744" s="26">
        <v>229.0</v>
      </c>
      <c r="C2744" s="27">
        <v>19.0</v>
      </c>
      <c r="D2744" s="8" t="s">
        <v>3653</v>
      </c>
      <c r="E2744" s="7">
        <v>0.0</v>
      </c>
      <c r="F2744" s="7"/>
      <c r="G2744" s="7" t="s">
        <v>313</v>
      </c>
      <c r="H2744" s="7" t="s">
        <v>312</v>
      </c>
      <c r="I2744" s="10"/>
      <c r="J2744" s="11"/>
      <c r="K2744" s="12"/>
      <c r="L2744" s="12"/>
      <c r="M2744" s="10"/>
      <c r="N2744" s="10"/>
      <c r="O2744" s="10"/>
      <c r="P2744" s="10"/>
      <c r="Q2744" s="10"/>
      <c r="R2744" s="10"/>
      <c r="S2744" s="10"/>
      <c r="T2744" s="10"/>
      <c r="U2744" s="10"/>
      <c r="V2744" s="10"/>
      <c r="W2744" s="10"/>
      <c r="X2744" s="10"/>
      <c r="Y2744" s="10"/>
      <c r="Z2744" s="10"/>
      <c r="AA2744" s="10"/>
      <c r="AB2744" s="10"/>
      <c r="AC2744" s="10"/>
      <c r="AD2744" s="10"/>
      <c r="AE2744" s="10"/>
      <c r="AF2744" s="10"/>
    </row>
    <row r="2745">
      <c r="A2745" s="7"/>
      <c r="B2745" s="26">
        <v>229.0</v>
      </c>
      <c r="C2745" s="27">
        <v>20.0</v>
      </c>
      <c r="D2745" s="8" t="s">
        <v>3654</v>
      </c>
      <c r="E2745" s="7">
        <v>0.0</v>
      </c>
      <c r="F2745" s="7"/>
      <c r="G2745" s="7" t="s">
        <v>313</v>
      </c>
      <c r="H2745" s="7" t="s">
        <v>312</v>
      </c>
      <c r="I2745" s="10"/>
      <c r="J2745" s="20" t="s">
        <v>3635</v>
      </c>
      <c r="K2745" s="12"/>
      <c r="L2745" s="12"/>
      <c r="M2745" s="10"/>
      <c r="N2745" s="10"/>
      <c r="O2745" s="10"/>
      <c r="P2745" s="10"/>
      <c r="Q2745" s="10"/>
      <c r="R2745" s="10"/>
      <c r="S2745" s="10"/>
      <c r="T2745" s="10"/>
      <c r="U2745" s="10"/>
      <c r="V2745" s="10"/>
      <c r="W2745" s="10"/>
      <c r="X2745" s="10"/>
      <c r="Y2745" s="10"/>
      <c r="Z2745" s="10"/>
      <c r="AA2745" s="10"/>
      <c r="AB2745" s="10"/>
      <c r="AC2745" s="10"/>
      <c r="AD2745" s="10"/>
      <c r="AE2745" s="10"/>
      <c r="AF2745" s="10"/>
    </row>
    <row r="2746">
      <c r="A2746" s="7"/>
      <c r="B2746" s="26">
        <v>229.0</v>
      </c>
      <c r="C2746" s="27">
        <v>21.0</v>
      </c>
      <c r="D2746" s="8" t="s">
        <v>3655</v>
      </c>
      <c r="E2746" s="7">
        <v>0.0</v>
      </c>
      <c r="F2746" s="7"/>
      <c r="G2746" s="7" t="s">
        <v>313</v>
      </c>
      <c r="H2746" s="7" t="s">
        <v>312</v>
      </c>
      <c r="I2746" s="10"/>
      <c r="J2746" s="11"/>
      <c r="K2746" s="12"/>
      <c r="L2746" s="12"/>
      <c r="M2746" s="10"/>
      <c r="N2746" s="10"/>
      <c r="O2746" s="10"/>
      <c r="P2746" s="10"/>
      <c r="Q2746" s="10"/>
      <c r="R2746" s="10"/>
      <c r="S2746" s="10"/>
      <c r="T2746" s="10"/>
      <c r="U2746" s="10"/>
      <c r="V2746" s="10"/>
      <c r="W2746" s="10"/>
      <c r="X2746" s="10"/>
      <c r="Y2746" s="10"/>
      <c r="Z2746" s="10"/>
      <c r="AA2746" s="10"/>
      <c r="AB2746" s="10"/>
      <c r="AC2746" s="10"/>
      <c r="AD2746" s="10"/>
      <c r="AE2746" s="10"/>
      <c r="AF2746" s="10"/>
    </row>
    <row r="2747">
      <c r="A2747" s="13" t="s">
        <v>230</v>
      </c>
      <c r="B2747" s="12"/>
      <c r="C2747" s="12"/>
      <c r="D2747" s="12"/>
      <c r="E2747" s="10"/>
      <c r="F2747" s="10"/>
      <c r="G2747" s="10"/>
      <c r="H2747" s="10"/>
      <c r="I2747" s="10"/>
      <c r="J2747" s="11"/>
      <c r="K2747" s="12"/>
      <c r="L2747" s="12"/>
      <c r="M2747" s="10"/>
      <c r="N2747" s="10"/>
      <c r="O2747" s="10"/>
      <c r="P2747" s="10"/>
      <c r="Q2747" s="10"/>
      <c r="R2747" s="10"/>
      <c r="S2747" s="10"/>
      <c r="T2747" s="10"/>
      <c r="U2747" s="10"/>
      <c r="V2747" s="10"/>
      <c r="W2747" s="10"/>
      <c r="X2747" s="10"/>
      <c r="Y2747" s="10"/>
      <c r="Z2747" s="10"/>
      <c r="AA2747" s="10"/>
      <c r="AB2747" s="10"/>
      <c r="AC2747" s="10"/>
      <c r="AD2747" s="10"/>
      <c r="AE2747" s="10"/>
      <c r="AF2747" s="10"/>
    </row>
    <row r="2748">
      <c r="A2748" s="7"/>
      <c r="B2748" s="26">
        <v>230.0</v>
      </c>
      <c r="C2748" s="27">
        <v>1.0</v>
      </c>
      <c r="D2748" s="8" t="s">
        <v>3656</v>
      </c>
      <c r="E2748" s="7">
        <v>2.0</v>
      </c>
      <c r="F2748" s="7" t="s">
        <v>320</v>
      </c>
      <c r="G2748" s="7" t="s">
        <v>313</v>
      </c>
      <c r="H2748" s="7" t="s">
        <v>312</v>
      </c>
      <c r="I2748" s="7" t="s">
        <v>320</v>
      </c>
      <c r="J2748" s="9" t="s">
        <v>3657</v>
      </c>
      <c r="K2748" s="8" t="s">
        <v>3658</v>
      </c>
      <c r="L2748" s="12"/>
      <c r="M2748" s="10"/>
      <c r="N2748" s="10"/>
      <c r="O2748" s="10"/>
      <c r="P2748" s="10"/>
      <c r="Q2748" s="10"/>
      <c r="R2748" s="10"/>
      <c r="S2748" s="10"/>
      <c r="T2748" s="10"/>
      <c r="U2748" s="10"/>
      <c r="V2748" s="10"/>
      <c r="W2748" s="10"/>
      <c r="X2748" s="10"/>
      <c r="Y2748" s="10"/>
      <c r="Z2748" s="10"/>
      <c r="AA2748" s="10"/>
      <c r="AB2748" s="10"/>
      <c r="AC2748" s="10"/>
      <c r="AD2748" s="10"/>
      <c r="AE2748" s="10"/>
      <c r="AF2748" s="10"/>
    </row>
    <row r="2749">
      <c r="A2749" s="7"/>
      <c r="B2749" s="26">
        <v>230.0</v>
      </c>
      <c r="C2749" s="27">
        <v>2.0</v>
      </c>
      <c r="D2749" s="8" t="s">
        <v>3659</v>
      </c>
      <c r="E2749" s="7">
        <v>2.0</v>
      </c>
      <c r="F2749" s="7" t="s">
        <v>320</v>
      </c>
      <c r="G2749" s="7" t="s">
        <v>313</v>
      </c>
      <c r="H2749" s="7" t="s">
        <v>312</v>
      </c>
      <c r="I2749" s="10"/>
      <c r="J2749" s="9" t="s">
        <v>3660</v>
      </c>
      <c r="K2749" s="8" t="s">
        <v>851</v>
      </c>
      <c r="L2749" s="12"/>
      <c r="M2749" s="10"/>
      <c r="N2749" s="10"/>
      <c r="O2749" s="10"/>
      <c r="P2749" s="10"/>
      <c r="Q2749" s="10"/>
      <c r="R2749" s="10"/>
      <c r="S2749" s="10"/>
      <c r="T2749" s="10"/>
      <c r="U2749" s="10"/>
      <c r="V2749" s="10"/>
      <c r="W2749" s="10"/>
      <c r="X2749" s="10"/>
      <c r="Y2749" s="10"/>
      <c r="Z2749" s="10"/>
      <c r="AA2749" s="10"/>
      <c r="AB2749" s="10"/>
      <c r="AC2749" s="10"/>
      <c r="AD2749" s="10"/>
      <c r="AE2749" s="10"/>
      <c r="AF2749" s="10"/>
    </row>
    <row r="2750">
      <c r="A2750" s="7"/>
      <c r="B2750" s="26">
        <v>230.0</v>
      </c>
      <c r="C2750" s="27">
        <v>3.0</v>
      </c>
      <c r="D2750" s="8" t="s">
        <v>3661</v>
      </c>
      <c r="E2750" s="7">
        <v>0.0</v>
      </c>
      <c r="F2750" s="7" t="s">
        <v>320</v>
      </c>
      <c r="G2750" s="7" t="s">
        <v>313</v>
      </c>
      <c r="H2750" s="7" t="s">
        <v>312</v>
      </c>
      <c r="I2750" s="10"/>
      <c r="J2750" s="11"/>
      <c r="K2750" s="12"/>
      <c r="L2750" s="12"/>
      <c r="M2750" s="10"/>
      <c r="N2750" s="10"/>
      <c r="O2750" s="10"/>
      <c r="P2750" s="10"/>
      <c r="Q2750" s="10"/>
      <c r="R2750" s="10"/>
      <c r="S2750" s="10"/>
      <c r="T2750" s="10"/>
      <c r="U2750" s="10"/>
      <c r="V2750" s="10"/>
      <c r="W2750" s="10"/>
      <c r="X2750" s="10"/>
      <c r="Y2750" s="10"/>
      <c r="Z2750" s="10"/>
      <c r="AA2750" s="10"/>
      <c r="AB2750" s="10"/>
      <c r="AC2750" s="10"/>
      <c r="AD2750" s="10"/>
      <c r="AE2750" s="10"/>
      <c r="AF2750" s="10"/>
    </row>
    <row r="2751">
      <c r="A2751" s="7"/>
      <c r="B2751" s="26">
        <v>230.0</v>
      </c>
      <c r="C2751" s="27">
        <v>4.0</v>
      </c>
      <c r="D2751" s="8" t="s">
        <v>3662</v>
      </c>
      <c r="E2751" s="7">
        <v>0.0</v>
      </c>
      <c r="F2751" s="7" t="s">
        <v>320</v>
      </c>
      <c r="G2751" s="7" t="s">
        <v>313</v>
      </c>
      <c r="H2751" s="7" t="s">
        <v>312</v>
      </c>
      <c r="I2751" s="10"/>
      <c r="J2751" s="11"/>
      <c r="K2751" s="12"/>
      <c r="L2751" s="12"/>
      <c r="M2751" s="10"/>
      <c r="N2751" s="10"/>
      <c r="O2751" s="10"/>
      <c r="P2751" s="10"/>
      <c r="Q2751" s="10"/>
      <c r="R2751" s="10"/>
      <c r="S2751" s="10"/>
      <c r="T2751" s="10"/>
      <c r="U2751" s="10"/>
      <c r="V2751" s="10"/>
      <c r="W2751" s="10"/>
      <c r="X2751" s="10"/>
      <c r="Y2751" s="10"/>
      <c r="Z2751" s="10"/>
      <c r="AA2751" s="10"/>
      <c r="AB2751" s="10"/>
      <c r="AC2751" s="10"/>
      <c r="AD2751" s="10"/>
      <c r="AE2751" s="10"/>
      <c r="AF2751" s="10"/>
    </row>
    <row r="2752">
      <c r="A2752" s="7"/>
      <c r="B2752" s="26">
        <v>230.0</v>
      </c>
      <c r="C2752" s="27">
        <v>5.0</v>
      </c>
      <c r="D2752" s="8" t="s">
        <v>3663</v>
      </c>
      <c r="E2752" s="7">
        <v>2.0</v>
      </c>
      <c r="F2752" s="7" t="s">
        <v>320</v>
      </c>
      <c r="G2752" s="7" t="s">
        <v>313</v>
      </c>
      <c r="H2752" s="7" t="s">
        <v>312</v>
      </c>
      <c r="I2752" s="10"/>
      <c r="J2752" s="9" t="s">
        <v>3664</v>
      </c>
      <c r="K2752" s="8" t="s">
        <v>851</v>
      </c>
      <c r="L2752" s="12"/>
      <c r="M2752" s="10"/>
      <c r="N2752" s="10"/>
      <c r="O2752" s="10"/>
      <c r="P2752" s="10"/>
      <c r="Q2752" s="10"/>
      <c r="R2752" s="10"/>
      <c r="S2752" s="10"/>
      <c r="T2752" s="10"/>
      <c r="U2752" s="10"/>
      <c r="V2752" s="10"/>
      <c r="W2752" s="10"/>
      <c r="X2752" s="10"/>
      <c r="Y2752" s="10"/>
      <c r="Z2752" s="10"/>
      <c r="AA2752" s="10"/>
      <c r="AB2752" s="10"/>
      <c r="AC2752" s="10"/>
      <c r="AD2752" s="10"/>
      <c r="AE2752" s="10"/>
      <c r="AF2752" s="10"/>
    </row>
    <row r="2753">
      <c r="A2753" s="7"/>
      <c r="B2753" s="26">
        <v>230.0</v>
      </c>
      <c r="C2753" s="27">
        <v>6.0</v>
      </c>
      <c r="D2753" s="8" t="s">
        <v>3665</v>
      </c>
      <c r="E2753" s="7">
        <v>2.0</v>
      </c>
      <c r="F2753" s="7" t="s">
        <v>320</v>
      </c>
      <c r="G2753" s="7" t="s">
        <v>313</v>
      </c>
      <c r="H2753" s="7" t="s">
        <v>312</v>
      </c>
      <c r="I2753" s="7" t="s">
        <v>320</v>
      </c>
      <c r="J2753" s="9" t="s">
        <v>3666</v>
      </c>
      <c r="K2753" s="8" t="s">
        <v>3667</v>
      </c>
      <c r="L2753" s="12"/>
      <c r="M2753" s="10"/>
      <c r="N2753" s="10"/>
      <c r="O2753" s="10"/>
      <c r="P2753" s="10"/>
      <c r="Q2753" s="10"/>
      <c r="R2753" s="10"/>
      <c r="S2753" s="10"/>
      <c r="T2753" s="10"/>
      <c r="U2753" s="10"/>
      <c r="V2753" s="10"/>
      <c r="W2753" s="10"/>
      <c r="X2753" s="10"/>
      <c r="Y2753" s="10"/>
      <c r="Z2753" s="10"/>
      <c r="AA2753" s="10"/>
      <c r="AB2753" s="10"/>
      <c r="AC2753" s="10"/>
      <c r="AD2753" s="10"/>
      <c r="AE2753" s="10"/>
      <c r="AF2753" s="10"/>
    </row>
    <row r="2754">
      <c r="A2754" s="13" t="s">
        <v>231</v>
      </c>
      <c r="B2754" s="12"/>
      <c r="C2754" s="12"/>
      <c r="D2754" s="12"/>
      <c r="E2754" s="10"/>
      <c r="F2754" s="10"/>
      <c r="G2754" s="10"/>
      <c r="H2754" s="10"/>
      <c r="I2754" s="10"/>
      <c r="J2754" s="11"/>
      <c r="K2754" s="12"/>
      <c r="L2754" s="12"/>
      <c r="M2754" s="10"/>
      <c r="N2754" s="10"/>
      <c r="O2754" s="10"/>
      <c r="P2754" s="10"/>
      <c r="Q2754" s="10"/>
      <c r="R2754" s="10"/>
      <c r="S2754" s="10"/>
      <c r="T2754" s="10"/>
      <c r="U2754" s="10"/>
      <c r="V2754" s="10"/>
      <c r="W2754" s="10"/>
      <c r="X2754" s="10"/>
      <c r="Y2754" s="10"/>
      <c r="Z2754" s="10"/>
      <c r="AA2754" s="10"/>
      <c r="AB2754" s="10"/>
      <c r="AC2754" s="10"/>
      <c r="AD2754" s="10"/>
      <c r="AE2754" s="10"/>
      <c r="AF2754" s="10"/>
    </row>
    <row r="2755">
      <c r="A2755" s="7"/>
      <c r="B2755" s="26">
        <v>231.0</v>
      </c>
      <c r="C2755" s="27">
        <v>1.0</v>
      </c>
      <c r="D2755" s="8" t="s">
        <v>3668</v>
      </c>
      <c r="E2755" s="7">
        <v>0.0</v>
      </c>
      <c r="F2755" s="7" t="s">
        <v>320</v>
      </c>
      <c r="G2755" s="7" t="s">
        <v>313</v>
      </c>
      <c r="H2755" s="7" t="s">
        <v>312</v>
      </c>
      <c r="I2755" s="7" t="s">
        <v>366</v>
      </c>
      <c r="J2755" s="9" t="s">
        <v>3669</v>
      </c>
      <c r="K2755" s="8" t="s">
        <v>3670</v>
      </c>
      <c r="L2755" s="12"/>
      <c r="M2755" s="10"/>
      <c r="N2755" s="10"/>
      <c r="O2755" s="10"/>
      <c r="P2755" s="10"/>
      <c r="Q2755" s="10"/>
      <c r="R2755" s="10"/>
      <c r="S2755" s="10"/>
      <c r="T2755" s="10"/>
      <c r="U2755" s="10"/>
      <c r="V2755" s="10"/>
      <c r="W2755" s="10"/>
      <c r="X2755" s="10"/>
      <c r="Y2755" s="10"/>
      <c r="Z2755" s="10"/>
      <c r="AA2755" s="10"/>
      <c r="AB2755" s="10"/>
      <c r="AC2755" s="10"/>
      <c r="AD2755" s="10"/>
      <c r="AE2755" s="10"/>
      <c r="AF2755" s="10"/>
    </row>
    <row r="2756">
      <c r="A2756" s="7"/>
      <c r="B2756" s="26">
        <v>231.0</v>
      </c>
      <c r="C2756" s="27">
        <v>2.0</v>
      </c>
      <c r="D2756" s="8" t="s">
        <v>3671</v>
      </c>
      <c r="E2756" s="7">
        <v>3.0</v>
      </c>
      <c r="F2756" s="7" t="s">
        <v>320</v>
      </c>
      <c r="G2756" s="7" t="s">
        <v>313</v>
      </c>
      <c r="H2756" s="7" t="s">
        <v>312</v>
      </c>
      <c r="I2756" s="7"/>
      <c r="J2756" s="9" t="s">
        <v>3672</v>
      </c>
      <c r="K2756" s="20"/>
      <c r="L2756" s="12"/>
      <c r="M2756" s="10"/>
      <c r="N2756" s="10"/>
      <c r="O2756" s="10"/>
      <c r="P2756" s="10"/>
      <c r="Q2756" s="10"/>
      <c r="R2756" s="10"/>
      <c r="S2756" s="10"/>
      <c r="T2756" s="10"/>
      <c r="U2756" s="10"/>
      <c r="V2756" s="10"/>
      <c r="W2756" s="10"/>
      <c r="X2756" s="10"/>
      <c r="Y2756" s="10"/>
      <c r="Z2756" s="10"/>
      <c r="AA2756" s="10"/>
      <c r="AB2756" s="10"/>
      <c r="AC2756" s="10"/>
      <c r="AD2756" s="10"/>
      <c r="AE2756" s="10"/>
      <c r="AF2756" s="10"/>
    </row>
    <row r="2757">
      <c r="A2757" s="7"/>
      <c r="B2757" s="26">
        <v>231.0</v>
      </c>
      <c r="C2757" s="27">
        <v>3.0</v>
      </c>
      <c r="D2757" s="8" t="s">
        <v>3673</v>
      </c>
      <c r="E2757" s="7">
        <v>0.0</v>
      </c>
      <c r="F2757" s="7"/>
      <c r="G2757" s="7" t="s">
        <v>313</v>
      </c>
      <c r="H2757" s="7" t="s">
        <v>312</v>
      </c>
      <c r="I2757" s="10"/>
      <c r="J2757" s="9"/>
      <c r="K2757" s="12"/>
      <c r="L2757" s="12"/>
      <c r="M2757" s="10"/>
      <c r="N2757" s="10"/>
      <c r="O2757" s="10"/>
      <c r="P2757" s="10"/>
      <c r="Q2757" s="10"/>
      <c r="R2757" s="10"/>
      <c r="S2757" s="10"/>
      <c r="T2757" s="10"/>
      <c r="U2757" s="10"/>
      <c r="V2757" s="10"/>
      <c r="W2757" s="10"/>
      <c r="X2757" s="10"/>
      <c r="Y2757" s="10"/>
      <c r="Z2757" s="10"/>
      <c r="AA2757" s="10"/>
      <c r="AB2757" s="10"/>
      <c r="AC2757" s="10"/>
      <c r="AD2757" s="10"/>
      <c r="AE2757" s="10"/>
      <c r="AF2757" s="10"/>
    </row>
    <row r="2758">
      <c r="A2758" s="7"/>
      <c r="B2758" s="26">
        <v>231.0</v>
      </c>
      <c r="C2758" s="27">
        <v>4.0</v>
      </c>
      <c r="D2758" s="8" t="s">
        <v>3674</v>
      </c>
      <c r="E2758" s="7">
        <v>0.0</v>
      </c>
      <c r="F2758" s="7"/>
      <c r="G2758" s="7" t="s">
        <v>313</v>
      </c>
      <c r="H2758" s="7" t="s">
        <v>312</v>
      </c>
      <c r="I2758" s="10"/>
      <c r="J2758" s="11"/>
      <c r="K2758" s="12"/>
      <c r="L2758" s="12"/>
      <c r="M2758" s="10"/>
      <c r="N2758" s="10"/>
      <c r="O2758" s="10"/>
      <c r="P2758" s="10"/>
      <c r="Q2758" s="10"/>
      <c r="R2758" s="10"/>
      <c r="S2758" s="10"/>
      <c r="T2758" s="10"/>
      <c r="U2758" s="10"/>
      <c r="V2758" s="10"/>
      <c r="W2758" s="10"/>
      <c r="X2758" s="10"/>
      <c r="Y2758" s="10"/>
      <c r="Z2758" s="10"/>
      <c r="AA2758" s="10"/>
      <c r="AB2758" s="10"/>
      <c r="AC2758" s="10"/>
      <c r="AD2758" s="10"/>
      <c r="AE2758" s="10"/>
      <c r="AF2758" s="10"/>
    </row>
    <row r="2759">
      <c r="A2759" s="7"/>
      <c r="B2759" s="26">
        <v>231.0</v>
      </c>
      <c r="C2759" s="27">
        <v>5.0</v>
      </c>
      <c r="D2759" s="8" t="s">
        <v>3675</v>
      </c>
      <c r="E2759" s="7">
        <v>0.0</v>
      </c>
      <c r="F2759" s="7"/>
      <c r="G2759" s="7" t="s">
        <v>313</v>
      </c>
      <c r="H2759" s="7" t="s">
        <v>312</v>
      </c>
      <c r="I2759" s="10"/>
      <c r="J2759" s="11"/>
      <c r="K2759" s="12"/>
      <c r="L2759" s="12"/>
      <c r="M2759" s="10"/>
      <c r="N2759" s="10"/>
      <c r="O2759" s="10"/>
      <c r="P2759" s="10"/>
      <c r="Q2759" s="10"/>
      <c r="R2759" s="10"/>
      <c r="S2759" s="10"/>
      <c r="T2759" s="10"/>
      <c r="U2759" s="10"/>
      <c r="V2759" s="10"/>
      <c r="W2759" s="10"/>
      <c r="X2759" s="10"/>
      <c r="Y2759" s="10"/>
      <c r="Z2759" s="10"/>
      <c r="AA2759" s="10"/>
      <c r="AB2759" s="10"/>
      <c r="AC2759" s="10"/>
      <c r="AD2759" s="10"/>
      <c r="AE2759" s="10"/>
      <c r="AF2759" s="10"/>
    </row>
    <row r="2760">
      <c r="A2760" s="7"/>
      <c r="B2760" s="26">
        <v>231.0</v>
      </c>
      <c r="C2760" s="27">
        <v>6.0</v>
      </c>
      <c r="D2760" s="8" t="s">
        <v>3676</v>
      </c>
      <c r="E2760" s="7">
        <v>0.0</v>
      </c>
      <c r="F2760" s="7"/>
      <c r="G2760" s="7" t="s">
        <v>313</v>
      </c>
      <c r="H2760" s="7" t="s">
        <v>312</v>
      </c>
      <c r="I2760" s="10"/>
      <c r="J2760" s="11"/>
      <c r="K2760" s="12"/>
      <c r="L2760" s="12"/>
      <c r="M2760" s="10"/>
      <c r="N2760" s="10"/>
      <c r="O2760" s="10"/>
      <c r="P2760" s="10"/>
      <c r="Q2760" s="10"/>
      <c r="R2760" s="10"/>
      <c r="S2760" s="10"/>
      <c r="T2760" s="10"/>
      <c r="U2760" s="10"/>
      <c r="V2760" s="10"/>
      <c r="W2760" s="10"/>
      <c r="X2760" s="10"/>
      <c r="Y2760" s="10"/>
      <c r="Z2760" s="10"/>
      <c r="AA2760" s="10"/>
      <c r="AB2760" s="10"/>
      <c r="AC2760" s="10"/>
      <c r="AD2760" s="10"/>
      <c r="AE2760" s="10"/>
      <c r="AF2760" s="10"/>
    </row>
    <row r="2761">
      <c r="A2761" s="7"/>
      <c r="B2761" s="26">
        <v>231.0</v>
      </c>
      <c r="C2761" s="27">
        <v>7.0</v>
      </c>
      <c r="D2761" s="8" t="s">
        <v>3677</v>
      </c>
      <c r="E2761" s="7">
        <v>0.0</v>
      </c>
      <c r="F2761" s="7"/>
      <c r="G2761" s="7" t="s">
        <v>313</v>
      </c>
      <c r="H2761" s="7" t="s">
        <v>312</v>
      </c>
      <c r="I2761" s="10"/>
      <c r="J2761" s="11"/>
      <c r="K2761" s="12"/>
      <c r="L2761" s="12"/>
      <c r="M2761" s="10"/>
      <c r="N2761" s="10"/>
      <c r="O2761" s="10"/>
      <c r="P2761" s="10"/>
      <c r="Q2761" s="10"/>
      <c r="R2761" s="10"/>
      <c r="S2761" s="10"/>
      <c r="T2761" s="10"/>
      <c r="U2761" s="10"/>
      <c r="V2761" s="10"/>
      <c r="W2761" s="10"/>
      <c r="X2761" s="10"/>
      <c r="Y2761" s="10"/>
      <c r="Z2761" s="10"/>
      <c r="AA2761" s="10"/>
      <c r="AB2761" s="10"/>
      <c r="AC2761" s="10"/>
      <c r="AD2761" s="10"/>
      <c r="AE2761" s="10"/>
      <c r="AF2761" s="10"/>
    </row>
    <row r="2762">
      <c r="A2762" s="7"/>
      <c r="B2762" s="26">
        <v>231.0</v>
      </c>
      <c r="C2762" s="27">
        <v>8.0</v>
      </c>
      <c r="D2762" s="8" t="s">
        <v>3678</v>
      </c>
      <c r="E2762" s="7">
        <v>0.0</v>
      </c>
      <c r="F2762" s="7"/>
      <c r="G2762" s="7" t="s">
        <v>313</v>
      </c>
      <c r="H2762" s="7" t="s">
        <v>312</v>
      </c>
      <c r="I2762" s="10"/>
      <c r="J2762" s="11"/>
      <c r="K2762" s="20" t="s">
        <v>3679</v>
      </c>
      <c r="L2762" s="12"/>
      <c r="M2762" s="10"/>
      <c r="N2762" s="10"/>
      <c r="O2762" s="10"/>
      <c r="P2762" s="10"/>
      <c r="Q2762" s="10"/>
      <c r="R2762" s="10"/>
      <c r="S2762" s="10"/>
      <c r="T2762" s="10"/>
      <c r="U2762" s="10"/>
      <c r="V2762" s="10"/>
      <c r="W2762" s="10"/>
      <c r="X2762" s="10"/>
      <c r="Y2762" s="10"/>
      <c r="Z2762" s="10"/>
      <c r="AA2762" s="10"/>
      <c r="AB2762" s="10"/>
      <c r="AC2762" s="10"/>
      <c r="AD2762" s="10"/>
      <c r="AE2762" s="10"/>
      <c r="AF2762" s="10"/>
    </row>
    <row r="2763">
      <c r="A2763" s="7"/>
      <c r="B2763" s="26">
        <v>231.0</v>
      </c>
      <c r="C2763" s="27">
        <v>9.0</v>
      </c>
      <c r="D2763" s="8" t="s">
        <v>3680</v>
      </c>
      <c r="E2763" s="7">
        <v>0.0</v>
      </c>
      <c r="F2763" s="7"/>
      <c r="G2763" s="7" t="s">
        <v>313</v>
      </c>
      <c r="H2763" s="7" t="s">
        <v>312</v>
      </c>
      <c r="I2763" s="10"/>
      <c r="J2763" s="11"/>
      <c r="K2763" s="20" t="s">
        <v>3679</v>
      </c>
      <c r="L2763" s="12"/>
      <c r="M2763" s="10"/>
      <c r="N2763" s="10"/>
      <c r="O2763" s="10"/>
      <c r="P2763" s="10"/>
      <c r="Q2763" s="10"/>
      <c r="R2763" s="10"/>
      <c r="S2763" s="10"/>
      <c r="T2763" s="10"/>
      <c r="U2763" s="10"/>
      <c r="V2763" s="10"/>
      <c r="W2763" s="10"/>
      <c r="X2763" s="10"/>
      <c r="Y2763" s="10"/>
      <c r="Z2763" s="10"/>
      <c r="AA2763" s="10"/>
      <c r="AB2763" s="10"/>
      <c r="AC2763" s="10"/>
      <c r="AD2763" s="10"/>
      <c r="AE2763" s="10"/>
      <c r="AF2763" s="10"/>
    </row>
    <row r="2764">
      <c r="A2764" s="7"/>
      <c r="B2764" s="26">
        <v>231.0</v>
      </c>
      <c r="C2764" s="27">
        <v>10.0</v>
      </c>
      <c r="D2764" s="8" t="s">
        <v>3681</v>
      </c>
      <c r="E2764" s="7">
        <v>3.0</v>
      </c>
      <c r="F2764" s="7" t="s">
        <v>320</v>
      </c>
      <c r="G2764" s="7" t="s">
        <v>313</v>
      </c>
      <c r="H2764" s="7" t="s">
        <v>312</v>
      </c>
      <c r="I2764" s="7" t="s">
        <v>366</v>
      </c>
      <c r="J2764" s="9" t="s">
        <v>3682</v>
      </c>
      <c r="K2764" s="20" t="s">
        <v>3683</v>
      </c>
      <c r="L2764" s="12"/>
      <c r="M2764" s="10"/>
      <c r="N2764" s="10"/>
      <c r="O2764" s="10"/>
      <c r="P2764" s="10"/>
      <c r="Q2764" s="10"/>
      <c r="R2764" s="10"/>
      <c r="S2764" s="10"/>
      <c r="T2764" s="10"/>
      <c r="U2764" s="10"/>
      <c r="V2764" s="10"/>
      <c r="W2764" s="10"/>
      <c r="X2764" s="10"/>
      <c r="Y2764" s="10"/>
      <c r="Z2764" s="10"/>
      <c r="AA2764" s="10"/>
      <c r="AB2764" s="10"/>
      <c r="AC2764" s="10"/>
      <c r="AD2764" s="10"/>
      <c r="AE2764" s="10"/>
      <c r="AF2764" s="10"/>
    </row>
    <row r="2765">
      <c r="A2765" s="7"/>
      <c r="B2765" s="26">
        <v>231.0</v>
      </c>
      <c r="C2765" s="27">
        <v>11.0</v>
      </c>
      <c r="D2765" s="8" t="s">
        <v>3684</v>
      </c>
      <c r="E2765" s="7">
        <v>0.0</v>
      </c>
      <c r="F2765" s="7"/>
      <c r="G2765" s="7" t="s">
        <v>313</v>
      </c>
      <c r="H2765" s="7" t="s">
        <v>312</v>
      </c>
      <c r="I2765" s="10"/>
      <c r="J2765" s="11"/>
      <c r="K2765" s="12"/>
      <c r="L2765" s="12"/>
      <c r="M2765" s="10"/>
      <c r="N2765" s="10"/>
      <c r="O2765" s="10"/>
      <c r="P2765" s="10"/>
      <c r="Q2765" s="10"/>
      <c r="R2765" s="10"/>
      <c r="S2765" s="10"/>
      <c r="T2765" s="10"/>
      <c r="U2765" s="10"/>
      <c r="V2765" s="10"/>
      <c r="W2765" s="10"/>
      <c r="X2765" s="10"/>
      <c r="Y2765" s="10"/>
      <c r="Z2765" s="10"/>
      <c r="AA2765" s="10"/>
      <c r="AB2765" s="10"/>
      <c r="AC2765" s="10"/>
      <c r="AD2765" s="10"/>
      <c r="AE2765" s="10"/>
      <c r="AF2765" s="10"/>
    </row>
    <row r="2766">
      <c r="A2766" s="7"/>
      <c r="B2766" s="26">
        <v>231.0</v>
      </c>
      <c r="C2766" s="27">
        <v>12.0</v>
      </c>
      <c r="D2766" s="8" t="s">
        <v>3685</v>
      </c>
      <c r="E2766" s="7">
        <v>0.0</v>
      </c>
      <c r="F2766" s="7"/>
      <c r="G2766" s="7" t="s">
        <v>313</v>
      </c>
      <c r="H2766" s="7" t="s">
        <v>312</v>
      </c>
      <c r="I2766" s="10"/>
      <c r="J2766" s="11"/>
      <c r="K2766" s="12"/>
      <c r="L2766" s="12"/>
      <c r="M2766" s="10"/>
      <c r="N2766" s="10"/>
      <c r="O2766" s="10"/>
      <c r="P2766" s="10"/>
      <c r="Q2766" s="10"/>
      <c r="R2766" s="10"/>
      <c r="S2766" s="10"/>
      <c r="T2766" s="10"/>
      <c r="U2766" s="10"/>
      <c r="V2766" s="10"/>
      <c r="W2766" s="10"/>
      <c r="X2766" s="10"/>
      <c r="Y2766" s="10"/>
      <c r="Z2766" s="10"/>
      <c r="AA2766" s="10"/>
      <c r="AB2766" s="10"/>
      <c r="AC2766" s="10"/>
      <c r="AD2766" s="10"/>
      <c r="AE2766" s="10"/>
      <c r="AF2766" s="10"/>
    </row>
    <row r="2767">
      <c r="A2767" s="7"/>
      <c r="B2767" s="26">
        <v>231.0</v>
      </c>
      <c r="C2767" s="27">
        <v>13.0</v>
      </c>
      <c r="D2767" s="8" t="s">
        <v>3686</v>
      </c>
      <c r="E2767" s="7">
        <v>0.0</v>
      </c>
      <c r="F2767" s="7"/>
      <c r="G2767" s="7" t="s">
        <v>313</v>
      </c>
      <c r="H2767" s="7" t="s">
        <v>312</v>
      </c>
      <c r="I2767" s="10"/>
      <c r="J2767" s="11"/>
      <c r="K2767" s="12"/>
      <c r="L2767" s="12"/>
      <c r="M2767" s="10"/>
      <c r="N2767" s="10"/>
      <c r="O2767" s="10"/>
      <c r="P2767" s="10"/>
      <c r="Q2767" s="10"/>
      <c r="R2767" s="10"/>
      <c r="S2767" s="10"/>
      <c r="T2767" s="10"/>
      <c r="U2767" s="10"/>
      <c r="V2767" s="10"/>
      <c r="W2767" s="10"/>
      <c r="X2767" s="10"/>
      <c r="Y2767" s="10"/>
      <c r="Z2767" s="10"/>
      <c r="AA2767" s="10"/>
      <c r="AB2767" s="10"/>
      <c r="AC2767" s="10"/>
      <c r="AD2767" s="10"/>
      <c r="AE2767" s="10"/>
      <c r="AF2767" s="10"/>
    </row>
    <row r="2768">
      <c r="A2768" s="7"/>
      <c r="B2768" s="26">
        <v>231.0</v>
      </c>
      <c r="C2768" s="27">
        <v>14.0</v>
      </c>
      <c r="D2768" s="8" t="s">
        <v>3687</v>
      </c>
      <c r="E2768" s="7">
        <v>0.0</v>
      </c>
      <c r="F2768" s="7"/>
      <c r="G2768" s="7" t="s">
        <v>313</v>
      </c>
      <c r="H2768" s="7" t="s">
        <v>312</v>
      </c>
      <c r="I2768" s="10"/>
      <c r="J2768" s="11"/>
      <c r="K2768" s="12"/>
      <c r="L2768" s="12"/>
      <c r="M2768" s="10"/>
      <c r="N2768" s="10"/>
      <c r="O2768" s="10"/>
      <c r="P2768" s="10"/>
      <c r="Q2768" s="10"/>
      <c r="R2768" s="10"/>
      <c r="S2768" s="10"/>
      <c r="T2768" s="10"/>
      <c r="U2768" s="10"/>
      <c r="V2768" s="10"/>
      <c r="W2768" s="10"/>
      <c r="X2768" s="10"/>
      <c r="Y2768" s="10"/>
      <c r="Z2768" s="10"/>
      <c r="AA2768" s="10"/>
      <c r="AB2768" s="10"/>
      <c r="AC2768" s="10"/>
      <c r="AD2768" s="10"/>
      <c r="AE2768" s="10"/>
      <c r="AF2768" s="10"/>
    </row>
    <row r="2769">
      <c r="A2769" s="7"/>
      <c r="B2769" s="26">
        <v>231.0</v>
      </c>
      <c r="C2769" s="27">
        <v>15.0</v>
      </c>
      <c r="D2769" s="8" t="s">
        <v>3688</v>
      </c>
      <c r="E2769" s="7">
        <v>0.0</v>
      </c>
      <c r="F2769" s="7"/>
      <c r="G2769" s="7" t="s">
        <v>313</v>
      </c>
      <c r="H2769" s="7" t="s">
        <v>312</v>
      </c>
      <c r="I2769" s="10"/>
      <c r="J2769" s="11"/>
      <c r="K2769" s="12"/>
      <c r="L2769" s="12"/>
      <c r="M2769" s="10"/>
      <c r="N2769" s="10"/>
      <c r="O2769" s="10"/>
      <c r="P2769" s="10"/>
      <c r="Q2769" s="10"/>
      <c r="R2769" s="10"/>
      <c r="S2769" s="10"/>
      <c r="T2769" s="10"/>
      <c r="U2769" s="10"/>
      <c r="V2769" s="10"/>
      <c r="W2769" s="10"/>
      <c r="X2769" s="10"/>
      <c r="Y2769" s="10"/>
      <c r="Z2769" s="10"/>
      <c r="AA2769" s="10"/>
      <c r="AB2769" s="10"/>
      <c r="AC2769" s="10"/>
      <c r="AD2769" s="10"/>
      <c r="AE2769" s="10"/>
      <c r="AF2769" s="10"/>
    </row>
    <row r="2770">
      <c r="A2770" s="13" t="s">
        <v>232</v>
      </c>
      <c r="B2770" s="12"/>
      <c r="C2770" s="12"/>
      <c r="D2770" s="12"/>
      <c r="E2770" s="10"/>
      <c r="F2770" s="10"/>
      <c r="G2770" s="10"/>
      <c r="H2770" s="10"/>
      <c r="I2770" s="10"/>
      <c r="J2770" s="11"/>
      <c r="K2770" s="12"/>
      <c r="L2770" s="12"/>
      <c r="M2770" s="10"/>
      <c r="N2770" s="10"/>
      <c r="O2770" s="10"/>
      <c r="P2770" s="10"/>
      <c r="Q2770" s="10"/>
      <c r="R2770" s="10"/>
      <c r="S2770" s="10"/>
      <c r="T2770" s="10"/>
      <c r="U2770" s="10"/>
      <c r="V2770" s="10"/>
      <c r="W2770" s="10"/>
      <c r="X2770" s="10"/>
      <c r="Y2770" s="10"/>
      <c r="Z2770" s="10"/>
      <c r="AA2770" s="10"/>
      <c r="AB2770" s="10"/>
      <c r="AC2770" s="10"/>
      <c r="AD2770" s="10"/>
      <c r="AE2770" s="10"/>
      <c r="AF2770" s="10"/>
    </row>
    <row r="2771">
      <c r="A2771" s="7"/>
      <c r="B2771" s="26">
        <v>232.0</v>
      </c>
      <c r="C2771" s="27">
        <v>1.0</v>
      </c>
      <c r="D2771" s="8" t="s">
        <v>3689</v>
      </c>
      <c r="E2771" s="7">
        <v>3.0</v>
      </c>
      <c r="F2771" s="7"/>
      <c r="G2771" s="7" t="s">
        <v>313</v>
      </c>
      <c r="H2771" s="7" t="s">
        <v>312</v>
      </c>
      <c r="I2771" s="10"/>
      <c r="J2771" s="9" t="s">
        <v>3690</v>
      </c>
      <c r="K2771" s="12"/>
      <c r="L2771" s="12"/>
      <c r="M2771" s="10"/>
      <c r="N2771" s="10"/>
      <c r="O2771" s="10"/>
      <c r="P2771" s="10"/>
      <c r="Q2771" s="10"/>
      <c r="R2771" s="10"/>
      <c r="S2771" s="10"/>
      <c r="T2771" s="10"/>
      <c r="U2771" s="10"/>
      <c r="V2771" s="10"/>
      <c r="W2771" s="10"/>
      <c r="X2771" s="10"/>
      <c r="Y2771" s="10"/>
      <c r="Z2771" s="10"/>
      <c r="AA2771" s="10"/>
      <c r="AB2771" s="10"/>
      <c r="AC2771" s="10"/>
      <c r="AD2771" s="10"/>
      <c r="AE2771" s="10"/>
      <c r="AF2771" s="10"/>
    </row>
    <row r="2772">
      <c r="A2772" s="7"/>
      <c r="B2772" s="26">
        <v>232.0</v>
      </c>
      <c r="C2772" s="27">
        <v>2.0</v>
      </c>
      <c r="D2772" s="8" t="s">
        <v>3691</v>
      </c>
      <c r="E2772" s="7">
        <v>3.0</v>
      </c>
      <c r="F2772" s="7"/>
      <c r="G2772" s="7" t="s">
        <v>313</v>
      </c>
      <c r="H2772" s="7" t="s">
        <v>312</v>
      </c>
      <c r="I2772" s="10"/>
      <c r="J2772" s="11"/>
      <c r="K2772" s="12"/>
      <c r="L2772" s="12"/>
      <c r="M2772" s="10"/>
      <c r="N2772" s="10"/>
      <c r="O2772" s="10"/>
      <c r="P2772" s="10"/>
      <c r="Q2772" s="10"/>
      <c r="R2772" s="10"/>
      <c r="S2772" s="10"/>
      <c r="T2772" s="10"/>
      <c r="U2772" s="10"/>
      <c r="V2772" s="10"/>
      <c r="W2772" s="10"/>
      <c r="X2772" s="10"/>
      <c r="Y2772" s="10"/>
      <c r="Z2772" s="10"/>
      <c r="AA2772" s="10"/>
      <c r="AB2772" s="10"/>
      <c r="AC2772" s="10"/>
      <c r="AD2772" s="10"/>
      <c r="AE2772" s="10"/>
      <c r="AF2772" s="10"/>
    </row>
    <row r="2773">
      <c r="A2773" s="7"/>
      <c r="B2773" s="26">
        <v>232.0</v>
      </c>
      <c r="C2773" s="27">
        <v>3.0</v>
      </c>
      <c r="D2773" s="8" t="s">
        <v>3692</v>
      </c>
      <c r="E2773" s="7">
        <v>3.0</v>
      </c>
      <c r="F2773" s="7"/>
      <c r="G2773" s="7" t="s">
        <v>313</v>
      </c>
      <c r="H2773" s="7" t="s">
        <v>312</v>
      </c>
      <c r="I2773" s="10"/>
      <c r="J2773" s="11"/>
      <c r="K2773" s="12"/>
      <c r="L2773" s="12"/>
      <c r="M2773" s="10"/>
      <c r="N2773" s="10"/>
      <c r="O2773" s="10"/>
      <c r="P2773" s="10"/>
      <c r="Q2773" s="10"/>
      <c r="R2773" s="10"/>
      <c r="S2773" s="10"/>
      <c r="T2773" s="10"/>
      <c r="U2773" s="10"/>
      <c r="V2773" s="10"/>
      <c r="W2773" s="10"/>
      <c r="X2773" s="10"/>
      <c r="Y2773" s="10"/>
      <c r="Z2773" s="10"/>
      <c r="AA2773" s="10"/>
      <c r="AB2773" s="10"/>
      <c r="AC2773" s="10"/>
      <c r="AD2773" s="10"/>
      <c r="AE2773" s="10"/>
      <c r="AF2773" s="10"/>
    </row>
    <row r="2774">
      <c r="A2774" s="7"/>
      <c r="B2774" s="26">
        <v>232.0</v>
      </c>
      <c r="C2774" s="27">
        <v>4.0</v>
      </c>
      <c r="D2774" s="8" t="s">
        <v>3693</v>
      </c>
      <c r="E2774" s="7">
        <v>3.0</v>
      </c>
      <c r="F2774" s="7"/>
      <c r="G2774" s="7" t="s">
        <v>313</v>
      </c>
      <c r="H2774" s="7" t="s">
        <v>312</v>
      </c>
      <c r="I2774" s="10"/>
      <c r="J2774" s="11"/>
      <c r="K2774" s="12"/>
      <c r="L2774" s="12"/>
      <c r="M2774" s="10"/>
      <c r="N2774" s="10"/>
      <c r="O2774" s="10"/>
      <c r="P2774" s="10"/>
      <c r="Q2774" s="10"/>
      <c r="R2774" s="10"/>
      <c r="S2774" s="10"/>
      <c r="T2774" s="10"/>
      <c r="U2774" s="10"/>
      <c r="V2774" s="10"/>
      <c r="W2774" s="10"/>
      <c r="X2774" s="10"/>
      <c r="Y2774" s="10"/>
      <c r="Z2774" s="10"/>
      <c r="AA2774" s="10"/>
      <c r="AB2774" s="10"/>
      <c r="AC2774" s="10"/>
      <c r="AD2774" s="10"/>
      <c r="AE2774" s="10"/>
      <c r="AF2774" s="10"/>
    </row>
    <row r="2775">
      <c r="A2775" s="7"/>
      <c r="B2775" s="26">
        <v>232.0</v>
      </c>
      <c r="C2775" s="27">
        <v>5.0</v>
      </c>
      <c r="D2775" s="8" t="s">
        <v>3694</v>
      </c>
      <c r="E2775" s="7">
        <v>0.0</v>
      </c>
      <c r="F2775" s="7"/>
      <c r="G2775" s="7" t="s">
        <v>313</v>
      </c>
      <c r="H2775" s="7" t="s">
        <v>312</v>
      </c>
      <c r="I2775" s="10"/>
      <c r="J2775" s="11"/>
      <c r="K2775" s="12"/>
      <c r="L2775" s="12"/>
      <c r="M2775" s="10"/>
      <c r="N2775" s="10"/>
      <c r="O2775" s="10"/>
      <c r="P2775" s="10"/>
      <c r="Q2775" s="10"/>
      <c r="R2775" s="10"/>
      <c r="S2775" s="10"/>
      <c r="T2775" s="10"/>
      <c r="U2775" s="10"/>
      <c r="V2775" s="10"/>
      <c r="W2775" s="10"/>
      <c r="X2775" s="10"/>
      <c r="Y2775" s="10"/>
      <c r="Z2775" s="10"/>
      <c r="AA2775" s="10"/>
      <c r="AB2775" s="10"/>
      <c r="AC2775" s="10"/>
      <c r="AD2775" s="10"/>
      <c r="AE2775" s="10"/>
      <c r="AF2775" s="10"/>
    </row>
    <row r="2776">
      <c r="A2776" s="7"/>
      <c r="B2776" s="26">
        <v>232.0</v>
      </c>
      <c r="C2776" s="27">
        <v>6.0</v>
      </c>
      <c r="D2776" s="8" t="s">
        <v>3695</v>
      </c>
      <c r="E2776" s="7">
        <v>0.0</v>
      </c>
      <c r="F2776" s="7"/>
      <c r="G2776" s="7" t="s">
        <v>313</v>
      </c>
      <c r="H2776" s="7" t="s">
        <v>312</v>
      </c>
      <c r="I2776" s="7" t="s">
        <v>366</v>
      </c>
      <c r="J2776" s="16" t="s">
        <v>3696</v>
      </c>
      <c r="K2776" s="20" t="s">
        <v>2764</v>
      </c>
      <c r="L2776" s="12"/>
      <c r="M2776" s="10"/>
      <c r="N2776" s="10"/>
      <c r="O2776" s="10"/>
      <c r="P2776" s="10"/>
      <c r="Q2776" s="10"/>
      <c r="R2776" s="10"/>
      <c r="S2776" s="10"/>
      <c r="T2776" s="10"/>
      <c r="U2776" s="10"/>
      <c r="V2776" s="10"/>
      <c r="W2776" s="10"/>
      <c r="X2776" s="10"/>
      <c r="Y2776" s="10"/>
      <c r="Z2776" s="10"/>
      <c r="AA2776" s="10"/>
      <c r="AB2776" s="10"/>
      <c r="AC2776" s="10"/>
      <c r="AD2776" s="10"/>
      <c r="AE2776" s="10"/>
      <c r="AF2776" s="10"/>
    </row>
    <row r="2777">
      <c r="A2777" s="7"/>
      <c r="B2777" s="26">
        <v>232.0</v>
      </c>
      <c r="C2777" s="27">
        <v>7.0</v>
      </c>
      <c r="D2777" s="8" t="s">
        <v>3697</v>
      </c>
      <c r="E2777" s="7">
        <v>0.0</v>
      </c>
      <c r="F2777" s="7"/>
      <c r="G2777" s="7" t="s">
        <v>313</v>
      </c>
      <c r="H2777" s="7" t="s">
        <v>312</v>
      </c>
      <c r="I2777" s="7" t="s">
        <v>366</v>
      </c>
      <c r="J2777" s="16" t="s">
        <v>3696</v>
      </c>
      <c r="K2777" s="20" t="s">
        <v>2764</v>
      </c>
      <c r="L2777" s="12"/>
      <c r="M2777" s="10"/>
      <c r="N2777" s="10"/>
      <c r="O2777" s="10"/>
      <c r="P2777" s="10"/>
      <c r="Q2777" s="10"/>
      <c r="R2777" s="10"/>
      <c r="S2777" s="10"/>
      <c r="T2777" s="10"/>
      <c r="U2777" s="10"/>
      <c r="V2777" s="10"/>
      <c r="W2777" s="10"/>
      <c r="X2777" s="10"/>
      <c r="Y2777" s="10"/>
      <c r="Z2777" s="10"/>
      <c r="AA2777" s="10"/>
      <c r="AB2777" s="10"/>
      <c r="AC2777" s="10"/>
      <c r="AD2777" s="10"/>
      <c r="AE2777" s="10"/>
      <c r="AF2777" s="10"/>
    </row>
    <row r="2778">
      <c r="A2778" s="7"/>
      <c r="B2778" s="26">
        <v>232.0</v>
      </c>
      <c r="C2778" s="27">
        <v>8.0</v>
      </c>
      <c r="D2778" s="8" t="s">
        <v>3698</v>
      </c>
      <c r="E2778" s="7">
        <v>0.0</v>
      </c>
      <c r="F2778" s="7"/>
      <c r="G2778" s="7" t="s">
        <v>313</v>
      </c>
      <c r="H2778" s="7" t="s">
        <v>312</v>
      </c>
      <c r="I2778" s="7" t="s">
        <v>366</v>
      </c>
      <c r="J2778" s="16" t="s">
        <v>3696</v>
      </c>
      <c r="K2778" s="20" t="s">
        <v>2764</v>
      </c>
      <c r="L2778" s="12"/>
      <c r="M2778" s="10"/>
      <c r="N2778" s="10"/>
      <c r="O2778" s="10"/>
      <c r="P2778" s="10"/>
      <c r="Q2778" s="10"/>
      <c r="R2778" s="10"/>
      <c r="S2778" s="10"/>
      <c r="T2778" s="10"/>
      <c r="U2778" s="10"/>
      <c r="V2778" s="10"/>
      <c r="W2778" s="10"/>
      <c r="X2778" s="10"/>
      <c r="Y2778" s="10"/>
      <c r="Z2778" s="10"/>
      <c r="AA2778" s="10"/>
      <c r="AB2778" s="10"/>
      <c r="AC2778" s="10"/>
      <c r="AD2778" s="10"/>
      <c r="AE2778" s="10"/>
      <c r="AF2778" s="10"/>
    </row>
    <row r="2779">
      <c r="A2779" s="7"/>
      <c r="B2779" s="26">
        <v>232.0</v>
      </c>
      <c r="C2779" s="27">
        <v>9.0</v>
      </c>
      <c r="D2779" s="8" t="s">
        <v>3699</v>
      </c>
      <c r="E2779" s="7">
        <v>3.0</v>
      </c>
      <c r="F2779" s="7"/>
      <c r="G2779" s="7" t="s">
        <v>313</v>
      </c>
      <c r="H2779" s="7" t="s">
        <v>312</v>
      </c>
      <c r="I2779" s="10"/>
      <c r="J2779" s="11"/>
      <c r="K2779" s="12"/>
      <c r="L2779" s="12"/>
      <c r="M2779" s="10"/>
      <c r="N2779" s="10"/>
      <c r="O2779" s="10"/>
      <c r="P2779" s="10"/>
      <c r="Q2779" s="10"/>
      <c r="R2779" s="10"/>
      <c r="S2779" s="10"/>
      <c r="T2779" s="10"/>
      <c r="U2779" s="10"/>
      <c r="V2779" s="10"/>
      <c r="W2779" s="10"/>
      <c r="X2779" s="10"/>
      <c r="Y2779" s="10"/>
      <c r="Z2779" s="10"/>
      <c r="AA2779" s="10"/>
      <c r="AB2779" s="10"/>
      <c r="AC2779" s="10"/>
      <c r="AD2779" s="10"/>
      <c r="AE2779" s="10"/>
      <c r="AF2779" s="10"/>
    </row>
    <row r="2780">
      <c r="A2780" s="7"/>
      <c r="B2780" s="26">
        <v>232.0</v>
      </c>
      <c r="C2780" s="27">
        <v>10.0</v>
      </c>
      <c r="D2780" s="8" t="s">
        <v>3700</v>
      </c>
      <c r="E2780" s="7">
        <v>0.0</v>
      </c>
      <c r="F2780" s="7"/>
      <c r="G2780" s="7" t="s">
        <v>313</v>
      </c>
      <c r="H2780" s="7" t="s">
        <v>312</v>
      </c>
      <c r="I2780" s="7" t="s">
        <v>366</v>
      </c>
      <c r="J2780" s="16" t="s">
        <v>3696</v>
      </c>
      <c r="K2780" s="20" t="s">
        <v>2764</v>
      </c>
      <c r="L2780" s="12"/>
      <c r="M2780" s="10"/>
      <c r="N2780" s="10"/>
      <c r="O2780" s="10"/>
      <c r="P2780" s="10"/>
      <c r="Q2780" s="10"/>
      <c r="R2780" s="10"/>
      <c r="S2780" s="10"/>
      <c r="T2780" s="10"/>
      <c r="U2780" s="10"/>
      <c r="V2780" s="10"/>
      <c r="W2780" s="10"/>
      <c r="X2780" s="10"/>
      <c r="Y2780" s="10"/>
      <c r="Z2780" s="10"/>
      <c r="AA2780" s="10"/>
      <c r="AB2780" s="10"/>
      <c r="AC2780" s="10"/>
      <c r="AD2780" s="10"/>
      <c r="AE2780" s="10"/>
      <c r="AF2780" s="10"/>
    </row>
    <row r="2781">
      <c r="A2781" s="7"/>
      <c r="B2781" s="26">
        <v>232.0</v>
      </c>
      <c r="C2781" s="27">
        <v>11.0</v>
      </c>
      <c r="D2781" s="8" t="s">
        <v>3701</v>
      </c>
      <c r="E2781" s="7">
        <v>0.0</v>
      </c>
      <c r="F2781" s="7"/>
      <c r="G2781" s="7" t="s">
        <v>313</v>
      </c>
      <c r="H2781" s="7" t="s">
        <v>312</v>
      </c>
      <c r="I2781" s="7" t="s">
        <v>366</v>
      </c>
      <c r="J2781" s="16" t="s">
        <v>3696</v>
      </c>
      <c r="K2781" s="20" t="s">
        <v>2764</v>
      </c>
      <c r="L2781" s="12"/>
      <c r="M2781" s="10"/>
      <c r="N2781" s="10"/>
      <c r="O2781" s="10"/>
      <c r="P2781" s="10"/>
      <c r="Q2781" s="10"/>
      <c r="R2781" s="10"/>
      <c r="S2781" s="10"/>
      <c r="T2781" s="10"/>
      <c r="U2781" s="10"/>
      <c r="V2781" s="10"/>
      <c r="W2781" s="10"/>
      <c r="X2781" s="10"/>
      <c r="Y2781" s="10"/>
      <c r="Z2781" s="10"/>
      <c r="AA2781" s="10"/>
      <c r="AB2781" s="10"/>
      <c r="AC2781" s="10"/>
      <c r="AD2781" s="10"/>
      <c r="AE2781" s="10"/>
      <c r="AF2781" s="10"/>
    </row>
    <row r="2782">
      <c r="A2782" s="7"/>
      <c r="B2782" s="26">
        <v>232.0</v>
      </c>
      <c r="C2782" s="27">
        <v>12.0</v>
      </c>
      <c r="D2782" s="8" t="s">
        <v>3702</v>
      </c>
      <c r="E2782" s="7">
        <v>3.0</v>
      </c>
      <c r="F2782" s="7"/>
      <c r="G2782" s="7" t="s">
        <v>313</v>
      </c>
      <c r="H2782" s="7" t="s">
        <v>312</v>
      </c>
      <c r="I2782" s="10"/>
      <c r="J2782" s="11"/>
      <c r="K2782" s="12"/>
      <c r="L2782" s="12"/>
      <c r="M2782" s="10"/>
      <c r="N2782" s="10"/>
      <c r="O2782" s="10"/>
      <c r="P2782" s="10"/>
      <c r="Q2782" s="10"/>
      <c r="R2782" s="10"/>
      <c r="S2782" s="10"/>
      <c r="T2782" s="10"/>
      <c r="U2782" s="10"/>
      <c r="V2782" s="10"/>
      <c r="W2782" s="10"/>
      <c r="X2782" s="10"/>
      <c r="Y2782" s="10"/>
      <c r="Z2782" s="10"/>
      <c r="AA2782" s="10"/>
      <c r="AB2782" s="10"/>
      <c r="AC2782" s="10"/>
      <c r="AD2782" s="10"/>
      <c r="AE2782" s="10"/>
      <c r="AF2782" s="10"/>
    </row>
    <row r="2783">
      <c r="A2783" s="7"/>
      <c r="B2783" s="26">
        <v>232.0</v>
      </c>
      <c r="C2783" s="27">
        <v>13.0</v>
      </c>
      <c r="D2783" s="8" t="s">
        <v>3703</v>
      </c>
      <c r="E2783" s="7">
        <v>0.0</v>
      </c>
      <c r="F2783" s="7"/>
      <c r="G2783" s="7" t="s">
        <v>313</v>
      </c>
      <c r="H2783" s="7" t="s">
        <v>312</v>
      </c>
      <c r="I2783" s="7" t="s">
        <v>366</v>
      </c>
      <c r="J2783" s="16" t="s">
        <v>3696</v>
      </c>
      <c r="K2783" s="20" t="s">
        <v>2764</v>
      </c>
      <c r="L2783" s="12"/>
      <c r="M2783" s="10"/>
      <c r="N2783" s="10"/>
      <c r="O2783" s="10"/>
      <c r="P2783" s="10"/>
      <c r="Q2783" s="10"/>
      <c r="R2783" s="10"/>
      <c r="S2783" s="10"/>
      <c r="T2783" s="10"/>
      <c r="U2783" s="10"/>
      <c r="V2783" s="10"/>
      <c r="W2783" s="10"/>
      <c r="X2783" s="10"/>
      <c r="Y2783" s="10"/>
      <c r="Z2783" s="10"/>
      <c r="AA2783" s="10"/>
      <c r="AB2783" s="10"/>
      <c r="AC2783" s="10"/>
      <c r="AD2783" s="10"/>
      <c r="AE2783" s="10"/>
      <c r="AF2783" s="10"/>
    </row>
    <row r="2784">
      <c r="A2784" s="7"/>
      <c r="B2784" s="26">
        <v>232.0</v>
      </c>
      <c r="C2784" s="27">
        <v>14.0</v>
      </c>
      <c r="D2784" s="8" t="s">
        <v>3704</v>
      </c>
      <c r="E2784" s="7">
        <v>3.0</v>
      </c>
      <c r="F2784" s="7"/>
      <c r="G2784" s="7" t="s">
        <v>313</v>
      </c>
      <c r="H2784" s="7" t="s">
        <v>312</v>
      </c>
      <c r="I2784" s="10"/>
      <c r="J2784" s="11"/>
      <c r="K2784" s="12"/>
      <c r="L2784" s="12"/>
      <c r="M2784" s="10"/>
      <c r="N2784" s="10"/>
      <c r="O2784" s="10"/>
      <c r="P2784" s="10"/>
      <c r="Q2784" s="10"/>
      <c r="R2784" s="10"/>
      <c r="S2784" s="10"/>
      <c r="T2784" s="10"/>
      <c r="U2784" s="10"/>
      <c r="V2784" s="10"/>
      <c r="W2784" s="10"/>
      <c r="X2784" s="10"/>
      <c r="Y2784" s="10"/>
      <c r="Z2784" s="10"/>
      <c r="AA2784" s="10"/>
      <c r="AB2784" s="10"/>
      <c r="AC2784" s="10"/>
      <c r="AD2784" s="10"/>
      <c r="AE2784" s="10"/>
      <c r="AF2784" s="10"/>
    </row>
    <row r="2785">
      <c r="A2785" s="7"/>
      <c r="B2785" s="26">
        <v>232.0</v>
      </c>
      <c r="C2785" s="27">
        <v>15.0</v>
      </c>
      <c r="D2785" s="8" t="s">
        <v>3705</v>
      </c>
      <c r="E2785" s="7">
        <v>3.0</v>
      </c>
      <c r="F2785" s="7"/>
      <c r="G2785" s="7" t="s">
        <v>313</v>
      </c>
      <c r="H2785" s="7" t="s">
        <v>312</v>
      </c>
      <c r="I2785" s="10"/>
      <c r="J2785" s="11"/>
      <c r="K2785" s="12"/>
      <c r="L2785" s="12"/>
      <c r="M2785" s="10"/>
      <c r="N2785" s="10"/>
      <c r="O2785" s="10"/>
      <c r="P2785" s="10"/>
      <c r="Q2785" s="10"/>
      <c r="R2785" s="10"/>
      <c r="S2785" s="10"/>
      <c r="T2785" s="10"/>
      <c r="U2785" s="10"/>
      <c r="V2785" s="10"/>
      <c r="W2785" s="10"/>
      <c r="X2785" s="10"/>
      <c r="Y2785" s="10"/>
      <c r="Z2785" s="10"/>
      <c r="AA2785" s="10"/>
      <c r="AB2785" s="10"/>
      <c r="AC2785" s="10"/>
      <c r="AD2785" s="10"/>
      <c r="AE2785" s="10"/>
      <c r="AF2785" s="10"/>
    </row>
    <row r="2786">
      <c r="A2786" s="13" t="s">
        <v>233</v>
      </c>
      <c r="B2786" s="12"/>
      <c r="C2786" s="12"/>
      <c r="D2786" s="12"/>
      <c r="E2786" s="10"/>
      <c r="F2786" s="10"/>
      <c r="G2786" s="10"/>
      <c r="H2786" s="10"/>
      <c r="I2786" s="10"/>
      <c r="J2786" s="11"/>
      <c r="K2786" s="12"/>
      <c r="L2786" s="12"/>
      <c r="M2786" s="10"/>
      <c r="N2786" s="10"/>
      <c r="O2786" s="10"/>
      <c r="P2786" s="10"/>
      <c r="Q2786" s="10"/>
      <c r="R2786" s="10"/>
      <c r="S2786" s="10"/>
      <c r="T2786" s="10"/>
      <c r="U2786" s="10"/>
      <c r="V2786" s="10"/>
      <c r="W2786" s="10"/>
      <c r="X2786" s="10"/>
      <c r="Y2786" s="10"/>
      <c r="Z2786" s="10"/>
      <c r="AA2786" s="10"/>
      <c r="AB2786" s="10"/>
      <c r="AC2786" s="10"/>
      <c r="AD2786" s="10"/>
      <c r="AE2786" s="10"/>
      <c r="AF2786" s="10"/>
    </row>
    <row r="2787">
      <c r="A2787" s="7"/>
      <c r="B2787" s="26">
        <v>233.0</v>
      </c>
      <c r="C2787" s="27">
        <v>1.0</v>
      </c>
      <c r="D2787" s="8" t="s">
        <v>3706</v>
      </c>
      <c r="E2787" s="7">
        <v>0.0</v>
      </c>
      <c r="F2787" s="7"/>
      <c r="G2787" s="7" t="s">
        <v>313</v>
      </c>
      <c r="H2787" s="7" t="s">
        <v>312</v>
      </c>
      <c r="I2787" s="10"/>
      <c r="J2787" s="9"/>
      <c r="K2787" s="12"/>
      <c r="L2787" s="12"/>
      <c r="M2787" s="10"/>
      <c r="N2787" s="10"/>
      <c r="O2787" s="10"/>
      <c r="P2787" s="10"/>
      <c r="Q2787" s="10"/>
      <c r="R2787" s="10"/>
      <c r="S2787" s="10"/>
      <c r="T2787" s="10"/>
      <c r="U2787" s="10"/>
      <c r="V2787" s="10"/>
      <c r="W2787" s="10"/>
      <c r="X2787" s="10"/>
      <c r="Y2787" s="10"/>
      <c r="Z2787" s="10"/>
      <c r="AA2787" s="10"/>
      <c r="AB2787" s="10"/>
      <c r="AC2787" s="10"/>
      <c r="AD2787" s="10"/>
      <c r="AE2787" s="10"/>
      <c r="AF2787" s="10"/>
    </row>
    <row r="2788">
      <c r="A2788" s="7"/>
      <c r="B2788" s="26">
        <v>233.0</v>
      </c>
      <c r="C2788" s="27">
        <v>2.0</v>
      </c>
      <c r="D2788" s="8" t="s">
        <v>3707</v>
      </c>
      <c r="E2788" s="7">
        <v>0.0</v>
      </c>
      <c r="F2788" s="7"/>
      <c r="G2788" s="7" t="s">
        <v>313</v>
      </c>
      <c r="H2788" s="7" t="s">
        <v>312</v>
      </c>
      <c r="I2788" s="10"/>
      <c r="J2788" s="11"/>
      <c r="K2788" s="12"/>
      <c r="L2788" s="12"/>
      <c r="M2788" s="10"/>
      <c r="N2788" s="10"/>
      <c r="O2788" s="10"/>
      <c r="P2788" s="10"/>
      <c r="Q2788" s="10"/>
      <c r="R2788" s="10"/>
      <c r="S2788" s="10"/>
      <c r="T2788" s="10"/>
      <c r="U2788" s="10"/>
      <c r="V2788" s="10"/>
      <c r="W2788" s="10"/>
      <c r="X2788" s="10"/>
      <c r="Y2788" s="10"/>
      <c r="Z2788" s="10"/>
      <c r="AA2788" s="10"/>
      <c r="AB2788" s="10"/>
      <c r="AC2788" s="10"/>
      <c r="AD2788" s="10"/>
      <c r="AE2788" s="10"/>
      <c r="AF2788" s="10"/>
    </row>
    <row r="2789">
      <c r="A2789" s="7"/>
      <c r="B2789" s="26">
        <v>233.0</v>
      </c>
      <c r="C2789" s="27">
        <v>3.0</v>
      </c>
      <c r="D2789" s="8" t="s">
        <v>3708</v>
      </c>
      <c r="E2789" s="7">
        <v>0.0</v>
      </c>
      <c r="F2789" s="7"/>
      <c r="G2789" s="7" t="s">
        <v>313</v>
      </c>
      <c r="H2789" s="7" t="s">
        <v>312</v>
      </c>
      <c r="I2789" s="10"/>
      <c r="J2789" s="11"/>
      <c r="K2789" s="12"/>
      <c r="L2789" s="12"/>
      <c r="M2789" s="10"/>
      <c r="N2789" s="10"/>
      <c r="O2789" s="10"/>
      <c r="P2789" s="10"/>
      <c r="Q2789" s="10"/>
      <c r="R2789" s="10"/>
      <c r="S2789" s="10"/>
      <c r="T2789" s="10"/>
      <c r="U2789" s="10"/>
      <c r="V2789" s="10"/>
      <c r="W2789" s="10"/>
      <c r="X2789" s="10"/>
      <c r="Y2789" s="10"/>
      <c r="Z2789" s="10"/>
      <c r="AA2789" s="10"/>
      <c r="AB2789" s="10"/>
      <c r="AC2789" s="10"/>
      <c r="AD2789" s="10"/>
      <c r="AE2789" s="10"/>
      <c r="AF2789" s="10"/>
    </row>
    <row r="2790">
      <c r="A2790" s="7"/>
      <c r="B2790" s="26">
        <v>233.0</v>
      </c>
      <c r="C2790" s="27">
        <v>4.0</v>
      </c>
      <c r="D2790" s="8" t="s">
        <v>3709</v>
      </c>
      <c r="E2790" s="7">
        <v>0.0</v>
      </c>
      <c r="F2790" s="7"/>
      <c r="G2790" s="7" t="s">
        <v>313</v>
      </c>
      <c r="H2790" s="7" t="s">
        <v>312</v>
      </c>
      <c r="I2790" s="10"/>
      <c r="J2790" s="11"/>
      <c r="K2790" s="12"/>
      <c r="L2790" s="12"/>
      <c r="M2790" s="10"/>
      <c r="N2790" s="10"/>
      <c r="O2790" s="10"/>
      <c r="P2790" s="10"/>
      <c r="Q2790" s="10"/>
      <c r="R2790" s="10"/>
      <c r="S2790" s="10"/>
      <c r="T2790" s="10"/>
      <c r="U2790" s="10"/>
      <c r="V2790" s="10"/>
      <c r="W2790" s="10"/>
      <c r="X2790" s="10"/>
      <c r="Y2790" s="10"/>
      <c r="Z2790" s="10"/>
      <c r="AA2790" s="10"/>
      <c r="AB2790" s="10"/>
      <c r="AC2790" s="10"/>
      <c r="AD2790" s="10"/>
      <c r="AE2790" s="10"/>
      <c r="AF2790" s="10"/>
    </row>
    <row r="2791">
      <c r="A2791" s="7"/>
      <c r="B2791" s="26">
        <v>233.0</v>
      </c>
      <c r="C2791" s="27">
        <v>5.0</v>
      </c>
      <c r="D2791" s="8" t="s">
        <v>3710</v>
      </c>
      <c r="E2791" s="7">
        <v>0.0</v>
      </c>
      <c r="F2791" s="7"/>
      <c r="G2791" s="7" t="s">
        <v>313</v>
      </c>
      <c r="H2791" s="7" t="s">
        <v>312</v>
      </c>
      <c r="I2791" s="10"/>
      <c r="J2791" s="11"/>
      <c r="K2791" s="12"/>
      <c r="L2791" s="12"/>
      <c r="M2791" s="10"/>
      <c r="N2791" s="10"/>
      <c r="O2791" s="10"/>
      <c r="P2791" s="10"/>
      <c r="Q2791" s="10"/>
      <c r="R2791" s="10"/>
      <c r="S2791" s="10"/>
      <c r="T2791" s="10"/>
      <c r="U2791" s="10"/>
      <c r="V2791" s="10"/>
      <c r="W2791" s="10"/>
      <c r="X2791" s="10"/>
      <c r="Y2791" s="10"/>
      <c r="Z2791" s="10"/>
      <c r="AA2791" s="10"/>
      <c r="AB2791" s="10"/>
      <c r="AC2791" s="10"/>
      <c r="AD2791" s="10"/>
      <c r="AE2791" s="10"/>
      <c r="AF2791" s="10"/>
    </row>
    <row r="2792">
      <c r="A2792" s="7"/>
      <c r="B2792" s="26">
        <v>233.0</v>
      </c>
      <c r="C2792" s="27">
        <v>6.0</v>
      </c>
      <c r="D2792" s="8" t="s">
        <v>3711</v>
      </c>
      <c r="E2792" s="7">
        <v>0.0</v>
      </c>
      <c r="F2792" s="7"/>
      <c r="G2792" s="7" t="s">
        <v>313</v>
      </c>
      <c r="H2792" s="7" t="s">
        <v>312</v>
      </c>
      <c r="I2792" s="10"/>
      <c r="J2792" s="11"/>
      <c r="K2792" s="12"/>
      <c r="L2792" s="12"/>
      <c r="M2792" s="10"/>
      <c r="N2792" s="10"/>
      <c r="O2792" s="10"/>
      <c r="P2792" s="10"/>
      <c r="Q2792" s="10"/>
      <c r="R2792" s="10"/>
      <c r="S2792" s="10"/>
      <c r="T2792" s="10"/>
      <c r="U2792" s="10"/>
      <c r="V2792" s="10"/>
      <c r="W2792" s="10"/>
      <c r="X2792" s="10"/>
      <c r="Y2792" s="10"/>
      <c r="Z2792" s="10"/>
      <c r="AA2792" s="10"/>
      <c r="AB2792" s="10"/>
      <c r="AC2792" s="10"/>
      <c r="AD2792" s="10"/>
      <c r="AE2792" s="10"/>
      <c r="AF2792" s="10"/>
    </row>
    <row r="2793">
      <c r="A2793" s="7"/>
      <c r="B2793" s="26">
        <v>233.0</v>
      </c>
      <c r="C2793" s="27">
        <v>7.0</v>
      </c>
      <c r="D2793" s="8" t="s">
        <v>3712</v>
      </c>
      <c r="E2793" s="7">
        <v>2.0</v>
      </c>
      <c r="F2793" s="7" t="s">
        <v>320</v>
      </c>
      <c r="G2793" s="7" t="s">
        <v>313</v>
      </c>
      <c r="H2793" s="7" t="s">
        <v>312</v>
      </c>
      <c r="I2793" s="7" t="s">
        <v>366</v>
      </c>
      <c r="J2793" s="9" t="s">
        <v>3713</v>
      </c>
      <c r="K2793" s="8" t="s">
        <v>851</v>
      </c>
      <c r="L2793" s="12"/>
      <c r="M2793" s="10"/>
      <c r="N2793" s="10"/>
      <c r="O2793" s="10"/>
      <c r="P2793" s="10"/>
      <c r="Q2793" s="10"/>
      <c r="R2793" s="10"/>
      <c r="S2793" s="10"/>
      <c r="T2793" s="10"/>
      <c r="U2793" s="10"/>
      <c r="V2793" s="10"/>
      <c r="W2793" s="10"/>
      <c r="X2793" s="10"/>
      <c r="Y2793" s="10"/>
      <c r="Z2793" s="10"/>
      <c r="AA2793" s="10"/>
      <c r="AB2793" s="10"/>
      <c r="AC2793" s="10"/>
      <c r="AD2793" s="10"/>
      <c r="AE2793" s="10"/>
      <c r="AF2793" s="10"/>
    </row>
    <row r="2794">
      <c r="A2794" s="7"/>
      <c r="B2794" s="26">
        <v>233.0</v>
      </c>
      <c r="C2794" s="27">
        <v>8.0</v>
      </c>
      <c r="D2794" s="8" t="s">
        <v>3714</v>
      </c>
      <c r="E2794" s="7">
        <v>2.0</v>
      </c>
      <c r="F2794" s="7" t="s">
        <v>320</v>
      </c>
      <c r="G2794" s="7" t="s">
        <v>313</v>
      </c>
      <c r="H2794" s="7" t="s">
        <v>312</v>
      </c>
      <c r="I2794" s="7" t="s">
        <v>366</v>
      </c>
      <c r="J2794" s="9" t="s">
        <v>3715</v>
      </c>
      <c r="K2794" s="8" t="s">
        <v>851</v>
      </c>
      <c r="L2794" s="12"/>
      <c r="M2794" s="10"/>
      <c r="N2794" s="10"/>
      <c r="O2794" s="10"/>
      <c r="P2794" s="10"/>
      <c r="Q2794" s="10"/>
      <c r="R2794" s="10"/>
      <c r="S2794" s="10"/>
      <c r="T2794" s="10"/>
      <c r="U2794" s="10"/>
      <c r="V2794" s="10"/>
      <c r="W2794" s="10"/>
      <c r="X2794" s="10"/>
      <c r="Y2794" s="10"/>
      <c r="Z2794" s="10"/>
      <c r="AA2794" s="10"/>
      <c r="AB2794" s="10"/>
      <c r="AC2794" s="10"/>
      <c r="AD2794" s="10"/>
      <c r="AE2794" s="10"/>
      <c r="AF2794" s="10"/>
    </row>
    <row r="2795">
      <c r="A2795" s="7"/>
      <c r="B2795" s="26">
        <v>233.0</v>
      </c>
      <c r="C2795" s="27">
        <v>9.0</v>
      </c>
      <c r="D2795" s="8" t="s">
        <v>3716</v>
      </c>
      <c r="E2795" s="7">
        <v>2.0</v>
      </c>
      <c r="F2795" s="7" t="s">
        <v>320</v>
      </c>
      <c r="G2795" s="7" t="s">
        <v>313</v>
      </c>
      <c r="H2795" s="7" t="s">
        <v>312</v>
      </c>
      <c r="I2795" s="7" t="s">
        <v>366</v>
      </c>
      <c r="J2795" s="9" t="s">
        <v>3717</v>
      </c>
      <c r="K2795" s="8" t="s">
        <v>851</v>
      </c>
      <c r="L2795" s="12"/>
      <c r="M2795" s="10"/>
      <c r="N2795" s="10"/>
      <c r="O2795" s="10"/>
      <c r="P2795" s="10"/>
      <c r="Q2795" s="10"/>
      <c r="R2795" s="10"/>
      <c r="S2795" s="10"/>
      <c r="T2795" s="10"/>
      <c r="U2795" s="10"/>
      <c r="V2795" s="10"/>
      <c r="W2795" s="10"/>
      <c r="X2795" s="10"/>
      <c r="Y2795" s="10"/>
      <c r="Z2795" s="10"/>
      <c r="AA2795" s="10"/>
      <c r="AB2795" s="10"/>
      <c r="AC2795" s="10"/>
      <c r="AD2795" s="10"/>
      <c r="AE2795" s="10"/>
      <c r="AF2795" s="10"/>
    </row>
    <row r="2796">
      <c r="A2796" s="7"/>
      <c r="B2796" s="26">
        <v>233.0</v>
      </c>
      <c r="C2796" s="27">
        <v>10.0</v>
      </c>
      <c r="D2796" s="8" t="s">
        <v>3718</v>
      </c>
      <c r="E2796" s="7">
        <v>2.0</v>
      </c>
      <c r="F2796" s="7" t="s">
        <v>320</v>
      </c>
      <c r="G2796" s="7" t="s">
        <v>313</v>
      </c>
      <c r="H2796" s="7" t="s">
        <v>312</v>
      </c>
      <c r="I2796" s="7" t="s">
        <v>366</v>
      </c>
      <c r="J2796" s="9" t="s">
        <v>3719</v>
      </c>
      <c r="K2796" s="8" t="s">
        <v>851</v>
      </c>
      <c r="L2796" s="12"/>
      <c r="M2796" s="10"/>
      <c r="N2796" s="10"/>
      <c r="O2796" s="10"/>
      <c r="P2796" s="10"/>
      <c r="Q2796" s="10"/>
      <c r="R2796" s="10"/>
      <c r="S2796" s="10"/>
      <c r="T2796" s="10"/>
      <c r="U2796" s="10"/>
      <c r="V2796" s="10"/>
      <c r="W2796" s="10"/>
      <c r="X2796" s="10"/>
      <c r="Y2796" s="10"/>
      <c r="Z2796" s="10"/>
      <c r="AA2796" s="10"/>
      <c r="AB2796" s="10"/>
      <c r="AC2796" s="10"/>
      <c r="AD2796" s="10"/>
      <c r="AE2796" s="10"/>
      <c r="AF2796" s="10"/>
    </row>
    <row r="2797">
      <c r="A2797" s="7"/>
      <c r="B2797" s="26">
        <v>233.0</v>
      </c>
      <c r="C2797" s="27">
        <v>11.0</v>
      </c>
      <c r="D2797" s="8" t="s">
        <v>3720</v>
      </c>
      <c r="E2797" s="7">
        <v>2.0</v>
      </c>
      <c r="F2797" s="7" t="s">
        <v>320</v>
      </c>
      <c r="G2797" s="7" t="s">
        <v>313</v>
      </c>
      <c r="H2797" s="7" t="s">
        <v>312</v>
      </c>
      <c r="I2797" s="7" t="s">
        <v>366</v>
      </c>
      <c r="J2797" s="9" t="s">
        <v>3721</v>
      </c>
      <c r="K2797" s="8" t="s">
        <v>851</v>
      </c>
      <c r="L2797" s="12"/>
      <c r="M2797" s="10"/>
      <c r="N2797" s="10"/>
      <c r="O2797" s="10"/>
      <c r="P2797" s="10"/>
      <c r="Q2797" s="10"/>
      <c r="R2797" s="10"/>
      <c r="S2797" s="10"/>
      <c r="T2797" s="10"/>
      <c r="U2797" s="10"/>
      <c r="V2797" s="10"/>
      <c r="W2797" s="10"/>
      <c r="X2797" s="10"/>
      <c r="Y2797" s="10"/>
      <c r="Z2797" s="10"/>
      <c r="AA2797" s="10"/>
      <c r="AB2797" s="10"/>
      <c r="AC2797" s="10"/>
      <c r="AD2797" s="10"/>
      <c r="AE2797" s="10"/>
      <c r="AF2797" s="10"/>
    </row>
    <row r="2798">
      <c r="A2798" s="7"/>
      <c r="B2798" s="26">
        <v>233.0</v>
      </c>
      <c r="C2798" s="27">
        <v>12.0</v>
      </c>
      <c r="D2798" s="8" t="s">
        <v>3722</v>
      </c>
      <c r="E2798" s="7">
        <v>0.0</v>
      </c>
      <c r="F2798" s="7"/>
      <c r="G2798" s="7" t="s">
        <v>313</v>
      </c>
      <c r="H2798" s="7" t="s">
        <v>312</v>
      </c>
      <c r="I2798" s="10"/>
      <c r="J2798" s="11"/>
      <c r="K2798" s="12"/>
      <c r="L2798" s="12"/>
      <c r="M2798" s="10"/>
      <c r="N2798" s="10"/>
      <c r="O2798" s="10"/>
      <c r="P2798" s="10"/>
      <c r="Q2798" s="10"/>
      <c r="R2798" s="10"/>
      <c r="S2798" s="10"/>
      <c r="T2798" s="10"/>
      <c r="U2798" s="10"/>
      <c r="V2798" s="10"/>
      <c r="W2798" s="10"/>
      <c r="X2798" s="10"/>
      <c r="Y2798" s="10"/>
      <c r="Z2798" s="10"/>
      <c r="AA2798" s="10"/>
      <c r="AB2798" s="10"/>
      <c r="AC2798" s="10"/>
      <c r="AD2798" s="10"/>
      <c r="AE2798" s="10"/>
      <c r="AF2798" s="10"/>
    </row>
    <row r="2799">
      <c r="A2799" s="7"/>
      <c r="B2799" s="26">
        <v>233.0</v>
      </c>
      <c r="C2799" s="27">
        <v>13.0</v>
      </c>
      <c r="D2799" s="8" t="s">
        <v>3723</v>
      </c>
      <c r="E2799" s="7">
        <v>0.0</v>
      </c>
      <c r="F2799" s="7"/>
      <c r="G2799" s="7" t="s">
        <v>313</v>
      </c>
      <c r="H2799" s="7" t="s">
        <v>312</v>
      </c>
      <c r="I2799" s="7" t="s">
        <v>366</v>
      </c>
      <c r="J2799" s="16" t="s">
        <v>3724</v>
      </c>
      <c r="K2799" s="12"/>
      <c r="L2799" s="12"/>
      <c r="M2799" s="10"/>
      <c r="N2799" s="10"/>
      <c r="O2799" s="10"/>
      <c r="P2799" s="10"/>
      <c r="Q2799" s="10"/>
      <c r="R2799" s="10"/>
      <c r="S2799" s="10"/>
      <c r="T2799" s="10"/>
      <c r="U2799" s="10"/>
      <c r="V2799" s="10"/>
      <c r="W2799" s="10"/>
      <c r="X2799" s="10"/>
      <c r="Y2799" s="10"/>
      <c r="Z2799" s="10"/>
      <c r="AA2799" s="10"/>
      <c r="AB2799" s="10"/>
      <c r="AC2799" s="10"/>
      <c r="AD2799" s="10"/>
      <c r="AE2799" s="10"/>
      <c r="AF2799" s="10"/>
    </row>
    <row r="2800">
      <c r="A2800" s="7"/>
      <c r="B2800" s="26">
        <v>233.0</v>
      </c>
      <c r="C2800" s="27">
        <v>14.0</v>
      </c>
      <c r="D2800" s="8" t="s">
        <v>3725</v>
      </c>
      <c r="E2800" s="7">
        <v>0.0</v>
      </c>
      <c r="F2800" s="7"/>
      <c r="G2800" s="7" t="s">
        <v>313</v>
      </c>
      <c r="H2800" s="7" t="s">
        <v>312</v>
      </c>
      <c r="I2800" s="7" t="s">
        <v>366</v>
      </c>
      <c r="J2800" s="16" t="s">
        <v>3724</v>
      </c>
      <c r="K2800" s="12"/>
      <c r="L2800" s="12"/>
      <c r="M2800" s="10"/>
      <c r="N2800" s="10"/>
      <c r="O2800" s="10"/>
      <c r="P2800" s="10"/>
      <c r="Q2800" s="10"/>
      <c r="R2800" s="10"/>
      <c r="S2800" s="10"/>
      <c r="T2800" s="10"/>
      <c r="U2800" s="10"/>
      <c r="V2800" s="10"/>
      <c r="W2800" s="10"/>
      <c r="X2800" s="10"/>
      <c r="Y2800" s="10"/>
      <c r="Z2800" s="10"/>
      <c r="AA2800" s="10"/>
      <c r="AB2800" s="10"/>
      <c r="AC2800" s="10"/>
      <c r="AD2800" s="10"/>
      <c r="AE2800" s="10"/>
      <c r="AF2800" s="10"/>
    </row>
    <row r="2801">
      <c r="A2801" s="7"/>
      <c r="B2801" s="26">
        <v>233.0</v>
      </c>
      <c r="C2801" s="27">
        <v>15.0</v>
      </c>
      <c r="D2801" s="8" t="s">
        <v>3726</v>
      </c>
      <c r="E2801" s="7">
        <v>0.0</v>
      </c>
      <c r="F2801" s="7"/>
      <c r="G2801" s="7" t="s">
        <v>313</v>
      </c>
      <c r="H2801" s="7" t="s">
        <v>312</v>
      </c>
      <c r="I2801" s="7" t="s">
        <v>366</v>
      </c>
      <c r="J2801" s="16" t="s">
        <v>3724</v>
      </c>
      <c r="K2801" s="12"/>
      <c r="L2801" s="12"/>
      <c r="M2801" s="10"/>
      <c r="N2801" s="10"/>
      <c r="O2801" s="10"/>
      <c r="P2801" s="10"/>
      <c r="Q2801" s="10"/>
      <c r="R2801" s="10"/>
      <c r="S2801" s="10"/>
      <c r="T2801" s="10"/>
      <c r="U2801" s="10"/>
      <c r="V2801" s="10"/>
      <c r="W2801" s="10"/>
      <c r="X2801" s="10"/>
      <c r="Y2801" s="10"/>
      <c r="Z2801" s="10"/>
      <c r="AA2801" s="10"/>
      <c r="AB2801" s="10"/>
      <c r="AC2801" s="10"/>
      <c r="AD2801" s="10"/>
      <c r="AE2801" s="10"/>
      <c r="AF2801" s="10"/>
    </row>
    <row r="2802">
      <c r="A2802" s="7"/>
      <c r="B2802" s="26">
        <v>233.0</v>
      </c>
      <c r="C2802" s="27">
        <v>16.0</v>
      </c>
      <c r="D2802" s="8" t="s">
        <v>3727</v>
      </c>
      <c r="E2802" s="7">
        <v>0.0</v>
      </c>
      <c r="F2802" s="7"/>
      <c r="G2802" s="7" t="s">
        <v>313</v>
      </c>
      <c r="H2802" s="7" t="s">
        <v>312</v>
      </c>
      <c r="I2802" s="7" t="s">
        <v>366</v>
      </c>
      <c r="J2802" s="16" t="s">
        <v>3724</v>
      </c>
      <c r="K2802" s="12"/>
      <c r="L2802" s="12"/>
      <c r="M2802" s="10"/>
      <c r="N2802" s="10"/>
      <c r="O2802" s="10"/>
      <c r="P2802" s="10"/>
      <c r="Q2802" s="10"/>
      <c r="R2802" s="10"/>
      <c r="S2802" s="10"/>
      <c r="T2802" s="10"/>
      <c r="U2802" s="10"/>
      <c r="V2802" s="10"/>
      <c r="W2802" s="10"/>
      <c r="X2802" s="10"/>
      <c r="Y2802" s="10"/>
      <c r="Z2802" s="10"/>
      <c r="AA2802" s="10"/>
      <c r="AB2802" s="10"/>
      <c r="AC2802" s="10"/>
      <c r="AD2802" s="10"/>
      <c r="AE2802" s="10"/>
      <c r="AF2802" s="10"/>
    </row>
    <row r="2803">
      <c r="A2803" s="7"/>
      <c r="B2803" s="26">
        <v>233.0</v>
      </c>
      <c r="C2803" s="27">
        <v>17.0</v>
      </c>
      <c r="D2803" s="8" t="s">
        <v>3728</v>
      </c>
      <c r="E2803" s="7">
        <v>0.0</v>
      </c>
      <c r="F2803" s="7"/>
      <c r="G2803" s="7" t="s">
        <v>313</v>
      </c>
      <c r="H2803" s="7" t="s">
        <v>312</v>
      </c>
      <c r="I2803" s="7" t="s">
        <v>366</v>
      </c>
      <c r="J2803" s="16" t="s">
        <v>3724</v>
      </c>
      <c r="K2803" s="12"/>
      <c r="L2803" s="12"/>
      <c r="M2803" s="10"/>
      <c r="N2803" s="10"/>
      <c r="O2803" s="10"/>
      <c r="P2803" s="10"/>
      <c r="Q2803" s="10"/>
      <c r="R2803" s="10"/>
      <c r="S2803" s="10"/>
      <c r="T2803" s="10"/>
      <c r="U2803" s="10"/>
      <c r="V2803" s="10"/>
      <c r="W2803" s="10"/>
      <c r="X2803" s="10"/>
      <c r="Y2803" s="10"/>
      <c r="Z2803" s="10"/>
      <c r="AA2803" s="10"/>
      <c r="AB2803" s="10"/>
      <c r="AC2803" s="10"/>
      <c r="AD2803" s="10"/>
      <c r="AE2803" s="10"/>
      <c r="AF2803" s="10"/>
    </row>
    <row r="2804">
      <c r="A2804" s="7"/>
      <c r="B2804" s="26">
        <v>233.0</v>
      </c>
      <c r="C2804" s="27">
        <v>18.0</v>
      </c>
      <c r="D2804" s="8" t="s">
        <v>3729</v>
      </c>
      <c r="E2804" s="7">
        <v>0.0</v>
      </c>
      <c r="F2804" s="7"/>
      <c r="G2804" s="7" t="s">
        <v>313</v>
      </c>
      <c r="H2804" s="7" t="s">
        <v>312</v>
      </c>
      <c r="I2804" s="7" t="s">
        <v>366</v>
      </c>
      <c r="J2804" s="16" t="s">
        <v>3724</v>
      </c>
      <c r="K2804" s="12"/>
      <c r="L2804" s="12"/>
      <c r="M2804" s="10"/>
      <c r="N2804" s="10"/>
      <c r="O2804" s="10"/>
      <c r="P2804" s="10"/>
      <c r="Q2804" s="10"/>
      <c r="R2804" s="10"/>
      <c r="S2804" s="10"/>
      <c r="T2804" s="10"/>
      <c r="U2804" s="10"/>
      <c r="V2804" s="10"/>
      <c r="W2804" s="10"/>
      <c r="X2804" s="10"/>
      <c r="Y2804" s="10"/>
      <c r="Z2804" s="10"/>
      <c r="AA2804" s="10"/>
      <c r="AB2804" s="10"/>
      <c r="AC2804" s="10"/>
      <c r="AD2804" s="10"/>
      <c r="AE2804" s="10"/>
      <c r="AF2804" s="10"/>
    </row>
    <row r="2805">
      <c r="A2805" s="7"/>
      <c r="B2805" s="26">
        <v>233.0</v>
      </c>
      <c r="C2805" s="27">
        <v>19.0</v>
      </c>
      <c r="D2805" s="8" t="s">
        <v>3730</v>
      </c>
      <c r="E2805" s="7">
        <v>0.0</v>
      </c>
      <c r="F2805" s="7"/>
      <c r="G2805" s="7" t="s">
        <v>313</v>
      </c>
      <c r="H2805" s="7" t="s">
        <v>312</v>
      </c>
      <c r="I2805" s="7" t="s">
        <v>366</v>
      </c>
      <c r="J2805" s="16" t="s">
        <v>3731</v>
      </c>
      <c r="K2805" s="20" t="s">
        <v>2764</v>
      </c>
      <c r="L2805" s="12"/>
      <c r="M2805" s="10"/>
      <c r="N2805" s="10"/>
      <c r="O2805" s="10"/>
      <c r="P2805" s="10"/>
      <c r="Q2805" s="10"/>
      <c r="R2805" s="10"/>
      <c r="S2805" s="10"/>
      <c r="T2805" s="10"/>
      <c r="U2805" s="10"/>
      <c r="V2805" s="10"/>
      <c r="W2805" s="10"/>
      <c r="X2805" s="10"/>
      <c r="Y2805" s="10"/>
      <c r="Z2805" s="10"/>
      <c r="AA2805" s="10"/>
      <c r="AB2805" s="10"/>
      <c r="AC2805" s="10"/>
      <c r="AD2805" s="10"/>
      <c r="AE2805" s="10"/>
      <c r="AF2805" s="10"/>
    </row>
    <row r="2806">
      <c r="A2806" s="7"/>
      <c r="B2806" s="26">
        <v>233.0</v>
      </c>
      <c r="C2806" s="27">
        <v>20.0</v>
      </c>
      <c r="D2806" s="8" t="s">
        <v>3732</v>
      </c>
      <c r="E2806" s="7">
        <v>0.0</v>
      </c>
      <c r="F2806" s="7"/>
      <c r="G2806" s="7" t="s">
        <v>313</v>
      </c>
      <c r="H2806" s="7" t="s">
        <v>312</v>
      </c>
      <c r="I2806" s="7" t="s">
        <v>366</v>
      </c>
      <c r="J2806" s="16" t="s">
        <v>3731</v>
      </c>
      <c r="K2806" s="20" t="s">
        <v>2764</v>
      </c>
      <c r="L2806" s="12"/>
      <c r="M2806" s="10"/>
      <c r="N2806" s="10"/>
      <c r="O2806" s="10"/>
      <c r="P2806" s="10"/>
      <c r="Q2806" s="10"/>
      <c r="R2806" s="10"/>
      <c r="S2806" s="10"/>
      <c r="T2806" s="10"/>
      <c r="U2806" s="10"/>
      <c r="V2806" s="10"/>
      <c r="W2806" s="10"/>
      <c r="X2806" s="10"/>
      <c r="Y2806" s="10"/>
      <c r="Z2806" s="10"/>
      <c r="AA2806" s="10"/>
      <c r="AB2806" s="10"/>
      <c r="AC2806" s="10"/>
      <c r="AD2806" s="10"/>
      <c r="AE2806" s="10"/>
      <c r="AF2806" s="10"/>
    </row>
    <row r="2807">
      <c r="A2807" s="7"/>
      <c r="B2807" s="26">
        <v>233.0</v>
      </c>
      <c r="C2807" s="27">
        <v>21.0</v>
      </c>
      <c r="D2807" s="8" t="s">
        <v>3733</v>
      </c>
      <c r="E2807" s="7">
        <v>0.0</v>
      </c>
      <c r="F2807" s="7"/>
      <c r="G2807" s="7" t="s">
        <v>313</v>
      </c>
      <c r="H2807" s="7" t="s">
        <v>312</v>
      </c>
      <c r="I2807" s="7" t="s">
        <v>366</v>
      </c>
      <c r="J2807" s="16" t="s">
        <v>3731</v>
      </c>
      <c r="K2807" s="20" t="s">
        <v>2764</v>
      </c>
      <c r="L2807" s="12"/>
      <c r="M2807" s="10"/>
      <c r="N2807" s="10"/>
      <c r="O2807" s="10"/>
      <c r="P2807" s="10"/>
      <c r="Q2807" s="10"/>
      <c r="R2807" s="10"/>
      <c r="S2807" s="10"/>
      <c r="T2807" s="10"/>
      <c r="U2807" s="10"/>
      <c r="V2807" s="10"/>
      <c r="W2807" s="10"/>
      <c r="X2807" s="10"/>
      <c r="Y2807" s="10"/>
      <c r="Z2807" s="10"/>
      <c r="AA2807" s="10"/>
      <c r="AB2807" s="10"/>
      <c r="AC2807" s="10"/>
      <c r="AD2807" s="10"/>
      <c r="AE2807" s="10"/>
      <c r="AF2807" s="10"/>
    </row>
    <row r="2808">
      <c r="A2808" s="13" t="s">
        <v>234</v>
      </c>
      <c r="B2808" s="12"/>
      <c r="C2808" s="12"/>
      <c r="D2808" s="12"/>
      <c r="E2808" s="10"/>
      <c r="F2808" s="10"/>
      <c r="G2808" s="10"/>
      <c r="H2808" s="10"/>
      <c r="I2808" s="10"/>
      <c r="J2808" s="11"/>
      <c r="K2808" s="12"/>
      <c r="L2808" s="12"/>
      <c r="M2808" s="10"/>
      <c r="N2808" s="10"/>
      <c r="O2808" s="10"/>
      <c r="P2808" s="10"/>
      <c r="Q2808" s="10"/>
      <c r="R2808" s="10"/>
      <c r="S2808" s="10"/>
      <c r="T2808" s="10"/>
      <c r="U2808" s="10"/>
      <c r="V2808" s="10"/>
      <c r="W2808" s="10"/>
      <c r="X2808" s="10"/>
      <c r="Y2808" s="10"/>
      <c r="Z2808" s="10"/>
      <c r="AA2808" s="10"/>
      <c r="AB2808" s="10"/>
      <c r="AC2808" s="10"/>
      <c r="AD2808" s="10"/>
      <c r="AE2808" s="10"/>
      <c r="AF2808" s="10"/>
    </row>
    <row r="2809">
      <c r="A2809" s="7"/>
      <c r="B2809" s="26">
        <v>234.0</v>
      </c>
      <c r="C2809" s="27">
        <v>1.0</v>
      </c>
      <c r="D2809" s="8" t="s">
        <v>3734</v>
      </c>
      <c r="E2809" s="7">
        <v>0.0</v>
      </c>
      <c r="F2809" s="7"/>
      <c r="G2809" s="7" t="s">
        <v>313</v>
      </c>
      <c r="H2809" s="7" t="s">
        <v>312</v>
      </c>
      <c r="I2809" s="10"/>
      <c r="J2809" s="9" t="s">
        <v>3735</v>
      </c>
      <c r="K2809" s="8" t="s">
        <v>3736</v>
      </c>
      <c r="L2809" s="12"/>
      <c r="M2809" s="10"/>
      <c r="N2809" s="10"/>
      <c r="O2809" s="10"/>
      <c r="P2809" s="10"/>
      <c r="Q2809" s="10"/>
      <c r="R2809" s="10"/>
      <c r="S2809" s="10"/>
      <c r="T2809" s="10"/>
      <c r="U2809" s="10"/>
      <c r="V2809" s="10"/>
      <c r="W2809" s="10"/>
      <c r="X2809" s="10"/>
      <c r="Y2809" s="10"/>
      <c r="Z2809" s="10"/>
      <c r="AA2809" s="10"/>
      <c r="AB2809" s="10"/>
      <c r="AC2809" s="10"/>
      <c r="AD2809" s="10"/>
      <c r="AE2809" s="10"/>
      <c r="AF2809" s="10"/>
    </row>
    <row r="2810">
      <c r="A2810" s="7"/>
      <c r="B2810" s="26">
        <v>234.0</v>
      </c>
      <c r="C2810" s="27">
        <v>2.0</v>
      </c>
      <c r="D2810" s="8" t="s">
        <v>3737</v>
      </c>
      <c r="E2810" s="7">
        <v>0.0</v>
      </c>
      <c r="F2810" s="7"/>
      <c r="G2810" s="7" t="s">
        <v>313</v>
      </c>
      <c r="H2810" s="7" t="s">
        <v>312</v>
      </c>
      <c r="I2810" s="10"/>
      <c r="J2810" s="9" t="s">
        <v>3738</v>
      </c>
      <c r="K2810" s="8" t="s">
        <v>3736</v>
      </c>
      <c r="L2810" s="12"/>
      <c r="M2810" s="10"/>
      <c r="N2810" s="10"/>
      <c r="O2810" s="10"/>
      <c r="P2810" s="10"/>
      <c r="Q2810" s="10"/>
      <c r="R2810" s="10"/>
      <c r="S2810" s="10"/>
      <c r="T2810" s="10"/>
      <c r="U2810" s="10"/>
      <c r="V2810" s="10"/>
      <c r="W2810" s="10"/>
      <c r="X2810" s="10"/>
      <c r="Y2810" s="10"/>
      <c r="Z2810" s="10"/>
      <c r="AA2810" s="10"/>
      <c r="AB2810" s="10"/>
      <c r="AC2810" s="10"/>
      <c r="AD2810" s="10"/>
      <c r="AE2810" s="10"/>
      <c r="AF2810" s="10"/>
    </row>
    <row r="2811">
      <c r="A2811" s="7"/>
      <c r="B2811" s="26">
        <v>234.0</v>
      </c>
      <c r="C2811" s="27">
        <v>3.0</v>
      </c>
      <c r="D2811" s="8" t="s">
        <v>3739</v>
      </c>
      <c r="E2811" s="7">
        <v>0.0</v>
      </c>
      <c r="F2811" s="7"/>
      <c r="G2811" s="7" t="s">
        <v>313</v>
      </c>
      <c r="H2811" s="7" t="s">
        <v>312</v>
      </c>
      <c r="I2811" s="10"/>
      <c r="J2811" s="9" t="s">
        <v>3740</v>
      </c>
      <c r="K2811" s="8" t="s">
        <v>3736</v>
      </c>
      <c r="L2811" s="12"/>
      <c r="M2811" s="10"/>
      <c r="N2811" s="10"/>
      <c r="O2811" s="10"/>
      <c r="P2811" s="10"/>
      <c r="Q2811" s="10"/>
      <c r="R2811" s="10"/>
      <c r="S2811" s="10"/>
      <c r="T2811" s="10"/>
      <c r="U2811" s="10"/>
      <c r="V2811" s="10"/>
      <c r="W2811" s="10"/>
      <c r="X2811" s="10"/>
      <c r="Y2811" s="10"/>
      <c r="Z2811" s="10"/>
      <c r="AA2811" s="10"/>
      <c r="AB2811" s="10"/>
      <c r="AC2811" s="10"/>
      <c r="AD2811" s="10"/>
      <c r="AE2811" s="10"/>
      <c r="AF2811" s="10"/>
    </row>
    <row r="2812">
      <c r="A2812" s="7"/>
      <c r="B2812" s="26">
        <v>234.0</v>
      </c>
      <c r="C2812" s="27">
        <v>4.0</v>
      </c>
      <c r="D2812" s="8" t="s">
        <v>3741</v>
      </c>
      <c r="E2812" s="7">
        <v>0.0</v>
      </c>
      <c r="F2812" s="7"/>
      <c r="G2812" s="7" t="s">
        <v>313</v>
      </c>
      <c r="H2812" s="7" t="s">
        <v>312</v>
      </c>
      <c r="I2812" s="10"/>
      <c r="J2812" s="9" t="s">
        <v>3742</v>
      </c>
      <c r="K2812" s="8" t="s">
        <v>3736</v>
      </c>
      <c r="L2812" s="12"/>
      <c r="M2812" s="10"/>
      <c r="N2812" s="10"/>
      <c r="O2812" s="10"/>
      <c r="P2812" s="10"/>
      <c r="Q2812" s="10"/>
      <c r="R2812" s="10"/>
      <c r="S2812" s="10"/>
      <c r="T2812" s="10"/>
      <c r="U2812" s="10"/>
      <c r="V2812" s="10"/>
      <c r="W2812" s="10"/>
      <c r="X2812" s="10"/>
      <c r="Y2812" s="10"/>
      <c r="Z2812" s="10"/>
      <c r="AA2812" s="10"/>
      <c r="AB2812" s="10"/>
      <c r="AC2812" s="10"/>
      <c r="AD2812" s="10"/>
      <c r="AE2812" s="10"/>
      <c r="AF2812" s="10"/>
    </row>
    <row r="2813">
      <c r="A2813" s="7"/>
      <c r="B2813" s="26">
        <v>234.0</v>
      </c>
      <c r="C2813" s="27">
        <v>5.0</v>
      </c>
      <c r="D2813" s="8" t="s">
        <v>3743</v>
      </c>
      <c r="E2813" s="7">
        <v>0.0</v>
      </c>
      <c r="F2813" s="7"/>
      <c r="G2813" s="7" t="s">
        <v>313</v>
      </c>
      <c r="H2813" s="7" t="s">
        <v>312</v>
      </c>
      <c r="I2813" s="10"/>
      <c r="J2813" s="9" t="s">
        <v>3744</v>
      </c>
      <c r="K2813" s="8" t="s">
        <v>3736</v>
      </c>
      <c r="L2813" s="12"/>
      <c r="M2813" s="10"/>
      <c r="N2813" s="10"/>
      <c r="O2813" s="10"/>
      <c r="P2813" s="10"/>
      <c r="Q2813" s="10"/>
      <c r="R2813" s="10"/>
      <c r="S2813" s="10"/>
      <c r="T2813" s="10"/>
      <c r="U2813" s="10"/>
      <c r="V2813" s="10"/>
      <c r="W2813" s="10"/>
      <c r="X2813" s="10"/>
      <c r="Y2813" s="10"/>
      <c r="Z2813" s="10"/>
      <c r="AA2813" s="10"/>
      <c r="AB2813" s="10"/>
      <c r="AC2813" s="10"/>
      <c r="AD2813" s="10"/>
      <c r="AE2813" s="10"/>
      <c r="AF2813" s="10"/>
    </row>
    <row r="2814">
      <c r="A2814" s="7"/>
      <c r="B2814" s="26">
        <v>234.0</v>
      </c>
      <c r="C2814" s="27">
        <v>6.0</v>
      </c>
      <c r="D2814" s="8" t="s">
        <v>3745</v>
      </c>
      <c r="E2814" s="7">
        <v>0.0</v>
      </c>
      <c r="F2814" s="7"/>
      <c r="G2814" s="7" t="s">
        <v>313</v>
      </c>
      <c r="H2814" s="7" t="s">
        <v>312</v>
      </c>
      <c r="I2814" s="10"/>
      <c r="J2814" s="11"/>
      <c r="K2814" s="8" t="s">
        <v>3736</v>
      </c>
      <c r="L2814" s="12"/>
      <c r="M2814" s="10"/>
      <c r="N2814" s="10"/>
      <c r="O2814" s="10"/>
      <c r="P2814" s="10"/>
      <c r="Q2814" s="10"/>
      <c r="R2814" s="10"/>
      <c r="S2814" s="10"/>
      <c r="T2814" s="10"/>
      <c r="U2814" s="10"/>
      <c r="V2814" s="10"/>
      <c r="W2814" s="10"/>
      <c r="X2814" s="10"/>
      <c r="Y2814" s="10"/>
      <c r="Z2814" s="10"/>
      <c r="AA2814" s="10"/>
      <c r="AB2814" s="10"/>
      <c r="AC2814" s="10"/>
      <c r="AD2814" s="10"/>
      <c r="AE2814" s="10"/>
      <c r="AF2814" s="10"/>
    </row>
    <row r="2815">
      <c r="A2815" s="7"/>
      <c r="B2815" s="26">
        <v>234.0</v>
      </c>
      <c r="C2815" s="27">
        <v>7.0</v>
      </c>
      <c r="D2815" s="8" t="s">
        <v>3746</v>
      </c>
      <c r="E2815" s="7">
        <v>0.0</v>
      </c>
      <c r="F2815" s="7"/>
      <c r="G2815" s="7" t="s">
        <v>313</v>
      </c>
      <c r="H2815" s="7" t="s">
        <v>312</v>
      </c>
      <c r="I2815" s="10"/>
      <c r="J2815" s="11"/>
      <c r="K2815" s="8" t="s">
        <v>3736</v>
      </c>
      <c r="L2815" s="12"/>
      <c r="M2815" s="10"/>
      <c r="N2815" s="10"/>
      <c r="O2815" s="10"/>
      <c r="P2815" s="10"/>
      <c r="Q2815" s="10"/>
      <c r="R2815" s="10"/>
      <c r="S2815" s="10"/>
      <c r="T2815" s="10"/>
      <c r="U2815" s="10"/>
      <c r="V2815" s="10"/>
      <c r="W2815" s="10"/>
      <c r="X2815" s="10"/>
      <c r="Y2815" s="10"/>
      <c r="Z2815" s="10"/>
      <c r="AA2815" s="10"/>
      <c r="AB2815" s="10"/>
      <c r="AC2815" s="10"/>
      <c r="AD2815" s="10"/>
      <c r="AE2815" s="10"/>
      <c r="AF2815" s="10"/>
    </row>
    <row r="2816">
      <c r="A2816" s="7"/>
      <c r="B2816" s="26">
        <v>234.0</v>
      </c>
      <c r="C2816" s="27">
        <v>8.0</v>
      </c>
      <c r="D2816" s="8" t="s">
        <v>3747</v>
      </c>
      <c r="E2816" s="7">
        <v>0.0</v>
      </c>
      <c r="F2816" s="7"/>
      <c r="G2816" s="7" t="s">
        <v>313</v>
      </c>
      <c r="H2816" s="7" t="s">
        <v>312</v>
      </c>
      <c r="I2816" s="10"/>
      <c r="J2816" s="11"/>
      <c r="K2816" s="12"/>
      <c r="L2816" s="12"/>
      <c r="M2816" s="10"/>
      <c r="N2816" s="10"/>
      <c r="O2816" s="10"/>
      <c r="P2816" s="10"/>
      <c r="Q2816" s="10"/>
      <c r="R2816" s="10"/>
      <c r="S2816" s="10"/>
      <c r="T2816" s="10"/>
      <c r="U2816" s="10"/>
      <c r="V2816" s="10"/>
      <c r="W2816" s="10"/>
      <c r="X2816" s="10"/>
      <c r="Y2816" s="10"/>
      <c r="Z2816" s="10"/>
      <c r="AA2816" s="10"/>
      <c r="AB2816" s="10"/>
      <c r="AC2816" s="10"/>
      <c r="AD2816" s="10"/>
      <c r="AE2816" s="10"/>
      <c r="AF2816" s="10"/>
    </row>
    <row r="2817">
      <c r="A2817" s="7"/>
      <c r="B2817" s="26">
        <v>234.0</v>
      </c>
      <c r="C2817" s="27">
        <v>9.0</v>
      </c>
      <c r="D2817" s="8" t="s">
        <v>3748</v>
      </c>
      <c r="E2817" s="7">
        <v>0.0</v>
      </c>
      <c r="F2817" s="7"/>
      <c r="G2817" s="7" t="s">
        <v>313</v>
      </c>
      <c r="H2817" s="7" t="s">
        <v>312</v>
      </c>
      <c r="I2817" s="10"/>
      <c r="J2817" s="11"/>
      <c r="K2817" s="12"/>
      <c r="L2817" s="12"/>
      <c r="M2817" s="10"/>
      <c r="N2817" s="10"/>
      <c r="O2817" s="10"/>
      <c r="P2817" s="10"/>
      <c r="Q2817" s="10"/>
      <c r="R2817" s="10"/>
      <c r="S2817" s="10"/>
      <c r="T2817" s="10"/>
      <c r="U2817" s="10"/>
      <c r="V2817" s="10"/>
      <c r="W2817" s="10"/>
      <c r="X2817" s="10"/>
      <c r="Y2817" s="10"/>
      <c r="Z2817" s="10"/>
      <c r="AA2817" s="10"/>
      <c r="AB2817" s="10"/>
      <c r="AC2817" s="10"/>
      <c r="AD2817" s="10"/>
      <c r="AE2817" s="10"/>
      <c r="AF2817" s="10"/>
    </row>
    <row r="2818">
      <c r="A2818" s="7"/>
      <c r="B2818" s="26">
        <v>234.0</v>
      </c>
      <c r="C2818" s="27">
        <v>10.0</v>
      </c>
      <c r="D2818" s="8" t="s">
        <v>3749</v>
      </c>
      <c r="E2818" s="7">
        <v>0.0</v>
      </c>
      <c r="F2818" s="7"/>
      <c r="G2818" s="7" t="s">
        <v>313</v>
      </c>
      <c r="H2818" s="7" t="s">
        <v>312</v>
      </c>
      <c r="I2818" s="10"/>
      <c r="J2818" s="11"/>
      <c r="K2818" s="12"/>
      <c r="L2818" s="12"/>
      <c r="M2818" s="10"/>
      <c r="N2818" s="10"/>
      <c r="O2818" s="10"/>
      <c r="P2818" s="10"/>
      <c r="Q2818" s="10"/>
      <c r="R2818" s="10"/>
      <c r="S2818" s="10"/>
      <c r="T2818" s="10"/>
      <c r="U2818" s="10"/>
      <c r="V2818" s="10"/>
      <c r="W2818" s="10"/>
      <c r="X2818" s="10"/>
      <c r="Y2818" s="10"/>
      <c r="Z2818" s="10"/>
      <c r="AA2818" s="10"/>
      <c r="AB2818" s="10"/>
      <c r="AC2818" s="10"/>
      <c r="AD2818" s="10"/>
      <c r="AE2818" s="10"/>
      <c r="AF2818" s="10"/>
    </row>
    <row r="2819">
      <c r="A2819" s="7"/>
      <c r="B2819" s="26">
        <v>234.0</v>
      </c>
      <c r="C2819" s="27">
        <v>11.0</v>
      </c>
      <c r="D2819" s="8" t="s">
        <v>3750</v>
      </c>
      <c r="E2819" s="7">
        <v>0.0</v>
      </c>
      <c r="F2819" s="7"/>
      <c r="G2819" s="7" t="s">
        <v>313</v>
      </c>
      <c r="H2819" s="7" t="s">
        <v>312</v>
      </c>
      <c r="I2819" s="10"/>
      <c r="J2819" s="11"/>
      <c r="K2819" s="12"/>
      <c r="L2819" s="12"/>
      <c r="M2819" s="10"/>
      <c r="N2819" s="10"/>
      <c r="O2819" s="10"/>
      <c r="P2819" s="10"/>
      <c r="Q2819" s="10"/>
      <c r="R2819" s="10"/>
      <c r="S2819" s="10"/>
      <c r="T2819" s="10"/>
      <c r="U2819" s="10"/>
      <c r="V2819" s="10"/>
      <c r="W2819" s="10"/>
      <c r="X2819" s="10"/>
      <c r="Y2819" s="10"/>
      <c r="Z2819" s="10"/>
      <c r="AA2819" s="10"/>
      <c r="AB2819" s="10"/>
      <c r="AC2819" s="10"/>
      <c r="AD2819" s="10"/>
      <c r="AE2819" s="10"/>
      <c r="AF2819" s="10"/>
    </row>
    <row r="2820">
      <c r="A2820" s="7"/>
      <c r="B2820" s="26">
        <v>234.0</v>
      </c>
      <c r="C2820" s="27">
        <v>12.0</v>
      </c>
      <c r="D2820" s="8" t="s">
        <v>3751</v>
      </c>
      <c r="E2820" s="7">
        <v>0.0</v>
      </c>
      <c r="F2820" s="7"/>
      <c r="G2820" s="7" t="s">
        <v>313</v>
      </c>
      <c r="H2820" s="7" t="s">
        <v>312</v>
      </c>
      <c r="I2820" s="10"/>
      <c r="J2820" s="11"/>
      <c r="K2820" s="12"/>
      <c r="L2820" s="12"/>
      <c r="M2820" s="10"/>
      <c r="N2820" s="10"/>
      <c r="O2820" s="10"/>
      <c r="P2820" s="10"/>
      <c r="Q2820" s="10"/>
      <c r="R2820" s="10"/>
      <c r="S2820" s="10"/>
      <c r="T2820" s="10"/>
      <c r="U2820" s="10"/>
      <c r="V2820" s="10"/>
      <c r="W2820" s="10"/>
      <c r="X2820" s="10"/>
      <c r="Y2820" s="10"/>
      <c r="Z2820" s="10"/>
      <c r="AA2820" s="10"/>
      <c r="AB2820" s="10"/>
      <c r="AC2820" s="10"/>
      <c r="AD2820" s="10"/>
      <c r="AE2820" s="10"/>
      <c r="AF2820" s="10"/>
    </row>
    <row r="2821">
      <c r="A2821" s="7"/>
      <c r="B2821" s="26">
        <v>234.0</v>
      </c>
      <c r="C2821" s="27">
        <v>13.0</v>
      </c>
      <c r="D2821" s="8" t="s">
        <v>3752</v>
      </c>
      <c r="E2821" s="7">
        <v>0.0</v>
      </c>
      <c r="F2821" s="7"/>
      <c r="G2821" s="7" t="s">
        <v>313</v>
      </c>
      <c r="H2821" s="7" t="s">
        <v>312</v>
      </c>
      <c r="I2821" s="10"/>
      <c r="J2821" s="11"/>
      <c r="K2821" s="12"/>
      <c r="L2821" s="12"/>
      <c r="M2821" s="10"/>
      <c r="N2821" s="10"/>
      <c r="O2821" s="10"/>
      <c r="P2821" s="10"/>
      <c r="Q2821" s="10"/>
      <c r="R2821" s="10"/>
      <c r="S2821" s="10"/>
      <c r="T2821" s="10"/>
      <c r="U2821" s="10"/>
      <c r="V2821" s="10"/>
      <c r="W2821" s="10"/>
      <c r="X2821" s="10"/>
      <c r="Y2821" s="10"/>
      <c r="Z2821" s="10"/>
      <c r="AA2821" s="10"/>
      <c r="AB2821" s="10"/>
      <c r="AC2821" s="10"/>
      <c r="AD2821" s="10"/>
      <c r="AE2821" s="10"/>
      <c r="AF2821" s="10"/>
    </row>
    <row r="2822">
      <c r="A2822" s="7"/>
      <c r="B2822" s="26">
        <v>234.0</v>
      </c>
      <c r="C2822" s="27">
        <v>14.0</v>
      </c>
      <c r="D2822" s="8" t="s">
        <v>3753</v>
      </c>
      <c r="E2822" s="7">
        <v>0.0</v>
      </c>
      <c r="F2822" s="7"/>
      <c r="G2822" s="7" t="s">
        <v>313</v>
      </c>
      <c r="H2822" s="7" t="s">
        <v>312</v>
      </c>
      <c r="I2822" s="10"/>
      <c r="J2822" s="11"/>
      <c r="K2822" s="12"/>
      <c r="L2822" s="12"/>
      <c r="M2822" s="10"/>
      <c r="N2822" s="10"/>
      <c r="O2822" s="10"/>
      <c r="P2822" s="10"/>
      <c r="Q2822" s="10"/>
      <c r="R2822" s="10"/>
      <c r="S2822" s="10"/>
      <c r="T2822" s="10"/>
      <c r="U2822" s="10"/>
      <c r="V2822" s="10"/>
      <c r="W2822" s="10"/>
      <c r="X2822" s="10"/>
      <c r="Y2822" s="10"/>
      <c r="Z2822" s="10"/>
      <c r="AA2822" s="10"/>
      <c r="AB2822" s="10"/>
      <c r="AC2822" s="10"/>
      <c r="AD2822" s="10"/>
      <c r="AE2822" s="10"/>
      <c r="AF2822" s="10"/>
    </row>
    <row r="2823">
      <c r="A2823" s="7"/>
      <c r="B2823" s="26">
        <v>234.0</v>
      </c>
      <c r="C2823" s="27">
        <v>15.0</v>
      </c>
      <c r="D2823" s="8" t="s">
        <v>3754</v>
      </c>
      <c r="E2823" s="7">
        <v>0.0</v>
      </c>
      <c r="F2823" s="7"/>
      <c r="G2823" s="7" t="s">
        <v>313</v>
      </c>
      <c r="H2823" s="7" t="s">
        <v>312</v>
      </c>
      <c r="I2823" s="10"/>
      <c r="J2823" s="11"/>
      <c r="K2823" s="12"/>
      <c r="L2823" s="12"/>
      <c r="M2823" s="10"/>
      <c r="N2823" s="10"/>
      <c r="O2823" s="10"/>
      <c r="P2823" s="10"/>
      <c r="Q2823" s="10"/>
      <c r="R2823" s="10"/>
      <c r="S2823" s="10"/>
      <c r="T2823" s="10"/>
      <c r="U2823" s="10"/>
      <c r="V2823" s="10"/>
      <c r="W2823" s="10"/>
      <c r="X2823" s="10"/>
      <c r="Y2823" s="10"/>
      <c r="Z2823" s="10"/>
      <c r="AA2823" s="10"/>
      <c r="AB2823" s="10"/>
      <c r="AC2823" s="10"/>
      <c r="AD2823" s="10"/>
      <c r="AE2823" s="10"/>
      <c r="AF2823" s="10"/>
    </row>
    <row r="2824">
      <c r="A2824" s="7"/>
      <c r="B2824" s="26">
        <v>234.0</v>
      </c>
      <c r="C2824" s="27">
        <v>16.0</v>
      </c>
      <c r="D2824" s="8" t="s">
        <v>3755</v>
      </c>
      <c r="E2824" s="7">
        <v>0.0</v>
      </c>
      <c r="F2824" s="7"/>
      <c r="G2824" s="7" t="s">
        <v>313</v>
      </c>
      <c r="H2824" s="7" t="s">
        <v>312</v>
      </c>
      <c r="I2824" s="10"/>
      <c r="J2824" s="11"/>
      <c r="K2824" s="12"/>
      <c r="L2824" s="12"/>
      <c r="M2824" s="10"/>
      <c r="N2824" s="10"/>
      <c r="O2824" s="10"/>
      <c r="P2824" s="10"/>
      <c r="Q2824" s="10"/>
      <c r="R2824" s="10"/>
      <c r="S2824" s="10"/>
      <c r="T2824" s="10"/>
      <c r="U2824" s="10"/>
      <c r="V2824" s="10"/>
      <c r="W2824" s="10"/>
      <c r="X2824" s="10"/>
      <c r="Y2824" s="10"/>
      <c r="Z2824" s="10"/>
      <c r="AA2824" s="10"/>
      <c r="AB2824" s="10"/>
      <c r="AC2824" s="10"/>
      <c r="AD2824" s="10"/>
      <c r="AE2824" s="10"/>
      <c r="AF2824" s="10"/>
    </row>
    <row r="2825">
      <c r="A2825" s="7"/>
      <c r="B2825" s="26">
        <v>234.0</v>
      </c>
      <c r="C2825" s="27">
        <v>17.0</v>
      </c>
      <c r="D2825" s="8" t="s">
        <v>3756</v>
      </c>
      <c r="E2825" s="7">
        <v>0.0</v>
      </c>
      <c r="F2825" s="7"/>
      <c r="G2825" s="7" t="s">
        <v>313</v>
      </c>
      <c r="H2825" s="7" t="s">
        <v>312</v>
      </c>
      <c r="I2825" s="10"/>
      <c r="J2825" s="11"/>
      <c r="K2825" s="12"/>
      <c r="L2825" s="12"/>
      <c r="M2825" s="10"/>
      <c r="N2825" s="10"/>
      <c r="O2825" s="10"/>
      <c r="P2825" s="10"/>
      <c r="Q2825" s="10"/>
      <c r="R2825" s="10"/>
      <c r="S2825" s="10"/>
      <c r="T2825" s="10"/>
      <c r="U2825" s="10"/>
      <c r="V2825" s="10"/>
      <c r="W2825" s="10"/>
      <c r="X2825" s="10"/>
      <c r="Y2825" s="10"/>
      <c r="Z2825" s="10"/>
      <c r="AA2825" s="10"/>
      <c r="AB2825" s="10"/>
      <c r="AC2825" s="10"/>
      <c r="AD2825" s="10"/>
      <c r="AE2825" s="10"/>
      <c r="AF2825" s="10"/>
    </row>
    <row r="2826">
      <c r="A2826" s="7"/>
      <c r="B2826" s="26">
        <v>234.0</v>
      </c>
      <c r="C2826" s="27">
        <v>18.0</v>
      </c>
      <c r="D2826" s="8" t="s">
        <v>3757</v>
      </c>
      <c r="E2826" s="7">
        <v>0.0</v>
      </c>
      <c r="F2826" s="7"/>
      <c r="G2826" s="7" t="s">
        <v>313</v>
      </c>
      <c r="H2826" s="7" t="s">
        <v>312</v>
      </c>
      <c r="I2826" s="10"/>
      <c r="J2826" s="11"/>
      <c r="K2826" s="12"/>
      <c r="L2826" s="12"/>
      <c r="M2826" s="10"/>
      <c r="N2826" s="10"/>
      <c r="O2826" s="10"/>
      <c r="P2826" s="10"/>
      <c r="Q2826" s="10"/>
      <c r="R2826" s="10"/>
      <c r="S2826" s="10"/>
      <c r="T2826" s="10"/>
      <c r="U2826" s="10"/>
      <c r="V2826" s="10"/>
      <c r="W2826" s="10"/>
      <c r="X2826" s="10"/>
      <c r="Y2826" s="10"/>
      <c r="Z2826" s="10"/>
      <c r="AA2826" s="10"/>
      <c r="AB2826" s="10"/>
      <c r="AC2826" s="10"/>
      <c r="AD2826" s="10"/>
      <c r="AE2826" s="10"/>
      <c r="AF2826" s="10"/>
    </row>
    <row r="2827">
      <c r="A2827" s="7"/>
      <c r="B2827" s="26">
        <v>234.0</v>
      </c>
      <c r="C2827" s="27">
        <v>19.0</v>
      </c>
      <c r="D2827" s="8" t="s">
        <v>3758</v>
      </c>
      <c r="E2827" s="7">
        <v>0.0</v>
      </c>
      <c r="F2827" s="7"/>
      <c r="G2827" s="7" t="s">
        <v>313</v>
      </c>
      <c r="H2827" s="7" t="s">
        <v>312</v>
      </c>
      <c r="I2827" s="10"/>
      <c r="J2827" s="11"/>
      <c r="K2827" s="12"/>
      <c r="L2827" s="12"/>
      <c r="M2827" s="10"/>
      <c r="N2827" s="10"/>
      <c r="O2827" s="10"/>
      <c r="P2827" s="10"/>
      <c r="Q2827" s="10"/>
      <c r="R2827" s="10"/>
      <c r="S2827" s="10"/>
      <c r="T2827" s="10"/>
      <c r="U2827" s="10"/>
      <c r="V2827" s="10"/>
      <c r="W2827" s="10"/>
      <c r="X2827" s="10"/>
      <c r="Y2827" s="10"/>
      <c r="Z2827" s="10"/>
      <c r="AA2827" s="10"/>
      <c r="AB2827" s="10"/>
      <c r="AC2827" s="10"/>
      <c r="AD2827" s="10"/>
      <c r="AE2827" s="10"/>
      <c r="AF2827" s="10"/>
    </row>
    <row r="2828">
      <c r="A2828" s="7"/>
      <c r="B2828" s="26">
        <v>234.0</v>
      </c>
      <c r="C2828" s="27">
        <v>20.0</v>
      </c>
      <c r="D2828" s="8" t="s">
        <v>3759</v>
      </c>
      <c r="E2828" s="7">
        <v>0.0</v>
      </c>
      <c r="F2828" s="7"/>
      <c r="G2828" s="7" t="s">
        <v>313</v>
      </c>
      <c r="H2828" s="7" t="s">
        <v>312</v>
      </c>
      <c r="I2828" s="10"/>
      <c r="J2828" s="11"/>
      <c r="K2828" s="12"/>
      <c r="L2828" s="12"/>
      <c r="M2828" s="10"/>
      <c r="N2828" s="10"/>
      <c r="O2828" s="10"/>
      <c r="P2828" s="10"/>
      <c r="Q2828" s="10"/>
      <c r="R2828" s="10"/>
      <c r="S2828" s="10"/>
      <c r="T2828" s="10"/>
      <c r="U2828" s="10"/>
      <c r="V2828" s="10"/>
      <c r="W2828" s="10"/>
      <c r="X2828" s="10"/>
      <c r="Y2828" s="10"/>
      <c r="Z2828" s="10"/>
      <c r="AA2828" s="10"/>
      <c r="AB2828" s="10"/>
      <c r="AC2828" s="10"/>
      <c r="AD2828" s="10"/>
      <c r="AE2828" s="10"/>
      <c r="AF2828" s="10"/>
    </row>
    <row r="2829">
      <c r="A2829" s="7"/>
      <c r="B2829" s="26">
        <v>234.0</v>
      </c>
      <c r="C2829" s="27">
        <v>21.0</v>
      </c>
      <c r="D2829" s="8" t="s">
        <v>3760</v>
      </c>
      <c r="E2829" s="7">
        <v>0.0</v>
      </c>
      <c r="F2829" s="7"/>
      <c r="G2829" s="7" t="s">
        <v>313</v>
      </c>
      <c r="H2829" s="7" t="s">
        <v>312</v>
      </c>
      <c r="I2829" s="10"/>
      <c r="J2829" s="11"/>
      <c r="K2829" s="12"/>
      <c r="L2829" s="12"/>
      <c r="M2829" s="10"/>
      <c r="N2829" s="10"/>
      <c r="O2829" s="10"/>
      <c r="P2829" s="10"/>
      <c r="Q2829" s="10"/>
      <c r="R2829" s="10"/>
      <c r="S2829" s="10"/>
      <c r="T2829" s="10"/>
      <c r="U2829" s="10"/>
      <c r="V2829" s="10"/>
      <c r="W2829" s="10"/>
      <c r="X2829" s="10"/>
      <c r="Y2829" s="10"/>
      <c r="Z2829" s="10"/>
      <c r="AA2829" s="10"/>
      <c r="AB2829" s="10"/>
      <c r="AC2829" s="10"/>
      <c r="AD2829" s="10"/>
      <c r="AE2829" s="10"/>
      <c r="AF2829" s="10"/>
    </row>
    <row r="2830">
      <c r="A2830" s="7"/>
      <c r="B2830" s="26">
        <v>234.0</v>
      </c>
      <c r="C2830" s="27">
        <v>22.0</v>
      </c>
      <c r="D2830" s="8" t="s">
        <v>3761</v>
      </c>
      <c r="E2830" s="7">
        <v>0.0</v>
      </c>
      <c r="F2830" s="7"/>
      <c r="G2830" s="7" t="s">
        <v>313</v>
      </c>
      <c r="H2830" s="7" t="s">
        <v>312</v>
      </c>
      <c r="I2830" s="10"/>
      <c r="J2830" s="11"/>
      <c r="K2830" s="12"/>
      <c r="L2830" s="12"/>
      <c r="M2830" s="10"/>
      <c r="N2830" s="10"/>
      <c r="O2830" s="10"/>
      <c r="P2830" s="10"/>
      <c r="Q2830" s="10"/>
      <c r="R2830" s="10"/>
      <c r="S2830" s="10"/>
      <c r="T2830" s="10"/>
      <c r="U2830" s="10"/>
      <c r="V2830" s="10"/>
      <c r="W2830" s="10"/>
      <c r="X2830" s="10"/>
      <c r="Y2830" s="10"/>
      <c r="Z2830" s="10"/>
      <c r="AA2830" s="10"/>
      <c r="AB2830" s="10"/>
      <c r="AC2830" s="10"/>
      <c r="AD2830" s="10"/>
      <c r="AE2830" s="10"/>
      <c r="AF2830" s="10"/>
    </row>
    <row r="2831">
      <c r="A2831" s="7"/>
      <c r="B2831" s="26">
        <v>234.0</v>
      </c>
      <c r="C2831" s="27">
        <v>23.0</v>
      </c>
      <c r="D2831" s="8" t="s">
        <v>3762</v>
      </c>
      <c r="E2831" s="7">
        <v>0.0</v>
      </c>
      <c r="F2831" s="7"/>
      <c r="G2831" s="7" t="s">
        <v>313</v>
      </c>
      <c r="H2831" s="7" t="s">
        <v>312</v>
      </c>
      <c r="I2831" s="10"/>
      <c r="J2831" s="11"/>
      <c r="K2831" s="12"/>
      <c r="L2831" s="12"/>
      <c r="M2831" s="10"/>
      <c r="N2831" s="10"/>
      <c r="O2831" s="10"/>
      <c r="P2831" s="10"/>
      <c r="Q2831" s="10"/>
      <c r="R2831" s="10"/>
      <c r="S2831" s="10"/>
      <c r="T2831" s="10"/>
      <c r="U2831" s="10"/>
      <c r="V2831" s="10"/>
      <c r="W2831" s="10"/>
      <c r="X2831" s="10"/>
      <c r="Y2831" s="10"/>
      <c r="Z2831" s="10"/>
      <c r="AA2831" s="10"/>
      <c r="AB2831" s="10"/>
      <c r="AC2831" s="10"/>
      <c r="AD2831" s="10"/>
      <c r="AE2831" s="10"/>
      <c r="AF2831" s="10"/>
    </row>
    <row r="2832">
      <c r="A2832" s="7"/>
      <c r="B2832" s="26">
        <v>234.0</v>
      </c>
      <c r="C2832" s="27">
        <v>24.0</v>
      </c>
      <c r="D2832" s="8" t="s">
        <v>3763</v>
      </c>
      <c r="E2832" s="7">
        <v>0.0</v>
      </c>
      <c r="F2832" s="7"/>
      <c r="G2832" s="7" t="s">
        <v>313</v>
      </c>
      <c r="H2832" s="7" t="s">
        <v>312</v>
      </c>
      <c r="I2832" s="10"/>
      <c r="J2832" s="11"/>
      <c r="K2832" s="12"/>
      <c r="L2832" s="12"/>
      <c r="M2832" s="10"/>
      <c r="N2832" s="10"/>
      <c r="O2832" s="10"/>
      <c r="P2832" s="10"/>
      <c r="Q2832" s="10"/>
      <c r="R2832" s="10"/>
      <c r="S2832" s="10"/>
      <c r="T2832" s="10"/>
      <c r="U2832" s="10"/>
      <c r="V2832" s="10"/>
      <c r="W2832" s="10"/>
      <c r="X2832" s="10"/>
      <c r="Y2832" s="10"/>
      <c r="Z2832" s="10"/>
      <c r="AA2832" s="10"/>
      <c r="AB2832" s="10"/>
      <c r="AC2832" s="10"/>
      <c r="AD2832" s="10"/>
      <c r="AE2832" s="10"/>
      <c r="AF2832" s="10"/>
    </row>
    <row r="2833">
      <c r="A2833" s="7"/>
      <c r="B2833" s="26">
        <v>234.0</v>
      </c>
      <c r="C2833" s="27">
        <v>25.0</v>
      </c>
      <c r="D2833" s="8" t="s">
        <v>3764</v>
      </c>
      <c r="E2833" s="7">
        <v>0.0</v>
      </c>
      <c r="F2833" s="7"/>
      <c r="G2833" s="7" t="s">
        <v>313</v>
      </c>
      <c r="H2833" s="7" t="s">
        <v>312</v>
      </c>
      <c r="I2833" s="10"/>
      <c r="J2833" s="11"/>
      <c r="K2833" s="12"/>
      <c r="L2833" s="12"/>
      <c r="M2833" s="10"/>
      <c r="N2833" s="10"/>
      <c r="O2833" s="10"/>
      <c r="P2833" s="10"/>
      <c r="Q2833" s="10"/>
      <c r="R2833" s="10"/>
      <c r="S2833" s="10"/>
      <c r="T2833" s="10"/>
      <c r="U2833" s="10"/>
      <c r="V2833" s="10"/>
      <c r="W2833" s="10"/>
      <c r="X2833" s="10"/>
      <c r="Y2833" s="10"/>
      <c r="Z2833" s="10"/>
      <c r="AA2833" s="10"/>
      <c r="AB2833" s="10"/>
      <c r="AC2833" s="10"/>
      <c r="AD2833" s="10"/>
      <c r="AE2833" s="10"/>
      <c r="AF2833" s="10"/>
    </row>
    <row r="2834">
      <c r="A2834" s="7"/>
      <c r="B2834" s="26">
        <v>234.0</v>
      </c>
      <c r="C2834" s="27">
        <v>26.0</v>
      </c>
      <c r="D2834" s="8" t="s">
        <v>3765</v>
      </c>
      <c r="E2834" s="7">
        <v>0.0</v>
      </c>
      <c r="F2834" s="7"/>
      <c r="G2834" s="7" t="s">
        <v>313</v>
      </c>
      <c r="H2834" s="7" t="s">
        <v>312</v>
      </c>
      <c r="I2834" s="10"/>
      <c r="J2834" s="11"/>
      <c r="K2834" s="12"/>
      <c r="L2834" s="12"/>
      <c r="M2834" s="10"/>
      <c r="N2834" s="10"/>
      <c r="O2834" s="10"/>
      <c r="P2834" s="10"/>
      <c r="Q2834" s="10"/>
      <c r="R2834" s="10"/>
      <c r="S2834" s="10"/>
      <c r="T2834" s="10"/>
      <c r="U2834" s="10"/>
      <c r="V2834" s="10"/>
      <c r="W2834" s="10"/>
      <c r="X2834" s="10"/>
      <c r="Y2834" s="10"/>
      <c r="Z2834" s="10"/>
      <c r="AA2834" s="10"/>
      <c r="AB2834" s="10"/>
      <c r="AC2834" s="10"/>
      <c r="AD2834" s="10"/>
      <c r="AE2834" s="10"/>
      <c r="AF2834" s="10"/>
    </row>
    <row r="2835">
      <c r="A2835" s="7"/>
      <c r="B2835" s="26">
        <v>234.0</v>
      </c>
      <c r="C2835" s="27">
        <v>27.0</v>
      </c>
      <c r="D2835" s="8" t="s">
        <v>3766</v>
      </c>
      <c r="E2835" s="7">
        <v>0.0</v>
      </c>
      <c r="F2835" s="7"/>
      <c r="G2835" s="7" t="s">
        <v>313</v>
      </c>
      <c r="H2835" s="7" t="s">
        <v>312</v>
      </c>
      <c r="I2835" s="10"/>
      <c r="J2835" s="11"/>
      <c r="K2835" s="12"/>
      <c r="L2835" s="12"/>
      <c r="M2835" s="10"/>
      <c r="N2835" s="10"/>
      <c r="O2835" s="10"/>
      <c r="P2835" s="10"/>
      <c r="Q2835" s="10"/>
      <c r="R2835" s="10"/>
      <c r="S2835" s="10"/>
      <c r="T2835" s="10"/>
      <c r="U2835" s="10"/>
      <c r="V2835" s="10"/>
      <c r="W2835" s="10"/>
      <c r="X2835" s="10"/>
      <c r="Y2835" s="10"/>
      <c r="Z2835" s="10"/>
      <c r="AA2835" s="10"/>
      <c r="AB2835" s="10"/>
      <c r="AC2835" s="10"/>
      <c r="AD2835" s="10"/>
      <c r="AE2835" s="10"/>
      <c r="AF2835" s="10"/>
    </row>
    <row r="2836">
      <c r="A2836" s="7"/>
      <c r="B2836" s="26">
        <v>234.0</v>
      </c>
      <c r="C2836" s="27">
        <v>28.0</v>
      </c>
      <c r="D2836" s="8" t="s">
        <v>3767</v>
      </c>
      <c r="E2836" s="7">
        <v>0.0</v>
      </c>
      <c r="F2836" s="7"/>
      <c r="G2836" s="7" t="s">
        <v>313</v>
      </c>
      <c r="H2836" s="7" t="s">
        <v>312</v>
      </c>
      <c r="I2836" s="10"/>
      <c r="J2836" s="11"/>
      <c r="K2836" s="12"/>
      <c r="L2836" s="12"/>
      <c r="M2836" s="10"/>
      <c r="N2836" s="10"/>
      <c r="O2836" s="10"/>
      <c r="P2836" s="10"/>
      <c r="Q2836" s="10"/>
      <c r="R2836" s="10"/>
      <c r="S2836" s="10"/>
      <c r="T2836" s="10"/>
      <c r="U2836" s="10"/>
      <c r="V2836" s="10"/>
      <c r="W2836" s="10"/>
      <c r="X2836" s="10"/>
      <c r="Y2836" s="10"/>
      <c r="Z2836" s="10"/>
      <c r="AA2836" s="10"/>
      <c r="AB2836" s="10"/>
      <c r="AC2836" s="10"/>
      <c r="AD2836" s="10"/>
      <c r="AE2836" s="10"/>
      <c r="AF2836" s="10"/>
    </row>
    <row r="2837">
      <c r="A2837" s="13" t="s">
        <v>235</v>
      </c>
      <c r="B2837" s="12"/>
      <c r="C2837" s="12"/>
      <c r="D2837" s="12"/>
      <c r="E2837" s="10"/>
      <c r="F2837" s="10"/>
      <c r="G2837" s="10"/>
      <c r="H2837" s="10"/>
      <c r="I2837" s="10"/>
      <c r="J2837" s="11"/>
      <c r="K2837" s="12"/>
      <c r="L2837" s="12"/>
      <c r="M2837" s="10"/>
      <c r="N2837" s="10"/>
      <c r="O2837" s="10"/>
      <c r="P2837" s="10"/>
      <c r="Q2837" s="10"/>
      <c r="R2837" s="10"/>
      <c r="S2837" s="10"/>
      <c r="T2837" s="10"/>
      <c r="U2837" s="10"/>
      <c r="V2837" s="10"/>
      <c r="W2837" s="10"/>
      <c r="X2837" s="10"/>
      <c r="Y2837" s="10"/>
      <c r="Z2837" s="10"/>
      <c r="AA2837" s="10"/>
      <c r="AB2837" s="10"/>
      <c r="AC2837" s="10"/>
      <c r="AD2837" s="10"/>
      <c r="AE2837" s="10"/>
      <c r="AF2837" s="10"/>
    </row>
    <row r="2838">
      <c r="A2838" s="7"/>
      <c r="B2838" s="26">
        <v>235.0</v>
      </c>
      <c r="C2838" s="27">
        <v>1.0</v>
      </c>
      <c r="D2838" s="8" t="s">
        <v>3768</v>
      </c>
      <c r="E2838" s="7">
        <v>3.0</v>
      </c>
      <c r="F2838" s="7" t="s">
        <v>320</v>
      </c>
      <c r="G2838" s="7" t="s">
        <v>313</v>
      </c>
      <c r="H2838" s="7" t="s">
        <v>312</v>
      </c>
      <c r="I2838" s="7" t="s">
        <v>366</v>
      </c>
      <c r="J2838" s="9" t="s">
        <v>3769</v>
      </c>
      <c r="K2838" s="8" t="s">
        <v>3770</v>
      </c>
      <c r="L2838" s="12"/>
      <c r="M2838" s="10"/>
      <c r="N2838" s="10"/>
      <c r="O2838" s="10"/>
      <c r="P2838" s="10"/>
      <c r="Q2838" s="10"/>
      <c r="R2838" s="10"/>
      <c r="S2838" s="10"/>
      <c r="T2838" s="10"/>
      <c r="U2838" s="10"/>
      <c r="V2838" s="10"/>
      <c r="W2838" s="10"/>
      <c r="X2838" s="10"/>
      <c r="Y2838" s="10"/>
      <c r="Z2838" s="10"/>
      <c r="AA2838" s="10"/>
      <c r="AB2838" s="10"/>
      <c r="AC2838" s="10"/>
      <c r="AD2838" s="10"/>
      <c r="AE2838" s="10"/>
      <c r="AF2838" s="10"/>
    </row>
    <row r="2839">
      <c r="A2839" s="7"/>
      <c r="B2839" s="26">
        <v>235.0</v>
      </c>
      <c r="C2839" s="27">
        <v>2.0</v>
      </c>
      <c r="D2839" s="8" t="s">
        <v>3771</v>
      </c>
      <c r="E2839" s="7">
        <v>3.0</v>
      </c>
      <c r="F2839" s="7" t="s">
        <v>320</v>
      </c>
      <c r="G2839" s="7" t="s">
        <v>313</v>
      </c>
      <c r="H2839" s="7" t="s">
        <v>312</v>
      </c>
      <c r="I2839" s="7" t="s">
        <v>366</v>
      </c>
      <c r="J2839" s="16" t="s">
        <v>3772</v>
      </c>
      <c r="K2839" s="12"/>
      <c r="L2839" s="12"/>
      <c r="M2839" s="10"/>
      <c r="N2839" s="10"/>
      <c r="O2839" s="10"/>
      <c r="P2839" s="10"/>
      <c r="Q2839" s="10"/>
      <c r="R2839" s="10"/>
      <c r="S2839" s="10"/>
      <c r="T2839" s="10"/>
      <c r="U2839" s="10"/>
      <c r="V2839" s="10"/>
      <c r="W2839" s="10"/>
      <c r="X2839" s="10"/>
      <c r="Y2839" s="10"/>
      <c r="Z2839" s="10"/>
      <c r="AA2839" s="10"/>
      <c r="AB2839" s="10"/>
      <c r="AC2839" s="10"/>
      <c r="AD2839" s="10"/>
      <c r="AE2839" s="10"/>
      <c r="AF2839" s="10"/>
    </row>
    <row r="2840">
      <c r="A2840" s="7"/>
      <c r="B2840" s="26">
        <v>235.0</v>
      </c>
      <c r="C2840" s="27">
        <v>3.0</v>
      </c>
      <c r="D2840" s="8" t="s">
        <v>3773</v>
      </c>
      <c r="E2840" s="7">
        <v>3.0</v>
      </c>
      <c r="F2840" s="7" t="s">
        <v>320</v>
      </c>
      <c r="G2840" s="7" t="s">
        <v>313</v>
      </c>
      <c r="H2840" s="7" t="s">
        <v>312</v>
      </c>
      <c r="I2840" s="7" t="s">
        <v>366</v>
      </c>
      <c r="J2840" s="16" t="s">
        <v>3772</v>
      </c>
      <c r="K2840" s="12"/>
      <c r="L2840" s="12"/>
      <c r="M2840" s="10"/>
      <c r="N2840" s="10"/>
      <c r="O2840" s="10"/>
      <c r="P2840" s="10"/>
      <c r="Q2840" s="10"/>
      <c r="R2840" s="10"/>
      <c r="S2840" s="10"/>
      <c r="T2840" s="10"/>
      <c r="U2840" s="10"/>
      <c r="V2840" s="10"/>
      <c r="W2840" s="10"/>
      <c r="X2840" s="10"/>
      <c r="Y2840" s="10"/>
      <c r="Z2840" s="10"/>
      <c r="AA2840" s="10"/>
      <c r="AB2840" s="10"/>
      <c r="AC2840" s="10"/>
      <c r="AD2840" s="10"/>
      <c r="AE2840" s="10"/>
      <c r="AF2840" s="10"/>
    </row>
    <row r="2841">
      <c r="A2841" s="7"/>
      <c r="B2841" s="26">
        <v>235.0</v>
      </c>
      <c r="C2841" s="27">
        <v>4.0</v>
      </c>
      <c r="D2841" s="8" t="s">
        <v>3774</v>
      </c>
      <c r="E2841" s="7">
        <v>3.0</v>
      </c>
      <c r="F2841" s="7" t="s">
        <v>320</v>
      </c>
      <c r="G2841" s="7" t="s">
        <v>313</v>
      </c>
      <c r="H2841" s="7" t="s">
        <v>312</v>
      </c>
      <c r="I2841" s="7" t="s">
        <v>366</v>
      </c>
      <c r="J2841" s="16" t="s">
        <v>3772</v>
      </c>
      <c r="K2841" s="12"/>
      <c r="L2841" s="12"/>
      <c r="M2841" s="10"/>
      <c r="N2841" s="10"/>
      <c r="O2841" s="10"/>
      <c r="P2841" s="10"/>
      <c r="Q2841" s="10"/>
      <c r="R2841" s="10"/>
      <c r="S2841" s="10"/>
      <c r="T2841" s="10"/>
      <c r="U2841" s="10"/>
      <c r="V2841" s="10"/>
      <c r="W2841" s="10"/>
      <c r="X2841" s="10"/>
      <c r="Y2841" s="10"/>
      <c r="Z2841" s="10"/>
      <c r="AA2841" s="10"/>
      <c r="AB2841" s="10"/>
      <c r="AC2841" s="10"/>
      <c r="AD2841" s="10"/>
      <c r="AE2841" s="10"/>
      <c r="AF2841" s="10"/>
    </row>
    <row r="2842">
      <c r="A2842" s="7"/>
      <c r="B2842" s="26">
        <v>235.0</v>
      </c>
      <c r="C2842" s="27">
        <v>5.0</v>
      </c>
      <c r="D2842" s="8" t="s">
        <v>3775</v>
      </c>
      <c r="E2842" s="7">
        <v>0.0</v>
      </c>
      <c r="F2842" s="7"/>
      <c r="G2842" s="7" t="s">
        <v>313</v>
      </c>
      <c r="H2842" s="7" t="s">
        <v>312</v>
      </c>
      <c r="I2842" s="10"/>
      <c r="J2842" s="11"/>
      <c r="K2842" s="12"/>
      <c r="L2842" s="12"/>
      <c r="M2842" s="10"/>
      <c r="N2842" s="10"/>
      <c r="O2842" s="10"/>
      <c r="P2842" s="10"/>
      <c r="Q2842" s="10"/>
      <c r="R2842" s="10"/>
      <c r="S2842" s="10"/>
      <c r="T2842" s="10"/>
      <c r="U2842" s="10"/>
      <c r="V2842" s="10"/>
      <c r="W2842" s="10"/>
      <c r="X2842" s="10"/>
      <c r="Y2842" s="10"/>
      <c r="Z2842" s="10"/>
      <c r="AA2842" s="10"/>
      <c r="AB2842" s="10"/>
      <c r="AC2842" s="10"/>
      <c r="AD2842" s="10"/>
      <c r="AE2842" s="10"/>
      <c r="AF2842" s="10"/>
    </row>
    <row r="2843">
      <c r="A2843" s="7"/>
      <c r="B2843" s="26">
        <v>235.0</v>
      </c>
      <c r="C2843" s="27">
        <v>6.0</v>
      </c>
      <c r="D2843" s="8" t="s">
        <v>3776</v>
      </c>
      <c r="E2843" s="7">
        <v>0.0</v>
      </c>
      <c r="F2843" s="7"/>
      <c r="G2843" s="7" t="s">
        <v>313</v>
      </c>
      <c r="H2843" s="7" t="s">
        <v>312</v>
      </c>
      <c r="I2843" s="10"/>
      <c r="J2843" s="11"/>
      <c r="K2843" s="20" t="s">
        <v>3777</v>
      </c>
      <c r="L2843" s="12"/>
      <c r="M2843" s="10"/>
      <c r="N2843" s="10"/>
      <c r="O2843" s="10"/>
      <c r="P2843" s="10"/>
      <c r="Q2843" s="10"/>
      <c r="R2843" s="10"/>
      <c r="S2843" s="10"/>
      <c r="T2843" s="10"/>
      <c r="U2843" s="10"/>
      <c r="V2843" s="10"/>
      <c r="W2843" s="10"/>
      <c r="X2843" s="10"/>
      <c r="Y2843" s="10"/>
      <c r="Z2843" s="10"/>
      <c r="AA2843" s="10"/>
      <c r="AB2843" s="10"/>
      <c r="AC2843" s="10"/>
      <c r="AD2843" s="10"/>
      <c r="AE2843" s="10"/>
      <c r="AF2843" s="10"/>
    </row>
    <row r="2844">
      <c r="A2844" s="7"/>
      <c r="B2844" s="26">
        <v>235.0</v>
      </c>
      <c r="C2844" s="27">
        <v>7.0</v>
      </c>
      <c r="D2844" s="8" t="s">
        <v>3778</v>
      </c>
      <c r="E2844" s="7">
        <v>0.0</v>
      </c>
      <c r="F2844" s="7"/>
      <c r="G2844" s="7" t="s">
        <v>313</v>
      </c>
      <c r="H2844" s="7" t="s">
        <v>312</v>
      </c>
      <c r="I2844" s="10"/>
      <c r="J2844" s="11"/>
      <c r="K2844" s="12"/>
      <c r="L2844" s="12"/>
      <c r="M2844" s="10"/>
      <c r="N2844" s="10"/>
      <c r="O2844" s="10"/>
      <c r="P2844" s="10"/>
      <c r="Q2844" s="10"/>
      <c r="R2844" s="10"/>
      <c r="S2844" s="10"/>
      <c r="T2844" s="10"/>
      <c r="U2844" s="10"/>
      <c r="V2844" s="10"/>
      <c r="W2844" s="10"/>
      <c r="X2844" s="10"/>
      <c r="Y2844" s="10"/>
      <c r="Z2844" s="10"/>
      <c r="AA2844" s="10"/>
      <c r="AB2844" s="10"/>
      <c r="AC2844" s="10"/>
      <c r="AD2844" s="10"/>
      <c r="AE2844" s="10"/>
      <c r="AF2844" s="10"/>
    </row>
    <row r="2845">
      <c r="A2845" s="7"/>
      <c r="B2845" s="26">
        <v>235.0</v>
      </c>
      <c r="C2845" s="27">
        <v>8.0</v>
      </c>
      <c r="D2845" s="8" t="s">
        <v>3779</v>
      </c>
      <c r="E2845" s="7">
        <v>0.0</v>
      </c>
      <c r="F2845" s="7"/>
      <c r="G2845" s="7" t="s">
        <v>313</v>
      </c>
      <c r="H2845" s="7" t="s">
        <v>312</v>
      </c>
      <c r="I2845" s="10"/>
      <c r="J2845" s="11"/>
      <c r="K2845" s="12"/>
      <c r="L2845" s="12"/>
      <c r="M2845" s="10"/>
      <c r="N2845" s="10"/>
      <c r="O2845" s="10"/>
      <c r="P2845" s="10"/>
      <c r="Q2845" s="10"/>
      <c r="R2845" s="10"/>
      <c r="S2845" s="10"/>
      <c r="T2845" s="10"/>
      <c r="U2845" s="10"/>
      <c r="V2845" s="10"/>
      <c r="W2845" s="10"/>
      <c r="X2845" s="10"/>
      <c r="Y2845" s="10"/>
      <c r="Z2845" s="10"/>
      <c r="AA2845" s="10"/>
      <c r="AB2845" s="10"/>
      <c r="AC2845" s="10"/>
      <c r="AD2845" s="10"/>
      <c r="AE2845" s="10"/>
      <c r="AF2845" s="10"/>
    </row>
    <row r="2846">
      <c r="A2846" s="7"/>
      <c r="B2846" s="26">
        <v>235.0</v>
      </c>
      <c r="C2846" s="27">
        <v>9.0</v>
      </c>
      <c r="D2846" s="8" t="s">
        <v>3780</v>
      </c>
      <c r="E2846" s="7">
        <v>0.0</v>
      </c>
      <c r="F2846" s="7"/>
      <c r="G2846" s="7" t="s">
        <v>313</v>
      </c>
      <c r="H2846" s="7" t="s">
        <v>312</v>
      </c>
      <c r="I2846" s="10"/>
      <c r="J2846" s="11"/>
      <c r="K2846" s="12"/>
      <c r="L2846" s="12"/>
      <c r="M2846" s="10"/>
      <c r="N2846" s="10"/>
      <c r="O2846" s="10"/>
      <c r="P2846" s="10"/>
      <c r="Q2846" s="10"/>
      <c r="R2846" s="10"/>
      <c r="S2846" s="10"/>
      <c r="T2846" s="10"/>
      <c r="U2846" s="10"/>
      <c r="V2846" s="10"/>
      <c r="W2846" s="10"/>
      <c r="X2846" s="10"/>
      <c r="Y2846" s="10"/>
      <c r="Z2846" s="10"/>
      <c r="AA2846" s="10"/>
      <c r="AB2846" s="10"/>
      <c r="AC2846" s="10"/>
      <c r="AD2846" s="10"/>
      <c r="AE2846" s="10"/>
      <c r="AF2846" s="10"/>
    </row>
    <row r="2847">
      <c r="A2847" s="7"/>
      <c r="B2847" s="26">
        <v>235.0</v>
      </c>
      <c r="C2847" s="27">
        <v>10.0</v>
      </c>
      <c r="D2847" s="8" t="s">
        <v>3781</v>
      </c>
      <c r="E2847" s="7">
        <v>0.0</v>
      </c>
      <c r="F2847" s="7"/>
      <c r="G2847" s="7" t="s">
        <v>313</v>
      </c>
      <c r="H2847" s="7" t="s">
        <v>312</v>
      </c>
      <c r="I2847" s="10"/>
      <c r="J2847" s="11"/>
      <c r="K2847" s="12"/>
      <c r="L2847" s="12"/>
      <c r="M2847" s="10"/>
      <c r="N2847" s="10"/>
      <c r="O2847" s="10"/>
      <c r="P2847" s="10"/>
      <c r="Q2847" s="10"/>
      <c r="R2847" s="10"/>
      <c r="S2847" s="10"/>
      <c r="T2847" s="10"/>
      <c r="U2847" s="10"/>
      <c r="V2847" s="10"/>
      <c r="W2847" s="10"/>
      <c r="X2847" s="10"/>
      <c r="Y2847" s="10"/>
      <c r="Z2847" s="10"/>
      <c r="AA2847" s="10"/>
      <c r="AB2847" s="10"/>
      <c r="AC2847" s="10"/>
      <c r="AD2847" s="10"/>
      <c r="AE2847" s="10"/>
      <c r="AF2847" s="10"/>
    </row>
    <row r="2848">
      <c r="A2848" s="7"/>
      <c r="B2848" s="26">
        <v>235.0</v>
      </c>
      <c r="C2848" s="27">
        <v>11.0</v>
      </c>
      <c r="D2848" s="8" t="s">
        <v>3782</v>
      </c>
      <c r="E2848" s="7">
        <v>0.0</v>
      </c>
      <c r="F2848" s="7"/>
      <c r="G2848" s="7" t="s">
        <v>313</v>
      </c>
      <c r="H2848" s="7" t="s">
        <v>312</v>
      </c>
      <c r="I2848" s="7" t="s">
        <v>366</v>
      </c>
      <c r="J2848" s="16" t="s">
        <v>3783</v>
      </c>
      <c r="K2848" s="20" t="s">
        <v>2764</v>
      </c>
      <c r="L2848" s="12"/>
      <c r="M2848" s="10"/>
      <c r="N2848" s="10"/>
      <c r="O2848" s="10"/>
      <c r="P2848" s="10"/>
      <c r="Q2848" s="10"/>
      <c r="R2848" s="10"/>
      <c r="S2848" s="10"/>
      <c r="T2848" s="10"/>
      <c r="U2848" s="10"/>
      <c r="V2848" s="10"/>
      <c r="W2848" s="10"/>
      <c r="X2848" s="10"/>
      <c r="Y2848" s="10"/>
      <c r="Z2848" s="10"/>
      <c r="AA2848" s="10"/>
      <c r="AB2848" s="10"/>
      <c r="AC2848" s="10"/>
      <c r="AD2848" s="10"/>
      <c r="AE2848" s="10"/>
      <c r="AF2848" s="10"/>
    </row>
    <row r="2849">
      <c r="A2849" s="7"/>
      <c r="B2849" s="26">
        <v>235.0</v>
      </c>
      <c r="C2849" s="27">
        <v>12.0</v>
      </c>
      <c r="D2849" s="8" t="s">
        <v>3784</v>
      </c>
      <c r="E2849" s="7">
        <v>0.0</v>
      </c>
      <c r="F2849" s="7"/>
      <c r="G2849" s="7" t="s">
        <v>313</v>
      </c>
      <c r="H2849" s="7" t="s">
        <v>312</v>
      </c>
      <c r="I2849" s="7" t="s">
        <v>366</v>
      </c>
      <c r="J2849" s="16" t="s">
        <v>3783</v>
      </c>
      <c r="K2849" s="20" t="s">
        <v>2764</v>
      </c>
      <c r="L2849" s="12"/>
      <c r="M2849" s="10"/>
      <c r="N2849" s="10"/>
      <c r="O2849" s="10"/>
      <c r="P2849" s="10"/>
      <c r="Q2849" s="10"/>
      <c r="R2849" s="10"/>
      <c r="S2849" s="10"/>
      <c r="T2849" s="10"/>
      <c r="U2849" s="10"/>
      <c r="V2849" s="10"/>
      <c r="W2849" s="10"/>
      <c r="X2849" s="10"/>
      <c r="Y2849" s="10"/>
      <c r="Z2849" s="10"/>
      <c r="AA2849" s="10"/>
      <c r="AB2849" s="10"/>
      <c r="AC2849" s="10"/>
      <c r="AD2849" s="10"/>
      <c r="AE2849" s="10"/>
      <c r="AF2849" s="10"/>
    </row>
    <row r="2850">
      <c r="A2850" s="7"/>
      <c r="B2850" s="26">
        <v>235.0</v>
      </c>
      <c r="C2850" s="27">
        <v>13.0</v>
      </c>
      <c r="D2850" s="8" t="s">
        <v>3785</v>
      </c>
      <c r="E2850" s="7">
        <v>0.0</v>
      </c>
      <c r="F2850" s="7"/>
      <c r="G2850" s="7" t="s">
        <v>313</v>
      </c>
      <c r="H2850" s="7" t="s">
        <v>312</v>
      </c>
      <c r="I2850" s="7" t="s">
        <v>366</v>
      </c>
      <c r="J2850" s="16" t="s">
        <v>3783</v>
      </c>
      <c r="K2850" s="20" t="s">
        <v>2764</v>
      </c>
      <c r="L2850" s="12"/>
      <c r="M2850" s="10"/>
      <c r="N2850" s="10"/>
      <c r="O2850" s="10"/>
      <c r="P2850" s="10"/>
      <c r="Q2850" s="10"/>
      <c r="R2850" s="10"/>
      <c r="S2850" s="10"/>
      <c r="T2850" s="10"/>
      <c r="U2850" s="10"/>
      <c r="V2850" s="10"/>
      <c r="W2850" s="10"/>
      <c r="X2850" s="10"/>
      <c r="Y2850" s="10"/>
      <c r="Z2850" s="10"/>
      <c r="AA2850" s="10"/>
      <c r="AB2850" s="10"/>
      <c r="AC2850" s="10"/>
      <c r="AD2850" s="10"/>
      <c r="AE2850" s="10"/>
      <c r="AF2850" s="10"/>
    </row>
    <row r="2851">
      <c r="A2851" s="7"/>
      <c r="B2851" s="26">
        <v>235.0</v>
      </c>
      <c r="C2851" s="27">
        <v>14.0</v>
      </c>
      <c r="D2851" s="8" t="s">
        <v>3786</v>
      </c>
      <c r="E2851" s="7">
        <v>0.0</v>
      </c>
      <c r="F2851" s="7"/>
      <c r="G2851" s="7" t="s">
        <v>313</v>
      </c>
      <c r="H2851" s="7" t="s">
        <v>312</v>
      </c>
      <c r="I2851" s="10"/>
      <c r="J2851" s="11"/>
      <c r="K2851" s="12"/>
      <c r="L2851" s="12"/>
      <c r="M2851" s="10"/>
      <c r="N2851" s="10"/>
      <c r="O2851" s="10"/>
      <c r="P2851" s="10"/>
      <c r="Q2851" s="10"/>
      <c r="R2851" s="10"/>
      <c r="S2851" s="10"/>
      <c r="T2851" s="10"/>
      <c r="U2851" s="10"/>
      <c r="V2851" s="10"/>
      <c r="W2851" s="10"/>
      <c r="X2851" s="10"/>
      <c r="Y2851" s="10"/>
      <c r="Z2851" s="10"/>
      <c r="AA2851" s="10"/>
      <c r="AB2851" s="10"/>
      <c r="AC2851" s="10"/>
      <c r="AD2851" s="10"/>
      <c r="AE2851" s="10"/>
      <c r="AF2851" s="10"/>
    </row>
    <row r="2852">
      <c r="A2852" s="7"/>
      <c r="B2852" s="26">
        <v>235.0</v>
      </c>
      <c r="C2852" s="27">
        <v>15.0</v>
      </c>
      <c r="D2852" s="8" t="s">
        <v>3787</v>
      </c>
      <c r="E2852" s="7">
        <v>0.0</v>
      </c>
      <c r="F2852" s="7"/>
      <c r="G2852" s="7" t="s">
        <v>313</v>
      </c>
      <c r="H2852" s="7" t="s">
        <v>312</v>
      </c>
      <c r="I2852" s="10"/>
      <c r="J2852" s="11"/>
      <c r="K2852" s="12"/>
      <c r="L2852" s="12"/>
      <c r="M2852" s="10"/>
      <c r="N2852" s="10"/>
      <c r="O2852" s="10"/>
      <c r="P2852" s="10"/>
      <c r="Q2852" s="10"/>
      <c r="R2852" s="10"/>
      <c r="S2852" s="10"/>
      <c r="T2852" s="10"/>
      <c r="U2852" s="10"/>
      <c r="V2852" s="10"/>
      <c r="W2852" s="10"/>
      <c r="X2852" s="10"/>
      <c r="Y2852" s="10"/>
      <c r="Z2852" s="10"/>
      <c r="AA2852" s="10"/>
      <c r="AB2852" s="10"/>
      <c r="AC2852" s="10"/>
      <c r="AD2852" s="10"/>
      <c r="AE2852" s="10"/>
      <c r="AF2852" s="10"/>
    </row>
    <row r="2853">
      <c r="A2853" s="7"/>
      <c r="B2853" s="26">
        <v>235.0</v>
      </c>
      <c r="C2853" s="27">
        <v>16.0</v>
      </c>
      <c r="D2853" s="8" t="s">
        <v>3788</v>
      </c>
      <c r="E2853" s="7">
        <v>0.0</v>
      </c>
      <c r="F2853" s="7"/>
      <c r="G2853" s="7" t="s">
        <v>313</v>
      </c>
      <c r="H2853" s="7" t="s">
        <v>312</v>
      </c>
      <c r="I2853" s="10"/>
      <c r="J2853" s="11"/>
      <c r="K2853" s="12"/>
      <c r="L2853" s="12"/>
      <c r="M2853" s="10"/>
      <c r="N2853" s="10"/>
      <c r="O2853" s="10"/>
      <c r="P2853" s="10"/>
      <c r="Q2853" s="10"/>
      <c r="R2853" s="10"/>
      <c r="S2853" s="10"/>
      <c r="T2853" s="10"/>
      <c r="U2853" s="10"/>
      <c r="V2853" s="10"/>
      <c r="W2853" s="10"/>
      <c r="X2853" s="10"/>
      <c r="Y2853" s="10"/>
      <c r="Z2853" s="10"/>
      <c r="AA2853" s="10"/>
      <c r="AB2853" s="10"/>
      <c r="AC2853" s="10"/>
      <c r="AD2853" s="10"/>
      <c r="AE2853" s="10"/>
      <c r="AF2853" s="10"/>
    </row>
    <row r="2854">
      <c r="A2854" s="7"/>
      <c r="B2854" s="26">
        <v>235.0</v>
      </c>
      <c r="C2854" s="27">
        <v>17.0</v>
      </c>
      <c r="D2854" s="8" t="s">
        <v>3789</v>
      </c>
      <c r="E2854" s="7">
        <v>0.0</v>
      </c>
      <c r="F2854" s="7"/>
      <c r="G2854" s="7" t="s">
        <v>313</v>
      </c>
      <c r="H2854" s="7" t="s">
        <v>312</v>
      </c>
      <c r="I2854" s="10"/>
      <c r="J2854" s="11"/>
      <c r="K2854" s="12"/>
      <c r="L2854" s="12"/>
      <c r="M2854" s="10"/>
      <c r="N2854" s="10"/>
      <c r="O2854" s="10"/>
      <c r="P2854" s="10"/>
      <c r="Q2854" s="10"/>
      <c r="R2854" s="10"/>
      <c r="S2854" s="10"/>
      <c r="T2854" s="10"/>
      <c r="U2854" s="10"/>
      <c r="V2854" s="10"/>
      <c r="W2854" s="10"/>
      <c r="X2854" s="10"/>
      <c r="Y2854" s="10"/>
      <c r="Z2854" s="10"/>
      <c r="AA2854" s="10"/>
      <c r="AB2854" s="10"/>
      <c r="AC2854" s="10"/>
      <c r="AD2854" s="10"/>
      <c r="AE2854" s="10"/>
      <c r="AF2854" s="10"/>
    </row>
    <row r="2855">
      <c r="A2855" s="7"/>
      <c r="B2855" s="26">
        <v>235.0</v>
      </c>
      <c r="C2855" s="27">
        <v>18.0</v>
      </c>
      <c r="D2855" s="8" t="s">
        <v>3790</v>
      </c>
      <c r="E2855" s="7">
        <v>0.0</v>
      </c>
      <c r="F2855" s="7"/>
      <c r="G2855" s="7" t="s">
        <v>313</v>
      </c>
      <c r="H2855" s="7" t="s">
        <v>312</v>
      </c>
      <c r="I2855" s="10"/>
      <c r="J2855" s="11"/>
      <c r="K2855" s="12"/>
      <c r="L2855" s="12"/>
      <c r="M2855" s="10"/>
      <c r="N2855" s="10"/>
      <c r="O2855" s="10"/>
      <c r="P2855" s="10"/>
      <c r="Q2855" s="10"/>
      <c r="R2855" s="10"/>
      <c r="S2855" s="10"/>
      <c r="T2855" s="10"/>
      <c r="U2855" s="10"/>
      <c r="V2855" s="10"/>
      <c r="W2855" s="10"/>
      <c r="X2855" s="10"/>
      <c r="Y2855" s="10"/>
      <c r="Z2855" s="10"/>
      <c r="AA2855" s="10"/>
      <c r="AB2855" s="10"/>
      <c r="AC2855" s="10"/>
      <c r="AD2855" s="10"/>
      <c r="AE2855" s="10"/>
      <c r="AF2855" s="10"/>
    </row>
    <row r="2856">
      <c r="A2856" s="7"/>
      <c r="B2856" s="26">
        <v>235.0</v>
      </c>
      <c r="C2856" s="27">
        <v>19.0</v>
      </c>
      <c r="D2856" s="8" t="s">
        <v>3791</v>
      </c>
      <c r="E2856" s="7">
        <v>0.0</v>
      </c>
      <c r="F2856" s="7"/>
      <c r="G2856" s="7" t="s">
        <v>313</v>
      </c>
      <c r="H2856" s="7" t="s">
        <v>312</v>
      </c>
      <c r="I2856" s="10"/>
      <c r="J2856" s="11"/>
      <c r="K2856" s="12"/>
      <c r="L2856" s="12"/>
      <c r="M2856" s="10"/>
      <c r="N2856" s="10"/>
      <c r="O2856" s="10"/>
      <c r="P2856" s="10"/>
      <c r="Q2856" s="10"/>
      <c r="R2856" s="10"/>
      <c r="S2856" s="10"/>
      <c r="T2856" s="10"/>
      <c r="U2856" s="10"/>
      <c r="V2856" s="10"/>
      <c r="W2856" s="10"/>
      <c r="X2856" s="10"/>
      <c r="Y2856" s="10"/>
      <c r="Z2856" s="10"/>
      <c r="AA2856" s="10"/>
      <c r="AB2856" s="10"/>
      <c r="AC2856" s="10"/>
      <c r="AD2856" s="10"/>
      <c r="AE2856" s="10"/>
      <c r="AF2856" s="10"/>
    </row>
    <row r="2857">
      <c r="A2857" s="7"/>
      <c r="B2857" s="26">
        <v>235.0</v>
      </c>
      <c r="C2857" s="27">
        <v>20.0</v>
      </c>
      <c r="D2857" s="8" t="s">
        <v>3792</v>
      </c>
      <c r="E2857" s="7">
        <v>0.0</v>
      </c>
      <c r="F2857" s="7"/>
      <c r="G2857" s="7" t="s">
        <v>313</v>
      </c>
      <c r="H2857" s="7" t="s">
        <v>312</v>
      </c>
      <c r="I2857" s="7" t="s">
        <v>366</v>
      </c>
      <c r="J2857" s="16" t="s">
        <v>3793</v>
      </c>
      <c r="K2857" s="20" t="s">
        <v>2764</v>
      </c>
      <c r="L2857" s="12"/>
      <c r="M2857" s="10"/>
      <c r="N2857" s="10"/>
      <c r="O2857" s="10"/>
      <c r="P2857" s="10"/>
      <c r="Q2857" s="10"/>
      <c r="R2857" s="10"/>
      <c r="S2857" s="10"/>
      <c r="T2857" s="10"/>
      <c r="U2857" s="10"/>
      <c r="V2857" s="10"/>
      <c r="W2857" s="10"/>
      <c r="X2857" s="10"/>
      <c r="Y2857" s="10"/>
      <c r="Z2857" s="10"/>
      <c r="AA2857" s="10"/>
      <c r="AB2857" s="10"/>
      <c r="AC2857" s="10"/>
      <c r="AD2857" s="10"/>
      <c r="AE2857" s="10"/>
      <c r="AF2857" s="10"/>
    </row>
    <row r="2858">
      <c r="A2858" s="7"/>
      <c r="B2858" s="26">
        <v>235.0</v>
      </c>
      <c r="C2858" s="27">
        <v>21.0</v>
      </c>
      <c r="D2858" s="8" t="s">
        <v>3794</v>
      </c>
      <c r="E2858" s="7">
        <v>0.0</v>
      </c>
      <c r="F2858" s="7"/>
      <c r="G2858" s="7" t="s">
        <v>313</v>
      </c>
      <c r="H2858" s="7" t="s">
        <v>312</v>
      </c>
      <c r="I2858" s="7" t="s">
        <v>366</v>
      </c>
      <c r="J2858" s="16" t="s">
        <v>3793</v>
      </c>
      <c r="K2858" s="20" t="s">
        <v>2764</v>
      </c>
      <c r="L2858" s="12"/>
      <c r="M2858" s="10"/>
      <c r="N2858" s="10"/>
      <c r="O2858" s="10"/>
      <c r="P2858" s="10"/>
      <c r="Q2858" s="10"/>
      <c r="R2858" s="10"/>
      <c r="S2858" s="10"/>
      <c r="T2858" s="10"/>
      <c r="U2858" s="10"/>
      <c r="V2858" s="10"/>
      <c r="W2858" s="10"/>
      <c r="X2858" s="10"/>
      <c r="Y2858" s="10"/>
      <c r="Z2858" s="10"/>
      <c r="AA2858" s="10"/>
      <c r="AB2858" s="10"/>
      <c r="AC2858" s="10"/>
      <c r="AD2858" s="10"/>
      <c r="AE2858" s="10"/>
      <c r="AF2858" s="10"/>
    </row>
    <row r="2859">
      <c r="A2859" s="7"/>
      <c r="B2859" s="26">
        <v>235.0</v>
      </c>
      <c r="C2859" s="27">
        <v>22.0</v>
      </c>
      <c r="D2859" s="8" t="s">
        <v>3795</v>
      </c>
      <c r="E2859" s="7">
        <v>0.0</v>
      </c>
      <c r="F2859" s="7"/>
      <c r="G2859" s="7" t="s">
        <v>313</v>
      </c>
      <c r="H2859" s="7" t="s">
        <v>312</v>
      </c>
      <c r="I2859" s="10"/>
      <c r="J2859" s="11"/>
      <c r="K2859" s="12"/>
      <c r="L2859" s="12"/>
      <c r="M2859" s="10"/>
      <c r="N2859" s="10"/>
      <c r="O2859" s="10"/>
      <c r="P2859" s="10"/>
      <c r="Q2859" s="10"/>
      <c r="R2859" s="10"/>
      <c r="S2859" s="10"/>
      <c r="T2859" s="10"/>
      <c r="U2859" s="10"/>
      <c r="V2859" s="10"/>
      <c r="W2859" s="10"/>
      <c r="X2859" s="10"/>
      <c r="Y2859" s="10"/>
      <c r="Z2859" s="10"/>
      <c r="AA2859" s="10"/>
      <c r="AB2859" s="10"/>
      <c r="AC2859" s="10"/>
      <c r="AD2859" s="10"/>
      <c r="AE2859" s="10"/>
      <c r="AF2859" s="10"/>
    </row>
    <row r="2860">
      <c r="A2860" s="7"/>
      <c r="B2860" s="26">
        <v>235.0</v>
      </c>
      <c r="C2860" s="27">
        <v>23.0</v>
      </c>
      <c r="D2860" s="8" t="s">
        <v>3796</v>
      </c>
      <c r="E2860" s="7">
        <v>0.0</v>
      </c>
      <c r="F2860" s="7"/>
      <c r="G2860" s="7" t="s">
        <v>313</v>
      </c>
      <c r="H2860" s="7" t="s">
        <v>312</v>
      </c>
      <c r="I2860" s="10"/>
      <c r="J2860" s="11"/>
      <c r="K2860" s="12"/>
      <c r="L2860" s="12"/>
      <c r="M2860" s="10"/>
      <c r="N2860" s="10"/>
      <c r="O2860" s="10"/>
      <c r="P2860" s="10"/>
      <c r="Q2860" s="10"/>
      <c r="R2860" s="10"/>
      <c r="S2860" s="10"/>
      <c r="T2860" s="10"/>
      <c r="U2860" s="10"/>
      <c r="V2860" s="10"/>
      <c r="W2860" s="10"/>
      <c r="X2860" s="10"/>
      <c r="Y2860" s="10"/>
      <c r="Z2860" s="10"/>
      <c r="AA2860" s="10"/>
      <c r="AB2860" s="10"/>
      <c r="AC2860" s="10"/>
      <c r="AD2860" s="10"/>
      <c r="AE2860" s="10"/>
      <c r="AF2860" s="10"/>
    </row>
    <row r="2861">
      <c r="A2861" s="7"/>
      <c r="B2861" s="26">
        <v>235.0</v>
      </c>
      <c r="C2861" s="27">
        <v>24.0</v>
      </c>
      <c r="D2861" s="8" t="s">
        <v>3797</v>
      </c>
      <c r="E2861" s="7">
        <v>0.0</v>
      </c>
      <c r="F2861" s="7"/>
      <c r="G2861" s="7" t="s">
        <v>313</v>
      </c>
      <c r="H2861" s="7" t="s">
        <v>312</v>
      </c>
      <c r="I2861" s="10"/>
      <c r="J2861" s="11"/>
      <c r="K2861" s="12"/>
      <c r="L2861" s="12"/>
      <c r="M2861" s="10"/>
      <c r="N2861" s="10"/>
      <c r="O2861" s="10"/>
      <c r="P2861" s="10"/>
      <c r="Q2861" s="10"/>
      <c r="R2861" s="10"/>
      <c r="S2861" s="10"/>
      <c r="T2861" s="10"/>
      <c r="U2861" s="10"/>
      <c r="V2861" s="10"/>
      <c r="W2861" s="10"/>
      <c r="X2861" s="10"/>
      <c r="Y2861" s="10"/>
      <c r="Z2861" s="10"/>
      <c r="AA2861" s="10"/>
      <c r="AB2861" s="10"/>
      <c r="AC2861" s="10"/>
      <c r="AD2861" s="10"/>
      <c r="AE2861" s="10"/>
      <c r="AF2861" s="10"/>
    </row>
    <row r="2862">
      <c r="A2862" s="7"/>
      <c r="B2862" s="26">
        <v>235.0</v>
      </c>
      <c r="C2862" s="27">
        <v>25.0</v>
      </c>
      <c r="D2862" s="8" t="s">
        <v>3798</v>
      </c>
      <c r="E2862" s="7">
        <v>0.0</v>
      </c>
      <c r="F2862" s="7"/>
      <c r="G2862" s="7" t="s">
        <v>313</v>
      </c>
      <c r="H2862" s="7" t="s">
        <v>312</v>
      </c>
      <c r="I2862" s="10"/>
      <c r="J2862" s="11"/>
      <c r="K2862" s="12"/>
      <c r="L2862" s="12"/>
      <c r="M2862" s="10"/>
      <c r="N2862" s="10"/>
      <c r="O2862" s="10"/>
      <c r="P2862" s="10"/>
      <c r="Q2862" s="10"/>
      <c r="R2862" s="10"/>
      <c r="S2862" s="10"/>
      <c r="T2862" s="10"/>
      <c r="U2862" s="10"/>
      <c r="V2862" s="10"/>
      <c r="W2862" s="10"/>
      <c r="X2862" s="10"/>
      <c r="Y2862" s="10"/>
      <c r="Z2862" s="10"/>
      <c r="AA2862" s="10"/>
      <c r="AB2862" s="10"/>
      <c r="AC2862" s="10"/>
      <c r="AD2862" s="10"/>
      <c r="AE2862" s="10"/>
      <c r="AF2862" s="10"/>
    </row>
    <row r="2863">
      <c r="A2863" s="7"/>
      <c r="B2863" s="26">
        <v>235.0</v>
      </c>
      <c r="C2863" s="27">
        <v>26.0</v>
      </c>
      <c r="D2863" s="8" t="s">
        <v>3799</v>
      </c>
      <c r="E2863" s="7">
        <v>0.0</v>
      </c>
      <c r="F2863" s="7"/>
      <c r="G2863" s="7" t="s">
        <v>313</v>
      </c>
      <c r="H2863" s="7" t="s">
        <v>312</v>
      </c>
      <c r="I2863" s="10"/>
      <c r="J2863" s="11"/>
      <c r="K2863" s="12"/>
      <c r="L2863" s="12"/>
      <c r="M2863" s="10"/>
      <c r="N2863" s="10"/>
      <c r="O2863" s="10"/>
      <c r="P2863" s="10"/>
      <c r="Q2863" s="10"/>
      <c r="R2863" s="10"/>
      <c r="S2863" s="10"/>
      <c r="T2863" s="10"/>
      <c r="U2863" s="10"/>
      <c r="V2863" s="10"/>
      <c r="W2863" s="10"/>
      <c r="X2863" s="10"/>
      <c r="Y2863" s="10"/>
      <c r="Z2863" s="10"/>
      <c r="AA2863" s="10"/>
      <c r="AB2863" s="10"/>
      <c r="AC2863" s="10"/>
      <c r="AD2863" s="10"/>
      <c r="AE2863" s="10"/>
      <c r="AF2863" s="10"/>
    </row>
    <row r="2864">
      <c r="A2864" s="7"/>
      <c r="B2864" s="26">
        <v>235.0</v>
      </c>
      <c r="C2864" s="27">
        <v>27.0</v>
      </c>
      <c r="D2864" s="8" t="s">
        <v>3800</v>
      </c>
      <c r="E2864" s="7">
        <v>0.0</v>
      </c>
      <c r="F2864" s="7"/>
      <c r="G2864" s="7" t="s">
        <v>313</v>
      </c>
      <c r="H2864" s="7" t="s">
        <v>312</v>
      </c>
      <c r="I2864" s="10"/>
      <c r="J2864" s="11"/>
      <c r="K2864" s="12"/>
      <c r="L2864" s="12"/>
      <c r="M2864" s="10"/>
      <c r="N2864" s="10"/>
      <c r="O2864" s="10"/>
      <c r="P2864" s="10"/>
      <c r="Q2864" s="10"/>
      <c r="R2864" s="10"/>
      <c r="S2864" s="10"/>
      <c r="T2864" s="10"/>
      <c r="U2864" s="10"/>
      <c r="V2864" s="10"/>
      <c r="W2864" s="10"/>
      <c r="X2864" s="10"/>
      <c r="Y2864" s="10"/>
      <c r="Z2864" s="10"/>
      <c r="AA2864" s="10"/>
      <c r="AB2864" s="10"/>
      <c r="AC2864" s="10"/>
      <c r="AD2864" s="10"/>
      <c r="AE2864" s="10"/>
      <c r="AF2864" s="10"/>
    </row>
    <row r="2865">
      <c r="A2865" s="7"/>
      <c r="B2865" s="26">
        <v>235.0</v>
      </c>
      <c r="C2865" s="27">
        <v>28.0</v>
      </c>
      <c r="D2865" s="8" t="s">
        <v>3801</v>
      </c>
      <c r="E2865" s="7">
        <v>0.0</v>
      </c>
      <c r="F2865" s="7"/>
      <c r="G2865" s="7" t="s">
        <v>313</v>
      </c>
      <c r="H2865" s="7" t="s">
        <v>312</v>
      </c>
      <c r="I2865" s="7" t="s">
        <v>366</v>
      </c>
      <c r="J2865" s="16" t="s">
        <v>3793</v>
      </c>
      <c r="K2865" s="20" t="s">
        <v>2764</v>
      </c>
      <c r="L2865" s="12"/>
      <c r="M2865" s="10"/>
      <c r="N2865" s="10"/>
      <c r="O2865" s="10"/>
      <c r="P2865" s="10"/>
      <c r="Q2865" s="10"/>
      <c r="R2865" s="10"/>
      <c r="S2865" s="10"/>
      <c r="T2865" s="10"/>
      <c r="U2865" s="10"/>
      <c r="V2865" s="10"/>
      <c r="W2865" s="10"/>
      <c r="X2865" s="10"/>
      <c r="Y2865" s="10"/>
      <c r="Z2865" s="10"/>
      <c r="AA2865" s="10"/>
      <c r="AB2865" s="10"/>
      <c r="AC2865" s="10"/>
      <c r="AD2865" s="10"/>
      <c r="AE2865" s="10"/>
      <c r="AF2865" s="10"/>
    </row>
    <row r="2866">
      <c r="A2866" s="7"/>
      <c r="B2866" s="26">
        <v>235.0</v>
      </c>
      <c r="C2866" s="27">
        <v>29.0</v>
      </c>
      <c r="D2866" s="8" t="s">
        <v>3802</v>
      </c>
      <c r="E2866" s="7">
        <v>0.0</v>
      </c>
      <c r="F2866" s="7"/>
      <c r="G2866" s="7" t="s">
        <v>313</v>
      </c>
      <c r="H2866" s="7" t="s">
        <v>312</v>
      </c>
      <c r="I2866" s="10"/>
      <c r="J2866" s="11"/>
      <c r="K2866" s="12"/>
      <c r="L2866" s="12"/>
      <c r="M2866" s="10"/>
      <c r="N2866" s="10"/>
      <c r="O2866" s="10"/>
      <c r="P2866" s="10"/>
      <c r="Q2866" s="10"/>
      <c r="R2866" s="10"/>
      <c r="S2866" s="10"/>
      <c r="T2866" s="10"/>
      <c r="U2866" s="10"/>
      <c r="V2866" s="10"/>
      <c r="W2866" s="10"/>
      <c r="X2866" s="10"/>
      <c r="Y2866" s="10"/>
      <c r="Z2866" s="10"/>
      <c r="AA2866" s="10"/>
      <c r="AB2866" s="10"/>
      <c r="AC2866" s="10"/>
      <c r="AD2866" s="10"/>
      <c r="AE2866" s="10"/>
      <c r="AF2866" s="10"/>
    </row>
    <row r="2867">
      <c r="A2867" s="7"/>
      <c r="B2867" s="26">
        <v>235.0</v>
      </c>
      <c r="C2867" s="27">
        <v>30.0</v>
      </c>
      <c r="D2867" s="8" t="s">
        <v>3803</v>
      </c>
      <c r="E2867" s="7">
        <v>0.0</v>
      </c>
      <c r="F2867" s="7"/>
      <c r="G2867" s="7" t="s">
        <v>313</v>
      </c>
      <c r="H2867" s="7" t="s">
        <v>312</v>
      </c>
      <c r="I2867" s="10"/>
      <c r="J2867" s="11"/>
      <c r="K2867" s="12"/>
      <c r="L2867" s="12"/>
      <c r="M2867" s="10"/>
      <c r="N2867" s="10"/>
      <c r="O2867" s="10"/>
      <c r="P2867" s="10"/>
      <c r="Q2867" s="10"/>
      <c r="R2867" s="10"/>
      <c r="S2867" s="10"/>
      <c r="T2867" s="10"/>
      <c r="U2867" s="10"/>
      <c r="V2867" s="10"/>
      <c r="W2867" s="10"/>
      <c r="X2867" s="10"/>
      <c r="Y2867" s="10"/>
      <c r="Z2867" s="10"/>
      <c r="AA2867" s="10"/>
      <c r="AB2867" s="10"/>
      <c r="AC2867" s="10"/>
      <c r="AD2867" s="10"/>
      <c r="AE2867" s="10"/>
      <c r="AF2867" s="10"/>
    </row>
    <row r="2868">
      <c r="A2868" s="7"/>
      <c r="B2868" s="26">
        <v>235.0</v>
      </c>
      <c r="C2868" s="27">
        <v>31.0</v>
      </c>
      <c r="D2868" s="8" t="s">
        <v>3804</v>
      </c>
      <c r="E2868" s="7">
        <v>0.0</v>
      </c>
      <c r="F2868" s="7"/>
      <c r="G2868" s="7" t="s">
        <v>313</v>
      </c>
      <c r="H2868" s="7" t="s">
        <v>312</v>
      </c>
      <c r="I2868" s="10"/>
      <c r="J2868" s="11"/>
      <c r="K2868" s="12"/>
      <c r="L2868" s="12"/>
      <c r="M2868" s="10"/>
      <c r="N2868" s="10"/>
      <c r="O2868" s="10"/>
      <c r="P2868" s="10"/>
      <c r="Q2868" s="10"/>
      <c r="R2868" s="10"/>
      <c r="S2868" s="10"/>
      <c r="T2868" s="10"/>
      <c r="U2868" s="10"/>
      <c r="V2868" s="10"/>
      <c r="W2868" s="10"/>
      <c r="X2868" s="10"/>
      <c r="Y2868" s="10"/>
      <c r="Z2868" s="10"/>
      <c r="AA2868" s="10"/>
      <c r="AB2868" s="10"/>
      <c r="AC2868" s="10"/>
      <c r="AD2868" s="10"/>
      <c r="AE2868" s="10"/>
      <c r="AF2868" s="10"/>
    </row>
    <row r="2869">
      <c r="A2869" s="7"/>
      <c r="B2869" s="26">
        <v>235.0</v>
      </c>
      <c r="C2869" s="27">
        <v>32.0</v>
      </c>
      <c r="D2869" s="8" t="s">
        <v>3805</v>
      </c>
      <c r="E2869" s="7">
        <v>0.0</v>
      </c>
      <c r="F2869" s="7"/>
      <c r="G2869" s="7" t="s">
        <v>313</v>
      </c>
      <c r="H2869" s="7" t="s">
        <v>312</v>
      </c>
      <c r="I2869" s="10"/>
      <c r="J2869" s="11"/>
      <c r="K2869" s="12"/>
      <c r="L2869" s="12"/>
      <c r="M2869" s="10"/>
      <c r="N2869" s="10"/>
      <c r="O2869" s="10"/>
      <c r="P2869" s="10"/>
      <c r="Q2869" s="10"/>
      <c r="R2869" s="10"/>
      <c r="S2869" s="10"/>
      <c r="T2869" s="10"/>
      <c r="U2869" s="10"/>
      <c r="V2869" s="10"/>
      <c r="W2869" s="10"/>
      <c r="X2869" s="10"/>
      <c r="Y2869" s="10"/>
      <c r="Z2869" s="10"/>
      <c r="AA2869" s="10"/>
      <c r="AB2869" s="10"/>
      <c r="AC2869" s="10"/>
      <c r="AD2869" s="10"/>
      <c r="AE2869" s="10"/>
      <c r="AF2869" s="10"/>
    </row>
    <row r="2870">
      <c r="A2870" s="7"/>
      <c r="B2870" s="26">
        <v>235.0</v>
      </c>
      <c r="C2870" s="27">
        <v>33.0</v>
      </c>
      <c r="D2870" s="8" t="s">
        <v>3806</v>
      </c>
      <c r="E2870" s="7">
        <v>0.0</v>
      </c>
      <c r="F2870" s="7"/>
      <c r="G2870" s="7" t="s">
        <v>313</v>
      </c>
      <c r="H2870" s="7" t="s">
        <v>312</v>
      </c>
      <c r="I2870" s="10"/>
      <c r="J2870" s="11"/>
      <c r="K2870" s="12"/>
      <c r="L2870" s="12"/>
      <c r="M2870" s="10"/>
      <c r="N2870" s="10"/>
      <c r="O2870" s="10"/>
      <c r="P2870" s="10"/>
      <c r="Q2870" s="10"/>
      <c r="R2870" s="10"/>
      <c r="S2870" s="10"/>
      <c r="T2870" s="10"/>
      <c r="U2870" s="10"/>
      <c r="V2870" s="10"/>
      <c r="W2870" s="10"/>
      <c r="X2870" s="10"/>
      <c r="Y2870" s="10"/>
      <c r="Z2870" s="10"/>
      <c r="AA2870" s="10"/>
      <c r="AB2870" s="10"/>
      <c r="AC2870" s="10"/>
      <c r="AD2870" s="10"/>
      <c r="AE2870" s="10"/>
      <c r="AF2870" s="10"/>
    </row>
    <row r="2871">
      <c r="A2871" s="7"/>
      <c r="B2871" s="26">
        <v>235.0</v>
      </c>
      <c r="C2871" s="27">
        <v>34.0</v>
      </c>
      <c r="D2871" s="8" t="s">
        <v>3807</v>
      </c>
      <c r="E2871" s="7">
        <v>0.0</v>
      </c>
      <c r="F2871" s="7"/>
      <c r="G2871" s="7" t="s">
        <v>313</v>
      </c>
      <c r="H2871" s="7" t="s">
        <v>312</v>
      </c>
      <c r="I2871" s="10"/>
      <c r="J2871" s="11"/>
      <c r="K2871" s="12"/>
      <c r="L2871" s="12"/>
      <c r="M2871" s="10"/>
      <c r="N2871" s="10"/>
      <c r="O2871" s="10"/>
      <c r="P2871" s="10"/>
      <c r="Q2871" s="10"/>
      <c r="R2871" s="10"/>
      <c r="S2871" s="10"/>
      <c r="T2871" s="10"/>
      <c r="U2871" s="10"/>
      <c r="V2871" s="10"/>
      <c r="W2871" s="10"/>
      <c r="X2871" s="10"/>
      <c r="Y2871" s="10"/>
      <c r="Z2871" s="10"/>
      <c r="AA2871" s="10"/>
      <c r="AB2871" s="10"/>
      <c r="AC2871" s="10"/>
      <c r="AD2871" s="10"/>
      <c r="AE2871" s="10"/>
      <c r="AF2871" s="10"/>
    </row>
    <row r="2872">
      <c r="A2872" s="7"/>
      <c r="B2872" s="26">
        <v>235.0</v>
      </c>
      <c r="C2872" s="27">
        <v>35.0</v>
      </c>
      <c r="D2872" s="8" t="s">
        <v>3808</v>
      </c>
      <c r="E2872" s="7">
        <v>0.0</v>
      </c>
      <c r="F2872" s="7"/>
      <c r="G2872" s="7" t="s">
        <v>313</v>
      </c>
      <c r="H2872" s="7" t="s">
        <v>312</v>
      </c>
      <c r="I2872" s="10"/>
      <c r="J2872" s="11"/>
      <c r="K2872" s="12"/>
      <c r="L2872" s="12"/>
      <c r="M2872" s="10"/>
      <c r="N2872" s="10"/>
      <c r="O2872" s="10"/>
      <c r="P2872" s="10"/>
      <c r="Q2872" s="10"/>
      <c r="R2872" s="10"/>
      <c r="S2872" s="10"/>
      <c r="T2872" s="10"/>
      <c r="U2872" s="10"/>
      <c r="V2872" s="10"/>
      <c r="W2872" s="10"/>
      <c r="X2872" s="10"/>
      <c r="Y2872" s="10"/>
      <c r="Z2872" s="10"/>
      <c r="AA2872" s="10"/>
      <c r="AB2872" s="10"/>
      <c r="AC2872" s="10"/>
      <c r="AD2872" s="10"/>
      <c r="AE2872" s="10"/>
      <c r="AF2872" s="10"/>
    </row>
    <row r="2873">
      <c r="A2873" s="7"/>
      <c r="B2873" s="26">
        <v>235.0</v>
      </c>
      <c r="C2873" s="27">
        <v>36.0</v>
      </c>
      <c r="D2873" s="8" t="s">
        <v>3809</v>
      </c>
      <c r="E2873" s="7">
        <v>0.0</v>
      </c>
      <c r="F2873" s="7"/>
      <c r="G2873" s="7" t="s">
        <v>313</v>
      </c>
      <c r="H2873" s="7" t="s">
        <v>312</v>
      </c>
      <c r="I2873" s="10"/>
      <c r="J2873" s="11"/>
      <c r="K2873" s="12"/>
      <c r="L2873" s="12"/>
      <c r="M2873" s="10"/>
      <c r="N2873" s="10"/>
      <c r="O2873" s="10"/>
      <c r="P2873" s="10"/>
      <c r="Q2873" s="10"/>
      <c r="R2873" s="10"/>
      <c r="S2873" s="10"/>
      <c r="T2873" s="10"/>
      <c r="U2873" s="10"/>
      <c r="V2873" s="10"/>
      <c r="W2873" s="10"/>
      <c r="X2873" s="10"/>
      <c r="Y2873" s="10"/>
      <c r="Z2873" s="10"/>
      <c r="AA2873" s="10"/>
      <c r="AB2873" s="10"/>
      <c r="AC2873" s="10"/>
      <c r="AD2873" s="10"/>
      <c r="AE2873" s="10"/>
      <c r="AF2873" s="10"/>
    </row>
    <row r="2874">
      <c r="A2874" s="7"/>
      <c r="B2874" s="26">
        <v>235.0</v>
      </c>
      <c r="C2874" s="27">
        <v>37.0</v>
      </c>
      <c r="D2874" s="8" t="s">
        <v>3810</v>
      </c>
      <c r="E2874" s="7">
        <v>0.0</v>
      </c>
      <c r="F2874" s="7"/>
      <c r="G2874" s="7" t="s">
        <v>313</v>
      </c>
      <c r="H2874" s="7" t="s">
        <v>312</v>
      </c>
      <c r="I2874" s="10"/>
      <c r="J2874" s="11"/>
      <c r="K2874" s="12"/>
      <c r="L2874" s="12"/>
      <c r="M2874" s="10"/>
      <c r="N2874" s="10"/>
      <c r="O2874" s="10"/>
      <c r="P2874" s="10"/>
      <c r="Q2874" s="10"/>
      <c r="R2874" s="10"/>
      <c r="S2874" s="10"/>
      <c r="T2874" s="10"/>
      <c r="U2874" s="10"/>
      <c r="V2874" s="10"/>
      <c r="W2874" s="10"/>
      <c r="X2874" s="10"/>
      <c r="Y2874" s="10"/>
      <c r="Z2874" s="10"/>
      <c r="AA2874" s="10"/>
      <c r="AB2874" s="10"/>
      <c r="AC2874" s="10"/>
      <c r="AD2874" s="10"/>
      <c r="AE2874" s="10"/>
      <c r="AF2874" s="10"/>
    </row>
    <row r="2875">
      <c r="A2875" s="7"/>
      <c r="B2875" s="26">
        <v>235.0</v>
      </c>
      <c r="C2875" s="27">
        <v>38.0</v>
      </c>
      <c r="D2875" s="8" t="s">
        <v>3811</v>
      </c>
      <c r="E2875" s="7">
        <v>0.0</v>
      </c>
      <c r="F2875" s="7"/>
      <c r="G2875" s="7" t="s">
        <v>313</v>
      </c>
      <c r="H2875" s="7" t="s">
        <v>312</v>
      </c>
      <c r="I2875" s="10"/>
      <c r="J2875" s="11"/>
      <c r="K2875" s="12"/>
      <c r="L2875" s="12"/>
      <c r="M2875" s="10"/>
      <c r="N2875" s="10"/>
      <c r="O2875" s="10"/>
      <c r="P2875" s="10"/>
      <c r="Q2875" s="10"/>
      <c r="R2875" s="10"/>
      <c r="S2875" s="10"/>
      <c r="T2875" s="10"/>
      <c r="U2875" s="10"/>
      <c r="V2875" s="10"/>
      <c r="W2875" s="10"/>
      <c r="X2875" s="10"/>
      <c r="Y2875" s="10"/>
      <c r="Z2875" s="10"/>
      <c r="AA2875" s="10"/>
      <c r="AB2875" s="10"/>
      <c r="AC2875" s="10"/>
      <c r="AD2875" s="10"/>
      <c r="AE2875" s="10"/>
      <c r="AF2875" s="10"/>
    </row>
    <row r="2876">
      <c r="A2876" s="7"/>
      <c r="B2876" s="26">
        <v>235.0</v>
      </c>
      <c r="C2876" s="27">
        <v>39.0</v>
      </c>
      <c r="D2876" s="8" t="s">
        <v>3812</v>
      </c>
      <c r="E2876" s="7">
        <v>0.0</v>
      </c>
      <c r="F2876" s="7"/>
      <c r="G2876" s="7" t="s">
        <v>313</v>
      </c>
      <c r="H2876" s="7" t="s">
        <v>312</v>
      </c>
      <c r="I2876" s="10"/>
      <c r="J2876" s="11"/>
      <c r="K2876" s="12"/>
      <c r="L2876" s="12"/>
      <c r="M2876" s="10"/>
      <c r="N2876" s="10"/>
      <c r="O2876" s="10"/>
      <c r="P2876" s="10"/>
      <c r="Q2876" s="10"/>
      <c r="R2876" s="10"/>
      <c r="S2876" s="10"/>
      <c r="T2876" s="10"/>
      <c r="U2876" s="10"/>
      <c r="V2876" s="10"/>
      <c r="W2876" s="10"/>
      <c r="X2876" s="10"/>
      <c r="Y2876" s="10"/>
      <c r="Z2876" s="10"/>
      <c r="AA2876" s="10"/>
      <c r="AB2876" s="10"/>
      <c r="AC2876" s="10"/>
      <c r="AD2876" s="10"/>
      <c r="AE2876" s="10"/>
      <c r="AF2876" s="10"/>
    </row>
    <row r="2877">
      <c r="A2877" s="7"/>
      <c r="B2877" s="26">
        <v>235.0</v>
      </c>
      <c r="C2877" s="27">
        <v>40.0</v>
      </c>
      <c r="D2877" s="8" t="s">
        <v>3813</v>
      </c>
      <c r="E2877" s="7">
        <v>0.0</v>
      </c>
      <c r="F2877" s="7"/>
      <c r="G2877" s="7" t="s">
        <v>313</v>
      </c>
      <c r="H2877" s="7" t="s">
        <v>312</v>
      </c>
      <c r="I2877" s="10"/>
      <c r="J2877" s="11"/>
      <c r="K2877" s="12"/>
      <c r="L2877" s="12"/>
      <c r="M2877" s="10"/>
      <c r="N2877" s="10"/>
      <c r="O2877" s="10"/>
      <c r="P2877" s="10"/>
      <c r="Q2877" s="10"/>
      <c r="R2877" s="10"/>
      <c r="S2877" s="10"/>
      <c r="T2877" s="10"/>
      <c r="U2877" s="10"/>
      <c r="V2877" s="10"/>
      <c r="W2877" s="10"/>
      <c r="X2877" s="10"/>
      <c r="Y2877" s="10"/>
      <c r="Z2877" s="10"/>
      <c r="AA2877" s="10"/>
      <c r="AB2877" s="10"/>
      <c r="AC2877" s="10"/>
      <c r="AD2877" s="10"/>
      <c r="AE2877" s="10"/>
      <c r="AF2877" s="10"/>
    </row>
    <row r="2878">
      <c r="A2878" s="7"/>
      <c r="B2878" s="26">
        <v>235.0</v>
      </c>
      <c r="C2878" s="27">
        <v>41.0</v>
      </c>
      <c r="D2878" s="8" t="s">
        <v>3814</v>
      </c>
      <c r="E2878" s="7">
        <v>0.0</v>
      </c>
      <c r="F2878" s="7"/>
      <c r="G2878" s="7" t="s">
        <v>313</v>
      </c>
      <c r="H2878" s="7" t="s">
        <v>312</v>
      </c>
      <c r="I2878" s="10"/>
      <c r="J2878" s="11"/>
      <c r="K2878" s="20" t="s">
        <v>3815</v>
      </c>
      <c r="L2878" s="12"/>
      <c r="M2878" s="10"/>
      <c r="N2878" s="10"/>
      <c r="O2878" s="10"/>
      <c r="P2878" s="10"/>
      <c r="Q2878" s="10"/>
      <c r="R2878" s="10"/>
      <c r="S2878" s="10"/>
      <c r="T2878" s="10"/>
      <c r="U2878" s="10"/>
      <c r="V2878" s="10"/>
      <c r="W2878" s="10"/>
      <c r="X2878" s="10"/>
      <c r="Y2878" s="10"/>
      <c r="Z2878" s="10"/>
      <c r="AA2878" s="10"/>
      <c r="AB2878" s="10"/>
      <c r="AC2878" s="10"/>
      <c r="AD2878" s="10"/>
      <c r="AE2878" s="10"/>
      <c r="AF2878" s="10"/>
    </row>
    <row r="2879">
      <c r="A2879" s="7"/>
      <c r="B2879" s="26">
        <v>235.0</v>
      </c>
      <c r="C2879" s="27">
        <v>42.0</v>
      </c>
      <c r="D2879" s="8" t="s">
        <v>3816</v>
      </c>
      <c r="E2879" s="7">
        <v>0.0</v>
      </c>
      <c r="F2879" s="7"/>
      <c r="G2879" s="7" t="s">
        <v>313</v>
      </c>
      <c r="H2879" s="7" t="s">
        <v>312</v>
      </c>
      <c r="I2879" s="10"/>
      <c r="J2879" s="11"/>
      <c r="K2879" s="12"/>
      <c r="L2879" s="12"/>
      <c r="M2879" s="10"/>
      <c r="N2879" s="10"/>
      <c r="O2879" s="10"/>
      <c r="P2879" s="10"/>
      <c r="Q2879" s="10"/>
      <c r="R2879" s="10"/>
      <c r="S2879" s="10"/>
      <c r="T2879" s="10"/>
      <c r="U2879" s="10"/>
      <c r="V2879" s="10"/>
      <c r="W2879" s="10"/>
      <c r="X2879" s="10"/>
      <c r="Y2879" s="10"/>
      <c r="Z2879" s="10"/>
      <c r="AA2879" s="10"/>
      <c r="AB2879" s="10"/>
      <c r="AC2879" s="10"/>
      <c r="AD2879" s="10"/>
      <c r="AE2879" s="10"/>
      <c r="AF2879" s="10"/>
    </row>
    <row r="2880">
      <c r="A2880" s="7"/>
      <c r="B2880" s="26">
        <v>235.0</v>
      </c>
      <c r="C2880" s="27">
        <v>43.0</v>
      </c>
      <c r="D2880" s="8" t="s">
        <v>3817</v>
      </c>
      <c r="E2880" s="7">
        <v>0.0</v>
      </c>
      <c r="F2880" s="7"/>
      <c r="G2880" s="7" t="s">
        <v>313</v>
      </c>
      <c r="H2880" s="7" t="s">
        <v>312</v>
      </c>
      <c r="I2880" s="10"/>
      <c r="J2880" s="11"/>
      <c r="K2880" s="12"/>
      <c r="L2880" s="12"/>
      <c r="M2880" s="10"/>
      <c r="N2880" s="10"/>
      <c r="O2880" s="10"/>
      <c r="P2880" s="10"/>
      <c r="Q2880" s="10"/>
      <c r="R2880" s="10"/>
      <c r="S2880" s="10"/>
      <c r="T2880" s="10"/>
      <c r="U2880" s="10"/>
      <c r="V2880" s="10"/>
      <c r="W2880" s="10"/>
      <c r="X2880" s="10"/>
      <c r="Y2880" s="10"/>
      <c r="Z2880" s="10"/>
      <c r="AA2880" s="10"/>
      <c r="AB2880" s="10"/>
      <c r="AC2880" s="10"/>
      <c r="AD2880" s="10"/>
      <c r="AE2880" s="10"/>
      <c r="AF2880" s="10"/>
    </row>
    <row r="2881">
      <c r="A2881" s="7"/>
      <c r="B2881" s="26">
        <v>235.0</v>
      </c>
      <c r="C2881" s="27">
        <v>44.0</v>
      </c>
      <c r="D2881" s="8" t="s">
        <v>3818</v>
      </c>
      <c r="E2881" s="7">
        <v>0.0</v>
      </c>
      <c r="F2881" s="7"/>
      <c r="G2881" s="7" t="s">
        <v>313</v>
      </c>
      <c r="H2881" s="7" t="s">
        <v>312</v>
      </c>
      <c r="I2881" s="10"/>
      <c r="J2881" s="11"/>
      <c r="K2881" s="12"/>
      <c r="L2881" s="12"/>
      <c r="M2881" s="10"/>
      <c r="N2881" s="10"/>
      <c r="O2881" s="10"/>
      <c r="P2881" s="10"/>
      <c r="Q2881" s="10"/>
      <c r="R2881" s="10"/>
      <c r="S2881" s="10"/>
      <c r="T2881" s="10"/>
      <c r="U2881" s="10"/>
      <c r="V2881" s="10"/>
      <c r="W2881" s="10"/>
      <c r="X2881" s="10"/>
      <c r="Y2881" s="10"/>
      <c r="Z2881" s="10"/>
      <c r="AA2881" s="10"/>
      <c r="AB2881" s="10"/>
      <c r="AC2881" s="10"/>
      <c r="AD2881" s="10"/>
      <c r="AE2881" s="10"/>
      <c r="AF2881" s="10"/>
    </row>
    <row r="2882">
      <c r="A2882" s="7"/>
      <c r="B2882" s="26">
        <v>235.0</v>
      </c>
      <c r="C2882" s="27">
        <v>45.0</v>
      </c>
      <c r="D2882" s="8" t="s">
        <v>3819</v>
      </c>
      <c r="E2882" s="7">
        <v>0.0</v>
      </c>
      <c r="F2882" s="7"/>
      <c r="G2882" s="7" t="s">
        <v>313</v>
      </c>
      <c r="H2882" s="7" t="s">
        <v>312</v>
      </c>
      <c r="I2882" s="10"/>
      <c r="J2882" s="11"/>
      <c r="K2882" s="12"/>
      <c r="L2882" s="12"/>
      <c r="M2882" s="10"/>
      <c r="N2882" s="10"/>
      <c r="O2882" s="10"/>
      <c r="P2882" s="10"/>
      <c r="Q2882" s="10"/>
      <c r="R2882" s="10"/>
      <c r="S2882" s="10"/>
      <c r="T2882" s="10"/>
      <c r="U2882" s="10"/>
      <c r="V2882" s="10"/>
      <c r="W2882" s="10"/>
      <c r="X2882" s="10"/>
      <c r="Y2882" s="10"/>
      <c r="Z2882" s="10"/>
      <c r="AA2882" s="10"/>
      <c r="AB2882" s="10"/>
      <c r="AC2882" s="10"/>
      <c r="AD2882" s="10"/>
      <c r="AE2882" s="10"/>
      <c r="AF2882" s="10"/>
    </row>
    <row r="2883">
      <c r="A2883" s="7"/>
      <c r="B2883" s="26">
        <v>235.0</v>
      </c>
      <c r="C2883" s="27">
        <v>46.0</v>
      </c>
      <c r="D2883" s="8" t="s">
        <v>3820</v>
      </c>
      <c r="E2883" s="7">
        <v>0.0</v>
      </c>
      <c r="F2883" s="7"/>
      <c r="G2883" s="7" t="s">
        <v>313</v>
      </c>
      <c r="H2883" s="7" t="s">
        <v>312</v>
      </c>
      <c r="I2883" s="10"/>
      <c r="J2883" s="11"/>
      <c r="K2883" s="12"/>
      <c r="L2883" s="12"/>
      <c r="M2883" s="10"/>
      <c r="N2883" s="10"/>
      <c r="O2883" s="10"/>
      <c r="P2883" s="10"/>
      <c r="Q2883" s="10"/>
      <c r="R2883" s="10"/>
      <c r="S2883" s="10"/>
      <c r="T2883" s="10"/>
      <c r="U2883" s="10"/>
      <c r="V2883" s="10"/>
      <c r="W2883" s="10"/>
      <c r="X2883" s="10"/>
      <c r="Y2883" s="10"/>
      <c r="Z2883" s="10"/>
      <c r="AA2883" s="10"/>
      <c r="AB2883" s="10"/>
      <c r="AC2883" s="10"/>
      <c r="AD2883" s="10"/>
      <c r="AE2883" s="10"/>
      <c r="AF2883" s="10"/>
    </row>
    <row r="2884">
      <c r="A2884" s="7"/>
      <c r="B2884" s="26">
        <v>235.0</v>
      </c>
      <c r="C2884" s="27">
        <v>47.0</v>
      </c>
      <c r="D2884" s="8" t="s">
        <v>3821</v>
      </c>
      <c r="E2884" s="7">
        <v>0.0</v>
      </c>
      <c r="F2884" s="7"/>
      <c r="G2884" s="7" t="s">
        <v>313</v>
      </c>
      <c r="H2884" s="7" t="s">
        <v>312</v>
      </c>
      <c r="I2884" s="10"/>
      <c r="J2884" s="11"/>
      <c r="K2884" s="12"/>
      <c r="L2884" s="12"/>
      <c r="M2884" s="10"/>
      <c r="N2884" s="10"/>
      <c r="O2884" s="10"/>
      <c r="P2884" s="10"/>
      <c r="Q2884" s="10"/>
      <c r="R2884" s="10"/>
      <c r="S2884" s="10"/>
      <c r="T2884" s="10"/>
      <c r="U2884" s="10"/>
      <c r="V2884" s="10"/>
      <c r="W2884" s="10"/>
      <c r="X2884" s="10"/>
      <c r="Y2884" s="10"/>
      <c r="Z2884" s="10"/>
      <c r="AA2884" s="10"/>
      <c r="AB2884" s="10"/>
      <c r="AC2884" s="10"/>
      <c r="AD2884" s="10"/>
      <c r="AE2884" s="10"/>
      <c r="AF2884" s="10"/>
    </row>
    <row r="2885">
      <c r="A2885" s="7"/>
      <c r="B2885" s="26">
        <v>235.0</v>
      </c>
      <c r="C2885" s="27">
        <v>48.0</v>
      </c>
      <c r="D2885" s="8" t="s">
        <v>3822</v>
      </c>
      <c r="E2885" s="7">
        <v>0.0</v>
      </c>
      <c r="F2885" s="7"/>
      <c r="G2885" s="7" t="s">
        <v>313</v>
      </c>
      <c r="H2885" s="7" t="s">
        <v>312</v>
      </c>
      <c r="I2885" s="10"/>
      <c r="J2885" s="11"/>
      <c r="K2885" s="12"/>
      <c r="L2885" s="12"/>
      <c r="M2885" s="10"/>
      <c r="N2885" s="10"/>
      <c r="O2885" s="10"/>
      <c r="P2885" s="10"/>
      <c r="Q2885" s="10"/>
      <c r="R2885" s="10"/>
      <c r="S2885" s="10"/>
      <c r="T2885" s="10"/>
      <c r="U2885" s="10"/>
      <c r="V2885" s="10"/>
      <c r="W2885" s="10"/>
      <c r="X2885" s="10"/>
      <c r="Y2885" s="10"/>
      <c r="Z2885" s="10"/>
      <c r="AA2885" s="10"/>
      <c r="AB2885" s="10"/>
      <c r="AC2885" s="10"/>
      <c r="AD2885" s="10"/>
      <c r="AE2885" s="10"/>
      <c r="AF2885" s="10"/>
    </row>
    <row r="2886">
      <c r="A2886" s="7"/>
      <c r="B2886" s="26">
        <v>235.0</v>
      </c>
      <c r="C2886" s="27">
        <v>49.0</v>
      </c>
      <c r="D2886" s="8" t="s">
        <v>3823</v>
      </c>
      <c r="E2886" s="7">
        <v>0.0</v>
      </c>
      <c r="F2886" s="7"/>
      <c r="G2886" s="7" t="s">
        <v>313</v>
      </c>
      <c r="H2886" s="7" t="s">
        <v>312</v>
      </c>
      <c r="I2886" s="10"/>
      <c r="J2886" s="11"/>
      <c r="K2886" s="12"/>
      <c r="L2886" s="12"/>
      <c r="M2886" s="10"/>
      <c r="N2886" s="10"/>
      <c r="O2886" s="10"/>
      <c r="P2886" s="10"/>
      <c r="Q2886" s="10"/>
      <c r="R2886" s="10"/>
      <c r="S2886" s="10"/>
      <c r="T2886" s="10"/>
      <c r="U2886" s="10"/>
      <c r="V2886" s="10"/>
      <c r="W2886" s="10"/>
      <c r="X2886" s="10"/>
      <c r="Y2886" s="10"/>
      <c r="Z2886" s="10"/>
      <c r="AA2886" s="10"/>
      <c r="AB2886" s="10"/>
      <c r="AC2886" s="10"/>
      <c r="AD2886" s="10"/>
      <c r="AE2886" s="10"/>
      <c r="AF2886" s="10"/>
    </row>
    <row r="2887">
      <c r="A2887" s="7"/>
      <c r="B2887" s="26">
        <v>235.0</v>
      </c>
      <c r="C2887" s="27">
        <v>50.0</v>
      </c>
      <c r="D2887" s="8" t="s">
        <v>3824</v>
      </c>
      <c r="E2887" s="7">
        <v>0.0</v>
      </c>
      <c r="F2887" s="7"/>
      <c r="G2887" s="7" t="s">
        <v>313</v>
      </c>
      <c r="H2887" s="7" t="s">
        <v>312</v>
      </c>
      <c r="I2887" s="10"/>
      <c r="J2887" s="11"/>
      <c r="K2887" s="12"/>
      <c r="L2887" s="12"/>
      <c r="M2887" s="10"/>
      <c r="N2887" s="10"/>
      <c r="O2887" s="10"/>
      <c r="P2887" s="10"/>
      <c r="Q2887" s="10"/>
      <c r="R2887" s="10"/>
      <c r="S2887" s="10"/>
      <c r="T2887" s="10"/>
      <c r="U2887" s="10"/>
      <c r="V2887" s="10"/>
      <c r="W2887" s="10"/>
      <c r="X2887" s="10"/>
      <c r="Y2887" s="10"/>
      <c r="Z2887" s="10"/>
      <c r="AA2887" s="10"/>
      <c r="AB2887" s="10"/>
      <c r="AC2887" s="10"/>
      <c r="AD2887" s="10"/>
      <c r="AE2887" s="10"/>
      <c r="AF2887" s="10"/>
    </row>
    <row r="2888">
      <c r="A2888" s="7"/>
      <c r="B2888" s="26">
        <v>235.0</v>
      </c>
      <c r="C2888" s="27">
        <v>51.0</v>
      </c>
      <c r="D2888" s="8" t="s">
        <v>3825</v>
      </c>
      <c r="E2888" s="7">
        <v>0.0</v>
      </c>
      <c r="F2888" s="7"/>
      <c r="G2888" s="7" t="s">
        <v>313</v>
      </c>
      <c r="H2888" s="7" t="s">
        <v>312</v>
      </c>
      <c r="I2888" s="10"/>
      <c r="J2888" s="11"/>
      <c r="K2888" s="12"/>
      <c r="L2888" s="12"/>
      <c r="M2888" s="10"/>
      <c r="N2888" s="10"/>
      <c r="O2888" s="10"/>
      <c r="P2888" s="10"/>
      <c r="Q2888" s="10"/>
      <c r="R2888" s="10"/>
      <c r="S2888" s="10"/>
      <c r="T2888" s="10"/>
      <c r="U2888" s="10"/>
      <c r="V2888" s="10"/>
      <c r="W2888" s="10"/>
      <c r="X2888" s="10"/>
      <c r="Y2888" s="10"/>
      <c r="Z2888" s="10"/>
      <c r="AA2888" s="10"/>
      <c r="AB2888" s="10"/>
      <c r="AC2888" s="10"/>
      <c r="AD2888" s="10"/>
      <c r="AE2888" s="10"/>
      <c r="AF2888" s="10"/>
    </row>
    <row r="2889">
      <c r="A2889" s="7"/>
      <c r="B2889" s="26">
        <v>235.0</v>
      </c>
      <c r="C2889" s="27">
        <v>52.0</v>
      </c>
      <c r="D2889" s="8" t="s">
        <v>3826</v>
      </c>
      <c r="E2889" s="7">
        <v>0.0</v>
      </c>
      <c r="F2889" s="7"/>
      <c r="G2889" s="7" t="s">
        <v>313</v>
      </c>
      <c r="H2889" s="7" t="s">
        <v>312</v>
      </c>
      <c r="I2889" s="10"/>
      <c r="J2889" s="11"/>
      <c r="K2889" s="20" t="s">
        <v>3827</v>
      </c>
      <c r="L2889" s="12"/>
      <c r="M2889" s="10"/>
      <c r="N2889" s="10"/>
      <c r="O2889" s="10"/>
      <c r="P2889" s="10"/>
      <c r="Q2889" s="10"/>
      <c r="R2889" s="10"/>
      <c r="S2889" s="10"/>
      <c r="T2889" s="10"/>
      <c r="U2889" s="10"/>
      <c r="V2889" s="10"/>
      <c r="W2889" s="10"/>
      <c r="X2889" s="10"/>
      <c r="Y2889" s="10"/>
      <c r="Z2889" s="10"/>
      <c r="AA2889" s="10"/>
      <c r="AB2889" s="10"/>
      <c r="AC2889" s="10"/>
      <c r="AD2889" s="10"/>
      <c r="AE2889" s="10"/>
      <c r="AF2889" s="10"/>
    </row>
    <row r="2890">
      <c r="A2890" s="7"/>
      <c r="B2890" s="26">
        <v>235.0</v>
      </c>
      <c r="C2890" s="27">
        <v>53.0</v>
      </c>
      <c r="D2890" s="8" t="s">
        <v>3828</v>
      </c>
      <c r="E2890" s="7">
        <v>0.0</v>
      </c>
      <c r="F2890" s="7"/>
      <c r="G2890" s="7" t="s">
        <v>313</v>
      </c>
      <c r="H2890" s="7" t="s">
        <v>312</v>
      </c>
      <c r="I2890" s="10"/>
      <c r="J2890" s="11"/>
      <c r="K2890" s="20"/>
      <c r="L2890" s="12"/>
      <c r="M2890" s="10"/>
      <c r="N2890" s="10"/>
      <c r="O2890" s="10"/>
      <c r="P2890" s="10"/>
      <c r="Q2890" s="10"/>
      <c r="R2890" s="10"/>
      <c r="S2890" s="10"/>
      <c r="T2890" s="10"/>
      <c r="U2890" s="10"/>
      <c r="V2890" s="10"/>
      <c r="W2890" s="10"/>
      <c r="X2890" s="10"/>
      <c r="Y2890" s="10"/>
      <c r="Z2890" s="10"/>
      <c r="AA2890" s="10"/>
      <c r="AB2890" s="10"/>
      <c r="AC2890" s="10"/>
      <c r="AD2890" s="10"/>
      <c r="AE2890" s="10"/>
      <c r="AF2890" s="10"/>
    </row>
    <row r="2891">
      <c r="A2891" s="7"/>
      <c r="B2891" s="26">
        <v>235.0</v>
      </c>
      <c r="C2891" s="27">
        <v>54.0</v>
      </c>
      <c r="D2891" s="8" t="s">
        <v>3829</v>
      </c>
      <c r="E2891" s="7">
        <v>0.0</v>
      </c>
      <c r="F2891" s="7"/>
      <c r="G2891" s="7" t="s">
        <v>313</v>
      </c>
      <c r="H2891" s="7" t="s">
        <v>312</v>
      </c>
      <c r="I2891" s="10"/>
      <c r="J2891" s="11"/>
      <c r="K2891" s="20" t="s">
        <v>3830</v>
      </c>
      <c r="L2891" s="12"/>
      <c r="M2891" s="10"/>
      <c r="N2891" s="10"/>
      <c r="O2891" s="10"/>
      <c r="P2891" s="10"/>
      <c r="Q2891" s="10"/>
      <c r="R2891" s="10"/>
      <c r="S2891" s="10"/>
      <c r="T2891" s="10"/>
      <c r="U2891" s="10"/>
      <c r="V2891" s="10"/>
      <c r="W2891" s="10"/>
      <c r="X2891" s="10"/>
      <c r="Y2891" s="10"/>
      <c r="Z2891" s="10"/>
      <c r="AA2891" s="10"/>
      <c r="AB2891" s="10"/>
      <c r="AC2891" s="10"/>
      <c r="AD2891" s="10"/>
      <c r="AE2891" s="10"/>
      <c r="AF2891" s="10"/>
    </row>
    <row r="2892">
      <c r="A2892" s="7"/>
      <c r="B2892" s="26">
        <v>235.0</v>
      </c>
      <c r="C2892" s="27">
        <v>55.0</v>
      </c>
      <c r="D2892" s="8" t="s">
        <v>3831</v>
      </c>
      <c r="E2892" s="7">
        <v>0.0</v>
      </c>
      <c r="F2892" s="7"/>
      <c r="G2892" s="7" t="s">
        <v>313</v>
      </c>
      <c r="H2892" s="7" t="s">
        <v>312</v>
      </c>
      <c r="I2892" s="10"/>
      <c r="J2892" s="11"/>
      <c r="K2892" s="20" t="s">
        <v>3832</v>
      </c>
      <c r="L2892" s="12"/>
      <c r="M2892" s="10"/>
      <c r="N2892" s="10"/>
      <c r="O2892" s="10"/>
      <c r="P2892" s="10"/>
      <c r="Q2892" s="10"/>
      <c r="R2892" s="10"/>
      <c r="S2892" s="10"/>
      <c r="T2892" s="10"/>
      <c r="U2892" s="10"/>
      <c r="V2892" s="10"/>
      <c r="W2892" s="10"/>
      <c r="X2892" s="10"/>
      <c r="Y2892" s="10"/>
      <c r="Z2892" s="10"/>
      <c r="AA2892" s="10"/>
      <c r="AB2892" s="10"/>
      <c r="AC2892" s="10"/>
      <c r="AD2892" s="10"/>
      <c r="AE2892" s="10"/>
      <c r="AF2892" s="10"/>
    </row>
    <row r="2893">
      <c r="A2893" s="13" t="s">
        <v>236</v>
      </c>
      <c r="B2893" s="12"/>
      <c r="C2893" s="12"/>
      <c r="D2893" s="12"/>
      <c r="E2893" s="10"/>
      <c r="F2893" s="10"/>
      <c r="G2893" s="10"/>
      <c r="H2893" s="10"/>
      <c r="I2893" s="10"/>
      <c r="J2893" s="11"/>
      <c r="K2893" s="12"/>
      <c r="L2893" s="12"/>
      <c r="M2893" s="10"/>
      <c r="N2893" s="10"/>
      <c r="O2893" s="10"/>
      <c r="P2893" s="10"/>
      <c r="Q2893" s="10"/>
      <c r="R2893" s="10"/>
      <c r="S2893" s="10"/>
      <c r="T2893" s="10"/>
      <c r="U2893" s="10"/>
      <c r="V2893" s="10"/>
      <c r="W2893" s="10"/>
      <c r="X2893" s="10"/>
      <c r="Y2893" s="10"/>
      <c r="Z2893" s="10"/>
      <c r="AA2893" s="10"/>
      <c r="AB2893" s="10"/>
      <c r="AC2893" s="10"/>
      <c r="AD2893" s="10"/>
      <c r="AE2893" s="10"/>
      <c r="AF2893" s="10"/>
    </row>
    <row r="2894">
      <c r="A2894" s="7"/>
      <c r="B2894" s="26">
        <v>236.0</v>
      </c>
      <c r="C2894" s="27">
        <v>1.0</v>
      </c>
      <c r="D2894" s="8" t="s">
        <v>3833</v>
      </c>
      <c r="E2894" s="7">
        <v>0.0</v>
      </c>
      <c r="F2894" s="7"/>
      <c r="G2894" s="7" t="s">
        <v>313</v>
      </c>
      <c r="H2894" s="7" t="s">
        <v>312</v>
      </c>
      <c r="I2894" s="10"/>
      <c r="J2894" s="9" t="s">
        <v>3834</v>
      </c>
      <c r="K2894" s="12"/>
      <c r="L2894" s="12"/>
      <c r="M2894" s="10"/>
      <c r="N2894" s="10"/>
      <c r="O2894" s="10"/>
      <c r="P2894" s="10"/>
      <c r="Q2894" s="10"/>
      <c r="R2894" s="10"/>
      <c r="S2894" s="10"/>
      <c r="T2894" s="10"/>
      <c r="U2894" s="10"/>
      <c r="V2894" s="10"/>
      <c r="W2894" s="10"/>
      <c r="X2894" s="10"/>
      <c r="Y2894" s="10"/>
      <c r="Z2894" s="10"/>
      <c r="AA2894" s="10"/>
      <c r="AB2894" s="10"/>
      <c r="AC2894" s="10"/>
      <c r="AD2894" s="10"/>
      <c r="AE2894" s="10"/>
      <c r="AF2894" s="10"/>
    </row>
    <row r="2895">
      <c r="A2895" s="7"/>
      <c r="B2895" s="26">
        <v>236.0</v>
      </c>
      <c r="C2895" s="27">
        <v>2.0</v>
      </c>
      <c r="D2895" s="8" t="s">
        <v>3835</v>
      </c>
      <c r="E2895" s="7">
        <v>3.0</v>
      </c>
      <c r="F2895" s="7" t="s">
        <v>320</v>
      </c>
      <c r="G2895" s="7" t="s">
        <v>313</v>
      </c>
      <c r="H2895" s="7" t="s">
        <v>312</v>
      </c>
      <c r="I2895" s="7" t="s">
        <v>366</v>
      </c>
      <c r="J2895" s="9" t="s">
        <v>3836</v>
      </c>
      <c r="K2895" s="8" t="s">
        <v>3770</v>
      </c>
      <c r="L2895" s="14" t="s">
        <v>3837</v>
      </c>
      <c r="M2895" s="10"/>
      <c r="N2895" s="10"/>
      <c r="O2895" s="10"/>
      <c r="P2895" s="10"/>
      <c r="Q2895" s="10"/>
      <c r="R2895" s="10"/>
      <c r="S2895" s="10"/>
      <c r="T2895" s="10"/>
      <c r="U2895" s="10"/>
      <c r="V2895" s="10"/>
      <c r="W2895" s="10"/>
      <c r="X2895" s="10"/>
      <c r="Y2895" s="10"/>
      <c r="Z2895" s="10"/>
      <c r="AA2895" s="10"/>
      <c r="AB2895" s="10"/>
      <c r="AC2895" s="10"/>
      <c r="AD2895" s="10"/>
      <c r="AE2895" s="10"/>
      <c r="AF2895" s="10"/>
    </row>
    <row r="2896">
      <c r="A2896" s="7"/>
      <c r="B2896" s="26">
        <v>236.0</v>
      </c>
      <c r="C2896" s="27">
        <v>3.0</v>
      </c>
      <c r="D2896" s="8" t="s">
        <v>3838</v>
      </c>
      <c r="E2896" s="7">
        <v>3.0</v>
      </c>
      <c r="F2896" s="7" t="s">
        <v>320</v>
      </c>
      <c r="G2896" s="7" t="s">
        <v>313</v>
      </c>
      <c r="H2896" s="7" t="s">
        <v>312</v>
      </c>
      <c r="I2896" s="7" t="s">
        <v>366</v>
      </c>
      <c r="J2896" s="9" t="s">
        <v>3839</v>
      </c>
      <c r="K2896" s="8" t="s">
        <v>3840</v>
      </c>
      <c r="L2896" s="12"/>
      <c r="M2896" s="10"/>
      <c r="N2896" s="10"/>
      <c r="O2896" s="10"/>
      <c r="P2896" s="10"/>
      <c r="Q2896" s="10"/>
      <c r="R2896" s="10"/>
      <c r="S2896" s="10"/>
      <c r="T2896" s="10"/>
      <c r="U2896" s="10"/>
      <c r="V2896" s="10"/>
      <c r="W2896" s="10"/>
      <c r="X2896" s="10"/>
      <c r="Y2896" s="10"/>
      <c r="Z2896" s="10"/>
      <c r="AA2896" s="10"/>
      <c r="AB2896" s="10"/>
      <c r="AC2896" s="10"/>
      <c r="AD2896" s="10"/>
      <c r="AE2896" s="10"/>
      <c r="AF2896" s="10"/>
    </row>
    <row r="2897">
      <c r="A2897" s="7"/>
      <c r="B2897" s="26">
        <v>236.0</v>
      </c>
      <c r="C2897" s="27">
        <v>4.0</v>
      </c>
      <c r="D2897" s="8" t="s">
        <v>3841</v>
      </c>
      <c r="E2897" s="7">
        <v>3.0</v>
      </c>
      <c r="F2897" s="7" t="s">
        <v>320</v>
      </c>
      <c r="G2897" s="7" t="s">
        <v>313</v>
      </c>
      <c r="H2897" s="7" t="s">
        <v>312</v>
      </c>
      <c r="I2897" s="7" t="s">
        <v>366</v>
      </c>
      <c r="J2897" s="9" t="s">
        <v>3842</v>
      </c>
      <c r="K2897" s="8" t="s">
        <v>3843</v>
      </c>
      <c r="L2897" s="12"/>
      <c r="M2897" s="10"/>
      <c r="N2897" s="10"/>
      <c r="O2897" s="10"/>
      <c r="P2897" s="10"/>
      <c r="Q2897" s="10"/>
      <c r="R2897" s="10"/>
      <c r="S2897" s="10"/>
      <c r="T2897" s="10"/>
      <c r="U2897" s="10"/>
      <c r="V2897" s="10"/>
      <c r="W2897" s="10"/>
      <c r="X2897" s="10"/>
      <c r="Y2897" s="10"/>
      <c r="Z2897" s="10"/>
      <c r="AA2897" s="10"/>
      <c r="AB2897" s="10"/>
      <c r="AC2897" s="10"/>
      <c r="AD2897" s="10"/>
      <c r="AE2897" s="10"/>
      <c r="AF2897" s="10"/>
    </row>
    <row r="2898">
      <c r="A2898" s="7"/>
      <c r="B2898" s="26">
        <v>236.0</v>
      </c>
      <c r="C2898" s="27">
        <v>5.0</v>
      </c>
      <c r="D2898" s="8" t="s">
        <v>3844</v>
      </c>
      <c r="E2898" s="7">
        <v>0.0</v>
      </c>
      <c r="F2898" s="7"/>
      <c r="G2898" s="7" t="s">
        <v>313</v>
      </c>
      <c r="H2898" s="7" t="s">
        <v>312</v>
      </c>
      <c r="I2898" s="10"/>
      <c r="J2898" s="11"/>
      <c r="K2898" s="12"/>
      <c r="L2898" s="14" t="s">
        <v>3845</v>
      </c>
      <c r="M2898" s="10"/>
      <c r="N2898" s="10"/>
      <c r="O2898" s="10"/>
      <c r="P2898" s="10"/>
      <c r="Q2898" s="10"/>
      <c r="R2898" s="10"/>
      <c r="S2898" s="10"/>
      <c r="T2898" s="10"/>
      <c r="U2898" s="10"/>
      <c r="V2898" s="10"/>
      <c r="W2898" s="10"/>
      <c r="X2898" s="10"/>
      <c r="Y2898" s="10"/>
      <c r="Z2898" s="10"/>
      <c r="AA2898" s="10"/>
      <c r="AB2898" s="10"/>
      <c r="AC2898" s="10"/>
      <c r="AD2898" s="10"/>
      <c r="AE2898" s="10"/>
      <c r="AF2898" s="10"/>
    </row>
    <row r="2899">
      <c r="A2899" s="7"/>
      <c r="B2899" s="26">
        <v>236.0</v>
      </c>
      <c r="C2899" s="27">
        <v>6.0</v>
      </c>
      <c r="D2899" s="8" t="s">
        <v>3846</v>
      </c>
      <c r="E2899" s="7">
        <v>3.0</v>
      </c>
      <c r="F2899" s="7" t="s">
        <v>320</v>
      </c>
      <c r="G2899" s="7" t="s">
        <v>313</v>
      </c>
      <c r="H2899" s="7" t="s">
        <v>312</v>
      </c>
      <c r="I2899" s="7" t="s">
        <v>366</v>
      </c>
      <c r="J2899" s="9" t="s">
        <v>3847</v>
      </c>
      <c r="K2899" s="8" t="s">
        <v>3770</v>
      </c>
      <c r="L2899" s="14" t="s">
        <v>3837</v>
      </c>
      <c r="M2899" s="10"/>
      <c r="N2899" s="10"/>
      <c r="O2899" s="10"/>
      <c r="P2899" s="10"/>
      <c r="Q2899" s="10"/>
      <c r="R2899" s="10"/>
      <c r="S2899" s="10"/>
      <c r="T2899" s="10"/>
      <c r="U2899" s="10"/>
      <c r="V2899" s="10"/>
      <c r="W2899" s="10"/>
      <c r="X2899" s="10"/>
      <c r="Y2899" s="10"/>
      <c r="Z2899" s="10"/>
      <c r="AA2899" s="10"/>
      <c r="AB2899" s="10"/>
      <c r="AC2899" s="10"/>
      <c r="AD2899" s="10"/>
      <c r="AE2899" s="10"/>
      <c r="AF2899" s="10"/>
    </row>
    <row r="2900">
      <c r="A2900" s="7"/>
      <c r="B2900" s="26">
        <v>236.0</v>
      </c>
      <c r="C2900" s="27">
        <v>7.0</v>
      </c>
      <c r="D2900" s="8" t="s">
        <v>3848</v>
      </c>
      <c r="E2900" s="7">
        <v>3.0</v>
      </c>
      <c r="F2900" s="7" t="s">
        <v>320</v>
      </c>
      <c r="G2900" s="7" t="s">
        <v>313</v>
      </c>
      <c r="H2900" s="7" t="s">
        <v>312</v>
      </c>
      <c r="I2900" s="7" t="s">
        <v>366</v>
      </c>
      <c r="J2900" s="9" t="s">
        <v>3849</v>
      </c>
      <c r="K2900" s="8" t="s">
        <v>3850</v>
      </c>
      <c r="L2900" s="12"/>
      <c r="M2900" s="10"/>
      <c r="N2900" s="10"/>
      <c r="O2900" s="10"/>
      <c r="P2900" s="10"/>
      <c r="Q2900" s="10"/>
      <c r="R2900" s="10"/>
      <c r="S2900" s="10"/>
      <c r="T2900" s="10"/>
      <c r="U2900" s="10"/>
      <c r="V2900" s="10"/>
      <c r="W2900" s="10"/>
      <c r="X2900" s="10"/>
      <c r="Y2900" s="10"/>
      <c r="Z2900" s="10"/>
      <c r="AA2900" s="10"/>
      <c r="AB2900" s="10"/>
      <c r="AC2900" s="10"/>
      <c r="AD2900" s="10"/>
      <c r="AE2900" s="10"/>
      <c r="AF2900" s="10"/>
    </row>
    <row r="2901">
      <c r="A2901" s="7"/>
      <c r="B2901" s="26">
        <v>236.0</v>
      </c>
      <c r="C2901" s="27">
        <v>8.0</v>
      </c>
      <c r="D2901" s="8" t="s">
        <v>3851</v>
      </c>
      <c r="E2901" s="7">
        <v>3.0</v>
      </c>
      <c r="F2901" s="7" t="s">
        <v>320</v>
      </c>
      <c r="G2901" s="7" t="s">
        <v>313</v>
      </c>
      <c r="H2901" s="7" t="s">
        <v>312</v>
      </c>
      <c r="I2901" s="7" t="s">
        <v>366</v>
      </c>
      <c r="J2901" s="9" t="s">
        <v>3852</v>
      </c>
      <c r="K2901" s="8" t="s">
        <v>3853</v>
      </c>
      <c r="L2901" s="12"/>
      <c r="M2901" s="10"/>
      <c r="N2901" s="10"/>
      <c r="O2901" s="10"/>
      <c r="P2901" s="10"/>
      <c r="Q2901" s="10"/>
      <c r="R2901" s="10"/>
      <c r="S2901" s="10"/>
      <c r="T2901" s="10"/>
      <c r="U2901" s="10"/>
      <c r="V2901" s="10"/>
      <c r="W2901" s="10"/>
      <c r="X2901" s="10"/>
      <c r="Y2901" s="10"/>
      <c r="Z2901" s="10"/>
      <c r="AA2901" s="10"/>
      <c r="AB2901" s="10"/>
      <c r="AC2901" s="10"/>
      <c r="AD2901" s="10"/>
      <c r="AE2901" s="10"/>
      <c r="AF2901" s="10"/>
    </row>
    <row r="2902">
      <c r="A2902" s="7"/>
      <c r="B2902" s="26">
        <v>236.0</v>
      </c>
      <c r="C2902" s="27">
        <v>9.0</v>
      </c>
      <c r="D2902" s="8" t="s">
        <v>3854</v>
      </c>
      <c r="E2902" s="7">
        <v>0.0</v>
      </c>
      <c r="F2902" s="7"/>
      <c r="G2902" s="7" t="s">
        <v>313</v>
      </c>
      <c r="H2902" s="7" t="s">
        <v>312</v>
      </c>
      <c r="I2902" s="10"/>
      <c r="J2902" s="11"/>
      <c r="K2902" s="12"/>
      <c r="L2902" s="12"/>
      <c r="M2902" s="10"/>
      <c r="N2902" s="10"/>
      <c r="O2902" s="10"/>
      <c r="P2902" s="10"/>
      <c r="Q2902" s="10"/>
      <c r="R2902" s="10"/>
      <c r="S2902" s="10"/>
      <c r="T2902" s="10"/>
      <c r="U2902" s="10"/>
      <c r="V2902" s="10"/>
      <c r="W2902" s="10"/>
      <c r="X2902" s="10"/>
      <c r="Y2902" s="10"/>
      <c r="Z2902" s="10"/>
      <c r="AA2902" s="10"/>
      <c r="AB2902" s="10"/>
      <c r="AC2902" s="10"/>
      <c r="AD2902" s="10"/>
      <c r="AE2902" s="10"/>
      <c r="AF2902" s="10"/>
    </row>
    <row r="2903">
      <c r="A2903" s="7"/>
      <c r="B2903" s="26">
        <v>236.0</v>
      </c>
      <c r="C2903" s="27">
        <v>10.0</v>
      </c>
      <c r="D2903" s="8" t="s">
        <v>3855</v>
      </c>
      <c r="E2903" s="7">
        <v>0.0</v>
      </c>
      <c r="F2903" s="7"/>
      <c r="G2903" s="7" t="s">
        <v>313</v>
      </c>
      <c r="H2903" s="7" t="s">
        <v>312</v>
      </c>
      <c r="I2903" s="10"/>
      <c r="J2903" s="11"/>
      <c r="K2903" s="12"/>
      <c r="L2903" s="14" t="s">
        <v>3837</v>
      </c>
      <c r="M2903" s="10"/>
      <c r="N2903" s="10"/>
      <c r="O2903" s="10"/>
      <c r="P2903" s="10"/>
      <c r="Q2903" s="10"/>
      <c r="R2903" s="10"/>
      <c r="S2903" s="10"/>
      <c r="T2903" s="10"/>
      <c r="U2903" s="10"/>
      <c r="V2903" s="10"/>
      <c r="W2903" s="10"/>
      <c r="X2903" s="10"/>
      <c r="Y2903" s="10"/>
      <c r="Z2903" s="10"/>
      <c r="AA2903" s="10"/>
      <c r="AB2903" s="10"/>
      <c r="AC2903" s="10"/>
      <c r="AD2903" s="10"/>
      <c r="AE2903" s="10"/>
      <c r="AF2903" s="10"/>
    </row>
    <row r="2904">
      <c r="A2904" s="7"/>
      <c r="B2904" s="26">
        <v>236.0</v>
      </c>
      <c r="C2904" s="27">
        <v>11.0</v>
      </c>
      <c r="D2904" s="8" t="s">
        <v>3856</v>
      </c>
      <c r="E2904" s="7">
        <v>0.0</v>
      </c>
      <c r="F2904" s="7"/>
      <c r="G2904" s="7" t="s">
        <v>313</v>
      </c>
      <c r="H2904" s="7" t="s">
        <v>312</v>
      </c>
      <c r="I2904" s="7" t="s">
        <v>366</v>
      </c>
      <c r="J2904" s="16" t="s">
        <v>3857</v>
      </c>
      <c r="K2904" s="12"/>
      <c r="L2904" s="14" t="s">
        <v>3837</v>
      </c>
      <c r="M2904" s="10"/>
      <c r="N2904" s="10"/>
      <c r="O2904" s="10"/>
      <c r="P2904" s="10"/>
      <c r="Q2904" s="10"/>
      <c r="R2904" s="10"/>
      <c r="S2904" s="10"/>
      <c r="T2904" s="10"/>
      <c r="U2904" s="10"/>
      <c r="V2904" s="10"/>
      <c r="W2904" s="10"/>
      <c r="X2904" s="10"/>
      <c r="Y2904" s="10"/>
      <c r="Z2904" s="10"/>
      <c r="AA2904" s="10"/>
      <c r="AB2904" s="10"/>
      <c r="AC2904" s="10"/>
      <c r="AD2904" s="10"/>
      <c r="AE2904" s="10"/>
      <c r="AF2904" s="10"/>
    </row>
    <row r="2905">
      <c r="A2905" s="7"/>
      <c r="B2905" s="26">
        <v>236.0</v>
      </c>
      <c r="C2905" s="27">
        <v>12.0</v>
      </c>
      <c r="D2905" s="8" t="s">
        <v>3858</v>
      </c>
      <c r="E2905" s="7">
        <v>0.0</v>
      </c>
      <c r="F2905" s="7"/>
      <c r="G2905" s="7" t="s">
        <v>313</v>
      </c>
      <c r="H2905" s="7" t="s">
        <v>312</v>
      </c>
      <c r="I2905" s="10"/>
      <c r="J2905" s="11"/>
      <c r="K2905" s="12"/>
      <c r="L2905" s="14" t="s">
        <v>3837</v>
      </c>
      <c r="M2905" s="10"/>
      <c r="N2905" s="10"/>
      <c r="O2905" s="10"/>
      <c r="P2905" s="10"/>
      <c r="Q2905" s="10"/>
      <c r="R2905" s="10"/>
      <c r="S2905" s="10"/>
      <c r="T2905" s="10"/>
      <c r="U2905" s="10"/>
      <c r="V2905" s="10"/>
      <c r="W2905" s="10"/>
      <c r="X2905" s="10"/>
      <c r="Y2905" s="10"/>
      <c r="Z2905" s="10"/>
      <c r="AA2905" s="10"/>
      <c r="AB2905" s="10"/>
      <c r="AC2905" s="10"/>
      <c r="AD2905" s="10"/>
      <c r="AE2905" s="10"/>
      <c r="AF2905" s="10"/>
    </row>
    <row r="2906">
      <c r="A2906" s="7"/>
      <c r="B2906" s="26">
        <v>236.0</v>
      </c>
      <c r="C2906" s="27">
        <v>13.0</v>
      </c>
      <c r="D2906" s="8" t="s">
        <v>3859</v>
      </c>
      <c r="E2906" s="7">
        <v>0.0</v>
      </c>
      <c r="F2906" s="7"/>
      <c r="G2906" s="7" t="s">
        <v>313</v>
      </c>
      <c r="H2906" s="7" t="s">
        <v>312</v>
      </c>
      <c r="I2906" s="10"/>
      <c r="J2906" s="11"/>
      <c r="K2906" s="12"/>
      <c r="L2906" s="12"/>
      <c r="M2906" s="10"/>
      <c r="N2906" s="10"/>
      <c r="O2906" s="10"/>
      <c r="P2906" s="10"/>
      <c r="Q2906" s="10"/>
      <c r="R2906" s="10"/>
      <c r="S2906" s="10"/>
      <c r="T2906" s="10"/>
      <c r="U2906" s="10"/>
      <c r="V2906" s="10"/>
      <c r="W2906" s="10"/>
      <c r="X2906" s="10"/>
      <c r="Y2906" s="10"/>
      <c r="Z2906" s="10"/>
      <c r="AA2906" s="10"/>
      <c r="AB2906" s="10"/>
      <c r="AC2906" s="10"/>
      <c r="AD2906" s="10"/>
      <c r="AE2906" s="10"/>
      <c r="AF2906" s="10"/>
    </row>
    <row r="2907">
      <c r="A2907" s="7"/>
      <c r="B2907" s="26">
        <v>236.0</v>
      </c>
      <c r="C2907" s="27">
        <v>14.0</v>
      </c>
      <c r="D2907" s="8" t="s">
        <v>3860</v>
      </c>
      <c r="E2907" s="7">
        <v>0.0</v>
      </c>
      <c r="F2907" s="7"/>
      <c r="G2907" s="7" t="s">
        <v>313</v>
      </c>
      <c r="H2907" s="7" t="s">
        <v>312</v>
      </c>
      <c r="I2907" s="10"/>
      <c r="J2907" s="11"/>
      <c r="K2907" s="12"/>
      <c r="L2907" s="12"/>
      <c r="M2907" s="10"/>
      <c r="N2907" s="10"/>
      <c r="O2907" s="10"/>
      <c r="P2907" s="10"/>
      <c r="Q2907" s="10"/>
      <c r="R2907" s="10"/>
      <c r="S2907" s="10"/>
      <c r="T2907" s="10"/>
      <c r="U2907" s="10"/>
      <c r="V2907" s="10"/>
      <c r="W2907" s="10"/>
      <c r="X2907" s="10"/>
      <c r="Y2907" s="10"/>
      <c r="Z2907" s="10"/>
      <c r="AA2907" s="10"/>
      <c r="AB2907" s="10"/>
      <c r="AC2907" s="10"/>
      <c r="AD2907" s="10"/>
      <c r="AE2907" s="10"/>
      <c r="AF2907" s="10"/>
    </row>
    <row r="2908">
      <c r="A2908" s="7"/>
      <c r="B2908" s="26">
        <v>236.0</v>
      </c>
      <c r="C2908" s="27">
        <v>15.0</v>
      </c>
      <c r="D2908" s="8" t="s">
        <v>3861</v>
      </c>
      <c r="E2908" s="7">
        <v>0.0</v>
      </c>
      <c r="F2908" s="7"/>
      <c r="G2908" s="7" t="s">
        <v>313</v>
      </c>
      <c r="H2908" s="7" t="s">
        <v>312</v>
      </c>
      <c r="I2908" s="7" t="s">
        <v>366</v>
      </c>
      <c r="J2908" s="16" t="s">
        <v>3862</v>
      </c>
      <c r="K2908" s="12"/>
      <c r="L2908" s="12"/>
      <c r="M2908" s="10"/>
      <c r="N2908" s="10"/>
      <c r="O2908" s="10"/>
      <c r="P2908" s="10"/>
      <c r="Q2908" s="10"/>
      <c r="R2908" s="10"/>
      <c r="S2908" s="10"/>
      <c r="T2908" s="10"/>
      <c r="U2908" s="10"/>
      <c r="V2908" s="10"/>
      <c r="W2908" s="10"/>
      <c r="X2908" s="10"/>
      <c r="Y2908" s="10"/>
      <c r="Z2908" s="10"/>
      <c r="AA2908" s="10"/>
      <c r="AB2908" s="10"/>
      <c r="AC2908" s="10"/>
      <c r="AD2908" s="10"/>
      <c r="AE2908" s="10"/>
      <c r="AF2908" s="10"/>
    </row>
    <row r="2909">
      <c r="A2909" s="13" t="s">
        <v>237</v>
      </c>
      <c r="B2909" s="12"/>
      <c r="C2909" s="12"/>
      <c r="D2909" s="12"/>
      <c r="E2909" s="10"/>
      <c r="F2909" s="10"/>
      <c r="G2909" s="10"/>
      <c r="H2909" s="10"/>
      <c r="I2909" s="10"/>
      <c r="J2909" s="11"/>
      <c r="K2909" s="12"/>
      <c r="L2909" s="12"/>
      <c r="M2909" s="10"/>
      <c r="N2909" s="10"/>
      <c r="O2909" s="10"/>
      <c r="P2909" s="10"/>
      <c r="Q2909" s="10"/>
      <c r="R2909" s="10"/>
      <c r="S2909" s="10"/>
      <c r="T2909" s="10"/>
      <c r="U2909" s="10"/>
      <c r="V2909" s="10"/>
      <c r="W2909" s="10"/>
      <c r="X2909" s="10"/>
      <c r="Y2909" s="10"/>
      <c r="Z2909" s="10"/>
      <c r="AA2909" s="10"/>
      <c r="AB2909" s="10"/>
      <c r="AC2909" s="10"/>
      <c r="AD2909" s="10"/>
      <c r="AE2909" s="10"/>
      <c r="AF2909" s="10"/>
    </row>
    <row r="2910">
      <c r="A2910" s="7"/>
      <c r="B2910" s="26">
        <v>237.0</v>
      </c>
      <c r="C2910" s="27">
        <v>1.0</v>
      </c>
      <c r="D2910" s="8" t="s">
        <v>3863</v>
      </c>
      <c r="E2910" s="7">
        <v>0.0</v>
      </c>
      <c r="F2910" s="7"/>
      <c r="G2910" s="7" t="s">
        <v>313</v>
      </c>
      <c r="H2910" s="7" t="s">
        <v>312</v>
      </c>
      <c r="I2910" s="10"/>
      <c r="J2910" s="9" t="s">
        <v>3864</v>
      </c>
      <c r="K2910" s="12"/>
      <c r="L2910" s="12"/>
      <c r="M2910" s="10"/>
      <c r="N2910" s="10"/>
      <c r="O2910" s="10"/>
      <c r="P2910" s="10"/>
      <c r="Q2910" s="10"/>
      <c r="R2910" s="10"/>
      <c r="S2910" s="10"/>
      <c r="T2910" s="10"/>
      <c r="U2910" s="10"/>
      <c r="V2910" s="10"/>
      <c r="W2910" s="10"/>
      <c r="X2910" s="10"/>
      <c r="Y2910" s="10"/>
      <c r="Z2910" s="10"/>
      <c r="AA2910" s="10"/>
      <c r="AB2910" s="10"/>
      <c r="AC2910" s="10"/>
      <c r="AD2910" s="10"/>
      <c r="AE2910" s="10"/>
      <c r="AF2910" s="10"/>
    </row>
    <row r="2911">
      <c r="A2911" s="7"/>
      <c r="B2911" s="26">
        <v>237.0</v>
      </c>
      <c r="C2911" s="27">
        <v>2.0</v>
      </c>
      <c r="D2911" s="8" t="s">
        <v>3865</v>
      </c>
      <c r="E2911" s="7">
        <v>3.0</v>
      </c>
      <c r="F2911" s="7" t="s">
        <v>320</v>
      </c>
      <c r="G2911" s="7" t="s">
        <v>313</v>
      </c>
      <c r="H2911" s="7" t="s">
        <v>312</v>
      </c>
      <c r="I2911" s="7" t="s">
        <v>366</v>
      </c>
      <c r="J2911" s="9" t="s">
        <v>3866</v>
      </c>
      <c r="K2911" s="8" t="s">
        <v>3867</v>
      </c>
      <c r="L2911" s="12"/>
      <c r="M2911" s="10"/>
      <c r="N2911" s="10"/>
      <c r="O2911" s="10"/>
      <c r="P2911" s="10"/>
      <c r="Q2911" s="10"/>
      <c r="R2911" s="10"/>
      <c r="S2911" s="10"/>
      <c r="T2911" s="10"/>
      <c r="U2911" s="10"/>
      <c r="V2911" s="10"/>
      <c r="W2911" s="10"/>
      <c r="X2911" s="10"/>
      <c r="Y2911" s="10"/>
      <c r="Z2911" s="10"/>
      <c r="AA2911" s="10"/>
      <c r="AB2911" s="10"/>
      <c r="AC2911" s="10"/>
      <c r="AD2911" s="10"/>
      <c r="AE2911" s="10"/>
      <c r="AF2911" s="10"/>
    </row>
    <row r="2912">
      <c r="A2912" s="7"/>
      <c r="B2912" s="26">
        <v>237.0</v>
      </c>
      <c r="C2912" s="27">
        <v>3.0</v>
      </c>
      <c r="D2912" s="8" t="s">
        <v>3868</v>
      </c>
      <c r="E2912" s="7">
        <v>0.0</v>
      </c>
      <c r="F2912" s="7"/>
      <c r="G2912" s="7" t="s">
        <v>313</v>
      </c>
      <c r="H2912" s="7" t="s">
        <v>312</v>
      </c>
      <c r="I2912" s="10"/>
      <c r="J2912" s="11"/>
      <c r="K2912" s="12"/>
      <c r="L2912" s="12"/>
      <c r="M2912" s="10"/>
      <c r="N2912" s="10"/>
      <c r="O2912" s="10"/>
      <c r="P2912" s="10"/>
      <c r="Q2912" s="10"/>
      <c r="R2912" s="10"/>
      <c r="S2912" s="10"/>
      <c r="T2912" s="10"/>
      <c r="U2912" s="10"/>
      <c r="V2912" s="10"/>
      <c r="W2912" s="10"/>
      <c r="X2912" s="10"/>
      <c r="Y2912" s="10"/>
      <c r="Z2912" s="10"/>
      <c r="AA2912" s="10"/>
      <c r="AB2912" s="10"/>
      <c r="AC2912" s="10"/>
      <c r="AD2912" s="10"/>
      <c r="AE2912" s="10"/>
      <c r="AF2912" s="10"/>
    </row>
    <row r="2913">
      <c r="A2913" s="7"/>
      <c r="B2913" s="26">
        <v>237.0</v>
      </c>
      <c r="C2913" s="27">
        <v>4.0</v>
      </c>
      <c r="D2913" s="8" t="s">
        <v>3869</v>
      </c>
      <c r="E2913" s="7">
        <v>3.0</v>
      </c>
      <c r="F2913" s="7" t="s">
        <v>320</v>
      </c>
      <c r="G2913" s="7" t="s">
        <v>313</v>
      </c>
      <c r="H2913" s="7" t="s">
        <v>312</v>
      </c>
      <c r="I2913" s="7" t="s">
        <v>366</v>
      </c>
      <c r="J2913" s="9" t="s">
        <v>3870</v>
      </c>
      <c r="K2913" s="8" t="s">
        <v>3871</v>
      </c>
      <c r="L2913" s="12"/>
      <c r="M2913" s="10"/>
      <c r="N2913" s="10"/>
      <c r="O2913" s="10"/>
      <c r="P2913" s="10"/>
      <c r="Q2913" s="10"/>
      <c r="R2913" s="10"/>
      <c r="S2913" s="10"/>
      <c r="T2913" s="10"/>
      <c r="U2913" s="10"/>
      <c r="V2913" s="10"/>
      <c r="W2913" s="10"/>
      <c r="X2913" s="10"/>
      <c r="Y2913" s="10"/>
      <c r="Z2913" s="10"/>
      <c r="AA2913" s="10"/>
      <c r="AB2913" s="10"/>
      <c r="AC2913" s="10"/>
      <c r="AD2913" s="10"/>
      <c r="AE2913" s="10"/>
      <c r="AF2913" s="10"/>
    </row>
    <row r="2914">
      <c r="A2914" s="7"/>
      <c r="B2914" s="26">
        <v>237.0</v>
      </c>
      <c r="C2914" s="27">
        <v>5.0</v>
      </c>
      <c r="D2914" s="8" t="s">
        <v>3872</v>
      </c>
      <c r="E2914" s="7">
        <v>0.0</v>
      </c>
      <c r="F2914" s="7"/>
      <c r="G2914" s="7" t="s">
        <v>313</v>
      </c>
      <c r="H2914" s="7" t="s">
        <v>312</v>
      </c>
      <c r="I2914" s="10"/>
      <c r="J2914" s="9"/>
      <c r="K2914" s="8"/>
      <c r="L2914" s="12"/>
      <c r="M2914" s="10"/>
      <c r="N2914" s="10"/>
      <c r="O2914" s="10"/>
      <c r="P2914" s="10"/>
      <c r="Q2914" s="10"/>
      <c r="R2914" s="10"/>
      <c r="S2914" s="10"/>
      <c r="T2914" s="10"/>
      <c r="U2914" s="10"/>
      <c r="V2914" s="10"/>
      <c r="W2914" s="10"/>
      <c r="X2914" s="10"/>
      <c r="Y2914" s="10"/>
      <c r="Z2914" s="10"/>
      <c r="AA2914" s="10"/>
      <c r="AB2914" s="10"/>
      <c r="AC2914" s="10"/>
      <c r="AD2914" s="10"/>
      <c r="AE2914" s="10"/>
      <c r="AF2914" s="10"/>
    </row>
    <row r="2915">
      <c r="A2915" s="7"/>
      <c r="B2915" s="26">
        <v>237.0</v>
      </c>
      <c r="C2915" s="27">
        <v>6.0</v>
      </c>
      <c r="D2915" s="8" t="s">
        <v>3873</v>
      </c>
      <c r="E2915" s="7">
        <v>0.0</v>
      </c>
      <c r="F2915" s="7"/>
      <c r="G2915" s="7" t="s">
        <v>313</v>
      </c>
      <c r="H2915" s="7" t="s">
        <v>312</v>
      </c>
      <c r="I2915" s="10"/>
      <c r="J2915" s="11"/>
      <c r="K2915" s="12"/>
      <c r="L2915" s="12"/>
      <c r="M2915" s="10"/>
      <c r="N2915" s="10"/>
      <c r="O2915" s="10"/>
      <c r="P2915" s="10"/>
      <c r="Q2915" s="10"/>
      <c r="R2915" s="10"/>
      <c r="S2915" s="10"/>
      <c r="T2915" s="10"/>
      <c r="U2915" s="10"/>
      <c r="V2915" s="10"/>
      <c r="W2915" s="10"/>
      <c r="X2915" s="10"/>
      <c r="Y2915" s="10"/>
      <c r="Z2915" s="10"/>
      <c r="AA2915" s="10"/>
      <c r="AB2915" s="10"/>
      <c r="AC2915" s="10"/>
      <c r="AD2915" s="10"/>
      <c r="AE2915" s="10"/>
      <c r="AF2915" s="10"/>
    </row>
    <row r="2916">
      <c r="A2916" s="13" t="s">
        <v>238</v>
      </c>
      <c r="B2916" s="12"/>
      <c r="C2916" s="12"/>
      <c r="D2916" s="12"/>
      <c r="E2916" s="10"/>
      <c r="F2916" s="10"/>
      <c r="G2916" s="10"/>
      <c r="H2916" s="10"/>
      <c r="I2916" s="10"/>
      <c r="J2916" s="11"/>
      <c r="K2916" s="12"/>
      <c r="L2916" s="12"/>
      <c r="M2916" s="10"/>
      <c r="N2916" s="10"/>
      <c r="O2916" s="10"/>
      <c r="P2916" s="10"/>
      <c r="Q2916" s="10"/>
      <c r="R2916" s="10"/>
      <c r="S2916" s="10"/>
      <c r="T2916" s="10"/>
      <c r="U2916" s="10"/>
      <c r="V2916" s="10"/>
      <c r="W2916" s="10"/>
      <c r="X2916" s="10"/>
      <c r="Y2916" s="10"/>
      <c r="Z2916" s="10"/>
      <c r="AA2916" s="10"/>
      <c r="AB2916" s="10"/>
      <c r="AC2916" s="10"/>
      <c r="AD2916" s="10"/>
      <c r="AE2916" s="10"/>
      <c r="AF2916" s="10"/>
    </row>
    <row r="2917">
      <c r="A2917" s="7"/>
      <c r="B2917" s="26">
        <v>238.0</v>
      </c>
      <c r="C2917" s="27">
        <v>1.0</v>
      </c>
      <c r="D2917" s="8" t="s">
        <v>3874</v>
      </c>
      <c r="E2917" s="7">
        <v>0.0</v>
      </c>
      <c r="F2917" s="7"/>
      <c r="G2917" s="7" t="s">
        <v>313</v>
      </c>
      <c r="H2917" s="7" t="s">
        <v>312</v>
      </c>
      <c r="I2917" s="10"/>
      <c r="J2917" s="9"/>
      <c r="K2917" s="12"/>
      <c r="L2917" s="12"/>
      <c r="M2917" s="10"/>
      <c r="N2917" s="10"/>
      <c r="O2917" s="10"/>
      <c r="P2917" s="10"/>
      <c r="Q2917" s="10"/>
      <c r="R2917" s="10"/>
      <c r="S2917" s="10"/>
      <c r="T2917" s="10"/>
      <c r="U2917" s="10"/>
      <c r="V2917" s="10"/>
      <c r="W2917" s="10"/>
      <c r="X2917" s="10"/>
      <c r="Y2917" s="10"/>
      <c r="Z2917" s="10"/>
      <c r="AA2917" s="10"/>
      <c r="AB2917" s="10"/>
      <c r="AC2917" s="10"/>
      <c r="AD2917" s="10"/>
      <c r="AE2917" s="10"/>
      <c r="AF2917" s="10"/>
    </row>
    <row r="2918">
      <c r="A2918" s="7"/>
      <c r="B2918" s="26">
        <v>238.0</v>
      </c>
      <c r="C2918" s="27">
        <v>2.0</v>
      </c>
      <c r="D2918" s="8" t="s">
        <v>3875</v>
      </c>
      <c r="E2918" s="7">
        <v>0.0</v>
      </c>
      <c r="F2918" s="7"/>
      <c r="G2918" s="7" t="s">
        <v>313</v>
      </c>
      <c r="H2918" s="7" t="s">
        <v>312</v>
      </c>
      <c r="I2918" s="10"/>
      <c r="J2918" s="9"/>
      <c r="K2918" s="12"/>
      <c r="L2918" s="12"/>
      <c r="M2918" s="10"/>
      <c r="N2918" s="10"/>
      <c r="O2918" s="10"/>
      <c r="P2918" s="10"/>
      <c r="Q2918" s="10"/>
      <c r="R2918" s="10"/>
      <c r="S2918" s="10"/>
      <c r="T2918" s="10"/>
      <c r="U2918" s="10"/>
      <c r="V2918" s="10"/>
      <c r="W2918" s="10"/>
      <c r="X2918" s="10"/>
      <c r="Y2918" s="10"/>
      <c r="Z2918" s="10"/>
      <c r="AA2918" s="10"/>
      <c r="AB2918" s="10"/>
      <c r="AC2918" s="10"/>
      <c r="AD2918" s="10"/>
      <c r="AE2918" s="10"/>
      <c r="AF2918" s="10"/>
    </row>
    <row r="2919">
      <c r="A2919" s="7"/>
      <c r="B2919" s="26">
        <v>238.0</v>
      </c>
      <c r="C2919" s="27">
        <v>3.0</v>
      </c>
      <c r="D2919" s="8" t="s">
        <v>3876</v>
      </c>
      <c r="E2919" s="7">
        <v>0.0</v>
      </c>
      <c r="F2919" s="7"/>
      <c r="G2919" s="7" t="s">
        <v>313</v>
      </c>
      <c r="H2919" s="7" t="s">
        <v>312</v>
      </c>
      <c r="I2919" s="10"/>
      <c r="J2919" s="11"/>
      <c r="K2919" s="12"/>
      <c r="L2919" s="12"/>
      <c r="M2919" s="10"/>
      <c r="N2919" s="10"/>
      <c r="O2919" s="10"/>
      <c r="P2919" s="10"/>
      <c r="Q2919" s="10"/>
      <c r="R2919" s="10"/>
      <c r="S2919" s="10"/>
      <c r="T2919" s="10"/>
      <c r="U2919" s="10"/>
      <c r="V2919" s="10"/>
      <c r="W2919" s="10"/>
      <c r="X2919" s="10"/>
      <c r="Y2919" s="10"/>
      <c r="Z2919" s="10"/>
      <c r="AA2919" s="10"/>
      <c r="AB2919" s="10"/>
      <c r="AC2919" s="10"/>
      <c r="AD2919" s="10"/>
      <c r="AE2919" s="10"/>
      <c r="AF2919" s="10"/>
    </row>
    <row r="2920">
      <c r="A2920" s="7"/>
      <c r="B2920" s="26">
        <v>238.0</v>
      </c>
      <c r="C2920" s="27">
        <v>4.0</v>
      </c>
      <c r="D2920" s="8" t="s">
        <v>3877</v>
      </c>
      <c r="E2920" s="7">
        <v>0.0</v>
      </c>
      <c r="F2920" s="7"/>
      <c r="G2920" s="7" t="s">
        <v>313</v>
      </c>
      <c r="H2920" s="7" t="s">
        <v>312</v>
      </c>
      <c r="I2920" s="10"/>
      <c r="J2920" s="11"/>
      <c r="K2920" s="12"/>
      <c r="L2920" s="12"/>
      <c r="M2920" s="10"/>
      <c r="N2920" s="10"/>
      <c r="O2920" s="10"/>
      <c r="P2920" s="10"/>
      <c r="Q2920" s="10"/>
      <c r="R2920" s="10"/>
      <c r="S2920" s="10"/>
      <c r="T2920" s="10"/>
      <c r="U2920" s="10"/>
      <c r="V2920" s="10"/>
      <c r="W2920" s="10"/>
      <c r="X2920" s="10"/>
      <c r="Y2920" s="10"/>
      <c r="Z2920" s="10"/>
      <c r="AA2920" s="10"/>
      <c r="AB2920" s="10"/>
      <c r="AC2920" s="10"/>
      <c r="AD2920" s="10"/>
      <c r="AE2920" s="10"/>
      <c r="AF2920" s="10"/>
    </row>
    <row r="2921">
      <c r="A2921" s="7"/>
      <c r="B2921" s="26">
        <v>238.0</v>
      </c>
      <c r="C2921" s="27">
        <v>5.0</v>
      </c>
      <c r="D2921" s="8" t="s">
        <v>3878</v>
      </c>
      <c r="E2921" s="7">
        <v>0.0</v>
      </c>
      <c r="F2921" s="7"/>
      <c r="G2921" s="7" t="s">
        <v>313</v>
      </c>
      <c r="H2921" s="7" t="s">
        <v>312</v>
      </c>
      <c r="I2921" s="10"/>
      <c r="J2921" s="11"/>
      <c r="K2921" s="12"/>
      <c r="L2921" s="12"/>
      <c r="M2921" s="10"/>
      <c r="N2921" s="10"/>
      <c r="O2921" s="10"/>
      <c r="P2921" s="10"/>
      <c r="Q2921" s="10"/>
      <c r="R2921" s="10"/>
      <c r="S2921" s="10"/>
      <c r="T2921" s="10"/>
      <c r="U2921" s="10"/>
      <c r="V2921" s="10"/>
      <c r="W2921" s="10"/>
      <c r="X2921" s="10"/>
      <c r="Y2921" s="10"/>
      <c r="Z2921" s="10"/>
      <c r="AA2921" s="10"/>
      <c r="AB2921" s="10"/>
      <c r="AC2921" s="10"/>
      <c r="AD2921" s="10"/>
      <c r="AE2921" s="10"/>
      <c r="AF2921" s="10"/>
    </row>
    <row r="2922">
      <c r="A2922" s="7"/>
      <c r="B2922" s="26">
        <v>238.0</v>
      </c>
      <c r="C2922" s="27">
        <v>6.0</v>
      </c>
      <c r="D2922" s="8" t="s">
        <v>3879</v>
      </c>
      <c r="E2922" s="7">
        <v>0.0</v>
      </c>
      <c r="F2922" s="7"/>
      <c r="G2922" s="7" t="s">
        <v>313</v>
      </c>
      <c r="H2922" s="7" t="s">
        <v>312</v>
      </c>
      <c r="I2922" s="10"/>
      <c r="J2922" s="11"/>
      <c r="K2922" s="20" t="s">
        <v>3880</v>
      </c>
      <c r="L2922" s="12"/>
      <c r="M2922" s="10"/>
      <c r="N2922" s="10"/>
      <c r="O2922" s="10"/>
      <c r="P2922" s="10"/>
      <c r="Q2922" s="10"/>
      <c r="R2922" s="10"/>
      <c r="S2922" s="10"/>
      <c r="T2922" s="10"/>
      <c r="U2922" s="10"/>
      <c r="V2922" s="10"/>
      <c r="W2922" s="10"/>
      <c r="X2922" s="10"/>
      <c r="Y2922" s="10"/>
      <c r="Z2922" s="10"/>
      <c r="AA2922" s="10"/>
      <c r="AB2922" s="10"/>
      <c r="AC2922" s="10"/>
      <c r="AD2922" s="10"/>
      <c r="AE2922" s="10"/>
      <c r="AF2922" s="10"/>
    </row>
    <row r="2923">
      <c r="A2923" s="7"/>
      <c r="B2923" s="26">
        <v>238.0</v>
      </c>
      <c r="C2923" s="27">
        <v>7.0</v>
      </c>
      <c r="D2923" s="8" t="s">
        <v>3881</v>
      </c>
      <c r="E2923" s="7">
        <v>3.0</v>
      </c>
      <c r="F2923" s="7" t="s">
        <v>320</v>
      </c>
      <c r="G2923" s="7" t="s">
        <v>313</v>
      </c>
      <c r="H2923" s="7" t="s">
        <v>312</v>
      </c>
      <c r="I2923" s="7" t="s">
        <v>366</v>
      </c>
      <c r="J2923" s="9" t="s">
        <v>3769</v>
      </c>
      <c r="K2923" s="8" t="s">
        <v>3770</v>
      </c>
      <c r="L2923" s="12"/>
      <c r="M2923" s="10"/>
      <c r="N2923" s="10"/>
      <c r="O2923" s="10"/>
      <c r="P2923" s="10"/>
      <c r="Q2923" s="10"/>
      <c r="R2923" s="10"/>
      <c r="S2923" s="10"/>
      <c r="T2923" s="10"/>
      <c r="U2923" s="10"/>
      <c r="V2923" s="10"/>
      <c r="W2923" s="10"/>
      <c r="X2923" s="10"/>
      <c r="Y2923" s="10"/>
      <c r="Z2923" s="10"/>
      <c r="AA2923" s="10"/>
      <c r="AB2923" s="10"/>
      <c r="AC2923" s="10"/>
      <c r="AD2923" s="10"/>
      <c r="AE2923" s="10"/>
      <c r="AF2923" s="10"/>
    </row>
    <row r="2924">
      <c r="A2924" s="7"/>
      <c r="B2924" s="26">
        <v>238.0</v>
      </c>
      <c r="C2924" s="27">
        <v>8.0</v>
      </c>
      <c r="D2924" s="8" t="s">
        <v>3882</v>
      </c>
      <c r="E2924" s="7">
        <v>3.0</v>
      </c>
      <c r="F2924" s="7" t="s">
        <v>320</v>
      </c>
      <c r="G2924" s="7" t="s">
        <v>313</v>
      </c>
      <c r="H2924" s="7" t="s">
        <v>312</v>
      </c>
      <c r="I2924" s="7" t="s">
        <v>366</v>
      </c>
      <c r="J2924" s="9" t="s">
        <v>3883</v>
      </c>
      <c r="K2924" s="12"/>
      <c r="L2924" s="12"/>
      <c r="M2924" s="10"/>
      <c r="N2924" s="10"/>
      <c r="O2924" s="10"/>
      <c r="P2924" s="10"/>
      <c r="Q2924" s="10"/>
      <c r="R2924" s="10"/>
      <c r="S2924" s="10"/>
      <c r="T2924" s="10"/>
      <c r="U2924" s="10"/>
      <c r="V2924" s="10"/>
      <c r="W2924" s="10"/>
      <c r="X2924" s="10"/>
      <c r="Y2924" s="10"/>
      <c r="Z2924" s="10"/>
      <c r="AA2924" s="10"/>
      <c r="AB2924" s="10"/>
      <c r="AC2924" s="10"/>
      <c r="AD2924" s="10"/>
      <c r="AE2924" s="10"/>
      <c r="AF2924" s="10"/>
    </row>
    <row r="2925">
      <c r="A2925" s="7"/>
      <c r="B2925" s="26">
        <v>238.0</v>
      </c>
      <c r="C2925" s="27">
        <v>9.0</v>
      </c>
      <c r="D2925" s="8" t="s">
        <v>3884</v>
      </c>
      <c r="E2925" s="7">
        <v>0.0</v>
      </c>
      <c r="F2925" s="7"/>
      <c r="G2925" s="7" t="s">
        <v>313</v>
      </c>
      <c r="H2925" s="7" t="s">
        <v>312</v>
      </c>
      <c r="I2925" s="10"/>
      <c r="J2925" s="11"/>
      <c r="K2925" s="12"/>
      <c r="L2925" s="12"/>
      <c r="M2925" s="10"/>
      <c r="N2925" s="10"/>
      <c r="O2925" s="10"/>
      <c r="P2925" s="10"/>
      <c r="Q2925" s="10"/>
      <c r="R2925" s="10"/>
      <c r="S2925" s="10"/>
      <c r="T2925" s="10"/>
      <c r="U2925" s="10"/>
      <c r="V2925" s="10"/>
      <c r="W2925" s="10"/>
      <c r="X2925" s="10"/>
      <c r="Y2925" s="10"/>
      <c r="Z2925" s="10"/>
      <c r="AA2925" s="10"/>
      <c r="AB2925" s="10"/>
      <c r="AC2925" s="10"/>
      <c r="AD2925" s="10"/>
      <c r="AE2925" s="10"/>
      <c r="AF2925" s="10"/>
    </row>
    <row r="2926">
      <c r="A2926" s="7"/>
      <c r="B2926" s="26">
        <v>238.0</v>
      </c>
      <c r="C2926" s="27">
        <v>10.0</v>
      </c>
      <c r="D2926" s="8" t="s">
        <v>3885</v>
      </c>
      <c r="E2926" s="7">
        <v>0.0</v>
      </c>
      <c r="F2926" s="7"/>
      <c r="G2926" s="7" t="s">
        <v>313</v>
      </c>
      <c r="H2926" s="7" t="s">
        <v>312</v>
      </c>
      <c r="I2926" s="10"/>
      <c r="J2926" s="11"/>
      <c r="K2926" s="12"/>
      <c r="L2926" s="12"/>
      <c r="M2926" s="10"/>
      <c r="N2926" s="10"/>
      <c r="O2926" s="10"/>
      <c r="P2926" s="10"/>
      <c r="Q2926" s="10"/>
      <c r="R2926" s="10"/>
      <c r="S2926" s="10"/>
      <c r="T2926" s="10"/>
      <c r="U2926" s="10"/>
      <c r="V2926" s="10"/>
      <c r="W2926" s="10"/>
      <c r="X2926" s="10"/>
      <c r="Y2926" s="10"/>
      <c r="Z2926" s="10"/>
      <c r="AA2926" s="10"/>
      <c r="AB2926" s="10"/>
      <c r="AC2926" s="10"/>
      <c r="AD2926" s="10"/>
      <c r="AE2926" s="10"/>
      <c r="AF2926" s="10"/>
    </row>
    <row r="2927">
      <c r="A2927" s="7"/>
      <c r="B2927" s="26">
        <v>238.0</v>
      </c>
      <c r="C2927" s="27">
        <v>11.0</v>
      </c>
      <c r="D2927" s="8" t="s">
        <v>3886</v>
      </c>
      <c r="E2927" s="7">
        <v>0.0</v>
      </c>
      <c r="F2927" s="7"/>
      <c r="G2927" s="7" t="s">
        <v>313</v>
      </c>
      <c r="H2927" s="7" t="s">
        <v>312</v>
      </c>
      <c r="I2927" s="10"/>
      <c r="J2927" s="11"/>
      <c r="K2927" s="12"/>
      <c r="L2927" s="12"/>
      <c r="M2927" s="10"/>
      <c r="N2927" s="10"/>
      <c r="O2927" s="10"/>
      <c r="P2927" s="10"/>
      <c r="Q2927" s="10"/>
      <c r="R2927" s="10"/>
      <c r="S2927" s="10"/>
      <c r="T2927" s="10"/>
      <c r="U2927" s="10"/>
      <c r="V2927" s="10"/>
      <c r="W2927" s="10"/>
      <c r="X2927" s="10"/>
      <c r="Y2927" s="10"/>
      <c r="Z2927" s="10"/>
      <c r="AA2927" s="10"/>
      <c r="AB2927" s="10"/>
      <c r="AC2927" s="10"/>
      <c r="AD2927" s="10"/>
      <c r="AE2927" s="10"/>
      <c r="AF2927" s="10"/>
    </row>
    <row r="2928">
      <c r="A2928" s="7"/>
      <c r="B2928" s="26">
        <v>238.0</v>
      </c>
      <c r="C2928" s="27">
        <v>12.0</v>
      </c>
      <c r="D2928" s="8" t="s">
        <v>3887</v>
      </c>
      <c r="E2928" s="7">
        <v>0.0</v>
      </c>
      <c r="F2928" s="7"/>
      <c r="G2928" s="7" t="s">
        <v>313</v>
      </c>
      <c r="H2928" s="7" t="s">
        <v>312</v>
      </c>
      <c r="I2928" s="10"/>
      <c r="J2928" s="11"/>
      <c r="K2928" s="12"/>
      <c r="L2928" s="12"/>
      <c r="M2928" s="10"/>
      <c r="N2928" s="10"/>
      <c r="O2928" s="10"/>
      <c r="P2928" s="10"/>
      <c r="Q2928" s="10"/>
      <c r="R2928" s="10"/>
      <c r="S2928" s="10"/>
      <c r="T2928" s="10"/>
      <c r="U2928" s="10"/>
      <c r="V2928" s="10"/>
      <c r="W2928" s="10"/>
      <c r="X2928" s="10"/>
      <c r="Y2928" s="10"/>
      <c r="Z2928" s="10"/>
      <c r="AA2928" s="10"/>
      <c r="AB2928" s="10"/>
      <c r="AC2928" s="10"/>
      <c r="AD2928" s="10"/>
      <c r="AE2928" s="10"/>
      <c r="AF2928" s="10"/>
    </row>
    <row r="2929">
      <c r="A2929" s="7"/>
      <c r="B2929" s="26">
        <v>238.0</v>
      </c>
      <c r="C2929" s="27">
        <v>13.0</v>
      </c>
      <c r="D2929" s="8" t="s">
        <v>3888</v>
      </c>
      <c r="E2929" s="7">
        <v>0.0</v>
      </c>
      <c r="F2929" s="7"/>
      <c r="G2929" s="7" t="s">
        <v>313</v>
      </c>
      <c r="H2929" s="7" t="s">
        <v>312</v>
      </c>
      <c r="I2929" s="10"/>
      <c r="J2929" s="11"/>
      <c r="K2929" s="12"/>
      <c r="L2929" s="12"/>
      <c r="M2929" s="10"/>
      <c r="N2929" s="10"/>
      <c r="O2929" s="10"/>
      <c r="P2929" s="10"/>
      <c r="Q2929" s="10"/>
      <c r="R2929" s="10"/>
      <c r="S2929" s="10"/>
      <c r="T2929" s="10"/>
      <c r="U2929" s="10"/>
      <c r="V2929" s="10"/>
      <c r="W2929" s="10"/>
      <c r="X2929" s="10"/>
      <c r="Y2929" s="10"/>
      <c r="Z2929" s="10"/>
      <c r="AA2929" s="10"/>
      <c r="AB2929" s="10"/>
      <c r="AC2929" s="10"/>
      <c r="AD2929" s="10"/>
      <c r="AE2929" s="10"/>
      <c r="AF2929" s="10"/>
    </row>
    <row r="2930">
      <c r="A2930" s="7"/>
      <c r="B2930" s="26">
        <v>238.0</v>
      </c>
      <c r="C2930" s="27">
        <v>14.0</v>
      </c>
      <c r="D2930" s="8" t="s">
        <v>3889</v>
      </c>
      <c r="E2930" s="7">
        <v>0.0</v>
      </c>
      <c r="F2930" s="7"/>
      <c r="G2930" s="7" t="s">
        <v>313</v>
      </c>
      <c r="H2930" s="7" t="s">
        <v>312</v>
      </c>
      <c r="I2930" s="10"/>
      <c r="J2930" s="11"/>
      <c r="K2930" s="12"/>
      <c r="L2930" s="12"/>
      <c r="M2930" s="10"/>
      <c r="N2930" s="10"/>
      <c r="O2930" s="10"/>
      <c r="P2930" s="10"/>
      <c r="Q2930" s="10"/>
      <c r="R2930" s="10"/>
      <c r="S2930" s="10"/>
      <c r="T2930" s="10"/>
      <c r="U2930" s="10"/>
      <c r="V2930" s="10"/>
      <c r="W2930" s="10"/>
      <c r="X2930" s="10"/>
      <c r="Y2930" s="10"/>
      <c r="Z2930" s="10"/>
      <c r="AA2930" s="10"/>
      <c r="AB2930" s="10"/>
      <c r="AC2930" s="10"/>
      <c r="AD2930" s="10"/>
      <c r="AE2930" s="10"/>
      <c r="AF2930" s="10"/>
    </row>
    <row r="2931">
      <c r="A2931" s="7"/>
      <c r="B2931" s="26">
        <v>238.0</v>
      </c>
      <c r="C2931" s="27">
        <v>15.0</v>
      </c>
      <c r="D2931" s="8" t="s">
        <v>3890</v>
      </c>
      <c r="E2931" s="7">
        <v>0.0</v>
      </c>
      <c r="F2931" s="7"/>
      <c r="G2931" s="7" t="s">
        <v>313</v>
      </c>
      <c r="H2931" s="7" t="s">
        <v>312</v>
      </c>
      <c r="I2931" s="10"/>
      <c r="J2931" s="11"/>
      <c r="K2931" s="12"/>
      <c r="L2931" s="12"/>
      <c r="M2931" s="10"/>
      <c r="N2931" s="10"/>
      <c r="O2931" s="10"/>
      <c r="P2931" s="10"/>
      <c r="Q2931" s="10"/>
      <c r="R2931" s="10"/>
      <c r="S2931" s="10"/>
      <c r="T2931" s="10"/>
      <c r="U2931" s="10"/>
      <c r="V2931" s="10"/>
      <c r="W2931" s="10"/>
      <c r="X2931" s="10"/>
      <c r="Y2931" s="10"/>
      <c r="Z2931" s="10"/>
      <c r="AA2931" s="10"/>
      <c r="AB2931" s="10"/>
      <c r="AC2931" s="10"/>
      <c r="AD2931" s="10"/>
      <c r="AE2931" s="10"/>
      <c r="AF2931" s="10"/>
    </row>
    <row r="2932">
      <c r="A2932" s="13" t="s">
        <v>239</v>
      </c>
      <c r="B2932" s="12"/>
      <c r="C2932" s="12"/>
      <c r="D2932" s="12"/>
      <c r="E2932" s="10"/>
      <c r="F2932" s="10"/>
      <c r="G2932" s="10"/>
      <c r="H2932" s="10"/>
      <c r="I2932" s="10"/>
      <c r="J2932" s="11"/>
      <c r="K2932" s="12"/>
      <c r="L2932" s="12"/>
      <c r="M2932" s="10"/>
      <c r="N2932" s="10"/>
      <c r="O2932" s="10"/>
      <c r="P2932" s="10"/>
      <c r="Q2932" s="10"/>
      <c r="R2932" s="10"/>
      <c r="S2932" s="10"/>
      <c r="T2932" s="10"/>
      <c r="U2932" s="10"/>
      <c r="V2932" s="10"/>
      <c r="W2932" s="10"/>
      <c r="X2932" s="10"/>
      <c r="Y2932" s="10"/>
      <c r="Z2932" s="10"/>
      <c r="AA2932" s="10"/>
      <c r="AB2932" s="10"/>
      <c r="AC2932" s="10"/>
      <c r="AD2932" s="10"/>
      <c r="AE2932" s="10"/>
      <c r="AF2932" s="10"/>
    </row>
    <row r="2933">
      <c r="A2933" s="7"/>
      <c r="B2933" s="26">
        <v>239.0</v>
      </c>
      <c r="C2933" s="27">
        <v>1.0</v>
      </c>
      <c r="D2933" s="8" t="s">
        <v>3891</v>
      </c>
      <c r="E2933" s="7">
        <v>0.0</v>
      </c>
      <c r="F2933" s="7"/>
      <c r="G2933" s="7" t="s">
        <v>313</v>
      </c>
      <c r="H2933" s="7" t="s">
        <v>312</v>
      </c>
      <c r="I2933" s="10"/>
      <c r="J2933" s="9"/>
      <c r="K2933" s="12"/>
      <c r="L2933" s="12"/>
      <c r="M2933" s="10"/>
      <c r="N2933" s="10"/>
      <c r="O2933" s="10"/>
      <c r="P2933" s="10"/>
      <c r="Q2933" s="10"/>
      <c r="R2933" s="10"/>
      <c r="S2933" s="10"/>
      <c r="T2933" s="10"/>
      <c r="U2933" s="10"/>
      <c r="V2933" s="10"/>
      <c r="W2933" s="10"/>
      <c r="X2933" s="10"/>
      <c r="Y2933" s="10"/>
      <c r="Z2933" s="10"/>
      <c r="AA2933" s="10"/>
      <c r="AB2933" s="10"/>
      <c r="AC2933" s="10"/>
      <c r="AD2933" s="10"/>
      <c r="AE2933" s="10"/>
      <c r="AF2933" s="10"/>
    </row>
    <row r="2934">
      <c r="A2934" s="7"/>
      <c r="B2934" s="26">
        <v>239.0</v>
      </c>
      <c r="C2934" s="27">
        <v>2.0</v>
      </c>
      <c r="D2934" s="8" t="s">
        <v>3892</v>
      </c>
      <c r="E2934" s="7">
        <v>0.0</v>
      </c>
      <c r="F2934" s="7"/>
      <c r="G2934" s="7" t="s">
        <v>313</v>
      </c>
      <c r="H2934" s="7" t="s">
        <v>312</v>
      </c>
      <c r="I2934" s="10"/>
      <c r="J2934" s="9"/>
      <c r="K2934" s="12"/>
      <c r="L2934" s="12"/>
      <c r="M2934" s="10"/>
      <c r="N2934" s="10"/>
      <c r="O2934" s="10"/>
      <c r="P2934" s="10"/>
      <c r="Q2934" s="10"/>
      <c r="R2934" s="10"/>
      <c r="S2934" s="10"/>
      <c r="T2934" s="10"/>
      <c r="U2934" s="10"/>
      <c r="V2934" s="10"/>
      <c r="W2934" s="10"/>
      <c r="X2934" s="10"/>
      <c r="Y2934" s="10"/>
      <c r="Z2934" s="10"/>
      <c r="AA2934" s="10"/>
      <c r="AB2934" s="10"/>
      <c r="AC2934" s="10"/>
      <c r="AD2934" s="10"/>
      <c r="AE2934" s="10"/>
      <c r="AF2934" s="10"/>
    </row>
    <row r="2935">
      <c r="A2935" s="7"/>
      <c r="B2935" s="26">
        <v>239.0</v>
      </c>
      <c r="C2935" s="27">
        <v>3.0</v>
      </c>
      <c r="D2935" s="8" t="s">
        <v>3893</v>
      </c>
      <c r="E2935" s="7">
        <v>0.0</v>
      </c>
      <c r="F2935" s="7"/>
      <c r="G2935" s="7" t="s">
        <v>313</v>
      </c>
      <c r="H2935" s="7" t="s">
        <v>312</v>
      </c>
      <c r="I2935" s="10"/>
      <c r="J2935" s="9"/>
      <c r="K2935" s="12"/>
      <c r="L2935" s="12"/>
      <c r="M2935" s="10"/>
      <c r="N2935" s="10"/>
      <c r="O2935" s="10"/>
      <c r="P2935" s="10"/>
      <c r="Q2935" s="10"/>
      <c r="R2935" s="10"/>
      <c r="S2935" s="10"/>
      <c r="T2935" s="10"/>
      <c r="U2935" s="10"/>
      <c r="V2935" s="10"/>
      <c r="W2935" s="10"/>
      <c r="X2935" s="10"/>
      <c r="Y2935" s="10"/>
      <c r="Z2935" s="10"/>
      <c r="AA2935" s="10"/>
      <c r="AB2935" s="10"/>
      <c r="AC2935" s="10"/>
      <c r="AD2935" s="10"/>
      <c r="AE2935" s="10"/>
      <c r="AF2935" s="10"/>
    </row>
    <row r="2936">
      <c r="A2936" s="7"/>
      <c r="B2936" s="26">
        <v>239.0</v>
      </c>
      <c r="C2936" s="27">
        <v>4.0</v>
      </c>
      <c r="D2936" s="8" t="s">
        <v>3894</v>
      </c>
      <c r="E2936" s="7">
        <v>0.0</v>
      </c>
      <c r="F2936" s="7"/>
      <c r="G2936" s="7" t="s">
        <v>313</v>
      </c>
      <c r="H2936" s="7" t="s">
        <v>312</v>
      </c>
      <c r="I2936" s="10"/>
      <c r="J2936" s="9"/>
      <c r="K2936" s="12"/>
      <c r="L2936" s="12"/>
      <c r="M2936" s="10"/>
      <c r="N2936" s="10"/>
      <c r="O2936" s="10"/>
      <c r="P2936" s="10"/>
      <c r="Q2936" s="10"/>
      <c r="R2936" s="10"/>
      <c r="S2936" s="10"/>
      <c r="T2936" s="10"/>
      <c r="U2936" s="10"/>
      <c r="V2936" s="10"/>
      <c r="W2936" s="10"/>
      <c r="X2936" s="10"/>
      <c r="Y2936" s="10"/>
      <c r="Z2936" s="10"/>
      <c r="AA2936" s="10"/>
      <c r="AB2936" s="10"/>
      <c r="AC2936" s="10"/>
      <c r="AD2936" s="10"/>
      <c r="AE2936" s="10"/>
      <c r="AF2936" s="10"/>
    </row>
    <row r="2937">
      <c r="A2937" s="7"/>
      <c r="B2937" s="26">
        <v>239.0</v>
      </c>
      <c r="C2937" s="27">
        <v>5.0</v>
      </c>
      <c r="D2937" s="8" t="s">
        <v>3895</v>
      </c>
      <c r="E2937" s="7">
        <v>2.0</v>
      </c>
      <c r="F2937" s="7" t="s">
        <v>320</v>
      </c>
      <c r="G2937" s="7" t="s">
        <v>313</v>
      </c>
      <c r="H2937" s="7" t="s">
        <v>312</v>
      </c>
      <c r="I2937" s="10"/>
      <c r="J2937" s="9" t="s">
        <v>3896</v>
      </c>
      <c r="K2937" s="8" t="s">
        <v>851</v>
      </c>
      <c r="L2937" s="12"/>
      <c r="M2937" s="10"/>
      <c r="N2937" s="10"/>
      <c r="O2937" s="10"/>
      <c r="P2937" s="10"/>
      <c r="Q2937" s="10"/>
      <c r="R2937" s="10"/>
      <c r="S2937" s="10"/>
      <c r="T2937" s="10"/>
      <c r="U2937" s="10"/>
      <c r="V2937" s="10"/>
      <c r="W2937" s="10"/>
      <c r="X2937" s="10"/>
      <c r="Y2937" s="10"/>
      <c r="Z2937" s="10"/>
      <c r="AA2937" s="10"/>
      <c r="AB2937" s="10"/>
      <c r="AC2937" s="10"/>
      <c r="AD2937" s="10"/>
      <c r="AE2937" s="10"/>
      <c r="AF2937" s="10"/>
    </row>
    <row r="2938">
      <c r="A2938" s="7"/>
      <c r="B2938" s="26">
        <v>239.0</v>
      </c>
      <c r="C2938" s="27">
        <v>6.0</v>
      </c>
      <c r="D2938" s="8" t="s">
        <v>3897</v>
      </c>
      <c r="E2938" s="7">
        <v>2.0</v>
      </c>
      <c r="F2938" s="7" t="s">
        <v>320</v>
      </c>
      <c r="G2938" s="7" t="s">
        <v>313</v>
      </c>
      <c r="H2938" s="7" t="s">
        <v>312</v>
      </c>
      <c r="I2938" s="10"/>
      <c r="J2938" s="9" t="s">
        <v>3898</v>
      </c>
      <c r="K2938" s="8" t="s">
        <v>851</v>
      </c>
      <c r="L2938" s="12"/>
      <c r="M2938" s="10"/>
      <c r="N2938" s="10"/>
      <c r="O2938" s="10"/>
      <c r="P2938" s="10"/>
      <c r="Q2938" s="10"/>
      <c r="R2938" s="10"/>
      <c r="S2938" s="10"/>
      <c r="T2938" s="10"/>
      <c r="U2938" s="10"/>
      <c r="V2938" s="10"/>
      <c r="W2938" s="10"/>
      <c r="X2938" s="10"/>
      <c r="Y2938" s="10"/>
      <c r="Z2938" s="10"/>
      <c r="AA2938" s="10"/>
      <c r="AB2938" s="10"/>
      <c r="AC2938" s="10"/>
      <c r="AD2938" s="10"/>
      <c r="AE2938" s="10"/>
      <c r="AF2938" s="10"/>
    </row>
    <row r="2939">
      <c r="A2939" s="7"/>
      <c r="B2939" s="26">
        <v>239.0</v>
      </c>
      <c r="C2939" s="27">
        <v>7.0</v>
      </c>
      <c r="D2939" s="8" t="s">
        <v>3899</v>
      </c>
      <c r="E2939" s="7">
        <v>0.0</v>
      </c>
      <c r="F2939" s="7"/>
      <c r="G2939" s="7" t="s">
        <v>313</v>
      </c>
      <c r="H2939" s="7" t="s">
        <v>312</v>
      </c>
      <c r="I2939" s="10"/>
      <c r="J2939" s="11"/>
      <c r="K2939" s="12"/>
      <c r="L2939" s="14" t="s">
        <v>3900</v>
      </c>
      <c r="M2939" s="10"/>
      <c r="N2939" s="10"/>
      <c r="O2939" s="10"/>
      <c r="P2939" s="10"/>
      <c r="Q2939" s="10"/>
      <c r="R2939" s="10"/>
      <c r="S2939" s="10"/>
      <c r="T2939" s="10"/>
      <c r="U2939" s="10"/>
      <c r="V2939" s="10"/>
      <c r="W2939" s="10"/>
      <c r="X2939" s="10"/>
      <c r="Y2939" s="10"/>
      <c r="Z2939" s="10"/>
      <c r="AA2939" s="10"/>
      <c r="AB2939" s="10"/>
      <c r="AC2939" s="10"/>
      <c r="AD2939" s="10"/>
      <c r="AE2939" s="10"/>
      <c r="AF2939" s="10"/>
    </row>
    <row r="2940">
      <c r="A2940" s="7"/>
      <c r="B2940" s="26">
        <v>239.0</v>
      </c>
      <c r="C2940" s="27">
        <v>8.0</v>
      </c>
      <c r="D2940" s="8" t="s">
        <v>3901</v>
      </c>
      <c r="E2940" s="7">
        <v>0.0</v>
      </c>
      <c r="F2940" s="7" t="s">
        <v>320</v>
      </c>
      <c r="G2940" s="7" t="s">
        <v>313</v>
      </c>
      <c r="H2940" s="7" t="s">
        <v>312</v>
      </c>
      <c r="I2940" s="7" t="s">
        <v>320</v>
      </c>
      <c r="J2940" s="9" t="s">
        <v>3902</v>
      </c>
      <c r="K2940" s="12"/>
      <c r="L2940" s="12"/>
      <c r="M2940" s="10"/>
      <c r="N2940" s="10"/>
      <c r="O2940" s="10"/>
      <c r="P2940" s="10"/>
      <c r="Q2940" s="10"/>
      <c r="R2940" s="10"/>
      <c r="S2940" s="10"/>
      <c r="T2940" s="10"/>
      <c r="U2940" s="10"/>
      <c r="V2940" s="10"/>
      <c r="W2940" s="10"/>
      <c r="X2940" s="10"/>
      <c r="Y2940" s="10"/>
      <c r="Z2940" s="10"/>
      <c r="AA2940" s="10"/>
      <c r="AB2940" s="10"/>
      <c r="AC2940" s="10"/>
      <c r="AD2940" s="10"/>
      <c r="AE2940" s="10"/>
      <c r="AF2940" s="10"/>
    </row>
    <row r="2941">
      <c r="A2941" s="7"/>
      <c r="B2941" s="26">
        <v>239.0</v>
      </c>
      <c r="C2941" s="27">
        <v>9.0</v>
      </c>
      <c r="D2941" s="8" t="s">
        <v>3903</v>
      </c>
      <c r="E2941" s="7">
        <v>0.0</v>
      </c>
      <c r="F2941" s="7"/>
      <c r="G2941" s="7" t="s">
        <v>313</v>
      </c>
      <c r="H2941" s="7" t="s">
        <v>312</v>
      </c>
      <c r="I2941" s="10"/>
      <c r="J2941" s="11"/>
      <c r="K2941" s="12"/>
      <c r="L2941" s="12"/>
      <c r="M2941" s="10"/>
      <c r="N2941" s="10"/>
      <c r="O2941" s="10"/>
      <c r="P2941" s="10"/>
      <c r="Q2941" s="10"/>
      <c r="R2941" s="10"/>
      <c r="S2941" s="10"/>
      <c r="T2941" s="10"/>
      <c r="U2941" s="10"/>
      <c r="V2941" s="10"/>
      <c r="W2941" s="10"/>
      <c r="X2941" s="10"/>
      <c r="Y2941" s="10"/>
      <c r="Z2941" s="10"/>
      <c r="AA2941" s="10"/>
      <c r="AB2941" s="10"/>
      <c r="AC2941" s="10"/>
      <c r="AD2941" s="10"/>
      <c r="AE2941" s="10"/>
      <c r="AF2941" s="10"/>
    </row>
    <row r="2942">
      <c r="A2942" s="7"/>
      <c r="B2942" s="26">
        <v>239.0</v>
      </c>
      <c r="C2942" s="27">
        <v>10.0</v>
      </c>
      <c r="D2942" s="8" t="s">
        <v>3904</v>
      </c>
      <c r="E2942" s="7">
        <v>0.0</v>
      </c>
      <c r="F2942" s="7"/>
      <c r="G2942" s="7" t="s">
        <v>313</v>
      </c>
      <c r="H2942" s="7" t="s">
        <v>312</v>
      </c>
      <c r="I2942" s="10"/>
      <c r="J2942" s="11"/>
      <c r="K2942" s="12"/>
      <c r="L2942" s="12"/>
      <c r="M2942" s="10"/>
      <c r="N2942" s="10"/>
      <c r="O2942" s="10"/>
      <c r="P2942" s="10"/>
      <c r="Q2942" s="10"/>
      <c r="R2942" s="10"/>
      <c r="S2942" s="10"/>
      <c r="T2942" s="10"/>
      <c r="U2942" s="10"/>
      <c r="V2942" s="10"/>
      <c r="W2942" s="10"/>
      <c r="X2942" s="10"/>
      <c r="Y2942" s="10"/>
      <c r="Z2942" s="10"/>
      <c r="AA2942" s="10"/>
      <c r="AB2942" s="10"/>
      <c r="AC2942" s="10"/>
      <c r="AD2942" s="10"/>
      <c r="AE2942" s="10"/>
      <c r="AF2942" s="10"/>
    </row>
    <row r="2943">
      <c r="A2943" s="7"/>
      <c r="B2943" s="26">
        <v>239.0</v>
      </c>
      <c r="C2943" s="27">
        <v>11.0</v>
      </c>
      <c r="D2943" s="8" t="s">
        <v>3905</v>
      </c>
      <c r="E2943" s="7">
        <v>0.0</v>
      </c>
      <c r="F2943" s="7"/>
      <c r="G2943" s="7" t="s">
        <v>313</v>
      </c>
      <c r="H2943" s="7" t="s">
        <v>312</v>
      </c>
      <c r="I2943" s="10"/>
      <c r="J2943" s="11"/>
      <c r="K2943" s="12"/>
      <c r="L2943" s="12"/>
      <c r="M2943" s="10"/>
      <c r="N2943" s="10"/>
      <c r="O2943" s="10"/>
      <c r="P2943" s="10"/>
      <c r="Q2943" s="10"/>
      <c r="R2943" s="10"/>
      <c r="S2943" s="10"/>
      <c r="T2943" s="10"/>
      <c r="U2943" s="10"/>
      <c r="V2943" s="10"/>
      <c r="W2943" s="10"/>
      <c r="X2943" s="10"/>
      <c r="Y2943" s="10"/>
      <c r="Z2943" s="10"/>
      <c r="AA2943" s="10"/>
      <c r="AB2943" s="10"/>
      <c r="AC2943" s="10"/>
      <c r="AD2943" s="10"/>
      <c r="AE2943" s="10"/>
      <c r="AF2943" s="10"/>
    </row>
    <row r="2944">
      <c r="A2944" s="7"/>
      <c r="B2944" s="26">
        <v>239.0</v>
      </c>
      <c r="C2944" s="27">
        <v>12.0</v>
      </c>
      <c r="D2944" s="8" t="s">
        <v>3906</v>
      </c>
      <c r="E2944" s="7">
        <v>0.0</v>
      </c>
      <c r="F2944" s="7"/>
      <c r="G2944" s="7" t="s">
        <v>313</v>
      </c>
      <c r="H2944" s="7" t="s">
        <v>312</v>
      </c>
      <c r="I2944" s="10"/>
      <c r="J2944" s="11"/>
      <c r="K2944" s="12"/>
      <c r="L2944" s="12"/>
      <c r="M2944" s="10"/>
      <c r="N2944" s="10"/>
      <c r="O2944" s="10"/>
      <c r="P2944" s="10"/>
      <c r="Q2944" s="10"/>
      <c r="R2944" s="10"/>
      <c r="S2944" s="10"/>
      <c r="T2944" s="10"/>
      <c r="U2944" s="10"/>
      <c r="V2944" s="10"/>
      <c r="W2944" s="10"/>
      <c r="X2944" s="10"/>
      <c r="Y2944" s="10"/>
      <c r="Z2944" s="10"/>
      <c r="AA2944" s="10"/>
      <c r="AB2944" s="10"/>
      <c r="AC2944" s="10"/>
      <c r="AD2944" s="10"/>
      <c r="AE2944" s="10"/>
      <c r="AF2944" s="10"/>
    </row>
    <row r="2945">
      <c r="A2945" s="7"/>
      <c r="B2945" s="26">
        <v>239.0</v>
      </c>
      <c r="C2945" s="27">
        <v>13.0</v>
      </c>
      <c r="D2945" s="8" t="s">
        <v>3907</v>
      </c>
      <c r="E2945" s="7">
        <v>0.0</v>
      </c>
      <c r="F2945" s="7"/>
      <c r="G2945" s="7" t="s">
        <v>313</v>
      </c>
      <c r="H2945" s="7" t="s">
        <v>312</v>
      </c>
      <c r="I2945" s="10"/>
      <c r="J2945" s="11"/>
      <c r="K2945" s="12"/>
      <c r="L2945" s="12"/>
      <c r="M2945" s="10"/>
      <c r="N2945" s="10"/>
      <c r="O2945" s="10"/>
      <c r="P2945" s="10"/>
      <c r="Q2945" s="10"/>
      <c r="R2945" s="10"/>
      <c r="S2945" s="10"/>
      <c r="T2945" s="10"/>
      <c r="U2945" s="10"/>
      <c r="V2945" s="10"/>
      <c r="W2945" s="10"/>
      <c r="X2945" s="10"/>
      <c r="Y2945" s="10"/>
      <c r="Z2945" s="10"/>
      <c r="AA2945" s="10"/>
      <c r="AB2945" s="10"/>
      <c r="AC2945" s="10"/>
      <c r="AD2945" s="10"/>
      <c r="AE2945" s="10"/>
      <c r="AF2945" s="10"/>
    </row>
    <row r="2946">
      <c r="A2946" s="7"/>
      <c r="B2946" s="26">
        <v>239.0</v>
      </c>
      <c r="C2946" s="27">
        <v>14.0</v>
      </c>
      <c r="D2946" s="8" t="s">
        <v>3908</v>
      </c>
      <c r="E2946" s="7">
        <v>0.0</v>
      </c>
      <c r="F2946" s="7"/>
      <c r="G2946" s="7" t="s">
        <v>313</v>
      </c>
      <c r="H2946" s="7" t="s">
        <v>312</v>
      </c>
      <c r="I2946" s="10"/>
      <c r="L2946" s="12"/>
      <c r="M2946" s="10"/>
      <c r="N2946" s="10"/>
      <c r="O2946" s="10"/>
      <c r="P2946" s="10"/>
      <c r="Q2946" s="10"/>
      <c r="R2946" s="10"/>
      <c r="S2946" s="10"/>
      <c r="T2946" s="10"/>
      <c r="U2946" s="10"/>
      <c r="V2946" s="10"/>
      <c r="W2946" s="10"/>
      <c r="X2946" s="10"/>
      <c r="Y2946" s="10"/>
      <c r="Z2946" s="10"/>
      <c r="AA2946" s="10"/>
      <c r="AB2946" s="10"/>
      <c r="AC2946" s="10"/>
      <c r="AD2946" s="10"/>
      <c r="AE2946" s="10"/>
      <c r="AF2946" s="10"/>
    </row>
    <row r="2947">
      <c r="A2947" s="7"/>
      <c r="B2947" s="26">
        <v>239.0</v>
      </c>
      <c r="C2947" s="27">
        <v>15.0</v>
      </c>
      <c r="D2947" s="8" t="s">
        <v>3909</v>
      </c>
      <c r="E2947" s="7">
        <v>0.0</v>
      </c>
      <c r="F2947" s="7"/>
      <c r="G2947" s="7" t="s">
        <v>313</v>
      </c>
      <c r="H2947" s="7" t="s">
        <v>312</v>
      </c>
      <c r="I2947" s="10"/>
      <c r="J2947" s="11"/>
      <c r="K2947" s="12"/>
      <c r="L2947" s="12"/>
      <c r="M2947" s="10"/>
      <c r="N2947" s="10"/>
      <c r="O2947" s="10"/>
      <c r="P2947" s="10"/>
      <c r="Q2947" s="10"/>
      <c r="R2947" s="10"/>
      <c r="S2947" s="10"/>
      <c r="T2947" s="10"/>
      <c r="U2947" s="10"/>
      <c r="V2947" s="10"/>
      <c r="W2947" s="10"/>
      <c r="X2947" s="10"/>
      <c r="Y2947" s="10"/>
      <c r="Z2947" s="10"/>
      <c r="AA2947" s="10"/>
      <c r="AB2947" s="10"/>
      <c r="AC2947" s="10"/>
      <c r="AD2947" s="10"/>
      <c r="AE2947" s="10"/>
      <c r="AF2947" s="10"/>
    </row>
    <row r="2948">
      <c r="A2948" s="7"/>
      <c r="B2948" s="26">
        <v>239.0</v>
      </c>
      <c r="C2948" s="27">
        <v>16.0</v>
      </c>
      <c r="D2948" s="8" t="s">
        <v>3910</v>
      </c>
      <c r="E2948" s="7">
        <v>0.0</v>
      </c>
      <c r="F2948" s="7"/>
      <c r="G2948" s="7" t="s">
        <v>313</v>
      </c>
      <c r="H2948" s="7" t="s">
        <v>312</v>
      </c>
      <c r="I2948" s="10"/>
      <c r="J2948" s="11"/>
      <c r="K2948" s="12"/>
      <c r="L2948" s="12"/>
      <c r="M2948" s="10"/>
      <c r="N2948" s="10"/>
      <c r="O2948" s="10"/>
      <c r="P2948" s="10"/>
      <c r="Q2948" s="10"/>
      <c r="R2948" s="10"/>
      <c r="S2948" s="10"/>
      <c r="T2948" s="10"/>
      <c r="U2948" s="10"/>
      <c r="V2948" s="10"/>
      <c r="W2948" s="10"/>
      <c r="X2948" s="10"/>
      <c r="Y2948" s="10"/>
      <c r="Z2948" s="10"/>
      <c r="AA2948" s="10"/>
      <c r="AB2948" s="10"/>
      <c r="AC2948" s="10"/>
      <c r="AD2948" s="10"/>
      <c r="AE2948" s="10"/>
      <c r="AF2948" s="10"/>
    </row>
    <row r="2949">
      <c r="A2949" s="7"/>
      <c r="B2949" s="26">
        <v>239.0</v>
      </c>
      <c r="C2949" s="27">
        <v>17.0</v>
      </c>
      <c r="D2949" s="8" t="s">
        <v>3911</v>
      </c>
      <c r="E2949" s="7">
        <v>2.0</v>
      </c>
      <c r="F2949" s="7" t="s">
        <v>320</v>
      </c>
      <c r="G2949" s="7" t="s">
        <v>313</v>
      </c>
      <c r="H2949" s="7" t="s">
        <v>312</v>
      </c>
      <c r="I2949" s="7"/>
      <c r="J2949" s="9" t="s">
        <v>3912</v>
      </c>
      <c r="K2949" s="8" t="s">
        <v>851</v>
      </c>
      <c r="L2949" s="12"/>
      <c r="M2949" s="10"/>
      <c r="N2949" s="10"/>
      <c r="O2949" s="10"/>
      <c r="P2949" s="10"/>
      <c r="Q2949" s="10"/>
      <c r="R2949" s="10"/>
      <c r="S2949" s="10"/>
      <c r="T2949" s="10"/>
      <c r="U2949" s="10"/>
      <c r="V2949" s="10"/>
      <c r="W2949" s="10"/>
      <c r="X2949" s="10"/>
      <c r="Y2949" s="10"/>
      <c r="Z2949" s="10"/>
      <c r="AA2949" s="10"/>
      <c r="AB2949" s="10"/>
      <c r="AC2949" s="10"/>
      <c r="AD2949" s="10"/>
      <c r="AE2949" s="10"/>
      <c r="AF2949" s="10"/>
    </row>
    <row r="2950">
      <c r="A2950" s="7"/>
      <c r="B2950" s="26">
        <v>239.0</v>
      </c>
      <c r="C2950" s="27">
        <v>18.0</v>
      </c>
      <c r="D2950" s="8" t="s">
        <v>3913</v>
      </c>
      <c r="E2950" s="7">
        <v>2.0</v>
      </c>
      <c r="F2950" s="7" t="s">
        <v>320</v>
      </c>
      <c r="G2950" s="7" t="s">
        <v>313</v>
      </c>
      <c r="H2950" s="7" t="s">
        <v>312</v>
      </c>
      <c r="I2950" s="7"/>
      <c r="J2950" s="9" t="s">
        <v>3914</v>
      </c>
      <c r="K2950" s="8" t="s">
        <v>851</v>
      </c>
      <c r="L2950" s="12"/>
      <c r="M2950" s="10"/>
      <c r="N2950" s="10"/>
      <c r="O2950" s="10"/>
      <c r="P2950" s="10"/>
      <c r="Q2950" s="10"/>
      <c r="R2950" s="10"/>
      <c r="S2950" s="10"/>
      <c r="T2950" s="10"/>
      <c r="U2950" s="10"/>
      <c r="V2950" s="10"/>
      <c r="W2950" s="10"/>
      <c r="X2950" s="10"/>
      <c r="Y2950" s="10"/>
      <c r="Z2950" s="10"/>
      <c r="AA2950" s="10"/>
      <c r="AB2950" s="10"/>
      <c r="AC2950" s="10"/>
      <c r="AD2950" s="10"/>
      <c r="AE2950" s="10"/>
      <c r="AF2950" s="10"/>
    </row>
    <row r="2951">
      <c r="A2951" s="7"/>
      <c r="B2951" s="26">
        <v>239.0</v>
      </c>
      <c r="C2951" s="27">
        <v>19.0</v>
      </c>
      <c r="D2951" s="8" t="s">
        <v>3915</v>
      </c>
      <c r="E2951" s="7">
        <v>0.0</v>
      </c>
      <c r="F2951" s="7"/>
      <c r="G2951" s="7" t="s">
        <v>313</v>
      </c>
      <c r="H2951" s="7" t="s">
        <v>312</v>
      </c>
      <c r="I2951" s="10"/>
      <c r="J2951" s="11"/>
      <c r="K2951" s="12"/>
      <c r="L2951" s="14" t="s">
        <v>3900</v>
      </c>
      <c r="M2951" s="10"/>
      <c r="N2951" s="10"/>
      <c r="O2951" s="10"/>
      <c r="P2951" s="10"/>
      <c r="Q2951" s="10"/>
      <c r="R2951" s="10"/>
      <c r="S2951" s="10"/>
      <c r="T2951" s="10"/>
      <c r="U2951" s="10"/>
      <c r="V2951" s="10"/>
      <c r="W2951" s="10"/>
      <c r="X2951" s="10"/>
      <c r="Y2951" s="10"/>
      <c r="Z2951" s="10"/>
      <c r="AA2951" s="10"/>
      <c r="AB2951" s="10"/>
      <c r="AC2951" s="10"/>
      <c r="AD2951" s="10"/>
      <c r="AE2951" s="10"/>
      <c r="AF2951" s="10"/>
    </row>
    <row r="2952">
      <c r="A2952" s="7"/>
      <c r="B2952" s="26">
        <v>239.0</v>
      </c>
      <c r="C2952" s="27">
        <v>20.0</v>
      </c>
      <c r="D2952" s="8" t="s">
        <v>3916</v>
      </c>
      <c r="E2952" s="7">
        <v>0.0</v>
      </c>
      <c r="F2952" s="7" t="s">
        <v>320</v>
      </c>
      <c r="G2952" s="7" t="s">
        <v>313</v>
      </c>
      <c r="H2952" s="7" t="s">
        <v>312</v>
      </c>
      <c r="I2952" s="7" t="s">
        <v>320</v>
      </c>
      <c r="J2952" s="9" t="s">
        <v>3917</v>
      </c>
      <c r="L2952" s="12"/>
      <c r="M2952" s="10"/>
      <c r="N2952" s="10"/>
      <c r="O2952" s="10"/>
      <c r="P2952" s="10"/>
      <c r="Q2952" s="10"/>
      <c r="R2952" s="10"/>
      <c r="S2952" s="10"/>
      <c r="T2952" s="10"/>
      <c r="U2952" s="10"/>
      <c r="V2952" s="10"/>
      <c r="W2952" s="10"/>
      <c r="X2952" s="10"/>
      <c r="Y2952" s="10"/>
      <c r="Z2952" s="10"/>
      <c r="AA2952" s="10"/>
      <c r="AB2952" s="10"/>
      <c r="AC2952" s="10"/>
      <c r="AD2952" s="10"/>
      <c r="AE2952" s="10"/>
      <c r="AF2952" s="10"/>
    </row>
    <row r="2953">
      <c r="A2953" s="7"/>
      <c r="B2953" s="26">
        <v>239.0</v>
      </c>
      <c r="C2953" s="27">
        <v>21.0</v>
      </c>
      <c r="D2953" s="8" t="s">
        <v>3918</v>
      </c>
      <c r="E2953" s="7">
        <v>0.0</v>
      </c>
      <c r="F2953" s="7"/>
      <c r="G2953" s="7" t="s">
        <v>313</v>
      </c>
      <c r="H2953" s="7" t="s">
        <v>312</v>
      </c>
      <c r="I2953" s="10"/>
      <c r="J2953" s="11"/>
      <c r="K2953" s="12"/>
      <c r="L2953" s="12"/>
      <c r="M2953" s="10"/>
      <c r="N2953" s="10"/>
      <c r="O2953" s="10"/>
      <c r="P2953" s="10"/>
      <c r="Q2953" s="10"/>
      <c r="R2953" s="10"/>
      <c r="S2953" s="10"/>
      <c r="T2953" s="10"/>
      <c r="U2953" s="10"/>
      <c r="V2953" s="10"/>
      <c r="W2953" s="10"/>
      <c r="X2953" s="10"/>
      <c r="Y2953" s="10"/>
      <c r="Z2953" s="10"/>
      <c r="AA2953" s="10"/>
      <c r="AB2953" s="10"/>
      <c r="AC2953" s="10"/>
      <c r="AD2953" s="10"/>
      <c r="AE2953" s="10"/>
      <c r="AF2953" s="10"/>
    </row>
    <row r="2954">
      <c r="A2954" s="7"/>
      <c r="B2954" s="26">
        <v>239.0</v>
      </c>
      <c r="C2954" s="27">
        <v>22.0</v>
      </c>
      <c r="D2954" s="8" t="s">
        <v>3919</v>
      </c>
      <c r="E2954" s="7">
        <v>0.0</v>
      </c>
      <c r="F2954" s="7"/>
      <c r="G2954" s="7" t="s">
        <v>313</v>
      </c>
      <c r="H2954" s="7" t="s">
        <v>312</v>
      </c>
      <c r="I2954" s="10"/>
      <c r="J2954" s="11"/>
      <c r="K2954" s="12"/>
      <c r="L2954" s="12"/>
      <c r="M2954" s="10"/>
      <c r="N2954" s="10"/>
      <c r="O2954" s="10"/>
      <c r="P2954" s="10"/>
      <c r="Q2954" s="10"/>
      <c r="R2954" s="10"/>
      <c r="S2954" s="10"/>
      <c r="T2954" s="10"/>
      <c r="U2954" s="10"/>
      <c r="V2954" s="10"/>
      <c r="W2954" s="10"/>
      <c r="X2954" s="10"/>
      <c r="Y2954" s="10"/>
      <c r="Z2954" s="10"/>
      <c r="AA2954" s="10"/>
      <c r="AB2954" s="10"/>
      <c r="AC2954" s="10"/>
      <c r="AD2954" s="10"/>
      <c r="AE2954" s="10"/>
      <c r="AF2954" s="10"/>
    </row>
    <row r="2955">
      <c r="A2955" s="7"/>
      <c r="B2955" s="26">
        <v>239.0</v>
      </c>
      <c r="C2955" s="27">
        <v>23.0</v>
      </c>
      <c r="D2955" s="8" t="s">
        <v>3920</v>
      </c>
      <c r="E2955" s="7">
        <v>0.0</v>
      </c>
      <c r="F2955" s="7"/>
      <c r="G2955" s="7" t="s">
        <v>313</v>
      </c>
      <c r="H2955" s="7" t="s">
        <v>312</v>
      </c>
      <c r="I2955" s="10"/>
      <c r="J2955" s="11"/>
      <c r="K2955" s="12"/>
      <c r="L2955" s="12"/>
      <c r="M2955" s="10"/>
      <c r="N2955" s="10"/>
      <c r="O2955" s="10"/>
      <c r="P2955" s="10"/>
      <c r="Q2955" s="10"/>
      <c r="R2955" s="10"/>
      <c r="S2955" s="10"/>
      <c r="T2955" s="10"/>
      <c r="U2955" s="10"/>
      <c r="V2955" s="10"/>
      <c r="W2955" s="10"/>
      <c r="X2955" s="10"/>
      <c r="Y2955" s="10"/>
      <c r="Z2955" s="10"/>
      <c r="AA2955" s="10"/>
      <c r="AB2955" s="10"/>
      <c r="AC2955" s="10"/>
      <c r="AD2955" s="10"/>
      <c r="AE2955" s="10"/>
      <c r="AF2955" s="10"/>
    </row>
    <row r="2956">
      <c r="A2956" s="7"/>
      <c r="B2956" s="26">
        <v>239.0</v>
      </c>
      <c r="C2956" s="27">
        <v>24.0</v>
      </c>
      <c r="D2956" s="8" t="s">
        <v>3921</v>
      </c>
      <c r="E2956" s="7">
        <v>0.0</v>
      </c>
      <c r="F2956" s="7"/>
      <c r="G2956" s="7" t="s">
        <v>313</v>
      </c>
      <c r="H2956" s="7" t="s">
        <v>312</v>
      </c>
      <c r="I2956" s="10"/>
      <c r="J2956" s="11"/>
      <c r="K2956" s="12"/>
      <c r="L2956" s="12"/>
      <c r="M2956" s="10"/>
      <c r="N2956" s="10"/>
      <c r="O2956" s="10"/>
      <c r="P2956" s="10"/>
      <c r="Q2956" s="10"/>
      <c r="R2956" s="10"/>
      <c r="S2956" s="10"/>
      <c r="T2956" s="10"/>
      <c r="U2956" s="10"/>
      <c r="V2956" s="10"/>
      <c r="W2956" s="10"/>
      <c r="X2956" s="10"/>
      <c r="Y2956" s="10"/>
      <c r="Z2956" s="10"/>
      <c r="AA2956" s="10"/>
      <c r="AB2956" s="10"/>
      <c r="AC2956" s="10"/>
      <c r="AD2956" s="10"/>
      <c r="AE2956" s="10"/>
      <c r="AF2956" s="10"/>
    </row>
    <row r="2957">
      <c r="A2957" s="7"/>
      <c r="B2957" s="26">
        <v>239.0</v>
      </c>
      <c r="C2957" s="27">
        <v>25.0</v>
      </c>
      <c r="D2957" s="8" t="s">
        <v>3922</v>
      </c>
      <c r="E2957" s="7">
        <v>0.0</v>
      </c>
      <c r="F2957" s="7"/>
      <c r="G2957" s="7" t="s">
        <v>313</v>
      </c>
      <c r="H2957" s="7" t="s">
        <v>312</v>
      </c>
      <c r="I2957" s="10"/>
      <c r="J2957" s="11"/>
      <c r="K2957" s="12"/>
      <c r="L2957" s="12"/>
      <c r="M2957" s="10"/>
      <c r="N2957" s="10"/>
      <c r="O2957" s="10"/>
      <c r="P2957" s="10"/>
      <c r="Q2957" s="10"/>
      <c r="R2957" s="10"/>
      <c r="S2957" s="10"/>
      <c r="T2957" s="10"/>
      <c r="U2957" s="10"/>
      <c r="V2957" s="10"/>
      <c r="W2957" s="10"/>
      <c r="X2957" s="10"/>
      <c r="Y2957" s="10"/>
      <c r="Z2957" s="10"/>
      <c r="AA2957" s="10"/>
      <c r="AB2957" s="10"/>
      <c r="AC2957" s="10"/>
      <c r="AD2957" s="10"/>
      <c r="AE2957" s="10"/>
      <c r="AF2957" s="10"/>
    </row>
    <row r="2958">
      <c r="A2958" s="7"/>
      <c r="B2958" s="26">
        <v>239.0</v>
      </c>
      <c r="C2958" s="27">
        <v>26.0</v>
      </c>
      <c r="D2958" s="8" t="s">
        <v>3923</v>
      </c>
      <c r="E2958" s="7">
        <v>0.0</v>
      </c>
      <c r="F2958" s="7"/>
      <c r="G2958" s="7" t="s">
        <v>313</v>
      </c>
      <c r="H2958" s="7" t="s">
        <v>312</v>
      </c>
      <c r="I2958" s="10"/>
      <c r="J2958" s="11"/>
      <c r="K2958" s="12"/>
      <c r="L2958" s="12"/>
      <c r="M2958" s="10"/>
      <c r="N2958" s="10"/>
      <c r="O2958" s="10"/>
      <c r="P2958" s="10"/>
      <c r="Q2958" s="10"/>
      <c r="R2958" s="10"/>
      <c r="S2958" s="10"/>
      <c r="T2958" s="10"/>
      <c r="U2958" s="10"/>
      <c r="V2958" s="10"/>
      <c r="W2958" s="10"/>
      <c r="X2958" s="10"/>
      <c r="Y2958" s="10"/>
      <c r="Z2958" s="10"/>
      <c r="AA2958" s="10"/>
      <c r="AB2958" s="10"/>
      <c r="AC2958" s="10"/>
      <c r="AD2958" s="10"/>
      <c r="AE2958" s="10"/>
      <c r="AF2958" s="10"/>
    </row>
    <row r="2959">
      <c r="A2959" s="7"/>
      <c r="B2959" s="26">
        <v>239.0</v>
      </c>
      <c r="C2959" s="27">
        <v>27.0</v>
      </c>
      <c r="D2959" s="8" t="s">
        <v>3924</v>
      </c>
      <c r="E2959" s="7">
        <v>0.0</v>
      </c>
      <c r="F2959" s="7"/>
      <c r="G2959" s="7" t="s">
        <v>313</v>
      </c>
      <c r="H2959" s="7" t="s">
        <v>312</v>
      </c>
      <c r="I2959" s="10"/>
      <c r="J2959" s="11"/>
      <c r="K2959" s="12"/>
      <c r="L2959" s="12"/>
      <c r="M2959" s="10"/>
      <c r="N2959" s="10"/>
      <c r="O2959" s="10"/>
      <c r="P2959" s="10"/>
      <c r="Q2959" s="10"/>
      <c r="R2959" s="10"/>
      <c r="S2959" s="10"/>
      <c r="T2959" s="10"/>
      <c r="U2959" s="10"/>
      <c r="V2959" s="10"/>
      <c r="W2959" s="10"/>
      <c r="X2959" s="10"/>
      <c r="Y2959" s="10"/>
      <c r="Z2959" s="10"/>
      <c r="AA2959" s="10"/>
      <c r="AB2959" s="10"/>
      <c r="AC2959" s="10"/>
      <c r="AD2959" s="10"/>
      <c r="AE2959" s="10"/>
      <c r="AF2959" s="10"/>
    </row>
    <row r="2960">
      <c r="A2960" s="7"/>
      <c r="B2960" s="26">
        <v>239.0</v>
      </c>
      <c r="C2960" s="27">
        <v>28.0</v>
      </c>
      <c r="D2960" s="8" t="s">
        <v>3925</v>
      </c>
      <c r="E2960" s="7">
        <v>2.0</v>
      </c>
      <c r="F2960" s="7" t="s">
        <v>320</v>
      </c>
      <c r="G2960" s="7" t="s">
        <v>313</v>
      </c>
      <c r="H2960" s="7" t="s">
        <v>312</v>
      </c>
      <c r="I2960" s="7"/>
      <c r="J2960" s="9" t="s">
        <v>3926</v>
      </c>
      <c r="K2960" s="8" t="s">
        <v>851</v>
      </c>
      <c r="L2960" s="12"/>
      <c r="M2960" s="10"/>
      <c r="N2960" s="10"/>
      <c r="O2960" s="10"/>
      <c r="P2960" s="10"/>
      <c r="Q2960" s="10"/>
      <c r="R2960" s="10"/>
      <c r="S2960" s="10"/>
      <c r="T2960" s="10"/>
      <c r="U2960" s="10"/>
      <c r="V2960" s="10"/>
      <c r="W2960" s="10"/>
      <c r="X2960" s="10"/>
      <c r="Y2960" s="10"/>
      <c r="Z2960" s="10"/>
      <c r="AA2960" s="10"/>
      <c r="AB2960" s="10"/>
      <c r="AC2960" s="10"/>
      <c r="AD2960" s="10"/>
      <c r="AE2960" s="10"/>
      <c r="AF2960" s="10"/>
    </row>
    <row r="2961">
      <c r="A2961" s="7"/>
      <c r="B2961" s="26">
        <v>239.0</v>
      </c>
      <c r="C2961" s="27">
        <v>29.0</v>
      </c>
      <c r="D2961" s="8" t="s">
        <v>3927</v>
      </c>
      <c r="E2961" s="7">
        <v>2.0</v>
      </c>
      <c r="F2961" s="7" t="s">
        <v>320</v>
      </c>
      <c r="G2961" s="7" t="s">
        <v>313</v>
      </c>
      <c r="H2961" s="7" t="s">
        <v>312</v>
      </c>
      <c r="I2961" s="7"/>
      <c r="J2961" s="9" t="s">
        <v>3928</v>
      </c>
      <c r="K2961" s="8" t="s">
        <v>851</v>
      </c>
      <c r="L2961" s="12"/>
      <c r="M2961" s="10"/>
      <c r="N2961" s="10"/>
      <c r="O2961" s="10"/>
      <c r="P2961" s="10"/>
      <c r="Q2961" s="10"/>
      <c r="R2961" s="10"/>
      <c r="S2961" s="10"/>
      <c r="T2961" s="10"/>
      <c r="U2961" s="10"/>
      <c r="V2961" s="10"/>
      <c r="W2961" s="10"/>
      <c r="X2961" s="10"/>
      <c r="Y2961" s="10"/>
      <c r="Z2961" s="10"/>
      <c r="AA2961" s="10"/>
      <c r="AB2961" s="10"/>
      <c r="AC2961" s="10"/>
      <c r="AD2961" s="10"/>
      <c r="AE2961" s="10"/>
      <c r="AF2961" s="10"/>
    </row>
    <row r="2962">
      <c r="A2962" s="7"/>
      <c r="B2962" s="26">
        <v>239.0</v>
      </c>
      <c r="C2962" s="27">
        <v>30.0</v>
      </c>
      <c r="D2962" s="8" t="s">
        <v>3929</v>
      </c>
      <c r="E2962" s="7">
        <v>0.0</v>
      </c>
      <c r="F2962" s="7"/>
      <c r="G2962" s="7" t="s">
        <v>313</v>
      </c>
      <c r="H2962" s="7" t="s">
        <v>312</v>
      </c>
      <c r="I2962" s="10"/>
      <c r="J2962" s="28"/>
      <c r="K2962" s="12"/>
      <c r="L2962" s="14" t="s">
        <v>3900</v>
      </c>
      <c r="M2962" s="10"/>
      <c r="N2962" s="10"/>
      <c r="O2962" s="10"/>
      <c r="P2962" s="10"/>
      <c r="Q2962" s="10"/>
      <c r="R2962" s="10"/>
      <c r="S2962" s="10"/>
      <c r="T2962" s="10"/>
      <c r="U2962" s="10"/>
      <c r="V2962" s="10"/>
      <c r="W2962" s="10"/>
      <c r="X2962" s="10"/>
      <c r="Y2962" s="10"/>
      <c r="Z2962" s="10"/>
      <c r="AA2962" s="10"/>
      <c r="AB2962" s="10"/>
      <c r="AC2962" s="10"/>
      <c r="AD2962" s="10"/>
      <c r="AE2962" s="10"/>
      <c r="AF2962" s="10"/>
    </row>
    <row r="2963">
      <c r="A2963" s="7"/>
      <c r="B2963" s="26">
        <v>239.0</v>
      </c>
      <c r="C2963" s="27">
        <v>31.0</v>
      </c>
      <c r="D2963" s="8" t="s">
        <v>3930</v>
      </c>
      <c r="E2963" s="7">
        <v>0.0</v>
      </c>
      <c r="F2963" s="7" t="s">
        <v>320</v>
      </c>
      <c r="G2963" s="7" t="s">
        <v>313</v>
      </c>
      <c r="H2963" s="7" t="s">
        <v>312</v>
      </c>
      <c r="I2963" s="7" t="s">
        <v>320</v>
      </c>
      <c r="J2963" s="9" t="s">
        <v>3931</v>
      </c>
      <c r="K2963" s="12"/>
      <c r="L2963" s="12"/>
      <c r="M2963" s="10"/>
      <c r="N2963" s="10"/>
      <c r="O2963" s="10"/>
      <c r="P2963" s="10"/>
      <c r="Q2963" s="10"/>
      <c r="R2963" s="10"/>
      <c r="S2963" s="10"/>
      <c r="T2963" s="10"/>
      <c r="U2963" s="10"/>
      <c r="V2963" s="10"/>
      <c r="W2963" s="10"/>
      <c r="X2963" s="10"/>
      <c r="Y2963" s="10"/>
      <c r="Z2963" s="10"/>
      <c r="AA2963" s="10"/>
      <c r="AB2963" s="10"/>
      <c r="AC2963" s="10"/>
      <c r="AD2963" s="10"/>
      <c r="AE2963" s="10"/>
      <c r="AF2963" s="10"/>
    </row>
    <row r="2964">
      <c r="A2964" s="7"/>
      <c r="B2964" s="26">
        <v>239.0</v>
      </c>
      <c r="C2964" s="27">
        <v>32.0</v>
      </c>
      <c r="D2964" s="8" t="s">
        <v>3932</v>
      </c>
      <c r="E2964" s="7">
        <v>0.0</v>
      </c>
      <c r="F2964" s="7"/>
      <c r="G2964" s="7" t="s">
        <v>313</v>
      </c>
      <c r="H2964" s="7" t="s">
        <v>312</v>
      </c>
      <c r="I2964" s="10"/>
      <c r="J2964" s="11"/>
      <c r="K2964" s="12"/>
      <c r="L2964" s="12"/>
      <c r="M2964" s="10"/>
      <c r="N2964" s="10"/>
      <c r="O2964" s="10"/>
      <c r="P2964" s="10"/>
      <c r="Q2964" s="10"/>
      <c r="R2964" s="10"/>
      <c r="S2964" s="10"/>
      <c r="T2964" s="10"/>
      <c r="U2964" s="10"/>
      <c r="V2964" s="10"/>
      <c r="W2964" s="10"/>
      <c r="X2964" s="10"/>
      <c r="Y2964" s="10"/>
      <c r="Z2964" s="10"/>
      <c r="AA2964" s="10"/>
      <c r="AB2964" s="10"/>
      <c r="AC2964" s="10"/>
      <c r="AD2964" s="10"/>
      <c r="AE2964" s="10"/>
      <c r="AF2964" s="10"/>
    </row>
    <row r="2965">
      <c r="A2965" s="7"/>
      <c r="B2965" s="26">
        <v>239.0</v>
      </c>
      <c r="C2965" s="27">
        <v>33.0</v>
      </c>
      <c r="D2965" s="8" t="s">
        <v>3933</v>
      </c>
      <c r="E2965" s="7">
        <v>0.0</v>
      </c>
      <c r="F2965" s="7"/>
      <c r="G2965" s="7" t="s">
        <v>313</v>
      </c>
      <c r="H2965" s="7" t="s">
        <v>312</v>
      </c>
      <c r="I2965" s="10"/>
      <c r="J2965" s="11"/>
      <c r="K2965" s="12"/>
      <c r="L2965" s="12"/>
      <c r="M2965" s="10"/>
      <c r="N2965" s="10"/>
      <c r="O2965" s="10"/>
      <c r="P2965" s="10"/>
      <c r="Q2965" s="10"/>
      <c r="R2965" s="10"/>
      <c r="S2965" s="10"/>
      <c r="T2965" s="10"/>
      <c r="U2965" s="10"/>
      <c r="V2965" s="10"/>
      <c r="W2965" s="10"/>
      <c r="X2965" s="10"/>
      <c r="Y2965" s="10"/>
      <c r="Z2965" s="10"/>
      <c r="AA2965" s="10"/>
      <c r="AB2965" s="10"/>
      <c r="AC2965" s="10"/>
      <c r="AD2965" s="10"/>
      <c r="AE2965" s="10"/>
      <c r="AF2965" s="10"/>
    </row>
    <row r="2966">
      <c r="A2966" s="7"/>
      <c r="B2966" s="26">
        <v>239.0</v>
      </c>
      <c r="C2966" s="27">
        <v>34.0</v>
      </c>
      <c r="D2966" s="8" t="s">
        <v>3934</v>
      </c>
      <c r="E2966" s="7">
        <v>0.0</v>
      </c>
      <c r="F2966" s="7"/>
      <c r="G2966" s="7" t="s">
        <v>313</v>
      </c>
      <c r="H2966" s="7" t="s">
        <v>312</v>
      </c>
      <c r="I2966" s="10"/>
      <c r="J2966" s="11"/>
      <c r="K2966" s="12"/>
      <c r="L2966" s="12"/>
      <c r="M2966" s="10"/>
      <c r="N2966" s="10"/>
      <c r="O2966" s="10"/>
      <c r="P2966" s="10"/>
      <c r="Q2966" s="10"/>
      <c r="R2966" s="10"/>
      <c r="S2966" s="10"/>
      <c r="T2966" s="10"/>
      <c r="U2966" s="10"/>
      <c r="V2966" s="10"/>
      <c r="W2966" s="10"/>
      <c r="X2966" s="10"/>
      <c r="Y2966" s="10"/>
      <c r="Z2966" s="10"/>
      <c r="AA2966" s="10"/>
      <c r="AB2966" s="10"/>
      <c r="AC2966" s="10"/>
      <c r="AD2966" s="10"/>
      <c r="AE2966" s="10"/>
      <c r="AF2966" s="10"/>
    </row>
    <row r="2967">
      <c r="A2967" s="7"/>
      <c r="B2967" s="26">
        <v>239.0</v>
      </c>
      <c r="C2967" s="27">
        <v>35.0</v>
      </c>
      <c r="D2967" s="8" t="s">
        <v>3935</v>
      </c>
      <c r="E2967" s="7">
        <v>0.0</v>
      </c>
      <c r="F2967" s="7"/>
      <c r="G2967" s="7" t="s">
        <v>313</v>
      </c>
      <c r="H2967" s="7" t="s">
        <v>312</v>
      </c>
      <c r="I2967" s="10"/>
      <c r="J2967" s="11"/>
      <c r="K2967" s="12"/>
      <c r="L2967" s="12"/>
      <c r="M2967" s="10"/>
      <c r="N2967" s="10"/>
      <c r="O2967" s="10"/>
      <c r="P2967" s="10"/>
      <c r="Q2967" s="10"/>
      <c r="R2967" s="10"/>
      <c r="S2967" s="10"/>
      <c r="T2967" s="10"/>
      <c r="U2967" s="10"/>
      <c r="V2967" s="10"/>
      <c r="W2967" s="10"/>
      <c r="X2967" s="10"/>
      <c r="Y2967" s="10"/>
      <c r="Z2967" s="10"/>
      <c r="AA2967" s="10"/>
      <c r="AB2967" s="10"/>
      <c r="AC2967" s="10"/>
      <c r="AD2967" s="10"/>
      <c r="AE2967" s="10"/>
      <c r="AF2967" s="10"/>
    </row>
    <row r="2968">
      <c r="A2968" s="7"/>
      <c r="B2968" s="26">
        <v>239.0</v>
      </c>
      <c r="C2968" s="27">
        <v>36.0</v>
      </c>
      <c r="D2968" s="8" t="s">
        <v>3936</v>
      </c>
      <c r="E2968" s="7">
        <v>0.0</v>
      </c>
      <c r="F2968" s="7"/>
      <c r="G2968" s="7" t="s">
        <v>313</v>
      </c>
      <c r="H2968" s="7" t="s">
        <v>312</v>
      </c>
      <c r="I2968" s="10"/>
      <c r="J2968" s="11"/>
      <c r="K2968" s="12"/>
      <c r="L2968" s="12"/>
      <c r="M2968" s="10"/>
      <c r="N2968" s="10"/>
      <c r="O2968" s="10"/>
      <c r="P2968" s="10"/>
      <c r="Q2968" s="10"/>
      <c r="R2968" s="10"/>
      <c r="S2968" s="10"/>
      <c r="T2968" s="10"/>
      <c r="U2968" s="10"/>
      <c r="V2968" s="10"/>
      <c r="W2968" s="10"/>
      <c r="X2968" s="10"/>
      <c r="Y2968" s="10"/>
      <c r="Z2968" s="10"/>
      <c r="AA2968" s="10"/>
      <c r="AB2968" s="10"/>
      <c r="AC2968" s="10"/>
      <c r="AD2968" s="10"/>
      <c r="AE2968" s="10"/>
      <c r="AF2968" s="10"/>
    </row>
    <row r="2969">
      <c r="A2969" s="7"/>
      <c r="B2969" s="26">
        <v>239.0</v>
      </c>
      <c r="C2969" s="27">
        <v>37.0</v>
      </c>
      <c r="D2969" s="8" t="s">
        <v>3937</v>
      </c>
      <c r="E2969" s="7">
        <v>0.0</v>
      </c>
      <c r="F2969" s="7"/>
      <c r="G2969" s="7" t="s">
        <v>313</v>
      </c>
      <c r="H2969" s="7" t="s">
        <v>312</v>
      </c>
      <c r="I2969" s="10"/>
      <c r="J2969" s="11"/>
      <c r="K2969" s="12"/>
      <c r="L2969" s="12"/>
      <c r="M2969" s="10"/>
      <c r="N2969" s="10"/>
      <c r="O2969" s="10"/>
      <c r="P2969" s="10"/>
      <c r="Q2969" s="10"/>
      <c r="R2969" s="10"/>
      <c r="S2969" s="10"/>
      <c r="T2969" s="10"/>
      <c r="U2969" s="10"/>
      <c r="V2969" s="10"/>
      <c r="W2969" s="10"/>
      <c r="X2969" s="10"/>
      <c r="Y2969" s="10"/>
      <c r="Z2969" s="10"/>
      <c r="AA2969" s="10"/>
      <c r="AB2969" s="10"/>
      <c r="AC2969" s="10"/>
      <c r="AD2969" s="10"/>
      <c r="AE2969" s="10"/>
      <c r="AF2969" s="10"/>
    </row>
    <row r="2970">
      <c r="A2970" s="7"/>
      <c r="B2970" s="26">
        <v>239.0</v>
      </c>
      <c r="C2970" s="27">
        <v>38.0</v>
      </c>
      <c r="D2970" s="8" t="s">
        <v>3938</v>
      </c>
      <c r="E2970" s="7">
        <v>2.0</v>
      </c>
      <c r="F2970" s="7" t="s">
        <v>320</v>
      </c>
      <c r="G2970" s="7" t="s">
        <v>313</v>
      </c>
      <c r="H2970" s="7" t="s">
        <v>312</v>
      </c>
      <c r="I2970" s="7" t="s">
        <v>366</v>
      </c>
      <c r="J2970" s="9" t="s">
        <v>3939</v>
      </c>
      <c r="K2970" s="8" t="s">
        <v>851</v>
      </c>
      <c r="L2970" s="12"/>
      <c r="M2970" s="10"/>
      <c r="N2970" s="10"/>
      <c r="O2970" s="10"/>
      <c r="P2970" s="10"/>
      <c r="Q2970" s="10"/>
      <c r="R2970" s="10"/>
      <c r="S2970" s="10"/>
      <c r="T2970" s="10"/>
      <c r="U2970" s="10"/>
      <c r="V2970" s="10"/>
      <c r="W2970" s="10"/>
      <c r="X2970" s="10"/>
      <c r="Y2970" s="10"/>
      <c r="Z2970" s="10"/>
      <c r="AA2970" s="10"/>
      <c r="AB2970" s="10"/>
      <c r="AC2970" s="10"/>
      <c r="AD2970" s="10"/>
      <c r="AE2970" s="10"/>
      <c r="AF2970" s="10"/>
    </row>
    <row r="2971">
      <c r="A2971" s="7"/>
      <c r="B2971" s="26">
        <v>239.0</v>
      </c>
      <c r="C2971" s="27">
        <v>39.0</v>
      </c>
      <c r="D2971" s="8" t="s">
        <v>3940</v>
      </c>
      <c r="E2971" s="7">
        <v>2.0</v>
      </c>
      <c r="F2971" s="7" t="s">
        <v>320</v>
      </c>
      <c r="G2971" s="7" t="s">
        <v>313</v>
      </c>
      <c r="H2971" s="7" t="s">
        <v>312</v>
      </c>
      <c r="I2971" s="7" t="s">
        <v>366</v>
      </c>
      <c r="J2971" s="9" t="s">
        <v>3941</v>
      </c>
      <c r="K2971" s="8" t="s">
        <v>851</v>
      </c>
      <c r="L2971" s="12"/>
      <c r="M2971" s="10"/>
      <c r="N2971" s="10"/>
      <c r="O2971" s="10"/>
      <c r="P2971" s="10"/>
      <c r="Q2971" s="10"/>
      <c r="R2971" s="10"/>
      <c r="S2971" s="10"/>
      <c r="T2971" s="10"/>
      <c r="U2971" s="10"/>
      <c r="V2971" s="10"/>
      <c r="W2971" s="10"/>
      <c r="X2971" s="10"/>
      <c r="Y2971" s="10"/>
      <c r="Z2971" s="10"/>
      <c r="AA2971" s="10"/>
      <c r="AB2971" s="10"/>
      <c r="AC2971" s="10"/>
      <c r="AD2971" s="10"/>
      <c r="AE2971" s="10"/>
      <c r="AF2971" s="10"/>
    </row>
    <row r="2972">
      <c r="A2972" s="7"/>
      <c r="B2972" s="26">
        <v>239.0</v>
      </c>
      <c r="C2972" s="27">
        <v>40.0</v>
      </c>
      <c r="D2972" s="8" t="s">
        <v>3942</v>
      </c>
      <c r="E2972" s="7">
        <v>0.0</v>
      </c>
      <c r="F2972" s="7"/>
      <c r="G2972" s="7" t="s">
        <v>313</v>
      </c>
      <c r="H2972" s="7" t="s">
        <v>312</v>
      </c>
      <c r="I2972" s="10"/>
      <c r="J2972" s="11"/>
      <c r="K2972" s="12"/>
      <c r="L2972" s="14" t="s">
        <v>3900</v>
      </c>
      <c r="M2972" s="10"/>
      <c r="N2972" s="10"/>
      <c r="O2972" s="10"/>
      <c r="P2972" s="10"/>
      <c r="Q2972" s="10"/>
      <c r="R2972" s="10"/>
      <c r="S2972" s="10"/>
      <c r="T2972" s="10"/>
      <c r="U2972" s="10"/>
      <c r="V2972" s="10"/>
      <c r="W2972" s="10"/>
      <c r="X2972" s="10"/>
      <c r="Y2972" s="10"/>
      <c r="Z2972" s="10"/>
      <c r="AA2972" s="10"/>
      <c r="AB2972" s="10"/>
      <c r="AC2972" s="10"/>
      <c r="AD2972" s="10"/>
      <c r="AE2972" s="10"/>
      <c r="AF2972" s="10"/>
    </row>
    <row r="2973">
      <c r="A2973" s="7"/>
      <c r="B2973" s="26">
        <v>239.0</v>
      </c>
      <c r="C2973" s="27">
        <v>41.0</v>
      </c>
      <c r="D2973" s="8" t="s">
        <v>3943</v>
      </c>
      <c r="E2973" s="7">
        <v>0.0</v>
      </c>
      <c r="F2973" s="7"/>
      <c r="G2973" s="7" t="s">
        <v>313</v>
      </c>
      <c r="H2973" s="7" t="s">
        <v>312</v>
      </c>
      <c r="I2973" s="10"/>
      <c r="J2973" s="11"/>
      <c r="K2973" s="12"/>
      <c r="L2973" s="12"/>
      <c r="M2973" s="10"/>
      <c r="N2973" s="10"/>
      <c r="O2973" s="10"/>
      <c r="P2973" s="10"/>
      <c r="Q2973" s="10"/>
      <c r="R2973" s="10"/>
      <c r="S2973" s="10"/>
      <c r="T2973" s="10"/>
      <c r="U2973" s="10"/>
      <c r="V2973" s="10"/>
      <c r="W2973" s="10"/>
      <c r="X2973" s="10"/>
      <c r="Y2973" s="10"/>
      <c r="Z2973" s="10"/>
      <c r="AA2973" s="10"/>
      <c r="AB2973" s="10"/>
      <c r="AC2973" s="10"/>
      <c r="AD2973" s="10"/>
      <c r="AE2973" s="10"/>
      <c r="AF2973" s="10"/>
    </row>
    <row r="2974">
      <c r="A2974" s="7"/>
      <c r="B2974" s="26">
        <v>239.0</v>
      </c>
      <c r="C2974" s="27">
        <v>42.0</v>
      </c>
      <c r="D2974" s="8" t="s">
        <v>3944</v>
      </c>
      <c r="E2974" s="7">
        <v>0.0</v>
      </c>
      <c r="F2974" s="7"/>
      <c r="G2974" s="7" t="s">
        <v>313</v>
      </c>
      <c r="H2974" s="7" t="s">
        <v>312</v>
      </c>
      <c r="I2974" s="10"/>
      <c r="J2974" s="11"/>
      <c r="K2974" s="12"/>
      <c r="L2974" s="12"/>
      <c r="M2974" s="10"/>
      <c r="N2974" s="10"/>
      <c r="O2974" s="10"/>
      <c r="P2974" s="10"/>
      <c r="Q2974" s="10"/>
      <c r="R2974" s="10"/>
      <c r="S2974" s="10"/>
      <c r="T2974" s="10"/>
      <c r="U2974" s="10"/>
      <c r="V2974" s="10"/>
      <c r="W2974" s="10"/>
      <c r="X2974" s="10"/>
      <c r="Y2974" s="10"/>
      <c r="Z2974" s="10"/>
      <c r="AA2974" s="10"/>
      <c r="AB2974" s="10"/>
      <c r="AC2974" s="10"/>
      <c r="AD2974" s="10"/>
      <c r="AE2974" s="10"/>
      <c r="AF2974" s="10"/>
    </row>
    <row r="2975">
      <c r="A2975" s="7"/>
      <c r="B2975" s="26">
        <v>239.0</v>
      </c>
      <c r="C2975" s="27">
        <v>43.0</v>
      </c>
      <c r="D2975" s="8" t="s">
        <v>3945</v>
      </c>
      <c r="E2975" s="7">
        <v>0.0</v>
      </c>
      <c r="F2975" s="7"/>
      <c r="G2975" s="7" t="s">
        <v>313</v>
      </c>
      <c r="H2975" s="7" t="s">
        <v>312</v>
      </c>
      <c r="I2975" s="10"/>
      <c r="J2975" s="11"/>
      <c r="K2975" s="12"/>
      <c r="L2975" s="12"/>
      <c r="M2975" s="10"/>
      <c r="N2975" s="10"/>
      <c r="O2975" s="10"/>
      <c r="P2975" s="10"/>
      <c r="Q2975" s="10"/>
      <c r="R2975" s="10"/>
      <c r="S2975" s="10"/>
      <c r="T2975" s="10"/>
      <c r="U2975" s="10"/>
      <c r="V2975" s="10"/>
      <c r="W2975" s="10"/>
      <c r="X2975" s="10"/>
      <c r="Y2975" s="10"/>
      <c r="Z2975" s="10"/>
      <c r="AA2975" s="10"/>
      <c r="AB2975" s="10"/>
      <c r="AC2975" s="10"/>
      <c r="AD2975" s="10"/>
      <c r="AE2975" s="10"/>
      <c r="AF2975" s="10"/>
    </row>
    <row r="2976">
      <c r="A2976" s="7"/>
      <c r="B2976" s="26">
        <v>239.0</v>
      </c>
      <c r="C2976" s="27">
        <v>44.0</v>
      </c>
      <c r="D2976" s="8" t="s">
        <v>3946</v>
      </c>
      <c r="E2976" s="7">
        <v>0.0</v>
      </c>
      <c r="F2976" s="7"/>
      <c r="G2976" s="7" t="s">
        <v>313</v>
      </c>
      <c r="H2976" s="7" t="s">
        <v>312</v>
      </c>
      <c r="I2976" s="10"/>
      <c r="J2976" s="11"/>
      <c r="K2976" s="12"/>
      <c r="L2976" s="12"/>
      <c r="M2976" s="10"/>
      <c r="N2976" s="10"/>
      <c r="O2976" s="10"/>
      <c r="P2976" s="10"/>
      <c r="Q2976" s="10"/>
      <c r="R2976" s="10"/>
      <c r="S2976" s="10"/>
      <c r="T2976" s="10"/>
      <c r="U2976" s="10"/>
      <c r="V2976" s="10"/>
      <c r="W2976" s="10"/>
      <c r="X2976" s="10"/>
      <c r="Y2976" s="10"/>
      <c r="Z2976" s="10"/>
      <c r="AA2976" s="10"/>
      <c r="AB2976" s="10"/>
      <c r="AC2976" s="10"/>
      <c r="AD2976" s="10"/>
      <c r="AE2976" s="10"/>
      <c r="AF2976" s="10"/>
    </row>
    <row r="2977">
      <c r="A2977" s="7"/>
      <c r="B2977" s="26">
        <v>239.0</v>
      </c>
      <c r="C2977" s="27">
        <v>45.0</v>
      </c>
      <c r="D2977" s="8" t="s">
        <v>3947</v>
      </c>
      <c r="E2977" s="7">
        <v>0.0</v>
      </c>
      <c r="F2977" s="7"/>
      <c r="G2977" s="7" t="s">
        <v>313</v>
      </c>
      <c r="H2977" s="7" t="s">
        <v>312</v>
      </c>
      <c r="I2977" s="10"/>
      <c r="J2977" s="11"/>
      <c r="K2977" s="12"/>
      <c r="L2977" s="12"/>
      <c r="M2977" s="10"/>
      <c r="N2977" s="10"/>
      <c r="O2977" s="10"/>
      <c r="P2977" s="10"/>
      <c r="Q2977" s="10"/>
      <c r="R2977" s="10"/>
      <c r="S2977" s="10"/>
      <c r="T2977" s="10"/>
      <c r="U2977" s="10"/>
      <c r="V2977" s="10"/>
      <c r="W2977" s="10"/>
      <c r="X2977" s="10"/>
      <c r="Y2977" s="10"/>
      <c r="Z2977" s="10"/>
      <c r="AA2977" s="10"/>
      <c r="AB2977" s="10"/>
      <c r="AC2977" s="10"/>
      <c r="AD2977" s="10"/>
      <c r="AE2977" s="10"/>
      <c r="AF2977" s="10"/>
    </row>
    <row r="2978">
      <c r="A2978" s="7"/>
      <c r="B2978" s="26">
        <v>239.0</v>
      </c>
      <c r="C2978" s="27">
        <v>46.0</v>
      </c>
      <c r="D2978" s="8" t="s">
        <v>3948</v>
      </c>
      <c r="E2978" s="7">
        <v>0.0</v>
      </c>
      <c r="F2978" s="7"/>
      <c r="G2978" s="7" t="s">
        <v>313</v>
      </c>
      <c r="H2978" s="7" t="s">
        <v>312</v>
      </c>
      <c r="I2978" s="10"/>
      <c r="J2978" s="11"/>
      <c r="K2978" s="12"/>
      <c r="L2978" s="12"/>
      <c r="M2978" s="10"/>
      <c r="N2978" s="10"/>
      <c r="O2978" s="10"/>
      <c r="P2978" s="10"/>
      <c r="Q2978" s="10"/>
      <c r="R2978" s="10"/>
      <c r="S2978" s="10"/>
      <c r="T2978" s="10"/>
      <c r="U2978" s="10"/>
      <c r="V2978" s="10"/>
      <c r="W2978" s="10"/>
      <c r="X2978" s="10"/>
      <c r="Y2978" s="10"/>
      <c r="Z2978" s="10"/>
      <c r="AA2978" s="10"/>
      <c r="AB2978" s="10"/>
      <c r="AC2978" s="10"/>
      <c r="AD2978" s="10"/>
      <c r="AE2978" s="10"/>
      <c r="AF2978" s="10"/>
    </row>
    <row r="2979">
      <c r="A2979" s="7"/>
      <c r="B2979" s="26">
        <v>239.0</v>
      </c>
      <c r="C2979" s="27">
        <v>47.0</v>
      </c>
      <c r="D2979" s="8" t="s">
        <v>3949</v>
      </c>
      <c r="E2979" s="7">
        <v>0.0</v>
      </c>
      <c r="F2979" s="7"/>
      <c r="G2979" s="7" t="s">
        <v>313</v>
      </c>
      <c r="H2979" s="7" t="s">
        <v>312</v>
      </c>
      <c r="I2979" s="10"/>
      <c r="J2979" s="11"/>
      <c r="K2979" s="12"/>
      <c r="L2979" s="12"/>
      <c r="M2979" s="10"/>
      <c r="N2979" s="10"/>
      <c r="O2979" s="10"/>
      <c r="P2979" s="10"/>
      <c r="Q2979" s="10"/>
      <c r="R2979" s="10"/>
      <c r="S2979" s="10"/>
      <c r="T2979" s="10"/>
      <c r="U2979" s="10"/>
      <c r="V2979" s="10"/>
      <c r="W2979" s="10"/>
      <c r="X2979" s="10"/>
      <c r="Y2979" s="10"/>
      <c r="Z2979" s="10"/>
      <c r="AA2979" s="10"/>
      <c r="AB2979" s="10"/>
      <c r="AC2979" s="10"/>
      <c r="AD2979" s="10"/>
      <c r="AE2979" s="10"/>
      <c r="AF2979" s="10"/>
    </row>
    <row r="2980">
      <c r="A2980" s="7"/>
      <c r="B2980" s="26">
        <v>239.0</v>
      </c>
      <c r="C2980" s="27">
        <v>48.0</v>
      </c>
      <c r="D2980" s="8" t="s">
        <v>3950</v>
      </c>
      <c r="E2980" s="7">
        <v>0.0</v>
      </c>
      <c r="F2980" s="7"/>
      <c r="G2980" s="7" t="s">
        <v>313</v>
      </c>
      <c r="H2980" s="7" t="s">
        <v>312</v>
      </c>
      <c r="I2980" s="10"/>
      <c r="J2980" s="11"/>
      <c r="K2980" s="12"/>
      <c r="L2980" s="12"/>
      <c r="M2980" s="10"/>
      <c r="N2980" s="10"/>
      <c r="O2980" s="10"/>
      <c r="P2980" s="10"/>
      <c r="Q2980" s="10"/>
      <c r="R2980" s="10"/>
      <c r="S2980" s="10"/>
      <c r="T2980" s="10"/>
      <c r="U2980" s="10"/>
      <c r="V2980" s="10"/>
      <c r="W2980" s="10"/>
      <c r="X2980" s="10"/>
      <c r="Y2980" s="10"/>
      <c r="Z2980" s="10"/>
      <c r="AA2980" s="10"/>
      <c r="AB2980" s="10"/>
      <c r="AC2980" s="10"/>
      <c r="AD2980" s="10"/>
      <c r="AE2980" s="10"/>
      <c r="AF2980" s="10"/>
    </row>
    <row r="2981">
      <c r="A2981" s="7"/>
      <c r="B2981" s="26">
        <v>239.0</v>
      </c>
      <c r="C2981" s="27">
        <v>49.0</v>
      </c>
      <c r="D2981" s="8" t="s">
        <v>3951</v>
      </c>
      <c r="E2981" s="7">
        <v>0.0</v>
      </c>
      <c r="F2981" s="7"/>
      <c r="G2981" s="7" t="s">
        <v>313</v>
      </c>
      <c r="H2981" s="7" t="s">
        <v>312</v>
      </c>
      <c r="I2981" s="10"/>
      <c r="J2981" s="11"/>
      <c r="K2981" s="12"/>
      <c r="L2981" s="14" t="s">
        <v>3900</v>
      </c>
      <c r="M2981" s="10"/>
      <c r="N2981" s="10"/>
      <c r="O2981" s="10"/>
      <c r="P2981" s="10"/>
      <c r="Q2981" s="10"/>
      <c r="R2981" s="10"/>
      <c r="S2981" s="10"/>
      <c r="T2981" s="10"/>
      <c r="U2981" s="10"/>
      <c r="V2981" s="10"/>
      <c r="W2981" s="10"/>
      <c r="X2981" s="10"/>
      <c r="Y2981" s="10"/>
      <c r="Z2981" s="10"/>
      <c r="AA2981" s="10"/>
      <c r="AB2981" s="10"/>
      <c r="AC2981" s="10"/>
      <c r="AD2981" s="10"/>
      <c r="AE2981" s="10"/>
      <c r="AF2981" s="10"/>
    </row>
    <row r="2982">
      <c r="A2982" s="7"/>
      <c r="B2982" s="26">
        <v>239.0</v>
      </c>
      <c r="C2982" s="27">
        <v>50.0</v>
      </c>
      <c r="D2982" s="8" t="s">
        <v>3952</v>
      </c>
      <c r="E2982" s="7">
        <v>0.0</v>
      </c>
      <c r="F2982" s="7"/>
      <c r="G2982" s="7" t="s">
        <v>313</v>
      </c>
      <c r="H2982" s="7" t="s">
        <v>312</v>
      </c>
      <c r="I2982" s="10"/>
      <c r="J2982" s="11"/>
      <c r="K2982" s="12"/>
      <c r="L2982" s="12"/>
      <c r="M2982" s="10"/>
      <c r="N2982" s="10"/>
      <c r="O2982" s="10"/>
      <c r="P2982" s="10"/>
      <c r="Q2982" s="10"/>
      <c r="R2982" s="10"/>
      <c r="S2982" s="10"/>
      <c r="T2982" s="10"/>
      <c r="U2982" s="10"/>
      <c r="V2982" s="10"/>
      <c r="W2982" s="10"/>
      <c r="X2982" s="10"/>
      <c r="Y2982" s="10"/>
      <c r="Z2982" s="10"/>
      <c r="AA2982" s="10"/>
      <c r="AB2982" s="10"/>
      <c r="AC2982" s="10"/>
      <c r="AD2982" s="10"/>
      <c r="AE2982" s="10"/>
      <c r="AF2982" s="10"/>
    </row>
    <row r="2983">
      <c r="A2983" s="7"/>
      <c r="B2983" s="26">
        <v>239.0</v>
      </c>
      <c r="C2983" s="27">
        <v>51.0</v>
      </c>
      <c r="D2983" s="8" t="s">
        <v>3953</v>
      </c>
      <c r="E2983" s="7">
        <v>0.0</v>
      </c>
      <c r="F2983" s="7"/>
      <c r="G2983" s="7" t="s">
        <v>313</v>
      </c>
      <c r="H2983" s="7" t="s">
        <v>312</v>
      </c>
      <c r="I2983" s="10"/>
      <c r="J2983" s="11"/>
      <c r="K2983" s="12"/>
      <c r="L2983" s="12"/>
      <c r="M2983" s="10"/>
      <c r="N2983" s="10"/>
      <c r="O2983" s="10"/>
      <c r="P2983" s="10"/>
      <c r="Q2983" s="10"/>
      <c r="R2983" s="10"/>
      <c r="S2983" s="10"/>
      <c r="T2983" s="10"/>
      <c r="U2983" s="10"/>
      <c r="V2983" s="10"/>
      <c r="W2983" s="10"/>
      <c r="X2983" s="10"/>
      <c r="Y2983" s="10"/>
      <c r="Z2983" s="10"/>
      <c r="AA2983" s="10"/>
      <c r="AB2983" s="10"/>
      <c r="AC2983" s="10"/>
      <c r="AD2983" s="10"/>
      <c r="AE2983" s="10"/>
      <c r="AF2983" s="10"/>
    </row>
    <row r="2984">
      <c r="A2984" s="7"/>
      <c r="B2984" s="26">
        <v>239.0</v>
      </c>
      <c r="C2984" s="27">
        <v>52.0</v>
      </c>
      <c r="D2984" s="8" t="s">
        <v>3954</v>
      </c>
      <c r="E2984" s="7">
        <v>0.0</v>
      </c>
      <c r="F2984" s="7"/>
      <c r="G2984" s="7" t="s">
        <v>313</v>
      </c>
      <c r="H2984" s="7" t="s">
        <v>312</v>
      </c>
      <c r="I2984" s="10"/>
      <c r="J2984" s="11"/>
      <c r="K2984" s="12"/>
      <c r="L2984" s="12"/>
      <c r="M2984" s="10"/>
      <c r="N2984" s="10"/>
      <c r="O2984" s="10"/>
      <c r="P2984" s="10"/>
      <c r="Q2984" s="10"/>
      <c r="R2984" s="10"/>
      <c r="S2984" s="10"/>
      <c r="T2984" s="10"/>
      <c r="U2984" s="10"/>
      <c r="V2984" s="10"/>
      <c r="W2984" s="10"/>
      <c r="X2984" s="10"/>
      <c r="Y2984" s="10"/>
      <c r="Z2984" s="10"/>
      <c r="AA2984" s="10"/>
      <c r="AB2984" s="10"/>
      <c r="AC2984" s="10"/>
      <c r="AD2984" s="10"/>
      <c r="AE2984" s="10"/>
      <c r="AF2984" s="10"/>
    </row>
    <row r="2985">
      <c r="A2985" s="7"/>
      <c r="B2985" s="26">
        <v>239.0</v>
      </c>
      <c r="C2985" s="27">
        <v>53.0</v>
      </c>
      <c r="D2985" s="8" t="s">
        <v>3955</v>
      </c>
      <c r="E2985" s="7">
        <v>0.0</v>
      </c>
      <c r="F2985" s="7"/>
      <c r="G2985" s="7" t="s">
        <v>313</v>
      </c>
      <c r="H2985" s="7" t="s">
        <v>312</v>
      </c>
      <c r="I2985" s="10"/>
      <c r="J2985" s="11"/>
      <c r="K2985" s="12"/>
      <c r="L2985" s="12"/>
      <c r="M2985" s="10"/>
      <c r="N2985" s="10"/>
      <c r="O2985" s="10"/>
      <c r="P2985" s="10"/>
      <c r="Q2985" s="10"/>
      <c r="R2985" s="10"/>
      <c r="S2985" s="10"/>
      <c r="T2985" s="10"/>
      <c r="U2985" s="10"/>
      <c r="V2985" s="10"/>
      <c r="W2985" s="10"/>
      <c r="X2985" s="10"/>
      <c r="Y2985" s="10"/>
      <c r="Z2985" s="10"/>
      <c r="AA2985" s="10"/>
      <c r="AB2985" s="10"/>
      <c r="AC2985" s="10"/>
      <c r="AD2985" s="10"/>
      <c r="AE2985" s="10"/>
      <c r="AF2985" s="10"/>
    </row>
    <row r="2986">
      <c r="A2986" s="7"/>
      <c r="B2986" s="26">
        <v>239.0</v>
      </c>
      <c r="C2986" s="27">
        <v>54.0</v>
      </c>
      <c r="D2986" s="8" t="s">
        <v>3956</v>
      </c>
      <c r="E2986" s="7">
        <v>0.0</v>
      </c>
      <c r="F2986" s="7"/>
      <c r="G2986" s="7" t="s">
        <v>313</v>
      </c>
      <c r="H2986" s="7" t="s">
        <v>312</v>
      </c>
      <c r="I2986" s="10"/>
      <c r="J2986" s="11"/>
      <c r="K2986" s="12"/>
      <c r="L2986" s="12"/>
      <c r="M2986" s="10"/>
      <c r="N2986" s="10"/>
      <c r="O2986" s="10"/>
      <c r="P2986" s="10"/>
      <c r="Q2986" s="10"/>
      <c r="R2986" s="10"/>
      <c r="S2986" s="10"/>
      <c r="T2986" s="10"/>
      <c r="U2986" s="10"/>
      <c r="V2986" s="10"/>
      <c r="W2986" s="10"/>
      <c r="X2986" s="10"/>
      <c r="Y2986" s="10"/>
      <c r="Z2986" s="10"/>
      <c r="AA2986" s="10"/>
      <c r="AB2986" s="10"/>
      <c r="AC2986" s="10"/>
      <c r="AD2986" s="10"/>
      <c r="AE2986" s="10"/>
      <c r="AF2986" s="10"/>
    </row>
    <row r="2987">
      <c r="A2987" s="7"/>
      <c r="B2987" s="26">
        <v>239.0</v>
      </c>
      <c r="C2987" s="27">
        <v>55.0</v>
      </c>
      <c r="D2987" s="8" t="s">
        <v>3957</v>
      </c>
      <c r="E2987" s="7">
        <v>0.0</v>
      </c>
      <c r="F2987" s="7"/>
      <c r="G2987" s="7" t="s">
        <v>313</v>
      </c>
      <c r="H2987" s="7" t="s">
        <v>312</v>
      </c>
      <c r="I2987" s="10"/>
      <c r="J2987" s="11"/>
      <c r="K2987" s="12"/>
      <c r="L2987" s="12"/>
      <c r="M2987" s="10"/>
      <c r="N2987" s="10"/>
      <c r="O2987" s="10"/>
      <c r="P2987" s="10"/>
      <c r="Q2987" s="10"/>
      <c r="R2987" s="10"/>
      <c r="S2987" s="10"/>
      <c r="T2987" s="10"/>
      <c r="U2987" s="10"/>
      <c r="V2987" s="10"/>
      <c r="W2987" s="10"/>
      <c r="X2987" s="10"/>
      <c r="Y2987" s="10"/>
      <c r="Z2987" s="10"/>
      <c r="AA2987" s="10"/>
      <c r="AB2987" s="10"/>
      <c r="AC2987" s="10"/>
      <c r="AD2987" s="10"/>
      <c r="AE2987" s="10"/>
      <c r="AF2987" s="10"/>
    </row>
    <row r="2988">
      <c r="A2988" s="7"/>
      <c r="B2988" s="26">
        <v>239.0</v>
      </c>
      <c r="C2988" s="27">
        <v>56.0</v>
      </c>
      <c r="D2988" s="8" t="s">
        <v>3958</v>
      </c>
      <c r="E2988" s="7">
        <v>0.0</v>
      </c>
      <c r="F2988" s="7"/>
      <c r="G2988" s="7" t="s">
        <v>313</v>
      </c>
      <c r="H2988" s="7" t="s">
        <v>312</v>
      </c>
      <c r="I2988" s="7" t="s">
        <v>366</v>
      </c>
      <c r="J2988" s="16" t="s">
        <v>3959</v>
      </c>
      <c r="K2988" s="20" t="s">
        <v>2764</v>
      </c>
      <c r="L2988" s="12"/>
      <c r="M2988" s="10"/>
      <c r="N2988" s="10"/>
      <c r="O2988" s="10"/>
      <c r="P2988" s="10"/>
      <c r="Q2988" s="10"/>
      <c r="R2988" s="10"/>
      <c r="S2988" s="10"/>
      <c r="T2988" s="10"/>
      <c r="U2988" s="10"/>
      <c r="V2988" s="10"/>
      <c r="W2988" s="10"/>
      <c r="X2988" s="10"/>
      <c r="Y2988" s="10"/>
      <c r="Z2988" s="10"/>
      <c r="AA2988" s="10"/>
      <c r="AB2988" s="10"/>
      <c r="AC2988" s="10"/>
      <c r="AD2988" s="10"/>
      <c r="AE2988" s="10"/>
      <c r="AF2988" s="10"/>
    </row>
    <row r="2989">
      <c r="A2989" s="7"/>
      <c r="B2989" s="26">
        <v>239.0</v>
      </c>
      <c r="C2989" s="27">
        <v>57.0</v>
      </c>
      <c r="D2989" s="8" t="s">
        <v>3960</v>
      </c>
      <c r="E2989" s="7">
        <v>2.0</v>
      </c>
      <c r="F2989" s="7" t="s">
        <v>320</v>
      </c>
      <c r="G2989" s="7" t="s">
        <v>313</v>
      </c>
      <c r="H2989" s="7" t="s">
        <v>312</v>
      </c>
      <c r="I2989" s="7" t="s">
        <v>366</v>
      </c>
      <c r="J2989" s="9" t="s">
        <v>3961</v>
      </c>
      <c r="K2989" s="8" t="s">
        <v>3962</v>
      </c>
      <c r="L2989" s="14" t="s">
        <v>3900</v>
      </c>
      <c r="M2989" s="10"/>
      <c r="N2989" s="10"/>
      <c r="O2989" s="10"/>
      <c r="P2989" s="10"/>
      <c r="Q2989" s="10"/>
      <c r="R2989" s="10"/>
      <c r="S2989" s="10"/>
      <c r="T2989" s="10"/>
      <c r="U2989" s="10"/>
      <c r="V2989" s="10"/>
      <c r="W2989" s="10"/>
      <c r="X2989" s="10"/>
      <c r="Y2989" s="10"/>
      <c r="Z2989" s="10"/>
      <c r="AA2989" s="10"/>
      <c r="AB2989" s="10"/>
      <c r="AC2989" s="10"/>
      <c r="AD2989" s="10"/>
      <c r="AE2989" s="10"/>
      <c r="AF2989" s="10"/>
    </row>
    <row r="2990">
      <c r="A2990" s="7"/>
      <c r="B2990" s="26">
        <v>239.0</v>
      </c>
      <c r="C2990" s="27">
        <v>58.0</v>
      </c>
      <c r="D2990" s="8" t="s">
        <v>3963</v>
      </c>
      <c r="E2990" s="7">
        <v>0.0</v>
      </c>
      <c r="F2990" s="7" t="s">
        <v>320</v>
      </c>
      <c r="G2990" s="7" t="s">
        <v>313</v>
      </c>
      <c r="H2990" s="7" t="s">
        <v>312</v>
      </c>
      <c r="I2990" s="7" t="s">
        <v>320</v>
      </c>
      <c r="J2990" s="9" t="s">
        <v>3964</v>
      </c>
      <c r="K2990" s="12"/>
      <c r="L2990" s="12"/>
      <c r="M2990" s="10"/>
      <c r="N2990" s="10"/>
      <c r="O2990" s="10"/>
      <c r="P2990" s="10"/>
      <c r="Q2990" s="10"/>
      <c r="R2990" s="10"/>
      <c r="S2990" s="10"/>
      <c r="T2990" s="10"/>
      <c r="U2990" s="10"/>
      <c r="V2990" s="10"/>
      <c r="W2990" s="10"/>
      <c r="X2990" s="10"/>
      <c r="Y2990" s="10"/>
      <c r="Z2990" s="10"/>
      <c r="AA2990" s="10"/>
      <c r="AB2990" s="10"/>
      <c r="AC2990" s="10"/>
      <c r="AD2990" s="10"/>
      <c r="AE2990" s="10"/>
      <c r="AF2990" s="10"/>
    </row>
    <row r="2991">
      <c r="A2991" s="7"/>
      <c r="B2991" s="26">
        <v>239.0</v>
      </c>
      <c r="C2991" s="27">
        <v>59.0</v>
      </c>
      <c r="D2991" s="8" t="s">
        <v>3965</v>
      </c>
      <c r="E2991" s="7">
        <v>0.0</v>
      </c>
      <c r="F2991" s="7"/>
      <c r="G2991" s="7" t="s">
        <v>313</v>
      </c>
      <c r="H2991" s="7" t="s">
        <v>312</v>
      </c>
      <c r="I2991" s="10"/>
      <c r="J2991" s="11"/>
      <c r="K2991" s="12"/>
      <c r="L2991" s="12"/>
      <c r="M2991" s="10"/>
      <c r="N2991" s="10"/>
      <c r="O2991" s="10"/>
      <c r="P2991" s="10"/>
      <c r="Q2991" s="10"/>
      <c r="R2991" s="10"/>
      <c r="S2991" s="10"/>
      <c r="T2991" s="10"/>
      <c r="U2991" s="10"/>
      <c r="V2991" s="10"/>
      <c r="W2991" s="10"/>
      <c r="X2991" s="10"/>
      <c r="Y2991" s="10"/>
      <c r="Z2991" s="10"/>
      <c r="AA2991" s="10"/>
      <c r="AB2991" s="10"/>
      <c r="AC2991" s="10"/>
      <c r="AD2991" s="10"/>
      <c r="AE2991" s="10"/>
      <c r="AF2991" s="10"/>
    </row>
    <row r="2992">
      <c r="A2992" s="7"/>
      <c r="B2992" s="26">
        <v>239.0</v>
      </c>
      <c r="C2992" s="27">
        <v>60.0</v>
      </c>
      <c r="D2992" s="8" t="s">
        <v>3966</v>
      </c>
      <c r="E2992" s="7">
        <v>0.0</v>
      </c>
      <c r="F2992" s="7"/>
      <c r="G2992" s="7" t="s">
        <v>313</v>
      </c>
      <c r="H2992" s="7" t="s">
        <v>312</v>
      </c>
      <c r="I2992" s="10"/>
      <c r="J2992" s="11"/>
      <c r="K2992" s="12"/>
      <c r="L2992" s="12"/>
      <c r="M2992" s="10"/>
      <c r="N2992" s="10"/>
      <c r="O2992" s="10"/>
      <c r="P2992" s="10"/>
      <c r="Q2992" s="10"/>
      <c r="R2992" s="10"/>
      <c r="S2992" s="10"/>
      <c r="T2992" s="10"/>
      <c r="U2992" s="10"/>
      <c r="V2992" s="10"/>
      <c r="W2992" s="10"/>
      <c r="X2992" s="10"/>
      <c r="Y2992" s="10"/>
      <c r="Z2992" s="10"/>
      <c r="AA2992" s="10"/>
      <c r="AB2992" s="10"/>
      <c r="AC2992" s="10"/>
      <c r="AD2992" s="10"/>
      <c r="AE2992" s="10"/>
      <c r="AF2992" s="10"/>
    </row>
    <row r="2993">
      <c r="A2993" s="7"/>
      <c r="B2993" s="26">
        <v>239.0</v>
      </c>
      <c r="C2993" s="27">
        <v>61.0</v>
      </c>
      <c r="D2993" s="8" t="s">
        <v>3967</v>
      </c>
      <c r="E2993" s="7">
        <v>0.0</v>
      </c>
      <c r="F2993" s="7"/>
      <c r="G2993" s="7" t="s">
        <v>313</v>
      </c>
      <c r="H2993" s="7" t="s">
        <v>312</v>
      </c>
      <c r="I2993" s="10"/>
      <c r="J2993" s="11"/>
      <c r="K2993" s="12"/>
      <c r="L2993" s="12"/>
      <c r="M2993" s="10"/>
      <c r="N2993" s="10"/>
      <c r="O2993" s="10"/>
      <c r="P2993" s="10"/>
      <c r="Q2993" s="10"/>
      <c r="R2993" s="10"/>
      <c r="S2993" s="10"/>
      <c r="T2993" s="10"/>
      <c r="U2993" s="10"/>
      <c r="V2993" s="10"/>
      <c r="W2993" s="10"/>
      <c r="X2993" s="10"/>
      <c r="Y2993" s="10"/>
      <c r="Z2993" s="10"/>
      <c r="AA2993" s="10"/>
      <c r="AB2993" s="10"/>
      <c r="AC2993" s="10"/>
      <c r="AD2993" s="10"/>
      <c r="AE2993" s="10"/>
      <c r="AF2993" s="10"/>
    </row>
    <row r="2994">
      <c r="A2994" s="7"/>
      <c r="B2994" s="26">
        <v>239.0</v>
      </c>
      <c r="C2994" s="27">
        <v>62.0</v>
      </c>
      <c r="D2994" s="8" t="s">
        <v>3968</v>
      </c>
      <c r="E2994" s="7">
        <v>0.0</v>
      </c>
      <c r="F2994" s="7"/>
      <c r="G2994" s="7" t="s">
        <v>313</v>
      </c>
      <c r="H2994" s="7" t="s">
        <v>312</v>
      </c>
      <c r="I2994" s="10"/>
      <c r="J2994" s="11"/>
      <c r="K2994" s="12"/>
      <c r="L2994" s="12"/>
      <c r="M2994" s="10"/>
      <c r="N2994" s="10"/>
      <c r="O2994" s="10"/>
      <c r="P2994" s="10"/>
      <c r="Q2994" s="10"/>
      <c r="R2994" s="10"/>
      <c r="S2994" s="10"/>
      <c r="T2994" s="10"/>
      <c r="U2994" s="10"/>
      <c r="V2994" s="10"/>
      <c r="W2994" s="10"/>
      <c r="X2994" s="10"/>
      <c r="Y2994" s="10"/>
      <c r="Z2994" s="10"/>
      <c r="AA2994" s="10"/>
      <c r="AB2994" s="10"/>
      <c r="AC2994" s="10"/>
      <c r="AD2994" s="10"/>
      <c r="AE2994" s="10"/>
      <c r="AF2994" s="10"/>
    </row>
    <row r="2995">
      <c r="A2995" s="7"/>
      <c r="B2995" s="26">
        <v>239.0</v>
      </c>
      <c r="C2995" s="27">
        <v>63.0</v>
      </c>
      <c r="D2995" s="8" t="s">
        <v>3969</v>
      </c>
      <c r="E2995" s="7">
        <v>0.0</v>
      </c>
      <c r="F2995" s="7"/>
      <c r="G2995" s="7" t="s">
        <v>313</v>
      </c>
      <c r="H2995" s="7" t="s">
        <v>312</v>
      </c>
      <c r="I2995" s="10"/>
      <c r="J2995" s="11"/>
      <c r="K2995" s="12"/>
      <c r="L2995" s="12"/>
      <c r="M2995" s="10"/>
      <c r="N2995" s="10"/>
      <c r="O2995" s="10"/>
      <c r="P2995" s="10"/>
      <c r="Q2995" s="10"/>
      <c r="R2995" s="10"/>
      <c r="S2995" s="10"/>
      <c r="T2995" s="10"/>
      <c r="U2995" s="10"/>
      <c r="V2995" s="10"/>
      <c r="W2995" s="10"/>
      <c r="X2995" s="10"/>
      <c r="Y2995" s="10"/>
      <c r="Z2995" s="10"/>
      <c r="AA2995" s="10"/>
      <c r="AB2995" s="10"/>
      <c r="AC2995" s="10"/>
      <c r="AD2995" s="10"/>
      <c r="AE2995" s="10"/>
      <c r="AF2995" s="10"/>
    </row>
    <row r="2996">
      <c r="A2996" s="7"/>
      <c r="B2996" s="26">
        <v>239.0</v>
      </c>
      <c r="C2996" s="27">
        <v>64.0</v>
      </c>
      <c r="D2996" s="8" t="s">
        <v>3970</v>
      </c>
      <c r="E2996" s="7">
        <v>2.0</v>
      </c>
      <c r="F2996" s="7" t="s">
        <v>320</v>
      </c>
      <c r="G2996" s="7" t="s">
        <v>313</v>
      </c>
      <c r="H2996" s="7" t="s">
        <v>312</v>
      </c>
      <c r="I2996" s="7" t="s">
        <v>366</v>
      </c>
      <c r="J2996" s="9" t="s">
        <v>3971</v>
      </c>
      <c r="K2996" s="8" t="s">
        <v>3972</v>
      </c>
      <c r="L2996" s="14" t="s">
        <v>3900</v>
      </c>
      <c r="M2996" s="10"/>
      <c r="N2996" s="10"/>
      <c r="O2996" s="10"/>
      <c r="P2996" s="10"/>
      <c r="Q2996" s="10"/>
      <c r="R2996" s="10"/>
      <c r="S2996" s="10"/>
      <c r="T2996" s="10"/>
      <c r="U2996" s="10"/>
      <c r="V2996" s="10"/>
      <c r="W2996" s="10"/>
      <c r="X2996" s="10"/>
      <c r="Y2996" s="10"/>
      <c r="Z2996" s="10"/>
      <c r="AA2996" s="10"/>
      <c r="AB2996" s="10"/>
      <c r="AC2996" s="10"/>
      <c r="AD2996" s="10"/>
      <c r="AE2996" s="10"/>
      <c r="AF2996" s="10"/>
    </row>
    <row r="2997">
      <c r="A2997" s="7"/>
      <c r="B2997" s="26">
        <v>239.0</v>
      </c>
      <c r="C2997" s="27">
        <v>65.0</v>
      </c>
      <c r="D2997" s="8" t="s">
        <v>3973</v>
      </c>
      <c r="E2997" s="7">
        <v>0.0</v>
      </c>
      <c r="F2997" s="7" t="s">
        <v>320</v>
      </c>
      <c r="G2997" s="7" t="s">
        <v>313</v>
      </c>
      <c r="H2997" s="7" t="s">
        <v>312</v>
      </c>
      <c r="I2997" s="7" t="s">
        <v>320</v>
      </c>
      <c r="J2997" s="9" t="s">
        <v>3974</v>
      </c>
      <c r="K2997" s="12"/>
      <c r="L2997" s="12"/>
      <c r="M2997" s="10"/>
      <c r="N2997" s="10"/>
      <c r="O2997" s="10"/>
      <c r="P2997" s="10"/>
      <c r="Q2997" s="10"/>
      <c r="R2997" s="10"/>
      <c r="S2997" s="10"/>
      <c r="T2997" s="10"/>
      <c r="U2997" s="10"/>
      <c r="V2997" s="10"/>
      <c r="W2997" s="10"/>
      <c r="X2997" s="10"/>
      <c r="Y2997" s="10"/>
      <c r="Z2997" s="10"/>
      <c r="AA2997" s="10"/>
      <c r="AB2997" s="10"/>
      <c r="AC2997" s="10"/>
      <c r="AD2997" s="10"/>
      <c r="AE2997" s="10"/>
      <c r="AF2997" s="10"/>
    </row>
    <row r="2998">
      <c r="A2998" s="7"/>
      <c r="B2998" s="26">
        <v>239.0</v>
      </c>
      <c r="C2998" s="27">
        <v>66.0</v>
      </c>
      <c r="D2998" s="8" t="s">
        <v>3975</v>
      </c>
      <c r="E2998" s="7">
        <v>0.0</v>
      </c>
      <c r="F2998" s="7"/>
      <c r="G2998" s="7" t="s">
        <v>313</v>
      </c>
      <c r="H2998" s="7" t="s">
        <v>312</v>
      </c>
      <c r="I2998" s="10"/>
      <c r="J2998" s="11"/>
      <c r="K2998" s="12"/>
      <c r="L2998" s="12"/>
      <c r="M2998" s="10"/>
      <c r="N2998" s="10"/>
      <c r="O2998" s="10"/>
      <c r="P2998" s="10"/>
      <c r="Q2998" s="10"/>
      <c r="R2998" s="10"/>
      <c r="S2998" s="10"/>
      <c r="T2998" s="10"/>
      <c r="U2998" s="10"/>
      <c r="V2998" s="10"/>
      <c r="W2998" s="10"/>
      <c r="X2998" s="10"/>
      <c r="Y2998" s="10"/>
      <c r="Z2998" s="10"/>
      <c r="AA2998" s="10"/>
      <c r="AB2998" s="10"/>
      <c r="AC2998" s="10"/>
      <c r="AD2998" s="10"/>
      <c r="AE2998" s="10"/>
      <c r="AF2998" s="10"/>
    </row>
    <row r="2999">
      <c r="A2999" s="7"/>
      <c r="B2999" s="26">
        <v>239.0</v>
      </c>
      <c r="C2999" s="27">
        <v>67.0</v>
      </c>
      <c r="D2999" s="8" t="s">
        <v>3976</v>
      </c>
      <c r="E2999" s="7">
        <v>0.0</v>
      </c>
      <c r="F2999" s="7"/>
      <c r="G2999" s="7" t="s">
        <v>313</v>
      </c>
      <c r="H2999" s="7" t="s">
        <v>312</v>
      </c>
      <c r="I2999" s="10"/>
      <c r="J2999" s="11"/>
      <c r="K2999" s="12"/>
      <c r="L2999" s="12"/>
      <c r="M2999" s="10"/>
      <c r="N2999" s="10"/>
      <c r="O2999" s="10"/>
      <c r="P2999" s="10"/>
      <c r="Q2999" s="10"/>
      <c r="R2999" s="10"/>
      <c r="S2999" s="10"/>
      <c r="T2999" s="10"/>
      <c r="U2999" s="10"/>
      <c r="V2999" s="10"/>
      <c r="W2999" s="10"/>
      <c r="X2999" s="10"/>
      <c r="Y2999" s="10"/>
      <c r="Z2999" s="10"/>
      <c r="AA2999" s="10"/>
      <c r="AB2999" s="10"/>
      <c r="AC2999" s="10"/>
      <c r="AD2999" s="10"/>
      <c r="AE2999" s="10"/>
      <c r="AF2999" s="10"/>
    </row>
    <row r="3000">
      <c r="A3000" s="7"/>
      <c r="B3000" s="26">
        <v>239.0</v>
      </c>
      <c r="C3000" s="27">
        <v>68.0</v>
      </c>
      <c r="D3000" s="8" t="s">
        <v>3977</v>
      </c>
      <c r="E3000" s="7">
        <v>0.0</v>
      </c>
      <c r="F3000" s="7"/>
      <c r="G3000" s="7" t="s">
        <v>313</v>
      </c>
      <c r="H3000" s="7" t="s">
        <v>312</v>
      </c>
      <c r="I3000" s="10"/>
      <c r="J3000" s="11"/>
      <c r="K3000" s="12"/>
      <c r="L3000" s="12"/>
      <c r="M3000" s="10"/>
      <c r="N3000" s="10"/>
      <c r="O3000" s="10"/>
      <c r="P3000" s="10"/>
      <c r="Q3000" s="10"/>
      <c r="R3000" s="10"/>
      <c r="S3000" s="10"/>
      <c r="T3000" s="10"/>
      <c r="U3000" s="10"/>
      <c r="V3000" s="10"/>
      <c r="W3000" s="10"/>
      <c r="X3000" s="10"/>
      <c r="Y3000" s="10"/>
      <c r="Z3000" s="10"/>
      <c r="AA3000" s="10"/>
      <c r="AB3000" s="10"/>
      <c r="AC3000" s="10"/>
      <c r="AD3000" s="10"/>
      <c r="AE3000" s="10"/>
      <c r="AF3000" s="10"/>
    </row>
    <row r="3001">
      <c r="A3001" s="7"/>
      <c r="B3001" s="26">
        <v>239.0</v>
      </c>
      <c r="C3001" s="27">
        <v>69.0</v>
      </c>
      <c r="D3001" s="8" t="s">
        <v>3978</v>
      </c>
      <c r="E3001" s="7">
        <v>0.0</v>
      </c>
      <c r="F3001" s="7"/>
      <c r="G3001" s="7" t="s">
        <v>313</v>
      </c>
      <c r="H3001" s="7" t="s">
        <v>312</v>
      </c>
      <c r="I3001" s="10"/>
      <c r="J3001" s="11"/>
      <c r="K3001" s="12"/>
      <c r="L3001" s="12"/>
      <c r="M3001" s="10"/>
      <c r="N3001" s="10"/>
      <c r="O3001" s="10"/>
      <c r="P3001" s="10"/>
      <c r="Q3001" s="10"/>
      <c r="R3001" s="10"/>
      <c r="S3001" s="10"/>
      <c r="T3001" s="10"/>
      <c r="U3001" s="10"/>
      <c r="V3001" s="10"/>
      <c r="W3001" s="10"/>
      <c r="X3001" s="10"/>
      <c r="Y3001" s="10"/>
      <c r="Z3001" s="10"/>
      <c r="AA3001" s="10"/>
      <c r="AB3001" s="10"/>
      <c r="AC3001" s="10"/>
      <c r="AD3001" s="10"/>
      <c r="AE3001" s="10"/>
      <c r="AF3001" s="10"/>
    </row>
    <row r="3002">
      <c r="A3002" s="7"/>
      <c r="B3002" s="26">
        <v>239.0</v>
      </c>
      <c r="C3002" s="27">
        <v>70.0</v>
      </c>
      <c r="D3002" s="8" t="s">
        <v>3979</v>
      </c>
      <c r="E3002" s="7">
        <v>0.0</v>
      </c>
      <c r="F3002" s="7"/>
      <c r="G3002" s="7" t="s">
        <v>313</v>
      </c>
      <c r="H3002" s="7" t="s">
        <v>312</v>
      </c>
      <c r="I3002" s="10"/>
      <c r="J3002" s="11"/>
      <c r="K3002" s="12"/>
      <c r="L3002" s="12"/>
      <c r="M3002" s="10"/>
      <c r="N3002" s="10"/>
      <c r="O3002" s="10"/>
      <c r="P3002" s="10"/>
      <c r="Q3002" s="10"/>
      <c r="R3002" s="10"/>
      <c r="S3002" s="10"/>
      <c r="T3002" s="10"/>
      <c r="U3002" s="10"/>
      <c r="V3002" s="10"/>
      <c r="W3002" s="10"/>
      <c r="X3002" s="10"/>
      <c r="Y3002" s="10"/>
      <c r="Z3002" s="10"/>
      <c r="AA3002" s="10"/>
      <c r="AB3002" s="10"/>
      <c r="AC3002" s="10"/>
      <c r="AD3002" s="10"/>
      <c r="AE3002" s="10"/>
      <c r="AF3002" s="10"/>
    </row>
    <row r="3003">
      <c r="A3003" s="7"/>
      <c r="B3003" s="26">
        <v>239.0</v>
      </c>
      <c r="C3003" s="27">
        <v>71.0</v>
      </c>
      <c r="D3003" s="8" t="s">
        <v>3980</v>
      </c>
      <c r="E3003" s="7">
        <v>0.0</v>
      </c>
      <c r="F3003" s="7"/>
      <c r="G3003" s="7" t="s">
        <v>313</v>
      </c>
      <c r="H3003" s="7" t="s">
        <v>312</v>
      </c>
      <c r="I3003" s="10"/>
      <c r="J3003" s="11"/>
      <c r="K3003" s="12"/>
      <c r="L3003" s="14" t="s">
        <v>3900</v>
      </c>
      <c r="M3003" s="10"/>
      <c r="N3003" s="10"/>
      <c r="O3003" s="10"/>
      <c r="P3003" s="10"/>
      <c r="Q3003" s="10"/>
      <c r="R3003" s="10"/>
      <c r="S3003" s="10"/>
      <c r="T3003" s="10"/>
      <c r="U3003" s="10"/>
      <c r="V3003" s="10"/>
      <c r="W3003" s="10"/>
      <c r="X3003" s="10"/>
      <c r="Y3003" s="10"/>
      <c r="Z3003" s="10"/>
      <c r="AA3003" s="10"/>
      <c r="AB3003" s="10"/>
      <c r="AC3003" s="10"/>
      <c r="AD3003" s="10"/>
      <c r="AE3003" s="10"/>
      <c r="AF3003" s="10"/>
    </row>
    <row r="3004">
      <c r="A3004" s="7"/>
      <c r="B3004" s="26">
        <v>239.0</v>
      </c>
      <c r="C3004" s="27">
        <v>72.0</v>
      </c>
      <c r="D3004" s="8" t="s">
        <v>3981</v>
      </c>
      <c r="E3004" s="7">
        <v>0.0</v>
      </c>
      <c r="F3004" s="7"/>
      <c r="G3004" s="7" t="s">
        <v>313</v>
      </c>
      <c r="H3004" s="7" t="s">
        <v>312</v>
      </c>
      <c r="I3004" s="10"/>
      <c r="J3004" s="11"/>
      <c r="K3004" s="12"/>
      <c r="L3004" s="14" t="s">
        <v>3900</v>
      </c>
      <c r="M3004" s="10"/>
      <c r="N3004" s="10"/>
      <c r="O3004" s="10"/>
      <c r="P3004" s="10"/>
      <c r="Q3004" s="10"/>
      <c r="R3004" s="10"/>
      <c r="S3004" s="10"/>
      <c r="T3004" s="10"/>
      <c r="U3004" s="10"/>
      <c r="V3004" s="10"/>
      <c r="W3004" s="10"/>
      <c r="X3004" s="10"/>
      <c r="Y3004" s="10"/>
      <c r="Z3004" s="10"/>
      <c r="AA3004" s="10"/>
      <c r="AB3004" s="10"/>
      <c r="AC3004" s="10"/>
      <c r="AD3004" s="10"/>
      <c r="AE3004" s="10"/>
      <c r="AF3004" s="10"/>
    </row>
    <row r="3005">
      <c r="A3005" s="7"/>
      <c r="B3005" s="26">
        <v>239.0</v>
      </c>
      <c r="C3005" s="27">
        <v>73.0</v>
      </c>
      <c r="D3005" s="8" t="s">
        <v>3982</v>
      </c>
      <c r="E3005" s="7">
        <v>0.0</v>
      </c>
      <c r="F3005" s="7"/>
      <c r="G3005" s="7" t="s">
        <v>313</v>
      </c>
      <c r="H3005" s="7" t="s">
        <v>312</v>
      </c>
      <c r="I3005" s="10"/>
      <c r="J3005" s="11"/>
      <c r="K3005" s="12"/>
      <c r="L3005" s="14" t="s">
        <v>3900</v>
      </c>
      <c r="M3005" s="10"/>
      <c r="N3005" s="10"/>
      <c r="O3005" s="10"/>
      <c r="P3005" s="10"/>
      <c r="Q3005" s="10"/>
      <c r="R3005" s="10"/>
      <c r="S3005" s="10"/>
      <c r="T3005" s="10"/>
      <c r="U3005" s="10"/>
      <c r="V3005" s="10"/>
      <c r="W3005" s="10"/>
      <c r="X3005" s="10"/>
      <c r="Y3005" s="10"/>
      <c r="Z3005" s="10"/>
      <c r="AA3005" s="10"/>
      <c r="AB3005" s="10"/>
      <c r="AC3005" s="10"/>
      <c r="AD3005" s="10"/>
      <c r="AE3005" s="10"/>
      <c r="AF3005" s="10"/>
    </row>
    <row r="3006">
      <c r="A3006" s="7"/>
      <c r="B3006" s="26">
        <v>239.0</v>
      </c>
      <c r="C3006" s="27">
        <v>74.0</v>
      </c>
      <c r="D3006" s="8" t="s">
        <v>3983</v>
      </c>
      <c r="E3006" s="7">
        <v>0.0</v>
      </c>
      <c r="F3006" s="7"/>
      <c r="G3006" s="7" t="s">
        <v>313</v>
      </c>
      <c r="H3006" s="7" t="s">
        <v>312</v>
      </c>
      <c r="I3006" s="10"/>
      <c r="J3006" s="11"/>
      <c r="K3006" s="12"/>
      <c r="L3006" s="14" t="s">
        <v>3900</v>
      </c>
      <c r="M3006" s="10"/>
      <c r="N3006" s="10"/>
      <c r="O3006" s="10"/>
      <c r="P3006" s="10"/>
      <c r="Q3006" s="10"/>
      <c r="R3006" s="10"/>
      <c r="S3006" s="10"/>
      <c r="T3006" s="10"/>
      <c r="U3006" s="10"/>
      <c r="V3006" s="10"/>
      <c r="W3006" s="10"/>
      <c r="X3006" s="10"/>
      <c r="Y3006" s="10"/>
      <c r="Z3006" s="10"/>
      <c r="AA3006" s="10"/>
      <c r="AB3006" s="10"/>
      <c r="AC3006" s="10"/>
      <c r="AD3006" s="10"/>
      <c r="AE3006" s="10"/>
      <c r="AF3006" s="10"/>
    </row>
    <row r="3007">
      <c r="A3007" s="7"/>
      <c r="B3007" s="26">
        <v>239.0</v>
      </c>
      <c r="C3007" s="27">
        <v>75.0</v>
      </c>
      <c r="D3007" s="8" t="s">
        <v>3984</v>
      </c>
      <c r="E3007" s="7">
        <v>0.0</v>
      </c>
      <c r="F3007" s="7"/>
      <c r="G3007" s="7" t="s">
        <v>313</v>
      </c>
      <c r="H3007" s="7" t="s">
        <v>312</v>
      </c>
      <c r="I3007" s="10"/>
      <c r="J3007" s="11"/>
      <c r="K3007" s="12"/>
      <c r="L3007" s="14" t="s">
        <v>3900</v>
      </c>
      <c r="M3007" s="10"/>
      <c r="N3007" s="10"/>
      <c r="O3007" s="10"/>
      <c r="P3007" s="10"/>
      <c r="Q3007" s="10"/>
      <c r="R3007" s="10"/>
      <c r="S3007" s="10"/>
      <c r="T3007" s="10"/>
      <c r="U3007" s="10"/>
      <c r="V3007" s="10"/>
      <c r="W3007" s="10"/>
      <c r="X3007" s="10"/>
      <c r="Y3007" s="10"/>
      <c r="Z3007" s="10"/>
      <c r="AA3007" s="10"/>
      <c r="AB3007" s="10"/>
      <c r="AC3007" s="10"/>
      <c r="AD3007" s="10"/>
      <c r="AE3007" s="10"/>
      <c r="AF3007" s="10"/>
    </row>
    <row r="3008">
      <c r="A3008" s="7"/>
      <c r="B3008" s="26">
        <v>239.0</v>
      </c>
      <c r="C3008" s="27">
        <v>76.0</v>
      </c>
      <c r="D3008" s="8" t="s">
        <v>3985</v>
      </c>
      <c r="E3008" s="7">
        <v>0.0</v>
      </c>
      <c r="F3008" s="7"/>
      <c r="G3008" s="7" t="s">
        <v>313</v>
      </c>
      <c r="H3008" s="7" t="s">
        <v>312</v>
      </c>
      <c r="I3008" s="10"/>
      <c r="J3008" s="11"/>
      <c r="K3008" s="12"/>
      <c r="L3008" s="14" t="s">
        <v>3900</v>
      </c>
      <c r="M3008" s="10"/>
      <c r="N3008" s="10"/>
      <c r="O3008" s="10"/>
      <c r="P3008" s="10"/>
      <c r="Q3008" s="10"/>
      <c r="R3008" s="10"/>
      <c r="S3008" s="10"/>
      <c r="T3008" s="10"/>
      <c r="U3008" s="10"/>
      <c r="V3008" s="10"/>
      <c r="W3008" s="10"/>
      <c r="X3008" s="10"/>
      <c r="Y3008" s="10"/>
      <c r="Z3008" s="10"/>
      <c r="AA3008" s="10"/>
      <c r="AB3008" s="10"/>
      <c r="AC3008" s="10"/>
      <c r="AD3008" s="10"/>
      <c r="AE3008" s="10"/>
      <c r="AF3008" s="10"/>
    </row>
    <row r="3009">
      <c r="A3009" s="7"/>
      <c r="B3009" s="26">
        <v>239.0</v>
      </c>
      <c r="C3009" s="27">
        <v>77.0</v>
      </c>
      <c r="D3009" s="8" t="s">
        <v>3986</v>
      </c>
      <c r="E3009" s="7">
        <v>0.0</v>
      </c>
      <c r="F3009" s="7"/>
      <c r="G3009" s="7" t="s">
        <v>313</v>
      </c>
      <c r="H3009" s="7" t="s">
        <v>312</v>
      </c>
      <c r="I3009" s="10"/>
      <c r="J3009" s="11"/>
      <c r="K3009" s="12"/>
      <c r="L3009" s="12"/>
      <c r="M3009" s="10"/>
      <c r="N3009" s="10"/>
      <c r="O3009" s="10"/>
      <c r="P3009" s="10"/>
      <c r="Q3009" s="10"/>
      <c r="R3009" s="10"/>
      <c r="S3009" s="10"/>
      <c r="T3009" s="10"/>
      <c r="U3009" s="10"/>
      <c r="V3009" s="10"/>
      <c r="W3009" s="10"/>
      <c r="X3009" s="10"/>
      <c r="Y3009" s="10"/>
      <c r="Z3009" s="10"/>
      <c r="AA3009" s="10"/>
      <c r="AB3009" s="10"/>
      <c r="AC3009" s="10"/>
      <c r="AD3009" s="10"/>
      <c r="AE3009" s="10"/>
      <c r="AF3009" s="10"/>
    </row>
    <row r="3010">
      <c r="A3010" s="7"/>
      <c r="B3010" s="26">
        <v>239.0</v>
      </c>
      <c r="C3010" s="27">
        <v>78.0</v>
      </c>
      <c r="D3010" s="8" t="s">
        <v>3987</v>
      </c>
      <c r="E3010" s="7">
        <v>0.0</v>
      </c>
      <c r="F3010" s="7"/>
      <c r="G3010" s="7" t="s">
        <v>313</v>
      </c>
      <c r="H3010" s="7" t="s">
        <v>312</v>
      </c>
      <c r="I3010" s="10"/>
      <c r="J3010" s="11"/>
      <c r="K3010" s="12"/>
      <c r="L3010" s="12"/>
      <c r="M3010" s="10"/>
      <c r="N3010" s="10"/>
      <c r="O3010" s="10"/>
      <c r="P3010" s="10"/>
      <c r="Q3010" s="10"/>
      <c r="R3010" s="10"/>
      <c r="S3010" s="10"/>
      <c r="T3010" s="10"/>
      <c r="U3010" s="10"/>
      <c r="V3010" s="10"/>
      <c r="W3010" s="10"/>
      <c r="X3010" s="10"/>
      <c r="Y3010" s="10"/>
      <c r="Z3010" s="10"/>
      <c r="AA3010" s="10"/>
      <c r="AB3010" s="10"/>
      <c r="AC3010" s="10"/>
      <c r="AD3010" s="10"/>
      <c r="AE3010" s="10"/>
      <c r="AF3010" s="10"/>
    </row>
    <row r="3011">
      <c r="A3011" s="7"/>
      <c r="B3011" s="26">
        <v>239.0</v>
      </c>
      <c r="C3011" s="27">
        <v>79.0</v>
      </c>
      <c r="D3011" s="8" t="s">
        <v>3988</v>
      </c>
      <c r="E3011" s="7">
        <v>0.0</v>
      </c>
      <c r="F3011" s="7"/>
      <c r="G3011" s="7" t="s">
        <v>313</v>
      </c>
      <c r="H3011" s="7" t="s">
        <v>312</v>
      </c>
      <c r="I3011" s="10"/>
      <c r="J3011" s="11"/>
      <c r="K3011" s="12"/>
      <c r="L3011" s="12"/>
      <c r="M3011" s="10"/>
      <c r="N3011" s="10"/>
      <c r="O3011" s="10"/>
      <c r="P3011" s="10"/>
      <c r="Q3011" s="10"/>
      <c r="R3011" s="10"/>
      <c r="S3011" s="10"/>
      <c r="T3011" s="10"/>
      <c r="U3011" s="10"/>
      <c r="V3011" s="10"/>
      <c r="W3011" s="10"/>
      <c r="X3011" s="10"/>
      <c r="Y3011" s="10"/>
      <c r="Z3011" s="10"/>
      <c r="AA3011" s="10"/>
      <c r="AB3011" s="10"/>
      <c r="AC3011" s="10"/>
      <c r="AD3011" s="10"/>
      <c r="AE3011" s="10"/>
      <c r="AF3011" s="10"/>
    </row>
    <row r="3012">
      <c r="A3012" s="7"/>
      <c r="B3012" s="26">
        <v>239.0</v>
      </c>
      <c r="C3012" s="27">
        <v>80.0</v>
      </c>
      <c r="D3012" s="8" t="s">
        <v>3989</v>
      </c>
      <c r="E3012" s="7">
        <v>0.0</v>
      </c>
      <c r="F3012" s="7"/>
      <c r="G3012" s="7" t="s">
        <v>313</v>
      </c>
      <c r="H3012" s="7" t="s">
        <v>312</v>
      </c>
      <c r="I3012" s="10"/>
      <c r="J3012" s="11"/>
      <c r="K3012" s="12"/>
      <c r="L3012" s="12"/>
      <c r="M3012" s="10"/>
      <c r="N3012" s="10"/>
      <c r="O3012" s="10"/>
      <c r="P3012" s="10"/>
      <c r="Q3012" s="10"/>
      <c r="R3012" s="10"/>
      <c r="S3012" s="10"/>
      <c r="T3012" s="10"/>
      <c r="U3012" s="10"/>
      <c r="V3012" s="10"/>
      <c r="W3012" s="10"/>
      <c r="X3012" s="10"/>
      <c r="Y3012" s="10"/>
      <c r="Z3012" s="10"/>
      <c r="AA3012" s="10"/>
      <c r="AB3012" s="10"/>
      <c r="AC3012" s="10"/>
      <c r="AD3012" s="10"/>
      <c r="AE3012" s="10"/>
      <c r="AF3012" s="10"/>
    </row>
    <row r="3013">
      <c r="A3013" s="7"/>
      <c r="B3013" s="26">
        <v>239.0</v>
      </c>
      <c r="C3013" s="27">
        <v>81.0</v>
      </c>
      <c r="D3013" s="8" t="s">
        <v>3990</v>
      </c>
      <c r="E3013" s="7">
        <v>0.0</v>
      </c>
      <c r="F3013" s="7"/>
      <c r="G3013" s="7" t="s">
        <v>313</v>
      </c>
      <c r="H3013" s="7" t="s">
        <v>312</v>
      </c>
      <c r="I3013" s="10"/>
      <c r="J3013" s="11"/>
      <c r="K3013" s="12"/>
      <c r="L3013" s="12"/>
      <c r="M3013" s="10"/>
      <c r="N3013" s="10"/>
      <c r="O3013" s="10"/>
      <c r="P3013" s="10"/>
      <c r="Q3013" s="10"/>
      <c r="R3013" s="10"/>
      <c r="S3013" s="10"/>
      <c r="T3013" s="10"/>
      <c r="U3013" s="10"/>
      <c r="V3013" s="10"/>
      <c r="W3013" s="10"/>
      <c r="X3013" s="10"/>
      <c r="Y3013" s="10"/>
      <c r="Z3013" s="10"/>
      <c r="AA3013" s="10"/>
      <c r="AB3013" s="10"/>
      <c r="AC3013" s="10"/>
      <c r="AD3013" s="10"/>
      <c r="AE3013" s="10"/>
      <c r="AF3013" s="10"/>
    </row>
    <row r="3014">
      <c r="A3014" s="7"/>
      <c r="B3014" s="26">
        <v>239.0</v>
      </c>
      <c r="C3014" s="27">
        <v>82.0</v>
      </c>
      <c r="D3014" s="8" t="s">
        <v>3991</v>
      </c>
      <c r="E3014" s="7">
        <v>0.0</v>
      </c>
      <c r="F3014" s="7"/>
      <c r="G3014" s="7" t="s">
        <v>313</v>
      </c>
      <c r="H3014" s="7" t="s">
        <v>312</v>
      </c>
      <c r="I3014" s="10"/>
      <c r="J3014" s="11"/>
      <c r="K3014" s="12"/>
      <c r="L3014" s="12"/>
      <c r="M3014" s="10"/>
      <c r="N3014" s="10"/>
      <c r="O3014" s="10"/>
      <c r="P3014" s="10"/>
      <c r="Q3014" s="10"/>
      <c r="R3014" s="10"/>
      <c r="S3014" s="10"/>
      <c r="T3014" s="10"/>
      <c r="U3014" s="10"/>
      <c r="V3014" s="10"/>
      <c r="W3014" s="10"/>
      <c r="X3014" s="10"/>
      <c r="Y3014" s="10"/>
      <c r="Z3014" s="10"/>
      <c r="AA3014" s="10"/>
      <c r="AB3014" s="10"/>
      <c r="AC3014" s="10"/>
      <c r="AD3014" s="10"/>
      <c r="AE3014" s="10"/>
      <c r="AF3014" s="10"/>
    </row>
    <row r="3015">
      <c r="A3015" s="7"/>
      <c r="B3015" s="26">
        <v>239.0</v>
      </c>
      <c r="C3015" s="27">
        <v>83.0</v>
      </c>
      <c r="D3015" s="8" t="s">
        <v>3992</v>
      </c>
      <c r="E3015" s="7">
        <v>0.0</v>
      </c>
      <c r="F3015" s="7"/>
      <c r="G3015" s="7" t="s">
        <v>313</v>
      </c>
      <c r="H3015" s="7" t="s">
        <v>312</v>
      </c>
      <c r="I3015" s="10"/>
      <c r="J3015" s="11"/>
      <c r="K3015" s="12"/>
      <c r="L3015" s="12"/>
      <c r="M3015" s="10"/>
      <c r="N3015" s="10"/>
      <c r="O3015" s="10"/>
      <c r="P3015" s="10"/>
      <c r="Q3015" s="10"/>
      <c r="R3015" s="10"/>
      <c r="S3015" s="10"/>
      <c r="T3015" s="10"/>
      <c r="U3015" s="10"/>
      <c r="V3015" s="10"/>
      <c r="W3015" s="10"/>
      <c r="X3015" s="10"/>
      <c r="Y3015" s="10"/>
      <c r="Z3015" s="10"/>
      <c r="AA3015" s="10"/>
      <c r="AB3015" s="10"/>
      <c r="AC3015" s="10"/>
      <c r="AD3015" s="10"/>
      <c r="AE3015" s="10"/>
      <c r="AF3015" s="10"/>
    </row>
    <row r="3016">
      <c r="A3016" s="7"/>
      <c r="B3016" s="26">
        <v>239.0</v>
      </c>
      <c r="C3016" s="27">
        <v>84.0</v>
      </c>
      <c r="D3016" s="8" t="s">
        <v>3993</v>
      </c>
      <c r="E3016" s="7">
        <v>0.0</v>
      </c>
      <c r="F3016" s="7"/>
      <c r="G3016" s="7" t="s">
        <v>313</v>
      </c>
      <c r="H3016" s="7" t="s">
        <v>312</v>
      </c>
      <c r="I3016" s="10"/>
      <c r="J3016" s="11"/>
      <c r="K3016" s="20" t="s">
        <v>3994</v>
      </c>
      <c r="L3016" s="12"/>
      <c r="M3016" s="10"/>
      <c r="N3016" s="10"/>
      <c r="O3016" s="10"/>
      <c r="P3016" s="10"/>
      <c r="Q3016" s="10"/>
      <c r="R3016" s="10"/>
      <c r="S3016" s="10"/>
      <c r="T3016" s="10"/>
      <c r="U3016" s="10"/>
      <c r="V3016" s="10"/>
      <c r="W3016" s="10"/>
      <c r="X3016" s="10"/>
      <c r="Y3016" s="10"/>
      <c r="Z3016" s="10"/>
      <c r="AA3016" s="10"/>
      <c r="AB3016" s="10"/>
      <c r="AC3016" s="10"/>
      <c r="AD3016" s="10"/>
      <c r="AE3016" s="10"/>
      <c r="AF3016" s="10"/>
    </row>
    <row r="3017">
      <c r="A3017" s="7"/>
      <c r="B3017" s="26">
        <v>239.0</v>
      </c>
      <c r="C3017" s="27">
        <v>85.0</v>
      </c>
      <c r="D3017" s="8" t="s">
        <v>3995</v>
      </c>
      <c r="E3017" s="7">
        <v>0.0</v>
      </c>
      <c r="F3017" s="7"/>
      <c r="G3017" s="7" t="s">
        <v>313</v>
      </c>
      <c r="H3017" s="7" t="s">
        <v>312</v>
      </c>
      <c r="I3017" s="10"/>
      <c r="J3017" s="11"/>
      <c r="K3017" s="20" t="s">
        <v>3994</v>
      </c>
      <c r="L3017" s="12"/>
      <c r="M3017" s="10"/>
      <c r="N3017" s="10"/>
      <c r="O3017" s="10"/>
      <c r="P3017" s="10"/>
      <c r="Q3017" s="10"/>
      <c r="R3017" s="10"/>
      <c r="S3017" s="10"/>
      <c r="T3017" s="10"/>
      <c r="U3017" s="10"/>
      <c r="V3017" s="10"/>
      <c r="W3017" s="10"/>
      <c r="X3017" s="10"/>
      <c r="Y3017" s="10"/>
      <c r="Z3017" s="10"/>
      <c r="AA3017" s="10"/>
      <c r="AB3017" s="10"/>
      <c r="AC3017" s="10"/>
      <c r="AD3017" s="10"/>
      <c r="AE3017" s="10"/>
      <c r="AF3017" s="10"/>
    </row>
    <row r="3018">
      <c r="A3018" s="7"/>
      <c r="B3018" s="26">
        <v>239.0</v>
      </c>
      <c r="C3018" s="27">
        <v>86.0</v>
      </c>
      <c r="D3018" s="8" t="s">
        <v>3996</v>
      </c>
      <c r="E3018" s="7">
        <v>0.0</v>
      </c>
      <c r="F3018" s="7"/>
      <c r="G3018" s="7" t="s">
        <v>313</v>
      </c>
      <c r="H3018" s="7" t="s">
        <v>312</v>
      </c>
      <c r="I3018" s="10"/>
      <c r="J3018" s="11"/>
      <c r="K3018" s="12"/>
      <c r="L3018" s="12"/>
      <c r="M3018" s="10"/>
      <c r="N3018" s="10"/>
      <c r="O3018" s="10"/>
      <c r="P3018" s="10"/>
      <c r="Q3018" s="10"/>
      <c r="R3018" s="10"/>
      <c r="S3018" s="10"/>
      <c r="T3018" s="10"/>
      <c r="U3018" s="10"/>
      <c r="V3018" s="10"/>
      <c r="W3018" s="10"/>
      <c r="X3018" s="10"/>
      <c r="Y3018" s="10"/>
      <c r="Z3018" s="10"/>
      <c r="AA3018" s="10"/>
      <c r="AB3018" s="10"/>
      <c r="AC3018" s="10"/>
      <c r="AD3018" s="10"/>
      <c r="AE3018" s="10"/>
      <c r="AF3018" s="10"/>
    </row>
    <row r="3019">
      <c r="A3019" s="7"/>
      <c r="B3019" s="26">
        <v>239.0</v>
      </c>
      <c r="C3019" s="27">
        <v>87.0</v>
      </c>
      <c r="D3019" s="8" t="s">
        <v>3997</v>
      </c>
      <c r="E3019" s="7">
        <v>0.0</v>
      </c>
      <c r="F3019" s="7"/>
      <c r="G3019" s="7" t="s">
        <v>313</v>
      </c>
      <c r="H3019" s="7" t="s">
        <v>312</v>
      </c>
      <c r="I3019" s="10"/>
      <c r="J3019" s="11"/>
      <c r="K3019" s="20" t="s">
        <v>3994</v>
      </c>
      <c r="L3019" s="12"/>
      <c r="M3019" s="10"/>
      <c r="N3019" s="10"/>
      <c r="O3019" s="10"/>
      <c r="P3019" s="10"/>
      <c r="Q3019" s="10"/>
      <c r="R3019" s="10"/>
      <c r="S3019" s="10"/>
      <c r="T3019" s="10"/>
      <c r="U3019" s="10"/>
      <c r="V3019" s="10"/>
      <c r="W3019" s="10"/>
      <c r="X3019" s="10"/>
      <c r="Y3019" s="10"/>
      <c r="Z3019" s="10"/>
      <c r="AA3019" s="10"/>
      <c r="AB3019" s="10"/>
      <c r="AC3019" s="10"/>
      <c r="AD3019" s="10"/>
      <c r="AE3019" s="10"/>
      <c r="AF3019" s="10"/>
    </row>
    <row r="3020">
      <c r="A3020" s="7"/>
      <c r="B3020" s="26">
        <v>239.0</v>
      </c>
      <c r="C3020" s="27">
        <v>88.0</v>
      </c>
      <c r="D3020" s="8" t="s">
        <v>3998</v>
      </c>
      <c r="E3020" s="7">
        <v>0.0</v>
      </c>
      <c r="F3020" s="7"/>
      <c r="G3020" s="7" t="s">
        <v>313</v>
      </c>
      <c r="H3020" s="7" t="s">
        <v>312</v>
      </c>
      <c r="I3020" s="10"/>
      <c r="J3020" s="11"/>
      <c r="K3020" s="20" t="s">
        <v>3994</v>
      </c>
      <c r="L3020" s="12"/>
      <c r="M3020" s="10"/>
      <c r="N3020" s="10"/>
      <c r="O3020" s="10"/>
      <c r="P3020" s="10"/>
      <c r="Q3020" s="10"/>
      <c r="R3020" s="10"/>
      <c r="S3020" s="10"/>
      <c r="T3020" s="10"/>
      <c r="U3020" s="10"/>
      <c r="V3020" s="10"/>
      <c r="W3020" s="10"/>
      <c r="X3020" s="10"/>
      <c r="Y3020" s="10"/>
      <c r="Z3020" s="10"/>
      <c r="AA3020" s="10"/>
      <c r="AB3020" s="10"/>
      <c r="AC3020" s="10"/>
      <c r="AD3020" s="10"/>
      <c r="AE3020" s="10"/>
      <c r="AF3020" s="10"/>
    </row>
    <row r="3021">
      <c r="A3021" s="7"/>
      <c r="B3021" s="26">
        <v>239.0</v>
      </c>
      <c r="C3021" s="27">
        <v>89.0</v>
      </c>
      <c r="D3021" s="8" t="s">
        <v>3999</v>
      </c>
      <c r="E3021" s="7">
        <v>0.0</v>
      </c>
      <c r="F3021" s="7"/>
      <c r="G3021" s="7" t="s">
        <v>313</v>
      </c>
      <c r="H3021" s="7" t="s">
        <v>312</v>
      </c>
      <c r="I3021" s="10"/>
      <c r="J3021" s="11"/>
      <c r="K3021" s="12"/>
      <c r="L3021" s="12"/>
      <c r="M3021" s="10"/>
      <c r="N3021" s="10"/>
      <c r="O3021" s="10"/>
      <c r="P3021" s="10"/>
      <c r="Q3021" s="10"/>
      <c r="R3021" s="10"/>
      <c r="S3021" s="10"/>
      <c r="T3021" s="10"/>
      <c r="U3021" s="10"/>
      <c r="V3021" s="10"/>
      <c r="W3021" s="10"/>
      <c r="X3021" s="10"/>
      <c r="Y3021" s="10"/>
      <c r="Z3021" s="10"/>
      <c r="AA3021" s="10"/>
      <c r="AB3021" s="10"/>
      <c r="AC3021" s="10"/>
      <c r="AD3021" s="10"/>
      <c r="AE3021" s="10"/>
      <c r="AF3021" s="10"/>
    </row>
    <row r="3022">
      <c r="A3022" s="7"/>
      <c r="B3022" s="26">
        <v>239.0</v>
      </c>
      <c r="C3022" s="27">
        <v>90.0</v>
      </c>
      <c r="D3022" s="8" t="s">
        <v>4000</v>
      </c>
      <c r="E3022" s="7">
        <v>0.0</v>
      </c>
      <c r="F3022" s="7"/>
      <c r="G3022" s="7" t="s">
        <v>313</v>
      </c>
      <c r="H3022" s="7" t="s">
        <v>312</v>
      </c>
      <c r="I3022" s="10"/>
      <c r="J3022" s="11"/>
      <c r="K3022" s="12"/>
      <c r="L3022" s="12"/>
      <c r="M3022" s="10"/>
      <c r="N3022" s="10"/>
      <c r="O3022" s="10"/>
      <c r="P3022" s="10"/>
      <c r="Q3022" s="10"/>
      <c r="R3022" s="10"/>
      <c r="S3022" s="10"/>
      <c r="T3022" s="10"/>
      <c r="U3022" s="10"/>
      <c r="V3022" s="10"/>
      <c r="W3022" s="10"/>
      <c r="X3022" s="10"/>
      <c r="Y3022" s="10"/>
      <c r="Z3022" s="10"/>
      <c r="AA3022" s="10"/>
      <c r="AB3022" s="10"/>
      <c r="AC3022" s="10"/>
      <c r="AD3022" s="10"/>
      <c r="AE3022" s="10"/>
      <c r="AF3022" s="10"/>
    </row>
    <row r="3023">
      <c r="A3023" s="7"/>
      <c r="B3023" s="26">
        <v>239.0</v>
      </c>
      <c r="C3023" s="27">
        <v>91.0</v>
      </c>
      <c r="D3023" s="8" t="s">
        <v>4001</v>
      </c>
      <c r="E3023" s="7">
        <v>0.0</v>
      </c>
      <c r="F3023" s="7"/>
      <c r="G3023" s="7" t="s">
        <v>313</v>
      </c>
      <c r="H3023" s="7" t="s">
        <v>312</v>
      </c>
      <c r="I3023" s="10"/>
      <c r="J3023" s="11"/>
      <c r="K3023" s="12"/>
      <c r="L3023" s="12"/>
      <c r="M3023" s="10"/>
      <c r="N3023" s="10"/>
      <c r="O3023" s="10"/>
      <c r="P3023" s="10"/>
      <c r="Q3023" s="10"/>
      <c r="R3023" s="10"/>
      <c r="S3023" s="10"/>
      <c r="T3023" s="10"/>
      <c r="U3023" s="10"/>
      <c r="V3023" s="10"/>
      <c r="W3023" s="10"/>
      <c r="X3023" s="10"/>
      <c r="Y3023" s="10"/>
      <c r="Z3023" s="10"/>
      <c r="AA3023" s="10"/>
      <c r="AB3023" s="10"/>
      <c r="AC3023" s="10"/>
      <c r="AD3023" s="10"/>
      <c r="AE3023" s="10"/>
      <c r="AF3023" s="10"/>
    </row>
    <row r="3024">
      <c r="A3024" s="13" t="s">
        <v>240</v>
      </c>
      <c r="B3024" s="12"/>
      <c r="C3024" s="12"/>
      <c r="D3024" s="12"/>
      <c r="E3024" s="10"/>
      <c r="F3024" s="10"/>
      <c r="G3024" s="10"/>
      <c r="H3024" s="10"/>
      <c r="I3024" s="10"/>
      <c r="J3024" s="11"/>
      <c r="K3024" s="12"/>
      <c r="L3024" s="12"/>
      <c r="M3024" s="10"/>
      <c r="N3024" s="10"/>
      <c r="O3024" s="10"/>
      <c r="P3024" s="10"/>
      <c r="Q3024" s="10"/>
      <c r="R3024" s="10"/>
      <c r="S3024" s="10"/>
      <c r="T3024" s="10"/>
      <c r="U3024" s="10"/>
      <c r="V3024" s="10"/>
      <c r="W3024" s="10"/>
      <c r="X3024" s="10"/>
      <c r="Y3024" s="10"/>
      <c r="Z3024" s="10"/>
      <c r="AA3024" s="10"/>
      <c r="AB3024" s="10"/>
      <c r="AC3024" s="10"/>
      <c r="AD3024" s="10"/>
      <c r="AE3024" s="10"/>
      <c r="AF3024" s="10"/>
    </row>
    <row r="3025">
      <c r="A3025" s="7"/>
      <c r="B3025" s="26">
        <v>240.0</v>
      </c>
      <c r="C3025" s="27">
        <v>1.0</v>
      </c>
      <c r="D3025" s="8" t="s">
        <v>4002</v>
      </c>
      <c r="E3025" s="7">
        <v>0.0</v>
      </c>
      <c r="F3025" s="7" t="s">
        <v>320</v>
      </c>
      <c r="G3025" s="7" t="s">
        <v>313</v>
      </c>
      <c r="H3025" s="7" t="s">
        <v>312</v>
      </c>
      <c r="I3025" s="7" t="s">
        <v>320</v>
      </c>
      <c r="J3025" s="9" t="s">
        <v>4003</v>
      </c>
      <c r="K3025" s="12"/>
      <c r="L3025" s="14" t="s">
        <v>4004</v>
      </c>
      <c r="M3025" s="10"/>
      <c r="N3025" s="10"/>
      <c r="O3025" s="10"/>
      <c r="P3025" s="10"/>
      <c r="Q3025" s="10"/>
      <c r="R3025" s="10"/>
      <c r="S3025" s="10"/>
      <c r="T3025" s="10"/>
      <c r="U3025" s="10"/>
      <c r="V3025" s="10"/>
      <c r="W3025" s="10"/>
      <c r="X3025" s="10"/>
      <c r="Y3025" s="10"/>
      <c r="Z3025" s="10"/>
      <c r="AA3025" s="10"/>
      <c r="AB3025" s="10"/>
      <c r="AC3025" s="10"/>
      <c r="AD3025" s="10"/>
      <c r="AE3025" s="10"/>
      <c r="AF3025" s="10"/>
    </row>
    <row r="3026">
      <c r="A3026" s="7"/>
      <c r="B3026" s="26">
        <v>240.0</v>
      </c>
      <c r="C3026" s="27">
        <v>2.0</v>
      </c>
      <c r="D3026" s="8" t="s">
        <v>4005</v>
      </c>
      <c r="E3026" s="7">
        <v>0.0</v>
      </c>
      <c r="F3026" s="7" t="s">
        <v>320</v>
      </c>
      <c r="G3026" s="7" t="s">
        <v>313</v>
      </c>
      <c r="H3026" s="7" t="s">
        <v>312</v>
      </c>
      <c r="I3026" s="7" t="s">
        <v>320</v>
      </c>
      <c r="J3026" s="9"/>
      <c r="K3026" s="12"/>
      <c r="L3026" s="14" t="s">
        <v>4004</v>
      </c>
      <c r="M3026" s="10"/>
      <c r="N3026" s="10"/>
      <c r="O3026" s="10"/>
      <c r="P3026" s="10"/>
      <c r="Q3026" s="10"/>
      <c r="R3026" s="10"/>
      <c r="S3026" s="10"/>
      <c r="T3026" s="10"/>
      <c r="U3026" s="10"/>
      <c r="V3026" s="10"/>
      <c r="W3026" s="10"/>
      <c r="X3026" s="10"/>
      <c r="Y3026" s="10"/>
      <c r="Z3026" s="10"/>
      <c r="AA3026" s="10"/>
      <c r="AB3026" s="10"/>
      <c r="AC3026" s="10"/>
      <c r="AD3026" s="10"/>
      <c r="AE3026" s="10"/>
      <c r="AF3026" s="10"/>
    </row>
    <row r="3027">
      <c r="A3027" s="7"/>
      <c r="B3027" s="26">
        <v>240.0</v>
      </c>
      <c r="C3027" s="27">
        <v>3.0</v>
      </c>
      <c r="D3027" s="8" t="s">
        <v>4006</v>
      </c>
      <c r="E3027" s="7">
        <v>0.0</v>
      </c>
      <c r="F3027" s="7" t="s">
        <v>320</v>
      </c>
      <c r="G3027" s="7" t="s">
        <v>313</v>
      </c>
      <c r="H3027" s="7" t="s">
        <v>312</v>
      </c>
      <c r="I3027" s="7" t="s">
        <v>320</v>
      </c>
      <c r="J3027" s="11"/>
      <c r="K3027" s="12"/>
      <c r="L3027" s="14" t="s">
        <v>4004</v>
      </c>
      <c r="M3027" s="10"/>
      <c r="N3027" s="10"/>
      <c r="O3027" s="10"/>
      <c r="P3027" s="10"/>
      <c r="Q3027" s="10"/>
      <c r="R3027" s="10"/>
      <c r="S3027" s="10"/>
      <c r="T3027" s="10"/>
      <c r="U3027" s="10"/>
      <c r="V3027" s="10"/>
      <c r="W3027" s="10"/>
      <c r="X3027" s="10"/>
      <c r="Y3027" s="10"/>
      <c r="Z3027" s="10"/>
      <c r="AA3027" s="10"/>
      <c r="AB3027" s="10"/>
      <c r="AC3027" s="10"/>
      <c r="AD3027" s="10"/>
      <c r="AE3027" s="10"/>
      <c r="AF3027" s="10"/>
    </row>
    <row r="3028">
      <c r="A3028" s="7"/>
      <c r="B3028" s="26">
        <v>240.0</v>
      </c>
      <c r="C3028" s="27">
        <v>4.0</v>
      </c>
      <c r="D3028" s="8" t="s">
        <v>4007</v>
      </c>
      <c r="E3028" s="7">
        <v>0.0</v>
      </c>
      <c r="F3028" s="7" t="s">
        <v>320</v>
      </c>
      <c r="G3028" s="7" t="s">
        <v>313</v>
      </c>
      <c r="H3028" s="7" t="s">
        <v>312</v>
      </c>
      <c r="I3028" s="7" t="s">
        <v>320</v>
      </c>
      <c r="J3028" s="11"/>
      <c r="K3028" s="12"/>
      <c r="L3028" s="14" t="s">
        <v>4004</v>
      </c>
      <c r="M3028" s="10"/>
      <c r="N3028" s="10"/>
      <c r="O3028" s="10"/>
      <c r="P3028" s="10"/>
      <c r="Q3028" s="10"/>
      <c r="R3028" s="10"/>
      <c r="S3028" s="10"/>
      <c r="T3028" s="10"/>
      <c r="U3028" s="10"/>
      <c r="V3028" s="10"/>
      <c r="W3028" s="10"/>
      <c r="X3028" s="10"/>
      <c r="Y3028" s="10"/>
      <c r="Z3028" s="10"/>
      <c r="AA3028" s="10"/>
      <c r="AB3028" s="10"/>
      <c r="AC3028" s="10"/>
      <c r="AD3028" s="10"/>
      <c r="AE3028" s="10"/>
      <c r="AF3028" s="10"/>
    </row>
    <row r="3029">
      <c r="A3029" s="7"/>
      <c r="B3029" s="26">
        <v>240.0</v>
      </c>
      <c r="C3029" s="27">
        <v>5.0</v>
      </c>
      <c r="D3029" s="8" t="s">
        <v>4008</v>
      </c>
      <c r="E3029" s="7">
        <v>0.0</v>
      </c>
      <c r="F3029" s="7" t="s">
        <v>320</v>
      </c>
      <c r="G3029" s="7" t="s">
        <v>313</v>
      </c>
      <c r="H3029" s="7" t="s">
        <v>312</v>
      </c>
      <c r="I3029" s="7" t="s">
        <v>320</v>
      </c>
      <c r="J3029" s="11"/>
      <c r="K3029" s="12"/>
      <c r="L3029" s="14" t="s">
        <v>4004</v>
      </c>
      <c r="M3029" s="10"/>
      <c r="N3029" s="10"/>
      <c r="O3029" s="10"/>
      <c r="P3029" s="10"/>
      <c r="Q3029" s="10"/>
      <c r="R3029" s="10"/>
      <c r="S3029" s="10"/>
      <c r="T3029" s="10"/>
      <c r="U3029" s="10"/>
      <c r="V3029" s="10"/>
      <c r="W3029" s="10"/>
      <c r="X3029" s="10"/>
      <c r="Y3029" s="10"/>
      <c r="Z3029" s="10"/>
      <c r="AA3029" s="10"/>
      <c r="AB3029" s="10"/>
      <c r="AC3029" s="10"/>
      <c r="AD3029" s="10"/>
      <c r="AE3029" s="10"/>
      <c r="AF3029" s="10"/>
    </row>
    <row r="3030">
      <c r="A3030" s="7"/>
      <c r="B3030" s="26">
        <v>240.0</v>
      </c>
      <c r="C3030" s="27">
        <v>6.0</v>
      </c>
      <c r="D3030" s="8" t="s">
        <v>4009</v>
      </c>
      <c r="E3030" s="7">
        <v>0.0</v>
      </c>
      <c r="F3030" s="7" t="s">
        <v>320</v>
      </c>
      <c r="G3030" s="7" t="s">
        <v>313</v>
      </c>
      <c r="H3030" s="7" t="s">
        <v>312</v>
      </c>
      <c r="I3030" s="7" t="s">
        <v>320</v>
      </c>
      <c r="J3030" s="11"/>
      <c r="K3030" s="12"/>
      <c r="L3030" s="14" t="s">
        <v>4004</v>
      </c>
      <c r="M3030" s="10"/>
      <c r="N3030" s="10"/>
      <c r="O3030" s="10"/>
      <c r="P3030" s="10"/>
      <c r="Q3030" s="10"/>
      <c r="R3030" s="10"/>
      <c r="S3030" s="10"/>
      <c r="T3030" s="10"/>
      <c r="U3030" s="10"/>
      <c r="V3030" s="10"/>
      <c r="W3030" s="10"/>
      <c r="X3030" s="10"/>
      <c r="Y3030" s="10"/>
      <c r="Z3030" s="10"/>
      <c r="AA3030" s="10"/>
      <c r="AB3030" s="10"/>
      <c r="AC3030" s="10"/>
      <c r="AD3030" s="10"/>
      <c r="AE3030" s="10"/>
      <c r="AF3030" s="10"/>
    </row>
    <row r="3031">
      <c r="A3031" s="7"/>
      <c r="B3031" s="26">
        <v>240.0</v>
      </c>
      <c r="C3031" s="27">
        <v>7.0</v>
      </c>
      <c r="D3031" s="8" t="s">
        <v>4010</v>
      </c>
      <c r="E3031" s="7">
        <v>0.0</v>
      </c>
      <c r="F3031" s="7" t="s">
        <v>320</v>
      </c>
      <c r="G3031" s="7" t="s">
        <v>313</v>
      </c>
      <c r="H3031" s="7" t="s">
        <v>312</v>
      </c>
      <c r="I3031" s="7" t="s">
        <v>320</v>
      </c>
      <c r="J3031" s="11"/>
      <c r="K3031" s="12"/>
      <c r="L3031" s="14" t="s">
        <v>4004</v>
      </c>
      <c r="M3031" s="10"/>
      <c r="N3031" s="10"/>
      <c r="O3031" s="10"/>
      <c r="P3031" s="10"/>
      <c r="Q3031" s="10"/>
      <c r="R3031" s="10"/>
      <c r="S3031" s="10"/>
      <c r="T3031" s="10"/>
      <c r="U3031" s="10"/>
      <c r="V3031" s="10"/>
      <c r="W3031" s="10"/>
      <c r="X3031" s="10"/>
      <c r="Y3031" s="10"/>
      <c r="Z3031" s="10"/>
      <c r="AA3031" s="10"/>
      <c r="AB3031" s="10"/>
      <c r="AC3031" s="10"/>
      <c r="AD3031" s="10"/>
      <c r="AE3031" s="10"/>
      <c r="AF3031" s="10"/>
    </row>
    <row r="3032">
      <c r="A3032" s="7"/>
      <c r="B3032" s="26">
        <v>240.0</v>
      </c>
      <c r="C3032" s="27">
        <v>8.0</v>
      </c>
      <c r="D3032" s="8" t="s">
        <v>4011</v>
      </c>
      <c r="E3032" s="7">
        <v>0.0</v>
      </c>
      <c r="F3032" s="7"/>
      <c r="G3032" s="7" t="s">
        <v>313</v>
      </c>
      <c r="H3032" s="7" t="s">
        <v>312</v>
      </c>
      <c r="I3032" s="10"/>
      <c r="J3032" s="11"/>
      <c r="K3032" s="12"/>
      <c r="L3032" s="12"/>
      <c r="M3032" s="10"/>
      <c r="N3032" s="10"/>
      <c r="O3032" s="10"/>
      <c r="P3032" s="10"/>
      <c r="Q3032" s="10"/>
      <c r="R3032" s="10"/>
      <c r="S3032" s="10"/>
      <c r="T3032" s="10"/>
      <c r="U3032" s="10"/>
      <c r="V3032" s="10"/>
      <c r="W3032" s="10"/>
      <c r="X3032" s="10"/>
      <c r="Y3032" s="10"/>
      <c r="Z3032" s="10"/>
      <c r="AA3032" s="10"/>
      <c r="AB3032" s="10"/>
      <c r="AC3032" s="10"/>
      <c r="AD3032" s="10"/>
      <c r="AE3032" s="10"/>
      <c r="AF3032" s="10"/>
    </row>
    <row r="3033">
      <c r="A3033" s="7"/>
      <c r="B3033" s="26">
        <v>240.0</v>
      </c>
      <c r="C3033" s="27">
        <v>9.0</v>
      </c>
      <c r="D3033" s="8" t="s">
        <v>4012</v>
      </c>
      <c r="E3033" s="7">
        <v>0.0</v>
      </c>
      <c r="F3033" s="7" t="s">
        <v>320</v>
      </c>
      <c r="G3033" s="7" t="s">
        <v>313</v>
      </c>
      <c r="H3033" s="7" t="s">
        <v>312</v>
      </c>
      <c r="I3033" s="7" t="s">
        <v>320</v>
      </c>
      <c r="J3033" s="11"/>
      <c r="K3033" s="12"/>
      <c r="L3033" s="12"/>
      <c r="M3033" s="10"/>
      <c r="N3033" s="10"/>
      <c r="O3033" s="10"/>
      <c r="P3033" s="10"/>
      <c r="Q3033" s="10"/>
      <c r="R3033" s="10"/>
      <c r="S3033" s="10"/>
      <c r="T3033" s="10"/>
      <c r="U3033" s="10"/>
      <c r="V3033" s="10"/>
      <c r="W3033" s="10"/>
      <c r="X3033" s="10"/>
      <c r="Y3033" s="10"/>
      <c r="Z3033" s="10"/>
      <c r="AA3033" s="10"/>
      <c r="AB3033" s="10"/>
      <c r="AC3033" s="10"/>
      <c r="AD3033" s="10"/>
      <c r="AE3033" s="10"/>
      <c r="AF3033" s="10"/>
    </row>
    <row r="3034">
      <c r="A3034" s="7"/>
      <c r="B3034" s="26">
        <v>240.0</v>
      </c>
      <c r="C3034" s="27">
        <v>10.0</v>
      </c>
      <c r="D3034" s="8" t="s">
        <v>4013</v>
      </c>
      <c r="E3034" s="7">
        <v>0.0</v>
      </c>
      <c r="F3034" s="7" t="s">
        <v>320</v>
      </c>
      <c r="G3034" s="7" t="s">
        <v>313</v>
      </c>
      <c r="H3034" s="7" t="s">
        <v>312</v>
      </c>
      <c r="I3034" s="7" t="s">
        <v>320</v>
      </c>
      <c r="J3034" s="11"/>
      <c r="K3034" s="12"/>
      <c r="L3034" s="12"/>
      <c r="M3034" s="10"/>
      <c r="N3034" s="10"/>
      <c r="O3034" s="10"/>
      <c r="P3034" s="10"/>
      <c r="Q3034" s="10"/>
      <c r="R3034" s="10"/>
      <c r="S3034" s="10"/>
      <c r="T3034" s="10"/>
      <c r="U3034" s="10"/>
      <c r="V3034" s="10"/>
      <c r="W3034" s="10"/>
      <c r="X3034" s="10"/>
      <c r="Y3034" s="10"/>
      <c r="Z3034" s="10"/>
      <c r="AA3034" s="10"/>
      <c r="AB3034" s="10"/>
      <c r="AC3034" s="10"/>
      <c r="AD3034" s="10"/>
      <c r="AE3034" s="10"/>
      <c r="AF3034" s="10"/>
    </row>
    <row r="3035">
      <c r="A3035" s="7"/>
      <c r="B3035" s="26">
        <v>240.0</v>
      </c>
      <c r="C3035" s="27">
        <v>11.0</v>
      </c>
      <c r="D3035" s="8" t="s">
        <v>4014</v>
      </c>
      <c r="E3035" s="7">
        <v>0.0</v>
      </c>
      <c r="F3035" s="7" t="s">
        <v>320</v>
      </c>
      <c r="G3035" s="7" t="s">
        <v>313</v>
      </c>
      <c r="H3035" s="7" t="s">
        <v>312</v>
      </c>
      <c r="I3035" s="7" t="s">
        <v>320</v>
      </c>
      <c r="J3035" s="11"/>
      <c r="K3035" s="12"/>
      <c r="L3035" s="12"/>
      <c r="M3035" s="10"/>
      <c r="N3035" s="10"/>
      <c r="O3035" s="10"/>
      <c r="P3035" s="10"/>
      <c r="Q3035" s="10"/>
      <c r="R3035" s="10"/>
      <c r="S3035" s="10"/>
      <c r="T3035" s="10"/>
      <c r="U3035" s="10"/>
      <c r="V3035" s="10"/>
      <c r="W3035" s="10"/>
      <c r="X3035" s="10"/>
      <c r="Y3035" s="10"/>
      <c r="Z3035" s="10"/>
      <c r="AA3035" s="10"/>
      <c r="AB3035" s="10"/>
      <c r="AC3035" s="10"/>
      <c r="AD3035" s="10"/>
      <c r="AE3035" s="10"/>
      <c r="AF3035" s="10"/>
    </row>
    <row r="3036">
      <c r="A3036" s="7"/>
      <c r="B3036" s="26">
        <v>240.0</v>
      </c>
      <c r="C3036" s="27">
        <v>12.0</v>
      </c>
      <c r="D3036" s="8" t="s">
        <v>4015</v>
      </c>
      <c r="E3036" s="7">
        <v>0.0</v>
      </c>
      <c r="F3036" s="7" t="s">
        <v>320</v>
      </c>
      <c r="G3036" s="7" t="s">
        <v>313</v>
      </c>
      <c r="H3036" s="7" t="s">
        <v>312</v>
      </c>
      <c r="I3036" s="7" t="s">
        <v>320</v>
      </c>
      <c r="J3036" s="11"/>
      <c r="K3036" s="12"/>
      <c r="L3036" s="12"/>
      <c r="M3036" s="10"/>
      <c r="N3036" s="10"/>
      <c r="O3036" s="10"/>
      <c r="P3036" s="10"/>
      <c r="Q3036" s="10"/>
      <c r="R3036" s="10"/>
      <c r="S3036" s="10"/>
      <c r="T3036" s="10"/>
      <c r="U3036" s="10"/>
      <c r="V3036" s="10"/>
      <c r="W3036" s="10"/>
      <c r="X3036" s="10"/>
      <c r="Y3036" s="10"/>
      <c r="Z3036" s="10"/>
      <c r="AA3036" s="10"/>
      <c r="AB3036" s="10"/>
      <c r="AC3036" s="10"/>
      <c r="AD3036" s="10"/>
      <c r="AE3036" s="10"/>
      <c r="AF3036" s="10"/>
    </row>
    <row r="3037">
      <c r="A3037" s="7"/>
      <c r="B3037" s="26">
        <v>240.0</v>
      </c>
      <c r="C3037" s="27">
        <v>13.0</v>
      </c>
      <c r="D3037" s="8" t="s">
        <v>4016</v>
      </c>
      <c r="E3037" s="7">
        <v>0.0</v>
      </c>
      <c r="F3037" s="7" t="s">
        <v>320</v>
      </c>
      <c r="G3037" s="7" t="s">
        <v>313</v>
      </c>
      <c r="H3037" s="7" t="s">
        <v>312</v>
      </c>
      <c r="I3037" s="7" t="s">
        <v>320</v>
      </c>
      <c r="J3037" s="11"/>
      <c r="K3037" s="12"/>
      <c r="L3037" s="12"/>
      <c r="M3037" s="10"/>
      <c r="N3037" s="10"/>
      <c r="O3037" s="10"/>
      <c r="P3037" s="10"/>
      <c r="Q3037" s="10"/>
      <c r="R3037" s="10"/>
      <c r="S3037" s="10"/>
      <c r="T3037" s="10"/>
      <c r="U3037" s="10"/>
      <c r="V3037" s="10"/>
      <c r="W3037" s="10"/>
      <c r="X3037" s="10"/>
      <c r="Y3037" s="10"/>
      <c r="Z3037" s="10"/>
      <c r="AA3037" s="10"/>
      <c r="AB3037" s="10"/>
      <c r="AC3037" s="10"/>
      <c r="AD3037" s="10"/>
      <c r="AE3037" s="10"/>
      <c r="AF3037" s="10"/>
    </row>
    <row r="3038">
      <c r="A3038" s="7"/>
      <c r="B3038" s="26">
        <v>240.0</v>
      </c>
      <c r="C3038" s="27">
        <v>14.0</v>
      </c>
      <c r="D3038" s="8" t="s">
        <v>4017</v>
      </c>
      <c r="E3038" s="7">
        <v>0.0</v>
      </c>
      <c r="F3038" s="7" t="s">
        <v>320</v>
      </c>
      <c r="G3038" s="7" t="s">
        <v>313</v>
      </c>
      <c r="H3038" s="7" t="s">
        <v>312</v>
      </c>
      <c r="I3038" s="7" t="s">
        <v>320</v>
      </c>
      <c r="J3038" s="11"/>
      <c r="K3038" s="12"/>
      <c r="L3038" s="12"/>
      <c r="M3038" s="10"/>
      <c r="N3038" s="10"/>
      <c r="O3038" s="10"/>
      <c r="P3038" s="10"/>
      <c r="Q3038" s="10"/>
      <c r="R3038" s="10"/>
      <c r="S3038" s="10"/>
      <c r="T3038" s="10"/>
      <c r="U3038" s="10"/>
      <c r="V3038" s="10"/>
      <c r="W3038" s="10"/>
      <c r="X3038" s="10"/>
      <c r="Y3038" s="10"/>
      <c r="Z3038" s="10"/>
      <c r="AA3038" s="10"/>
      <c r="AB3038" s="10"/>
      <c r="AC3038" s="10"/>
      <c r="AD3038" s="10"/>
      <c r="AE3038" s="10"/>
      <c r="AF3038" s="10"/>
    </row>
    <row r="3039">
      <c r="A3039" s="7"/>
      <c r="B3039" s="26">
        <v>240.0</v>
      </c>
      <c r="C3039" s="27">
        <v>15.0</v>
      </c>
      <c r="D3039" s="8" t="s">
        <v>4018</v>
      </c>
      <c r="E3039" s="7">
        <v>0.0</v>
      </c>
      <c r="F3039" s="7" t="s">
        <v>320</v>
      </c>
      <c r="G3039" s="7" t="s">
        <v>313</v>
      </c>
      <c r="H3039" s="7" t="s">
        <v>312</v>
      </c>
      <c r="I3039" s="7" t="s">
        <v>320</v>
      </c>
      <c r="J3039" s="11"/>
      <c r="K3039" s="12"/>
      <c r="L3039" s="12"/>
      <c r="M3039" s="10"/>
      <c r="N3039" s="10"/>
      <c r="O3039" s="10"/>
      <c r="P3039" s="10"/>
      <c r="Q3039" s="10"/>
      <c r="R3039" s="10"/>
      <c r="S3039" s="10"/>
      <c r="T3039" s="10"/>
      <c r="U3039" s="10"/>
      <c r="V3039" s="10"/>
      <c r="W3039" s="10"/>
      <c r="X3039" s="10"/>
      <c r="Y3039" s="10"/>
      <c r="Z3039" s="10"/>
      <c r="AA3039" s="10"/>
      <c r="AB3039" s="10"/>
      <c r="AC3039" s="10"/>
      <c r="AD3039" s="10"/>
      <c r="AE3039" s="10"/>
      <c r="AF3039" s="10"/>
    </row>
    <row r="3040">
      <c r="A3040" s="7"/>
      <c r="B3040" s="26">
        <v>240.0</v>
      </c>
      <c r="C3040" s="27">
        <v>16.0</v>
      </c>
      <c r="D3040" s="8" t="s">
        <v>4019</v>
      </c>
      <c r="E3040" s="7">
        <v>0.0</v>
      </c>
      <c r="F3040" s="7" t="s">
        <v>320</v>
      </c>
      <c r="G3040" s="7" t="s">
        <v>313</v>
      </c>
      <c r="H3040" s="7" t="s">
        <v>312</v>
      </c>
      <c r="I3040" s="7" t="s">
        <v>320</v>
      </c>
      <c r="J3040" s="11"/>
      <c r="K3040" s="12"/>
      <c r="L3040" s="12"/>
      <c r="M3040" s="10"/>
      <c r="N3040" s="10"/>
      <c r="O3040" s="10"/>
      <c r="P3040" s="10"/>
      <c r="Q3040" s="10"/>
      <c r="R3040" s="10"/>
      <c r="S3040" s="10"/>
      <c r="T3040" s="10"/>
      <c r="U3040" s="10"/>
      <c r="V3040" s="10"/>
      <c r="W3040" s="10"/>
      <c r="X3040" s="10"/>
      <c r="Y3040" s="10"/>
      <c r="Z3040" s="10"/>
      <c r="AA3040" s="10"/>
      <c r="AB3040" s="10"/>
      <c r="AC3040" s="10"/>
      <c r="AD3040" s="10"/>
      <c r="AE3040" s="10"/>
      <c r="AF3040" s="10"/>
    </row>
    <row r="3041">
      <c r="A3041" s="7"/>
      <c r="B3041" s="26">
        <v>240.0</v>
      </c>
      <c r="C3041" s="27">
        <v>17.0</v>
      </c>
      <c r="D3041" s="8" t="s">
        <v>4020</v>
      </c>
      <c r="E3041" s="7">
        <v>0.0</v>
      </c>
      <c r="F3041" s="7" t="s">
        <v>320</v>
      </c>
      <c r="G3041" s="7" t="s">
        <v>313</v>
      </c>
      <c r="H3041" s="7" t="s">
        <v>312</v>
      </c>
      <c r="I3041" s="7" t="s">
        <v>320</v>
      </c>
      <c r="J3041" s="11"/>
      <c r="K3041" s="12"/>
      <c r="L3041" s="12"/>
      <c r="M3041" s="10"/>
      <c r="N3041" s="10"/>
      <c r="O3041" s="10"/>
      <c r="P3041" s="10"/>
      <c r="Q3041" s="10"/>
      <c r="R3041" s="10"/>
      <c r="S3041" s="10"/>
      <c r="T3041" s="10"/>
      <c r="U3041" s="10"/>
      <c r="V3041" s="10"/>
      <c r="W3041" s="10"/>
      <c r="X3041" s="10"/>
      <c r="Y3041" s="10"/>
      <c r="Z3041" s="10"/>
      <c r="AA3041" s="10"/>
      <c r="AB3041" s="10"/>
      <c r="AC3041" s="10"/>
      <c r="AD3041" s="10"/>
      <c r="AE3041" s="10"/>
      <c r="AF3041" s="10"/>
    </row>
    <row r="3042">
      <c r="A3042" s="7"/>
      <c r="B3042" s="26">
        <v>240.0</v>
      </c>
      <c r="C3042" s="27">
        <v>18.0</v>
      </c>
      <c r="D3042" s="8" t="s">
        <v>4021</v>
      </c>
      <c r="E3042" s="7">
        <v>0.0</v>
      </c>
      <c r="F3042" s="7" t="s">
        <v>320</v>
      </c>
      <c r="G3042" s="7" t="s">
        <v>313</v>
      </c>
      <c r="H3042" s="7" t="s">
        <v>312</v>
      </c>
      <c r="I3042" s="7" t="s">
        <v>320</v>
      </c>
      <c r="J3042" s="11"/>
      <c r="K3042" s="12"/>
      <c r="L3042" s="12"/>
      <c r="M3042" s="10"/>
      <c r="N3042" s="10"/>
      <c r="O3042" s="10"/>
      <c r="P3042" s="10"/>
      <c r="Q3042" s="10"/>
      <c r="R3042" s="10"/>
      <c r="S3042" s="10"/>
      <c r="T3042" s="10"/>
      <c r="U3042" s="10"/>
      <c r="V3042" s="10"/>
      <c r="W3042" s="10"/>
      <c r="X3042" s="10"/>
      <c r="Y3042" s="10"/>
      <c r="Z3042" s="10"/>
      <c r="AA3042" s="10"/>
      <c r="AB3042" s="10"/>
      <c r="AC3042" s="10"/>
      <c r="AD3042" s="10"/>
      <c r="AE3042" s="10"/>
      <c r="AF3042" s="10"/>
    </row>
    <row r="3043">
      <c r="A3043" s="7"/>
      <c r="B3043" s="26">
        <v>240.0</v>
      </c>
      <c r="C3043" s="27">
        <v>19.0</v>
      </c>
      <c r="D3043" s="8" t="s">
        <v>4022</v>
      </c>
      <c r="E3043" s="7">
        <v>0.0</v>
      </c>
      <c r="F3043" s="7"/>
      <c r="G3043" s="7" t="s">
        <v>313</v>
      </c>
      <c r="H3043" s="7" t="s">
        <v>312</v>
      </c>
      <c r="I3043" s="10"/>
      <c r="J3043" s="11"/>
      <c r="K3043" s="12"/>
      <c r="L3043" s="12"/>
      <c r="M3043" s="10"/>
      <c r="N3043" s="10"/>
      <c r="O3043" s="10"/>
      <c r="P3043" s="10"/>
      <c r="Q3043" s="10"/>
      <c r="R3043" s="10"/>
      <c r="S3043" s="10"/>
      <c r="T3043" s="10"/>
      <c r="U3043" s="10"/>
      <c r="V3043" s="10"/>
      <c r="W3043" s="10"/>
      <c r="X3043" s="10"/>
      <c r="Y3043" s="10"/>
      <c r="Z3043" s="10"/>
      <c r="AA3043" s="10"/>
      <c r="AB3043" s="10"/>
      <c r="AC3043" s="10"/>
      <c r="AD3043" s="10"/>
      <c r="AE3043" s="10"/>
      <c r="AF3043" s="10"/>
    </row>
    <row r="3044">
      <c r="A3044" s="7"/>
      <c r="B3044" s="26">
        <v>240.0</v>
      </c>
      <c r="C3044" s="27">
        <v>20.0</v>
      </c>
      <c r="D3044" s="8" t="s">
        <v>4023</v>
      </c>
      <c r="E3044" s="7">
        <v>0.0</v>
      </c>
      <c r="F3044" s="7"/>
      <c r="G3044" s="7" t="s">
        <v>313</v>
      </c>
      <c r="H3044" s="7" t="s">
        <v>312</v>
      </c>
      <c r="I3044" s="10"/>
      <c r="J3044" s="11"/>
      <c r="K3044" s="12"/>
      <c r="L3044" s="12"/>
      <c r="M3044" s="10"/>
      <c r="N3044" s="10"/>
      <c r="O3044" s="10"/>
      <c r="P3044" s="10"/>
      <c r="Q3044" s="10"/>
      <c r="R3044" s="10"/>
      <c r="S3044" s="10"/>
      <c r="T3044" s="10"/>
      <c r="U3044" s="10"/>
      <c r="V3044" s="10"/>
      <c r="W3044" s="10"/>
      <c r="X3044" s="10"/>
      <c r="Y3044" s="10"/>
      <c r="Z3044" s="10"/>
      <c r="AA3044" s="10"/>
      <c r="AB3044" s="10"/>
      <c r="AC3044" s="10"/>
      <c r="AD3044" s="10"/>
      <c r="AE3044" s="10"/>
      <c r="AF3044" s="10"/>
    </row>
    <row r="3045">
      <c r="A3045" s="7"/>
      <c r="B3045" s="26">
        <v>240.0</v>
      </c>
      <c r="C3045" s="27">
        <v>21.0</v>
      </c>
      <c r="D3045" s="8" t="s">
        <v>4024</v>
      </c>
      <c r="E3045" s="7">
        <v>0.0</v>
      </c>
      <c r="F3045" s="7"/>
      <c r="G3045" s="7" t="s">
        <v>313</v>
      </c>
      <c r="H3045" s="7" t="s">
        <v>312</v>
      </c>
      <c r="I3045" s="10"/>
      <c r="J3045" s="11"/>
      <c r="K3045" s="12"/>
      <c r="L3045" s="12"/>
      <c r="M3045" s="10"/>
      <c r="N3045" s="10"/>
      <c r="O3045" s="10"/>
      <c r="P3045" s="10"/>
      <c r="Q3045" s="10"/>
      <c r="R3045" s="10"/>
      <c r="S3045" s="10"/>
      <c r="T3045" s="10"/>
      <c r="U3045" s="10"/>
      <c r="V3045" s="10"/>
      <c r="W3045" s="10"/>
      <c r="X3045" s="10"/>
      <c r="Y3045" s="10"/>
      <c r="Z3045" s="10"/>
      <c r="AA3045" s="10"/>
      <c r="AB3045" s="10"/>
      <c r="AC3045" s="10"/>
      <c r="AD3045" s="10"/>
      <c r="AE3045" s="10"/>
      <c r="AF3045" s="10"/>
    </row>
    <row r="3046">
      <c r="A3046" s="7"/>
      <c r="B3046" s="26">
        <v>240.0</v>
      </c>
      <c r="C3046" s="27">
        <v>22.0</v>
      </c>
      <c r="D3046" s="8" t="s">
        <v>4025</v>
      </c>
      <c r="E3046" s="7">
        <v>0.0</v>
      </c>
      <c r="F3046" s="7"/>
      <c r="G3046" s="7" t="s">
        <v>313</v>
      </c>
      <c r="H3046" s="7" t="s">
        <v>312</v>
      </c>
      <c r="I3046" s="10"/>
      <c r="J3046" s="11"/>
      <c r="K3046" s="12"/>
      <c r="L3046" s="12"/>
      <c r="M3046" s="10"/>
      <c r="N3046" s="10"/>
      <c r="O3046" s="10"/>
      <c r="P3046" s="10"/>
      <c r="Q3046" s="10"/>
      <c r="R3046" s="10"/>
      <c r="S3046" s="10"/>
      <c r="T3046" s="10"/>
      <c r="U3046" s="10"/>
      <c r="V3046" s="10"/>
      <c r="W3046" s="10"/>
      <c r="X3046" s="10"/>
      <c r="Y3046" s="10"/>
      <c r="Z3046" s="10"/>
      <c r="AA3046" s="10"/>
      <c r="AB3046" s="10"/>
      <c r="AC3046" s="10"/>
      <c r="AD3046" s="10"/>
      <c r="AE3046" s="10"/>
      <c r="AF3046" s="10"/>
    </row>
    <row r="3047">
      <c r="A3047" s="7"/>
      <c r="B3047" s="26">
        <v>240.0</v>
      </c>
      <c r="C3047" s="27">
        <v>23.0</v>
      </c>
      <c r="D3047" s="8" t="s">
        <v>4026</v>
      </c>
      <c r="E3047" s="7">
        <v>0.0</v>
      </c>
      <c r="F3047" s="7"/>
      <c r="G3047" s="7" t="s">
        <v>313</v>
      </c>
      <c r="H3047" s="7" t="s">
        <v>312</v>
      </c>
      <c r="I3047" s="10"/>
      <c r="J3047" s="11"/>
      <c r="K3047" s="12"/>
      <c r="L3047" s="12"/>
      <c r="M3047" s="10"/>
      <c r="N3047" s="10"/>
      <c r="O3047" s="10"/>
      <c r="P3047" s="10"/>
      <c r="Q3047" s="10"/>
      <c r="R3047" s="10"/>
      <c r="S3047" s="10"/>
      <c r="T3047" s="10"/>
      <c r="U3047" s="10"/>
      <c r="V3047" s="10"/>
      <c r="W3047" s="10"/>
      <c r="X3047" s="10"/>
      <c r="Y3047" s="10"/>
      <c r="Z3047" s="10"/>
      <c r="AA3047" s="10"/>
      <c r="AB3047" s="10"/>
      <c r="AC3047" s="10"/>
      <c r="AD3047" s="10"/>
      <c r="AE3047" s="10"/>
      <c r="AF3047" s="10"/>
    </row>
    <row r="3048">
      <c r="A3048" s="7"/>
      <c r="B3048" s="26">
        <v>240.0</v>
      </c>
      <c r="C3048" s="27">
        <v>24.0</v>
      </c>
      <c r="D3048" s="8" t="s">
        <v>4027</v>
      </c>
      <c r="E3048" s="7">
        <v>0.0</v>
      </c>
      <c r="F3048" s="7"/>
      <c r="G3048" s="7" t="s">
        <v>313</v>
      </c>
      <c r="H3048" s="7" t="s">
        <v>312</v>
      </c>
      <c r="I3048" s="10"/>
      <c r="J3048" s="11"/>
      <c r="K3048" s="12"/>
      <c r="L3048" s="12"/>
      <c r="M3048" s="10"/>
      <c r="N3048" s="10"/>
      <c r="O3048" s="10"/>
      <c r="P3048" s="10"/>
      <c r="Q3048" s="10"/>
      <c r="R3048" s="10"/>
      <c r="S3048" s="10"/>
      <c r="T3048" s="10"/>
      <c r="U3048" s="10"/>
      <c r="V3048" s="10"/>
      <c r="W3048" s="10"/>
      <c r="X3048" s="10"/>
      <c r="Y3048" s="10"/>
      <c r="Z3048" s="10"/>
      <c r="AA3048" s="10"/>
      <c r="AB3048" s="10"/>
      <c r="AC3048" s="10"/>
      <c r="AD3048" s="10"/>
      <c r="AE3048" s="10"/>
      <c r="AF3048" s="10"/>
    </row>
    <row r="3049">
      <c r="A3049" s="7"/>
      <c r="B3049" s="26">
        <v>240.0</v>
      </c>
      <c r="C3049" s="27">
        <v>25.0</v>
      </c>
      <c r="D3049" s="8" t="s">
        <v>4028</v>
      </c>
      <c r="E3049" s="7">
        <v>0.0</v>
      </c>
      <c r="F3049" s="7"/>
      <c r="G3049" s="7" t="s">
        <v>313</v>
      </c>
      <c r="H3049" s="7" t="s">
        <v>312</v>
      </c>
      <c r="I3049" s="10"/>
      <c r="J3049" s="11"/>
      <c r="K3049" s="12"/>
      <c r="L3049" s="12"/>
      <c r="M3049" s="10"/>
      <c r="N3049" s="10"/>
      <c r="O3049" s="10"/>
      <c r="P3049" s="10"/>
      <c r="Q3049" s="10"/>
      <c r="R3049" s="10"/>
      <c r="S3049" s="10"/>
      <c r="T3049" s="10"/>
      <c r="U3049" s="10"/>
      <c r="V3049" s="10"/>
      <c r="W3049" s="10"/>
      <c r="X3049" s="10"/>
      <c r="Y3049" s="10"/>
      <c r="Z3049" s="10"/>
      <c r="AA3049" s="10"/>
      <c r="AB3049" s="10"/>
      <c r="AC3049" s="10"/>
      <c r="AD3049" s="10"/>
      <c r="AE3049" s="10"/>
      <c r="AF3049" s="10"/>
    </row>
    <row r="3050">
      <c r="A3050" s="7"/>
      <c r="B3050" s="26">
        <v>240.0</v>
      </c>
      <c r="C3050" s="27">
        <v>26.0</v>
      </c>
      <c r="D3050" s="8" t="s">
        <v>4029</v>
      </c>
      <c r="E3050" s="7">
        <v>0.0</v>
      </c>
      <c r="F3050" s="7"/>
      <c r="G3050" s="7" t="s">
        <v>313</v>
      </c>
      <c r="H3050" s="7" t="s">
        <v>312</v>
      </c>
      <c r="I3050" s="10"/>
      <c r="J3050" s="11"/>
      <c r="K3050" s="12"/>
      <c r="L3050" s="12"/>
      <c r="M3050" s="10"/>
      <c r="N3050" s="10"/>
      <c r="O3050" s="10"/>
      <c r="P3050" s="10"/>
      <c r="Q3050" s="10"/>
      <c r="R3050" s="10"/>
      <c r="S3050" s="10"/>
      <c r="T3050" s="10"/>
      <c r="U3050" s="10"/>
      <c r="V3050" s="10"/>
      <c r="W3050" s="10"/>
      <c r="X3050" s="10"/>
      <c r="Y3050" s="10"/>
      <c r="Z3050" s="10"/>
      <c r="AA3050" s="10"/>
      <c r="AB3050" s="10"/>
      <c r="AC3050" s="10"/>
      <c r="AD3050" s="10"/>
      <c r="AE3050" s="10"/>
      <c r="AF3050" s="10"/>
    </row>
    <row r="3051">
      <c r="A3051" s="7"/>
      <c r="B3051" s="26">
        <v>240.0</v>
      </c>
      <c r="C3051" s="27">
        <v>27.0</v>
      </c>
      <c r="D3051" s="8" t="s">
        <v>4030</v>
      </c>
      <c r="E3051" s="7">
        <v>0.0</v>
      </c>
      <c r="F3051" s="7"/>
      <c r="G3051" s="7" t="s">
        <v>313</v>
      </c>
      <c r="H3051" s="7" t="s">
        <v>312</v>
      </c>
      <c r="I3051" s="10"/>
      <c r="J3051" s="11"/>
      <c r="K3051" s="12"/>
      <c r="L3051" s="12"/>
      <c r="M3051" s="10"/>
      <c r="N3051" s="10"/>
      <c r="O3051" s="10"/>
      <c r="P3051" s="10"/>
      <c r="Q3051" s="10"/>
      <c r="R3051" s="10"/>
      <c r="S3051" s="10"/>
      <c r="T3051" s="10"/>
      <c r="U3051" s="10"/>
      <c r="V3051" s="10"/>
      <c r="W3051" s="10"/>
      <c r="X3051" s="10"/>
      <c r="Y3051" s="10"/>
      <c r="Z3051" s="10"/>
      <c r="AA3051" s="10"/>
      <c r="AB3051" s="10"/>
      <c r="AC3051" s="10"/>
      <c r="AD3051" s="10"/>
      <c r="AE3051" s="10"/>
      <c r="AF3051" s="10"/>
    </row>
    <row r="3052">
      <c r="A3052" s="7"/>
      <c r="B3052" s="26">
        <v>240.0</v>
      </c>
      <c r="C3052" s="27">
        <v>28.0</v>
      </c>
      <c r="D3052" s="8" t="s">
        <v>4031</v>
      </c>
      <c r="E3052" s="7">
        <v>0.0</v>
      </c>
      <c r="F3052" s="7"/>
      <c r="G3052" s="7" t="s">
        <v>313</v>
      </c>
      <c r="H3052" s="7" t="s">
        <v>312</v>
      </c>
      <c r="I3052" s="10"/>
      <c r="J3052" s="11"/>
      <c r="K3052" s="12"/>
      <c r="L3052" s="12"/>
      <c r="M3052" s="10"/>
      <c r="N3052" s="10"/>
      <c r="O3052" s="10"/>
      <c r="P3052" s="10"/>
      <c r="Q3052" s="10"/>
      <c r="R3052" s="10"/>
      <c r="S3052" s="10"/>
      <c r="T3052" s="10"/>
      <c r="U3052" s="10"/>
      <c r="V3052" s="10"/>
      <c r="W3052" s="10"/>
      <c r="X3052" s="10"/>
      <c r="Y3052" s="10"/>
      <c r="Z3052" s="10"/>
      <c r="AA3052" s="10"/>
      <c r="AB3052" s="10"/>
      <c r="AC3052" s="10"/>
      <c r="AD3052" s="10"/>
      <c r="AE3052" s="10"/>
      <c r="AF3052" s="10"/>
    </row>
    <row r="3053">
      <c r="A3053" s="13" t="s">
        <v>241</v>
      </c>
      <c r="B3053" s="12"/>
      <c r="C3053" s="12"/>
      <c r="D3053" s="12"/>
      <c r="E3053" s="10"/>
      <c r="F3053" s="10"/>
      <c r="G3053" s="10"/>
      <c r="H3053" s="10"/>
      <c r="I3053" s="10"/>
      <c r="J3053" s="11"/>
      <c r="K3053" s="12"/>
      <c r="L3053" s="12"/>
      <c r="M3053" s="10"/>
      <c r="N3053" s="10"/>
      <c r="O3053" s="10"/>
      <c r="P3053" s="10"/>
      <c r="Q3053" s="10"/>
      <c r="R3053" s="10"/>
      <c r="S3053" s="10"/>
      <c r="T3053" s="10"/>
      <c r="U3053" s="10"/>
      <c r="V3053" s="10"/>
      <c r="W3053" s="10"/>
      <c r="X3053" s="10"/>
      <c r="Y3053" s="10"/>
      <c r="Z3053" s="10"/>
      <c r="AA3053" s="10"/>
      <c r="AB3053" s="10"/>
      <c r="AC3053" s="10"/>
      <c r="AD3053" s="10"/>
      <c r="AE3053" s="10"/>
      <c r="AF3053" s="10"/>
    </row>
    <row r="3054">
      <c r="A3054" s="7"/>
      <c r="B3054" s="26">
        <v>241.0</v>
      </c>
      <c r="C3054" s="27">
        <v>1.0</v>
      </c>
      <c r="D3054" s="8" t="s">
        <v>4032</v>
      </c>
      <c r="E3054" s="7">
        <v>0.0</v>
      </c>
      <c r="F3054" s="7"/>
      <c r="G3054" s="7" t="s">
        <v>313</v>
      </c>
      <c r="H3054" s="7" t="s">
        <v>312</v>
      </c>
      <c r="I3054" s="10"/>
      <c r="J3054" s="9"/>
      <c r="K3054" s="12"/>
      <c r="L3054" s="12"/>
      <c r="M3054" s="10"/>
      <c r="N3054" s="10"/>
      <c r="O3054" s="10"/>
      <c r="P3054" s="10"/>
      <c r="Q3054" s="10"/>
      <c r="R3054" s="10"/>
      <c r="S3054" s="10"/>
      <c r="T3054" s="10"/>
      <c r="U3054" s="10"/>
      <c r="V3054" s="10"/>
      <c r="W3054" s="10"/>
      <c r="X3054" s="10"/>
      <c r="Y3054" s="10"/>
      <c r="Z3054" s="10"/>
      <c r="AA3054" s="10"/>
      <c r="AB3054" s="10"/>
      <c r="AC3054" s="10"/>
      <c r="AD3054" s="10"/>
      <c r="AE3054" s="10"/>
      <c r="AF3054" s="10"/>
    </row>
    <row r="3055">
      <c r="A3055" s="7"/>
      <c r="B3055" s="26">
        <v>241.0</v>
      </c>
      <c r="C3055" s="27">
        <v>2.0</v>
      </c>
      <c r="D3055" s="8" t="s">
        <v>4033</v>
      </c>
      <c r="E3055" s="7">
        <v>0.0</v>
      </c>
      <c r="F3055" s="7"/>
      <c r="G3055" s="7" t="s">
        <v>313</v>
      </c>
      <c r="H3055" s="7" t="s">
        <v>312</v>
      </c>
      <c r="I3055" s="10"/>
      <c r="J3055" s="9"/>
      <c r="K3055" s="12"/>
      <c r="L3055" s="12"/>
      <c r="M3055" s="10"/>
      <c r="N3055" s="10"/>
      <c r="O3055" s="10"/>
      <c r="P3055" s="10"/>
      <c r="Q3055" s="10"/>
      <c r="R3055" s="10"/>
      <c r="S3055" s="10"/>
      <c r="T3055" s="10"/>
      <c r="U3055" s="10"/>
      <c r="V3055" s="10"/>
      <c r="W3055" s="10"/>
      <c r="X3055" s="10"/>
      <c r="Y3055" s="10"/>
      <c r="Z3055" s="10"/>
      <c r="AA3055" s="10"/>
      <c r="AB3055" s="10"/>
      <c r="AC3055" s="10"/>
      <c r="AD3055" s="10"/>
      <c r="AE3055" s="10"/>
      <c r="AF3055" s="10"/>
    </row>
    <row r="3056">
      <c r="A3056" s="7"/>
      <c r="B3056" s="26">
        <v>241.0</v>
      </c>
      <c r="C3056" s="27">
        <v>3.0</v>
      </c>
      <c r="D3056" s="8" t="s">
        <v>4034</v>
      </c>
      <c r="E3056" s="7">
        <v>0.0</v>
      </c>
      <c r="F3056" s="7"/>
      <c r="G3056" s="7" t="s">
        <v>313</v>
      </c>
      <c r="H3056" s="7" t="s">
        <v>312</v>
      </c>
      <c r="I3056" s="10"/>
      <c r="J3056" s="11"/>
      <c r="K3056" s="12"/>
      <c r="L3056" s="12"/>
      <c r="M3056" s="10"/>
      <c r="N3056" s="10"/>
      <c r="O3056" s="10"/>
      <c r="P3056" s="10"/>
      <c r="Q3056" s="10"/>
      <c r="R3056" s="10"/>
      <c r="S3056" s="10"/>
      <c r="T3056" s="10"/>
      <c r="U3056" s="10"/>
      <c r="V3056" s="10"/>
      <c r="W3056" s="10"/>
      <c r="X3056" s="10"/>
      <c r="Y3056" s="10"/>
      <c r="Z3056" s="10"/>
      <c r="AA3056" s="10"/>
      <c r="AB3056" s="10"/>
      <c r="AC3056" s="10"/>
      <c r="AD3056" s="10"/>
      <c r="AE3056" s="10"/>
      <c r="AF3056" s="10"/>
    </row>
    <row r="3057">
      <c r="A3057" s="7"/>
      <c r="B3057" s="26">
        <v>241.0</v>
      </c>
      <c r="C3057" s="27">
        <v>4.0</v>
      </c>
      <c r="D3057" s="8" t="s">
        <v>4035</v>
      </c>
      <c r="E3057" s="7">
        <v>0.0</v>
      </c>
      <c r="F3057" s="7"/>
      <c r="G3057" s="7" t="s">
        <v>313</v>
      </c>
      <c r="H3057" s="7" t="s">
        <v>312</v>
      </c>
      <c r="I3057" s="10"/>
      <c r="J3057" s="11"/>
      <c r="K3057" s="12"/>
      <c r="L3057" s="12"/>
      <c r="M3057" s="10"/>
      <c r="N3057" s="10"/>
      <c r="O3057" s="10"/>
      <c r="P3057" s="10"/>
      <c r="Q3057" s="10"/>
      <c r="R3057" s="10"/>
      <c r="S3057" s="10"/>
      <c r="T3057" s="10"/>
      <c r="U3057" s="10"/>
      <c r="V3057" s="10"/>
      <c r="W3057" s="10"/>
      <c r="X3057" s="10"/>
      <c r="Y3057" s="10"/>
      <c r="Z3057" s="10"/>
      <c r="AA3057" s="10"/>
      <c r="AB3057" s="10"/>
      <c r="AC3057" s="10"/>
      <c r="AD3057" s="10"/>
      <c r="AE3057" s="10"/>
      <c r="AF3057" s="10"/>
    </row>
    <row r="3058">
      <c r="A3058" s="7"/>
      <c r="B3058" s="26">
        <v>241.0</v>
      </c>
      <c r="C3058" s="27">
        <v>5.0</v>
      </c>
      <c r="D3058" s="8" t="s">
        <v>4036</v>
      </c>
      <c r="E3058" s="7">
        <v>0.0</v>
      </c>
      <c r="F3058" s="7"/>
      <c r="G3058" s="7" t="s">
        <v>313</v>
      </c>
      <c r="H3058" s="7" t="s">
        <v>312</v>
      </c>
      <c r="I3058" s="10"/>
      <c r="J3058" s="11"/>
      <c r="K3058" s="12"/>
      <c r="L3058" s="12"/>
      <c r="M3058" s="10"/>
      <c r="N3058" s="10"/>
      <c r="O3058" s="10"/>
      <c r="P3058" s="10"/>
      <c r="Q3058" s="10"/>
      <c r="R3058" s="10"/>
      <c r="S3058" s="10"/>
      <c r="T3058" s="10"/>
      <c r="U3058" s="10"/>
      <c r="V3058" s="10"/>
      <c r="W3058" s="10"/>
      <c r="X3058" s="10"/>
      <c r="Y3058" s="10"/>
      <c r="Z3058" s="10"/>
      <c r="AA3058" s="10"/>
      <c r="AB3058" s="10"/>
      <c r="AC3058" s="10"/>
      <c r="AD3058" s="10"/>
      <c r="AE3058" s="10"/>
      <c r="AF3058" s="10"/>
    </row>
    <row r="3059">
      <c r="A3059" s="7"/>
      <c r="B3059" s="26">
        <v>241.0</v>
      </c>
      <c r="C3059" s="27">
        <v>6.0</v>
      </c>
      <c r="D3059" s="8" t="s">
        <v>4037</v>
      </c>
      <c r="E3059" s="7">
        <v>0.0</v>
      </c>
      <c r="F3059" s="7"/>
      <c r="G3059" s="7" t="s">
        <v>313</v>
      </c>
      <c r="H3059" s="7" t="s">
        <v>312</v>
      </c>
      <c r="I3059" s="10"/>
      <c r="J3059" s="11"/>
      <c r="K3059" s="12"/>
      <c r="L3059" s="12"/>
      <c r="M3059" s="10"/>
      <c r="N3059" s="10"/>
      <c r="O3059" s="10"/>
      <c r="P3059" s="10"/>
      <c r="Q3059" s="10"/>
      <c r="R3059" s="10"/>
      <c r="S3059" s="10"/>
      <c r="T3059" s="10"/>
      <c r="U3059" s="10"/>
      <c r="V3059" s="10"/>
      <c r="W3059" s="10"/>
      <c r="X3059" s="10"/>
      <c r="Y3059" s="10"/>
      <c r="Z3059" s="10"/>
      <c r="AA3059" s="10"/>
      <c r="AB3059" s="10"/>
      <c r="AC3059" s="10"/>
      <c r="AD3059" s="10"/>
      <c r="AE3059" s="10"/>
      <c r="AF3059" s="10"/>
    </row>
    <row r="3060">
      <c r="A3060" s="7"/>
      <c r="B3060" s="26">
        <v>241.0</v>
      </c>
      <c r="C3060" s="27">
        <v>7.0</v>
      </c>
      <c r="D3060" s="8" t="s">
        <v>4038</v>
      </c>
      <c r="E3060" s="7">
        <v>0.0</v>
      </c>
      <c r="F3060" s="7"/>
      <c r="G3060" s="7" t="s">
        <v>313</v>
      </c>
      <c r="H3060" s="7" t="s">
        <v>312</v>
      </c>
      <c r="I3060" s="10"/>
      <c r="J3060" s="11"/>
      <c r="K3060" s="12"/>
      <c r="L3060" s="12"/>
      <c r="M3060" s="10"/>
      <c r="N3060" s="10"/>
      <c r="O3060" s="10"/>
      <c r="P3060" s="10"/>
      <c r="Q3060" s="10"/>
      <c r="R3060" s="10"/>
      <c r="S3060" s="10"/>
      <c r="T3060" s="10"/>
      <c r="U3060" s="10"/>
      <c r="V3060" s="10"/>
      <c r="W3060" s="10"/>
      <c r="X3060" s="10"/>
      <c r="Y3060" s="10"/>
      <c r="Z3060" s="10"/>
      <c r="AA3060" s="10"/>
      <c r="AB3060" s="10"/>
      <c r="AC3060" s="10"/>
      <c r="AD3060" s="10"/>
      <c r="AE3060" s="10"/>
      <c r="AF3060" s="10"/>
    </row>
    <row r="3061">
      <c r="A3061" s="7"/>
      <c r="B3061" s="26">
        <v>241.0</v>
      </c>
      <c r="C3061" s="27">
        <v>8.0</v>
      </c>
      <c r="D3061" s="8" t="s">
        <v>4039</v>
      </c>
      <c r="E3061" s="7">
        <v>0.0</v>
      </c>
      <c r="F3061" s="7"/>
      <c r="G3061" s="7" t="s">
        <v>313</v>
      </c>
      <c r="H3061" s="7" t="s">
        <v>312</v>
      </c>
      <c r="I3061" s="10"/>
      <c r="J3061" s="11"/>
      <c r="K3061" s="12"/>
      <c r="L3061" s="12"/>
      <c r="M3061" s="10"/>
      <c r="N3061" s="10"/>
      <c r="O3061" s="10"/>
      <c r="P3061" s="10"/>
      <c r="Q3061" s="10"/>
      <c r="R3061" s="10"/>
      <c r="S3061" s="10"/>
      <c r="T3061" s="10"/>
      <c r="U3061" s="10"/>
      <c r="V3061" s="10"/>
      <c r="W3061" s="10"/>
      <c r="X3061" s="10"/>
      <c r="Y3061" s="10"/>
      <c r="Z3061" s="10"/>
      <c r="AA3061" s="10"/>
      <c r="AB3061" s="10"/>
      <c r="AC3061" s="10"/>
      <c r="AD3061" s="10"/>
      <c r="AE3061" s="10"/>
      <c r="AF3061" s="10"/>
    </row>
    <row r="3062">
      <c r="A3062" s="7"/>
      <c r="B3062" s="26">
        <v>241.0</v>
      </c>
      <c r="C3062" s="27">
        <v>9.0</v>
      </c>
      <c r="D3062" s="8" t="s">
        <v>4040</v>
      </c>
      <c r="E3062" s="7">
        <v>0.0</v>
      </c>
      <c r="F3062" s="7"/>
      <c r="G3062" s="7" t="s">
        <v>313</v>
      </c>
      <c r="H3062" s="7" t="s">
        <v>312</v>
      </c>
      <c r="I3062" s="10"/>
      <c r="J3062" s="11"/>
      <c r="K3062" s="20" t="s">
        <v>4041</v>
      </c>
      <c r="L3062" s="12"/>
      <c r="M3062" s="10"/>
      <c r="N3062" s="10"/>
      <c r="O3062" s="10"/>
      <c r="P3062" s="10"/>
      <c r="Q3062" s="10"/>
      <c r="R3062" s="10"/>
      <c r="S3062" s="10"/>
      <c r="T3062" s="10"/>
      <c r="U3062" s="10"/>
      <c r="V3062" s="10"/>
      <c r="W3062" s="10"/>
      <c r="X3062" s="10"/>
      <c r="Y3062" s="10"/>
      <c r="Z3062" s="10"/>
      <c r="AA3062" s="10"/>
      <c r="AB3062" s="10"/>
      <c r="AC3062" s="10"/>
      <c r="AD3062" s="10"/>
      <c r="AE3062" s="10"/>
      <c r="AF3062" s="10"/>
    </row>
    <row r="3063">
      <c r="A3063" s="7"/>
      <c r="B3063" s="26">
        <v>241.0</v>
      </c>
      <c r="C3063" s="27">
        <v>10.0</v>
      </c>
      <c r="D3063" s="8" t="s">
        <v>4042</v>
      </c>
      <c r="E3063" s="7">
        <v>0.0</v>
      </c>
      <c r="F3063" s="7"/>
      <c r="G3063" s="7" t="s">
        <v>313</v>
      </c>
      <c r="H3063" s="7" t="s">
        <v>312</v>
      </c>
      <c r="I3063" s="10"/>
      <c r="J3063" s="11"/>
      <c r="K3063" s="20" t="s">
        <v>4041</v>
      </c>
      <c r="L3063" s="12"/>
      <c r="M3063" s="10"/>
      <c r="N3063" s="10"/>
      <c r="O3063" s="10"/>
      <c r="P3063" s="10"/>
      <c r="Q3063" s="10"/>
      <c r="R3063" s="10"/>
      <c r="S3063" s="10"/>
      <c r="T3063" s="10"/>
      <c r="U3063" s="10"/>
      <c r="V3063" s="10"/>
      <c r="W3063" s="10"/>
      <c r="X3063" s="10"/>
      <c r="Y3063" s="10"/>
      <c r="Z3063" s="10"/>
      <c r="AA3063" s="10"/>
      <c r="AB3063" s="10"/>
      <c r="AC3063" s="10"/>
      <c r="AD3063" s="10"/>
      <c r="AE3063" s="10"/>
      <c r="AF3063" s="10"/>
    </row>
    <row r="3064">
      <c r="A3064" s="7"/>
      <c r="B3064" s="26">
        <v>241.0</v>
      </c>
      <c r="C3064" s="27">
        <v>11.0</v>
      </c>
      <c r="D3064" s="8" t="s">
        <v>4043</v>
      </c>
      <c r="E3064" s="7">
        <v>0.0</v>
      </c>
      <c r="F3064" s="7"/>
      <c r="G3064" s="7" t="s">
        <v>313</v>
      </c>
      <c r="H3064" s="7" t="s">
        <v>312</v>
      </c>
      <c r="I3064" s="10"/>
      <c r="J3064" s="11"/>
      <c r="K3064" s="20" t="s">
        <v>4041</v>
      </c>
      <c r="L3064" s="12"/>
      <c r="M3064" s="10"/>
      <c r="N3064" s="10"/>
      <c r="O3064" s="10"/>
      <c r="P3064" s="10"/>
      <c r="Q3064" s="10"/>
      <c r="R3064" s="10"/>
      <c r="S3064" s="10"/>
      <c r="T3064" s="10"/>
      <c r="U3064" s="10"/>
      <c r="V3064" s="10"/>
      <c r="W3064" s="10"/>
      <c r="X3064" s="10"/>
      <c r="Y3064" s="10"/>
      <c r="Z3064" s="10"/>
      <c r="AA3064" s="10"/>
      <c r="AB3064" s="10"/>
      <c r="AC3064" s="10"/>
      <c r="AD3064" s="10"/>
      <c r="AE3064" s="10"/>
      <c r="AF3064" s="10"/>
    </row>
    <row r="3065">
      <c r="A3065" s="7"/>
      <c r="B3065" s="26">
        <v>241.0</v>
      </c>
      <c r="C3065" s="27">
        <v>12.0</v>
      </c>
      <c r="D3065" s="8" t="s">
        <v>4044</v>
      </c>
      <c r="E3065" s="7">
        <v>0.0</v>
      </c>
      <c r="F3065" s="7"/>
      <c r="G3065" s="7" t="s">
        <v>313</v>
      </c>
      <c r="H3065" s="7" t="s">
        <v>312</v>
      </c>
      <c r="I3065" s="10"/>
      <c r="J3065" s="11"/>
      <c r="K3065" s="12"/>
      <c r="L3065" s="12"/>
      <c r="M3065" s="10"/>
      <c r="N3065" s="10"/>
      <c r="O3065" s="10"/>
      <c r="P3065" s="10"/>
      <c r="Q3065" s="10"/>
      <c r="R3065" s="10"/>
      <c r="S3065" s="10"/>
      <c r="T3065" s="10"/>
      <c r="U3065" s="10"/>
      <c r="V3065" s="10"/>
      <c r="W3065" s="10"/>
      <c r="X3065" s="10"/>
      <c r="Y3065" s="10"/>
      <c r="Z3065" s="10"/>
      <c r="AA3065" s="10"/>
      <c r="AB3065" s="10"/>
      <c r="AC3065" s="10"/>
      <c r="AD3065" s="10"/>
      <c r="AE3065" s="10"/>
      <c r="AF3065" s="10"/>
    </row>
    <row r="3066">
      <c r="A3066" s="7"/>
      <c r="B3066" s="26">
        <v>241.0</v>
      </c>
      <c r="C3066" s="27">
        <v>13.0</v>
      </c>
      <c r="D3066" s="8" t="s">
        <v>4045</v>
      </c>
      <c r="E3066" s="7">
        <v>0.0</v>
      </c>
      <c r="F3066" s="7"/>
      <c r="G3066" s="7" t="s">
        <v>313</v>
      </c>
      <c r="H3066" s="7" t="s">
        <v>312</v>
      </c>
      <c r="I3066" s="10"/>
      <c r="J3066" s="11"/>
      <c r="K3066" s="12"/>
      <c r="L3066" s="12"/>
      <c r="M3066" s="10"/>
      <c r="N3066" s="10"/>
      <c r="O3066" s="10"/>
      <c r="P3066" s="10"/>
      <c r="Q3066" s="10"/>
      <c r="R3066" s="10"/>
      <c r="S3066" s="10"/>
      <c r="T3066" s="10"/>
      <c r="U3066" s="10"/>
      <c r="V3066" s="10"/>
      <c r="W3066" s="10"/>
      <c r="X3066" s="10"/>
      <c r="Y3066" s="10"/>
      <c r="Z3066" s="10"/>
      <c r="AA3066" s="10"/>
      <c r="AB3066" s="10"/>
      <c r="AC3066" s="10"/>
      <c r="AD3066" s="10"/>
      <c r="AE3066" s="10"/>
      <c r="AF3066" s="10"/>
    </row>
    <row r="3067">
      <c r="A3067" s="7"/>
      <c r="B3067" s="26">
        <v>241.0</v>
      </c>
      <c r="C3067" s="27">
        <v>14.0</v>
      </c>
      <c r="D3067" s="8" t="s">
        <v>4046</v>
      </c>
      <c r="E3067" s="7">
        <v>0.0</v>
      </c>
      <c r="F3067" s="7"/>
      <c r="G3067" s="7" t="s">
        <v>313</v>
      </c>
      <c r="H3067" s="7" t="s">
        <v>312</v>
      </c>
      <c r="I3067" s="10"/>
      <c r="J3067" s="11"/>
      <c r="K3067" s="12"/>
      <c r="L3067" s="12"/>
      <c r="M3067" s="10"/>
      <c r="N3067" s="10"/>
      <c r="O3067" s="10"/>
      <c r="P3067" s="10"/>
      <c r="Q3067" s="10"/>
      <c r="R3067" s="10"/>
      <c r="S3067" s="10"/>
      <c r="T3067" s="10"/>
      <c r="U3067" s="10"/>
      <c r="V3067" s="10"/>
      <c r="W3067" s="10"/>
      <c r="X3067" s="10"/>
      <c r="Y3067" s="10"/>
      <c r="Z3067" s="10"/>
      <c r="AA3067" s="10"/>
      <c r="AB3067" s="10"/>
      <c r="AC3067" s="10"/>
      <c r="AD3067" s="10"/>
      <c r="AE3067" s="10"/>
      <c r="AF3067" s="10"/>
    </row>
    <row r="3068">
      <c r="A3068" s="7"/>
      <c r="B3068" s="26">
        <v>241.0</v>
      </c>
      <c r="C3068" s="27">
        <v>15.0</v>
      </c>
      <c r="D3068" s="8" t="s">
        <v>4047</v>
      </c>
      <c r="E3068" s="7">
        <v>0.0</v>
      </c>
      <c r="F3068" s="7"/>
      <c r="G3068" s="7" t="s">
        <v>313</v>
      </c>
      <c r="H3068" s="7" t="s">
        <v>312</v>
      </c>
      <c r="I3068" s="10"/>
      <c r="J3068" s="11"/>
      <c r="K3068" s="12"/>
      <c r="L3068" s="12"/>
      <c r="M3068" s="10"/>
      <c r="N3068" s="10"/>
      <c r="O3068" s="10"/>
      <c r="P3068" s="10"/>
      <c r="Q3068" s="10"/>
      <c r="R3068" s="10"/>
      <c r="S3068" s="10"/>
      <c r="T3068" s="10"/>
      <c r="U3068" s="10"/>
      <c r="V3068" s="10"/>
      <c r="W3068" s="10"/>
      <c r="X3068" s="10"/>
      <c r="Y3068" s="10"/>
      <c r="Z3068" s="10"/>
      <c r="AA3068" s="10"/>
      <c r="AB3068" s="10"/>
      <c r="AC3068" s="10"/>
      <c r="AD3068" s="10"/>
      <c r="AE3068" s="10"/>
      <c r="AF3068" s="10"/>
    </row>
    <row r="3069">
      <c r="A3069" s="7"/>
      <c r="B3069" s="26">
        <v>241.0</v>
      </c>
      <c r="C3069" s="27">
        <v>16.0</v>
      </c>
      <c r="D3069" s="8" t="s">
        <v>4048</v>
      </c>
      <c r="E3069" s="7">
        <v>0.0</v>
      </c>
      <c r="F3069" s="7"/>
      <c r="G3069" s="7" t="s">
        <v>313</v>
      </c>
      <c r="H3069" s="7" t="s">
        <v>312</v>
      </c>
      <c r="I3069" s="10"/>
      <c r="J3069" s="11"/>
      <c r="K3069" s="12"/>
      <c r="L3069" s="12"/>
      <c r="M3069" s="10"/>
      <c r="N3069" s="10"/>
      <c r="O3069" s="10"/>
      <c r="P3069" s="10"/>
      <c r="Q3069" s="10"/>
      <c r="R3069" s="10"/>
      <c r="S3069" s="10"/>
      <c r="T3069" s="10"/>
      <c r="U3069" s="10"/>
      <c r="V3069" s="10"/>
      <c r="W3069" s="10"/>
      <c r="X3069" s="10"/>
      <c r="Y3069" s="10"/>
      <c r="Z3069" s="10"/>
      <c r="AA3069" s="10"/>
      <c r="AB3069" s="10"/>
      <c r="AC3069" s="10"/>
      <c r="AD3069" s="10"/>
      <c r="AE3069" s="10"/>
      <c r="AF3069" s="10"/>
    </row>
    <row r="3070">
      <c r="A3070" s="7"/>
      <c r="B3070" s="26">
        <v>241.0</v>
      </c>
      <c r="C3070" s="27">
        <v>17.0</v>
      </c>
      <c r="D3070" s="8" t="s">
        <v>4049</v>
      </c>
      <c r="E3070" s="7">
        <v>0.0</v>
      </c>
      <c r="F3070" s="7"/>
      <c r="G3070" s="7" t="s">
        <v>313</v>
      </c>
      <c r="H3070" s="7" t="s">
        <v>312</v>
      </c>
      <c r="I3070" s="10"/>
      <c r="J3070" s="11"/>
      <c r="K3070" s="12"/>
      <c r="L3070" s="12"/>
      <c r="M3070" s="10"/>
      <c r="N3070" s="10"/>
      <c r="O3070" s="10"/>
      <c r="P3070" s="10"/>
      <c r="Q3070" s="10"/>
      <c r="R3070" s="10"/>
      <c r="S3070" s="10"/>
      <c r="T3070" s="10"/>
      <c r="U3070" s="10"/>
      <c r="V3070" s="10"/>
      <c r="W3070" s="10"/>
      <c r="X3070" s="10"/>
      <c r="Y3070" s="10"/>
      <c r="Z3070" s="10"/>
      <c r="AA3070" s="10"/>
      <c r="AB3070" s="10"/>
      <c r="AC3070" s="10"/>
      <c r="AD3070" s="10"/>
      <c r="AE3070" s="10"/>
      <c r="AF3070" s="10"/>
    </row>
    <row r="3071">
      <c r="A3071" s="7"/>
      <c r="B3071" s="26">
        <v>241.0</v>
      </c>
      <c r="C3071" s="27">
        <v>18.0</v>
      </c>
      <c r="D3071" s="8" t="s">
        <v>4050</v>
      </c>
      <c r="E3071" s="7">
        <v>0.0</v>
      </c>
      <c r="F3071" s="7"/>
      <c r="G3071" s="7" t="s">
        <v>313</v>
      </c>
      <c r="H3071" s="7" t="s">
        <v>312</v>
      </c>
      <c r="I3071" s="10"/>
      <c r="J3071" s="11"/>
      <c r="K3071" s="12"/>
      <c r="L3071" s="12"/>
      <c r="M3071" s="10"/>
      <c r="N3071" s="10"/>
      <c r="O3071" s="10"/>
      <c r="P3071" s="10"/>
      <c r="Q3071" s="10"/>
      <c r="R3071" s="10"/>
      <c r="S3071" s="10"/>
      <c r="T3071" s="10"/>
      <c r="U3071" s="10"/>
      <c r="V3071" s="10"/>
      <c r="W3071" s="10"/>
      <c r="X3071" s="10"/>
      <c r="Y3071" s="10"/>
      <c r="Z3071" s="10"/>
      <c r="AA3071" s="10"/>
      <c r="AB3071" s="10"/>
      <c r="AC3071" s="10"/>
      <c r="AD3071" s="10"/>
      <c r="AE3071" s="10"/>
      <c r="AF3071" s="10"/>
    </row>
    <row r="3072">
      <c r="A3072" s="7"/>
      <c r="B3072" s="26">
        <v>241.0</v>
      </c>
      <c r="C3072" s="27">
        <v>19.0</v>
      </c>
      <c r="D3072" s="8" t="s">
        <v>4051</v>
      </c>
      <c r="E3072" s="7">
        <v>0.0</v>
      </c>
      <c r="F3072" s="7"/>
      <c r="G3072" s="7" t="s">
        <v>313</v>
      </c>
      <c r="H3072" s="7" t="s">
        <v>312</v>
      </c>
      <c r="I3072" s="10"/>
      <c r="J3072" s="11"/>
      <c r="K3072" s="20" t="s">
        <v>4041</v>
      </c>
      <c r="L3072" s="12"/>
      <c r="M3072" s="10"/>
      <c r="N3072" s="10"/>
      <c r="O3072" s="10"/>
      <c r="P3072" s="10"/>
      <c r="Q3072" s="10"/>
      <c r="R3072" s="10"/>
      <c r="S3072" s="10"/>
      <c r="T3072" s="10"/>
      <c r="U3072" s="10"/>
      <c r="V3072" s="10"/>
      <c r="W3072" s="10"/>
      <c r="X3072" s="10"/>
      <c r="Y3072" s="10"/>
      <c r="Z3072" s="10"/>
      <c r="AA3072" s="10"/>
      <c r="AB3072" s="10"/>
      <c r="AC3072" s="10"/>
      <c r="AD3072" s="10"/>
      <c r="AE3072" s="10"/>
      <c r="AF3072" s="10"/>
    </row>
    <row r="3073">
      <c r="A3073" s="7"/>
      <c r="B3073" s="26">
        <v>241.0</v>
      </c>
      <c r="C3073" s="27">
        <v>20.0</v>
      </c>
      <c r="D3073" s="8" t="s">
        <v>4052</v>
      </c>
      <c r="E3073" s="7">
        <v>0.0</v>
      </c>
      <c r="F3073" s="7"/>
      <c r="G3073" s="7" t="s">
        <v>313</v>
      </c>
      <c r="H3073" s="7" t="s">
        <v>312</v>
      </c>
      <c r="I3073" s="10"/>
      <c r="J3073" s="11"/>
      <c r="K3073" s="20" t="s">
        <v>4041</v>
      </c>
      <c r="L3073" s="12"/>
      <c r="M3073" s="10"/>
      <c r="N3073" s="10"/>
      <c r="O3073" s="10"/>
      <c r="P3073" s="10"/>
      <c r="Q3073" s="10"/>
      <c r="R3073" s="10"/>
      <c r="S3073" s="10"/>
      <c r="T3073" s="10"/>
      <c r="U3073" s="10"/>
      <c r="V3073" s="10"/>
      <c r="W3073" s="10"/>
      <c r="X3073" s="10"/>
      <c r="Y3073" s="10"/>
      <c r="Z3073" s="10"/>
      <c r="AA3073" s="10"/>
      <c r="AB3073" s="10"/>
      <c r="AC3073" s="10"/>
      <c r="AD3073" s="10"/>
      <c r="AE3073" s="10"/>
      <c r="AF3073" s="10"/>
    </row>
    <row r="3074">
      <c r="A3074" s="7"/>
      <c r="B3074" s="26">
        <v>241.0</v>
      </c>
      <c r="C3074" s="27">
        <v>21.0</v>
      </c>
      <c r="D3074" s="8" t="s">
        <v>4053</v>
      </c>
      <c r="E3074" s="7">
        <v>0.0</v>
      </c>
      <c r="F3074" s="7"/>
      <c r="G3074" s="7" t="s">
        <v>313</v>
      </c>
      <c r="H3074" s="7" t="s">
        <v>312</v>
      </c>
      <c r="I3074" s="10"/>
      <c r="J3074" s="11"/>
      <c r="K3074" s="20" t="s">
        <v>4041</v>
      </c>
      <c r="L3074" s="12"/>
      <c r="M3074" s="10"/>
      <c r="N3074" s="10"/>
      <c r="O3074" s="10"/>
      <c r="P3074" s="10"/>
      <c r="Q3074" s="10"/>
      <c r="R3074" s="10"/>
      <c r="S3074" s="10"/>
      <c r="T3074" s="10"/>
      <c r="U3074" s="10"/>
      <c r="V3074" s="10"/>
      <c r="W3074" s="10"/>
      <c r="X3074" s="10"/>
      <c r="Y3074" s="10"/>
      <c r="Z3074" s="10"/>
      <c r="AA3074" s="10"/>
      <c r="AB3074" s="10"/>
      <c r="AC3074" s="10"/>
      <c r="AD3074" s="10"/>
      <c r="AE3074" s="10"/>
      <c r="AF3074" s="10"/>
    </row>
    <row r="3075">
      <c r="A3075" s="7"/>
      <c r="B3075" s="26">
        <v>241.0</v>
      </c>
      <c r="C3075" s="27">
        <v>22.0</v>
      </c>
      <c r="D3075" s="8" t="s">
        <v>4054</v>
      </c>
      <c r="E3075" s="7">
        <v>0.0</v>
      </c>
      <c r="F3075" s="7"/>
      <c r="G3075" s="7" t="s">
        <v>313</v>
      </c>
      <c r="H3075" s="7" t="s">
        <v>312</v>
      </c>
      <c r="I3075" s="10"/>
      <c r="J3075" s="11"/>
      <c r="K3075" s="12"/>
      <c r="L3075" s="12"/>
      <c r="M3075" s="10"/>
      <c r="N3075" s="10"/>
      <c r="O3075" s="10"/>
      <c r="P3075" s="10"/>
      <c r="Q3075" s="10"/>
      <c r="R3075" s="10"/>
      <c r="S3075" s="10"/>
      <c r="T3075" s="10"/>
      <c r="U3075" s="10"/>
      <c r="V3075" s="10"/>
      <c r="W3075" s="10"/>
      <c r="X3075" s="10"/>
      <c r="Y3075" s="10"/>
      <c r="Z3075" s="10"/>
      <c r="AA3075" s="10"/>
      <c r="AB3075" s="10"/>
      <c r="AC3075" s="10"/>
      <c r="AD3075" s="10"/>
      <c r="AE3075" s="10"/>
      <c r="AF3075" s="10"/>
    </row>
    <row r="3076">
      <c r="A3076" s="7"/>
      <c r="B3076" s="26">
        <v>241.0</v>
      </c>
      <c r="C3076" s="27">
        <v>23.0</v>
      </c>
      <c r="D3076" s="8" t="s">
        <v>4055</v>
      </c>
      <c r="E3076" s="7">
        <v>0.0</v>
      </c>
      <c r="F3076" s="7"/>
      <c r="G3076" s="7" t="s">
        <v>313</v>
      </c>
      <c r="H3076" s="7" t="s">
        <v>312</v>
      </c>
      <c r="I3076" s="7" t="s">
        <v>366</v>
      </c>
      <c r="J3076" s="16" t="s">
        <v>4056</v>
      </c>
      <c r="K3076" s="12"/>
      <c r="L3076" s="14" t="s">
        <v>3900</v>
      </c>
      <c r="M3076" s="10"/>
      <c r="N3076" s="10"/>
      <c r="O3076" s="10"/>
      <c r="P3076" s="10"/>
      <c r="Q3076" s="10"/>
      <c r="R3076" s="10"/>
      <c r="S3076" s="10"/>
      <c r="T3076" s="10"/>
      <c r="U3076" s="10"/>
      <c r="V3076" s="10"/>
      <c r="W3076" s="10"/>
      <c r="X3076" s="10"/>
      <c r="Y3076" s="10"/>
      <c r="Z3076" s="10"/>
      <c r="AA3076" s="10"/>
      <c r="AB3076" s="10"/>
      <c r="AC3076" s="10"/>
      <c r="AD3076" s="10"/>
      <c r="AE3076" s="10"/>
      <c r="AF3076" s="10"/>
    </row>
    <row r="3077">
      <c r="A3077" s="7"/>
      <c r="B3077" s="26">
        <v>241.0</v>
      </c>
      <c r="C3077" s="27">
        <v>24.0</v>
      </c>
      <c r="D3077" s="8" t="s">
        <v>4057</v>
      </c>
      <c r="E3077" s="7">
        <v>0.0</v>
      </c>
      <c r="F3077" s="7"/>
      <c r="G3077" s="7" t="s">
        <v>313</v>
      </c>
      <c r="H3077" s="7" t="s">
        <v>312</v>
      </c>
      <c r="I3077" s="7" t="s">
        <v>366</v>
      </c>
      <c r="J3077" s="16" t="s">
        <v>4056</v>
      </c>
      <c r="K3077" s="12"/>
      <c r="L3077" s="14" t="s">
        <v>3900</v>
      </c>
      <c r="M3077" s="10"/>
      <c r="N3077" s="10"/>
      <c r="O3077" s="10"/>
      <c r="P3077" s="10"/>
      <c r="Q3077" s="10"/>
      <c r="R3077" s="10"/>
      <c r="S3077" s="10"/>
      <c r="T3077" s="10"/>
      <c r="U3077" s="10"/>
      <c r="V3077" s="10"/>
      <c r="W3077" s="10"/>
      <c r="X3077" s="10"/>
      <c r="Y3077" s="10"/>
      <c r="Z3077" s="10"/>
      <c r="AA3077" s="10"/>
      <c r="AB3077" s="10"/>
      <c r="AC3077" s="10"/>
      <c r="AD3077" s="10"/>
      <c r="AE3077" s="10"/>
      <c r="AF3077" s="10"/>
    </row>
    <row r="3078">
      <c r="A3078" s="7"/>
      <c r="B3078" s="26">
        <v>241.0</v>
      </c>
      <c r="C3078" s="27">
        <v>25.0</v>
      </c>
      <c r="D3078" s="8" t="s">
        <v>4058</v>
      </c>
      <c r="E3078" s="7">
        <v>0.0</v>
      </c>
      <c r="F3078" s="7"/>
      <c r="G3078" s="7" t="s">
        <v>313</v>
      </c>
      <c r="H3078" s="7" t="s">
        <v>312</v>
      </c>
      <c r="I3078" s="10"/>
      <c r="J3078" s="11"/>
      <c r="K3078" s="12"/>
      <c r="L3078" s="12"/>
      <c r="M3078" s="10"/>
      <c r="N3078" s="10"/>
      <c r="O3078" s="10"/>
      <c r="P3078" s="10"/>
      <c r="Q3078" s="10"/>
      <c r="R3078" s="10"/>
      <c r="S3078" s="10"/>
      <c r="T3078" s="10"/>
      <c r="U3078" s="10"/>
      <c r="V3078" s="10"/>
      <c r="W3078" s="10"/>
      <c r="X3078" s="10"/>
      <c r="Y3078" s="10"/>
      <c r="Z3078" s="10"/>
      <c r="AA3078" s="10"/>
      <c r="AB3078" s="10"/>
      <c r="AC3078" s="10"/>
      <c r="AD3078" s="10"/>
      <c r="AE3078" s="10"/>
      <c r="AF3078" s="10"/>
    </row>
    <row r="3079">
      <c r="A3079" s="7"/>
      <c r="B3079" s="26">
        <v>241.0</v>
      </c>
      <c r="C3079" s="27">
        <v>26.0</v>
      </c>
      <c r="D3079" s="8" t="s">
        <v>4059</v>
      </c>
      <c r="E3079" s="7">
        <v>0.0</v>
      </c>
      <c r="F3079" s="7"/>
      <c r="G3079" s="7" t="s">
        <v>313</v>
      </c>
      <c r="H3079" s="7" t="s">
        <v>312</v>
      </c>
      <c r="I3079" s="10"/>
      <c r="J3079" s="11"/>
      <c r="K3079" s="12"/>
      <c r="L3079" s="12"/>
      <c r="M3079" s="10"/>
      <c r="N3079" s="10"/>
      <c r="O3079" s="10"/>
      <c r="P3079" s="10"/>
      <c r="Q3079" s="10"/>
      <c r="R3079" s="10"/>
      <c r="S3079" s="10"/>
      <c r="T3079" s="10"/>
      <c r="U3079" s="10"/>
      <c r="V3079" s="10"/>
      <c r="W3079" s="10"/>
      <c r="X3079" s="10"/>
      <c r="Y3079" s="10"/>
      <c r="Z3079" s="10"/>
      <c r="AA3079" s="10"/>
      <c r="AB3079" s="10"/>
      <c r="AC3079" s="10"/>
      <c r="AD3079" s="10"/>
      <c r="AE3079" s="10"/>
      <c r="AF3079" s="10"/>
    </row>
    <row r="3080">
      <c r="A3080" s="7"/>
      <c r="B3080" s="26">
        <v>241.0</v>
      </c>
      <c r="C3080" s="27">
        <v>27.0</v>
      </c>
      <c r="D3080" s="8" t="s">
        <v>4060</v>
      </c>
      <c r="E3080" s="7">
        <v>0.0</v>
      </c>
      <c r="F3080" s="7"/>
      <c r="G3080" s="7" t="s">
        <v>313</v>
      </c>
      <c r="H3080" s="7" t="s">
        <v>312</v>
      </c>
      <c r="I3080" s="10"/>
      <c r="J3080" s="11"/>
      <c r="K3080" s="12"/>
      <c r="L3080" s="12"/>
      <c r="M3080" s="10"/>
      <c r="N3080" s="10"/>
      <c r="O3080" s="10"/>
      <c r="P3080" s="10"/>
      <c r="Q3080" s="10"/>
      <c r="R3080" s="10"/>
      <c r="S3080" s="10"/>
      <c r="T3080" s="10"/>
      <c r="U3080" s="10"/>
      <c r="V3080" s="10"/>
      <c r="W3080" s="10"/>
      <c r="X3080" s="10"/>
      <c r="Y3080" s="10"/>
      <c r="Z3080" s="10"/>
      <c r="AA3080" s="10"/>
      <c r="AB3080" s="10"/>
      <c r="AC3080" s="10"/>
      <c r="AD3080" s="10"/>
      <c r="AE3080" s="10"/>
      <c r="AF3080" s="10"/>
    </row>
    <row r="3081">
      <c r="A3081" s="7"/>
      <c r="B3081" s="26">
        <v>241.0</v>
      </c>
      <c r="C3081" s="27">
        <v>28.0</v>
      </c>
      <c r="D3081" s="8" t="s">
        <v>4061</v>
      </c>
      <c r="E3081" s="7">
        <v>0.0</v>
      </c>
      <c r="F3081" s="7"/>
      <c r="G3081" s="7" t="s">
        <v>313</v>
      </c>
      <c r="H3081" s="7" t="s">
        <v>312</v>
      </c>
      <c r="I3081" s="10"/>
      <c r="J3081" s="11"/>
      <c r="K3081" s="12"/>
      <c r="L3081" s="12"/>
      <c r="M3081" s="10"/>
      <c r="N3081" s="10"/>
      <c r="O3081" s="10"/>
      <c r="P3081" s="10"/>
      <c r="Q3081" s="10"/>
      <c r="R3081" s="10"/>
      <c r="S3081" s="10"/>
      <c r="T3081" s="10"/>
      <c r="U3081" s="10"/>
      <c r="V3081" s="10"/>
      <c r="W3081" s="10"/>
      <c r="X3081" s="10"/>
      <c r="Y3081" s="10"/>
      <c r="Z3081" s="10"/>
      <c r="AA3081" s="10"/>
      <c r="AB3081" s="10"/>
      <c r="AC3081" s="10"/>
      <c r="AD3081" s="10"/>
      <c r="AE3081" s="10"/>
      <c r="AF3081" s="10"/>
    </row>
    <row r="3082">
      <c r="A3082" s="7"/>
      <c r="B3082" s="26">
        <v>241.0</v>
      </c>
      <c r="C3082" s="27">
        <v>29.0</v>
      </c>
      <c r="D3082" s="8" t="s">
        <v>4062</v>
      </c>
      <c r="E3082" s="7">
        <v>0.0</v>
      </c>
      <c r="F3082" s="7"/>
      <c r="G3082" s="7" t="s">
        <v>313</v>
      </c>
      <c r="H3082" s="7" t="s">
        <v>312</v>
      </c>
      <c r="I3082" s="10"/>
      <c r="J3082" s="11"/>
      <c r="K3082" s="12"/>
      <c r="L3082" s="12"/>
      <c r="M3082" s="10"/>
      <c r="N3082" s="10"/>
      <c r="O3082" s="10"/>
      <c r="P3082" s="10"/>
      <c r="Q3082" s="10"/>
      <c r="R3082" s="10"/>
      <c r="S3082" s="10"/>
      <c r="T3082" s="10"/>
      <c r="U3082" s="10"/>
      <c r="V3082" s="10"/>
      <c r="W3082" s="10"/>
      <c r="X3082" s="10"/>
      <c r="Y3082" s="10"/>
      <c r="Z3082" s="10"/>
      <c r="AA3082" s="10"/>
      <c r="AB3082" s="10"/>
      <c r="AC3082" s="10"/>
      <c r="AD3082" s="10"/>
      <c r="AE3082" s="10"/>
      <c r="AF3082" s="10"/>
    </row>
    <row r="3083">
      <c r="A3083" s="7"/>
      <c r="B3083" s="26">
        <v>241.0</v>
      </c>
      <c r="C3083" s="27">
        <v>30.0</v>
      </c>
      <c r="D3083" s="8" t="s">
        <v>4063</v>
      </c>
      <c r="E3083" s="7">
        <v>0.0</v>
      </c>
      <c r="F3083" s="7"/>
      <c r="G3083" s="7" t="s">
        <v>313</v>
      </c>
      <c r="H3083" s="7" t="s">
        <v>312</v>
      </c>
      <c r="I3083" s="10"/>
      <c r="J3083" s="11"/>
      <c r="K3083" s="12"/>
      <c r="L3083" s="12"/>
      <c r="M3083" s="10"/>
      <c r="N3083" s="10"/>
      <c r="O3083" s="10"/>
      <c r="P3083" s="10"/>
      <c r="Q3083" s="10"/>
      <c r="R3083" s="10"/>
      <c r="S3083" s="10"/>
      <c r="T3083" s="10"/>
      <c r="U3083" s="10"/>
      <c r="V3083" s="10"/>
      <c r="W3083" s="10"/>
      <c r="X3083" s="10"/>
      <c r="Y3083" s="10"/>
      <c r="Z3083" s="10"/>
      <c r="AA3083" s="10"/>
      <c r="AB3083" s="10"/>
      <c r="AC3083" s="10"/>
      <c r="AD3083" s="10"/>
      <c r="AE3083" s="10"/>
      <c r="AF3083" s="10"/>
    </row>
    <row r="3084">
      <c r="A3084" s="7"/>
      <c r="B3084" s="26">
        <v>241.0</v>
      </c>
      <c r="C3084" s="27">
        <v>31.0</v>
      </c>
      <c r="D3084" s="8" t="s">
        <v>4064</v>
      </c>
      <c r="E3084" s="7">
        <v>0.0</v>
      </c>
      <c r="F3084" s="7"/>
      <c r="G3084" s="7" t="s">
        <v>313</v>
      </c>
      <c r="H3084" s="7" t="s">
        <v>312</v>
      </c>
      <c r="I3084" s="7" t="s">
        <v>366</v>
      </c>
      <c r="J3084" s="16" t="s">
        <v>4056</v>
      </c>
      <c r="K3084" s="12"/>
      <c r="L3084" s="14" t="s">
        <v>3900</v>
      </c>
      <c r="M3084" s="10"/>
      <c r="N3084" s="10"/>
      <c r="O3084" s="10"/>
      <c r="P3084" s="10"/>
      <c r="Q3084" s="10"/>
      <c r="R3084" s="10"/>
      <c r="S3084" s="10"/>
      <c r="T3084" s="10"/>
      <c r="U3084" s="10"/>
      <c r="V3084" s="10"/>
      <c r="W3084" s="10"/>
      <c r="X3084" s="10"/>
      <c r="Y3084" s="10"/>
      <c r="Z3084" s="10"/>
      <c r="AA3084" s="10"/>
      <c r="AB3084" s="10"/>
      <c r="AC3084" s="10"/>
      <c r="AD3084" s="10"/>
      <c r="AE3084" s="10"/>
      <c r="AF3084" s="10"/>
    </row>
    <row r="3085">
      <c r="A3085" s="7"/>
      <c r="B3085" s="26">
        <v>241.0</v>
      </c>
      <c r="C3085" s="27">
        <v>32.0</v>
      </c>
      <c r="D3085" s="8" t="s">
        <v>4065</v>
      </c>
      <c r="E3085" s="7">
        <v>0.0</v>
      </c>
      <c r="F3085" s="7"/>
      <c r="G3085" s="7" t="s">
        <v>313</v>
      </c>
      <c r="H3085" s="7" t="s">
        <v>312</v>
      </c>
      <c r="I3085" s="7" t="s">
        <v>366</v>
      </c>
      <c r="J3085" s="16" t="s">
        <v>4056</v>
      </c>
      <c r="K3085" s="12"/>
      <c r="L3085" s="14" t="s">
        <v>3900</v>
      </c>
      <c r="M3085" s="10"/>
      <c r="N3085" s="10"/>
      <c r="O3085" s="10"/>
      <c r="P3085" s="10"/>
      <c r="Q3085" s="10"/>
      <c r="R3085" s="10"/>
      <c r="S3085" s="10"/>
      <c r="T3085" s="10"/>
      <c r="U3085" s="10"/>
      <c r="V3085" s="10"/>
      <c r="W3085" s="10"/>
      <c r="X3085" s="10"/>
      <c r="Y3085" s="10"/>
      <c r="Z3085" s="10"/>
      <c r="AA3085" s="10"/>
      <c r="AB3085" s="10"/>
      <c r="AC3085" s="10"/>
      <c r="AD3085" s="10"/>
      <c r="AE3085" s="10"/>
      <c r="AF3085" s="10"/>
    </row>
    <row r="3086">
      <c r="A3086" s="7"/>
      <c r="B3086" s="26">
        <v>241.0</v>
      </c>
      <c r="C3086" s="27">
        <v>33.0</v>
      </c>
      <c r="D3086" s="8" t="s">
        <v>4066</v>
      </c>
      <c r="E3086" s="7">
        <v>0.0</v>
      </c>
      <c r="F3086" s="7"/>
      <c r="G3086" s="7" t="s">
        <v>313</v>
      </c>
      <c r="H3086" s="7" t="s">
        <v>312</v>
      </c>
      <c r="I3086" s="10"/>
      <c r="J3086" s="11"/>
      <c r="K3086" s="12"/>
      <c r="L3086" s="12"/>
      <c r="M3086" s="10"/>
      <c r="N3086" s="10"/>
      <c r="O3086" s="10"/>
      <c r="P3086" s="10"/>
      <c r="Q3086" s="10"/>
      <c r="R3086" s="10"/>
      <c r="S3086" s="10"/>
      <c r="T3086" s="10"/>
      <c r="U3086" s="10"/>
      <c r="V3086" s="10"/>
      <c r="W3086" s="10"/>
      <c r="X3086" s="10"/>
      <c r="Y3086" s="10"/>
      <c r="Z3086" s="10"/>
      <c r="AA3086" s="10"/>
      <c r="AB3086" s="10"/>
      <c r="AC3086" s="10"/>
      <c r="AD3086" s="10"/>
      <c r="AE3086" s="10"/>
      <c r="AF3086" s="10"/>
    </row>
    <row r="3087">
      <c r="A3087" s="7"/>
      <c r="B3087" s="26">
        <v>241.0</v>
      </c>
      <c r="C3087" s="27">
        <v>34.0</v>
      </c>
      <c r="D3087" s="8" t="s">
        <v>4067</v>
      </c>
      <c r="E3087" s="7">
        <v>0.0</v>
      </c>
      <c r="F3087" s="7"/>
      <c r="G3087" s="7" t="s">
        <v>313</v>
      </c>
      <c r="H3087" s="7" t="s">
        <v>312</v>
      </c>
      <c r="I3087" s="10"/>
      <c r="J3087" s="11"/>
      <c r="K3087" s="12"/>
      <c r="L3087" s="12"/>
      <c r="M3087" s="10"/>
      <c r="N3087" s="10"/>
      <c r="O3087" s="10"/>
      <c r="P3087" s="10"/>
      <c r="Q3087" s="10"/>
      <c r="R3087" s="10"/>
      <c r="S3087" s="10"/>
      <c r="T3087" s="10"/>
      <c r="U3087" s="10"/>
      <c r="V3087" s="10"/>
      <c r="W3087" s="10"/>
      <c r="X3087" s="10"/>
      <c r="Y3087" s="10"/>
      <c r="Z3087" s="10"/>
      <c r="AA3087" s="10"/>
      <c r="AB3087" s="10"/>
      <c r="AC3087" s="10"/>
      <c r="AD3087" s="10"/>
      <c r="AE3087" s="10"/>
      <c r="AF3087" s="10"/>
    </row>
    <row r="3088">
      <c r="A3088" s="7"/>
      <c r="B3088" s="26">
        <v>241.0</v>
      </c>
      <c r="C3088" s="27">
        <v>35.0</v>
      </c>
      <c r="D3088" s="8" t="s">
        <v>4068</v>
      </c>
      <c r="E3088" s="7">
        <v>0.0</v>
      </c>
      <c r="F3088" s="7"/>
      <c r="G3088" s="7" t="s">
        <v>313</v>
      </c>
      <c r="H3088" s="7" t="s">
        <v>312</v>
      </c>
      <c r="I3088" s="10"/>
      <c r="J3088" s="11"/>
      <c r="K3088" s="12"/>
      <c r="L3088" s="12"/>
      <c r="M3088" s="10"/>
      <c r="N3088" s="10"/>
      <c r="O3088" s="10"/>
      <c r="P3088" s="10"/>
      <c r="Q3088" s="10"/>
      <c r="R3088" s="10"/>
      <c r="S3088" s="10"/>
      <c r="T3088" s="10"/>
      <c r="U3088" s="10"/>
      <c r="V3088" s="10"/>
      <c r="W3088" s="10"/>
      <c r="X3088" s="10"/>
      <c r="Y3088" s="10"/>
      <c r="Z3088" s="10"/>
      <c r="AA3088" s="10"/>
      <c r="AB3088" s="10"/>
      <c r="AC3088" s="10"/>
      <c r="AD3088" s="10"/>
      <c r="AE3088" s="10"/>
      <c r="AF3088" s="10"/>
    </row>
    <row r="3089">
      <c r="A3089" s="7"/>
      <c r="B3089" s="26">
        <v>241.0</v>
      </c>
      <c r="C3089" s="27">
        <v>36.0</v>
      </c>
      <c r="D3089" s="8" t="s">
        <v>4069</v>
      </c>
      <c r="E3089" s="7">
        <v>0.0</v>
      </c>
      <c r="F3089" s="7"/>
      <c r="G3089" s="7" t="s">
        <v>313</v>
      </c>
      <c r="H3089" s="7" t="s">
        <v>312</v>
      </c>
      <c r="I3089" s="10"/>
      <c r="J3089" s="11"/>
      <c r="K3089" s="12"/>
      <c r="L3089" s="12"/>
      <c r="M3089" s="10"/>
      <c r="N3089" s="10"/>
      <c r="O3089" s="10"/>
      <c r="P3089" s="10"/>
      <c r="Q3089" s="10"/>
      <c r="R3089" s="10"/>
      <c r="S3089" s="10"/>
      <c r="T3089" s="10"/>
      <c r="U3089" s="10"/>
      <c r="V3089" s="10"/>
      <c r="W3089" s="10"/>
      <c r="X3089" s="10"/>
      <c r="Y3089" s="10"/>
      <c r="Z3089" s="10"/>
      <c r="AA3089" s="10"/>
      <c r="AB3089" s="10"/>
      <c r="AC3089" s="10"/>
      <c r="AD3089" s="10"/>
      <c r="AE3089" s="10"/>
      <c r="AF3089" s="10"/>
    </row>
    <row r="3090">
      <c r="A3090" s="7"/>
      <c r="B3090" s="26">
        <v>241.0</v>
      </c>
      <c r="C3090" s="27">
        <v>37.0</v>
      </c>
      <c r="D3090" s="8" t="s">
        <v>4070</v>
      </c>
      <c r="E3090" s="7">
        <v>0.0</v>
      </c>
      <c r="F3090" s="7"/>
      <c r="G3090" s="7" t="s">
        <v>313</v>
      </c>
      <c r="H3090" s="7" t="s">
        <v>312</v>
      </c>
      <c r="I3090" s="10"/>
      <c r="J3090" s="11"/>
      <c r="K3090" s="12"/>
      <c r="L3090" s="12"/>
      <c r="M3090" s="10"/>
      <c r="N3090" s="10"/>
      <c r="O3090" s="10"/>
      <c r="P3090" s="10"/>
      <c r="Q3090" s="10"/>
      <c r="R3090" s="10"/>
      <c r="S3090" s="10"/>
      <c r="T3090" s="10"/>
      <c r="U3090" s="10"/>
      <c r="V3090" s="10"/>
      <c r="W3090" s="10"/>
      <c r="X3090" s="10"/>
      <c r="Y3090" s="10"/>
      <c r="Z3090" s="10"/>
      <c r="AA3090" s="10"/>
      <c r="AB3090" s="10"/>
      <c r="AC3090" s="10"/>
      <c r="AD3090" s="10"/>
      <c r="AE3090" s="10"/>
      <c r="AF3090" s="10"/>
    </row>
    <row r="3091">
      <c r="A3091" s="7"/>
      <c r="B3091" s="26">
        <v>241.0</v>
      </c>
      <c r="C3091" s="27">
        <v>38.0</v>
      </c>
      <c r="D3091" s="8" t="s">
        <v>4071</v>
      </c>
      <c r="E3091" s="7">
        <v>0.0</v>
      </c>
      <c r="F3091" s="7"/>
      <c r="G3091" s="7" t="s">
        <v>313</v>
      </c>
      <c r="H3091" s="7" t="s">
        <v>312</v>
      </c>
      <c r="I3091" s="10"/>
      <c r="J3091" s="11"/>
      <c r="K3091" s="12"/>
      <c r="L3091" s="12"/>
      <c r="M3091" s="10"/>
      <c r="N3091" s="10"/>
      <c r="O3091" s="10"/>
      <c r="P3091" s="10"/>
      <c r="Q3091" s="10"/>
      <c r="R3091" s="10"/>
      <c r="S3091" s="10"/>
      <c r="T3091" s="10"/>
      <c r="U3091" s="10"/>
      <c r="V3091" s="10"/>
      <c r="W3091" s="10"/>
      <c r="X3091" s="10"/>
      <c r="Y3091" s="10"/>
      <c r="Z3091" s="10"/>
      <c r="AA3091" s="10"/>
      <c r="AB3091" s="10"/>
      <c r="AC3091" s="10"/>
      <c r="AD3091" s="10"/>
      <c r="AE3091" s="10"/>
      <c r="AF3091" s="10"/>
    </row>
    <row r="3092">
      <c r="A3092" s="7"/>
      <c r="B3092" s="26">
        <v>241.0</v>
      </c>
      <c r="C3092" s="27">
        <v>39.0</v>
      </c>
      <c r="D3092" s="8" t="s">
        <v>4072</v>
      </c>
      <c r="E3092" s="7">
        <v>0.0</v>
      </c>
      <c r="F3092" s="7"/>
      <c r="G3092" s="7" t="s">
        <v>313</v>
      </c>
      <c r="H3092" s="7" t="s">
        <v>312</v>
      </c>
      <c r="I3092" s="10"/>
      <c r="J3092" s="11"/>
      <c r="K3092" s="12"/>
      <c r="L3092" s="14" t="s">
        <v>3900</v>
      </c>
      <c r="M3092" s="10"/>
      <c r="N3092" s="10"/>
      <c r="O3092" s="10"/>
      <c r="P3092" s="10"/>
      <c r="Q3092" s="10"/>
      <c r="R3092" s="10"/>
      <c r="S3092" s="10"/>
      <c r="T3092" s="10"/>
      <c r="U3092" s="10"/>
      <c r="V3092" s="10"/>
      <c r="W3092" s="10"/>
      <c r="X3092" s="10"/>
      <c r="Y3092" s="10"/>
      <c r="Z3092" s="10"/>
      <c r="AA3092" s="10"/>
      <c r="AB3092" s="10"/>
      <c r="AC3092" s="10"/>
      <c r="AD3092" s="10"/>
      <c r="AE3092" s="10"/>
      <c r="AF3092" s="10"/>
    </row>
    <row r="3093">
      <c r="A3093" s="7"/>
      <c r="B3093" s="26">
        <v>241.0</v>
      </c>
      <c r="C3093" s="27">
        <v>40.0</v>
      </c>
      <c r="D3093" s="8" t="s">
        <v>4073</v>
      </c>
      <c r="E3093" s="7">
        <v>0.0</v>
      </c>
      <c r="F3093" s="7"/>
      <c r="G3093" s="7" t="s">
        <v>313</v>
      </c>
      <c r="H3093" s="7" t="s">
        <v>312</v>
      </c>
      <c r="I3093" s="10"/>
      <c r="J3093" s="11"/>
      <c r="K3093" s="12"/>
      <c r="L3093" s="12"/>
      <c r="M3093" s="10"/>
      <c r="N3093" s="10"/>
      <c r="O3093" s="10"/>
      <c r="P3093" s="10"/>
      <c r="Q3093" s="10"/>
      <c r="R3093" s="10"/>
      <c r="S3093" s="10"/>
      <c r="T3093" s="10"/>
      <c r="U3093" s="10"/>
      <c r="V3093" s="10"/>
      <c r="W3093" s="10"/>
      <c r="X3093" s="10"/>
      <c r="Y3093" s="10"/>
      <c r="Z3093" s="10"/>
      <c r="AA3093" s="10"/>
      <c r="AB3093" s="10"/>
      <c r="AC3093" s="10"/>
      <c r="AD3093" s="10"/>
      <c r="AE3093" s="10"/>
      <c r="AF3093" s="10"/>
    </row>
    <row r="3094">
      <c r="A3094" s="7"/>
      <c r="B3094" s="26">
        <v>241.0</v>
      </c>
      <c r="C3094" s="27">
        <v>41.0</v>
      </c>
      <c r="D3094" s="8" t="s">
        <v>4074</v>
      </c>
      <c r="E3094" s="7">
        <v>0.0</v>
      </c>
      <c r="F3094" s="7"/>
      <c r="G3094" s="7" t="s">
        <v>313</v>
      </c>
      <c r="H3094" s="7" t="s">
        <v>312</v>
      </c>
      <c r="I3094" s="10"/>
      <c r="J3094" s="11"/>
      <c r="K3094" s="12"/>
      <c r="L3094" s="12"/>
      <c r="M3094" s="10"/>
      <c r="N3094" s="10"/>
      <c r="O3094" s="10"/>
      <c r="P3094" s="10"/>
      <c r="Q3094" s="10"/>
      <c r="R3094" s="10"/>
      <c r="S3094" s="10"/>
      <c r="T3094" s="10"/>
      <c r="U3094" s="10"/>
      <c r="V3094" s="10"/>
      <c r="W3094" s="10"/>
      <c r="X3094" s="10"/>
      <c r="Y3094" s="10"/>
      <c r="Z3094" s="10"/>
      <c r="AA3094" s="10"/>
      <c r="AB3094" s="10"/>
      <c r="AC3094" s="10"/>
      <c r="AD3094" s="10"/>
      <c r="AE3094" s="10"/>
      <c r="AF3094" s="10"/>
    </row>
    <row r="3095">
      <c r="A3095" s="7"/>
      <c r="B3095" s="26">
        <v>241.0</v>
      </c>
      <c r="C3095" s="27">
        <v>42.0</v>
      </c>
      <c r="D3095" s="8" t="s">
        <v>4075</v>
      </c>
      <c r="E3095" s="7">
        <v>0.0</v>
      </c>
      <c r="F3095" s="7"/>
      <c r="G3095" s="7" t="s">
        <v>313</v>
      </c>
      <c r="H3095" s="7" t="s">
        <v>312</v>
      </c>
      <c r="I3095" s="10"/>
      <c r="J3095" s="11"/>
      <c r="K3095" s="12"/>
      <c r="L3095" s="12"/>
      <c r="M3095" s="10"/>
      <c r="N3095" s="10"/>
      <c r="O3095" s="10"/>
      <c r="P3095" s="10"/>
      <c r="Q3095" s="10"/>
      <c r="R3095" s="10"/>
      <c r="S3095" s="10"/>
      <c r="T3095" s="10"/>
      <c r="U3095" s="10"/>
      <c r="V3095" s="10"/>
      <c r="W3095" s="10"/>
      <c r="X3095" s="10"/>
      <c r="Y3095" s="10"/>
      <c r="Z3095" s="10"/>
      <c r="AA3095" s="10"/>
      <c r="AB3095" s="10"/>
      <c r="AC3095" s="10"/>
      <c r="AD3095" s="10"/>
      <c r="AE3095" s="10"/>
      <c r="AF3095" s="10"/>
    </row>
    <row r="3096">
      <c r="A3096" s="7"/>
      <c r="B3096" s="26">
        <v>241.0</v>
      </c>
      <c r="C3096" s="27">
        <v>43.0</v>
      </c>
      <c r="D3096" s="8" t="s">
        <v>4076</v>
      </c>
      <c r="E3096" s="7">
        <v>0.0</v>
      </c>
      <c r="F3096" s="7"/>
      <c r="G3096" s="7" t="s">
        <v>313</v>
      </c>
      <c r="H3096" s="7" t="s">
        <v>312</v>
      </c>
      <c r="I3096" s="10"/>
      <c r="J3096" s="11"/>
      <c r="K3096" s="12"/>
      <c r="L3096" s="12"/>
      <c r="M3096" s="10"/>
      <c r="N3096" s="10"/>
      <c r="O3096" s="10"/>
      <c r="P3096" s="10"/>
      <c r="Q3096" s="10"/>
      <c r="R3096" s="10"/>
      <c r="S3096" s="10"/>
      <c r="T3096" s="10"/>
      <c r="U3096" s="10"/>
      <c r="V3096" s="10"/>
      <c r="W3096" s="10"/>
      <c r="X3096" s="10"/>
      <c r="Y3096" s="10"/>
      <c r="Z3096" s="10"/>
      <c r="AA3096" s="10"/>
      <c r="AB3096" s="10"/>
      <c r="AC3096" s="10"/>
      <c r="AD3096" s="10"/>
      <c r="AE3096" s="10"/>
      <c r="AF3096" s="10"/>
    </row>
    <row r="3097">
      <c r="A3097" s="7"/>
      <c r="B3097" s="26">
        <v>241.0</v>
      </c>
      <c r="C3097" s="27">
        <v>44.0</v>
      </c>
      <c r="D3097" s="8" t="s">
        <v>4077</v>
      </c>
      <c r="E3097" s="7">
        <v>0.0</v>
      </c>
      <c r="F3097" s="7"/>
      <c r="G3097" s="7" t="s">
        <v>313</v>
      </c>
      <c r="H3097" s="7" t="s">
        <v>312</v>
      </c>
      <c r="I3097" s="10"/>
      <c r="J3097" s="11"/>
      <c r="K3097" s="12"/>
      <c r="L3097" s="12"/>
      <c r="M3097" s="10"/>
      <c r="N3097" s="10"/>
      <c r="O3097" s="10"/>
      <c r="P3097" s="10"/>
      <c r="Q3097" s="10"/>
      <c r="R3097" s="10"/>
      <c r="S3097" s="10"/>
      <c r="T3097" s="10"/>
      <c r="U3097" s="10"/>
      <c r="V3097" s="10"/>
      <c r="W3097" s="10"/>
      <c r="X3097" s="10"/>
      <c r="Y3097" s="10"/>
      <c r="Z3097" s="10"/>
      <c r="AA3097" s="10"/>
      <c r="AB3097" s="10"/>
      <c r="AC3097" s="10"/>
      <c r="AD3097" s="10"/>
      <c r="AE3097" s="10"/>
      <c r="AF3097" s="10"/>
    </row>
    <row r="3098">
      <c r="A3098" s="7"/>
      <c r="B3098" s="26">
        <v>241.0</v>
      </c>
      <c r="C3098" s="27">
        <v>45.0</v>
      </c>
      <c r="D3098" s="8" t="s">
        <v>4078</v>
      </c>
      <c r="E3098" s="7">
        <v>0.0</v>
      </c>
      <c r="F3098" s="7"/>
      <c r="G3098" s="7" t="s">
        <v>313</v>
      </c>
      <c r="H3098" s="7" t="s">
        <v>312</v>
      </c>
      <c r="I3098" s="10"/>
      <c r="J3098" s="11"/>
      <c r="K3098" s="12"/>
      <c r="L3098" s="12"/>
      <c r="M3098" s="10"/>
      <c r="N3098" s="10"/>
      <c r="O3098" s="10"/>
      <c r="P3098" s="10"/>
      <c r="Q3098" s="10"/>
      <c r="R3098" s="10"/>
      <c r="S3098" s="10"/>
      <c r="T3098" s="10"/>
      <c r="U3098" s="10"/>
      <c r="V3098" s="10"/>
      <c r="W3098" s="10"/>
      <c r="X3098" s="10"/>
      <c r="Y3098" s="10"/>
      <c r="Z3098" s="10"/>
      <c r="AA3098" s="10"/>
      <c r="AB3098" s="10"/>
      <c r="AC3098" s="10"/>
      <c r="AD3098" s="10"/>
      <c r="AE3098" s="10"/>
      <c r="AF3098" s="10"/>
    </row>
    <row r="3099">
      <c r="A3099" s="7"/>
      <c r="B3099" s="26">
        <v>241.0</v>
      </c>
      <c r="C3099" s="27">
        <v>46.0</v>
      </c>
      <c r="D3099" s="8" t="s">
        <v>4079</v>
      </c>
      <c r="E3099" s="7">
        <v>0.0</v>
      </c>
      <c r="F3099" s="7"/>
      <c r="G3099" s="7" t="s">
        <v>313</v>
      </c>
      <c r="H3099" s="7" t="s">
        <v>312</v>
      </c>
      <c r="I3099" s="10"/>
      <c r="J3099" s="11"/>
      <c r="K3099" s="12"/>
      <c r="L3099" s="14" t="s">
        <v>3900</v>
      </c>
      <c r="M3099" s="10"/>
      <c r="N3099" s="10"/>
      <c r="O3099" s="10"/>
      <c r="P3099" s="10"/>
      <c r="Q3099" s="10"/>
      <c r="R3099" s="10"/>
      <c r="S3099" s="10"/>
      <c r="T3099" s="10"/>
      <c r="U3099" s="10"/>
      <c r="V3099" s="10"/>
      <c r="W3099" s="10"/>
      <c r="X3099" s="10"/>
      <c r="Y3099" s="10"/>
      <c r="Z3099" s="10"/>
      <c r="AA3099" s="10"/>
      <c r="AB3099" s="10"/>
      <c r="AC3099" s="10"/>
      <c r="AD3099" s="10"/>
      <c r="AE3099" s="10"/>
      <c r="AF3099" s="10"/>
    </row>
    <row r="3100">
      <c r="A3100" s="7"/>
      <c r="B3100" s="26">
        <v>241.0</v>
      </c>
      <c r="C3100" s="27">
        <v>47.0</v>
      </c>
      <c r="D3100" s="8" t="s">
        <v>4080</v>
      </c>
      <c r="E3100" s="7">
        <v>0.0</v>
      </c>
      <c r="F3100" s="7"/>
      <c r="G3100" s="7" t="s">
        <v>313</v>
      </c>
      <c r="H3100" s="7" t="s">
        <v>312</v>
      </c>
      <c r="I3100" s="10"/>
      <c r="J3100" s="11"/>
      <c r="K3100" s="12"/>
      <c r="L3100" s="14" t="s">
        <v>3900</v>
      </c>
      <c r="M3100" s="10"/>
      <c r="N3100" s="10"/>
      <c r="O3100" s="10"/>
      <c r="P3100" s="10"/>
      <c r="Q3100" s="10"/>
      <c r="R3100" s="10"/>
      <c r="S3100" s="10"/>
      <c r="T3100" s="10"/>
      <c r="U3100" s="10"/>
      <c r="V3100" s="10"/>
      <c r="W3100" s="10"/>
      <c r="X3100" s="10"/>
      <c r="Y3100" s="10"/>
      <c r="Z3100" s="10"/>
      <c r="AA3100" s="10"/>
      <c r="AB3100" s="10"/>
      <c r="AC3100" s="10"/>
      <c r="AD3100" s="10"/>
      <c r="AE3100" s="10"/>
      <c r="AF3100" s="10"/>
    </row>
    <row r="3101">
      <c r="A3101" s="7"/>
      <c r="B3101" s="26">
        <v>241.0</v>
      </c>
      <c r="C3101" s="27">
        <v>48.0</v>
      </c>
      <c r="D3101" s="8" t="s">
        <v>4081</v>
      </c>
      <c r="E3101" s="7">
        <v>0.0</v>
      </c>
      <c r="F3101" s="7"/>
      <c r="G3101" s="7" t="s">
        <v>313</v>
      </c>
      <c r="H3101" s="7" t="s">
        <v>312</v>
      </c>
      <c r="I3101" s="10"/>
      <c r="J3101" s="11"/>
      <c r="K3101" s="12"/>
      <c r="L3101" s="14" t="s">
        <v>3900</v>
      </c>
      <c r="M3101" s="10"/>
      <c r="N3101" s="10"/>
      <c r="O3101" s="10"/>
      <c r="P3101" s="10"/>
      <c r="Q3101" s="10"/>
      <c r="R3101" s="10"/>
      <c r="S3101" s="10"/>
      <c r="T3101" s="10"/>
      <c r="U3101" s="10"/>
      <c r="V3101" s="10"/>
      <c r="W3101" s="10"/>
      <c r="X3101" s="10"/>
      <c r="Y3101" s="10"/>
      <c r="Z3101" s="10"/>
      <c r="AA3101" s="10"/>
      <c r="AB3101" s="10"/>
      <c r="AC3101" s="10"/>
      <c r="AD3101" s="10"/>
      <c r="AE3101" s="10"/>
      <c r="AF3101" s="10"/>
    </row>
    <row r="3102">
      <c r="A3102" s="7"/>
      <c r="B3102" s="26">
        <v>241.0</v>
      </c>
      <c r="C3102" s="27">
        <v>49.0</v>
      </c>
      <c r="D3102" s="8" t="s">
        <v>4082</v>
      </c>
      <c r="E3102" s="7">
        <v>0.0</v>
      </c>
      <c r="F3102" s="7"/>
      <c r="G3102" s="7" t="s">
        <v>313</v>
      </c>
      <c r="H3102" s="7" t="s">
        <v>312</v>
      </c>
      <c r="I3102" s="10"/>
      <c r="J3102" s="11"/>
      <c r="K3102" s="12"/>
      <c r="L3102" s="14" t="s">
        <v>3900</v>
      </c>
      <c r="M3102" s="10"/>
      <c r="N3102" s="10"/>
      <c r="O3102" s="10"/>
      <c r="P3102" s="10"/>
      <c r="Q3102" s="10"/>
      <c r="R3102" s="10"/>
      <c r="S3102" s="10"/>
      <c r="T3102" s="10"/>
      <c r="U3102" s="10"/>
      <c r="V3102" s="10"/>
      <c r="W3102" s="10"/>
      <c r="X3102" s="10"/>
      <c r="Y3102" s="10"/>
      <c r="Z3102" s="10"/>
      <c r="AA3102" s="10"/>
      <c r="AB3102" s="10"/>
      <c r="AC3102" s="10"/>
      <c r="AD3102" s="10"/>
      <c r="AE3102" s="10"/>
      <c r="AF3102" s="10"/>
    </row>
    <row r="3103">
      <c r="A3103" s="7"/>
      <c r="B3103" s="26">
        <v>241.0</v>
      </c>
      <c r="C3103" s="27">
        <v>50.0</v>
      </c>
      <c r="D3103" s="8" t="s">
        <v>4083</v>
      </c>
      <c r="E3103" s="7">
        <v>0.0</v>
      </c>
      <c r="F3103" s="7"/>
      <c r="G3103" s="7" t="s">
        <v>313</v>
      </c>
      <c r="H3103" s="7" t="s">
        <v>312</v>
      </c>
      <c r="I3103" s="10"/>
      <c r="J3103" s="11"/>
      <c r="K3103" s="12"/>
      <c r="L3103" s="14" t="s">
        <v>3900</v>
      </c>
      <c r="M3103" s="10"/>
      <c r="N3103" s="10"/>
      <c r="O3103" s="10"/>
      <c r="P3103" s="10"/>
      <c r="Q3103" s="10"/>
      <c r="R3103" s="10"/>
      <c r="S3103" s="10"/>
      <c r="T3103" s="10"/>
      <c r="U3103" s="10"/>
      <c r="V3103" s="10"/>
      <c r="W3103" s="10"/>
      <c r="X3103" s="10"/>
      <c r="Y3103" s="10"/>
      <c r="Z3103" s="10"/>
      <c r="AA3103" s="10"/>
      <c r="AB3103" s="10"/>
      <c r="AC3103" s="10"/>
      <c r="AD3103" s="10"/>
      <c r="AE3103" s="10"/>
      <c r="AF3103" s="10"/>
    </row>
    <row r="3104">
      <c r="A3104" s="7"/>
      <c r="B3104" s="26">
        <v>241.0</v>
      </c>
      <c r="C3104" s="27">
        <v>51.0</v>
      </c>
      <c r="D3104" s="8" t="s">
        <v>4084</v>
      </c>
      <c r="E3104" s="7">
        <v>0.0</v>
      </c>
      <c r="F3104" s="7"/>
      <c r="G3104" s="7" t="s">
        <v>313</v>
      </c>
      <c r="H3104" s="7" t="s">
        <v>312</v>
      </c>
      <c r="I3104" s="10"/>
      <c r="J3104" s="11"/>
      <c r="K3104" s="12"/>
      <c r="L3104" s="14" t="s">
        <v>3900</v>
      </c>
      <c r="M3104" s="10"/>
      <c r="N3104" s="10"/>
      <c r="O3104" s="10"/>
      <c r="P3104" s="10"/>
      <c r="Q3104" s="10"/>
      <c r="R3104" s="10"/>
      <c r="S3104" s="10"/>
      <c r="T3104" s="10"/>
      <c r="U3104" s="10"/>
      <c r="V3104" s="10"/>
      <c r="W3104" s="10"/>
      <c r="X3104" s="10"/>
      <c r="Y3104" s="10"/>
      <c r="Z3104" s="10"/>
      <c r="AA3104" s="10"/>
      <c r="AB3104" s="10"/>
      <c r="AC3104" s="10"/>
      <c r="AD3104" s="10"/>
      <c r="AE3104" s="10"/>
      <c r="AF3104" s="10"/>
    </row>
    <row r="3105">
      <c r="A3105" s="7"/>
      <c r="B3105" s="26">
        <v>241.0</v>
      </c>
      <c r="C3105" s="27">
        <v>52.0</v>
      </c>
      <c r="D3105" s="8" t="s">
        <v>4085</v>
      </c>
      <c r="E3105" s="7">
        <v>0.0</v>
      </c>
      <c r="F3105" s="7"/>
      <c r="G3105" s="7" t="s">
        <v>313</v>
      </c>
      <c r="H3105" s="7" t="s">
        <v>312</v>
      </c>
      <c r="I3105" s="10"/>
      <c r="J3105" s="11"/>
      <c r="K3105" s="12"/>
      <c r="L3105" s="12"/>
      <c r="M3105" s="10"/>
      <c r="N3105" s="10"/>
      <c r="O3105" s="10"/>
      <c r="P3105" s="10"/>
      <c r="Q3105" s="10"/>
      <c r="R3105" s="10"/>
      <c r="S3105" s="10"/>
      <c r="T3105" s="10"/>
      <c r="U3105" s="10"/>
      <c r="V3105" s="10"/>
      <c r="W3105" s="10"/>
      <c r="X3105" s="10"/>
      <c r="Y3105" s="10"/>
      <c r="Z3105" s="10"/>
      <c r="AA3105" s="10"/>
      <c r="AB3105" s="10"/>
      <c r="AC3105" s="10"/>
      <c r="AD3105" s="10"/>
      <c r="AE3105" s="10"/>
      <c r="AF3105" s="10"/>
    </row>
    <row r="3106">
      <c r="A3106" s="7"/>
      <c r="B3106" s="26">
        <v>241.0</v>
      </c>
      <c r="C3106" s="27">
        <v>53.0</v>
      </c>
      <c r="D3106" s="8" t="s">
        <v>4086</v>
      </c>
      <c r="E3106" s="7">
        <v>0.0</v>
      </c>
      <c r="F3106" s="7"/>
      <c r="G3106" s="7" t="s">
        <v>313</v>
      </c>
      <c r="H3106" s="7" t="s">
        <v>312</v>
      </c>
      <c r="I3106" s="10"/>
      <c r="J3106" s="11"/>
      <c r="K3106" s="12"/>
      <c r="L3106" s="12"/>
      <c r="M3106" s="10"/>
      <c r="N3106" s="10"/>
      <c r="O3106" s="10"/>
      <c r="P3106" s="10"/>
      <c r="Q3106" s="10"/>
      <c r="R3106" s="10"/>
      <c r="S3106" s="10"/>
      <c r="T3106" s="10"/>
      <c r="U3106" s="10"/>
      <c r="V3106" s="10"/>
      <c r="W3106" s="10"/>
      <c r="X3106" s="10"/>
      <c r="Y3106" s="10"/>
      <c r="Z3106" s="10"/>
      <c r="AA3106" s="10"/>
      <c r="AB3106" s="10"/>
      <c r="AC3106" s="10"/>
      <c r="AD3106" s="10"/>
      <c r="AE3106" s="10"/>
      <c r="AF3106" s="10"/>
    </row>
    <row r="3107">
      <c r="A3107" s="7"/>
      <c r="B3107" s="26">
        <v>241.0</v>
      </c>
      <c r="C3107" s="27">
        <v>54.0</v>
      </c>
      <c r="D3107" s="8" t="s">
        <v>4087</v>
      </c>
      <c r="E3107" s="7">
        <v>0.0</v>
      </c>
      <c r="F3107" s="7"/>
      <c r="G3107" s="7" t="s">
        <v>313</v>
      </c>
      <c r="H3107" s="7" t="s">
        <v>312</v>
      </c>
      <c r="I3107" s="10"/>
      <c r="J3107" s="11"/>
      <c r="K3107" s="12"/>
      <c r="L3107" s="12"/>
      <c r="M3107" s="10"/>
      <c r="N3107" s="10"/>
      <c r="O3107" s="10"/>
      <c r="P3107" s="10"/>
      <c r="Q3107" s="10"/>
      <c r="R3107" s="10"/>
      <c r="S3107" s="10"/>
      <c r="T3107" s="10"/>
      <c r="U3107" s="10"/>
      <c r="V3107" s="10"/>
      <c r="W3107" s="10"/>
      <c r="X3107" s="10"/>
      <c r="Y3107" s="10"/>
      <c r="Z3107" s="10"/>
      <c r="AA3107" s="10"/>
      <c r="AB3107" s="10"/>
      <c r="AC3107" s="10"/>
      <c r="AD3107" s="10"/>
      <c r="AE3107" s="10"/>
      <c r="AF3107" s="10"/>
    </row>
    <row r="3108">
      <c r="A3108" s="7"/>
      <c r="B3108" s="26">
        <v>241.0</v>
      </c>
      <c r="C3108" s="27">
        <v>55.0</v>
      </c>
      <c r="D3108" s="8" t="s">
        <v>4088</v>
      </c>
      <c r="E3108" s="7">
        <v>0.0</v>
      </c>
      <c r="F3108" s="7"/>
      <c r="G3108" s="7" t="s">
        <v>313</v>
      </c>
      <c r="H3108" s="7" t="s">
        <v>312</v>
      </c>
      <c r="I3108" s="10"/>
      <c r="J3108" s="11"/>
      <c r="K3108" s="12"/>
      <c r="L3108" s="12"/>
      <c r="M3108" s="10"/>
      <c r="N3108" s="10"/>
      <c r="O3108" s="10"/>
      <c r="P3108" s="10"/>
      <c r="Q3108" s="10"/>
      <c r="R3108" s="10"/>
      <c r="S3108" s="10"/>
      <c r="T3108" s="10"/>
      <c r="U3108" s="10"/>
      <c r="V3108" s="10"/>
      <c r="W3108" s="10"/>
      <c r="X3108" s="10"/>
      <c r="Y3108" s="10"/>
      <c r="Z3108" s="10"/>
      <c r="AA3108" s="10"/>
      <c r="AB3108" s="10"/>
      <c r="AC3108" s="10"/>
      <c r="AD3108" s="10"/>
      <c r="AE3108" s="10"/>
      <c r="AF3108" s="10"/>
    </row>
    <row r="3109">
      <c r="A3109" s="7"/>
      <c r="B3109" s="26">
        <v>241.0</v>
      </c>
      <c r="C3109" s="27">
        <v>56.0</v>
      </c>
      <c r="D3109" s="8" t="s">
        <v>4089</v>
      </c>
      <c r="E3109" s="7">
        <v>0.0</v>
      </c>
      <c r="F3109" s="7"/>
      <c r="G3109" s="7" t="s">
        <v>313</v>
      </c>
      <c r="H3109" s="7" t="s">
        <v>312</v>
      </c>
      <c r="I3109" s="10"/>
      <c r="J3109" s="11"/>
      <c r="K3109" s="12"/>
      <c r="L3109" s="12"/>
      <c r="M3109" s="10"/>
      <c r="N3109" s="10"/>
      <c r="O3109" s="10"/>
      <c r="P3109" s="10"/>
      <c r="Q3109" s="10"/>
      <c r="R3109" s="10"/>
      <c r="S3109" s="10"/>
      <c r="T3109" s="10"/>
      <c r="U3109" s="10"/>
      <c r="V3109" s="10"/>
      <c r="W3109" s="10"/>
      <c r="X3109" s="10"/>
      <c r="Y3109" s="10"/>
      <c r="Z3109" s="10"/>
      <c r="AA3109" s="10"/>
      <c r="AB3109" s="10"/>
      <c r="AC3109" s="10"/>
      <c r="AD3109" s="10"/>
      <c r="AE3109" s="10"/>
      <c r="AF3109" s="10"/>
    </row>
    <row r="3110">
      <c r="A3110" s="7"/>
      <c r="B3110" s="26">
        <v>241.0</v>
      </c>
      <c r="C3110" s="27">
        <v>57.0</v>
      </c>
      <c r="D3110" s="8" t="s">
        <v>4090</v>
      </c>
      <c r="E3110" s="7">
        <v>0.0</v>
      </c>
      <c r="F3110" s="7"/>
      <c r="G3110" s="7" t="s">
        <v>313</v>
      </c>
      <c r="H3110" s="7" t="s">
        <v>312</v>
      </c>
      <c r="I3110" s="10"/>
      <c r="J3110" s="11"/>
      <c r="K3110" s="12"/>
      <c r="L3110" s="12"/>
      <c r="M3110" s="10"/>
      <c r="N3110" s="10"/>
      <c r="O3110" s="10"/>
      <c r="P3110" s="10"/>
      <c r="Q3110" s="10"/>
      <c r="R3110" s="10"/>
      <c r="S3110" s="10"/>
      <c r="T3110" s="10"/>
      <c r="U3110" s="10"/>
      <c r="V3110" s="10"/>
      <c r="W3110" s="10"/>
      <c r="X3110" s="10"/>
      <c r="Y3110" s="10"/>
      <c r="Z3110" s="10"/>
      <c r="AA3110" s="10"/>
      <c r="AB3110" s="10"/>
      <c r="AC3110" s="10"/>
      <c r="AD3110" s="10"/>
      <c r="AE3110" s="10"/>
      <c r="AF3110" s="10"/>
    </row>
    <row r="3111">
      <c r="A3111" s="7"/>
      <c r="B3111" s="26">
        <v>241.0</v>
      </c>
      <c r="C3111" s="27">
        <v>58.0</v>
      </c>
      <c r="D3111" s="8" t="s">
        <v>4091</v>
      </c>
      <c r="E3111" s="7">
        <v>0.0</v>
      </c>
      <c r="F3111" s="7"/>
      <c r="G3111" s="7" t="s">
        <v>313</v>
      </c>
      <c r="H3111" s="7" t="s">
        <v>312</v>
      </c>
      <c r="I3111" s="10"/>
      <c r="J3111" s="11"/>
      <c r="K3111" s="12"/>
      <c r="L3111" s="12"/>
      <c r="M3111" s="10"/>
      <c r="N3111" s="10"/>
      <c r="O3111" s="10"/>
      <c r="P3111" s="10"/>
      <c r="Q3111" s="10"/>
      <c r="R3111" s="10"/>
      <c r="S3111" s="10"/>
      <c r="T3111" s="10"/>
      <c r="U3111" s="10"/>
      <c r="V3111" s="10"/>
      <c r="W3111" s="10"/>
      <c r="X3111" s="10"/>
      <c r="Y3111" s="10"/>
      <c r="Z3111" s="10"/>
      <c r="AA3111" s="10"/>
      <c r="AB3111" s="10"/>
      <c r="AC3111" s="10"/>
      <c r="AD3111" s="10"/>
      <c r="AE3111" s="10"/>
      <c r="AF3111" s="10"/>
    </row>
    <row r="3112">
      <c r="A3112" s="7"/>
      <c r="B3112" s="26">
        <v>241.0</v>
      </c>
      <c r="C3112" s="27">
        <v>59.0</v>
      </c>
      <c r="D3112" s="8" t="s">
        <v>4092</v>
      </c>
      <c r="E3112" s="7">
        <v>0.0</v>
      </c>
      <c r="F3112" s="7"/>
      <c r="G3112" s="7" t="s">
        <v>313</v>
      </c>
      <c r="H3112" s="7" t="s">
        <v>312</v>
      </c>
      <c r="I3112" s="10"/>
      <c r="J3112" s="11"/>
      <c r="K3112" s="12"/>
      <c r="L3112" s="12"/>
      <c r="M3112" s="10"/>
      <c r="N3112" s="10"/>
      <c r="O3112" s="10"/>
      <c r="P3112" s="10"/>
      <c r="Q3112" s="10"/>
      <c r="R3112" s="10"/>
      <c r="S3112" s="10"/>
      <c r="T3112" s="10"/>
      <c r="U3112" s="10"/>
      <c r="V3112" s="10"/>
      <c r="W3112" s="10"/>
      <c r="X3112" s="10"/>
      <c r="Y3112" s="10"/>
      <c r="Z3112" s="10"/>
      <c r="AA3112" s="10"/>
      <c r="AB3112" s="10"/>
      <c r="AC3112" s="10"/>
      <c r="AD3112" s="10"/>
      <c r="AE3112" s="10"/>
      <c r="AF3112" s="10"/>
    </row>
    <row r="3113">
      <c r="A3113" s="7"/>
      <c r="B3113" s="26">
        <v>241.0</v>
      </c>
      <c r="C3113" s="27">
        <v>60.0</v>
      </c>
      <c r="D3113" s="8" t="s">
        <v>4093</v>
      </c>
      <c r="E3113" s="7">
        <v>0.0</v>
      </c>
      <c r="F3113" s="7"/>
      <c r="G3113" s="7" t="s">
        <v>313</v>
      </c>
      <c r="H3113" s="7" t="s">
        <v>312</v>
      </c>
      <c r="I3113" s="10"/>
      <c r="J3113" s="11"/>
      <c r="K3113" s="12"/>
      <c r="L3113" s="12"/>
      <c r="M3113" s="10"/>
      <c r="N3113" s="10"/>
      <c r="O3113" s="10"/>
      <c r="P3113" s="10"/>
      <c r="Q3113" s="10"/>
      <c r="R3113" s="10"/>
      <c r="S3113" s="10"/>
      <c r="T3113" s="10"/>
      <c r="U3113" s="10"/>
      <c r="V3113" s="10"/>
      <c r="W3113" s="10"/>
      <c r="X3113" s="10"/>
      <c r="Y3113" s="10"/>
      <c r="Z3113" s="10"/>
      <c r="AA3113" s="10"/>
      <c r="AB3113" s="10"/>
      <c r="AC3113" s="10"/>
      <c r="AD3113" s="10"/>
      <c r="AE3113" s="10"/>
      <c r="AF3113" s="10"/>
    </row>
    <row r="3114">
      <c r="A3114" s="7"/>
      <c r="B3114" s="26">
        <v>241.0</v>
      </c>
      <c r="C3114" s="27">
        <v>61.0</v>
      </c>
      <c r="D3114" s="8" t="s">
        <v>4094</v>
      </c>
      <c r="E3114" s="7">
        <v>0.0</v>
      </c>
      <c r="F3114" s="7"/>
      <c r="G3114" s="7" t="s">
        <v>313</v>
      </c>
      <c r="H3114" s="7" t="s">
        <v>312</v>
      </c>
      <c r="I3114" s="10"/>
      <c r="J3114" s="11"/>
      <c r="K3114" s="12"/>
      <c r="L3114" s="12"/>
      <c r="M3114" s="10"/>
      <c r="N3114" s="10"/>
      <c r="O3114" s="10"/>
      <c r="P3114" s="10"/>
      <c r="Q3114" s="10"/>
      <c r="R3114" s="10"/>
      <c r="S3114" s="10"/>
      <c r="T3114" s="10"/>
      <c r="U3114" s="10"/>
      <c r="V3114" s="10"/>
      <c r="W3114" s="10"/>
      <c r="X3114" s="10"/>
      <c r="Y3114" s="10"/>
      <c r="Z3114" s="10"/>
      <c r="AA3114" s="10"/>
      <c r="AB3114" s="10"/>
      <c r="AC3114" s="10"/>
      <c r="AD3114" s="10"/>
      <c r="AE3114" s="10"/>
      <c r="AF3114" s="10"/>
    </row>
    <row r="3115">
      <c r="A3115" s="7"/>
      <c r="B3115" s="26">
        <v>241.0</v>
      </c>
      <c r="C3115" s="27">
        <v>62.0</v>
      </c>
      <c r="D3115" s="8" t="s">
        <v>4095</v>
      </c>
      <c r="E3115" s="7">
        <v>0.0</v>
      </c>
      <c r="F3115" s="7"/>
      <c r="G3115" s="7" t="s">
        <v>313</v>
      </c>
      <c r="H3115" s="7" t="s">
        <v>312</v>
      </c>
      <c r="I3115" s="10"/>
      <c r="J3115" s="11"/>
      <c r="K3115" s="12"/>
      <c r="L3115" s="12"/>
      <c r="M3115" s="10"/>
      <c r="N3115" s="10"/>
      <c r="O3115" s="10"/>
      <c r="P3115" s="10"/>
      <c r="Q3115" s="10"/>
      <c r="R3115" s="10"/>
      <c r="S3115" s="10"/>
      <c r="T3115" s="10"/>
      <c r="U3115" s="10"/>
      <c r="V3115" s="10"/>
      <c r="W3115" s="10"/>
      <c r="X3115" s="10"/>
      <c r="Y3115" s="10"/>
      <c r="Z3115" s="10"/>
      <c r="AA3115" s="10"/>
      <c r="AB3115" s="10"/>
      <c r="AC3115" s="10"/>
      <c r="AD3115" s="10"/>
      <c r="AE3115" s="10"/>
      <c r="AF3115" s="10"/>
    </row>
    <row r="3116">
      <c r="A3116" s="7"/>
      <c r="B3116" s="26">
        <v>241.0</v>
      </c>
      <c r="C3116" s="27">
        <v>63.0</v>
      </c>
      <c r="D3116" s="8" t="s">
        <v>4096</v>
      </c>
      <c r="E3116" s="7">
        <v>0.0</v>
      </c>
      <c r="F3116" s="7"/>
      <c r="G3116" s="7" t="s">
        <v>313</v>
      </c>
      <c r="H3116" s="7" t="s">
        <v>312</v>
      </c>
      <c r="I3116" s="10"/>
      <c r="J3116" s="11"/>
      <c r="K3116" s="12"/>
      <c r="L3116" s="12"/>
      <c r="M3116" s="10"/>
      <c r="N3116" s="10"/>
      <c r="O3116" s="10"/>
      <c r="P3116" s="10"/>
      <c r="Q3116" s="10"/>
      <c r="R3116" s="10"/>
      <c r="S3116" s="10"/>
      <c r="T3116" s="10"/>
      <c r="U3116" s="10"/>
      <c r="V3116" s="10"/>
      <c r="W3116" s="10"/>
      <c r="X3116" s="10"/>
      <c r="Y3116" s="10"/>
      <c r="Z3116" s="10"/>
      <c r="AA3116" s="10"/>
      <c r="AB3116" s="10"/>
      <c r="AC3116" s="10"/>
      <c r="AD3116" s="10"/>
      <c r="AE3116" s="10"/>
      <c r="AF3116" s="10"/>
    </row>
    <row r="3117">
      <c r="A3117" s="7"/>
      <c r="B3117" s="26">
        <v>241.0</v>
      </c>
      <c r="C3117" s="27">
        <v>64.0</v>
      </c>
      <c r="D3117" s="8" t="s">
        <v>4097</v>
      </c>
      <c r="E3117" s="7">
        <v>0.0</v>
      </c>
      <c r="F3117" s="7"/>
      <c r="G3117" s="7" t="s">
        <v>313</v>
      </c>
      <c r="H3117" s="7" t="s">
        <v>312</v>
      </c>
      <c r="I3117" s="10"/>
      <c r="J3117" s="11"/>
      <c r="K3117" s="12"/>
      <c r="L3117" s="12"/>
      <c r="M3117" s="10"/>
      <c r="N3117" s="10"/>
      <c r="O3117" s="10"/>
      <c r="P3117" s="10"/>
      <c r="Q3117" s="10"/>
      <c r="R3117" s="10"/>
      <c r="S3117" s="10"/>
      <c r="T3117" s="10"/>
      <c r="U3117" s="10"/>
      <c r="V3117" s="10"/>
      <c r="W3117" s="10"/>
      <c r="X3117" s="10"/>
      <c r="Y3117" s="10"/>
      <c r="Z3117" s="10"/>
      <c r="AA3117" s="10"/>
      <c r="AB3117" s="10"/>
      <c r="AC3117" s="10"/>
      <c r="AD3117" s="10"/>
      <c r="AE3117" s="10"/>
      <c r="AF3117" s="10"/>
    </row>
    <row r="3118">
      <c r="A3118" s="7"/>
      <c r="B3118" s="26">
        <v>241.0</v>
      </c>
      <c r="C3118" s="27">
        <v>65.0</v>
      </c>
      <c r="D3118" s="8" t="s">
        <v>4098</v>
      </c>
      <c r="E3118" s="7">
        <v>0.0</v>
      </c>
      <c r="F3118" s="7"/>
      <c r="G3118" s="7" t="s">
        <v>313</v>
      </c>
      <c r="H3118" s="7" t="s">
        <v>312</v>
      </c>
      <c r="I3118" s="10"/>
      <c r="J3118" s="11"/>
      <c r="K3118" s="12"/>
      <c r="L3118" s="12"/>
      <c r="M3118" s="10"/>
      <c r="N3118" s="10"/>
      <c r="O3118" s="10"/>
      <c r="P3118" s="10"/>
      <c r="Q3118" s="10"/>
      <c r="R3118" s="10"/>
      <c r="S3118" s="10"/>
      <c r="T3118" s="10"/>
      <c r="U3118" s="10"/>
      <c r="V3118" s="10"/>
      <c r="W3118" s="10"/>
      <c r="X3118" s="10"/>
      <c r="Y3118" s="10"/>
      <c r="Z3118" s="10"/>
      <c r="AA3118" s="10"/>
      <c r="AB3118" s="10"/>
      <c r="AC3118" s="10"/>
      <c r="AD3118" s="10"/>
      <c r="AE3118" s="10"/>
      <c r="AF3118" s="10"/>
    </row>
    <row r="3119">
      <c r="A3119" s="7"/>
      <c r="B3119" s="26">
        <v>241.0</v>
      </c>
      <c r="C3119" s="27">
        <v>66.0</v>
      </c>
      <c r="D3119" s="8" t="s">
        <v>4099</v>
      </c>
      <c r="E3119" s="7">
        <v>0.0</v>
      </c>
      <c r="F3119" s="7"/>
      <c r="G3119" s="7" t="s">
        <v>313</v>
      </c>
      <c r="H3119" s="7" t="s">
        <v>312</v>
      </c>
      <c r="I3119" s="10"/>
      <c r="J3119" s="11"/>
      <c r="K3119" s="12"/>
      <c r="L3119" s="12"/>
      <c r="M3119" s="10"/>
      <c r="N3119" s="10"/>
      <c r="O3119" s="10"/>
      <c r="P3119" s="10"/>
      <c r="Q3119" s="10"/>
      <c r="R3119" s="10"/>
      <c r="S3119" s="10"/>
      <c r="T3119" s="10"/>
      <c r="U3119" s="10"/>
      <c r="V3119" s="10"/>
      <c r="W3119" s="10"/>
      <c r="X3119" s="10"/>
      <c r="Y3119" s="10"/>
      <c r="Z3119" s="10"/>
      <c r="AA3119" s="10"/>
      <c r="AB3119" s="10"/>
      <c r="AC3119" s="10"/>
      <c r="AD3119" s="10"/>
      <c r="AE3119" s="10"/>
      <c r="AF3119" s="10"/>
    </row>
    <row r="3120">
      <c r="A3120" s="10"/>
      <c r="B3120" s="12"/>
      <c r="C3120" s="12"/>
      <c r="D3120" s="12"/>
      <c r="E3120" s="10"/>
      <c r="F3120" s="10"/>
      <c r="G3120" s="10"/>
      <c r="H3120" s="10"/>
      <c r="I3120" s="10"/>
      <c r="J3120" s="11"/>
      <c r="K3120" s="12"/>
      <c r="L3120" s="12"/>
      <c r="M3120" s="10"/>
      <c r="N3120" s="10"/>
      <c r="O3120" s="10"/>
      <c r="P3120" s="10"/>
      <c r="Q3120" s="10"/>
      <c r="R3120" s="10"/>
      <c r="S3120" s="10"/>
      <c r="T3120" s="10"/>
      <c r="U3120" s="10"/>
      <c r="V3120" s="10"/>
      <c r="W3120" s="10"/>
      <c r="X3120" s="10"/>
      <c r="Y3120" s="10"/>
      <c r="Z3120" s="10"/>
      <c r="AA3120" s="10"/>
      <c r="AB3120" s="10"/>
      <c r="AC3120" s="10"/>
      <c r="AD3120" s="10"/>
      <c r="AE3120" s="10"/>
      <c r="AF3120" s="10"/>
    </row>
    <row r="3121">
      <c r="A3121" s="7"/>
      <c r="B3121" s="26">
        <v>242.0</v>
      </c>
      <c r="C3121" s="27">
        <v>1.0</v>
      </c>
      <c r="D3121" s="8" t="s">
        <v>4100</v>
      </c>
      <c r="E3121" s="7">
        <v>0.0</v>
      </c>
      <c r="F3121" s="7" t="s">
        <v>320</v>
      </c>
      <c r="G3121" s="7" t="s">
        <v>313</v>
      </c>
      <c r="H3121" s="7" t="s">
        <v>312</v>
      </c>
      <c r="I3121" s="7" t="s">
        <v>366</v>
      </c>
      <c r="J3121" s="9" t="s">
        <v>4101</v>
      </c>
      <c r="K3121" s="8" t="s">
        <v>4102</v>
      </c>
      <c r="L3121" s="12"/>
      <c r="M3121" s="10"/>
      <c r="N3121" s="10"/>
      <c r="O3121" s="10"/>
      <c r="P3121" s="10"/>
      <c r="Q3121" s="10"/>
      <c r="R3121" s="10"/>
      <c r="S3121" s="10"/>
      <c r="T3121" s="10"/>
      <c r="U3121" s="10"/>
      <c r="V3121" s="10"/>
      <c r="W3121" s="10"/>
      <c r="X3121" s="10"/>
      <c r="Y3121" s="10"/>
      <c r="Z3121" s="10"/>
      <c r="AA3121" s="10"/>
      <c r="AB3121" s="10"/>
      <c r="AC3121" s="10"/>
      <c r="AD3121" s="10"/>
      <c r="AE3121" s="10"/>
      <c r="AF3121" s="10"/>
    </row>
    <row r="3122">
      <c r="A3122" s="7"/>
      <c r="B3122" s="26">
        <v>242.0</v>
      </c>
      <c r="C3122" s="27">
        <v>2.0</v>
      </c>
      <c r="D3122" s="8" t="s">
        <v>4103</v>
      </c>
      <c r="E3122" s="7">
        <v>3.0</v>
      </c>
      <c r="F3122" s="7"/>
      <c r="G3122" s="7" t="s">
        <v>313</v>
      </c>
      <c r="H3122" s="7" t="s">
        <v>312</v>
      </c>
      <c r="I3122" s="10"/>
      <c r="J3122" s="11"/>
      <c r="K3122" s="12"/>
      <c r="L3122" s="12"/>
      <c r="M3122" s="10"/>
      <c r="N3122" s="10"/>
      <c r="O3122" s="10"/>
      <c r="P3122" s="10"/>
      <c r="Q3122" s="10"/>
      <c r="R3122" s="10"/>
      <c r="S3122" s="10"/>
      <c r="T3122" s="10"/>
      <c r="U3122" s="10"/>
      <c r="V3122" s="10"/>
      <c r="W3122" s="10"/>
      <c r="X3122" s="10"/>
      <c r="Y3122" s="10"/>
      <c r="Z3122" s="10"/>
      <c r="AA3122" s="10"/>
      <c r="AB3122" s="10"/>
      <c r="AC3122" s="10"/>
      <c r="AD3122" s="10"/>
      <c r="AE3122" s="10"/>
      <c r="AF3122" s="10"/>
    </row>
    <row r="3123">
      <c r="A3123" s="7"/>
      <c r="B3123" s="26">
        <v>242.0</v>
      </c>
      <c r="C3123" s="27">
        <v>3.0</v>
      </c>
      <c r="D3123" s="8" t="s">
        <v>4104</v>
      </c>
      <c r="E3123" s="7">
        <v>0.0</v>
      </c>
      <c r="F3123" s="7"/>
      <c r="G3123" s="7" t="s">
        <v>313</v>
      </c>
      <c r="H3123" s="7" t="s">
        <v>312</v>
      </c>
      <c r="I3123" s="10"/>
      <c r="J3123" s="11"/>
      <c r="K3123" s="12"/>
      <c r="L3123" s="12"/>
      <c r="M3123" s="10"/>
      <c r="N3123" s="10"/>
      <c r="O3123" s="10"/>
      <c r="P3123" s="10"/>
      <c r="Q3123" s="10"/>
      <c r="R3123" s="10"/>
      <c r="S3123" s="10"/>
      <c r="T3123" s="10"/>
      <c r="U3123" s="10"/>
      <c r="V3123" s="10"/>
      <c r="W3123" s="10"/>
      <c r="X3123" s="10"/>
      <c r="Y3123" s="10"/>
      <c r="Z3123" s="10"/>
      <c r="AA3123" s="10"/>
      <c r="AB3123" s="10"/>
      <c r="AC3123" s="10"/>
      <c r="AD3123" s="10"/>
      <c r="AE3123" s="10"/>
      <c r="AF3123" s="10"/>
    </row>
    <row r="3124">
      <c r="A3124" s="13" t="s">
        <v>243</v>
      </c>
      <c r="B3124" s="12"/>
      <c r="C3124" s="12"/>
      <c r="D3124" s="12"/>
      <c r="E3124" s="10"/>
      <c r="F3124" s="10"/>
      <c r="G3124" s="10"/>
      <c r="H3124" s="10"/>
      <c r="I3124" s="10"/>
      <c r="J3124" s="11"/>
      <c r="K3124" s="12"/>
      <c r="L3124" s="12"/>
      <c r="M3124" s="10"/>
      <c r="N3124" s="10"/>
      <c r="O3124" s="10"/>
      <c r="P3124" s="10"/>
      <c r="Q3124" s="10"/>
      <c r="R3124" s="10"/>
      <c r="S3124" s="10"/>
      <c r="T3124" s="10"/>
      <c r="U3124" s="10"/>
      <c r="V3124" s="10"/>
      <c r="W3124" s="10"/>
      <c r="X3124" s="10"/>
      <c r="Y3124" s="10"/>
      <c r="Z3124" s="10"/>
      <c r="AA3124" s="10"/>
      <c r="AB3124" s="10"/>
      <c r="AC3124" s="10"/>
      <c r="AD3124" s="10"/>
      <c r="AE3124" s="10"/>
      <c r="AF3124" s="10"/>
    </row>
    <row r="3125">
      <c r="A3125" s="7"/>
      <c r="B3125" s="26">
        <v>243.0</v>
      </c>
      <c r="C3125" s="27">
        <v>1.0</v>
      </c>
      <c r="D3125" s="8" t="s">
        <v>4105</v>
      </c>
      <c r="E3125" s="7">
        <v>0.0</v>
      </c>
      <c r="F3125" s="7" t="s">
        <v>320</v>
      </c>
      <c r="G3125" s="7" t="s">
        <v>313</v>
      </c>
      <c r="H3125" s="7" t="s">
        <v>312</v>
      </c>
      <c r="I3125" s="7" t="s">
        <v>320</v>
      </c>
      <c r="J3125" s="9" t="s">
        <v>4106</v>
      </c>
      <c r="K3125" s="12"/>
      <c r="L3125" s="12"/>
      <c r="M3125" s="10"/>
      <c r="N3125" s="10"/>
      <c r="O3125" s="10"/>
      <c r="P3125" s="10"/>
      <c r="Q3125" s="10"/>
      <c r="R3125" s="10"/>
      <c r="S3125" s="10"/>
      <c r="T3125" s="10"/>
      <c r="U3125" s="10"/>
      <c r="V3125" s="10"/>
      <c r="W3125" s="10"/>
      <c r="X3125" s="10"/>
      <c r="Y3125" s="10"/>
      <c r="Z3125" s="10"/>
      <c r="AA3125" s="10"/>
      <c r="AB3125" s="10"/>
      <c r="AC3125" s="10"/>
      <c r="AD3125" s="10"/>
      <c r="AE3125" s="10"/>
      <c r="AF3125" s="10"/>
    </row>
    <row r="3126">
      <c r="A3126" s="7"/>
      <c r="B3126" s="26">
        <v>243.0</v>
      </c>
      <c r="C3126" s="27">
        <v>2.0</v>
      </c>
      <c r="D3126" s="8" t="s">
        <v>4107</v>
      </c>
      <c r="E3126" s="7">
        <v>3.0</v>
      </c>
      <c r="F3126" s="7" t="s">
        <v>320</v>
      </c>
      <c r="G3126" s="7" t="s">
        <v>313</v>
      </c>
      <c r="H3126" s="7" t="s">
        <v>312</v>
      </c>
      <c r="I3126" s="10"/>
      <c r="J3126" s="9" t="s">
        <v>4108</v>
      </c>
      <c r="K3126" s="12"/>
      <c r="L3126" s="12"/>
      <c r="M3126" s="10"/>
      <c r="N3126" s="10"/>
      <c r="O3126" s="10"/>
      <c r="P3126" s="10"/>
      <c r="Q3126" s="10"/>
      <c r="R3126" s="10"/>
      <c r="S3126" s="10"/>
      <c r="T3126" s="10"/>
      <c r="U3126" s="10"/>
      <c r="V3126" s="10"/>
      <c r="W3126" s="10"/>
      <c r="X3126" s="10"/>
      <c r="Y3126" s="10"/>
      <c r="Z3126" s="10"/>
      <c r="AA3126" s="10"/>
      <c r="AB3126" s="10"/>
      <c r="AC3126" s="10"/>
      <c r="AD3126" s="10"/>
      <c r="AE3126" s="10"/>
      <c r="AF3126" s="10"/>
    </row>
    <row r="3127">
      <c r="A3127" s="7"/>
      <c r="B3127" s="26">
        <v>243.0</v>
      </c>
      <c r="C3127" s="27">
        <v>3.0</v>
      </c>
      <c r="D3127" s="8" t="s">
        <v>4109</v>
      </c>
      <c r="E3127" s="7">
        <v>3.0</v>
      </c>
      <c r="F3127" s="7" t="s">
        <v>320</v>
      </c>
      <c r="G3127" s="7" t="s">
        <v>313</v>
      </c>
      <c r="H3127" s="7" t="s">
        <v>312</v>
      </c>
      <c r="I3127" s="10"/>
      <c r="J3127" s="9" t="s">
        <v>4110</v>
      </c>
      <c r="K3127" s="12"/>
      <c r="L3127" s="12"/>
      <c r="M3127" s="10"/>
      <c r="N3127" s="10"/>
      <c r="O3127" s="10"/>
      <c r="P3127" s="10"/>
      <c r="Q3127" s="10"/>
      <c r="R3127" s="10"/>
      <c r="S3127" s="10"/>
      <c r="T3127" s="10"/>
      <c r="U3127" s="10"/>
      <c r="V3127" s="10"/>
      <c r="W3127" s="10"/>
      <c r="X3127" s="10"/>
      <c r="Y3127" s="10"/>
      <c r="Z3127" s="10"/>
      <c r="AA3127" s="10"/>
      <c r="AB3127" s="10"/>
      <c r="AC3127" s="10"/>
      <c r="AD3127" s="10"/>
      <c r="AE3127" s="10"/>
      <c r="AF3127" s="10"/>
    </row>
    <row r="3128">
      <c r="A3128" s="7"/>
      <c r="B3128" s="26">
        <v>243.0</v>
      </c>
      <c r="C3128" s="27">
        <v>4.0</v>
      </c>
      <c r="D3128" s="8" t="s">
        <v>4111</v>
      </c>
      <c r="E3128" s="7">
        <v>0.0</v>
      </c>
      <c r="F3128" s="7"/>
      <c r="G3128" s="7" t="s">
        <v>313</v>
      </c>
      <c r="H3128" s="7" t="s">
        <v>312</v>
      </c>
      <c r="I3128" s="10"/>
      <c r="J3128" s="11"/>
      <c r="K3128" s="12"/>
      <c r="L3128" s="12"/>
      <c r="M3128" s="10"/>
      <c r="N3128" s="10"/>
      <c r="O3128" s="10"/>
      <c r="P3128" s="10"/>
      <c r="Q3128" s="10"/>
      <c r="R3128" s="10"/>
      <c r="S3128" s="10"/>
      <c r="T3128" s="10"/>
      <c r="U3128" s="10"/>
      <c r="V3128" s="10"/>
      <c r="W3128" s="10"/>
      <c r="X3128" s="10"/>
      <c r="Y3128" s="10"/>
      <c r="Z3128" s="10"/>
      <c r="AA3128" s="10"/>
      <c r="AB3128" s="10"/>
      <c r="AC3128" s="10"/>
      <c r="AD3128" s="10"/>
      <c r="AE3128" s="10"/>
      <c r="AF3128" s="10"/>
    </row>
    <row r="3129">
      <c r="A3129" s="7"/>
      <c r="B3129" s="26">
        <v>243.0</v>
      </c>
      <c r="C3129" s="27">
        <v>5.0</v>
      </c>
      <c r="D3129" s="8" t="s">
        <v>4112</v>
      </c>
      <c r="E3129" s="7">
        <v>0.0</v>
      </c>
      <c r="F3129" s="7"/>
      <c r="G3129" s="7" t="s">
        <v>313</v>
      </c>
      <c r="H3129" s="7" t="s">
        <v>312</v>
      </c>
      <c r="I3129" s="10"/>
      <c r="J3129" s="11"/>
      <c r="K3129" s="20" t="s">
        <v>4113</v>
      </c>
      <c r="L3129" s="12"/>
      <c r="M3129" s="10"/>
      <c r="N3129" s="10"/>
      <c r="O3129" s="10"/>
      <c r="P3129" s="10"/>
      <c r="Q3129" s="10"/>
      <c r="R3129" s="10"/>
      <c r="S3129" s="10"/>
      <c r="T3129" s="10"/>
      <c r="U3129" s="10"/>
      <c r="V3129" s="10"/>
      <c r="W3129" s="10"/>
      <c r="X3129" s="10"/>
      <c r="Y3129" s="10"/>
      <c r="Z3129" s="10"/>
      <c r="AA3129" s="10"/>
      <c r="AB3129" s="10"/>
      <c r="AC3129" s="10"/>
      <c r="AD3129" s="10"/>
      <c r="AE3129" s="10"/>
      <c r="AF3129" s="10"/>
    </row>
    <row r="3130">
      <c r="A3130" s="7"/>
      <c r="B3130" s="26">
        <v>243.0</v>
      </c>
      <c r="C3130" s="27">
        <v>6.0</v>
      </c>
      <c r="D3130" s="8" t="s">
        <v>4114</v>
      </c>
      <c r="E3130" s="7">
        <v>0.0</v>
      </c>
      <c r="F3130" s="7" t="s">
        <v>320</v>
      </c>
      <c r="G3130" s="7" t="s">
        <v>313</v>
      </c>
      <c r="H3130" s="7" t="s">
        <v>312</v>
      </c>
      <c r="I3130" s="7" t="s">
        <v>320</v>
      </c>
      <c r="J3130" s="9" t="s">
        <v>4115</v>
      </c>
      <c r="K3130" s="12"/>
      <c r="L3130" s="12"/>
      <c r="M3130" s="10"/>
      <c r="N3130" s="10"/>
      <c r="O3130" s="10"/>
      <c r="P3130" s="10"/>
      <c r="Q3130" s="10"/>
      <c r="R3130" s="10"/>
      <c r="S3130" s="10"/>
      <c r="T3130" s="10"/>
      <c r="U3130" s="10"/>
      <c r="V3130" s="10"/>
      <c r="W3130" s="10"/>
      <c r="X3130" s="10"/>
      <c r="Y3130" s="10"/>
      <c r="Z3130" s="10"/>
      <c r="AA3130" s="10"/>
      <c r="AB3130" s="10"/>
      <c r="AC3130" s="10"/>
      <c r="AD3130" s="10"/>
      <c r="AE3130" s="10"/>
      <c r="AF3130" s="10"/>
    </row>
    <row r="3131">
      <c r="A3131" s="7"/>
      <c r="B3131" s="26">
        <v>243.0</v>
      </c>
      <c r="C3131" s="27">
        <v>7.0</v>
      </c>
      <c r="D3131" s="8" t="s">
        <v>4116</v>
      </c>
      <c r="E3131" s="7">
        <v>0.0</v>
      </c>
      <c r="F3131" s="7" t="s">
        <v>320</v>
      </c>
      <c r="G3131" s="7" t="s">
        <v>313</v>
      </c>
      <c r="H3131" s="7" t="s">
        <v>312</v>
      </c>
      <c r="I3131" s="7" t="s">
        <v>320</v>
      </c>
      <c r="J3131" s="9" t="s">
        <v>4117</v>
      </c>
      <c r="K3131" s="12"/>
      <c r="L3131" s="12"/>
      <c r="M3131" s="10"/>
      <c r="N3131" s="10"/>
      <c r="O3131" s="10"/>
      <c r="P3131" s="10"/>
      <c r="Q3131" s="10"/>
      <c r="R3131" s="10"/>
      <c r="S3131" s="10"/>
      <c r="T3131" s="10"/>
      <c r="U3131" s="10"/>
      <c r="V3131" s="10"/>
      <c r="W3131" s="10"/>
      <c r="X3131" s="10"/>
      <c r="Y3131" s="10"/>
      <c r="Z3131" s="10"/>
      <c r="AA3131" s="10"/>
      <c r="AB3131" s="10"/>
      <c r="AC3131" s="10"/>
      <c r="AD3131" s="10"/>
      <c r="AE3131" s="10"/>
      <c r="AF3131" s="10"/>
    </row>
    <row r="3132">
      <c r="A3132" s="7"/>
      <c r="B3132" s="26">
        <v>243.0</v>
      </c>
      <c r="C3132" s="27">
        <v>8.0</v>
      </c>
      <c r="D3132" s="8" t="s">
        <v>4118</v>
      </c>
      <c r="E3132" s="7">
        <v>0.0</v>
      </c>
      <c r="F3132" s="7" t="s">
        <v>320</v>
      </c>
      <c r="G3132" s="7" t="s">
        <v>313</v>
      </c>
      <c r="H3132" s="7" t="s">
        <v>312</v>
      </c>
      <c r="I3132" s="7" t="s">
        <v>320</v>
      </c>
      <c r="J3132" s="9" t="s">
        <v>4119</v>
      </c>
      <c r="K3132" s="12"/>
      <c r="L3132" s="12"/>
      <c r="M3132" s="10"/>
      <c r="N3132" s="10"/>
      <c r="O3132" s="10"/>
      <c r="P3132" s="10"/>
      <c r="Q3132" s="10"/>
      <c r="R3132" s="10"/>
      <c r="S3132" s="10"/>
      <c r="T3132" s="10"/>
      <c r="U3132" s="10"/>
      <c r="V3132" s="10"/>
      <c r="W3132" s="10"/>
      <c r="X3132" s="10"/>
      <c r="Y3132" s="10"/>
      <c r="Z3132" s="10"/>
      <c r="AA3132" s="10"/>
      <c r="AB3132" s="10"/>
      <c r="AC3132" s="10"/>
      <c r="AD3132" s="10"/>
      <c r="AE3132" s="10"/>
      <c r="AF3132" s="10"/>
    </row>
    <row r="3133">
      <c r="A3133" s="7"/>
      <c r="B3133" s="26">
        <v>243.0</v>
      </c>
      <c r="C3133" s="27">
        <v>9.0</v>
      </c>
      <c r="D3133" s="8" t="s">
        <v>4120</v>
      </c>
      <c r="E3133" s="7">
        <v>0.0</v>
      </c>
      <c r="F3133" s="7"/>
      <c r="G3133" s="7" t="s">
        <v>313</v>
      </c>
      <c r="H3133" s="7" t="s">
        <v>312</v>
      </c>
      <c r="I3133" s="10"/>
      <c r="J3133" s="11"/>
      <c r="K3133" s="12"/>
      <c r="L3133" s="12"/>
      <c r="M3133" s="10"/>
      <c r="N3133" s="10"/>
      <c r="O3133" s="10"/>
      <c r="P3133" s="10"/>
      <c r="Q3133" s="10"/>
      <c r="R3133" s="10"/>
      <c r="S3133" s="10"/>
      <c r="T3133" s="10"/>
      <c r="U3133" s="10"/>
      <c r="V3133" s="10"/>
      <c r="W3133" s="10"/>
      <c r="X3133" s="10"/>
      <c r="Y3133" s="10"/>
      <c r="Z3133" s="10"/>
      <c r="AA3133" s="10"/>
      <c r="AB3133" s="10"/>
      <c r="AC3133" s="10"/>
      <c r="AD3133" s="10"/>
      <c r="AE3133" s="10"/>
      <c r="AF3133" s="10"/>
    </row>
    <row r="3134">
      <c r="A3134" s="7"/>
      <c r="B3134" s="26">
        <v>243.0</v>
      </c>
      <c r="C3134" s="27">
        <v>10.0</v>
      </c>
      <c r="D3134" s="8" t="s">
        <v>4121</v>
      </c>
      <c r="E3134" s="7">
        <v>0.0</v>
      </c>
      <c r="F3134" s="7"/>
      <c r="G3134" s="7" t="s">
        <v>313</v>
      </c>
      <c r="H3134" s="7" t="s">
        <v>312</v>
      </c>
      <c r="I3134" s="10"/>
      <c r="J3134" s="11"/>
      <c r="K3134" s="12"/>
      <c r="L3134" s="12"/>
      <c r="M3134" s="10"/>
      <c r="N3134" s="10"/>
      <c r="O3134" s="10"/>
      <c r="P3134" s="10"/>
      <c r="Q3134" s="10"/>
      <c r="R3134" s="10"/>
      <c r="S3134" s="10"/>
      <c r="T3134" s="10"/>
      <c r="U3134" s="10"/>
      <c r="V3134" s="10"/>
      <c r="W3134" s="10"/>
      <c r="X3134" s="10"/>
      <c r="Y3134" s="10"/>
      <c r="Z3134" s="10"/>
      <c r="AA3134" s="10"/>
      <c r="AB3134" s="10"/>
      <c r="AC3134" s="10"/>
      <c r="AD3134" s="10"/>
      <c r="AE3134" s="10"/>
      <c r="AF3134" s="10"/>
    </row>
    <row r="3135">
      <c r="A3135" s="7"/>
      <c r="B3135" s="26">
        <v>243.0</v>
      </c>
      <c r="C3135" s="27">
        <v>11.0</v>
      </c>
      <c r="D3135" s="8" t="s">
        <v>4122</v>
      </c>
      <c r="E3135" s="7">
        <v>3.0</v>
      </c>
      <c r="F3135" s="7" t="s">
        <v>320</v>
      </c>
      <c r="G3135" s="7" t="s">
        <v>313</v>
      </c>
      <c r="H3135" s="7" t="s">
        <v>312</v>
      </c>
      <c r="I3135" s="10"/>
      <c r="J3135" s="9" t="s">
        <v>4123</v>
      </c>
      <c r="K3135" s="12"/>
      <c r="L3135" s="12"/>
      <c r="M3135" s="10"/>
      <c r="N3135" s="10"/>
      <c r="O3135" s="10"/>
      <c r="P3135" s="10"/>
      <c r="Q3135" s="10"/>
      <c r="R3135" s="10"/>
      <c r="S3135" s="10"/>
      <c r="T3135" s="10"/>
      <c r="U3135" s="10"/>
      <c r="V3135" s="10"/>
      <c r="W3135" s="10"/>
      <c r="X3135" s="10"/>
      <c r="Y3135" s="10"/>
      <c r="Z3135" s="10"/>
      <c r="AA3135" s="10"/>
      <c r="AB3135" s="10"/>
      <c r="AC3135" s="10"/>
      <c r="AD3135" s="10"/>
      <c r="AE3135" s="10"/>
      <c r="AF3135" s="10"/>
    </row>
    <row r="3136">
      <c r="A3136" s="7"/>
      <c r="B3136" s="26">
        <v>243.0</v>
      </c>
      <c r="C3136" s="27">
        <v>12.0</v>
      </c>
      <c r="D3136" s="8" t="s">
        <v>4124</v>
      </c>
      <c r="E3136" s="7">
        <v>0.0</v>
      </c>
      <c r="F3136" s="7"/>
      <c r="G3136" s="7" t="s">
        <v>313</v>
      </c>
      <c r="H3136" s="7" t="s">
        <v>312</v>
      </c>
      <c r="I3136" s="10"/>
      <c r="J3136" s="9"/>
      <c r="K3136" s="12"/>
      <c r="L3136" s="12"/>
      <c r="M3136" s="10"/>
      <c r="N3136" s="10"/>
      <c r="O3136" s="10"/>
      <c r="P3136" s="10"/>
      <c r="Q3136" s="10"/>
      <c r="R3136" s="10"/>
      <c r="S3136" s="10"/>
      <c r="T3136" s="10"/>
      <c r="U3136" s="10"/>
      <c r="V3136" s="10"/>
      <c r="W3136" s="10"/>
      <c r="X3136" s="10"/>
      <c r="Y3136" s="10"/>
      <c r="Z3136" s="10"/>
      <c r="AA3136" s="10"/>
      <c r="AB3136" s="10"/>
      <c r="AC3136" s="10"/>
      <c r="AD3136" s="10"/>
      <c r="AE3136" s="10"/>
      <c r="AF3136" s="10"/>
    </row>
    <row r="3137">
      <c r="A3137" s="7"/>
      <c r="B3137" s="26">
        <v>243.0</v>
      </c>
      <c r="C3137" s="27">
        <v>13.0</v>
      </c>
      <c r="D3137" s="8" t="s">
        <v>4125</v>
      </c>
      <c r="E3137" s="7">
        <v>3.0</v>
      </c>
      <c r="F3137" s="7" t="s">
        <v>320</v>
      </c>
      <c r="G3137" s="7" t="s">
        <v>313</v>
      </c>
      <c r="H3137" s="7" t="s">
        <v>312</v>
      </c>
      <c r="I3137" s="10"/>
      <c r="J3137" s="9" t="s">
        <v>4126</v>
      </c>
      <c r="K3137" s="12"/>
      <c r="L3137" s="12"/>
      <c r="M3137" s="10"/>
      <c r="N3137" s="10"/>
      <c r="O3137" s="10"/>
      <c r="P3137" s="10"/>
      <c r="Q3137" s="10"/>
      <c r="R3137" s="10"/>
      <c r="S3137" s="10"/>
      <c r="T3137" s="10"/>
      <c r="U3137" s="10"/>
      <c r="V3137" s="10"/>
      <c r="W3137" s="10"/>
      <c r="X3137" s="10"/>
      <c r="Y3137" s="10"/>
      <c r="Z3137" s="10"/>
      <c r="AA3137" s="10"/>
      <c r="AB3137" s="10"/>
      <c r="AC3137" s="10"/>
      <c r="AD3137" s="10"/>
      <c r="AE3137" s="10"/>
      <c r="AF3137" s="10"/>
    </row>
    <row r="3138">
      <c r="A3138" s="7"/>
      <c r="B3138" s="26">
        <v>243.0</v>
      </c>
      <c r="C3138" s="27">
        <v>14.0</v>
      </c>
      <c r="D3138" s="8" t="s">
        <v>4127</v>
      </c>
      <c r="E3138" s="7">
        <v>0.0</v>
      </c>
      <c r="F3138" s="7"/>
      <c r="G3138" s="7" t="s">
        <v>313</v>
      </c>
      <c r="H3138" s="7" t="s">
        <v>312</v>
      </c>
      <c r="I3138" s="10"/>
      <c r="J3138" s="11"/>
      <c r="K3138" s="12"/>
      <c r="L3138" s="12"/>
      <c r="M3138" s="10"/>
      <c r="N3138" s="10"/>
      <c r="O3138" s="10"/>
      <c r="P3138" s="10"/>
      <c r="Q3138" s="10"/>
      <c r="R3138" s="10"/>
      <c r="S3138" s="10"/>
      <c r="T3138" s="10"/>
      <c r="U3138" s="10"/>
      <c r="V3138" s="10"/>
      <c r="W3138" s="10"/>
      <c r="X3138" s="10"/>
      <c r="Y3138" s="10"/>
      <c r="Z3138" s="10"/>
      <c r="AA3138" s="10"/>
      <c r="AB3138" s="10"/>
      <c r="AC3138" s="10"/>
      <c r="AD3138" s="10"/>
      <c r="AE3138" s="10"/>
      <c r="AF3138" s="10"/>
    </row>
    <row r="3139">
      <c r="A3139" s="7"/>
      <c r="B3139" s="26">
        <v>243.0</v>
      </c>
      <c r="C3139" s="27">
        <v>15.0</v>
      </c>
      <c r="D3139" s="8" t="s">
        <v>4128</v>
      </c>
      <c r="E3139" s="7">
        <v>0.0</v>
      </c>
      <c r="F3139" s="7"/>
      <c r="G3139" s="7" t="s">
        <v>313</v>
      </c>
      <c r="H3139" s="7" t="s">
        <v>312</v>
      </c>
      <c r="I3139" s="10"/>
      <c r="J3139" s="11"/>
      <c r="K3139" s="20" t="s">
        <v>4113</v>
      </c>
      <c r="L3139" s="12"/>
      <c r="M3139" s="10"/>
      <c r="N3139" s="10"/>
      <c r="O3139" s="10"/>
      <c r="P3139" s="10"/>
      <c r="Q3139" s="10"/>
      <c r="R3139" s="10"/>
      <c r="S3139" s="10"/>
      <c r="T3139" s="10"/>
      <c r="U3139" s="10"/>
      <c r="V3139" s="10"/>
      <c r="W3139" s="10"/>
      <c r="X3139" s="10"/>
      <c r="Y3139" s="10"/>
      <c r="Z3139" s="10"/>
      <c r="AA3139" s="10"/>
      <c r="AB3139" s="10"/>
      <c r="AC3139" s="10"/>
      <c r="AD3139" s="10"/>
      <c r="AE3139" s="10"/>
      <c r="AF3139" s="10"/>
    </row>
    <row r="3140">
      <c r="A3140" s="13" t="s">
        <v>244</v>
      </c>
      <c r="B3140" s="12"/>
      <c r="C3140" s="12"/>
      <c r="D3140" s="12"/>
      <c r="E3140" s="10"/>
      <c r="F3140" s="10"/>
      <c r="G3140" s="10"/>
      <c r="H3140" s="10"/>
      <c r="I3140" s="10"/>
      <c r="J3140" s="11"/>
      <c r="K3140" s="12"/>
      <c r="L3140" s="12"/>
      <c r="M3140" s="10"/>
      <c r="N3140" s="10"/>
      <c r="O3140" s="10"/>
      <c r="P3140" s="10"/>
      <c r="Q3140" s="10"/>
      <c r="R3140" s="10"/>
      <c r="S3140" s="10"/>
      <c r="T3140" s="10"/>
      <c r="U3140" s="10"/>
      <c r="V3140" s="10"/>
      <c r="W3140" s="10"/>
      <c r="X3140" s="10"/>
      <c r="Y3140" s="10"/>
      <c r="Z3140" s="10"/>
      <c r="AA3140" s="10"/>
      <c r="AB3140" s="10"/>
      <c r="AC3140" s="10"/>
      <c r="AD3140" s="10"/>
      <c r="AE3140" s="10"/>
      <c r="AF3140" s="10"/>
    </row>
    <row r="3141">
      <c r="A3141" s="7"/>
      <c r="B3141" s="26">
        <v>244.0</v>
      </c>
      <c r="C3141" s="27">
        <v>1.0</v>
      </c>
      <c r="D3141" s="8" t="s">
        <v>4129</v>
      </c>
      <c r="E3141" s="7">
        <v>0.0</v>
      </c>
      <c r="F3141" s="7"/>
      <c r="G3141" s="7" t="s">
        <v>313</v>
      </c>
      <c r="H3141" s="7" t="s">
        <v>312</v>
      </c>
      <c r="I3141" s="10"/>
      <c r="J3141" s="9"/>
      <c r="K3141" s="12"/>
      <c r="L3141" s="12"/>
      <c r="M3141" s="10"/>
      <c r="N3141" s="10"/>
      <c r="O3141" s="10"/>
      <c r="P3141" s="10"/>
      <c r="Q3141" s="10"/>
      <c r="R3141" s="10"/>
      <c r="S3141" s="10"/>
      <c r="T3141" s="10"/>
      <c r="U3141" s="10"/>
      <c r="V3141" s="10"/>
      <c r="W3141" s="10"/>
      <c r="X3141" s="10"/>
      <c r="Y3141" s="10"/>
      <c r="Z3141" s="10"/>
      <c r="AA3141" s="10"/>
      <c r="AB3141" s="10"/>
      <c r="AC3141" s="10"/>
      <c r="AD3141" s="10"/>
      <c r="AE3141" s="10"/>
      <c r="AF3141" s="10"/>
    </row>
    <row r="3142">
      <c r="A3142" s="7"/>
      <c r="B3142" s="26">
        <v>244.0</v>
      </c>
      <c r="C3142" s="27">
        <v>2.0</v>
      </c>
      <c r="D3142" s="8" t="s">
        <v>4130</v>
      </c>
      <c r="E3142" s="7">
        <v>2.0</v>
      </c>
      <c r="F3142" s="7" t="s">
        <v>320</v>
      </c>
      <c r="G3142" s="7" t="s">
        <v>313</v>
      </c>
      <c r="H3142" s="7" t="s">
        <v>312</v>
      </c>
      <c r="I3142" s="7" t="s">
        <v>320</v>
      </c>
      <c r="J3142" s="23" t="s">
        <v>4131</v>
      </c>
      <c r="K3142" s="8" t="s">
        <v>4132</v>
      </c>
      <c r="L3142" s="12"/>
      <c r="M3142" s="10"/>
      <c r="N3142" s="10"/>
      <c r="O3142" s="10"/>
      <c r="P3142" s="10"/>
      <c r="Q3142" s="10"/>
      <c r="R3142" s="10"/>
      <c r="S3142" s="10"/>
      <c r="T3142" s="10"/>
      <c r="U3142" s="10"/>
      <c r="V3142" s="10"/>
      <c r="W3142" s="10"/>
      <c r="X3142" s="10"/>
      <c r="Y3142" s="10"/>
      <c r="Z3142" s="10"/>
      <c r="AA3142" s="10"/>
      <c r="AB3142" s="10"/>
      <c r="AC3142" s="10"/>
      <c r="AD3142" s="10"/>
      <c r="AE3142" s="10"/>
      <c r="AF3142" s="10"/>
    </row>
    <row r="3143">
      <c r="A3143" s="7"/>
      <c r="B3143" s="26">
        <v>244.0</v>
      </c>
      <c r="C3143" s="27">
        <v>3.0</v>
      </c>
      <c r="D3143" s="8" t="s">
        <v>4133</v>
      </c>
      <c r="E3143" s="7">
        <v>3.0</v>
      </c>
      <c r="F3143" s="7"/>
      <c r="G3143" s="7" t="s">
        <v>313</v>
      </c>
      <c r="H3143" s="7" t="s">
        <v>312</v>
      </c>
      <c r="I3143" s="7" t="s">
        <v>4134</v>
      </c>
      <c r="J3143" s="16" t="s">
        <v>4135</v>
      </c>
      <c r="K3143" s="20" t="s">
        <v>4136</v>
      </c>
      <c r="L3143" s="12"/>
      <c r="M3143" s="10"/>
      <c r="N3143" s="10"/>
      <c r="O3143" s="10"/>
      <c r="P3143" s="10"/>
      <c r="Q3143" s="10"/>
      <c r="R3143" s="10"/>
      <c r="S3143" s="10"/>
      <c r="T3143" s="10"/>
      <c r="U3143" s="10"/>
      <c r="V3143" s="10"/>
      <c r="W3143" s="10"/>
      <c r="X3143" s="10"/>
      <c r="Y3143" s="10"/>
      <c r="Z3143" s="10"/>
      <c r="AA3143" s="10"/>
      <c r="AB3143" s="10"/>
      <c r="AC3143" s="10"/>
      <c r="AD3143" s="10"/>
      <c r="AE3143" s="10"/>
      <c r="AF3143" s="10"/>
    </row>
    <row r="3144">
      <c r="A3144" s="7"/>
      <c r="B3144" s="26">
        <v>244.0</v>
      </c>
      <c r="C3144" s="27">
        <v>4.0</v>
      </c>
      <c r="D3144" s="8" t="s">
        <v>4137</v>
      </c>
      <c r="E3144" s="7">
        <v>0.0</v>
      </c>
      <c r="F3144" s="7"/>
      <c r="G3144" s="7" t="s">
        <v>313</v>
      </c>
      <c r="H3144" s="7" t="s">
        <v>312</v>
      </c>
      <c r="I3144" s="10"/>
      <c r="J3144" s="11"/>
      <c r="K3144" s="12"/>
      <c r="L3144" s="12"/>
      <c r="M3144" s="10"/>
      <c r="N3144" s="10"/>
      <c r="O3144" s="10"/>
      <c r="P3144" s="10"/>
      <c r="Q3144" s="10"/>
      <c r="R3144" s="10"/>
      <c r="S3144" s="10"/>
      <c r="T3144" s="10"/>
      <c r="U3144" s="10"/>
      <c r="V3144" s="10"/>
      <c r="W3144" s="10"/>
      <c r="X3144" s="10"/>
      <c r="Y3144" s="10"/>
      <c r="Z3144" s="10"/>
      <c r="AA3144" s="10"/>
      <c r="AB3144" s="10"/>
      <c r="AC3144" s="10"/>
      <c r="AD3144" s="10"/>
      <c r="AE3144" s="10"/>
      <c r="AF3144" s="10"/>
    </row>
    <row r="3145">
      <c r="A3145" s="7"/>
      <c r="B3145" s="26">
        <v>244.0</v>
      </c>
      <c r="C3145" s="27">
        <v>5.0</v>
      </c>
      <c r="D3145" s="8" t="s">
        <v>4138</v>
      </c>
      <c r="E3145" s="7">
        <v>0.0</v>
      </c>
      <c r="F3145" s="7"/>
      <c r="G3145" s="7" t="s">
        <v>313</v>
      </c>
      <c r="H3145" s="7" t="s">
        <v>312</v>
      </c>
      <c r="I3145" s="10"/>
      <c r="J3145" s="11"/>
      <c r="K3145" s="12"/>
      <c r="L3145" s="12"/>
      <c r="M3145" s="10"/>
      <c r="N3145" s="10"/>
      <c r="O3145" s="10"/>
      <c r="P3145" s="10"/>
      <c r="Q3145" s="10"/>
      <c r="R3145" s="10"/>
      <c r="S3145" s="10"/>
      <c r="T3145" s="10"/>
      <c r="U3145" s="10"/>
      <c r="V3145" s="10"/>
      <c r="W3145" s="10"/>
      <c r="X3145" s="10"/>
      <c r="Y3145" s="10"/>
      <c r="Z3145" s="10"/>
      <c r="AA3145" s="10"/>
      <c r="AB3145" s="10"/>
      <c r="AC3145" s="10"/>
      <c r="AD3145" s="10"/>
      <c r="AE3145" s="10"/>
      <c r="AF3145" s="10"/>
    </row>
    <row r="3146">
      <c r="A3146" s="7"/>
      <c r="B3146" s="26">
        <v>244.0</v>
      </c>
      <c r="C3146" s="27">
        <v>6.0</v>
      </c>
      <c r="D3146" s="8" t="s">
        <v>4139</v>
      </c>
      <c r="E3146" s="7">
        <v>0.0</v>
      </c>
      <c r="F3146" s="7"/>
      <c r="G3146" s="7" t="s">
        <v>313</v>
      </c>
      <c r="H3146" s="7" t="s">
        <v>312</v>
      </c>
      <c r="I3146" s="10"/>
      <c r="J3146" s="11"/>
      <c r="K3146" s="12"/>
      <c r="L3146" s="12"/>
      <c r="M3146" s="10"/>
      <c r="N3146" s="10"/>
      <c r="O3146" s="10"/>
      <c r="P3146" s="10"/>
      <c r="Q3146" s="10"/>
      <c r="R3146" s="10"/>
      <c r="S3146" s="10"/>
      <c r="T3146" s="10"/>
      <c r="U3146" s="10"/>
      <c r="V3146" s="10"/>
      <c r="W3146" s="10"/>
      <c r="X3146" s="10"/>
      <c r="Y3146" s="10"/>
      <c r="Z3146" s="10"/>
      <c r="AA3146" s="10"/>
      <c r="AB3146" s="10"/>
      <c r="AC3146" s="10"/>
      <c r="AD3146" s="10"/>
      <c r="AE3146" s="10"/>
      <c r="AF3146" s="10"/>
    </row>
    <row r="3147">
      <c r="A3147" s="7"/>
      <c r="B3147" s="26">
        <v>244.0</v>
      </c>
      <c r="C3147" s="27">
        <v>7.0</v>
      </c>
      <c r="D3147" s="8" t="s">
        <v>4140</v>
      </c>
      <c r="E3147" s="7">
        <v>0.0</v>
      </c>
      <c r="F3147" s="7"/>
      <c r="G3147" s="7" t="s">
        <v>313</v>
      </c>
      <c r="H3147" s="7" t="s">
        <v>312</v>
      </c>
      <c r="I3147" s="10"/>
      <c r="J3147" s="11"/>
      <c r="K3147" s="12"/>
      <c r="L3147" s="12"/>
      <c r="M3147" s="10"/>
      <c r="N3147" s="10"/>
      <c r="O3147" s="10"/>
      <c r="P3147" s="10"/>
      <c r="Q3147" s="10"/>
      <c r="R3147" s="10"/>
      <c r="S3147" s="10"/>
      <c r="T3147" s="10"/>
      <c r="U3147" s="10"/>
      <c r="V3147" s="10"/>
      <c r="W3147" s="10"/>
      <c r="X3147" s="10"/>
      <c r="Y3147" s="10"/>
      <c r="Z3147" s="10"/>
      <c r="AA3147" s="10"/>
      <c r="AB3147" s="10"/>
      <c r="AC3147" s="10"/>
      <c r="AD3147" s="10"/>
      <c r="AE3147" s="10"/>
      <c r="AF3147" s="10"/>
    </row>
    <row r="3148">
      <c r="A3148" s="7"/>
      <c r="B3148" s="26">
        <v>244.0</v>
      </c>
      <c r="C3148" s="27">
        <v>8.0</v>
      </c>
      <c r="D3148" s="8" t="s">
        <v>4141</v>
      </c>
      <c r="E3148" s="7">
        <v>2.0</v>
      </c>
      <c r="F3148" s="7" t="s">
        <v>320</v>
      </c>
      <c r="G3148" s="7" t="s">
        <v>313</v>
      </c>
      <c r="H3148" s="7" t="s">
        <v>312</v>
      </c>
      <c r="I3148" s="10"/>
      <c r="J3148" s="23" t="s">
        <v>4142</v>
      </c>
      <c r="K3148" s="8" t="s">
        <v>4143</v>
      </c>
      <c r="L3148" s="12"/>
      <c r="M3148" s="10"/>
      <c r="N3148" s="10"/>
      <c r="O3148" s="10"/>
      <c r="P3148" s="10"/>
      <c r="Q3148" s="10"/>
      <c r="R3148" s="10"/>
      <c r="S3148" s="10"/>
      <c r="T3148" s="10"/>
      <c r="U3148" s="10"/>
      <c r="V3148" s="10"/>
      <c r="W3148" s="10"/>
      <c r="X3148" s="10"/>
      <c r="Y3148" s="10"/>
      <c r="Z3148" s="10"/>
      <c r="AA3148" s="10"/>
      <c r="AB3148" s="10"/>
      <c r="AC3148" s="10"/>
      <c r="AD3148" s="10"/>
      <c r="AE3148" s="10"/>
      <c r="AF3148" s="10"/>
    </row>
    <row r="3149">
      <c r="A3149" s="7"/>
      <c r="B3149" s="26">
        <v>244.0</v>
      </c>
      <c r="C3149" s="27">
        <v>9.0</v>
      </c>
      <c r="D3149" s="8" t="s">
        <v>4144</v>
      </c>
      <c r="E3149" s="7">
        <v>3.0</v>
      </c>
      <c r="F3149" s="7"/>
      <c r="G3149" s="7" t="s">
        <v>313</v>
      </c>
      <c r="H3149" s="7" t="s">
        <v>312</v>
      </c>
      <c r="I3149" s="7" t="s">
        <v>4134</v>
      </c>
      <c r="J3149" s="16" t="s">
        <v>4135</v>
      </c>
      <c r="K3149" s="20" t="s">
        <v>4136</v>
      </c>
      <c r="L3149" s="12"/>
      <c r="M3149" s="10"/>
      <c r="N3149" s="10"/>
      <c r="O3149" s="10"/>
      <c r="P3149" s="10"/>
      <c r="Q3149" s="10"/>
      <c r="R3149" s="10"/>
      <c r="S3149" s="10"/>
      <c r="T3149" s="10"/>
      <c r="U3149" s="10"/>
      <c r="V3149" s="10"/>
      <c r="W3149" s="10"/>
      <c r="X3149" s="10"/>
      <c r="Y3149" s="10"/>
      <c r="Z3149" s="10"/>
      <c r="AA3149" s="10"/>
      <c r="AB3149" s="10"/>
      <c r="AC3149" s="10"/>
      <c r="AD3149" s="10"/>
      <c r="AE3149" s="10"/>
      <c r="AF3149" s="10"/>
    </row>
    <row r="3150">
      <c r="A3150" s="7"/>
      <c r="B3150" s="26">
        <v>244.0</v>
      </c>
      <c r="C3150" s="27">
        <v>10.0</v>
      </c>
      <c r="D3150" s="8" t="s">
        <v>4145</v>
      </c>
      <c r="E3150" s="7">
        <v>0.0</v>
      </c>
      <c r="F3150" s="7"/>
      <c r="G3150" s="7" t="s">
        <v>313</v>
      </c>
      <c r="H3150" s="7" t="s">
        <v>312</v>
      </c>
      <c r="I3150" s="10"/>
      <c r="J3150" s="11"/>
      <c r="K3150" s="12"/>
      <c r="L3150" s="12"/>
      <c r="M3150" s="10"/>
      <c r="N3150" s="10"/>
      <c r="O3150" s="10"/>
      <c r="P3150" s="10"/>
      <c r="Q3150" s="10"/>
      <c r="R3150" s="10"/>
      <c r="S3150" s="10"/>
      <c r="T3150" s="10"/>
      <c r="U3150" s="10"/>
      <c r="V3150" s="10"/>
      <c r="W3150" s="10"/>
      <c r="X3150" s="10"/>
      <c r="Y3150" s="10"/>
      <c r="Z3150" s="10"/>
      <c r="AA3150" s="10"/>
      <c r="AB3150" s="10"/>
      <c r="AC3150" s="10"/>
      <c r="AD3150" s="10"/>
      <c r="AE3150" s="10"/>
      <c r="AF3150" s="10"/>
    </row>
    <row r="3151">
      <c r="A3151" s="7"/>
      <c r="B3151" s="26">
        <v>244.0</v>
      </c>
      <c r="C3151" s="27">
        <v>11.0</v>
      </c>
      <c r="D3151" s="8" t="s">
        <v>4146</v>
      </c>
      <c r="E3151" s="7">
        <v>0.0</v>
      </c>
      <c r="F3151" s="7"/>
      <c r="G3151" s="7" t="s">
        <v>313</v>
      </c>
      <c r="H3151" s="7" t="s">
        <v>312</v>
      </c>
      <c r="I3151" s="10"/>
      <c r="J3151" s="11"/>
      <c r="K3151" s="20" t="s">
        <v>4147</v>
      </c>
      <c r="L3151" s="12"/>
      <c r="M3151" s="10"/>
      <c r="N3151" s="10"/>
      <c r="O3151" s="10"/>
      <c r="P3151" s="10"/>
      <c r="Q3151" s="10"/>
      <c r="R3151" s="10"/>
      <c r="S3151" s="10"/>
      <c r="T3151" s="10"/>
      <c r="U3151" s="10"/>
      <c r="V3151" s="10"/>
      <c r="W3151" s="10"/>
      <c r="X3151" s="10"/>
      <c r="Y3151" s="10"/>
      <c r="Z3151" s="10"/>
      <c r="AA3151" s="10"/>
      <c r="AB3151" s="10"/>
      <c r="AC3151" s="10"/>
      <c r="AD3151" s="10"/>
      <c r="AE3151" s="10"/>
      <c r="AF3151" s="10"/>
    </row>
    <row r="3152">
      <c r="A3152" s="7"/>
      <c r="B3152" s="26">
        <v>244.0</v>
      </c>
      <c r="C3152" s="27">
        <v>12.0</v>
      </c>
      <c r="D3152" s="8" t="s">
        <v>4148</v>
      </c>
      <c r="E3152" s="7">
        <v>0.0</v>
      </c>
      <c r="F3152" s="7"/>
      <c r="G3152" s="7" t="s">
        <v>313</v>
      </c>
      <c r="H3152" s="7" t="s">
        <v>312</v>
      </c>
      <c r="I3152" s="10"/>
      <c r="J3152" s="11"/>
      <c r="K3152" s="20" t="s">
        <v>4147</v>
      </c>
      <c r="L3152" s="12"/>
      <c r="M3152" s="10"/>
      <c r="N3152" s="10"/>
      <c r="O3152" s="10"/>
      <c r="P3152" s="10"/>
      <c r="Q3152" s="10"/>
      <c r="R3152" s="10"/>
      <c r="S3152" s="10"/>
      <c r="T3152" s="10"/>
      <c r="U3152" s="10"/>
      <c r="V3152" s="10"/>
      <c r="W3152" s="10"/>
      <c r="X3152" s="10"/>
      <c r="Y3152" s="10"/>
      <c r="Z3152" s="10"/>
      <c r="AA3152" s="10"/>
      <c r="AB3152" s="10"/>
      <c r="AC3152" s="10"/>
      <c r="AD3152" s="10"/>
      <c r="AE3152" s="10"/>
      <c r="AF3152" s="10"/>
    </row>
    <row r="3153">
      <c r="A3153" s="7"/>
      <c r="B3153" s="26">
        <v>244.0</v>
      </c>
      <c r="C3153" s="27">
        <v>13.0</v>
      </c>
      <c r="D3153" s="8" t="s">
        <v>4149</v>
      </c>
      <c r="E3153" s="7">
        <v>0.0</v>
      </c>
      <c r="F3153" s="7"/>
      <c r="G3153" s="7" t="s">
        <v>313</v>
      </c>
      <c r="H3153" s="7" t="s">
        <v>312</v>
      </c>
      <c r="I3153" s="10"/>
      <c r="J3153" s="11"/>
      <c r="K3153" s="12"/>
      <c r="L3153" s="12"/>
      <c r="M3153" s="10"/>
      <c r="N3153" s="10"/>
      <c r="O3153" s="10"/>
      <c r="P3153" s="10"/>
      <c r="Q3153" s="10"/>
      <c r="R3153" s="10"/>
      <c r="S3153" s="10"/>
      <c r="T3153" s="10"/>
      <c r="U3153" s="10"/>
      <c r="V3153" s="10"/>
      <c r="W3153" s="10"/>
      <c r="X3153" s="10"/>
      <c r="Y3153" s="10"/>
      <c r="Z3153" s="10"/>
      <c r="AA3153" s="10"/>
      <c r="AB3153" s="10"/>
      <c r="AC3153" s="10"/>
      <c r="AD3153" s="10"/>
      <c r="AE3153" s="10"/>
      <c r="AF3153" s="10"/>
    </row>
    <row r="3154">
      <c r="A3154" s="7"/>
      <c r="B3154" s="26">
        <v>244.0</v>
      </c>
      <c r="C3154" s="27">
        <v>14.0</v>
      </c>
      <c r="D3154" s="8" t="s">
        <v>4150</v>
      </c>
      <c r="E3154" s="7">
        <v>0.0</v>
      </c>
      <c r="F3154" s="7"/>
      <c r="G3154" s="7" t="s">
        <v>313</v>
      </c>
      <c r="H3154" s="7" t="s">
        <v>312</v>
      </c>
      <c r="I3154" s="10"/>
      <c r="J3154" s="11"/>
      <c r="K3154" s="12"/>
      <c r="L3154" s="12"/>
      <c r="M3154" s="10"/>
      <c r="N3154" s="10"/>
      <c r="O3154" s="10"/>
      <c r="P3154" s="10"/>
      <c r="Q3154" s="10"/>
      <c r="R3154" s="10"/>
      <c r="S3154" s="10"/>
      <c r="T3154" s="10"/>
      <c r="U3154" s="10"/>
      <c r="V3154" s="10"/>
      <c r="W3154" s="10"/>
      <c r="X3154" s="10"/>
      <c r="Y3154" s="10"/>
      <c r="Z3154" s="10"/>
      <c r="AA3154" s="10"/>
      <c r="AB3154" s="10"/>
      <c r="AC3154" s="10"/>
      <c r="AD3154" s="10"/>
      <c r="AE3154" s="10"/>
      <c r="AF3154" s="10"/>
    </row>
    <row r="3155">
      <c r="A3155" s="7"/>
      <c r="B3155" s="26">
        <v>244.0</v>
      </c>
      <c r="C3155" s="27">
        <v>15.0</v>
      </c>
      <c r="D3155" s="8" t="s">
        <v>4151</v>
      </c>
      <c r="E3155" s="7">
        <v>3.0</v>
      </c>
      <c r="F3155" s="7" t="s">
        <v>320</v>
      </c>
      <c r="G3155" s="7" t="s">
        <v>313</v>
      </c>
      <c r="H3155" s="7" t="s">
        <v>312</v>
      </c>
      <c r="I3155" s="7" t="s">
        <v>366</v>
      </c>
      <c r="J3155" s="9" t="s">
        <v>4152</v>
      </c>
      <c r="K3155" s="12"/>
      <c r="L3155" s="12"/>
      <c r="M3155" s="10"/>
      <c r="N3155" s="10"/>
      <c r="O3155" s="10"/>
      <c r="P3155" s="10"/>
      <c r="Q3155" s="10"/>
      <c r="R3155" s="10"/>
      <c r="S3155" s="10"/>
      <c r="T3155" s="10"/>
      <c r="U3155" s="10"/>
      <c r="V3155" s="10"/>
      <c r="W3155" s="10"/>
      <c r="X3155" s="10"/>
      <c r="Y3155" s="10"/>
      <c r="Z3155" s="10"/>
      <c r="AA3155" s="10"/>
      <c r="AB3155" s="10"/>
      <c r="AC3155" s="10"/>
      <c r="AD3155" s="10"/>
      <c r="AE3155" s="10"/>
      <c r="AF3155" s="10"/>
    </row>
    <row r="3156">
      <c r="A3156" s="7"/>
      <c r="B3156" s="26">
        <v>244.0</v>
      </c>
      <c r="C3156" s="27">
        <v>16.0</v>
      </c>
      <c r="D3156" s="8" t="s">
        <v>4153</v>
      </c>
      <c r="E3156" s="7">
        <v>0.0</v>
      </c>
      <c r="F3156" s="7"/>
      <c r="G3156" s="7" t="s">
        <v>313</v>
      </c>
      <c r="H3156" s="7" t="s">
        <v>312</v>
      </c>
      <c r="I3156" s="10"/>
      <c r="J3156" s="11"/>
      <c r="K3156" s="12"/>
      <c r="L3156" s="12"/>
      <c r="M3156" s="10"/>
      <c r="N3156" s="10"/>
      <c r="O3156" s="10"/>
      <c r="P3156" s="10"/>
      <c r="Q3156" s="10"/>
      <c r="R3156" s="10"/>
      <c r="S3156" s="10"/>
      <c r="T3156" s="10"/>
      <c r="U3156" s="10"/>
      <c r="V3156" s="10"/>
      <c r="W3156" s="10"/>
      <c r="X3156" s="10"/>
      <c r="Y3156" s="10"/>
      <c r="Z3156" s="10"/>
      <c r="AA3156" s="10"/>
      <c r="AB3156" s="10"/>
      <c r="AC3156" s="10"/>
      <c r="AD3156" s="10"/>
      <c r="AE3156" s="10"/>
      <c r="AF3156" s="10"/>
    </row>
    <row r="3157">
      <c r="A3157" s="7"/>
      <c r="B3157" s="26">
        <v>244.0</v>
      </c>
      <c r="C3157" s="27">
        <v>17.0</v>
      </c>
      <c r="D3157" s="8" t="s">
        <v>4154</v>
      </c>
      <c r="E3157" s="7">
        <v>0.0</v>
      </c>
      <c r="F3157" s="7"/>
      <c r="G3157" s="7" t="s">
        <v>313</v>
      </c>
      <c r="H3157" s="7" t="s">
        <v>312</v>
      </c>
      <c r="I3157" s="10"/>
      <c r="J3157" s="11"/>
      <c r="K3157" s="12"/>
      <c r="L3157" s="12"/>
      <c r="M3157" s="10"/>
      <c r="N3157" s="10"/>
      <c r="O3157" s="10"/>
      <c r="P3157" s="10"/>
      <c r="Q3157" s="10"/>
      <c r="R3157" s="10"/>
      <c r="S3157" s="10"/>
      <c r="T3157" s="10"/>
      <c r="U3157" s="10"/>
      <c r="V3157" s="10"/>
      <c r="W3157" s="10"/>
      <c r="X3157" s="10"/>
      <c r="Y3157" s="10"/>
      <c r="Z3157" s="10"/>
      <c r="AA3157" s="10"/>
      <c r="AB3157" s="10"/>
      <c r="AC3157" s="10"/>
      <c r="AD3157" s="10"/>
      <c r="AE3157" s="10"/>
      <c r="AF3157" s="10"/>
    </row>
    <row r="3158">
      <c r="A3158" s="7"/>
      <c r="B3158" s="26">
        <v>244.0</v>
      </c>
      <c r="C3158" s="27">
        <v>18.0</v>
      </c>
      <c r="D3158" s="8" t="s">
        <v>4155</v>
      </c>
      <c r="E3158" s="7">
        <v>0.0</v>
      </c>
      <c r="F3158" s="7"/>
      <c r="G3158" s="7" t="s">
        <v>313</v>
      </c>
      <c r="H3158" s="7" t="s">
        <v>312</v>
      </c>
      <c r="I3158" s="10"/>
      <c r="J3158" s="11"/>
      <c r="K3158" s="12"/>
      <c r="L3158" s="12"/>
      <c r="M3158" s="10"/>
      <c r="N3158" s="10"/>
      <c r="O3158" s="10"/>
      <c r="P3158" s="10"/>
      <c r="Q3158" s="10"/>
      <c r="R3158" s="10"/>
      <c r="S3158" s="10"/>
      <c r="T3158" s="10"/>
      <c r="U3158" s="10"/>
      <c r="V3158" s="10"/>
      <c r="W3158" s="10"/>
      <c r="X3158" s="10"/>
      <c r="Y3158" s="10"/>
      <c r="Z3158" s="10"/>
      <c r="AA3158" s="10"/>
      <c r="AB3158" s="10"/>
      <c r="AC3158" s="10"/>
      <c r="AD3158" s="10"/>
      <c r="AE3158" s="10"/>
      <c r="AF3158" s="10"/>
    </row>
    <row r="3159">
      <c r="A3159" s="7"/>
      <c r="B3159" s="26">
        <v>244.0</v>
      </c>
      <c r="C3159" s="27">
        <v>19.0</v>
      </c>
      <c r="D3159" s="8" t="s">
        <v>4156</v>
      </c>
      <c r="E3159" s="7">
        <v>3.0</v>
      </c>
      <c r="F3159" s="7"/>
      <c r="G3159" s="7" t="s">
        <v>313</v>
      </c>
      <c r="H3159" s="7" t="s">
        <v>312</v>
      </c>
      <c r="I3159" s="10"/>
      <c r="J3159" s="11"/>
      <c r="K3159" s="12"/>
      <c r="L3159" s="12"/>
      <c r="M3159" s="10"/>
      <c r="N3159" s="10"/>
      <c r="O3159" s="10"/>
      <c r="P3159" s="10"/>
      <c r="Q3159" s="10"/>
      <c r="R3159" s="10"/>
      <c r="S3159" s="10"/>
      <c r="T3159" s="10"/>
      <c r="U3159" s="10"/>
      <c r="V3159" s="10"/>
      <c r="W3159" s="10"/>
      <c r="X3159" s="10"/>
      <c r="Y3159" s="10"/>
      <c r="Z3159" s="10"/>
      <c r="AA3159" s="10"/>
      <c r="AB3159" s="10"/>
      <c r="AC3159" s="10"/>
      <c r="AD3159" s="10"/>
      <c r="AE3159" s="10"/>
      <c r="AF3159" s="10"/>
    </row>
    <row r="3160">
      <c r="A3160" s="7"/>
      <c r="B3160" s="26">
        <v>244.0</v>
      </c>
      <c r="C3160" s="27">
        <v>20.0</v>
      </c>
      <c r="D3160" s="8" t="s">
        <v>4157</v>
      </c>
      <c r="E3160" s="7">
        <v>0.0</v>
      </c>
      <c r="F3160" s="7"/>
      <c r="G3160" s="7" t="s">
        <v>313</v>
      </c>
      <c r="H3160" s="7" t="s">
        <v>312</v>
      </c>
      <c r="I3160" s="10"/>
      <c r="J3160" s="11"/>
      <c r="K3160" s="20" t="s">
        <v>4158</v>
      </c>
      <c r="L3160" s="12"/>
      <c r="M3160" s="10"/>
      <c r="N3160" s="10"/>
      <c r="O3160" s="10"/>
      <c r="P3160" s="10"/>
      <c r="Q3160" s="10"/>
      <c r="R3160" s="10"/>
      <c r="S3160" s="10"/>
      <c r="T3160" s="10"/>
      <c r="U3160" s="10"/>
      <c r="V3160" s="10"/>
      <c r="W3160" s="10"/>
      <c r="X3160" s="10"/>
      <c r="Y3160" s="10"/>
      <c r="Z3160" s="10"/>
      <c r="AA3160" s="10"/>
      <c r="AB3160" s="10"/>
      <c r="AC3160" s="10"/>
      <c r="AD3160" s="10"/>
      <c r="AE3160" s="10"/>
      <c r="AF3160" s="10"/>
    </row>
    <row r="3161">
      <c r="A3161" s="7"/>
      <c r="B3161" s="26">
        <v>244.0</v>
      </c>
      <c r="C3161" s="27">
        <v>21.0</v>
      </c>
      <c r="D3161" s="8" t="s">
        <v>4159</v>
      </c>
      <c r="E3161" s="7">
        <v>0.0</v>
      </c>
      <c r="F3161" s="7"/>
      <c r="G3161" s="7" t="s">
        <v>313</v>
      </c>
      <c r="H3161" s="7" t="s">
        <v>312</v>
      </c>
      <c r="I3161" s="10"/>
      <c r="J3161" s="11"/>
      <c r="K3161" s="20" t="s">
        <v>4158</v>
      </c>
      <c r="L3161" s="12"/>
      <c r="M3161" s="10"/>
      <c r="N3161" s="10"/>
      <c r="O3161" s="10"/>
      <c r="P3161" s="10"/>
      <c r="Q3161" s="10"/>
      <c r="R3161" s="10"/>
      <c r="S3161" s="10"/>
      <c r="T3161" s="10"/>
      <c r="U3161" s="10"/>
      <c r="V3161" s="10"/>
      <c r="W3161" s="10"/>
      <c r="X3161" s="10"/>
      <c r="Y3161" s="10"/>
      <c r="Z3161" s="10"/>
      <c r="AA3161" s="10"/>
      <c r="AB3161" s="10"/>
      <c r="AC3161" s="10"/>
      <c r="AD3161" s="10"/>
      <c r="AE3161" s="10"/>
      <c r="AF3161" s="10"/>
    </row>
    <row r="3162">
      <c r="A3162" s="7"/>
      <c r="B3162" s="26">
        <v>244.0</v>
      </c>
      <c r="C3162" s="27">
        <v>22.0</v>
      </c>
      <c r="D3162" s="8" t="s">
        <v>4160</v>
      </c>
      <c r="E3162" s="7">
        <v>0.0</v>
      </c>
      <c r="F3162" s="7"/>
      <c r="G3162" s="7" t="s">
        <v>313</v>
      </c>
      <c r="H3162" s="7" t="s">
        <v>312</v>
      </c>
      <c r="I3162" s="10"/>
      <c r="J3162" s="11"/>
      <c r="K3162" s="12"/>
      <c r="L3162" s="12"/>
      <c r="M3162" s="10"/>
      <c r="N3162" s="10"/>
      <c r="O3162" s="10"/>
      <c r="P3162" s="10"/>
      <c r="Q3162" s="10"/>
      <c r="R3162" s="10"/>
      <c r="S3162" s="10"/>
      <c r="T3162" s="10"/>
      <c r="U3162" s="10"/>
      <c r="V3162" s="10"/>
      <c r="W3162" s="10"/>
      <c r="X3162" s="10"/>
      <c r="Y3162" s="10"/>
      <c r="Z3162" s="10"/>
      <c r="AA3162" s="10"/>
      <c r="AB3162" s="10"/>
      <c r="AC3162" s="10"/>
      <c r="AD3162" s="10"/>
      <c r="AE3162" s="10"/>
      <c r="AF3162" s="10"/>
    </row>
    <row r="3163">
      <c r="A3163" s="7"/>
      <c r="B3163" s="26">
        <v>244.0</v>
      </c>
      <c r="C3163" s="27">
        <v>23.0</v>
      </c>
      <c r="D3163" s="8" t="s">
        <v>4161</v>
      </c>
      <c r="E3163" s="7">
        <v>0.0</v>
      </c>
      <c r="F3163" s="7"/>
      <c r="G3163" s="7" t="s">
        <v>313</v>
      </c>
      <c r="H3163" s="7" t="s">
        <v>312</v>
      </c>
      <c r="I3163" s="10"/>
      <c r="J3163" s="11"/>
      <c r="K3163" s="20" t="s">
        <v>4147</v>
      </c>
      <c r="L3163" s="12"/>
      <c r="M3163" s="10"/>
      <c r="N3163" s="10"/>
      <c r="O3163" s="10"/>
      <c r="P3163" s="10"/>
      <c r="Q3163" s="10"/>
      <c r="R3163" s="10"/>
      <c r="S3163" s="10"/>
      <c r="T3163" s="10"/>
      <c r="U3163" s="10"/>
      <c r="V3163" s="10"/>
      <c r="W3163" s="10"/>
      <c r="X3163" s="10"/>
      <c r="Y3163" s="10"/>
      <c r="Z3163" s="10"/>
      <c r="AA3163" s="10"/>
      <c r="AB3163" s="10"/>
      <c r="AC3163" s="10"/>
      <c r="AD3163" s="10"/>
      <c r="AE3163" s="10"/>
      <c r="AF3163" s="10"/>
    </row>
    <row r="3164">
      <c r="A3164" s="7"/>
      <c r="B3164" s="26">
        <v>244.0</v>
      </c>
      <c r="C3164" s="27">
        <v>24.0</v>
      </c>
      <c r="D3164" s="8" t="s">
        <v>4162</v>
      </c>
      <c r="E3164" s="7">
        <v>0.0</v>
      </c>
      <c r="F3164" s="7"/>
      <c r="G3164" s="7" t="s">
        <v>313</v>
      </c>
      <c r="H3164" s="7" t="s">
        <v>312</v>
      </c>
      <c r="I3164" s="10"/>
      <c r="J3164" s="11"/>
      <c r="K3164" s="20" t="s">
        <v>4147</v>
      </c>
      <c r="L3164" s="12"/>
      <c r="M3164" s="10"/>
      <c r="N3164" s="10"/>
      <c r="O3164" s="10"/>
      <c r="P3164" s="10"/>
      <c r="Q3164" s="10"/>
      <c r="R3164" s="10"/>
      <c r="S3164" s="10"/>
      <c r="T3164" s="10"/>
      <c r="U3164" s="10"/>
      <c r="V3164" s="10"/>
      <c r="W3164" s="10"/>
      <c r="X3164" s="10"/>
      <c r="Y3164" s="10"/>
      <c r="Z3164" s="10"/>
      <c r="AA3164" s="10"/>
      <c r="AB3164" s="10"/>
      <c r="AC3164" s="10"/>
      <c r="AD3164" s="10"/>
      <c r="AE3164" s="10"/>
      <c r="AF3164" s="10"/>
    </row>
    <row r="3165">
      <c r="A3165" s="7"/>
      <c r="B3165" s="26">
        <v>244.0</v>
      </c>
      <c r="C3165" s="27">
        <v>25.0</v>
      </c>
      <c r="D3165" s="8" t="s">
        <v>4163</v>
      </c>
      <c r="E3165" s="7">
        <v>0.0</v>
      </c>
      <c r="F3165" s="7"/>
      <c r="G3165" s="7" t="s">
        <v>313</v>
      </c>
      <c r="H3165" s="7" t="s">
        <v>312</v>
      </c>
      <c r="I3165" s="10"/>
      <c r="J3165" s="11"/>
      <c r="K3165" s="12"/>
      <c r="L3165" s="12"/>
      <c r="M3165" s="10"/>
      <c r="N3165" s="10"/>
      <c r="O3165" s="10"/>
      <c r="P3165" s="10"/>
      <c r="Q3165" s="10"/>
      <c r="R3165" s="10"/>
      <c r="S3165" s="10"/>
      <c r="T3165" s="10"/>
      <c r="U3165" s="10"/>
      <c r="V3165" s="10"/>
      <c r="W3165" s="10"/>
      <c r="X3165" s="10"/>
      <c r="Y3165" s="10"/>
      <c r="Z3165" s="10"/>
      <c r="AA3165" s="10"/>
      <c r="AB3165" s="10"/>
      <c r="AC3165" s="10"/>
      <c r="AD3165" s="10"/>
      <c r="AE3165" s="10"/>
      <c r="AF3165" s="10"/>
    </row>
    <row r="3166">
      <c r="A3166" s="7"/>
      <c r="B3166" s="26">
        <v>244.0</v>
      </c>
      <c r="C3166" s="27">
        <v>26.0</v>
      </c>
      <c r="D3166" s="8" t="s">
        <v>4164</v>
      </c>
      <c r="E3166" s="7">
        <v>0.0</v>
      </c>
      <c r="F3166" s="7"/>
      <c r="G3166" s="7" t="s">
        <v>313</v>
      </c>
      <c r="H3166" s="7" t="s">
        <v>312</v>
      </c>
      <c r="I3166" s="10"/>
      <c r="J3166" s="11"/>
      <c r="K3166" s="12"/>
      <c r="L3166" s="12"/>
      <c r="M3166" s="10"/>
      <c r="N3166" s="10"/>
      <c r="O3166" s="10"/>
      <c r="P3166" s="10"/>
      <c r="Q3166" s="10"/>
      <c r="R3166" s="10"/>
      <c r="S3166" s="10"/>
      <c r="T3166" s="10"/>
      <c r="U3166" s="10"/>
      <c r="V3166" s="10"/>
      <c r="W3166" s="10"/>
      <c r="X3166" s="10"/>
      <c r="Y3166" s="10"/>
      <c r="Z3166" s="10"/>
      <c r="AA3166" s="10"/>
      <c r="AB3166" s="10"/>
      <c r="AC3166" s="10"/>
      <c r="AD3166" s="10"/>
      <c r="AE3166" s="10"/>
      <c r="AF3166" s="10"/>
    </row>
    <row r="3167">
      <c r="A3167" s="7"/>
      <c r="B3167" s="26">
        <v>244.0</v>
      </c>
      <c r="C3167" s="27">
        <v>27.0</v>
      </c>
      <c r="D3167" s="8" t="s">
        <v>4165</v>
      </c>
      <c r="E3167" s="7">
        <v>0.0</v>
      </c>
      <c r="F3167" s="7"/>
      <c r="G3167" s="7" t="s">
        <v>313</v>
      </c>
      <c r="H3167" s="7" t="s">
        <v>312</v>
      </c>
      <c r="I3167" s="10"/>
      <c r="J3167" s="11"/>
      <c r="K3167" s="12"/>
      <c r="L3167" s="12"/>
      <c r="M3167" s="10"/>
      <c r="N3167" s="10"/>
      <c r="O3167" s="10"/>
      <c r="P3167" s="10"/>
      <c r="Q3167" s="10"/>
      <c r="R3167" s="10"/>
      <c r="S3167" s="10"/>
      <c r="T3167" s="10"/>
      <c r="U3167" s="10"/>
      <c r="V3167" s="10"/>
      <c r="W3167" s="10"/>
      <c r="X3167" s="10"/>
      <c r="Y3167" s="10"/>
      <c r="Z3167" s="10"/>
      <c r="AA3167" s="10"/>
      <c r="AB3167" s="10"/>
      <c r="AC3167" s="10"/>
      <c r="AD3167" s="10"/>
      <c r="AE3167" s="10"/>
      <c r="AF3167" s="10"/>
    </row>
    <row r="3168">
      <c r="A3168" s="7"/>
      <c r="B3168" s="26">
        <v>244.0</v>
      </c>
      <c r="C3168" s="27">
        <v>28.0</v>
      </c>
      <c r="D3168" s="8" t="s">
        <v>4166</v>
      </c>
      <c r="E3168" s="7">
        <v>0.0</v>
      </c>
      <c r="F3168" s="7"/>
      <c r="G3168" s="7" t="s">
        <v>313</v>
      </c>
      <c r="H3168" s="7" t="s">
        <v>312</v>
      </c>
      <c r="I3168" s="10"/>
      <c r="J3168" s="11"/>
      <c r="K3168" s="12"/>
      <c r="L3168" s="12"/>
      <c r="M3168" s="10"/>
      <c r="N3168" s="10"/>
      <c r="O3168" s="10"/>
      <c r="P3168" s="10"/>
      <c r="Q3168" s="10"/>
      <c r="R3168" s="10"/>
      <c r="S3168" s="10"/>
      <c r="T3168" s="10"/>
      <c r="U3168" s="10"/>
      <c r="V3168" s="10"/>
      <c r="W3168" s="10"/>
      <c r="X3168" s="10"/>
      <c r="Y3168" s="10"/>
      <c r="Z3168" s="10"/>
      <c r="AA3168" s="10"/>
      <c r="AB3168" s="10"/>
      <c r="AC3168" s="10"/>
      <c r="AD3168" s="10"/>
      <c r="AE3168" s="10"/>
      <c r="AF3168" s="10"/>
    </row>
    <row r="3169">
      <c r="A3169" s="13" t="s">
        <v>245</v>
      </c>
      <c r="B3169" s="12"/>
      <c r="C3169" s="12"/>
      <c r="D3169" s="12"/>
      <c r="E3169" s="10"/>
      <c r="F3169" s="10"/>
      <c r="G3169" s="10"/>
      <c r="H3169" s="10"/>
      <c r="I3169" s="10"/>
      <c r="J3169" s="11"/>
      <c r="K3169" s="12"/>
      <c r="L3169" s="12"/>
      <c r="M3169" s="10"/>
      <c r="N3169" s="10"/>
      <c r="O3169" s="10"/>
      <c r="P3169" s="10"/>
      <c r="Q3169" s="10"/>
      <c r="R3169" s="10"/>
      <c r="S3169" s="10"/>
      <c r="T3169" s="10"/>
      <c r="U3169" s="10"/>
      <c r="V3169" s="10"/>
      <c r="W3169" s="10"/>
      <c r="X3169" s="10"/>
      <c r="Y3169" s="10"/>
      <c r="Z3169" s="10"/>
      <c r="AA3169" s="10"/>
      <c r="AB3169" s="10"/>
      <c r="AC3169" s="10"/>
      <c r="AD3169" s="10"/>
      <c r="AE3169" s="10"/>
      <c r="AF3169" s="10"/>
    </row>
    <row r="3170">
      <c r="A3170" s="7"/>
      <c r="B3170" s="26">
        <v>245.0</v>
      </c>
      <c r="C3170" s="27">
        <v>1.0</v>
      </c>
      <c r="D3170" s="8" t="s">
        <v>4167</v>
      </c>
      <c r="E3170" s="7">
        <v>0.0</v>
      </c>
      <c r="F3170" s="7"/>
      <c r="G3170" s="7" t="s">
        <v>313</v>
      </c>
      <c r="H3170" s="7" t="s">
        <v>312</v>
      </c>
      <c r="I3170" s="10"/>
      <c r="J3170" s="9" t="s">
        <v>4168</v>
      </c>
      <c r="K3170" s="12"/>
      <c r="L3170" s="12"/>
      <c r="M3170" s="10"/>
      <c r="N3170" s="10"/>
      <c r="O3170" s="10"/>
      <c r="P3170" s="10"/>
      <c r="Q3170" s="10"/>
      <c r="R3170" s="10"/>
      <c r="S3170" s="10"/>
      <c r="T3170" s="10"/>
      <c r="U3170" s="10"/>
      <c r="V3170" s="10"/>
      <c r="W3170" s="10"/>
      <c r="X3170" s="10"/>
      <c r="Y3170" s="10"/>
      <c r="Z3170" s="10"/>
      <c r="AA3170" s="10"/>
      <c r="AB3170" s="10"/>
      <c r="AC3170" s="10"/>
      <c r="AD3170" s="10"/>
      <c r="AE3170" s="10"/>
      <c r="AF3170" s="10"/>
    </row>
    <row r="3171">
      <c r="A3171" s="7"/>
      <c r="B3171" s="26">
        <v>245.0</v>
      </c>
      <c r="C3171" s="27">
        <v>2.0</v>
      </c>
      <c r="D3171" s="8" t="s">
        <v>4169</v>
      </c>
      <c r="E3171" s="7">
        <v>0.0</v>
      </c>
      <c r="F3171" s="7"/>
      <c r="G3171" s="7" t="s">
        <v>313</v>
      </c>
      <c r="H3171" s="7" t="s">
        <v>312</v>
      </c>
      <c r="I3171" s="10"/>
      <c r="J3171" s="9" t="s">
        <v>4170</v>
      </c>
      <c r="K3171" s="12"/>
      <c r="L3171" s="12"/>
      <c r="M3171" s="10"/>
      <c r="N3171" s="10"/>
      <c r="O3171" s="10"/>
      <c r="P3171" s="10"/>
      <c r="Q3171" s="10"/>
      <c r="R3171" s="10"/>
      <c r="S3171" s="10"/>
      <c r="T3171" s="10"/>
      <c r="U3171" s="10"/>
      <c r="V3171" s="10"/>
      <c r="W3171" s="10"/>
      <c r="X3171" s="10"/>
      <c r="Y3171" s="10"/>
      <c r="Z3171" s="10"/>
      <c r="AA3171" s="10"/>
      <c r="AB3171" s="10"/>
      <c r="AC3171" s="10"/>
      <c r="AD3171" s="10"/>
      <c r="AE3171" s="10"/>
      <c r="AF3171" s="10"/>
    </row>
    <row r="3172">
      <c r="A3172" s="7"/>
      <c r="B3172" s="26">
        <v>245.0</v>
      </c>
      <c r="C3172" s="27">
        <v>3.0</v>
      </c>
      <c r="D3172" s="8" t="s">
        <v>4171</v>
      </c>
      <c r="E3172" s="7">
        <v>0.0</v>
      </c>
      <c r="F3172" s="7"/>
      <c r="G3172" s="7" t="s">
        <v>313</v>
      </c>
      <c r="H3172" s="7" t="s">
        <v>312</v>
      </c>
      <c r="I3172" s="10"/>
      <c r="J3172" s="11"/>
      <c r="K3172" s="12"/>
      <c r="L3172" s="12"/>
      <c r="M3172" s="10"/>
      <c r="N3172" s="10"/>
      <c r="O3172" s="10"/>
      <c r="P3172" s="10"/>
      <c r="Q3172" s="10"/>
      <c r="R3172" s="10"/>
      <c r="S3172" s="10"/>
      <c r="T3172" s="10"/>
      <c r="U3172" s="10"/>
      <c r="V3172" s="10"/>
      <c r="W3172" s="10"/>
      <c r="X3172" s="10"/>
      <c r="Y3172" s="10"/>
      <c r="Z3172" s="10"/>
      <c r="AA3172" s="10"/>
      <c r="AB3172" s="10"/>
      <c r="AC3172" s="10"/>
      <c r="AD3172" s="10"/>
      <c r="AE3172" s="10"/>
      <c r="AF3172" s="10"/>
    </row>
    <row r="3173">
      <c r="A3173" s="7"/>
      <c r="B3173" s="26">
        <v>245.0</v>
      </c>
      <c r="C3173" s="27">
        <v>4.0</v>
      </c>
      <c r="D3173" s="8" t="s">
        <v>4172</v>
      </c>
      <c r="E3173" s="7">
        <v>0.0</v>
      </c>
      <c r="F3173" s="7"/>
      <c r="G3173" s="7" t="s">
        <v>313</v>
      </c>
      <c r="H3173" s="7" t="s">
        <v>312</v>
      </c>
      <c r="I3173" s="10"/>
      <c r="J3173" s="11"/>
      <c r="K3173" s="12"/>
      <c r="L3173" s="12"/>
      <c r="M3173" s="10"/>
      <c r="N3173" s="10"/>
      <c r="O3173" s="10"/>
      <c r="P3173" s="10"/>
      <c r="Q3173" s="10"/>
      <c r="R3173" s="10"/>
      <c r="S3173" s="10"/>
      <c r="T3173" s="10"/>
      <c r="U3173" s="10"/>
      <c r="V3173" s="10"/>
      <c r="W3173" s="10"/>
      <c r="X3173" s="10"/>
      <c r="Y3173" s="10"/>
      <c r="Z3173" s="10"/>
      <c r="AA3173" s="10"/>
      <c r="AB3173" s="10"/>
      <c r="AC3173" s="10"/>
      <c r="AD3173" s="10"/>
      <c r="AE3173" s="10"/>
      <c r="AF3173" s="10"/>
    </row>
    <row r="3174">
      <c r="A3174" s="7"/>
      <c r="B3174" s="26">
        <v>245.0</v>
      </c>
      <c r="C3174" s="27">
        <v>5.0</v>
      </c>
      <c r="D3174" s="8" t="s">
        <v>4173</v>
      </c>
      <c r="E3174" s="7">
        <v>0.0</v>
      </c>
      <c r="F3174" s="7"/>
      <c r="G3174" s="7" t="s">
        <v>313</v>
      </c>
      <c r="H3174" s="7" t="s">
        <v>312</v>
      </c>
      <c r="I3174" s="10"/>
      <c r="J3174" s="11"/>
      <c r="K3174" s="12"/>
      <c r="L3174" s="12"/>
      <c r="M3174" s="10"/>
      <c r="N3174" s="10"/>
      <c r="O3174" s="10"/>
      <c r="P3174" s="10"/>
      <c r="Q3174" s="10"/>
      <c r="R3174" s="10"/>
      <c r="S3174" s="10"/>
      <c r="T3174" s="10"/>
      <c r="U3174" s="10"/>
      <c r="V3174" s="10"/>
      <c r="W3174" s="10"/>
      <c r="X3174" s="10"/>
      <c r="Y3174" s="10"/>
      <c r="Z3174" s="10"/>
      <c r="AA3174" s="10"/>
      <c r="AB3174" s="10"/>
      <c r="AC3174" s="10"/>
      <c r="AD3174" s="10"/>
      <c r="AE3174" s="10"/>
      <c r="AF3174" s="10"/>
    </row>
    <row r="3175">
      <c r="A3175" s="7"/>
      <c r="B3175" s="26">
        <v>245.0</v>
      </c>
      <c r="C3175" s="27">
        <v>6.0</v>
      </c>
      <c r="D3175" s="8" t="s">
        <v>4174</v>
      </c>
      <c r="E3175" s="7">
        <v>0.0</v>
      </c>
      <c r="F3175" s="7"/>
      <c r="G3175" s="7" t="s">
        <v>313</v>
      </c>
      <c r="H3175" s="7" t="s">
        <v>312</v>
      </c>
      <c r="I3175" s="10"/>
      <c r="J3175" s="11"/>
      <c r="K3175" s="12"/>
      <c r="L3175" s="12"/>
      <c r="M3175" s="10"/>
      <c r="N3175" s="10"/>
      <c r="O3175" s="10"/>
      <c r="P3175" s="10"/>
      <c r="Q3175" s="10"/>
      <c r="R3175" s="10"/>
      <c r="S3175" s="10"/>
      <c r="T3175" s="10"/>
      <c r="U3175" s="10"/>
      <c r="V3175" s="10"/>
      <c r="W3175" s="10"/>
      <c r="X3175" s="10"/>
      <c r="Y3175" s="10"/>
      <c r="Z3175" s="10"/>
      <c r="AA3175" s="10"/>
      <c r="AB3175" s="10"/>
      <c r="AC3175" s="10"/>
      <c r="AD3175" s="10"/>
      <c r="AE3175" s="10"/>
      <c r="AF3175" s="10"/>
    </row>
    <row r="3176">
      <c r="A3176" s="7"/>
      <c r="B3176" s="26">
        <v>245.0</v>
      </c>
      <c r="C3176" s="27">
        <v>7.0</v>
      </c>
      <c r="D3176" s="8" t="s">
        <v>4175</v>
      </c>
      <c r="E3176" s="7">
        <v>0.0</v>
      </c>
      <c r="F3176" s="7"/>
      <c r="G3176" s="7" t="s">
        <v>313</v>
      </c>
      <c r="H3176" s="7" t="s">
        <v>312</v>
      </c>
      <c r="I3176" s="10"/>
      <c r="J3176" s="11"/>
      <c r="K3176" s="12"/>
      <c r="L3176" s="12"/>
      <c r="M3176" s="10"/>
      <c r="N3176" s="10"/>
      <c r="O3176" s="10"/>
      <c r="P3176" s="10"/>
      <c r="Q3176" s="10"/>
      <c r="R3176" s="10"/>
      <c r="S3176" s="10"/>
      <c r="T3176" s="10"/>
      <c r="U3176" s="10"/>
      <c r="V3176" s="10"/>
      <c r="W3176" s="10"/>
      <c r="X3176" s="10"/>
      <c r="Y3176" s="10"/>
      <c r="Z3176" s="10"/>
      <c r="AA3176" s="10"/>
      <c r="AB3176" s="10"/>
      <c r="AC3176" s="10"/>
      <c r="AD3176" s="10"/>
      <c r="AE3176" s="10"/>
      <c r="AF3176" s="10"/>
    </row>
    <row r="3177">
      <c r="A3177" s="7"/>
      <c r="B3177" s="26">
        <v>245.0</v>
      </c>
      <c r="C3177" s="27">
        <v>8.0</v>
      </c>
      <c r="D3177" s="8" t="s">
        <v>4176</v>
      </c>
      <c r="E3177" s="7">
        <v>0.0</v>
      </c>
      <c r="F3177" s="7"/>
      <c r="G3177" s="7" t="s">
        <v>313</v>
      </c>
      <c r="H3177" s="7" t="s">
        <v>312</v>
      </c>
      <c r="I3177" s="10"/>
      <c r="J3177" s="11"/>
      <c r="K3177" s="12"/>
      <c r="L3177" s="12"/>
      <c r="M3177" s="10"/>
      <c r="N3177" s="10"/>
      <c r="O3177" s="10"/>
      <c r="P3177" s="10"/>
      <c r="Q3177" s="10"/>
      <c r="R3177" s="10"/>
      <c r="S3177" s="10"/>
      <c r="T3177" s="10"/>
      <c r="U3177" s="10"/>
      <c r="V3177" s="10"/>
      <c r="W3177" s="10"/>
      <c r="X3177" s="10"/>
      <c r="Y3177" s="10"/>
      <c r="Z3177" s="10"/>
      <c r="AA3177" s="10"/>
      <c r="AB3177" s="10"/>
      <c r="AC3177" s="10"/>
      <c r="AD3177" s="10"/>
      <c r="AE3177" s="10"/>
      <c r="AF3177" s="10"/>
    </row>
    <row r="3178">
      <c r="A3178" s="7"/>
      <c r="B3178" s="26">
        <v>245.0</v>
      </c>
      <c r="C3178" s="27">
        <v>9.0</v>
      </c>
      <c r="D3178" s="8" t="s">
        <v>4177</v>
      </c>
      <c r="E3178" s="7">
        <v>0.0</v>
      </c>
      <c r="F3178" s="7"/>
      <c r="G3178" s="7" t="s">
        <v>313</v>
      </c>
      <c r="H3178" s="7" t="s">
        <v>312</v>
      </c>
      <c r="I3178" s="10"/>
      <c r="J3178" s="11"/>
      <c r="K3178" s="12"/>
      <c r="L3178" s="12"/>
      <c r="M3178" s="10"/>
      <c r="N3178" s="10"/>
      <c r="O3178" s="10"/>
      <c r="P3178" s="10"/>
      <c r="Q3178" s="10"/>
      <c r="R3178" s="10"/>
      <c r="S3178" s="10"/>
      <c r="T3178" s="10"/>
      <c r="U3178" s="10"/>
      <c r="V3178" s="10"/>
      <c r="W3178" s="10"/>
      <c r="X3178" s="10"/>
      <c r="Y3178" s="10"/>
      <c r="Z3178" s="10"/>
      <c r="AA3178" s="10"/>
      <c r="AB3178" s="10"/>
      <c r="AC3178" s="10"/>
      <c r="AD3178" s="10"/>
      <c r="AE3178" s="10"/>
      <c r="AF3178" s="10"/>
    </row>
    <row r="3179">
      <c r="A3179" s="7"/>
      <c r="B3179" s="26">
        <v>245.0</v>
      </c>
      <c r="C3179" s="27">
        <v>10.0</v>
      </c>
      <c r="D3179" s="8" t="s">
        <v>4178</v>
      </c>
      <c r="E3179" s="7">
        <v>3.0</v>
      </c>
      <c r="F3179" s="7" t="s">
        <v>320</v>
      </c>
      <c r="G3179" s="7" t="s">
        <v>313</v>
      </c>
      <c r="H3179" s="7" t="s">
        <v>312</v>
      </c>
      <c r="I3179" s="7" t="s">
        <v>366</v>
      </c>
      <c r="J3179" s="9" t="s">
        <v>4179</v>
      </c>
      <c r="K3179" s="12"/>
      <c r="L3179" s="12"/>
      <c r="M3179" s="10"/>
      <c r="N3179" s="10"/>
      <c r="O3179" s="10"/>
      <c r="P3179" s="10"/>
      <c r="Q3179" s="10"/>
      <c r="R3179" s="10"/>
      <c r="S3179" s="10"/>
      <c r="T3179" s="10"/>
      <c r="U3179" s="10"/>
      <c r="V3179" s="10"/>
      <c r="W3179" s="10"/>
      <c r="X3179" s="10"/>
      <c r="Y3179" s="10"/>
      <c r="Z3179" s="10"/>
      <c r="AA3179" s="10"/>
      <c r="AB3179" s="10"/>
      <c r="AC3179" s="10"/>
      <c r="AD3179" s="10"/>
      <c r="AE3179" s="10"/>
      <c r="AF3179" s="10"/>
    </row>
    <row r="3180">
      <c r="A3180" s="7"/>
      <c r="B3180" s="26">
        <v>245.0</v>
      </c>
      <c r="C3180" s="27">
        <v>11.0</v>
      </c>
      <c r="D3180" s="8" t="s">
        <v>4180</v>
      </c>
      <c r="E3180" s="7">
        <v>0.0</v>
      </c>
      <c r="F3180" s="7"/>
      <c r="G3180" s="7" t="s">
        <v>313</v>
      </c>
      <c r="H3180" s="7" t="s">
        <v>312</v>
      </c>
      <c r="I3180" s="10"/>
      <c r="J3180" s="11"/>
      <c r="K3180" s="12"/>
      <c r="L3180" s="12"/>
      <c r="M3180" s="10"/>
      <c r="N3180" s="10"/>
      <c r="O3180" s="10"/>
      <c r="P3180" s="10"/>
      <c r="Q3180" s="10"/>
      <c r="R3180" s="10"/>
      <c r="S3180" s="10"/>
      <c r="T3180" s="10"/>
      <c r="U3180" s="10"/>
      <c r="V3180" s="10"/>
      <c r="W3180" s="10"/>
      <c r="X3180" s="10"/>
      <c r="Y3180" s="10"/>
      <c r="Z3180" s="10"/>
      <c r="AA3180" s="10"/>
      <c r="AB3180" s="10"/>
      <c r="AC3180" s="10"/>
      <c r="AD3180" s="10"/>
      <c r="AE3180" s="10"/>
      <c r="AF3180" s="10"/>
    </row>
    <row r="3181">
      <c r="A3181" s="7"/>
      <c r="B3181" s="26">
        <v>245.0</v>
      </c>
      <c r="C3181" s="27">
        <v>12.0</v>
      </c>
      <c r="D3181" s="8" t="s">
        <v>4181</v>
      </c>
      <c r="E3181" s="7">
        <v>3.0</v>
      </c>
      <c r="F3181" s="7" t="s">
        <v>320</v>
      </c>
      <c r="G3181" s="7" t="s">
        <v>313</v>
      </c>
      <c r="H3181" s="7" t="s">
        <v>312</v>
      </c>
      <c r="I3181" s="7" t="s">
        <v>366</v>
      </c>
      <c r="J3181" s="16" t="s">
        <v>4182</v>
      </c>
      <c r="K3181" s="12"/>
      <c r="L3181" s="12"/>
      <c r="M3181" s="10"/>
      <c r="N3181" s="10"/>
      <c r="O3181" s="10"/>
      <c r="P3181" s="10"/>
      <c r="Q3181" s="10"/>
      <c r="R3181" s="10"/>
      <c r="S3181" s="10"/>
      <c r="T3181" s="10"/>
      <c r="U3181" s="10"/>
      <c r="V3181" s="10"/>
      <c r="W3181" s="10"/>
      <c r="X3181" s="10"/>
      <c r="Y3181" s="10"/>
      <c r="Z3181" s="10"/>
      <c r="AA3181" s="10"/>
      <c r="AB3181" s="10"/>
      <c r="AC3181" s="10"/>
      <c r="AD3181" s="10"/>
      <c r="AE3181" s="10"/>
      <c r="AF3181" s="10"/>
    </row>
    <row r="3182">
      <c r="A3182" s="7"/>
      <c r="B3182" s="26">
        <v>245.0</v>
      </c>
      <c r="C3182" s="27">
        <v>13.0</v>
      </c>
      <c r="D3182" s="8" t="s">
        <v>4183</v>
      </c>
      <c r="E3182" s="7">
        <v>0.0</v>
      </c>
      <c r="F3182" s="7"/>
      <c r="G3182" s="7" t="s">
        <v>313</v>
      </c>
      <c r="H3182" s="7" t="s">
        <v>312</v>
      </c>
      <c r="I3182" s="10"/>
      <c r="J3182" s="11"/>
      <c r="K3182" s="12"/>
      <c r="L3182" s="12"/>
      <c r="M3182" s="10"/>
      <c r="N3182" s="10"/>
      <c r="O3182" s="10"/>
      <c r="P3182" s="10"/>
      <c r="Q3182" s="10"/>
      <c r="R3182" s="10"/>
      <c r="S3182" s="10"/>
      <c r="T3182" s="10"/>
      <c r="U3182" s="10"/>
      <c r="V3182" s="10"/>
      <c r="W3182" s="10"/>
      <c r="X3182" s="10"/>
      <c r="Y3182" s="10"/>
      <c r="Z3182" s="10"/>
      <c r="AA3182" s="10"/>
      <c r="AB3182" s="10"/>
      <c r="AC3182" s="10"/>
      <c r="AD3182" s="10"/>
      <c r="AE3182" s="10"/>
      <c r="AF3182" s="10"/>
    </row>
    <row r="3183">
      <c r="A3183" s="7"/>
      <c r="B3183" s="26">
        <v>245.0</v>
      </c>
      <c r="C3183" s="27">
        <v>14.0</v>
      </c>
      <c r="D3183" s="8" t="s">
        <v>4184</v>
      </c>
      <c r="E3183" s="7">
        <v>3.0</v>
      </c>
      <c r="F3183" s="7" t="s">
        <v>320</v>
      </c>
      <c r="G3183" s="7" t="s">
        <v>313</v>
      </c>
      <c r="H3183" s="7" t="s">
        <v>312</v>
      </c>
      <c r="I3183" s="7" t="s">
        <v>366</v>
      </c>
      <c r="J3183" s="16" t="s">
        <v>4182</v>
      </c>
      <c r="K3183" s="12"/>
      <c r="L3183" s="12"/>
      <c r="M3183" s="10"/>
      <c r="N3183" s="10"/>
      <c r="O3183" s="10"/>
      <c r="P3183" s="10"/>
      <c r="Q3183" s="10"/>
      <c r="R3183" s="10"/>
      <c r="S3183" s="10"/>
      <c r="T3183" s="10"/>
      <c r="U3183" s="10"/>
      <c r="V3183" s="10"/>
      <c r="W3183" s="10"/>
      <c r="X3183" s="10"/>
      <c r="Y3183" s="10"/>
      <c r="Z3183" s="10"/>
      <c r="AA3183" s="10"/>
      <c r="AB3183" s="10"/>
      <c r="AC3183" s="10"/>
      <c r="AD3183" s="10"/>
      <c r="AE3183" s="10"/>
      <c r="AF3183" s="10"/>
    </row>
    <row r="3184">
      <c r="A3184" s="7"/>
      <c r="B3184" s="26">
        <v>245.0</v>
      </c>
      <c r="C3184" s="27">
        <v>15.0</v>
      </c>
      <c r="D3184" s="8" t="s">
        <v>4185</v>
      </c>
      <c r="E3184" s="7">
        <v>3.0</v>
      </c>
      <c r="F3184" s="7" t="s">
        <v>320</v>
      </c>
      <c r="G3184" s="7" t="s">
        <v>313</v>
      </c>
      <c r="H3184" s="7" t="s">
        <v>312</v>
      </c>
      <c r="I3184" s="7" t="s">
        <v>366</v>
      </c>
      <c r="J3184" s="16" t="s">
        <v>4182</v>
      </c>
      <c r="K3184" s="12"/>
      <c r="L3184" s="12"/>
      <c r="M3184" s="10"/>
      <c r="N3184" s="10"/>
      <c r="O3184" s="10"/>
      <c r="P3184" s="10"/>
      <c r="Q3184" s="10"/>
      <c r="R3184" s="10"/>
      <c r="S3184" s="10"/>
      <c r="T3184" s="10"/>
      <c r="U3184" s="10"/>
      <c r="V3184" s="10"/>
      <c r="W3184" s="10"/>
      <c r="X3184" s="10"/>
      <c r="Y3184" s="10"/>
      <c r="Z3184" s="10"/>
      <c r="AA3184" s="10"/>
      <c r="AB3184" s="10"/>
      <c r="AC3184" s="10"/>
      <c r="AD3184" s="10"/>
      <c r="AE3184" s="10"/>
      <c r="AF3184" s="10"/>
    </row>
    <row r="3185">
      <c r="A3185" s="7"/>
      <c r="B3185" s="26">
        <v>245.0</v>
      </c>
      <c r="C3185" s="27">
        <v>16.0</v>
      </c>
      <c r="D3185" s="8" t="s">
        <v>4186</v>
      </c>
      <c r="E3185" s="7">
        <v>3.0</v>
      </c>
      <c r="F3185" s="7" t="s">
        <v>320</v>
      </c>
      <c r="G3185" s="7" t="s">
        <v>313</v>
      </c>
      <c r="H3185" s="7" t="s">
        <v>312</v>
      </c>
      <c r="I3185" s="7" t="s">
        <v>366</v>
      </c>
      <c r="J3185" s="9" t="s">
        <v>4187</v>
      </c>
      <c r="K3185" s="12"/>
      <c r="L3185" s="12"/>
      <c r="M3185" s="10"/>
      <c r="N3185" s="10"/>
      <c r="O3185" s="10"/>
      <c r="P3185" s="10"/>
      <c r="Q3185" s="10"/>
      <c r="R3185" s="10"/>
      <c r="S3185" s="10"/>
      <c r="T3185" s="10"/>
      <c r="U3185" s="10"/>
      <c r="V3185" s="10"/>
      <c r="W3185" s="10"/>
      <c r="X3185" s="10"/>
      <c r="Y3185" s="10"/>
      <c r="Z3185" s="10"/>
      <c r="AA3185" s="10"/>
      <c r="AB3185" s="10"/>
      <c r="AC3185" s="10"/>
      <c r="AD3185" s="10"/>
      <c r="AE3185" s="10"/>
      <c r="AF3185" s="10"/>
    </row>
    <row r="3186">
      <c r="A3186" s="7"/>
      <c r="B3186" s="26">
        <v>245.0</v>
      </c>
      <c r="C3186" s="27">
        <v>17.0</v>
      </c>
      <c r="D3186" s="8" t="s">
        <v>4188</v>
      </c>
      <c r="E3186" s="7">
        <v>0.0</v>
      </c>
      <c r="F3186" s="7"/>
      <c r="G3186" s="7" t="s">
        <v>313</v>
      </c>
      <c r="H3186" s="7" t="s">
        <v>312</v>
      </c>
      <c r="I3186" s="10"/>
      <c r="J3186" s="11"/>
      <c r="K3186" s="12"/>
      <c r="L3186" s="12"/>
      <c r="M3186" s="10"/>
      <c r="N3186" s="10"/>
      <c r="O3186" s="10"/>
      <c r="P3186" s="10"/>
      <c r="Q3186" s="10"/>
      <c r="R3186" s="10"/>
      <c r="S3186" s="10"/>
      <c r="T3186" s="10"/>
      <c r="U3186" s="10"/>
      <c r="V3186" s="10"/>
      <c r="W3186" s="10"/>
      <c r="X3186" s="10"/>
      <c r="Y3186" s="10"/>
      <c r="Z3186" s="10"/>
      <c r="AA3186" s="10"/>
      <c r="AB3186" s="10"/>
      <c r="AC3186" s="10"/>
      <c r="AD3186" s="10"/>
      <c r="AE3186" s="10"/>
      <c r="AF3186" s="10"/>
    </row>
    <row r="3187">
      <c r="A3187" s="7"/>
      <c r="B3187" s="26">
        <v>245.0</v>
      </c>
      <c r="C3187" s="27">
        <v>18.0</v>
      </c>
      <c r="D3187" s="8" t="s">
        <v>4189</v>
      </c>
      <c r="E3187" s="7">
        <v>3.0</v>
      </c>
      <c r="F3187" s="7" t="s">
        <v>320</v>
      </c>
      <c r="G3187" s="7" t="s">
        <v>313</v>
      </c>
      <c r="H3187" s="7" t="s">
        <v>312</v>
      </c>
      <c r="I3187" s="7" t="s">
        <v>366</v>
      </c>
      <c r="J3187" s="34" t="s">
        <v>4190</v>
      </c>
      <c r="K3187" s="12"/>
      <c r="L3187" s="12"/>
      <c r="M3187" s="10"/>
      <c r="N3187" s="10"/>
      <c r="O3187" s="10"/>
      <c r="P3187" s="10"/>
      <c r="Q3187" s="10"/>
      <c r="R3187" s="10"/>
      <c r="S3187" s="10"/>
      <c r="T3187" s="10"/>
      <c r="U3187" s="10"/>
      <c r="V3187" s="10"/>
      <c r="W3187" s="10"/>
      <c r="X3187" s="10"/>
      <c r="Y3187" s="10"/>
      <c r="Z3187" s="10"/>
      <c r="AA3187" s="10"/>
      <c r="AB3187" s="10"/>
      <c r="AC3187" s="10"/>
      <c r="AD3187" s="10"/>
      <c r="AE3187" s="10"/>
      <c r="AF3187" s="10"/>
    </row>
    <row r="3188">
      <c r="A3188" s="7"/>
      <c r="B3188" s="26">
        <v>245.0</v>
      </c>
      <c r="C3188" s="27">
        <v>19.0</v>
      </c>
      <c r="D3188" s="8" t="s">
        <v>4191</v>
      </c>
      <c r="E3188" s="7">
        <v>0.0</v>
      </c>
      <c r="F3188" s="7"/>
      <c r="G3188" s="7" t="s">
        <v>313</v>
      </c>
      <c r="H3188" s="7" t="s">
        <v>312</v>
      </c>
      <c r="I3188" s="10"/>
      <c r="J3188" s="11"/>
      <c r="K3188" s="12"/>
      <c r="L3188" s="12"/>
      <c r="M3188" s="10"/>
      <c r="N3188" s="10"/>
      <c r="O3188" s="10"/>
      <c r="P3188" s="10"/>
      <c r="Q3188" s="10"/>
      <c r="R3188" s="10"/>
      <c r="S3188" s="10"/>
      <c r="T3188" s="10"/>
      <c r="U3188" s="10"/>
      <c r="V3188" s="10"/>
      <c r="W3188" s="10"/>
      <c r="X3188" s="10"/>
      <c r="Y3188" s="10"/>
      <c r="Z3188" s="10"/>
      <c r="AA3188" s="10"/>
      <c r="AB3188" s="10"/>
      <c r="AC3188" s="10"/>
      <c r="AD3188" s="10"/>
      <c r="AE3188" s="10"/>
      <c r="AF3188" s="10"/>
    </row>
    <row r="3189">
      <c r="A3189" s="7"/>
      <c r="B3189" s="26">
        <v>245.0</v>
      </c>
      <c r="C3189" s="27">
        <v>20.0</v>
      </c>
      <c r="D3189" s="8" t="s">
        <v>4192</v>
      </c>
      <c r="E3189" s="7">
        <v>3.0</v>
      </c>
      <c r="F3189" s="7"/>
      <c r="G3189" s="7" t="s">
        <v>313</v>
      </c>
      <c r="H3189" s="7" t="s">
        <v>312</v>
      </c>
      <c r="I3189" s="10"/>
      <c r="J3189" s="34" t="s">
        <v>4193</v>
      </c>
      <c r="K3189" s="12"/>
      <c r="L3189" s="12"/>
      <c r="M3189" s="10"/>
      <c r="N3189" s="10"/>
      <c r="O3189" s="10"/>
      <c r="P3189" s="10"/>
      <c r="Q3189" s="10"/>
      <c r="R3189" s="10"/>
      <c r="S3189" s="10"/>
      <c r="T3189" s="10"/>
      <c r="U3189" s="10"/>
      <c r="V3189" s="10"/>
      <c r="W3189" s="10"/>
      <c r="X3189" s="10"/>
      <c r="Y3189" s="10"/>
      <c r="Z3189" s="10"/>
      <c r="AA3189" s="10"/>
      <c r="AB3189" s="10"/>
      <c r="AC3189" s="10"/>
      <c r="AD3189" s="10"/>
      <c r="AE3189" s="10"/>
      <c r="AF3189" s="10"/>
    </row>
    <row r="3190">
      <c r="A3190" s="7"/>
      <c r="B3190" s="26">
        <v>245.0</v>
      </c>
      <c r="C3190" s="27">
        <v>21.0</v>
      </c>
      <c r="D3190" s="8" t="s">
        <v>4194</v>
      </c>
      <c r="E3190" s="7">
        <v>3.0</v>
      </c>
      <c r="F3190" s="7"/>
      <c r="G3190" s="7" t="s">
        <v>313</v>
      </c>
      <c r="H3190" s="7" t="s">
        <v>312</v>
      </c>
      <c r="I3190" s="10"/>
      <c r="J3190" s="34" t="s">
        <v>4195</v>
      </c>
      <c r="K3190" s="12"/>
      <c r="L3190" s="12"/>
      <c r="M3190" s="10"/>
      <c r="N3190" s="10"/>
      <c r="O3190" s="10"/>
      <c r="P3190" s="10"/>
      <c r="Q3190" s="10"/>
      <c r="R3190" s="10"/>
      <c r="S3190" s="10"/>
      <c r="T3190" s="10"/>
      <c r="U3190" s="10"/>
      <c r="V3190" s="10"/>
      <c r="W3190" s="10"/>
      <c r="X3190" s="10"/>
      <c r="Y3190" s="10"/>
      <c r="Z3190" s="10"/>
      <c r="AA3190" s="10"/>
      <c r="AB3190" s="10"/>
      <c r="AC3190" s="10"/>
      <c r="AD3190" s="10"/>
      <c r="AE3190" s="10"/>
      <c r="AF3190" s="10"/>
    </row>
    <row r="3191">
      <c r="A3191" s="7"/>
      <c r="B3191" s="26">
        <v>245.0</v>
      </c>
      <c r="C3191" s="27">
        <v>22.0</v>
      </c>
      <c r="D3191" s="8" t="s">
        <v>4196</v>
      </c>
      <c r="E3191" s="7">
        <v>3.0</v>
      </c>
      <c r="F3191" s="7"/>
      <c r="G3191" s="7" t="s">
        <v>313</v>
      </c>
      <c r="H3191" s="7" t="s">
        <v>312</v>
      </c>
      <c r="I3191" s="10"/>
      <c r="J3191" s="34" t="s">
        <v>4195</v>
      </c>
      <c r="K3191" s="12"/>
      <c r="L3191" s="12"/>
      <c r="M3191" s="10"/>
      <c r="N3191" s="10"/>
      <c r="O3191" s="10"/>
      <c r="P3191" s="10"/>
      <c r="Q3191" s="10"/>
      <c r="R3191" s="10"/>
      <c r="S3191" s="10"/>
      <c r="T3191" s="10"/>
      <c r="U3191" s="10"/>
      <c r="V3191" s="10"/>
      <c r="W3191" s="10"/>
      <c r="X3191" s="10"/>
      <c r="Y3191" s="10"/>
      <c r="Z3191" s="10"/>
      <c r="AA3191" s="10"/>
      <c r="AB3191" s="10"/>
      <c r="AC3191" s="10"/>
      <c r="AD3191" s="10"/>
      <c r="AE3191" s="10"/>
      <c r="AF3191" s="10"/>
    </row>
    <row r="3192">
      <c r="A3192" s="7"/>
      <c r="B3192" s="26">
        <v>245.0</v>
      </c>
      <c r="C3192" s="27">
        <v>23.0</v>
      </c>
      <c r="D3192" s="8" t="s">
        <v>4197</v>
      </c>
      <c r="E3192" s="7">
        <v>0.0</v>
      </c>
      <c r="F3192" s="7"/>
      <c r="G3192" s="7" t="s">
        <v>313</v>
      </c>
      <c r="H3192" s="7" t="s">
        <v>312</v>
      </c>
      <c r="I3192" s="10"/>
      <c r="J3192" s="11"/>
      <c r="K3192" s="12"/>
      <c r="L3192" s="12"/>
      <c r="M3192" s="10"/>
      <c r="N3192" s="10"/>
      <c r="O3192" s="10"/>
      <c r="P3192" s="10"/>
      <c r="Q3192" s="10"/>
      <c r="R3192" s="10"/>
      <c r="S3192" s="10"/>
      <c r="T3192" s="10"/>
      <c r="U3192" s="10"/>
      <c r="V3192" s="10"/>
      <c r="W3192" s="10"/>
      <c r="X3192" s="10"/>
      <c r="Y3192" s="10"/>
      <c r="Z3192" s="10"/>
      <c r="AA3192" s="10"/>
      <c r="AB3192" s="10"/>
      <c r="AC3192" s="10"/>
      <c r="AD3192" s="10"/>
      <c r="AE3192" s="10"/>
      <c r="AF3192" s="10"/>
    </row>
    <row r="3193">
      <c r="A3193" s="7"/>
      <c r="B3193" s="26">
        <v>245.0</v>
      </c>
      <c r="C3193" s="27">
        <v>24.0</v>
      </c>
      <c r="D3193" s="8" t="s">
        <v>4198</v>
      </c>
      <c r="E3193" s="7">
        <v>3.0</v>
      </c>
      <c r="F3193" s="7"/>
      <c r="G3193" s="7" t="s">
        <v>313</v>
      </c>
      <c r="H3193" s="7" t="s">
        <v>312</v>
      </c>
      <c r="I3193" s="10"/>
      <c r="J3193" s="34" t="s">
        <v>4195</v>
      </c>
      <c r="K3193" s="12"/>
      <c r="L3193" s="12"/>
      <c r="M3193" s="10"/>
      <c r="N3193" s="10"/>
      <c r="O3193" s="10"/>
      <c r="P3193" s="10"/>
      <c r="Q3193" s="10"/>
      <c r="R3193" s="10"/>
      <c r="S3193" s="10"/>
      <c r="T3193" s="10"/>
      <c r="U3193" s="10"/>
      <c r="V3193" s="10"/>
      <c r="W3193" s="10"/>
      <c r="X3193" s="10"/>
      <c r="Y3193" s="10"/>
      <c r="Z3193" s="10"/>
      <c r="AA3193" s="10"/>
      <c r="AB3193" s="10"/>
      <c r="AC3193" s="10"/>
      <c r="AD3193" s="10"/>
      <c r="AE3193" s="10"/>
      <c r="AF3193" s="10"/>
    </row>
    <row r="3194">
      <c r="A3194" s="7"/>
      <c r="B3194" s="26">
        <v>245.0</v>
      </c>
      <c r="C3194" s="27">
        <v>25.0</v>
      </c>
      <c r="D3194" s="8" t="s">
        <v>4199</v>
      </c>
      <c r="E3194" s="7">
        <v>0.0</v>
      </c>
      <c r="F3194" s="7"/>
      <c r="G3194" s="7" t="s">
        <v>313</v>
      </c>
      <c r="H3194" s="7" t="s">
        <v>312</v>
      </c>
      <c r="I3194" s="10"/>
      <c r="J3194" s="11"/>
      <c r="K3194" s="12"/>
      <c r="L3194" s="12"/>
      <c r="M3194" s="10"/>
      <c r="N3194" s="10"/>
      <c r="O3194" s="10"/>
      <c r="P3194" s="10"/>
      <c r="Q3194" s="10"/>
      <c r="R3194" s="10"/>
      <c r="S3194" s="10"/>
      <c r="T3194" s="10"/>
      <c r="U3194" s="10"/>
      <c r="V3194" s="10"/>
      <c r="W3194" s="10"/>
      <c r="X3194" s="10"/>
      <c r="Y3194" s="10"/>
      <c r="Z3194" s="10"/>
      <c r="AA3194" s="10"/>
      <c r="AB3194" s="10"/>
      <c r="AC3194" s="10"/>
      <c r="AD3194" s="10"/>
      <c r="AE3194" s="10"/>
      <c r="AF3194" s="10"/>
    </row>
    <row r="3195">
      <c r="A3195" s="7"/>
      <c r="B3195" s="26">
        <v>245.0</v>
      </c>
      <c r="C3195" s="27">
        <v>26.0</v>
      </c>
      <c r="D3195" s="8" t="s">
        <v>4200</v>
      </c>
      <c r="E3195" s="7">
        <v>0.0</v>
      </c>
      <c r="F3195" s="7"/>
      <c r="G3195" s="7" t="s">
        <v>313</v>
      </c>
      <c r="H3195" s="7" t="s">
        <v>312</v>
      </c>
      <c r="I3195" s="10"/>
      <c r="J3195" s="11"/>
      <c r="K3195" s="12"/>
      <c r="L3195" s="12"/>
      <c r="M3195" s="10"/>
      <c r="N3195" s="10"/>
      <c r="O3195" s="10"/>
      <c r="P3195" s="10"/>
      <c r="Q3195" s="10"/>
      <c r="R3195" s="10"/>
      <c r="S3195" s="10"/>
      <c r="T3195" s="10"/>
      <c r="U3195" s="10"/>
      <c r="V3195" s="10"/>
      <c r="W3195" s="10"/>
      <c r="X3195" s="10"/>
      <c r="Y3195" s="10"/>
      <c r="Z3195" s="10"/>
      <c r="AA3195" s="10"/>
      <c r="AB3195" s="10"/>
      <c r="AC3195" s="10"/>
      <c r="AD3195" s="10"/>
      <c r="AE3195" s="10"/>
      <c r="AF3195" s="10"/>
    </row>
    <row r="3196">
      <c r="A3196" s="7"/>
      <c r="B3196" s="26">
        <v>245.0</v>
      </c>
      <c r="C3196" s="27">
        <v>27.0</v>
      </c>
      <c r="D3196" s="8" t="s">
        <v>4201</v>
      </c>
      <c r="E3196" s="7">
        <v>3.0</v>
      </c>
      <c r="F3196" s="7" t="s">
        <v>320</v>
      </c>
      <c r="G3196" s="7" t="s">
        <v>313</v>
      </c>
      <c r="H3196" s="7" t="s">
        <v>312</v>
      </c>
      <c r="I3196" s="10"/>
      <c r="J3196" s="34" t="s">
        <v>4193</v>
      </c>
      <c r="K3196" s="12"/>
      <c r="L3196" s="12"/>
      <c r="M3196" s="10"/>
      <c r="N3196" s="10"/>
      <c r="O3196" s="10"/>
      <c r="P3196" s="10"/>
      <c r="Q3196" s="10"/>
      <c r="R3196" s="10"/>
      <c r="S3196" s="10"/>
      <c r="T3196" s="10"/>
      <c r="U3196" s="10"/>
      <c r="V3196" s="10"/>
      <c r="W3196" s="10"/>
      <c r="X3196" s="10"/>
      <c r="Y3196" s="10"/>
      <c r="Z3196" s="10"/>
      <c r="AA3196" s="10"/>
      <c r="AB3196" s="10"/>
      <c r="AC3196" s="10"/>
      <c r="AD3196" s="10"/>
      <c r="AE3196" s="10"/>
      <c r="AF3196" s="10"/>
    </row>
    <row r="3197">
      <c r="A3197" s="7"/>
      <c r="B3197" s="26">
        <v>245.0</v>
      </c>
      <c r="C3197" s="27">
        <v>28.0</v>
      </c>
      <c r="D3197" s="8" t="s">
        <v>4202</v>
      </c>
      <c r="E3197" s="7">
        <v>0.0</v>
      </c>
      <c r="F3197" s="7"/>
      <c r="G3197" s="7" t="s">
        <v>313</v>
      </c>
      <c r="H3197" s="7" t="s">
        <v>312</v>
      </c>
      <c r="I3197" s="10"/>
      <c r="J3197" s="11"/>
      <c r="K3197" s="12"/>
      <c r="L3197" s="12"/>
      <c r="M3197" s="10"/>
      <c r="N3197" s="10"/>
      <c r="O3197" s="10"/>
      <c r="P3197" s="10"/>
      <c r="Q3197" s="10"/>
      <c r="R3197" s="10"/>
      <c r="S3197" s="10"/>
      <c r="T3197" s="10"/>
      <c r="U3197" s="10"/>
      <c r="V3197" s="10"/>
      <c r="W3197" s="10"/>
      <c r="X3197" s="10"/>
      <c r="Y3197" s="10"/>
      <c r="Z3197" s="10"/>
      <c r="AA3197" s="10"/>
      <c r="AB3197" s="10"/>
      <c r="AC3197" s="10"/>
      <c r="AD3197" s="10"/>
      <c r="AE3197" s="10"/>
      <c r="AF3197" s="10"/>
    </row>
    <row r="3198">
      <c r="A3198" s="7"/>
      <c r="B3198" s="26">
        <v>245.0</v>
      </c>
      <c r="C3198" s="27">
        <v>29.0</v>
      </c>
      <c r="D3198" s="8" t="s">
        <v>4203</v>
      </c>
      <c r="E3198" s="7">
        <v>3.0</v>
      </c>
      <c r="F3198" s="7"/>
      <c r="G3198" s="7" t="s">
        <v>313</v>
      </c>
      <c r="H3198" s="7" t="s">
        <v>312</v>
      </c>
      <c r="I3198" s="10"/>
      <c r="J3198" s="11"/>
      <c r="K3198" s="12"/>
      <c r="L3198" s="12"/>
      <c r="M3198" s="10"/>
      <c r="N3198" s="10"/>
      <c r="O3198" s="10"/>
      <c r="P3198" s="10"/>
      <c r="Q3198" s="10"/>
      <c r="R3198" s="10"/>
      <c r="S3198" s="10"/>
      <c r="T3198" s="10"/>
      <c r="U3198" s="10"/>
      <c r="V3198" s="10"/>
      <c r="W3198" s="10"/>
      <c r="X3198" s="10"/>
      <c r="Y3198" s="10"/>
      <c r="Z3198" s="10"/>
      <c r="AA3198" s="10"/>
      <c r="AB3198" s="10"/>
      <c r="AC3198" s="10"/>
      <c r="AD3198" s="10"/>
      <c r="AE3198" s="10"/>
      <c r="AF3198" s="10"/>
    </row>
    <row r="3199">
      <c r="A3199" s="7"/>
      <c r="B3199" s="26">
        <v>245.0</v>
      </c>
      <c r="C3199" s="27">
        <v>30.0</v>
      </c>
      <c r="D3199" s="8" t="s">
        <v>4204</v>
      </c>
      <c r="E3199" s="7">
        <v>3.0</v>
      </c>
      <c r="F3199" s="7"/>
      <c r="G3199" s="7" t="s">
        <v>313</v>
      </c>
      <c r="H3199" s="7" t="s">
        <v>312</v>
      </c>
      <c r="I3199" s="10"/>
      <c r="J3199" s="11"/>
      <c r="K3199" s="12"/>
      <c r="L3199" s="12"/>
      <c r="M3199" s="10"/>
      <c r="N3199" s="10"/>
      <c r="O3199" s="10"/>
      <c r="P3199" s="10"/>
      <c r="Q3199" s="10"/>
      <c r="R3199" s="10"/>
      <c r="S3199" s="10"/>
      <c r="T3199" s="10"/>
      <c r="U3199" s="10"/>
      <c r="V3199" s="10"/>
      <c r="W3199" s="10"/>
      <c r="X3199" s="10"/>
      <c r="Y3199" s="10"/>
      <c r="Z3199" s="10"/>
      <c r="AA3199" s="10"/>
      <c r="AB3199" s="10"/>
      <c r="AC3199" s="10"/>
      <c r="AD3199" s="10"/>
      <c r="AE3199" s="10"/>
      <c r="AF3199" s="10"/>
    </row>
    <row r="3200">
      <c r="A3200" s="7"/>
      <c r="B3200" s="26">
        <v>245.0</v>
      </c>
      <c r="C3200" s="27">
        <v>31.0</v>
      </c>
      <c r="D3200" s="8" t="s">
        <v>4205</v>
      </c>
      <c r="E3200" s="7">
        <v>3.0</v>
      </c>
      <c r="F3200" s="7" t="s">
        <v>320</v>
      </c>
      <c r="G3200" s="7" t="s">
        <v>313</v>
      </c>
      <c r="H3200" s="7" t="s">
        <v>312</v>
      </c>
      <c r="I3200" s="10"/>
      <c r="J3200" s="34" t="s">
        <v>4193</v>
      </c>
      <c r="K3200" s="12"/>
      <c r="L3200" s="12"/>
      <c r="M3200" s="10"/>
      <c r="N3200" s="10"/>
      <c r="O3200" s="10"/>
      <c r="P3200" s="10"/>
      <c r="Q3200" s="10"/>
      <c r="R3200" s="10"/>
      <c r="S3200" s="10"/>
      <c r="T3200" s="10"/>
      <c r="U3200" s="10"/>
      <c r="V3200" s="10"/>
      <c r="W3200" s="10"/>
      <c r="X3200" s="10"/>
      <c r="Y3200" s="10"/>
      <c r="Z3200" s="10"/>
      <c r="AA3200" s="10"/>
      <c r="AB3200" s="10"/>
      <c r="AC3200" s="10"/>
      <c r="AD3200" s="10"/>
      <c r="AE3200" s="10"/>
      <c r="AF3200" s="10"/>
    </row>
    <row r="3201">
      <c r="A3201" s="7"/>
      <c r="B3201" s="26">
        <v>245.0</v>
      </c>
      <c r="C3201" s="27">
        <v>32.0</v>
      </c>
      <c r="D3201" s="8" t="s">
        <v>4206</v>
      </c>
      <c r="E3201" s="7">
        <v>0.0</v>
      </c>
      <c r="F3201" s="7"/>
      <c r="G3201" s="7" t="s">
        <v>313</v>
      </c>
      <c r="H3201" s="7" t="s">
        <v>312</v>
      </c>
      <c r="I3201" s="10"/>
      <c r="J3201" s="11"/>
      <c r="K3201" s="12"/>
      <c r="L3201" s="12"/>
      <c r="M3201" s="10"/>
      <c r="N3201" s="10"/>
      <c r="O3201" s="10"/>
      <c r="P3201" s="10"/>
      <c r="Q3201" s="10"/>
      <c r="R3201" s="10"/>
      <c r="S3201" s="10"/>
      <c r="T3201" s="10"/>
      <c r="U3201" s="10"/>
      <c r="V3201" s="10"/>
      <c r="W3201" s="10"/>
      <c r="X3201" s="10"/>
      <c r="Y3201" s="10"/>
      <c r="Z3201" s="10"/>
      <c r="AA3201" s="10"/>
      <c r="AB3201" s="10"/>
      <c r="AC3201" s="10"/>
      <c r="AD3201" s="10"/>
      <c r="AE3201" s="10"/>
      <c r="AF3201" s="10"/>
    </row>
    <row r="3202">
      <c r="A3202" s="7"/>
      <c r="B3202" s="26">
        <v>245.0</v>
      </c>
      <c r="C3202" s="27">
        <v>33.0</v>
      </c>
      <c r="D3202" s="8" t="s">
        <v>4207</v>
      </c>
      <c r="E3202" s="7">
        <v>0.0</v>
      </c>
      <c r="F3202" s="7"/>
      <c r="G3202" s="7" t="s">
        <v>313</v>
      </c>
      <c r="H3202" s="7" t="s">
        <v>312</v>
      </c>
      <c r="I3202" s="10"/>
      <c r="J3202" s="11"/>
      <c r="K3202" s="12"/>
      <c r="L3202" s="12"/>
      <c r="M3202" s="10"/>
      <c r="N3202" s="10"/>
      <c r="O3202" s="10"/>
      <c r="P3202" s="10"/>
      <c r="Q3202" s="10"/>
      <c r="R3202" s="10"/>
      <c r="S3202" s="10"/>
      <c r="T3202" s="10"/>
      <c r="U3202" s="10"/>
      <c r="V3202" s="10"/>
      <c r="W3202" s="10"/>
      <c r="X3202" s="10"/>
      <c r="Y3202" s="10"/>
      <c r="Z3202" s="10"/>
      <c r="AA3202" s="10"/>
      <c r="AB3202" s="10"/>
      <c r="AC3202" s="10"/>
      <c r="AD3202" s="10"/>
      <c r="AE3202" s="10"/>
      <c r="AF3202" s="10"/>
    </row>
    <row r="3203">
      <c r="A3203" s="7"/>
      <c r="B3203" s="26">
        <v>245.0</v>
      </c>
      <c r="C3203" s="27">
        <v>34.0</v>
      </c>
      <c r="D3203" s="8" t="s">
        <v>4208</v>
      </c>
      <c r="E3203" s="7">
        <v>3.0</v>
      </c>
      <c r="F3203" s="7"/>
      <c r="G3203" s="7" t="s">
        <v>313</v>
      </c>
      <c r="H3203" s="7" t="s">
        <v>312</v>
      </c>
      <c r="I3203" s="10"/>
      <c r="J3203" s="11"/>
      <c r="K3203" s="12"/>
      <c r="L3203" s="12"/>
      <c r="M3203" s="10"/>
      <c r="N3203" s="10"/>
      <c r="O3203" s="10"/>
      <c r="P3203" s="10"/>
      <c r="Q3203" s="10"/>
      <c r="R3203" s="10"/>
      <c r="S3203" s="10"/>
      <c r="T3203" s="10"/>
      <c r="U3203" s="10"/>
      <c r="V3203" s="10"/>
      <c r="W3203" s="10"/>
      <c r="X3203" s="10"/>
      <c r="Y3203" s="10"/>
      <c r="Z3203" s="10"/>
      <c r="AA3203" s="10"/>
      <c r="AB3203" s="10"/>
      <c r="AC3203" s="10"/>
      <c r="AD3203" s="10"/>
      <c r="AE3203" s="10"/>
      <c r="AF3203" s="10"/>
    </row>
    <row r="3204">
      <c r="A3204" s="7"/>
      <c r="B3204" s="26">
        <v>245.0</v>
      </c>
      <c r="C3204" s="27">
        <v>35.0</v>
      </c>
      <c r="D3204" s="8" t="s">
        <v>4209</v>
      </c>
      <c r="E3204" s="7">
        <v>3.0</v>
      </c>
      <c r="F3204" s="7"/>
      <c r="G3204" s="7" t="s">
        <v>313</v>
      </c>
      <c r="H3204" s="7" t="s">
        <v>312</v>
      </c>
      <c r="I3204" s="10"/>
      <c r="J3204" s="11"/>
      <c r="K3204" s="12"/>
      <c r="L3204" s="12"/>
      <c r="M3204" s="10"/>
      <c r="N3204" s="10"/>
      <c r="O3204" s="10"/>
      <c r="P3204" s="10"/>
      <c r="Q3204" s="10"/>
      <c r="R3204" s="10"/>
      <c r="S3204" s="10"/>
      <c r="T3204" s="10"/>
      <c r="U3204" s="10"/>
      <c r="V3204" s="10"/>
      <c r="W3204" s="10"/>
      <c r="X3204" s="10"/>
      <c r="Y3204" s="10"/>
      <c r="Z3204" s="10"/>
      <c r="AA3204" s="10"/>
      <c r="AB3204" s="10"/>
      <c r="AC3204" s="10"/>
      <c r="AD3204" s="10"/>
      <c r="AE3204" s="10"/>
      <c r="AF3204" s="10"/>
    </row>
    <row r="3205">
      <c r="A3205" s="7"/>
      <c r="B3205" s="26">
        <v>245.0</v>
      </c>
      <c r="C3205" s="27">
        <v>36.0</v>
      </c>
      <c r="D3205" s="8" t="s">
        <v>4210</v>
      </c>
      <c r="E3205" s="7">
        <v>0.0</v>
      </c>
      <c r="F3205" s="7"/>
      <c r="G3205" s="7" t="s">
        <v>313</v>
      </c>
      <c r="H3205" s="7" t="s">
        <v>312</v>
      </c>
      <c r="I3205" s="10"/>
      <c r="J3205" s="11"/>
      <c r="K3205" s="12"/>
      <c r="L3205" s="12"/>
      <c r="M3205" s="10"/>
      <c r="N3205" s="10"/>
      <c r="O3205" s="10"/>
      <c r="P3205" s="10"/>
      <c r="Q3205" s="10"/>
      <c r="R3205" s="10"/>
      <c r="S3205" s="10"/>
      <c r="T3205" s="10"/>
      <c r="U3205" s="10"/>
      <c r="V3205" s="10"/>
      <c r="W3205" s="10"/>
      <c r="X3205" s="10"/>
      <c r="Y3205" s="10"/>
      <c r="Z3205" s="10"/>
      <c r="AA3205" s="10"/>
      <c r="AB3205" s="10"/>
      <c r="AC3205" s="10"/>
      <c r="AD3205" s="10"/>
      <c r="AE3205" s="10"/>
      <c r="AF3205" s="10"/>
    </row>
    <row r="3206">
      <c r="A3206" s="13" t="s">
        <v>246</v>
      </c>
      <c r="B3206" s="12"/>
      <c r="C3206" s="12"/>
      <c r="D3206" s="12"/>
      <c r="E3206" s="10"/>
      <c r="F3206" s="10"/>
      <c r="G3206" s="10"/>
      <c r="H3206" s="10"/>
      <c r="I3206" s="10"/>
      <c r="J3206" s="11"/>
      <c r="K3206" s="12"/>
      <c r="L3206" s="12"/>
      <c r="M3206" s="10"/>
      <c r="N3206" s="10"/>
      <c r="O3206" s="10"/>
      <c r="P3206" s="10"/>
      <c r="Q3206" s="10"/>
      <c r="R3206" s="10"/>
      <c r="S3206" s="10"/>
      <c r="T3206" s="10"/>
      <c r="U3206" s="10"/>
      <c r="V3206" s="10"/>
      <c r="W3206" s="10"/>
      <c r="X3206" s="10"/>
      <c r="Y3206" s="10"/>
      <c r="Z3206" s="10"/>
      <c r="AA3206" s="10"/>
      <c r="AB3206" s="10"/>
      <c r="AC3206" s="10"/>
      <c r="AD3206" s="10"/>
      <c r="AE3206" s="10"/>
      <c r="AF3206" s="10"/>
    </row>
    <row r="3207">
      <c r="A3207" s="7"/>
      <c r="B3207" s="26">
        <v>246.0</v>
      </c>
      <c r="C3207" s="27">
        <v>1.0</v>
      </c>
      <c r="D3207" s="8" t="s">
        <v>4211</v>
      </c>
      <c r="E3207" s="7">
        <v>3.0</v>
      </c>
      <c r="F3207" s="7"/>
      <c r="G3207" s="7" t="s">
        <v>313</v>
      </c>
      <c r="H3207" s="7" t="s">
        <v>312</v>
      </c>
      <c r="I3207" s="10"/>
      <c r="J3207" s="9" t="s">
        <v>4212</v>
      </c>
      <c r="K3207" s="12"/>
      <c r="L3207" s="12"/>
      <c r="M3207" s="10"/>
      <c r="N3207" s="10"/>
      <c r="O3207" s="10"/>
      <c r="P3207" s="10"/>
      <c r="Q3207" s="10"/>
      <c r="R3207" s="10"/>
      <c r="S3207" s="10"/>
      <c r="T3207" s="10"/>
      <c r="U3207" s="10"/>
      <c r="V3207" s="10"/>
      <c r="W3207" s="10"/>
      <c r="X3207" s="10"/>
      <c r="Y3207" s="10"/>
      <c r="Z3207" s="10"/>
      <c r="AA3207" s="10"/>
      <c r="AB3207" s="10"/>
      <c r="AC3207" s="10"/>
      <c r="AD3207" s="10"/>
      <c r="AE3207" s="10"/>
      <c r="AF3207" s="10"/>
    </row>
    <row r="3208">
      <c r="A3208" s="7"/>
      <c r="B3208" s="26">
        <v>246.0</v>
      </c>
      <c r="C3208" s="27">
        <v>2.0</v>
      </c>
      <c r="D3208" s="8" t="s">
        <v>4213</v>
      </c>
      <c r="E3208" s="7">
        <v>3.0</v>
      </c>
      <c r="F3208" s="7"/>
      <c r="G3208" s="7" t="s">
        <v>313</v>
      </c>
      <c r="H3208" s="7" t="s">
        <v>312</v>
      </c>
      <c r="I3208" s="10"/>
      <c r="J3208" s="9" t="s">
        <v>4214</v>
      </c>
      <c r="K3208" s="12"/>
      <c r="L3208" s="12"/>
      <c r="M3208" s="10"/>
      <c r="N3208" s="10"/>
      <c r="O3208" s="10"/>
      <c r="P3208" s="10"/>
      <c r="Q3208" s="10"/>
      <c r="R3208" s="10"/>
      <c r="S3208" s="10"/>
      <c r="T3208" s="10"/>
      <c r="U3208" s="10"/>
      <c r="V3208" s="10"/>
      <c r="W3208" s="10"/>
      <c r="X3208" s="10"/>
      <c r="Y3208" s="10"/>
      <c r="Z3208" s="10"/>
      <c r="AA3208" s="10"/>
      <c r="AB3208" s="10"/>
      <c r="AC3208" s="10"/>
      <c r="AD3208" s="10"/>
      <c r="AE3208" s="10"/>
      <c r="AF3208" s="10"/>
    </row>
    <row r="3209">
      <c r="A3209" s="7"/>
      <c r="B3209" s="26">
        <v>246.0</v>
      </c>
      <c r="C3209" s="27">
        <v>3.0</v>
      </c>
      <c r="D3209" s="8" t="s">
        <v>4215</v>
      </c>
      <c r="E3209" s="7">
        <v>3.0</v>
      </c>
      <c r="F3209" s="7"/>
      <c r="G3209" s="7" t="s">
        <v>313</v>
      </c>
      <c r="H3209" s="7" t="s">
        <v>312</v>
      </c>
      <c r="I3209" s="10"/>
      <c r="J3209" s="9" t="s">
        <v>4216</v>
      </c>
      <c r="K3209" s="12"/>
      <c r="L3209" s="12"/>
      <c r="M3209" s="10"/>
      <c r="N3209" s="10"/>
      <c r="O3209" s="10"/>
      <c r="P3209" s="10"/>
      <c r="Q3209" s="10"/>
      <c r="R3209" s="10"/>
      <c r="S3209" s="10"/>
      <c r="T3209" s="10"/>
      <c r="U3209" s="10"/>
      <c r="V3209" s="10"/>
      <c r="W3209" s="10"/>
      <c r="X3209" s="10"/>
      <c r="Y3209" s="10"/>
      <c r="Z3209" s="10"/>
      <c r="AA3209" s="10"/>
      <c r="AB3209" s="10"/>
      <c r="AC3209" s="10"/>
      <c r="AD3209" s="10"/>
      <c r="AE3209" s="10"/>
      <c r="AF3209" s="10"/>
    </row>
    <row r="3210">
      <c r="A3210" s="7"/>
      <c r="B3210" s="26">
        <v>246.0</v>
      </c>
      <c r="C3210" s="27">
        <v>4.0</v>
      </c>
      <c r="D3210" s="8" t="s">
        <v>4217</v>
      </c>
      <c r="E3210" s="7">
        <v>3.0</v>
      </c>
      <c r="F3210" s="7"/>
      <c r="G3210" s="7" t="s">
        <v>313</v>
      </c>
      <c r="H3210" s="7" t="s">
        <v>312</v>
      </c>
      <c r="I3210" s="10"/>
      <c r="J3210" s="11"/>
      <c r="K3210" s="12"/>
      <c r="L3210" s="14" t="s">
        <v>4218</v>
      </c>
      <c r="M3210" s="10"/>
      <c r="N3210" s="10"/>
      <c r="O3210" s="10"/>
      <c r="P3210" s="10"/>
      <c r="Q3210" s="10"/>
      <c r="R3210" s="10"/>
      <c r="S3210" s="10"/>
      <c r="T3210" s="10"/>
      <c r="U3210" s="10"/>
      <c r="V3210" s="10"/>
      <c r="W3210" s="10"/>
      <c r="X3210" s="10"/>
      <c r="Y3210" s="10"/>
      <c r="Z3210" s="10"/>
      <c r="AA3210" s="10"/>
      <c r="AB3210" s="10"/>
      <c r="AC3210" s="10"/>
      <c r="AD3210" s="10"/>
      <c r="AE3210" s="10"/>
      <c r="AF3210" s="10"/>
    </row>
    <row r="3211">
      <c r="A3211" s="7"/>
      <c r="B3211" s="26">
        <v>246.0</v>
      </c>
      <c r="C3211" s="27">
        <v>5.0</v>
      </c>
      <c r="D3211" s="8" t="s">
        <v>4219</v>
      </c>
      <c r="E3211" s="7">
        <v>3.0</v>
      </c>
      <c r="F3211" s="7"/>
      <c r="G3211" s="7" t="s">
        <v>313</v>
      </c>
      <c r="H3211" s="7" t="s">
        <v>312</v>
      </c>
      <c r="I3211" s="10"/>
      <c r="J3211" s="11"/>
      <c r="K3211" s="12"/>
      <c r="L3211" s="12"/>
      <c r="M3211" s="10"/>
      <c r="N3211" s="10"/>
      <c r="O3211" s="10"/>
      <c r="P3211" s="10"/>
      <c r="Q3211" s="10"/>
      <c r="R3211" s="10"/>
      <c r="S3211" s="10"/>
      <c r="T3211" s="10"/>
      <c r="U3211" s="10"/>
      <c r="V3211" s="10"/>
      <c r="W3211" s="10"/>
      <c r="X3211" s="10"/>
      <c r="Y3211" s="10"/>
      <c r="Z3211" s="10"/>
      <c r="AA3211" s="10"/>
      <c r="AB3211" s="10"/>
      <c r="AC3211" s="10"/>
      <c r="AD3211" s="10"/>
      <c r="AE3211" s="10"/>
      <c r="AF3211" s="10"/>
    </row>
    <row r="3212">
      <c r="A3212" s="7"/>
      <c r="B3212" s="26">
        <v>246.0</v>
      </c>
      <c r="C3212" s="27">
        <v>6.0</v>
      </c>
      <c r="D3212" s="8" t="s">
        <v>4220</v>
      </c>
      <c r="E3212" s="7">
        <v>0.0</v>
      </c>
      <c r="F3212" s="7"/>
      <c r="G3212" s="7" t="s">
        <v>313</v>
      </c>
      <c r="H3212" s="7" t="s">
        <v>312</v>
      </c>
      <c r="I3212" s="10"/>
      <c r="J3212" s="11"/>
      <c r="K3212" s="12"/>
      <c r="L3212" s="12"/>
      <c r="M3212" s="10"/>
      <c r="N3212" s="10"/>
      <c r="O3212" s="10"/>
      <c r="P3212" s="10"/>
      <c r="Q3212" s="10"/>
      <c r="R3212" s="10"/>
      <c r="S3212" s="10"/>
      <c r="T3212" s="10"/>
      <c r="U3212" s="10"/>
      <c r="V3212" s="10"/>
      <c r="W3212" s="10"/>
      <c r="X3212" s="10"/>
      <c r="Y3212" s="10"/>
      <c r="Z3212" s="10"/>
      <c r="AA3212" s="10"/>
      <c r="AB3212" s="10"/>
      <c r="AC3212" s="10"/>
      <c r="AD3212" s="10"/>
      <c r="AE3212" s="10"/>
      <c r="AF3212" s="10"/>
    </row>
    <row r="3213">
      <c r="A3213" s="7"/>
      <c r="B3213" s="26">
        <v>246.0</v>
      </c>
      <c r="C3213" s="27">
        <v>7.0</v>
      </c>
      <c r="D3213" s="8" t="s">
        <v>4221</v>
      </c>
      <c r="E3213" s="7">
        <v>0.0</v>
      </c>
      <c r="F3213" s="7"/>
      <c r="G3213" s="7" t="s">
        <v>313</v>
      </c>
      <c r="H3213" s="7" t="s">
        <v>312</v>
      </c>
      <c r="I3213" s="10"/>
      <c r="J3213" s="11"/>
      <c r="K3213" s="12"/>
      <c r="L3213" s="12"/>
      <c r="M3213" s="10"/>
      <c r="N3213" s="10"/>
      <c r="O3213" s="10"/>
      <c r="P3213" s="10"/>
      <c r="Q3213" s="10"/>
      <c r="R3213" s="10"/>
      <c r="S3213" s="10"/>
      <c r="T3213" s="10"/>
      <c r="U3213" s="10"/>
      <c r="V3213" s="10"/>
      <c r="W3213" s="10"/>
      <c r="X3213" s="10"/>
      <c r="Y3213" s="10"/>
      <c r="Z3213" s="10"/>
      <c r="AA3213" s="10"/>
      <c r="AB3213" s="10"/>
      <c r="AC3213" s="10"/>
      <c r="AD3213" s="10"/>
      <c r="AE3213" s="10"/>
      <c r="AF3213" s="10"/>
    </row>
    <row r="3214">
      <c r="A3214" s="7"/>
      <c r="B3214" s="26">
        <v>246.0</v>
      </c>
      <c r="C3214" s="27">
        <v>8.0</v>
      </c>
      <c r="D3214" s="8" t="s">
        <v>4222</v>
      </c>
      <c r="E3214" s="7">
        <v>0.0</v>
      </c>
      <c r="F3214" s="7"/>
      <c r="G3214" s="7" t="s">
        <v>313</v>
      </c>
      <c r="H3214" s="7" t="s">
        <v>312</v>
      </c>
      <c r="I3214" s="10"/>
      <c r="J3214" s="11"/>
      <c r="K3214" s="12"/>
      <c r="L3214" s="12"/>
      <c r="M3214" s="10"/>
      <c r="N3214" s="10"/>
      <c r="O3214" s="10"/>
      <c r="P3214" s="10"/>
      <c r="Q3214" s="10"/>
      <c r="R3214" s="10"/>
      <c r="S3214" s="10"/>
      <c r="T3214" s="10"/>
      <c r="U3214" s="10"/>
      <c r="V3214" s="10"/>
      <c r="W3214" s="10"/>
      <c r="X3214" s="10"/>
      <c r="Y3214" s="10"/>
      <c r="Z3214" s="10"/>
      <c r="AA3214" s="10"/>
      <c r="AB3214" s="10"/>
      <c r="AC3214" s="10"/>
      <c r="AD3214" s="10"/>
      <c r="AE3214" s="10"/>
      <c r="AF3214" s="10"/>
    </row>
    <row r="3215">
      <c r="A3215" s="7"/>
      <c r="B3215" s="26">
        <v>246.0</v>
      </c>
      <c r="C3215" s="27">
        <v>9.0</v>
      </c>
      <c r="D3215" s="8" t="s">
        <v>4223</v>
      </c>
      <c r="E3215" s="7">
        <v>0.0</v>
      </c>
      <c r="F3215" s="7"/>
      <c r="G3215" s="7" t="s">
        <v>313</v>
      </c>
      <c r="H3215" s="7" t="s">
        <v>312</v>
      </c>
      <c r="I3215" s="10"/>
      <c r="J3215" s="11"/>
      <c r="K3215" s="12"/>
      <c r="L3215" s="12"/>
      <c r="M3215" s="10"/>
      <c r="N3215" s="10"/>
      <c r="O3215" s="10"/>
      <c r="P3215" s="10"/>
      <c r="Q3215" s="10"/>
      <c r="R3215" s="10"/>
      <c r="S3215" s="10"/>
      <c r="T3215" s="10"/>
      <c r="U3215" s="10"/>
      <c r="V3215" s="10"/>
      <c r="W3215" s="10"/>
      <c r="X3215" s="10"/>
      <c r="Y3215" s="10"/>
      <c r="Z3215" s="10"/>
      <c r="AA3215" s="10"/>
      <c r="AB3215" s="10"/>
      <c r="AC3215" s="10"/>
      <c r="AD3215" s="10"/>
      <c r="AE3215" s="10"/>
      <c r="AF3215" s="10"/>
    </row>
    <row r="3216">
      <c r="A3216" s="7"/>
      <c r="B3216" s="26">
        <v>246.0</v>
      </c>
      <c r="C3216" s="27">
        <v>10.0</v>
      </c>
      <c r="D3216" s="8" t="s">
        <v>4224</v>
      </c>
      <c r="E3216" s="7">
        <v>0.0</v>
      </c>
      <c r="F3216" s="7"/>
      <c r="G3216" s="7" t="s">
        <v>313</v>
      </c>
      <c r="H3216" s="7" t="s">
        <v>312</v>
      </c>
      <c r="I3216" s="10"/>
      <c r="J3216" s="11"/>
      <c r="K3216" s="12"/>
      <c r="L3216" s="12"/>
      <c r="M3216" s="10"/>
      <c r="N3216" s="10"/>
      <c r="O3216" s="10"/>
      <c r="P3216" s="10"/>
      <c r="Q3216" s="10"/>
      <c r="R3216" s="10"/>
      <c r="S3216" s="10"/>
      <c r="T3216" s="10"/>
      <c r="U3216" s="10"/>
      <c r="V3216" s="10"/>
      <c r="W3216" s="10"/>
      <c r="X3216" s="10"/>
      <c r="Y3216" s="10"/>
      <c r="Z3216" s="10"/>
      <c r="AA3216" s="10"/>
      <c r="AB3216" s="10"/>
      <c r="AC3216" s="10"/>
      <c r="AD3216" s="10"/>
      <c r="AE3216" s="10"/>
      <c r="AF3216" s="10"/>
    </row>
    <row r="3217">
      <c r="A3217" s="7"/>
      <c r="B3217" s="26">
        <v>246.0</v>
      </c>
      <c r="C3217" s="27">
        <v>11.0</v>
      </c>
      <c r="D3217" s="8" t="s">
        <v>4225</v>
      </c>
      <c r="E3217" s="7">
        <v>0.0</v>
      </c>
      <c r="F3217" s="7"/>
      <c r="G3217" s="7" t="s">
        <v>313</v>
      </c>
      <c r="H3217" s="7" t="s">
        <v>312</v>
      </c>
      <c r="I3217" s="10"/>
      <c r="J3217" s="11"/>
      <c r="K3217" s="12"/>
      <c r="L3217" s="12"/>
      <c r="M3217" s="10"/>
      <c r="N3217" s="10"/>
      <c r="O3217" s="10"/>
      <c r="P3217" s="10"/>
      <c r="Q3217" s="10"/>
      <c r="R3217" s="10"/>
      <c r="S3217" s="10"/>
      <c r="T3217" s="10"/>
      <c r="U3217" s="10"/>
      <c r="V3217" s="10"/>
      <c r="W3217" s="10"/>
      <c r="X3217" s="10"/>
      <c r="Y3217" s="10"/>
      <c r="Z3217" s="10"/>
      <c r="AA3217" s="10"/>
      <c r="AB3217" s="10"/>
      <c r="AC3217" s="10"/>
      <c r="AD3217" s="10"/>
      <c r="AE3217" s="10"/>
      <c r="AF3217" s="10"/>
    </row>
    <row r="3218">
      <c r="A3218" s="7"/>
      <c r="B3218" s="26">
        <v>246.0</v>
      </c>
      <c r="C3218" s="27">
        <v>12.0</v>
      </c>
      <c r="D3218" s="8" t="s">
        <v>4226</v>
      </c>
      <c r="E3218" s="7">
        <v>0.0</v>
      </c>
      <c r="F3218" s="7"/>
      <c r="G3218" s="7" t="s">
        <v>313</v>
      </c>
      <c r="H3218" s="7" t="s">
        <v>312</v>
      </c>
      <c r="I3218" s="10"/>
      <c r="J3218" s="11"/>
      <c r="K3218" s="12"/>
      <c r="L3218" s="12"/>
      <c r="M3218" s="10"/>
      <c r="N3218" s="10"/>
      <c r="O3218" s="10"/>
      <c r="P3218" s="10"/>
      <c r="Q3218" s="10"/>
      <c r="R3218" s="10"/>
      <c r="S3218" s="10"/>
      <c r="T3218" s="10"/>
      <c r="U3218" s="10"/>
      <c r="V3218" s="10"/>
      <c r="W3218" s="10"/>
      <c r="X3218" s="10"/>
      <c r="Y3218" s="10"/>
      <c r="Z3218" s="10"/>
      <c r="AA3218" s="10"/>
      <c r="AB3218" s="10"/>
      <c r="AC3218" s="10"/>
      <c r="AD3218" s="10"/>
      <c r="AE3218" s="10"/>
      <c r="AF3218" s="10"/>
    </row>
    <row r="3219">
      <c r="A3219" s="7"/>
      <c r="B3219" s="26">
        <v>246.0</v>
      </c>
      <c r="C3219" s="27">
        <v>13.0</v>
      </c>
      <c r="D3219" s="8" t="s">
        <v>4227</v>
      </c>
      <c r="E3219" s="7">
        <v>0.0</v>
      </c>
      <c r="F3219" s="7"/>
      <c r="G3219" s="7" t="s">
        <v>313</v>
      </c>
      <c r="H3219" s="7" t="s">
        <v>312</v>
      </c>
      <c r="I3219" s="10"/>
      <c r="J3219" s="11"/>
      <c r="K3219" s="12"/>
      <c r="L3219" s="12"/>
      <c r="M3219" s="10"/>
      <c r="N3219" s="10"/>
      <c r="O3219" s="10"/>
      <c r="P3219" s="10"/>
      <c r="Q3219" s="10"/>
      <c r="R3219" s="10"/>
      <c r="S3219" s="10"/>
      <c r="T3219" s="10"/>
      <c r="U3219" s="10"/>
      <c r="V3219" s="10"/>
      <c r="W3219" s="10"/>
      <c r="X3219" s="10"/>
      <c r="Y3219" s="10"/>
      <c r="Z3219" s="10"/>
      <c r="AA3219" s="10"/>
      <c r="AB3219" s="10"/>
      <c r="AC3219" s="10"/>
      <c r="AD3219" s="10"/>
      <c r="AE3219" s="10"/>
      <c r="AF3219" s="10"/>
    </row>
    <row r="3220">
      <c r="A3220" s="7"/>
      <c r="B3220" s="26">
        <v>246.0</v>
      </c>
      <c r="C3220" s="27">
        <v>14.0</v>
      </c>
      <c r="D3220" s="8" t="s">
        <v>4228</v>
      </c>
      <c r="E3220" s="7">
        <v>0.0</v>
      </c>
      <c r="F3220" s="7"/>
      <c r="G3220" s="7" t="s">
        <v>313</v>
      </c>
      <c r="H3220" s="7" t="s">
        <v>312</v>
      </c>
      <c r="I3220" s="10"/>
      <c r="J3220" s="11"/>
      <c r="K3220" s="12"/>
      <c r="L3220" s="12"/>
      <c r="M3220" s="10"/>
      <c r="N3220" s="10"/>
      <c r="O3220" s="10"/>
      <c r="P3220" s="10"/>
      <c r="Q3220" s="10"/>
      <c r="R3220" s="10"/>
      <c r="S3220" s="10"/>
      <c r="T3220" s="10"/>
      <c r="U3220" s="10"/>
      <c r="V3220" s="10"/>
      <c r="W3220" s="10"/>
      <c r="X3220" s="10"/>
      <c r="Y3220" s="10"/>
      <c r="Z3220" s="10"/>
      <c r="AA3220" s="10"/>
      <c r="AB3220" s="10"/>
      <c r="AC3220" s="10"/>
      <c r="AD3220" s="10"/>
      <c r="AE3220" s="10"/>
      <c r="AF3220" s="10"/>
    </row>
    <row r="3221">
      <c r="A3221" s="7"/>
      <c r="B3221" s="26">
        <v>246.0</v>
      </c>
      <c r="C3221" s="27">
        <v>15.0</v>
      </c>
      <c r="D3221" s="8" t="s">
        <v>4229</v>
      </c>
      <c r="E3221" s="7">
        <v>0.0</v>
      </c>
      <c r="F3221" s="7"/>
      <c r="G3221" s="7" t="s">
        <v>313</v>
      </c>
      <c r="H3221" s="7" t="s">
        <v>312</v>
      </c>
      <c r="I3221" s="10"/>
      <c r="J3221" s="11"/>
      <c r="K3221" s="12"/>
      <c r="L3221" s="12"/>
      <c r="M3221" s="10"/>
      <c r="N3221" s="10"/>
      <c r="O3221" s="10"/>
      <c r="P3221" s="10"/>
      <c r="Q3221" s="10"/>
      <c r="R3221" s="10"/>
      <c r="S3221" s="10"/>
      <c r="T3221" s="10"/>
      <c r="U3221" s="10"/>
      <c r="V3221" s="10"/>
      <c r="W3221" s="10"/>
      <c r="X3221" s="10"/>
      <c r="Y3221" s="10"/>
      <c r="Z3221" s="10"/>
      <c r="AA3221" s="10"/>
      <c r="AB3221" s="10"/>
      <c r="AC3221" s="10"/>
      <c r="AD3221" s="10"/>
      <c r="AE3221" s="10"/>
      <c r="AF3221" s="10"/>
    </row>
    <row r="3222">
      <c r="A3222" s="7"/>
      <c r="B3222" s="26">
        <v>246.0</v>
      </c>
      <c r="C3222" s="27">
        <v>16.0</v>
      </c>
      <c r="D3222" s="8" t="s">
        <v>4230</v>
      </c>
      <c r="E3222" s="7">
        <v>0.0</v>
      </c>
      <c r="F3222" s="7"/>
      <c r="G3222" s="7" t="s">
        <v>313</v>
      </c>
      <c r="H3222" s="7" t="s">
        <v>312</v>
      </c>
      <c r="I3222" s="10"/>
      <c r="J3222" s="11"/>
      <c r="K3222" s="12"/>
      <c r="L3222" s="12"/>
      <c r="M3222" s="10"/>
      <c r="N3222" s="10"/>
      <c r="O3222" s="10"/>
      <c r="P3222" s="10"/>
      <c r="Q3222" s="10"/>
      <c r="R3222" s="10"/>
      <c r="S3222" s="10"/>
      <c r="T3222" s="10"/>
      <c r="U3222" s="10"/>
      <c r="V3222" s="10"/>
      <c r="W3222" s="10"/>
      <c r="X3222" s="10"/>
      <c r="Y3222" s="10"/>
      <c r="Z3222" s="10"/>
      <c r="AA3222" s="10"/>
      <c r="AB3222" s="10"/>
      <c r="AC3222" s="10"/>
      <c r="AD3222" s="10"/>
      <c r="AE3222" s="10"/>
      <c r="AF3222" s="10"/>
    </row>
    <row r="3223">
      <c r="A3223" s="7"/>
      <c r="B3223" s="26">
        <v>246.0</v>
      </c>
      <c r="C3223" s="27">
        <v>17.0</v>
      </c>
      <c r="D3223" s="8" t="s">
        <v>4231</v>
      </c>
      <c r="E3223" s="7">
        <v>0.0</v>
      </c>
      <c r="F3223" s="7"/>
      <c r="G3223" s="7" t="s">
        <v>313</v>
      </c>
      <c r="H3223" s="7" t="s">
        <v>312</v>
      </c>
      <c r="I3223" s="10"/>
      <c r="J3223" s="11"/>
      <c r="K3223" s="12"/>
      <c r="L3223" s="12"/>
      <c r="M3223" s="10"/>
      <c r="N3223" s="10"/>
      <c r="O3223" s="10"/>
      <c r="P3223" s="10"/>
      <c r="Q3223" s="10"/>
      <c r="R3223" s="10"/>
      <c r="S3223" s="10"/>
      <c r="T3223" s="10"/>
      <c r="U3223" s="10"/>
      <c r="V3223" s="10"/>
      <c r="W3223" s="10"/>
      <c r="X3223" s="10"/>
      <c r="Y3223" s="10"/>
      <c r="Z3223" s="10"/>
      <c r="AA3223" s="10"/>
      <c r="AB3223" s="10"/>
      <c r="AC3223" s="10"/>
      <c r="AD3223" s="10"/>
      <c r="AE3223" s="10"/>
      <c r="AF3223" s="10"/>
    </row>
    <row r="3224">
      <c r="A3224" s="7"/>
      <c r="B3224" s="26">
        <v>246.0</v>
      </c>
      <c r="C3224" s="27">
        <v>18.0</v>
      </c>
      <c r="D3224" s="8" t="s">
        <v>4232</v>
      </c>
      <c r="E3224" s="7">
        <v>0.0</v>
      </c>
      <c r="F3224" s="7"/>
      <c r="G3224" s="7" t="s">
        <v>313</v>
      </c>
      <c r="H3224" s="7" t="s">
        <v>312</v>
      </c>
      <c r="I3224" s="10"/>
      <c r="J3224" s="11"/>
      <c r="K3224" s="12"/>
      <c r="L3224" s="12"/>
      <c r="M3224" s="10"/>
      <c r="N3224" s="10"/>
      <c r="O3224" s="10"/>
      <c r="P3224" s="10"/>
      <c r="Q3224" s="10"/>
      <c r="R3224" s="10"/>
      <c r="S3224" s="10"/>
      <c r="T3224" s="10"/>
      <c r="U3224" s="10"/>
      <c r="V3224" s="10"/>
      <c r="W3224" s="10"/>
      <c r="X3224" s="10"/>
      <c r="Y3224" s="10"/>
      <c r="Z3224" s="10"/>
      <c r="AA3224" s="10"/>
      <c r="AB3224" s="10"/>
      <c r="AC3224" s="10"/>
      <c r="AD3224" s="10"/>
      <c r="AE3224" s="10"/>
      <c r="AF3224" s="10"/>
    </row>
    <row r="3225">
      <c r="A3225" s="7"/>
      <c r="B3225" s="26">
        <v>246.0</v>
      </c>
      <c r="C3225" s="27">
        <v>19.0</v>
      </c>
      <c r="D3225" s="8" t="s">
        <v>4233</v>
      </c>
      <c r="E3225" s="7">
        <v>0.0</v>
      </c>
      <c r="F3225" s="7"/>
      <c r="G3225" s="7" t="s">
        <v>313</v>
      </c>
      <c r="H3225" s="7" t="s">
        <v>312</v>
      </c>
      <c r="I3225" s="10"/>
      <c r="J3225" s="11"/>
      <c r="K3225" s="12"/>
      <c r="L3225" s="12"/>
      <c r="M3225" s="10"/>
      <c r="N3225" s="10"/>
      <c r="O3225" s="10"/>
      <c r="P3225" s="10"/>
      <c r="Q3225" s="10"/>
      <c r="R3225" s="10"/>
      <c r="S3225" s="10"/>
      <c r="T3225" s="10"/>
      <c r="U3225" s="10"/>
      <c r="V3225" s="10"/>
      <c r="W3225" s="10"/>
      <c r="X3225" s="10"/>
      <c r="Y3225" s="10"/>
      <c r="Z3225" s="10"/>
      <c r="AA3225" s="10"/>
      <c r="AB3225" s="10"/>
      <c r="AC3225" s="10"/>
      <c r="AD3225" s="10"/>
      <c r="AE3225" s="10"/>
      <c r="AF3225" s="10"/>
    </row>
    <row r="3226">
      <c r="A3226" s="7"/>
      <c r="B3226" s="26">
        <v>246.0</v>
      </c>
      <c r="C3226" s="27">
        <v>20.0</v>
      </c>
      <c r="D3226" s="8" t="s">
        <v>4234</v>
      </c>
      <c r="E3226" s="7">
        <v>0.0</v>
      </c>
      <c r="F3226" s="7"/>
      <c r="G3226" s="7" t="s">
        <v>313</v>
      </c>
      <c r="H3226" s="7" t="s">
        <v>312</v>
      </c>
      <c r="I3226" s="10"/>
      <c r="J3226" s="11"/>
      <c r="K3226" s="12"/>
      <c r="L3226" s="12"/>
      <c r="M3226" s="10"/>
      <c r="N3226" s="10"/>
      <c r="O3226" s="10"/>
      <c r="P3226" s="10"/>
      <c r="Q3226" s="10"/>
      <c r="R3226" s="10"/>
      <c r="S3226" s="10"/>
      <c r="T3226" s="10"/>
      <c r="U3226" s="10"/>
      <c r="V3226" s="10"/>
      <c r="W3226" s="10"/>
      <c r="X3226" s="10"/>
      <c r="Y3226" s="10"/>
      <c r="Z3226" s="10"/>
      <c r="AA3226" s="10"/>
      <c r="AB3226" s="10"/>
      <c r="AC3226" s="10"/>
      <c r="AD3226" s="10"/>
      <c r="AE3226" s="10"/>
      <c r="AF3226" s="10"/>
    </row>
    <row r="3227">
      <c r="A3227" s="7"/>
      <c r="B3227" s="26">
        <v>246.0</v>
      </c>
      <c r="C3227" s="27">
        <v>21.0</v>
      </c>
      <c r="D3227" s="8" t="s">
        <v>4235</v>
      </c>
      <c r="E3227" s="7">
        <v>0.0</v>
      </c>
      <c r="F3227" s="7"/>
      <c r="G3227" s="7" t="s">
        <v>313</v>
      </c>
      <c r="H3227" s="7" t="s">
        <v>312</v>
      </c>
      <c r="I3227" s="10"/>
      <c r="J3227" s="11"/>
      <c r="K3227" s="12"/>
      <c r="L3227" s="12"/>
      <c r="M3227" s="10"/>
      <c r="N3227" s="10"/>
      <c r="O3227" s="10"/>
      <c r="P3227" s="10"/>
      <c r="Q3227" s="10"/>
      <c r="R3227" s="10"/>
      <c r="S3227" s="10"/>
      <c r="T3227" s="10"/>
      <c r="U3227" s="10"/>
      <c r="V3227" s="10"/>
      <c r="W3227" s="10"/>
      <c r="X3227" s="10"/>
      <c r="Y3227" s="10"/>
      <c r="Z3227" s="10"/>
      <c r="AA3227" s="10"/>
      <c r="AB3227" s="10"/>
      <c r="AC3227" s="10"/>
      <c r="AD3227" s="10"/>
      <c r="AE3227" s="10"/>
      <c r="AF3227" s="10"/>
    </row>
    <row r="3228">
      <c r="A3228" s="13" t="s">
        <v>247</v>
      </c>
      <c r="B3228" s="12"/>
      <c r="C3228" s="12"/>
      <c r="D3228" s="12"/>
      <c r="E3228" s="10"/>
      <c r="F3228" s="10"/>
      <c r="G3228" s="10"/>
      <c r="H3228" s="10"/>
      <c r="I3228" s="10"/>
      <c r="J3228" s="11"/>
      <c r="K3228" s="12"/>
      <c r="L3228" s="12"/>
      <c r="M3228" s="10"/>
      <c r="N3228" s="10"/>
      <c r="O3228" s="10"/>
      <c r="P3228" s="10"/>
      <c r="Q3228" s="10"/>
      <c r="R3228" s="10"/>
      <c r="S3228" s="10"/>
      <c r="T3228" s="10"/>
      <c r="U3228" s="10"/>
      <c r="V3228" s="10"/>
      <c r="W3228" s="10"/>
      <c r="X3228" s="10"/>
      <c r="Y3228" s="10"/>
      <c r="Z3228" s="10"/>
      <c r="AA3228" s="10"/>
      <c r="AB3228" s="10"/>
      <c r="AC3228" s="10"/>
      <c r="AD3228" s="10"/>
      <c r="AE3228" s="10"/>
      <c r="AF3228" s="10"/>
    </row>
    <row r="3229">
      <c r="A3229" s="7"/>
      <c r="B3229" s="26">
        <v>247.0</v>
      </c>
      <c r="C3229" s="27">
        <v>1.0</v>
      </c>
      <c r="D3229" s="8" t="s">
        <v>4236</v>
      </c>
      <c r="E3229" s="7">
        <v>3.0</v>
      </c>
      <c r="F3229" s="7" t="s">
        <v>320</v>
      </c>
      <c r="G3229" s="7"/>
      <c r="H3229" s="7" t="s">
        <v>312</v>
      </c>
      <c r="I3229" s="7" t="s">
        <v>320</v>
      </c>
      <c r="J3229" s="9" t="s">
        <v>4237</v>
      </c>
      <c r="K3229" s="12"/>
      <c r="L3229" s="12"/>
      <c r="M3229" s="10"/>
      <c r="N3229" s="10"/>
      <c r="O3229" s="10"/>
      <c r="P3229" s="10"/>
      <c r="Q3229" s="10"/>
      <c r="R3229" s="10"/>
      <c r="S3229" s="10"/>
      <c r="T3229" s="10"/>
      <c r="U3229" s="10"/>
      <c r="V3229" s="10"/>
      <c r="W3229" s="10"/>
      <c r="X3229" s="10"/>
      <c r="Y3229" s="10"/>
      <c r="Z3229" s="10"/>
      <c r="AA3229" s="10"/>
      <c r="AB3229" s="10"/>
      <c r="AC3229" s="10"/>
      <c r="AD3229" s="10"/>
      <c r="AE3229" s="10"/>
      <c r="AF3229" s="10"/>
    </row>
    <row r="3230">
      <c r="A3230" s="7"/>
      <c r="B3230" s="26">
        <v>247.0</v>
      </c>
      <c r="C3230" s="27">
        <v>2.0</v>
      </c>
      <c r="D3230" s="8" t="s">
        <v>4238</v>
      </c>
      <c r="E3230" s="7">
        <v>0.0</v>
      </c>
      <c r="F3230" s="7"/>
      <c r="G3230" s="7" t="s">
        <v>313</v>
      </c>
      <c r="H3230" s="7" t="s">
        <v>312</v>
      </c>
      <c r="I3230" s="10"/>
      <c r="J3230" s="9" t="s">
        <v>4239</v>
      </c>
      <c r="K3230" s="12"/>
      <c r="L3230" s="12"/>
      <c r="M3230" s="10"/>
      <c r="N3230" s="10"/>
      <c r="O3230" s="10"/>
      <c r="P3230" s="10"/>
      <c r="Q3230" s="10"/>
      <c r="R3230" s="10"/>
      <c r="S3230" s="10"/>
      <c r="T3230" s="10"/>
      <c r="U3230" s="10"/>
      <c r="V3230" s="10"/>
      <c r="W3230" s="10"/>
      <c r="X3230" s="10"/>
      <c r="Y3230" s="10"/>
      <c r="Z3230" s="10"/>
      <c r="AA3230" s="10"/>
      <c r="AB3230" s="10"/>
      <c r="AC3230" s="10"/>
      <c r="AD3230" s="10"/>
      <c r="AE3230" s="10"/>
      <c r="AF3230" s="10"/>
    </row>
    <row r="3231">
      <c r="A3231" s="7"/>
      <c r="B3231" s="26">
        <v>247.0</v>
      </c>
      <c r="C3231" s="27">
        <v>3.0</v>
      </c>
      <c r="D3231" s="8" t="s">
        <v>4240</v>
      </c>
      <c r="E3231" s="7">
        <v>0.0</v>
      </c>
      <c r="F3231" s="7"/>
      <c r="G3231" s="7" t="s">
        <v>313</v>
      </c>
      <c r="H3231" s="7" t="s">
        <v>312</v>
      </c>
      <c r="I3231" s="10"/>
      <c r="J3231" s="9" t="s">
        <v>4241</v>
      </c>
      <c r="K3231" s="12"/>
      <c r="L3231" s="12"/>
      <c r="M3231" s="10"/>
      <c r="N3231" s="10"/>
      <c r="O3231" s="10"/>
      <c r="P3231" s="10"/>
      <c r="Q3231" s="10"/>
      <c r="R3231" s="10"/>
      <c r="S3231" s="10"/>
      <c r="T3231" s="10"/>
      <c r="U3231" s="10"/>
      <c r="V3231" s="10"/>
      <c r="W3231" s="10"/>
      <c r="X3231" s="10"/>
      <c r="Y3231" s="10"/>
      <c r="Z3231" s="10"/>
      <c r="AA3231" s="10"/>
      <c r="AB3231" s="10"/>
      <c r="AC3231" s="10"/>
      <c r="AD3231" s="10"/>
      <c r="AE3231" s="10"/>
      <c r="AF3231" s="10"/>
    </row>
    <row r="3232">
      <c r="A3232" s="7"/>
      <c r="B3232" s="26">
        <v>247.0</v>
      </c>
      <c r="C3232" s="27">
        <v>4.0</v>
      </c>
      <c r="D3232" s="8" t="s">
        <v>4242</v>
      </c>
      <c r="E3232" s="7">
        <v>0.0</v>
      </c>
      <c r="F3232" s="7"/>
      <c r="G3232" s="7" t="s">
        <v>313</v>
      </c>
      <c r="H3232" s="7" t="s">
        <v>312</v>
      </c>
      <c r="I3232" s="10"/>
      <c r="J3232" s="9" t="s">
        <v>4243</v>
      </c>
      <c r="K3232" s="12"/>
      <c r="L3232" s="12"/>
      <c r="M3232" s="10"/>
      <c r="N3232" s="10"/>
      <c r="O3232" s="10"/>
      <c r="P3232" s="10"/>
      <c r="Q3232" s="10"/>
      <c r="R3232" s="10"/>
      <c r="S3232" s="10"/>
      <c r="T3232" s="10"/>
      <c r="U3232" s="10"/>
      <c r="V3232" s="10"/>
      <c r="W3232" s="10"/>
      <c r="X3232" s="10"/>
      <c r="Y3232" s="10"/>
      <c r="Z3232" s="10"/>
      <c r="AA3232" s="10"/>
      <c r="AB3232" s="10"/>
      <c r="AC3232" s="10"/>
      <c r="AD3232" s="10"/>
      <c r="AE3232" s="10"/>
      <c r="AF3232" s="10"/>
    </row>
    <row r="3233">
      <c r="A3233" s="7"/>
      <c r="B3233" s="26">
        <v>247.0</v>
      </c>
      <c r="C3233" s="27">
        <v>5.0</v>
      </c>
      <c r="D3233" s="8" t="s">
        <v>4244</v>
      </c>
      <c r="E3233" s="7">
        <v>0.0</v>
      </c>
      <c r="F3233" s="7"/>
      <c r="G3233" s="7" t="s">
        <v>313</v>
      </c>
      <c r="H3233" s="7" t="s">
        <v>312</v>
      </c>
      <c r="I3233" s="10"/>
      <c r="J3233" s="9" t="s">
        <v>4245</v>
      </c>
      <c r="K3233" s="12"/>
      <c r="L3233" s="12"/>
      <c r="M3233" s="10"/>
      <c r="N3233" s="10"/>
      <c r="O3233" s="10"/>
      <c r="P3233" s="10"/>
      <c r="Q3233" s="10"/>
      <c r="R3233" s="10"/>
      <c r="S3233" s="10"/>
      <c r="T3233" s="10"/>
      <c r="U3233" s="10"/>
      <c r="V3233" s="10"/>
      <c r="W3233" s="10"/>
      <c r="X3233" s="10"/>
      <c r="Y3233" s="10"/>
      <c r="Z3233" s="10"/>
      <c r="AA3233" s="10"/>
      <c r="AB3233" s="10"/>
      <c r="AC3233" s="10"/>
      <c r="AD3233" s="10"/>
      <c r="AE3233" s="10"/>
      <c r="AF3233" s="10"/>
    </row>
    <row r="3234">
      <c r="A3234" s="7"/>
      <c r="B3234" s="26">
        <v>247.0</v>
      </c>
      <c r="C3234" s="27">
        <v>6.0</v>
      </c>
      <c r="D3234" s="8" t="s">
        <v>4246</v>
      </c>
      <c r="E3234" s="7">
        <v>0.0</v>
      </c>
      <c r="F3234" s="7"/>
      <c r="G3234" s="7" t="s">
        <v>313</v>
      </c>
      <c r="H3234" s="7" t="s">
        <v>312</v>
      </c>
      <c r="I3234" s="10"/>
      <c r="J3234" s="9" t="s">
        <v>4247</v>
      </c>
      <c r="K3234" s="12"/>
      <c r="L3234" s="12"/>
      <c r="M3234" s="10"/>
      <c r="N3234" s="10"/>
      <c r="O3234" s="10"/>
      <c r="P3234" s="10"/>
      <c r="Q3234" s="10"/>
      <c r="R3234" s="10"/>
      <c r="S3234" s="10"/>
      <c r="T3234" s="10"/>
      <c r="U3234" s="10"/>
      <c r="V3234" s="10"/>
      <c r="W3234" s="10"/>
      <c r="X3234" s="10"/>
      <c r="Y3234" s="10"/>
      <c r="Z3234" s="10"/>
      <c r="AA3234" s="10"/>
      <c r="AB3234" s="10"/>
      <c r="AC3234" s="10"/>
      <c r="AD3234" s="10"/>
      <c r="AE3234" s="10"/>
      <c r="AF3234" s="10"/>
    </row>
    <row r="3235">
      <c r="A3235" s="7"/>
      <c r="B3235" s="26">
        <v>247.0</v>
      </c>
      <c r="C3235" s="27">
        <v>7.0</v>
      </c>
      <c r="D3235" s="8" t="s">
        <v>4248</v>
      </c>
      <c r="E3235" s="7">
        <v>0.0</v>
      </c>
      <c r="F3235" s="7"/>
      <c r="G3235" s="7" t="s">
        <v>313</v>
      </c>
      <c r="H3235" s="7" t="s">
        <v>312</v>
      </c>
      <c r="I3235" s="10"/>
      <c r="J3235" s="9" t="s">
        <v>4249</v>
      </c>
      <c r="K3235" s="12"/>
      <c r="L3235" s="12"/>
      <c r="M3235" s="10"/>
      <c r="N3235" s="10"/>
      <c r="O3235" s="10"/>
      <c r="P3235" s="10"/>
      <c r="Q3235" s="10"/>
      <c r="R3235" s="10"/>
      <c r="S3235" s="10"/>
      <c r="T3235" s="10"/>
      <c r="U3235" s="10"/>
      <c r="V3235" s="10"/>
      <c r="W3235" s="10"/>
      <c r="X3235" s="10"/>
      <c r="Y3235" s="10"/>
      <c r="Z3235" s="10"/>
      <c r="AA3235" s="10"/>
      <c r="AB3235" s="10"/>
      <c r="AC3235" s="10"/>
      <c r="AD3235" s="10"/>
      <c r="AE3235" s="10"/>
      <c r="AF3235" s="10"/>
    </row>
    <row r="3236">
      <c r="A3236" s="7"/>
      <c r="B3236" s="26">
        <v>247.0</v>
      </c>
      <c r="C3236" s="27">
        <v>8.0</v>
      </c>
      <c r="D3236" s="8" t="s">
        <v>4250</v>
      </c>
      <c r="E3236" s="7">
        <v>0.0</v>
      </c>
      <c r="F3236" s="7"/>
      <c r="G3236" s="7" t="s">
        <v>313</v>
      </c>
      <c r="H3236" s="7" t="s">
        <v>312</v>
      </c>
      <c r="I3236" s="10"/>
      <c r="J3236" s="11"/>
      <c r="K3236" s="12"/>
      <c r="L3236" s="12"/>
      <c r="M3236" s="10"/>
      <c r="N3236" s="10"/>
      <c r="O3236" s="10"/>
      <c r="P3236" s="10"/>
      <c r="Q3236" s="10"/>
      <c r="R3236" s="10"/>
      <c r="S3236" s="10"/>
      <c r="T3236" s="10"/>
      <c r="U3236" s="10"/>
      <c r="V3236" s="10"/>
      <c r="W3236" s="10"/>
      <c r="X3236" s="10"/>
      <c r="Y3236" s="10"/>
      <c r="Z3236" s="10"/>
      <c r="AA3236" s="10"/>
      <c r="AB3236" s="10"/>
      <c r="AC3236" s="10"/>
      <c r="AD3236" s="10"/>
      <c r="AE3236" s="10"/>
      <c r="AF3236" s="10"/>
    </row>
    <row r="3237">
      <c r="A3237" s="7"/>
      <c r="B3237" s="26">
        <v>247.0</v>
      </c>
      <c r="C3237" s="27">
        <v>9.0</v>
      </c>
      <c r="D3237" s="8" t="s">
        <v>4251</v>
      </c>
      <c r="E3237" s="7">
        <v>0.0</v>
      </c>
      <c r="F3237" s="7"/>
      <c r="G3237" s="7" t="s">
        <v>313</v>
      </c>
      <c r="H3237" s="7" t="s">
        <v>312</v>
      </c>
      <c r="I3237" s="10"/>
      <c r="J3237" s="11"/>
      <c r="K3237" s="12"/>
      <c r="L3237" s="12"/>
      <c r="M3237" s="10"/>
      <c r="N3237" s="10"/>
      <c r="O3237" s="10"/>
      <c r="P3237" s="10"/>
      <c r="Q3237" s="10"/>
      <c r="R3237" s="10"/>
      <c r="S3237" s="10"/>
      <c r="T3237" s="10"/>
      <c r="U3237" s="10"/>
      <c r="V3237" s="10"/>
      <c r="W3237" s="10"/>
      <c r="X3237" s="10"/>
      <c r="Y3237" s="10"/>
      <c r="Z3237" s="10"/>
      <c r="AA3237" s="10"/>
      <c r="AB3237" s="10"/>
      <c r="AC3237" s="10"/>
      <c r="AD3237" s="10"/>
      <c r="AE3237" s="10"/>
      <c r="AF3237" s="10"/>
    </row>
    <row r="3238">
      <c r="A3238" s="7"/>
      <c r="B3238" s="26">
        <v>247.0</v>
      </c>
      <c r="C3238" s="27">
        <v>10.0</v>
      </c>
      <c r="D3238" s="8" t="s">
        <v>4252</v>
      </c>
      <c r="E3238" s="7">
        <v>0.0</v>
      </c>
      <c r="F3238" s="7"/>
      <c r="G3238" s="7" t="s">
        <v>313</v>
      </c>
      <c r="H3238" s="7" t="s">
        <v>312</v>
      </c>
      <c r="I3238" s="10"/>
      <c r="J3238" s="11"/>
      <c r="K3238" s="12"/>
      <c r="L3238" s="12"/>
      <c r="M3238" s="10"/>
      <c r="N3238" s="10"/>
      <c r="O3238" s="10"/>
      <c r="P3238" s="10"/>
      <c r="Q3238" s="10"/>
      <c r="R3238" s="10"/>
      <c r="S3238" s="10"/>
      <c r="T3238" s="10"/>
      <c r="U3238" s="10"/>
      <c r="V3238" s="10"/>
      <c r="W3238" s="10"/>
      <c r="X3238" s="10"/>
      <c r="Y3238" s="10"/>
      <c r="Z3238" s="10"/>
      <c r="AA3238" s="10"/>
      <c r="AB3238" s="10"/>
      <c r="AC3238" s="10"/>
      <c r="AD3238" s="10"/>
      <c r="AE3238" s="10"/>
      <c r="AF3238" s="10"/>
    </row>
    <row r="3239">
      <c r="A3239" s="7"/>
      <c r="B3239" s="26">
        <v>247.0</v>
      </c>
      <c r="C3239" s="27">
        <v>11.0</v>
      </c>
      <c r="D3239" s="8" t="s">
        <v>4253</v>
      </c>
      <c r="E3239" s="7">
        <v>0.0</v>
      </c>
      <c r="F3239" s="7"/>
      <c r="G3239" s="7" t="s">
        <v>313</v>
      </c>
      <c r="H3239" s="7" t="s">
        <v>312</v>
      </c>
      <c r="I3239" s="10"/>
      <c r="J3239" s="11"/>
      <c r="K3239" s="12"/>
      <c r="L3239" s="12"/>
      <c r="M3239" s="10"/>
      <c r="N3239" s="10"/>
      <c r="O3239" s="10"/>
      <c r="P3239" s="10"/>
      <c r="Q3239" s="10"/>
      <c r="R3239" s="10"/>
      <c r="S3239" s="10"/>
      <c r="T3239" s="10"/>
      <c r="U3239" s="10"/>
      <c r="V3239" s="10"/>
      <c r="W3239" s="10"/>
      <c r="X3239" s="10"/>
      <c r="Y3239" s="10"/>
      <c r="Z3239" s="10"/>
      <c r="AA3239" s="10"/>
      <c r="AB3239" s="10"/>
      <c r="AC3239" s="10"/>
      <c r="AD3239" s="10"/>
      <c r="AE3239" s="10"/>
      <c r="AF3239" s="10"/>
    </row>
    <row r="3240">
      <c r="A3240" s="7"/>
      <c r="B3240" s="26">
        <v>247.0</v>
      </c>
      <c r="C3240" s="27">
        <v>12.0</v>
      </c>
      <c r="D3240" s="8" t="s">
        <v>4254</v>
      </c>
      <c r="E3240" s="7">
        <v>3.0</v>
      </c>
      <c r="F3240" s="7"/>
      <c r="G3240" s="7" t="s">
        <v>313</v>
      </c>
      <c r="H3240" s="7" t="s">
        <v>312</v>
      </c>
      <c r="I3240" s="10"/>
      <c r="J3240" s="11"/>
      <c r="K3240" s="12"/>
      <c r="L3240" s="12"/>
      <c r="M3240" s="10"/>
      <c r="N3240" s="10"/>
      <c r="O3240" s="10"/>
      <c r="P3240" s="10"/>
      <c r="Q3240" s="10"/>
      <c r="R3240" s="10"/>
      <c r="S3240" s="10"/>
      <c r="T3240" s="10"/>
      <c r="U3240" s="10"/>
      <c r="V3240" s="10"/>
      <c r="W3240" s="10"/>
      <c r="X3240" s="10"/>
      <c r="Y3240" s="10"/>
      <c r="Z3240" s="10"/>
      <c r="AA3240" s="10"/>
      <c r="AB3240" s="10"/>
      <c r="AC3240" s="10"/>
      <c r="AD3240" s="10"/>
      <c r="AE3240" s="10"/>
      <c r="AF3240" s="10"/>
    </row>
    <row r="3241">
      <c r="A3241" s="7"/>
      <c r="B3241" s="26">
        <v>247.0</v>
      </c>
      <c r="C3241" s="27">
        <v>13.0</v>
      </c>
      <c r="D3241" s="8" t="s">
        <v>4255</v>
      </c>
      <c r="E3241" s="7">
        <v>3.0</v>
      </c>
      <c r="F3241" s="7"/>
      <c r="G3241" s="7" t="s">
        <v>313</v>
      </c>
      <c r="H3241" s="7" t="s">
        <v>312</v>
      </c>
      <c r="I3241" s="10"/>
      <c r="J3241" s="11"/>
      <c r="K3241" s="12"/>
      <c r="L3241" s="12"/>
      <c r="M3241" s="10"/>
      <c r="N3241" s="10"/>
      <c r="O3241" s="10"/>
      <c r="P3241" s="10"/>
      <c r="Q3241" s="10"/>
      <c r="R3241" s="10"/>
      <c r="S3241" s="10"/>
      <c r="T3241" s="10"/>
      <c r="U3241" s="10"/>
      <c r="V3241" s="10"/>
      <c r="W3241" s="10"/>
      <c r="X3241" s="10"/>
      <c r="Y3241" s="10"/>
      <c r="Z3241" s="10"/>
      <c r="AA3241" s="10"/>
      <c r="AB3241" s="10"/>
      <c r="AC3241" s="10"/>
      <c r="AD3241" s="10"/>
      <c r="AE3241" s="10"/>
      <c r="AF3241" s="10"/>
    </row>
    <row r="3242">
      <c r="A3242" s="7"/>
      <c r="B3242" s="26">
        <v>247.0</v>
      </c>
      <c r="C3242" s="27">
        <v>14.0</v>
      </c>
      <c r="D3242" s="8" t="s">
        <v>4256</v>
      </c>
      <c r="E3242" s="7">
        <v>3.0</v>
      </c>
      <c r="F3242" s="7"/>
      <c r="G3242" s="7" t="s">
        <v>313</v>
      </c>
      <c r="H3242" s="7" t="s">
        <v>312</v>
      </c>
      <c r="I3242" s="10"/>
      <c r="J3242" s="11"/>
      <c r="K3242" s="12"/>
      <c r="L3242" s="12"/>
      <c r="M3242" s="10"/>
      <c r="N3242" s="10"/>
      <c r="O3242" s="10"/>
      <c r="P3242" s="10"/>
      <c r="Q3242" s="10"/>
      <c r="R3242" s="10"/>
      <c r="S3242" s="10"/>
      <c r="T3242" s="10"/>
      <c r="U3242" s="10"/>
      <c r="V3242" s="10"/>
      <c r="W3242" s="10"/>
      <c r="X3242" s="10"/>
      <c r="Y3242" s="10"/>
      <c r="Z3242" s="10"/>
      <c r="AA3242" s="10"/>
      <c r="AB3242" s="10"/>
      <c r="AC3242" s="10"/>
      <c r="AD3242" s="10"/>
      <c r="AE3242" s="10"/>
      <c r="AF3242" s="10"/>
    </row>
    <row r="3243">
      <c r="A3243" s="7"/>
      <c r="B3243" s="26">
        <v>247.0</v>
      </c>
      <c r="C3243" s="27">
        <v>15.0</v>
      </c>
      <c r="D3243" s="8" t="s">
        <v>4257</v>
      </c>
      <c r="E3243" s="7">
        <v>3.0</v>
      </c>
      <c r="F3243" s="7"/>
      <c r="G3243" s="7" t="s">
        <v>313</v>
      </c>
      <c r="H3243" s="7" t="s">
        <v>312</v>
      </c>
      <c r="I3243" s="10"/>
      <c r="J3243" s="11"/>
      <c r="K3243" s="12"/>
      <c r="L3243" s="12"/>
      <c r="M3243" s="10"/>
      <c r="N3243" s="10"/>
      <c r="O3243" s="10"/>
      <c r="P3243" s="10"/>
      <c r="Q3243" s="10"/>
      <c r="R3243" s="10"/>
      <c r="S3243" s="10"/>
      <c r="T3243" s="10"/>
      <c r="U3243" s="10"/>
      <c r="V3243" s="10"/>
      <c r="W3243" s="10"/>
      <c r="X3243" s="10"/>
      <c r="Y3243" s="10"/>
      <c r="Z3243" s="10"/>
      <c r="AA3243" s="10"/>
      <c r="AB3243" s="10"/>
      <c r="AC3243" s="10"/>
      <c r="AD3243" s="10"/>
      <c r="AE3243" s="10"/>
      <c r="AF3243" s="10"/>
    </row>
    <row r="3244">
      <c r="A3244" s="7"/>
      <c r="B3244" s="26">
        <v>247.0</v>
      </c>
      <c r="C3244" s="27">
        <v>16.0</v>
      </c>
      <c r="D3244" s="8" t="s">
        <v>4258</v>
      </c>
      <c r="E3244" s="7">
        <v>3.0</v>
      </c>
      <c r="F3244" s="7"/>
      <c r="G3244" s="7" t="s">
        <v>313</v>
      </c>
      <c r="H3244" s="7" t="s">
        <v>312</v>
      </c>
      <c r="I3244" s="10"/>
      <c r="J3244" s="11"/>
      <c r="K3244" s="12"/>
      <c r="L3244" s="12"/>
      <c r="M3244" s="10"/>
      <c r="N3244" s="10"/>
      <c r="O3244" s="10"/>
      <c r="P3244" s="10"/>
      <c r="Q3244" s="10"/>
      <c r="R3244" s="10"/>
      <c r="S3244" s="10"/>
      <c r="T3244" s="10"/>
      <c r="U3244" s="10"/>
      <c r="V3244" s="10"/>
      <c r="W3244" s="10"/>
      <c r="X3244" s="10"/>
      <c r="Y3244" s="10"/>
      <c r="Z3244" s="10"/>
      <c r="AA3244" s="10"/>
      <c r="AB3244" s="10"/>
      <c r="AC3244" s="10"/>
      <c r="AD3244" s="10"/>
      <c r="AE3244" s="10"/>
      <c r="AF3244" s="10"/>
    </row>
    <row r="3245">
      <c r="A3245" s="7"/>
      <c r="B3245" s="26">
        <v>247.0</v>
      </c>
      <c r="C3245" s="27">
        <v>17.0</v>
      </c>
      <c r="D3245" s="8" t="s">
        <v>4259</v>
      </c>
      <c r="E3245" s="7">
        <v>3.0</v>
      </c>
      <c r="F3245" s="7"/>
      <c r="G3245" s="7" t="s">
        <v>313</v>
      </c>
      <c r="H3245" s="7" t="s">
        <v>312</v>
      </c>
      <c r="I3245" s="10"/>
      <c r="J3245" s="11"/>
      <c r="K3245" s="12"/>
      <c r="L3245" s="14" t="s">
        <v>4260</v>
      </c>
      <c r="M3245" s="10"/>
      <c r="N3245" s="10"/>
      <c r="O3245" s="10"/>
      <c r="P3245" s="10"/>
      <c r="Q3245" s="10"/>
      <c r="R3245" s="10"/>
      <c r="S3245" s="10"/>
      <c r="T3245" s="10"/>
      <c r="U3245" s="10"/>
      <c r="V3245" s="10"/>
      <c r="W3245" s="10"/>
      <c r="X3245" s="10"/>
      <c r="Y3245" s="10"/>
      <c r="Z3245" s="10"/>
      <c r="AA3245" s="10"/>
      <c r="AB3245" s="10"/>
      <c r="AC3245" s="10"/>
      <c r="AD3245" s="10"/>
      <c r="AE3245" s="10"/>
      <c r="AF3245" s="10"/>
    </row>
    <row r="3246">
      <c r="A3246" s="7"/>
      <c r="B3246" s="26">
        <v>247.0</v>
      </c>
      <c r="C3246" s="27">
        <v>18.0</v>
      </c>
      <c r="D3246" s="8" t="s">
        <v>4261</v>
      </c>
      <c r="E3246" s="7">
        <v>3.0</v>
      </c>
      <c r="F3246" s="7"/>
      <c r="G3246" s="7" t="s">
        <v>313</v>
      </c>
      <c r="H3246" s="7" t="s">
        <v>312</v>
      </c>
      <c r="I3246" s="10"/>
      <c r="J3246" s="11"/>
      <c r="K3246" s="12"/>
      <c r="L3246" s="14" t="s">
        <v>4262</v>
      </c>
      <c r="M3246" s="10"/>
      <c r="N3246" s="10"/>
      <c r="O3246" s="10"/>
      <c r="P3246" s="10"/>
      <c r="Q3246" s="10"/>
      <c r="R3246" s="10"/>
      <c r="S3246" s="10"/>
      <c r="T3246" s="10"/>
      <c r="U3246" s="10"/>
      <c r="V3246" s="10"/>
      <c r="W3246" s="10"/>
      <c r="X3246" s="10"/>
      <c r="Y3246" s="10"/>
      <c r="Z3246" s="10"/>
      <c r="AA3246" s="10"/>
      <c r="AB3246" s="10"/>
      <c r="AC3246" s="10"/>
      <c r="AD3246" s="10"/>
      <c r="AE3246" s="10"/>
      <c r="AF3246" s="10"/>
    </row>
    <row r="3247">
      <c r="A3247" s="7"/>
      <c r="B3247" s="26">
        <v>247.0</v>
      </c>
      <c r="C3247" s="27">
        <v>19.0</v>
      </c>
      <c r="D3247" s="8" t="s">
        <v>4263</v>
      </c>
      <c r="E3247" s="7">
        <v>3.0</v>
      </c>
      <c r="F3247" s="7"/>
      <c r="G3247" s="7" t="s">
        <v>313</v>
      </c>
      <c r="H3247" s="7" t="s">
        <v>312</v>
      </c>
      <c r="I3247" s="10"/>
      <c r="J3247" s="11"/>
      <c r="K3247" s="12"/>
      <c r="L3247" s="12"/>
      <c r="M3247" s="10"/>
      <c r="N3247" s="10"/>
      <c r="O3247" s="10"/>
      <c r="P3247" s="10"/>
      <c r="Q3247" s="10"/>
      <c r="R3247" s="10"/>
      <c r="S3247" s="10"/>
      <c r="T3247" s="10"/>
      <c r="U3247" s="10"/>
      <c r="V3247" s="10"/>
      <c r="W3247" s="10"/>
      <c r="X3247" s="10"/>
      <c r="Y3247" s="10"/>
      <c r="Z3247" s="10"/>
      <c r="AA3247" s="10"/>
      <c r="AB3247" s="10"/>
      <c r="AC3247" s="10"/>
      <c r="AD3247" s="10"/>
      <c r="AE3247" s="10"/>
      <c r="AF3247" s="10"/>
    </row>
    <row r="3248">
      <c r="A3248" s="7"/>
      <c r="B3248" s="26">
        <v>247.0</v>
      </c>
      <c r="C3248" s="27">
        <v>20.0</v>
      </c>
      <c r="D3248" s="8" t="s">
        <v>4264</v>
      </c>
      <c r="E3248" s="7">
        <v>3.0</v>
      </c>
      <c r="F3248" s="7"/>
      <c r="G3248" s="7" t="s">
        <v>313</v>
      </c>
      <c r="H3248" s="7" t="s">
        <v>312</v>
      </c>
      <c r="I3248" s="10"/>
      <c r="J3248" s="11"/>
      <c r="K3248" s="12"/>
      <c r="L3248" s="14" t="s">
        <v>4265</v>
      </c>
      <c r="M3248" s="10"/>
      <c r="N3248" s="10"/>
      <c r="O3248" s="10"/>
      <c r="P3248" s="10"/>
      <c r="Q3248" s="10"/>
      <c r="R3248" s="10"/>
      <c r="S3248" s="10"/>
      <c r="T3248" s="10"/>
      <c r="U3248" s="10"/>
      <c r="V3248" s="10"/>
      <c r="W3248" s="10"/>
      <c r="X3248" s="10"/>
      <c r="Y3248" s="10"/>
      <c r="Z3248" s="10"/>
      <c r="AA3248" s="10"/>
      <c r="AB3248" s="10"/>
      <c r="AC3248" s="10"/>
      <c r="AD3248" s="10"/>
      <c r="AE3248" s="10"/>
      <c r="AF3248" s="10"/>
    </row>
    <row r="3249">
      <c r="A3249" s="7"/>
      <c r="B3249" s="26">
        <v>247.0</v>
      </c>
      <c r="C3249" s="27">
        <v>21.0</v>
      </c>
      <c r="D3249" s="8" t="s">
        <v>4266</v>
      </c>
      <c r="E3249" s="7">
        <v>3.0</v>
      </c>
      <c r="F3249" s="7"/>
      <c r="G3249" s="7" t="s">
        <v>313</v>
      </c>
      <c r="H3249" s="7" t="s">
        <v>312</v>
      </c>
      <c r="I3249" s="10"/>
      <c r="J3249" s="11"/>
      <c r="K3249" s="12"/>
      <c r="L3249" s="12"/>
      <c r="M3249" s="10"/>
      <c r="N3249" s="10"/>
      <c r="O3249" s="10"/>
      <c r="P3249" s="10"/>
      <c r="Q3249" s="10"/>
      <c r="R3249" s="10"/>
      <c r="S3249" s="10"/>
      <c r="T3249" s="10"/>
      <c r="U3249" s="10"/>
      <c r="V3249" s="10"/>
      <c r="W3249" s="10"/>
      <c r="X3249" s="10"/>
      <c r="Y3249" s="10"/>
      <c r="Z3249" s="10"/>
      <c r="AA3249" s="10"/>
      <c r="AB3249" s="10"/>
      <c r="AC3249" s="10"/>
      <c r="AD3249" s="10"/>
      <c r="AE3249" s="10"/>
      <c r="AF3249" s="10"/>
    </row>
    <row r="3250">
      <c r="A3250" s="7"/>
      <c r="B3250" s="26">
        <v>247.0</v>
      </c>
      <c r="C3250" s="27">
        <v>22.0</v>
      </c>
      <c r="D3250" s="8" t="s">
        <v>4267</v>
      </c>
      <c r="E3250" s="7">
        <v>0.0</v>
      </c>
      <c r="F3250" s="7"/>
      <c r="G3250" s="7" t="s">
        <v>313</v>
      </c>
      <c r="H3250" s="7" t="s">
        <v>312</v>
      </c>
      <c r="I3250" s="10"/>
      <c r="J3250" s="11"/>
      <c r="K3250" s="12"/>
      <c r="L3250" s="12"/>
      <c r="M3250" s="10"/>
      <c r="N3250" s="10"/>
      <c r="O3250" s="10"/>
      <c r="P3250" s="10"/>
      <c r="Q3250" s="10"/>
      <c r="R3250" s="10"/>
      <c r="S3250" s="10"/>
      <c r="T3250" s="10"/>
      <c r="U3250" s="10"/>
      <c r="V3250" s="10"/>
      <c r="W3250" s="10"/>
      <c r="X3250" s="10"/>
      <c r="Y3250" s="10"/>
      <c r="Z3250" s="10"/>
      <c r="AA3250" s="10"/>
      <c r="AB3250" s="10"/>
      <c r="AC3250" s="10"/>
      <c r="AD3250" s="10"/>
      <c r="AE3250" s="10"/>
      <c r="AF3250" s="10"/>
    </row>
    <row r="3251">
      <c r="A3251" s="7"/>
      <c r="B3251" s="26">
        <v>247.0</v>
      </c>
      <c r="C3251" s="27">
        <v>23.0</v>
      </c>
      <c r="D3251" s="8" t="s">
        <v>4268</v>
      </c>
      <c r="E3251" s="7">
        <v>0.0</v>
      </c>
      <c r="F3251" s="7"/>
      <c r="G3251" s="7" t="s">
        <v>313</v>
      </c>
      <c r="H3251" s="7" t="s">
        <v>312</v>
      </c>
      <c r="I3251" s="10"/>
      <c r="J3251" s="11"/>
      <c r="K3251" s="12"/>
      <c r="L3251" s="12"/>
      <c r="M3251" s="10"/>
      <c r="N3251" s="10"/>
      <c r="O3251" s="10"/>
      <c r="P3251" s="10"/>
      <c r="Q3251" s="10"/>
      <c r="R3251" s="10"/>
      <c r="S3251" s="10"/>
      <c r="T3251" s="10"/>
      <c r="U3251" s="10"/>
      <c r="V3251" s="10"/>
      <c r="W3251" s="10"/>
      <c r="X3251" s="10"/>
      <c r="Y3251" s="10"/>
      <c r="Z3251" s="10"/>
      <c r="AA3251" s="10"/>
      <c r="AB3251" s="10"/>
      <c r="AC3251" s="10"/>
      <c r="AD3251" s="10"/>
      <c r="AE3251" s="10"/>
      <c r="AF3251" s="10"/>
    </row>
    <row r="3252">
      <c r="A3252" s="7"/>
      <c r="B3252" s="26">
        <v>247.0</v>
      </c>
      <c r="C3252" s="27">
        <v>24.0</v>
      </c>
      <c r="D3252" s="8" t="s">
        <v>4269</v>
      </c>
      <c r="E3252" s="7">
        <v>0.0</v>
      </c>
      <c r="F3252" s="7"/>
      <c r="G3252" s="7" t="s">
        <v>313</v>
      </c>
      <c r="H3252" s="7" t="s">
        <v>312</v>
      </c>
      <c r="I3252" s="10"/>
      <c r="J3252" s="11"/>
      <c r="K3252" s="12"/>
      <c r="L3252" s="12"/>
      <c r="M3252" s="10"/>
      <c r="N3252" s="10"/>
      <c r="O3252" s="10"/>
      <c r="P3252" s="10"/>
      <c r="Q3252" s="10"/>
      <c r="R3252" s="10"/>
      <c r="S3252" s="10"/>
      <c r="T3252" s="10"/>
      <c r="U3252" s="10"/>
      <c r="V3252" s="10"/>
      <c r="W3252" s="10"/>
      <c r="X3252" s="10"/>
      <c r="Y3252" s="10"/>
      <c r="Z3252" s="10"/>
      <c r="AA3252" s="10"/>
      <c r="AB3252" s="10"/>
      <c r="AC3252" s="10"/>
      <c r="AD3252" s="10"/>
      <c r="AE3252" s="10"/>
      <c r="AF3252" s="10"/>
    </row>
    <row r="3253">
      <c r="A3253" s="7"/>
      <c r="B3253" s="26">
        <v>247.0</v>
      </c>
      <c r="C3253" s="27">
        <v>25.0</v>
      </c>
      <c r="D3253" s="8" t="s">
        <v>4270</v>
      </c>
      <c r="E3253" s="7">
        <v>0.0</v>
      </c>
      <c r="F3253" s="7"/>
      <c r="G3253" s="7" t="s">
        <v>313</v>
      </c>
      <c r="H3253" s="7" t="s">
        <v>312</v>
      </c>
      <c r="I3253" s="10"/>
      <c r="J3253" s="11"/>
      <c r="K3253" s="12"/>
      <c r="L3253" s="12"/>
      <c r="M3253" s="10"/>
      <c r="N3253" s="10"/>
      <c r="O3253" s="10"/>
      <c r="P3253" s="10"/>
      <c r="Q3253" s="10"/>
      <c r="R3253" s="10"/>
      <c r="S3253" s="10"/>
      <c r="T3253" s="10"/>
      <c r="U3253" s="10"/>
      <c r="V3253" s="10"/>
      <c r="W3253" s="10"/>
      <c r="X3253" s="10"/>
      <c r="Y3253" s="10"/>
      <c r="Z3253" s="10"/>
      <c r="AA3253" s="10"/>
      <c r="AB3253" s="10"/>
      <c r="AC3253" s="10"/>
      <c r="AD3253" s="10"/>
      <c r="AE3253" s="10"/>
      <c r="AF3253" s="10"/>
    </row>
    <row r="3254">
      <c r="A3254" s="7"/>
      <c r="B3254" s="26">
        <v>247.0</v>
      </c>
      <c r="C3254" s="27">
        <v>26.0</v>
      </c>
      <c r="D3254" s="8" t="s">
        <v>4271</v>
      </c>
      <c r="E3254" s="7">
        <v>0.0</v>
      </c>
      <c r="F3254" s="7"/>
      <c r="G3254" s="7" t="s">
        <v>313</v>
      </c>
      <c r="H3254" s="7" t="s">
        <v>312</v>
      </c>
      <c r="I3254" s="10"/>
      <c r="J3254" s="11"/>
      <c r="K3254" s="12"/>
      <c r="L3254" s="12"/>
      <c r="M3254" s="10"/>
      <c r="N3254" s="10"/>
      <c r="O3254" s="10"/>
      <c r="P3254" s="10"/>
      <c r="Q3254" s="10"/>
      <c r="R3254" s="10"/>
      <c r="S3254" s="10"/>
      <c r="T3254" s="10"/>
      <c r="U3254" s="10"/>
      <c r="V3254" s="10"/>
      <c r="W3254" s="10"/>
      <c r="X3254" s="10"/>
      <c r="Y3254" s="10"/>
      <c r="Z3254" s="10"/>
      <c r="AA3254" s="10"/>
      <c r="AB3254" s="10"/>
      <c r="AC3254" s="10"/>
      <c r="AD3254" s="10"/>
      <c r="AE3254" s="10"/>
      <c r="AF3254" s="10"/>
    </row>
    <row r="3255">
      <c r="A3255" s="7"/>
      <c r="B3255" s="26">
        <v>247.0</v>
      </c>
      <c r="C3255" s="27">
        <v>27.0</v>
      </c>
      <c r="D3255" s="8" t="s">
        <v>4272</v>
      </c>
      <c r="E3255" s="7">
        <v>0.0</v>
      </c>
      <c r="F3255" s="7"/>
      <c r="G3255" s="7" t="s">
        <v>313</v>
      </c>
      <c r="H3255" s="7" t="s">
        <v>312</v>
      </c>
      <c r="I3255" s="10"/>
      <c r="J3255" s="11"/>
      <c r="K3255" s="12"/>
      <c r="L3255" s="12"/>
      <c r="M3255" s="10"/>
      <c r="N3255" s="10"/>
      <c r="O3255" s="10"/>
      <c r="P3255" s="10"/>
      <c r="Q3255" s="10"/>
      <c r="R3255" s="10"/>
      <c r="S3255" s="10"/>
      <c r="T3255" s="10"/>
      <c r="U3255" s="10"/>
      <c r="V3255" s="10"/>
      <c r="W3255" s="10"/>
      <c r="X3255" s="10"/>
      <c r="Y3255" s="10"/>
      <c r="Z3255" s="10"/>
      <c r="AA3255" s="10"/>
      <c r="AB3255" s="10"/>
      <c r="AC3255" s="10"/>
      <c r="AD3255" s="10"/>
      <c r="AE3255" s="10"/>
      <c r="AF3255" s="10"/>
    </row>
    <row r="3256">
      <c r="A3256" s="7"/>
      <c r="B3256" s="26">
        <v>247.0</v>
      </c>
      <c r="C3256" s="27">
        <v>28.0</v>
      </c>
      <c r="D3256" s="8" t="s">
        <v>4273</v>
      </c>
      <c r="E3256" s="7">
        <v>0.0</v>
      </c>
      <c r="F3256" s="7"/>
      <c r="G3256" s="7" t="s">
        <v>313</v>
      </c>
      <c r="H3256" s="7" t="s">
        <v>312</v>
      </c>
      <c r="I3256" s="10"/>
      <c r="J3256" s="11"/>
      <c r="K3256" s="12"/>
      <c r="L3256" s="12"/>
      <c r="M3256" s="10"/>
      <c r="N3256" s="10"/>
      <c r="O3256" s="10"/>
      <c r="P3256" s="10"/>
      <c r="Q3256" s="10"/>
      <c r="R3256" s="10"/>
      <c r="S3256" s="10"/>
      <c r="T3256" s="10"/>
      <c r="U3256" s="10"/>
      <c r="V3256" s="10"/>
      <c r="W3256" s="10"/>
      <c r="X3256" s="10"/>
      <c r="Y3256" s="10"/>
      <c r="Z3256" s="10"/>
      <c r="AA3256" s="10"/>
      <c r="AB3256" s="10"/>
      <c r="AC3256" s="10"/>
      <c r="AD3256" s="10"/>
      <c r="AE3256" s="10"/>
      <c r="AF3256" s="10"/>
    </row>
    <row r="3257">
      <c r="A3257" s="7"/>
      <c r="B3257" s="26">
        <v>247.0</v>
      </c>
      <c r="C3257" s="27">
        <v>29.0</v>
      </c>
      <c r="D3257" s="8" t="s">
        <v>4274</v>
      </c>
      <c r="E3257" s="7">
        <v>0.0</v>
      </c>
      <c r="F3257" s="7"/>
      <c r="G3257" s="7" t="s">
        <v>313</v>
      </c>
      <c r="H3257" s="7" t="s">
        <v>312</v>
      </c>
      <c r="I3257" s="10"/>
      <c r="J3257" s="11"/>
      <c r="K3257" s="12"/>
      <c r="L3257" s="12"/>
      <c r="M3257" s="10"/>
      <c r="N3257" s="10"/>
      <c r="O3257" s="10"/>
      <c r="P3257" s="10"/>
      <c r="Q3257" s="10"/>
      <c r="R3257" s="10"/>
      <c r="S3257" s="10"/>
      <c r="T3257" s="10"/>
      <c r="U3257" s="10"/>
      <c r="V3257" s="10"/>
      <c r="W3257" s="10"/>
      <c r="X3257" s="10"/>
      <c r="Y3257" s="10"/>
      <c r="Z3257" s="10"/>
      <c r="AA3257" s="10"/>
      <c r="AB3257" s="10"/>
      <c r="AC3257" s="10"/>
      <c r="AD3257" s="10"/>
      <c r="AE3257" s="10"/>
      <c r="AF3257" s="10"/>
    </row>
    <row r="3258">
      <c r="A3258" s="7"/>
      <c r="B3258" s="26">
        <v>247.0</v>
      </c>
      <c r="C3258" s="27">
        <v>30.0</v>
      </c>
      <c r="D3258" s="8" t="s">
        <v>4275</v>
      </c>
      <c r="E3258" s="7">
        <v>0.0</v>
      </c>
      <c r="F3258" s="7"/>
      <c r="G3258" s="7" t="s">
        <v>313</v>
      </c>
      <c r="H3258" s="7" t="s">
        <v>312</v>
      </c>
      <c r="I3258" s="10"/>
      <c r="J3258" s="11"/>
      <c r="K3258" s="12"/>
      <c r="L3258" s="12"/>
      <c r="M3258" s="10"/>
      <c r="N3258" s="10"/>
      <c r="O3258" s="10"/>
      <c r="P3258" s="10"/>
      <c r="Q3258" s="10"/>
      <c r="R3258" s="10"/>
      <c r="S3258" s="10"/>
      <c r="T3258" s="10"/>
      <c r="U3258" s="10"/>
      <c r="V3258" s="10"/>
      <c r="W3258" s="10"/>
      <c r="X3258" s="10"/>
      <c r="Y3258" s="10"/>
      <c r="Z3258" s="10"/>
      <c r="AA3258" s="10"/>
      <c r="AB3258" s="10"/>
      <c r="AC3258" s="10"/>
      <c r="AD3258" s="10"/>
      <c r="AE3258" s="10"/>
      <c r="AF3258" s="10"/>
    </row>
    <row r="3259">
      <c r="A3259" s="7"/>
      <c r="B3259" s="26">
        <v>247.0</v>
      </c>
      <c r="C3259" s="27">
        <v>31.0</v>
      </c>
      <c r="D3259" s="8" t="s">
        <v>4276</v>
      </c>
      <c r="E3259" s="7">
        <v>0.0</v>
      </c>
      <c r="F3259" s="7"/>
      <c r="G3259" s="7" t="s">
        <v>313</v>
      </c>
      <c r="H3259" s="7" t="s">
        <v>312</v>
      </c>
      <c r="I3259" s="10"/>
      <c r="J3259" s="11"/>
      <c r="K3259" s="12"/>
      <c r="L3259" s="12"/>
      <c r="M3259" s="10"/>
      <c r="N3259" s="10"/>
      <c r="O3259" s="10"/>
      <c r="P3259" s="10"/>
      <c r="Q3259" s="10"/>
      <c r="R3259" s="10"/>
      <c r="S3259" s="10"/>
      <c r="T3259" s="10"/>
      <c r="U3259" s="10"/>
      <c r="V3259" s="10"/>
      <c r="W3259" s="10"/>
      <c r="X3259" s="10"/>
      <c r="Y3259" s="10"/>
      <c r="Z3259" s="10"/>
      <c r="AA3259" s="10"/>
      <c r="AB3259" s="10"/>
      <c r="AC3259" s="10"/>
      <c r="AD3259" s="10"/>
      <c r="AE3259" s="10"/>
      <c r="AF3259" s="10"/>
    </row>
    <row r="3260">
      <c r="A3260" s="7"/>
      <c r="B3260" s="26">
        <v>247.0</v>
      </c>
      <c r="C3260" s="27">
        <v>32.0</v>
      </c>
      <c r="D3260" s="8" t="s">
        <v>4277</v>
      </c>
      <c r="E3260" s="7">
        <v>0.0</v>
      </c>
      <c r="F3260" s="7"/>
      <c r="G3260" s="7" t="s">
        <v>313</v>
      </c>
      <c r="H3260" s="7" t="s">
        <v>312</v>
      </c>
      <c r="I3260" s="10"/>
      <c r="J3260" s="11"/>
      <c r="K3260" s="12"/>
      <c r="L3260" s="12"/>
      <c r="M3260" s="10"/>
      <c r="N3260" s="10"/>
      <c r="O3260" s="10"/>
      <c r="P3260" s="10"/>
      <c r="Q3260" s="10"/>
      <c r="R3260" s="10"/>
      <c r="S3260" s="10"/>
      <c r="T3260" s="10"/>
      <c r="U3260" s="10"/>
      <c r="V3260" s="10"/>
      <c r="W3260" s="10"/>
      <c r="X3260" s="10"/>
      <c r="Y3260" s="10"/>
      <c r="Z3260" s="10"/>
      <c r="AA3260" s="10"/>
      <c r="AB3260" s="10"/>
      <c r="AC3260" s="10"/>
      <c r="AD3260" s="10"/>
      <c r="AE3260" s="10"/>
      <c r="AF3260" s="10"/>
    </row>
    <row r="3261">
      <c r="A3261" s="7"/>
      <c r="B3261" s="26">
        <v>247.0</v>
      </c>
      <c r="C3261" s="27">
        <v>33.0</v>
      </c>
      <c r="D3261" s="8" t="s">
        <v>4278</v>
      </c>
      <c r="E3261" s="7">
        <v>0.0</v>
      </c>
      <c r="F3261" s="7"/>
      <c r="G3261" s="7" t="s">
        <v>313</v>
      </c>
      <c r="H3261" s="7" t="s">
        <v>312</v>
      </c>
      <c r="I3261" s="10"/>
      <c r="J3261" s="11"/>
      <c r="K3261" s="12"/>
      <c r="L3261" s="12"/>
      <c r="M3261" s="10"/>
      <c r="N3261" s="10"/>
      <c r="O3261" s="10"/>
      <c r="P3261" s="10"/>
      <c r="Q3261" s="10"/>
      <c r="R3261" s="10"/>
      <c r="S3261" s="10"/>
      <c r="T3261" s="10"/>
      <c r="U3261" s="10"/>
      <c r="V3261" s="10"/>
      <c r="W3261" s="10"/>
      <c r="X3261" s="10"/>
      <c r="Y3261" s="10"/>
      <c r="Z3261" s="10"/>
      <c r="AA3261" s="10"/>
      <c r="AB3261" s="10"/>
      <c r="AC3261" s="10"/>
      <c r="AD3261" s="10"/>
      <c r="AE3261" s="10"/>
      <c r="AF3261" s="10"/>
    </row>
    <row r="3262">
      <c r="A3262" s="7"/>
      <c r="B3262" s="26">
        <v>247.0</v>
      </c>
      <c r="C3262" s="27">
        <v>34.0</v>
      </c>
      <c r="D3262" s="8" t="s">
        <v>4279</v>
      </c>
      <c r="E3262" s="7">
        <v>0.0</v>
      </c>
      <c r="F3262" s="7"/>
      <c r="G3262" s="7" t="s">
        <v>313</v>
      </c>
      <c r="H3262" s="7" t="s">
        <v>312</v>
      </c>
      <c r="I3262" s="10"/>
      <c r="J3262" s="11"/>
      <c r="K3262" s="12"/>
      <c r="L3262" s="12"/>
      <c r="M3262" s="10"/>
      <c r="N3262" s="10"/>
      <c r="O3262" s="10"/>
      <c r="P3262" s="10"/>
      <c r="Q3262" s="10"/>
      <c r="R3262" s="10"/>
      <c r="S3262" s="10"/>
      <c r="T3262" s="10"/>
      <c r="U3262" s="10"/>
      <c r="V3262" s="10"/>
      <c r="W3262" s="10"/>
      <c r="X3262" s="10"/>
      <c r="Y3262" s="10"/>
      <c r="Z3262" s="10"/>
      <c r="AA3262" s="10"/>
      <c r="AB3262" s="10"/>
      <c r="AC3262" s="10"/>
      <c r="AD3262" s="10"/>
      <c r="AE3262" s="10"/>
      <c r="AF3262" s="10"/>
    </row>
    <row r="3263">
      <c r="A3263" s="7"/>
      <c r="B3263" s="26">
        <v>247.0</v>
      </c>
      <c r="C3263" s="27">
        <v>35.0</v>
      </c>
      <c r="D3263" s="8" t="s">
        <v>4280</v>
      </c>
      <c r="E3263" s="7">
        <v>0.0</v>
      </c>
      <c r="F3263" s="7"/>
      <c r="G3263" s="7" t="s">
        <v>313</v>
      </c>
      <c r="H3263" s="7" t="s">
        <v>312</v>
      </c>
      <c r="I3263" s="10"/>
      <c r="J3263" s="11"/>
      <c r="K3263" s="12"/>
      <c r="L3263" s="12"/>
      <c r="M3263" s="10"/>
      <c r="N3263" s="10"/>
      <c r="O3263" s="10"/>
      <c r="P3263" s="10"/>
      <c r="Q3263" s="10"/>
      <c r="R3263" s="10"/>
      <c r="S3263" s="10"/>
      <c r="T3263" s="10"/>
      <c r="U3263" s="10"/>
      <c r="V3263" s="10"/>
      <c r="W3263" s="10"/>
      <c r="X3263" s="10"/>
      <c r="Y3263" s="10"/>
      <c r="Z3263" s="10"/>
      <c r="AA3263" s="10"/>
      <c r="AB3263" s="10"/>
      <c r="AC3263" s="10"/>
      <c r="AD3263" s="10"/>
      <c r="AE3263" s="10"/>
      <c r="AF3263" s="10"/>
    </row>
    <row r="3264">
      <c r="A3264" s="7"/>
      <c r="B3264" s="26">
        <v>247.0</v>
      </c>
      <c r="C3264" s="27">
        <v>36.0</v>
      </c>
      <c r="D3264" s="8" t="s">
        <v>4281</v>
      </c>
      <c r="E3264" s="7">
        <v>0.0</v>
      </c>
      <c r="F3264" s="7"/>
      <c r="G3264" s="7" t="s">
        <v>313</v>
      </c>
      <c r="H3264" s="7" t="s">
        <v>312</v>
      </c>
      <c r="I3264" s="10"/>
      <c r="J3264" s="11"/>
      <c r="K3264" s="12"/>
      <c r="L3264" s="12"/>
      <c r="M3264" s="10"/>
      <c r="N3264" s="10"/>
      <c r="O3264" s="10"/>
      <c r="P3264" s="10"/>
      <c r="Q3264" s="10"/>
      <c r="R3264" s="10"/>
      <c r="S3264" s="10"/>
      <c r="T3264" s="10"/>
      <c r="U3264" s="10"/>
      <c r="V3264" s="10"/>
      <c r="W3264" s="10"/>
      <c r="X3264" s="10"/>
      <c r="Y3264" s="10"/>
      <c r="Z3264" s="10"/>
      <c r="AA3264" s="10"/>
      <c r="AB3264" s="10"/>
      <c r="AC3264" s="10"/>
      <c r="AD3264" s="10"/>
      <c r="AE3264" s="10"/>
      <c r="AF3264" s="10"/>
    </row>
    <row r="3265">
      <c r="A3265" s="7"/>
      <c r="B3265" s="26">
        <v>247.0</v>
      </c>
      <c r="C3265" s="27">
        <v>37.0</v>
      </c>
      <c r="D3265" s="8" t="s">
        <v>4282</v>
      </c>
      <c r="E3265" s="7">
        <v>0.0</v>
      </c>
      <c r="F3265" s="7"/>
      <c r="G3265" s="7" t="s">
        <v>313</v>
      </c>
      <c r="H3265" s="7" t="s">
        <v>312</v>
      </c>
      <c r="I3265" s="10"/>
      <c r="J3265" s="11"/>
      <c r="K3265" s="12"/>
      <c r="L3265" s="12"/>
      <c r="M3265" s="10"/>
      <c r="N3265" s="10"/>
      <c r="O3265" s="10"/>
      <c r="P3265" s="10"/>
      <c r="Q3265" s="10"/>
      <c r="R3265" s="10"/>
      <c r="S3265" s="10"/>
      <c r="T3265" s="10"/>
      <c r="U3265" s="10"/>
      <c r="V3265" s="10"/>
      <c r="W3265" s="10"/>
      <c r="X3265" s="10"/>
      <c r="Y3265" s="10"/>
      <c r="Z3265" s="10"/>
      <c r="AA3265" s="10"/>
      <c r="AB3265" s="10"/>
      <c r="AC3265" s="10"/>
      <c r="AD3265" s="10"/>
      <c r="AE3265" s="10"/>
      <c r="AF3265" s="10"/>
    </row>
    <row r="3266">
      <c r="A3266" s="7"/>
      <c r="B3266" s="26">
        <v>247.0</v>
      </c>
      <c r="C3266" s="27">
        <v>38.0</v>
      </c>
      <c r="D3266" s="8" t="s">
        <v>4283</v>
      </c>
      <c r="E3266" s="7">
        <v>0.0</v>
      </c>
      <c r="F3266" s="7"/>
      <c r="G3266" s="7" t="s">
        <v>313</v>
      </c>
      <c r="H3266" s="7" t="s">
        <v>312</v>
      </c>
      <c r="I3266" s="10"/>
      <c r="J3266" s="11"/>
      <c r="K3266" s="12"/>
      <c r="L3266" s="12"/>
      <c r="M3266" s="10"/>
      <c r="N3266" s="10"/>
      <c r="O3266" s="10"/>
      <c r="P3266" s="10"/>
      <c r="Q3266" s="10"/>
      <c r="R3266" s="10"/>
      <c r="S3266" s="10"/>
      <c r="T3266" s="10"/>
      <c r="U3266" s="10"/>
      <c r="V3266" s="10"/>
      <c r="W3266" s="10"/>
      <c r="X3266" s="10"/>
      <c r="Y3266" s="10"/>
      <c r="Z3266" s="10"/>
      <c r="AA3266" s="10"/>
      <c r="AB3266" s="10"/>
      <c r="AC3266" s="10"/>
      <c r="AD3266" s="10"/>
      <c r="AE3266" s="10"/>
      <c r="AF3266" s="10"/>
    </row>
    <row r="3267">
      <c r="A3267" s="7"/>
      <c r="B3267" s="26">
        <v>247.0</v>
      </c>
      <c r="C3267" s="27">
        <v>39.0</v>
      </c>
      <c r="D3267" s="8" t="s">
        <v>4284</v>
      </c>
      <c r="E3267" s="7">
        <v>0.0</v>
      </c>
      <c r="F3267" s="7"/>
      <c r="G3267" s="7" t="s">
        <v>313</v>
      </c>
      <c r="H3267" s="7" t="s">
        <v>312</v>
      </c>
      <c r="I3267" s="10"/>
      <c r="J3267" s="11"/>
      <c r="K3267" s="12"/>
      <c r="L3267" s="12"/>
      <c r="M3267" s="10"/>
      <c r="N3267" s="10"/>
      <c r="O3267" s="10"/>
      <c r="P3267" s="10"/>
      <c r="Q3267" s="10"/>
      <c r="R3267" s="10"/>
      <c r="S3267" s="10"/>
      <c r="T3267" s="10"/>
      <c r="U3267" s="10"/>
      <c r="V3267" s="10"/>
      <c r="W3267" s="10"/>
      <c r="X3267" s="10"/>
      <c r="Y3267" s="10"/>
      <c r="Z3267" s="10"/>
      <c r="AA3267" s="10"/>
      <c r="AB3267" s="10"/>
      <c r="AC3267" s="10"/>
      <c r="AD3267" s="10"/>
      <c r="AE3267" s="10"/>
      <c r="AF3267" s="10"/>
    </row>
    <row r="3268">
      <c r="A3268" s="7"/>
      <c r="B3268" s="26">
        <v>247.0</v>
      </c>
      <c r="C3268" s="27">
        <v>40.0</v>
      </c>
      <c r="D3268" s="8" t="s">
        <v>4285</v>
      </c>
      <c r="E3268" s="7">
        <v>0.0</v>
      </c>
      <c r="F3268" s="7"/>
      <c r="G3268" s="7" t="s">
        <v>313</v>
      </c>
      <c r="H3268" s="7" t="s">
        <v>312</v>
      </c>
      <c r="I3268" s="10"/>
      <c r="J3268" s="11"/>
      <c r="K3268" s="12"/>
      <c r="L3268" s="12"/>
      <c r="M3268" s="10"/>
      <c r="N3268" s="10"/>
      <c r="O3268" s="10"/>
      <c r="P3268" s="10"/>
      <c r="Q3268" s="10"/>
      <c r="R3268" s="10"/>
      <c r="S3268" s="10"/>
      <c r="T3268" s="10"/>
      <c r="U3268" s="10"/>
      <c r="V3268" s="10"/>
      <c r="W3268" s="10"/>
      <c r="X3268" s="10"/>
      <c r="Y3268" s="10"/>
      <c r="Z3268" s="10"/>
      <c r="AA3268" s="10"/>
      <c r="AB3268" s="10"/>
      <c r="AC3268" s="10"/>
      <c r="AD3268" s="10"/>
      <c r="AE3268" s="10"/>
      <c r="AF3268" s="10"/>
    </row>
    <row r="3269">
      <c r="A3269" s="7"/>
      <c r="B3269" s="26">
        <v>247.0</v>
      </c>
      <c r="C3269" s="27">
        <v>41.0</v>
      </c>
      <c r="D3269" s="8" t="s">
        <v>4286</v>
      </c>
      <c r="E3269" s="7">
        <v>0.0</v>
      </c>
      <c r="F3269" s="7"/>
      <c r="G3269" s="7" t="s">
        <v>313</v>
      </c>
      <c r="H3269" s="7" t="s">
        <v>312</v>
      </c>
      <c r="I3269" s="10"/>
      <c r="J3269" s="11"/>
      <c r="K3269" s="12"/>
      <c r="L3269" s="12"/>
      <c r="M3269" s="10"/>
      <c r="N3269" s="10"/>
      <c r="O3269" s="10"/>
      <c r="P3269" s="10"/>
      <c r="Q3269" s="10"/>
      <c r="R3269" s="10"/>
      <c r="S3269" s="10"/>
      <c r="T3269" s="10"/>
      <c r="U3269" s="10"/>
      <c r="V3269" s="10"/>
      <c r="W3269" s="10"/>
      <c r="X3269" s="10"/>
      <c r="Y3269" s="10"/>
      <c r="Z3269" s="10"/>
      <c r="AA3269" s="10"/>
      <c r="AB3269" s="10"/>
      <c r="AC3269" s="10"/>
      <c r="AD3269" s="10"/>
      <c r="AE3269" s="10"/>
      <c r="AF3269" s="10"/>
    </row>
    <row r="3270">
      <c r="A3270" s="7"/>
      <c r="B3270" s="26">
        <v>247.0</v>
      </c>
      <c r="C3270" s="27">
        <v>42.0</v>
      </c>
      <c r="D3270" s="8" t="s">
        <v>4287</v>
      </c>
      <c r="E3270" s="7">
        <v>0.0</v>
      </c>
      <c r="F3270" s="7"/>
      <c r="G3270" s="7" t="s">
        <v>313</v>
      </c>
      <c r="H3270" s="7" t="s">
        <v>312</v>
      </c>
      <c r="I3270" s="10"/>
      <c r="J3270" s="11"/>
      <c r="K3270" s="12"/>
      <c r="L3270" s="12"/>
      <c r="M3270" s="10"/>
      <c r="N3270" s="10"/>
      <c r="O3270" s="10"/>
      <c r="P3270" s="10"/>
      <c r="Q3270" s="10"/>
      <c r="R3270" s="10"/>
      <c r="S3270" s="10"/>
      <c r="T3270" s="10"/>
      <c r="U3270" s="10"/>
      <c r="V3270" s="10"/>
      <c r="W3270" s="10"/>
      <c r="X3270" s="10"/>
      <c r="Y3270" s="10"/>
      <c r="Z3270" s="10"/>
      <c r="AA3270" s="10"/>
      <c r="AB3270" s="10"/>
      <c r="AC3270" s="10"/>
      <c r="AD3270" s="10"/>
      <c r="AE3270" s="10"/>
      <c r="AF3270" s="10"/>
    </row>
    <row r="3271">
      <c r="A3271" s="7"/>
      <c r="B3271" s="26">
        <v>247.0</v>
      </c>
      <c r="C3271" s="27">
        <v>43.0</v>
      </c>
      <c r="D3271" s="8" t="s">
        <v>4288</v>
      </c>
      <c r="E3271" s="7">
        <v>0.0</v>
      </c>
      <c r="F3271" s="7"/>
      <c r="G3271" s="7" t="s">
        <v>313</v>
      </c>
      <c r="H3271" s="7" t="s">
        <v>312</v>
      </c>
      <c r="I3271" s="10"/>
      <c r="J3271" s="11"/>
      <c r="K3271" s="12"/>
      <c r="L3271" s="12"/>
      <c r="M3271" s="10"/>
      <c r="N3271" s="10"/>
      <c r="O3271" s="10"/>
      <c r="P3271" s="10"/>
      <c r="Q3271" s="10"/>
      <c r="R3271" s="10"/>
      <c r="S3271" s="10"/>
      <c r="T3271" s="10"/>
      <c r="U3271" s="10"/>
      <c r="V3271" s="10"/>
      <c r="W3271" s="10"/>
      <c r="X3271" s="10"/>
      <c r="Y3271" s="10"/>
      <c r="Z3271" s="10"/>
      <c r="AA3271" s="10"/>
      <c r="AB3271" s="10"/>
      <c r="AC3271" s="10"/>
      <c r="AD3271" s="10"/>
      <c r="AE3271" s="10"/>
      <c r="AF3271" s="10"/>
    </row>
    <row r="3272">
      <c r="A3272" s="7"/>
      <c r="B3272" s="26">
        <v>247.0</v>
      </c>
      <c r="C3272" s="27">
        <v>44.0</v>
      </c>
      <c r="D3272" s="8" t="s">
        <v>4289</v>
      </c>
      <c r="E3272" s="7">
        <v>0.0</v>
      </c>
      <c r="F3272" s="7"/>
      <c r="G3272" s="7" t="s">
        <v>313</v>
      </c>
      <c r="H3272" s="7" t="s">
        <v>312</v>
      </c>
      <c r="I3272" s="10"/>
      <c r="J3272" s="11"/>
      <c r="K3272" s="12"/>
      <c r="L3272" s="12"/>
      <c r="M3272" s="10"/>
      <c r="N3272" s="10"/>
      <c r="O3272" s="10"/>
      <c r="P3272" s="10"/>
      <c r="Q3272" s="10"/>
      <c r="R3272" s="10"/>
      <c r="S3272" s="10"/>
      <c r="T3272" s="10"/>
      <c r="U3272" s="10"/>
      <c r="V3272" s="10"/>
      <c r="W3272" s="10"/>
      <c r="X3272" s="10"/>
      <c r="Y3272" s="10"/>
      <c r="Z3272" s="10"/>
      <c r="AA3272" s="10"/>
      <c r="AB3272" s="10"/>
      <c r="AC3272" s="10"/>
      <c r="AD3272" s="10"/>
      <c r="AE3272" s="10"/>
      <c r="AF3272" s="10"/>
    </row>
    <row r="3273">
      <c r="A3273" s="7"/>
      <c r="B3273" s="26">
        <v>247.0</v>
      </c>
      <c r="C3273" s="27">
        <v>45.0</v>
      </c>
      <c r="D3273" s="8" t="s">
        <v>4290</v>
      </c>
      <c r="E3273" s="7">
        <v>0.0</v>
      </c>
      <c r="F3273" s="7"/>
      <c r="G3273" s="7" t="s">
        <v>313</v>
      </c>
      <c r="H3273" s="7" t="s">
        <v>312</v>
      </c>
      <c r="I3273" s="10"/>
      <c r="J3273" s="11"/>
      <c r="K3273" s="12"/>
      <c r="L3273" s="12"/>
      <c r="M3273" s="10"/>
      <c r="N3273" s="10"/>
      <c r="O3273" s="10"/>
      <c r="P3273" s="10"/>
      <c r="Q3273" s="10"/>
      <c r="R3273" s="10"/>
      <c r="S3273" s="10"/>
      <c r="T3273" s="10"/>
      <c r="U3273" s="10"/>
      <c r="V3273" s="10"/>
      <c r="W3273" s="10"/>
      <c r="X3273" s="10"/>
      <c r="Y3273" s="10"/>
      <c r="Z3273" s="10"/>
      <c r="AA3273" s="10"/>
      <c r="AB3273" s="10"/>
      <c r="AC3273" s="10"/>
      <c r="AD3273" s="10"/>
      <c r="AE3273" s="10"/>
      <c r="AF3273" s="10"/>
    </row>
    <row r="3274">
      <c r="A3274" s="7"/>
      <c r="B3274" s="26">
        <v>247.0</v>
      </c>
      <c r="C3274" s="27">
        <v>46.0</v>
      </c>
      <c r="D3274" s="8" t="s">
        <v>4291</v>
      </c>
      <c r="E3274" s="7">
        <v>0.0</v>
      </c>
      <c r="F3274" s="7"/>
      <c r="G3274" s="7" t="s">
        <v>313</v>
      </c>
      <c r="H3274" s="7" t="s">
        <v>312</v>
      </c>
      <c r="I3274" s="10"/>
      <c r="J3274" s="11"/>
      <c r="K3274" s="12"/>
      <c r="L3274" s="12"/>
      <c r="M3274" s="10"/>
      <c r="N3274" s="10"/>
      <c r="O3274" s="10"/>
      <c r="P3274" s="10"/>
      <c r="Q3274" s="10"/>
      <c r="R3274" s="10"/>
      <c r="S3274" s="10"/>
      <c r="T3274" s="10"/>
      <c r="U3274" s="10"/>
      <c r="V3274" s="10"/>
      <c r="W3274" s="10"/>
      <c r="X3274" s="10"/>
      <c r="Y3274" s="10"/>
      <c r="Z3274" s="10"/>
      <c r="AA3274" s="10"/>
      <c r="AB3274" s="10"/>
      <c r="AC3274" s="10"/>
      <c r="AD3274" s="10"/>
      <c r="AE3274" s="10"/>
      <c r="AF3274" s="10"/>
    </row>
    <row r="3275">
      <c r="A3275" s="7"/>
      <c r="B3275" s="26">
        <v>247.0</v>
      </c>
      <c r="C3275" s="27">
        <v>47.0</v>
      </c>
      <c r="D3275" s="8" t="s">
        <v>4292</v>
      </c>
      <c r="E3275" s="7">
        <v>0.0</v>
      </c>
      <c r="F3275" s="7"/>
      <c r="G3275" s="7" t="s">
        <v>313</v>
      </c>
      <c r="H3275" s="7" t="s">
        <v>312</v>
      </c>
      <c r="I3275" s="10"/>
      <c r="J3275" s="11"/>
      <c r="K3275" s="12"/>
      <c r="L3275" s="12"/>
      <c r="M3275" s="10"/>
      <c r="N3275" s="10"/>
      <c r="O3275" s="10"/>
      <c r="P3275" s="10"/>
      <c r="Q3275" s="10"/>
      <c r="R3275" s="10"/>
      <c r="S3275" s="10"/>
      <c r="T3275" s="10"/>
      <c r="U3275" s="10"/>
      <c r="V3275" s="10"/>
      <c r="W3275" s="10"/>
      <c r="X3275" s="10"/>
      <c r="Y3275" s="10"/>
      <c r="Z3275" s="10"/>
      <c r="AA3275" s="10"/>
      <c r="AB3275" s="10"/>
      <c r="AC3275" s="10"/>
      <c r="AD3275" s="10"/>
      <c r="AE3275" s="10"/>
      <c r="AF3275" s="10"/>
    </row>
    <row r="3276">
      <c r="A3276" s="7"/>
      <c r="B3276" s="26">
        <v>247.0</v>
      </c>
      <c r="C3276" s="27">
        <v>48.0</v>
      </c>
      <c r="D3276" s="8" t="s">
        <v>4293</v>
      </c>
      <c r="E3276" s="7">
        <v>0.0</v>
      </c>
      <c r="F3276" s="7"/>
      <c r="G3276" s="7" t="s">
        <v>313</v>
      </c>
      <c r="H3276" s="7" t="s">
        <v>312</v>
      </c>
      <c r="I3276" s="10"/>
      <c r="J3276" s="11"/>
      <c r="K3276" s="12"/>
      <c r="L3276" s="12"/>
      <c r="M3276" s="10"/>
      <c r="N3276" s="10"/>
      <c r="O3276" s="10"/>
      <c r="P3276" s="10"/>
      <c r="Q3276" s="10"/>
      <c r="R3276" s="10"/>
      <c r="S3276" s="10"/>
      <c r="T3276" s="10"/>
      <c r="U3276" s="10"/>
      <c r="V3276" s="10"/>
      <c r="W3276" s="10"/>
      <c r="X3276" s="10"/>
      <c r="Y3276" s="10"/>
      <c r="Z3276" s="10"/>
      <c r="AA3276" s="10"/>
      <c r="AB3276" s="10"/>
      <c r="AC3276" s="10"/>
      <c r="AD3276" s="10"/>
      <c r="AE3276" s="10"/>
      <c r="AF3276" s="10"/>
    </row>
    <row r="3277">
      <c r="A3277" s="7"/>
      <c r="B3277" s="26">
        <v>247.0</v>
      </c>
      <c r="C3277" s="27">
        <v>49.0</v>
      </c>
      <c r="D3277" s="8" t="s">
        <v>4294</v>
      </c>
      <c r="E3277" s="7">
        <v>0.0</v>
      </c>
      <c r="F3277" s="7"/>
      <c r="G3277" s="7" t="s">
        <v>313</v>
      </c>
      <c r="H3277" s="7" t="s">
        <v>312</v>
      </c>
      <c r="I3277" s="10"/>
      <c r="J3277" s="11"/>
      <c r="K3277" s="12"/>
      <c r="L3277" s="12"/>
      <c r="M3277" s="10"/>
      <c r="N3277" s="10"/>
      <c r="O3277" s="10"/>
      <c r="P3277" s="10"/>
      <c r="Q3277" s="10"/>
      <c r="R3277" s="10"/>
      <c r="S3277" s="10"/>
      <c r="T3277" s="10"/>
      <c r="U3277" s="10"/>
      <c r="V3277" s="10"/>
      <c r="W3277" s="10"/>
      <c r="X3277" s="10"/>
      <c r="Y3277" s="10"/>
      <c r="Z3277" s="10"/>
      <c r="AA3277" s="10"/>
      <c r="AB3277" s="10"/>
      <c r="AC3277" s="10"/>
      <c r="AD3277" s="10"/>
      <c r="AE3277" s="10"/>
      <c r="AF3277" s="10"/>
    </row>
    <row r="3278">
      <c r="A3278" s="7"/>
      <c r="B3278" s="26">
        <v>247.0</v>
      </c>
      <c r="C3278" s="27">
        <v>50.0</v>
      </c>
      <c r="D3278" s="8" t="s">
        <v>4295</v>
      </c>
      <c r="E3278" s="7">
        <v>0.0</v>
      </c>
      <c r="F3278" s="7"/>
      <c r="G3278" s="7" t="s">
        <v>313</v>
      </c>
      <c r="H3278" s="7" t="s">
        <v>312</v>
      </c>
      <c r="I3278" s="10"/>
      <c r="J3278" s="11"/>
      <c r="K3278" s="12"/>
      <c r="L3278" s="12"/>
      <c r="M3278" s="10"/>
      <c r="N3278" s="10"/>
      <c r="O3278" s="10"/>
      <c r="P3278" s="10"/>
      <c r="Q3278" s="10"/>
      <c r="R3278" s="10"/>
      <c r="S3278" s="10"/>
      <c r="T3278" s="10"/>
      <c r="U3278" s="10"/>
      <c r="V3278" s="10"/>
      <c r="W3278" s="10"/>
      <c r="X3278" s="10"/>
      <c r="Y3278" s="10"/>
      <c r="Z3278" s="10"/>
      <c r="AA3278" s="10"/>
      <c r="AB3278" s="10"/>
      <c r="AC3278" s="10"/>
      <c r="AD3278" s="10"/>
      <c r="AE3278" s="10"/>
      <c r="AF3278" s="10"/>
    </row>
    <row r="3279">
      <c r="A3279" s="7"/>
      <c r="B3279" s="26">
        <v>247.0</v>
      </c>
      <c r="C3279" s="27">
        <v>51.0</v>
      </c>
      <c r="D3279" s="8" t="s">
        <v>4296</v>
      </c>
      <c r="E3279" s="7">
        <v>0.0</v>
      </c>
      <c r="F3279" s="7"/>
      <c r="G3279" s="7" t="s">
        <v>313</v>
      </c>
      <c r="H3279" s="7" t="s">
        <v>312</v>
      </c>
      <c r="I3279" s="10"/>
      <c r="J3279" s="11"/>
      <c r="K3279" s="12"/>
      <c r="L3279" s="12"/>
      <c r="M3279" s="10"/>
      <c r="N3279" s="10"/>
      <c r="O3279" s="10"/>
      <c r="P3279" s="10"/>
      <c r="Q3279" s="10"/>
      <c r="R3279" s="10"/>
      <c r="S3279" s="10"/>
      <c r="T3279" s="10"/>
      <c r="U3279" s="10"/>
      <c r="V3279" s="10"/>
      <c r="W3279" s="10"/>
      <c r="X3279" s="10"/>
      <c r="Y3279" s="10"/>
      <c r="Z3279" s="10"/>
      <c r="AA3279" s="10"/>
      <c r="AB3279" s="10"/>
      <c r="AC3279" s="10"/>
      <c r="AD3279" s="10"/>
      <c r="AE3279" s="10"/>
      <c r="AF3279" s="10"/>
    </row>
    <row r="3280">
      <c r="A3280" s="7"/>
      <c r="B3280" s="26">
        <v>247.0</v>
      </c>
      <c r="C3280" s="27">
        <v>52.0</v>
      </c>
      <c r="D3280" s="8" t="s">
        <v>4297</v>
      </c>
      <c r="E3280" s="7">
        <v>0.0</v>
      </c>
      <c r="F3280" s="7"/>
      <c r="G3280" s="7" t="s">
        <v>313</v>
      </c>
      <c r="H3280" s="7" t="s">
        <v>312</v>
      </c>
      <c r="I3280" s="10"/>
      <c r="J3280" s="11"/>
      <c r="K3280" s="12"/>
      <c r="L3280" s="12"/>
      <c r="M3280" s="10"/>
      <c r="N3280" s="10"/>
      <c r="O3280" s="10"/>
      <c r="P3280" s="10"/>
      <c r="Q3280" s="10"/>
      <c r="R3280" s="10"/>
      <c r="S3280" s="10"/>
      <c r="T3280" s="10"/>
      <c r="U3280" s="10"/>
      <c r="V3280" s="10"/>
      <c r="W3280" s="10"/>
      <c r="X3280" s="10"/>
      <c r="Y3280" s="10"/>
      <c r="Z3280" s="10"/>
      <c r="AA3280" s="10"/>
      <c r="AB3280" s="10"/>
      <c r="AC3280" s="10"/>
      <c r="AD3280" s="10"/>
      <c r="AE3280" s="10"/>
      <c r="AF3280" s="10"/>
    </row>
    <row r="3281">
      <c r="A3281" s="7"/>
      <c r="B3281" s="26">
        <v>247.0</v>
      </c>
      <c r="C3281" s="27">
        <v>53.0</v>
      </c>
      <c r="D3281" s="8" t="s">
        <v>4298</v>
      </c>
      <c r="E3281" s="7">
        <v>0.0</v>
      </c>
      <c r="F3281" s="7"/>
      <c r="G3281" s="7" t="s">
        <v>313</v>
      </c>
      <c r="H3281" s="7" t="s">
        <v>312</v>
      </c>
      <c r="I3281" s="10"/>
      <c r="J3281" s="11"/>
      <c r="K3281" s="12"/>
      <c r="L3281" s="12"/>
      <c r="M3281" s="10"/>
      <c r="N3281" s="10"/>
      <c r="O3281" s="10"/>
      <c r="P3281" s="10"/>
      <c r="Q3281" s="10"/>
      <c r="R3281" s="10"/>
      <c r="S3281" s="10"/>
      <c r="T3281" s="10"/>
      <c r="U3281" s="10"/>
      <c r="V3281" s="10"/>
      <c r="W3281" s="10"/>
      <c r="X3281" s="10"/>
      <c r="Y3281" s="10"/>
      <c r="Z3281" s="10"/>
      <c r="AA3281" s="10"/>
      <c r="AB3281" s="10"/>
      <c r="AC3281" s="10"/>
      <c r="AD3281" s="10"/>
      <c r="AE3281" s="10"/>
      <c r="AF3281" s="10"/>
    </row>
    <row r="3282">
      <c r="A3282" s="7"/>
      <c r="B3282" s="26">
        <v>247.0</v>
      </c>
      <c r="C3282" s="27">
        <v>54.0</v>
      </c>
      <c r="D3282" s="8" t="s">
        <v>4299</v>
      </c>
      <c r="E3282" s="7">
        <v>0.0</v>
      </c>
      <c r="F3282" s="7"/>
      <c r="G3282" s="7" t="s">
        <v>313</v>
      </c>
      <c r="H3282" s="7" t="s">
        <v>312</v>
      </c>
      <c r="I3282" s="10"/>
      <c r="J3282" s="11"/>
      <c r="K3282" s="12"/>
      <c r="L3282" s="12"/>
      <c r="M3282" s="10"/>
      <c r="N3282" s="10"/>
      <c r="O3282" s="10"/>
      <c r="P3282" s="10"/>
      <c r="Q3282" s="10"/>
      <c r="R3282" s="10"/>
      <c r="S3282" s="10"/>
      <c r="T3282" s="10"/>
      <c r="U3282" s="10"/>
      <c r="V3282" s="10"/>
      <c r="W3282" s="10"/>
      <c r="X3282" s="10"/>
      <c r="Y3282" s="10"/>
      <c r="Z3282" s="10"/>
      <c r="AA3282" s="10"/>
      <c r="AB3282" s="10"/>
      <c r="AC3282" s="10"/>
      <c r="AD3282" s="10"/>
      <c r="AE3282" s="10"/>
      <c r="AF3282" s="10"/>
    </row>
    <row r="3283">
      <c r="A3283" s="7"/>
      <c r="B3283" s="26">
        <v>247.0</v>
      </c>
      <c r="C3283" s="27">
        <v>55.0</v>
      </c>
      <c r="D3283" s="8" t="s">
        <v>4300</v>
      </c>
      <c r="E3283" s="7">
        <v>0.0</v>
      </c>
      <c r="F3283" s="7"/>
      <c r="G3283" s="7" t="s">
        <v>313</v>
      </c>
      <c r="H3283" s="7" t="s">
        <v>312</v>
      </c>
      <c r="I3283" s="10"/>
      <c r="J3283" s="11"/>
      <c r="K3283" s="12"/>
      <c r="L3283" s="12"/>
      <c r="M3283" s="10"/>
      <c r="N3283" s="10"/>
      <c r="O3283" s="10"/>
      <c r="P3283" s="10"/>
      <c r="Q3283" s="10"/>
      <c r="R3283" s="10"/>
      <c r="S3283" s="10"/>
      <c r="T3283" s="10"/>
      <c r="U3283" s="10"/>
      <c r="V3283" s="10"/>
      <c r="W3283" s="10"/>
      <c r="X3283" s="10"/>
      <c r="Y3283" s="10"/>
      <c r="Z3283" s="10"/>
      <c r="AA3283" s="10"/>
      <c r="AB3283" s="10"/>
      <c r="AC3283" s="10"/>
      <c r="AD3283" s="10"/>
      <c r="AE3283" s="10"/>
      <c r="AF3283" s="10"/>
    </row>
    <row r="3284">
      <c r="A3284" s="7"/>
      <c r="B3284" s="26">
        <v>247.0</v>
      </c>
      <c r="C3284" s="27">
        <v>56.0</v>
      </c>
      <c r="D3284" s="8" t="s">
        <v>4301</v>
      </c>
      <c r="E3284" s="7">
        <v>0.0</v>
      </c>
      <c r="F3284" s="7"/>
      <c r="G3284" s="7" t="s">
        <v>313</v>
      </c>
      <c r="H3284" s="7" t="s">
        <v>312</v>
      </c>
      <c r="I3284" s="10"/>
      <c r="J3284" s="11"/>
      <c r="K3284" s="12"/>
      <c r="L3284" s="12"/>
      <c r="M3284" s="10"/>
      <c r="N3284" s="10"/>
      <c r="O3284" s="10"/>
      <c r="P3284" s="10"/>
      <c r="Q3284" s="10"/>
      <c r="R3284" s="10"/>
      <c r="S3284" s="10"/>
      <c r="T3284" s="10"/>
      <c r="U3284" s="10"/>
      <c r="V3284" s="10"/>
      <c r="W3284" s="10"/>
      <c r="X3284" s="10"/>
      <c r="Y3284" s="10"/>
      <c r="Z3284" s="10"/>
      <c r="AA3284" s="10"/>
      <c r="AB3284" s="10"/>
      <c r="AC3284" s="10"/>
      <c r="AD3284" s="10"/>
      <c r="AE3284" s="10"/>
      <c r="AF3284" s="10"/>
    </row>
    <row r="3285">
      <c r="A3285" s="7"/>
      <c r="B3285" s="26">
        <v>247.0</v>
      </c>
      <c r="C3285" s="27">
        <v>57.0</v>
      </c>
      <c r="D3285" s="8" t="s">
        <v>4302</v>
      </c>
      <c r="E3285" s="7">
        <v>0.0</v>
      </c>
      <c r="F3285" s="7"/>
      <c r="G3285" s="7" t="s">
        <v>313</v>
      </c>
      <c r="H3285" s="7" t="s">
        <v>312</v>
      </c>
      <c r="I3285" s="10"/>
      <c r="J3285" s="11"/>
      <c r="K3285" s="12"/>
      <c r="L3285" s="12"/>
      <c r="M3285" s="10"/>
      <c r="N3285" s="10"/>
      <c r="O3285" s="10"/>
      <c r="P3285" s="10"/>
      <c r="Q3285" s="10"/>
      <c r="R3285" s="10"/>
      <c r="S3285" s="10"/>
      <c r="T3285" s="10"/>
      <c r="U3285" s="10"/>
      <c r="V3285" s="10"/>
      <c r="W3285" s="10"/>
      <c r="X3285" s="10"/>
      <c r="Y3285" s="10"/>
      <c r="Z3285" s="10"/>
      <c r="AA3285" s="10"/>
      <c r="AB3285" s="10"/>
      <c r="AC3285" s="10"/>
      <c r="AD3285" s="10"/>
      <c r="AE3285" s="10"/>
      <c r="AF3285" s="10"/>
    </row>
    <row r="3286">
      <c r="A3286" s="7"/>
      <c r="B3286" s="26">
        <v>247.0</v>
      </c>
      <c r="C3286" s="27">
        <v>58.0</v>
      </c>
      <c r="D3286" s="8" t="s">
        <v>4303</v>
      </c>
      <c r="E3286" s="7">
        <v>0.0</v>
      </c>
      <c r="F3286" s="7"/>
      <c r="G3286" s="7" t="s">
        <v>313</v>
      </c>
      <c r="H3286" s="7" t="s">
        <v>312</v>
      </c>
      <c r="I3286" s="10"/>
      <c r="J3286" s="11"/>
      <c r="K3286" s="12"/>
      <c r="L3286" s="12"/>
      <c r="M3286" s="10"/>
      <c r="N3286" s="10"/>
      <c r="O3286" s="10"/>
      <c r="P3286" s="10"/>
      <c r="Q3286" s="10"/>
      <c r="R3286" s="10"/>
      <c r="S3286" s="10"/>
      <c r="T3286" s="10"/>
      <c r="U3286" s="10"/>
      <c r="V3286" s="10"/>
      <c r="W3286" s="10"/>
      <c r="X3286" s="10"/>
      <c r="Y3286" s="10"/>
      <c r="Z3286" s="10"/>
      <c r="AA3286" s="10"/>
      <c r="AB3286" s="10"/>
      <c r="AC3286" s="10"/>
      <c r="AD3286" s="10"/>
      <c r="AE3286" s="10"/>
      <c r="AF3286" s="10"/>
    </row>
    <row r="3287">
      <c r="A3287" s="7"/>
      <c r="B3287" s="26">
        <v>247.0</v>
      </c>
      <c r="C3287" s="27">
        <v>59.0</v>
      </c>
      <c r="D3287" s="8" t="s">
        <v>4304</v>
      </c>
      <c r="E3287" s="7">
        <v>0.0</v>
      </c>
      <c r="F3287" s="7"/>
      <c r="G3287" s="7" t="s">
        <v>313</v>
      </c>
      <c r="H3287" s="7" t="s">
        <v>312</v>
      </c>
      <c r="I3287" s="10"/>
      <c r="J3287" s="11"/>
      <c r="K3287" s="12"/>
      <c r="L3287" s="12"/>
      <c r="M3287" s="10"/>
      <c r="N3287" s="10"/>
      <c r="O3287" s="10"/>
      <c r="P3287" s="10"/>
      <c r="Q3287" s="10"/>
      <c r="R3287" s="10"/>
      <c r="S3287" s="10"/>
      <c r="T3287" s="10"/>
      <c r="U3287" s="10"/>
      <c r="V3287" s="10"/>
      <c r="W3287" s="10"/>
      <c r="X3287" s="10"/>
      <c r="Y3287" s="10"/>
      <c r="Z3287" s="10"/>
      <c r="AA3287" s="10"/>
      <c r="AB3287" s="10"/>
      <c r="AC3287" s="10"/>
      <c r="AD3287" s="10"/>
      <c r="AE3287" s="10"/>
      <c r="AF3287" s="10"/>
    </row>
    <row r="3288">
      <c r="A3288" s="7"/>
      <c r="B3288" s="26">
        <v>247.0</v>
      </c>
      <c r="C3288" s="27">
        <v>60.0</v>
      </c>
      <c r="D3288" s="8" t="s">
        <v>4305</v>
      </c>
      <c r="E3288" s="7">
        <v>0.0</v>
      </c>
      <c r="F3288" s="7"/>
      <c r="G3288" s="7" t="s">
        <v>313</v>
      </c>
      <c r="H3288" s="7" t="s">
        <v>312</v>
      </c>
      <c r="I3288" s="10"/>
      <c r="J3288" s="11"/>
      <c r="K3288" s="12"/>
      <c r="L3288" s="12"/>
      <c r="M3288" s="10"/>
      <c r="N3288" s="10"/>
      <c r="O3288" s="10"/>
      <c r="P3288" s="10"/>
      <c r="Q3288" s="10"/>
      <c r="R3288" s="10"/>
      <c r="S3288" s="10"/>
      <c r="T3288" s="10"/>
      <c r="U3288" s="10"/>
      <c r="V3288" s="10"/>
      <c r="W3288" s="10"/>
      <c r="X3288" s="10"/>
      <c r="Y3288" s="10"/>
      <c r="Z3288" s="10"/>
      <c r="AA3288" s="10"/>
      <c r="AB3288" s="10"/>
      <c r="AC3288" s="10"/>
      <c r="AD3288" s="10"/>
      <c r="AE3288" s="10"/>
      <c r="AF3288" s="10"/>
    </row>
    <row r="3289">
      <c r="A3289" s="7"/>
      <c r="B3289" s="26">
        <v>247.0</v>
      </c>
      <c r="C3289" s="27">
        <v>61.0</v>
      </c>
      <c r="D3289" s="8" t="s">
        <v>4306</v>
      </c>
      <c r="E3289" s="7">
        <v>0.0</v>
      </c>
      <c r="F3289" s="7"/>
      <c r="G3289" s="7" t="s">
        <v>313</v>
      </c>
      <c r="H3289" s="7" t="s">
        <v>312</v>
      </c>
      <c r="I3289" s="10"/>
      <c r="J3289" s="11"/>
      <c r="K3289" s="12"/>
      <c r="L3289" s="12"/>
      <c r="M3289" s="10"/>
      <c r="N3289" s="10"/>
      <c r="O3289" s="10"/>
      <c r="P3289" s="10"/>
      <c r="Q3289" s="10"/>
      <c r="R3289" s="10"/>
      <c r="S3289" s="10"/>
      <c r="T3289" s="10"/>
      <c r="U3289" s="10"/>
      <c r="V3289" s="10"/>
      <c r="W3289" s="10"/>
      <c r="X3289" s="10"/>
      <c r="Y3289" s="10"/>
      <c r="Z3289" s="10"/>
      <c r="AA3289" s="10"/>
      <c r="AB3289" s="10"/>
      <c r="AC3289" s="10"/>
      <c r="AD3289" s="10"/>
      <c r="AE3289" s="10"/>
      <c r="AF3289" s="10"/>
    </row>
    <row r="3290">
      <c r="A3290" s="7"/>
      <c r="B3290" s="26">
        <v>247.0</v>
      </c>
      <c r="C3290" s="27">
        <v>62.0</v>
      </c>
      <c r="D3290" s="8" t="s">
        <v>4307</v>
      </c>
      <c r="E3290" s="7">
        <v>0.0</v>
      </c>
      <c r="F3290" s="7"/>
      <c r="G3290" s="7" t="s">
        <v>313</v>
      </c>
      <c r="H3290" s="7" t="s">
        <v>312</v>
      </c>
      <c r="I3290" s="10"/>
      <c r="J3290" s="11"/>
      <c r="K3290" s="12"/>
      <c r="L3290" s="12"/>
      <c r="M3290" s="10"/>
      <c r="N3290" s="10"/>
      <c r="O3290" s="10"/>
      <c r="P3290" s="10"/>
      <c r="Q3290" s="10"/>
      <c r="R3290" s="10"/>
      <c r="S3290" s="10"/>
      <c r="T3290" s="10"/>
      <c r="U3290" s="10"/>
      <c r="V3290" s="10"/>
      <c r="W3290" s="10"/>
      <c r="X3290" s="10"/>
      <c r="Y3290" s="10"/>
      <c r="Z3290" s="10"/>
      <c r="AA3290" s="10"/>
      <c r="AB3290" s="10"/>
      <c r="AC3290" s="10"/>
      <c r="AD3290" s="10"/>
      <c r="AE3290" s="10"/>
      <c r="AF3290" s="10"/>
    </row>
    <row r="3291">
      <c r="A3291" s="7"/>
      <c r="B3291" s="26">
        <v>247.0</v>
      </c>
      <c r="C3291" s="27">
        <v>63.0</v>
      </c>
      <c r="D3291" s="8" t="s">
        <v>4308</v>
      </c>
      <c r="E3291" s="7">
        <v>0.0</v>
      </c>
      <c r="F3291" s="7"/>
      <c r="G3291" s="7" t="s">
        <v>313</v>
      </c>
      <c r="H3291" s="7" t="s">
        <v>312</v>
      </c>
      <c r="I3291" s="10"/>
      <c r="J3291" s="11"/>
      <c r="K3291" s="12"/>
      <c r="L3291" s="12"/>
      <c r="M3291" s="10"/>
      <c r="N3291" s="10"/>
      <c r="O3291" s="10"/>
      <c r="P3291" s="10"/>
      <c r="Q3291" s="10"/>
      <c r="R3291" s="10"/>
      <c r="S3291" s="10"/>
      <c r="T3291" s="10"/>
      <c r="U3291" s="10"/>
      <c r="V3291" s="10"/>
      <c r="W3291" s="10"/>
      <c r="X3291" s="10"/>
      <c r="Y3291" s="10"/>
      <c r="Z3291" s="10"/>
      <c r="AA3291" s="10"/>
      <c r="AB3291" s="10"/>
      <c r="AC3291" s="10"/>
      <c r="AD3291" s="10"/>
      <c r="AE3291" s="10"/>
      <c r="AF3291" s="10"/>
    </row>
    <row r="3292">
      <c r="A3292" s="7"/>
      <c r="B3292" s="26">
        <v>247.0</v>
      </c>
      <c r="C3292" s="27">
        <v>64.0</v>
      </c>
      <c r="D3292" s="8" t="s">
        <v>4309</v>
      </c>
      <c r="E3292" s="7">
        <v>0.0</v>
      </c>
      <c r="F3292" s="7"/>
      <c r="G3292" s="7" t="s">
        <v>313</v>
      </c>
      <c r="H3292" s="7" t="s">
        <v>312</v>
      </c>
      <c r="I3292" s="10"/>
      <c r="J3292" s="11"/>
      <c r="K3292" s="12"/>
      <c r="L3292" s="12"/>
      <c r="M3292" s="10"/>
      <c r="N3292" s="10"/>
      <c r="O3292" s="10"/>
      <c r="P3292" s="10"/>
      <c r="Q3292" s="10"/>
      <c r="R3292" s="10"/>
      <c r="S3292" s="10"/>
      <c r="T3292" s="10"/>
      <c r="U3292" s="10"/>
      <c r="V3292" s="10"/>
      <c r="W3292" s="10"/>
      <c r="X3292" s="10"/>
      <c r="Y3292" s="10"/>
      <c r="Z3292" s="10"/>
      <c r="AA3292" s="10"/>
      <c r="AB3292" s="10"/>
      <c r="AC3292" s="10"/>
      <c r="AD3292" s="10"/>
      <c r="AE3292" s="10"/>
      <c r="AF3292" s="10"/>
    </row>
    <row r="3293">
      <c r="A3293" s="7"/>
      <c r="B3293" s="26">
        <v>247.0</v>
      </c>
      <c r="C3293" s="27">
        <v>65.0</v>
      </c>
      <c r="D3293" s="8" t="s">
        <v>4310</v>
      </c>
      <c r="E3293" s="7">
        <v>0.0</v>
      </c>
      <c r="F3293" s="7"/>
      <c r="G3293" s="7" t="s">
        <v>313</v>
      </c>
      <c r="H3293" s="7" t="s">
        <v>312</v>
      </c>
      <c r="I3293" s="10"/>
      <c r="J3293" s="11"/>
      <c r="K3293" s="12"/>
      <c r="L3293" s="12"/>
      <c r="M3293" s="10"/>
      <c r="N3293" s="10"/>
      <c r="O3293" s="10"/>
      <c r="P3293" s="10"/>
      <c r="Q3293" s="10"/>
      <c r="R3293" s="10"/>
      <c r="S3293" s="10"/>
      <c r="T3293" s="10"/>
      <c r="U3293" s="10"/>
      <c r="V3293" s="10"/>
      <c r="W3293" s="10"/>
      <c r="X3293" s="10"/>
      <c r="Y3293" s="10"/>
      <c r="Z3293" s="10"/>
      <c r="AA3293" s="10"/>
      <c r="AB3293" s="10"/>
      <c r="AC3293" s="10"/>
      <c r="AD3293" s="10"/>
      <c r="AE3293" s="10"/>
      <c r="AF3293" s="10"/>
    </row>
    <row r="3294">
      <c r="A3294" s="7"/>
      <c r="B3294" s="26">
        <v>247.0</v>
      </c>
      <c r="C3294" s="27">
        <v>66.0</v>
      </c>
      <c r="D3294" s="8" t="s">
        <v>4311</v>
      </c>
      <c r="E3294" s="7">
        <v>0.0</v>
      </c>
      <c r="F3294" s="7"/>
      <c r="G3294" s="7" t="s">
        <v>313</v>
      </c>
      <c r="H3294" s="7" t="s">
        <v>312</v>
      </c>
      <c r="I3294" s="10"/>
      <c r="J3294" s="11"/>
      <c r="K3294" s="12"/>
      <c r="L3294" s="12"/>
      <c r="M3294" s="10"/>
      <c r="N3294" s="10"/>
      <c r="O3294" s="10"/>
      <c r="P3294" s="10"/>
      <c r="Q3294" s="10"/>
      <c r="R3294" s="10"/>
      <c r="S3294" s="10"/>
      <c r="T3294" s="10"/>
      <c r="U3294" s="10"/>
      <c r="V3294" s="10"/>
      <c r="W3294" s="10"/>
      <c r="X3294" s="10"/>
      <c r="Y3294" s="10"/>
      <c r="Z3294" s="10"/>
      <c r="AA3294" s="10"/>
      <c r="AB3294" s="10"/>
      <c r="AC3294" s="10"/>
      <c r="AD3294" s="10"/>
      <c r="AE3294" s="10"/>
      <c r="AF3294" s="10"/>
    </row>
    <row r="3295">
      <c r="A3295" s="13" t="s">
        <v>248</v>
      </c>
      <c r="B3295" s="12"/>
      <c r="C3295" s="12"/>
      <c r="D3295" s="12"/>
      <c r="E3295" s="10"/>
      <c r="F3295" s="10"/>
      <c r="G3295" s="10"/>
      <c r="H3295" s="10"/>
      <c r="I3295" s="10"/>
      <c r="J3295" s="11"/>
      <c r="K3295" s="12"/>
      <c r="L3295" s="12"/>
      <c r="M3295" s="10"/>
      <c r="N3295" s="10"/>
      <c r="O3295" s="10"/>
      <c r="P3295" s="10"/>
      <c r="Q3295" s="10"/>
      <c r="R3295" s="10"/>
      <c r="S3295" s="10"/>
      <c r="T3295" s="10"/>
      <c r="U3295" s="10"/>
      <c r="V3295" s="10"/>
      <c r="W3295" s="10"/>
      <c r="X3295" s="10"/>
      <c r="Y3295" s="10"/>
      <c r="Z3295" s="10"/>
      <c r="AA3295" s="10"/>
      <c r="AB3295" s="10"/>
      <c r="AC3295" s="10"/>
      <c r="AD3295" s="10"/>
      <c r="AE3295" s="10"/>
      <c r="AF3295" s="10"/>
    </row>
    <row r="3296">
      <c r="A3296" s="7"/>
      <c r="B3296" s="26">
        <v>248.0</v>
      </c>
      <c r="C3296" s="27">
        <v>1.0</v>
      </c>
      <c r="D3296" s="8" t="s">
        <v>4312</v>
      </c>
      <c r="E3296" s="7">
        <v>0.0</v>
      </c>
      <c r="F3296" s="7"/>
      <c r="G3296" s="7" t="s">
        <v>313</v>
      </c>
      <c r="H3296" s="7" t="s">
        <v>312</v>
      </c>
      <c r="I3296" s="10"/>
      <c r="J3296" s="9" t="s">
        <v>4313</v>
      </c>
      <c r="K3296" s="12"/>
      <c r="L3296" s="12"/>
      <c r="M3296" s="10"/>
      <c r="N3296" s="10"/>
      <c r="O3296" s="10"/>
      <c r="P3296" s="10"/>
      <c r="Q3296" s="10"/>
      <c r="R3296" s="10"/>
      <c r="S3296" s="10"/>
      <c r="T3296" s="10"/>
      <c r="U3296" s="10"/>
      <c r="V3296" s="10"/>
      <c r="W3296" s="10"/>
      <c r="X3296" s="10"/>
      <c r="Y3296" s="10"/>
      <c r="Z3296" s="10"/>
      <c r="AA3296" s="10"/>
      <c r="AB3296" s="10"/>
      <c r="AC3296" s="10"/>
      <c r="AD3296" s="10"/>
      <c r="AE3296" s="10"/>
      <c r="AF3296" s="10"/>
    </row>
    <row r="3297">
      <c r="A3297" s="7"/>
      <c r="B3297" s="26">
        <v>248.0</v>
      </c>
      <c r="C3297" s="27">
        <v>2.0</v>
      </c>
      <c r="D3297" s="8" t="s">
        <v>4314</v>
      </c>
      <c r="E3297" s="7">
        <v>0.0</v>
      </c>
      <c r="F3297" s="7"/>
      <c r="G3297" s="7" t="s">
        <v>313</v>
      </c>
      <c r="H3297" s="7" t="s">
        <v>312</v>
      </c>
      <c r="I3297" s="10"/>
      <c r="J3297" s="9" t="s">
        <v>4315</v>
      </c>
      <c r="K3297" s="12"/>
      <c r="L3297" s="12"/>
      <c r="M3297" s="10"/>
      <c r="N3297" s="10"/>
      <c r="O3297" s="10"/>
      <c r="P3297" s="10"/>
      <c r="Q3297" s="10"/>
      <c r="R3297" s="10"/>
      <c r="S3297" s="10"/>
      <c r="T3297" s="10"/>
      <c r="U3297" s="10"/>
      <c r="V3297" s="10"/>
      <c r="W3297" s="10"/>
      <c r="X3297" s="10"/>
      <c r="Y3297" s="10"/>
      <c r="Z3297" s="10"/>
      <c r="AA3297" s="10"/>
      <c r="AB3297" s="10"/>
      <c r="AC3297" s="10"/>
      <c r="AD3297" s="10"/>
      <c r="AE3297" s="10"/>
      <c r="AF3297" s="10"/>
    </row>
    <row r="3298">
      <c r="A3298" s="7"/>
      <c r="B3298" s="26">
        <v>248.0</v>
      </c>
      <c r="C3298" s="27">
        <v>3.0</v>
      </c>
      <c r="D3298" s="8" t="s">
        <v>4316</v>
      </c>
      <c r="E3298" s="7">
        <v>0.0</v>
      </c>
      <c r="F3298" s="7"/>
      <c r="G3298" s="7" t="s">
        <v>313</v>
      </c>
      <c r="H3298" s="7" t="s">
        <v>312</v>
      </c>
      <c r="I3298" s="10"/>
      <c r="J3298" s="11"/>
      <c r="K3298" s="12"/>
      <c r="L3298" s="12"/>
      <c r="M3298" s="10"/>
      <c r="N3298" s="10"/>
      <c r="O3298" s="10"/>
      <c r="P3298" s="10"/>
      <c r="Q3298" s="10"/>
      <c r="R3298" s="10"/>
      <c r="S3298" s="10"/>
      <c r="T3298" s="10"/>
      <c r="U3298" s="10"/>
      <c r="V3298" s="10"/>
      <c r="W3298" s="10"/>
      <c r="X3298" s="10"/>
      <c r="Y3298" s="10"/>
      <c r="Z3298" s="10"/>
      <c r="AA3298" s="10"/>
      <c r="AB3298" s="10"/>
      <c r="AC3298" s="10"/>
      <c r="AD3298" s="10"/>
      <c r="AE3298" s="10"/>
      <c r="AF3298" s="10"/>
    </row>
    <row r="3299">
      <c r="A3299" s="7"/>
      <c r="B3299" s="26">
        <v>248.0</v>
      </c>
      <c r="C3299" s="27">
        <v>4.0</v>
      </c>
      <c r="D3299" s="8" t="s">
        <v>4317</v>
      </c>
      <c r="E3299" s="7">
        <v>3.0</v>
      </c>
      <c r="F3299" s="7"/>
      <c r="G3299" s="7" t="s">
        <v>313</v>
      </c>
      <c r="H3299" s="7" t="s">
        <v>312</v>
      </c>
      <c r="I3299" s="10"/>
      <c r="J3299" s="11"/>
      <c r="K3299" s="20" t="s">
        <v>4318</v>
      </c>
      <c r="L3299" s="12"/>
      <c r="M3299" s="10"/>
      <c r="N3299" s="10"/>
      <c r="O3299" s="10"/>
      <c r="P3299" s="10"/>
      <c r="Q3299" s="10"/>
      <c r="R3299" s="10"/>
      <c r="S3299" s="10"/>
      <c r="T3299" s="10"/>
      <c r="U3299" s="10"/>
      <c r="V3299" s="10"/>
      <c r="W3299" s="10"/>
      <c r="X3299" s="10"/>
      <c r="Y3299" s="10"/>
      <c r="Z3299" s="10"/>
      <c r="AA3299" s="10"/>
      <c r="AB3299" s="10"/>
      <c r="AC3299" s="10"/>
      <c r="AD3299" s="10"/>
      <c r="AE3299" s="10"/>
      <c r="AF3299" s="10"/>
    </row>
    <row r="3300">
      <c r="A3300" s="7"/>
      <c r="B3300" s="26">
        <v>248.0</v>
      </c>
      <c r="C3300" s="27">
        <v>5.0</v>
      </c>
      <c r="D3300" s="8" t="s">
        <v>4319</v>
      </c>
      <c r="E3300" s="7">
        <v>0.0</v>
      </c>
      <c r="F3300" s="7"/>
      <c r="G3300" s="7" t="s">
        <v>313</v>
      </c>
      <c r="H3300" s="7" t="s">
        <v>312</v>
      </c>
      <c r="I3300" s="10"/>
      <c r="J3300" s="11"/>
      <c r="K3300" s="12"/>
      <c r="L3300" s="12"/>
      <c r="M3300" s="10"/>
      <c r="N3300" s="10"/>
      <c r="O3300" s="10"/>
      <c r="P3300" s="10"/>
      <c r="Q3300" s="10"/>
      <c r="R3300" s="10"/>
      <c r="S3300" s="10"/>
      <c r="T3300" s="10"/>
      <c r="U3300" s="10"/>
      <c r="V3300" s="10"/>
      <c r="W3300" s="10"/>
      <c r="X3300" s="10"/>
      <c r="Y3300" s="10"/>
      <c r="Z3300" s="10"/>
      <c r="AA3300" s="10"/>
      <c r="AB3300" s="10"/>
      <c r="AC3300" s="10"/>
      <c r="AD3300" s="10"/>
      <c r="AE3300" s="10"/>
      <c r="AF3300" s="10"/>
    </row>
    <row r="3301">
      <c r="A3301" s="7"/>
      <c r="B3301" s="26">
        <v>248.0</v>
      </c>
      <c r="C3301" s="27">
        <v>6.0</v>
      </c>
      <c r="D3301" s="8" t="s">
        <v>4320</v>
      </c>
      <c r="E3301" s="7">
        <v>0.0</v>
      </c>
      <c r="F3301" s="7"/>
      <c r="G3301" s="7" t="s">
        <v>313</v>
      </c>
      <c r="H3301" s="7" t="s">
        <v>312</v>
      </c>
      <c r="I3301" s="10"/>
      <c r="J3301" s="11"/>
      <c r="K3301" s="12"/>
      <c r="L3301" s="12"/>
      <c r="M3301" s="10"/>
      <c r="N3301" s="10"/>
      <c r="O3301" s="10"/>
      <c r="P3301" s="10"/>
      <c r="Q3301" s="10"/>
      <c r="R3301" s="10"/>
      <c r="S3301" s="10"/>
      <c r="T3301" s="10"/>
      <c r="U3301" s="10"/>
      <c r="V3301" s="10"/>
      <c r="W3301" s="10"/>
      <c r="X3301" s="10"/>
      <c r="Y3301" s="10"/>
      <c r="Z3301" s="10"/>
      <c r="AA3301" s="10"/>
      <c r="AB3301" s="10"/>
      <c r="AC3301" s="10"/>
      <c r="AD3301" s="10"/>
      <c r="AE3301" s="10"/>
      <c r="AF3301" s="10"/>
    </row>
    <row r="3302">
      <c r="A3302" s="7"/>
      <c r="B3302" s="26">
        <v>248.0</v>
      </c>
      <c r="C3302" s="27">
        <v>7.0</v>
      </c>
      <c r="D3302" s="8" t="s">
        <v>4321</v>
      </c>
      <c r="E3302" s="7">
        <v>3.0</v>
      </c>
      <c r="F3302" s="7"/>
      <c r="G3302" s="7" t="s">
        <v>313</v>
      </c>
      <c r="H3302" s="7" t="s">
        <v>312</v>
      </c>
      <c r="I3302" s="10"/>
      <c r="J3302" s="11"/>
      <c r="K3302" s="20" t="s">
        <v>4318</v>
      </c>
      <c r="L3302" s="12"/>
      <c r="M3302" s="10"/>
      <c r="N3302" s="10"/>
      <c r="O3302" s="10"/>
      <c r="P3302" s="10"/>
      <c r="Q3302" s="10"/>
      <c r="R3302" s="10"/>
      <c r="S3302" s="10"/>
      <c r="T3302" s="10"/>
      <c r="U3302" s="10"/>
      <c r="V3302" s="10"/>
      <c r="W3302" s="10"/>
      <c r="X3302" s="10"/>
      <c r="Y3302" s="10"/>
      <c r="Z3302" s="10"/>
      <c r="AA3302" s="10"/>
      <c r="AB3302" s="10"/>
      <c r="AC3302" s="10"/>
      <c r="AD3302" s="10"/>
      <c r="AE3302" s="10"/>
      <c r="AF3302" s="10"/>
    </row>
    <row r="3303">
      <c r="A3303" s="7"/>
      <c r="B3303" s="26">
        <v>248.0</v>
      </c>
      <c r="C3303" s="27">
        <v>8.0</v>
      </c>
      <c r="D3303" s="8" t="s">
        <v>4322</v>
      </c>
      <c r="E3303" s="7">
        <v>0.0</v>
      </c>
      <c r="F3303" s="7"/>
      <c r="G3303" s="7" t="s">
        <v>313</v>
      </c>
      <c r="H3303" s="7" t="s">
        <v>312</v>
      </c>
      <c r="I3303" s="10"/>
      <c r="J3303" s="11"/>
      <c r="K3303" s="12"/>
      <c r="L3303" s="12"/>
      <c r="M3303" s="10"/>
      <c r="N3303" s="10"/>
      <c r="O3303" s="10"/>
      <c r="P3303" s="10"/>
      <c r="Q3303" s="10"/>
      <c r="R3303" s="10"/>
      <c r="S3303" s="10"/>
      <c r="T3303" s="10"/>
      <c r="U3303" s="10"/>
      <c r="V3303" s="10"/>
      <c r="W3303" s="10"/>
      <c r="X3303" s="10"/>
      <c r="Y3303" s="10"/>
      <c r="Z3303" s="10"/>
      <c r="AA3303" s="10"/>
      <c r="AB3303" s="10"/>
      <c r="AC3303" s="10"/>
      <c r="AD3303" s="10"/>
      <c r="AE3303" s="10"/>
      <c r="AF3303" s="10"/>
    </row>
    <row r="3304">
      <c r="A3304" s="7"/>
      <c r="B3304" s="26">
        <v>248.0</v>
      </c>
      <c r="C3304" s="27">
        <v>9.0</v>
      </c>
      <c r="D3304" s="8" t="s">
        <v>4323</v>
      </c>
      <c r="E3304" s="7">
        <v>0.0</v>
      </c>
      <c r="F3304" s="7"/>
      <c r="G3304" s="7" t="s">
        <v>313</v>
      </c>
      <c r="H3304" s="7" t="s">
        <v>312</v>
      </c>
      <c r="I3304" s="10"/>
      <c r="J3304" s="11"/>
      <c r="K3304" s="12"/>
      <c r="L3304" s="12"/>
      <c r="M3304" s="10"/>
      <c r="N3304" s="10"/>
      <c r="O3304" s="10"/>
      <c r="P3304" s="10"/>
      <c r="Q3304" s="10"/>
      <c r="R3304" s="10"/>
      <c r="S3304" s="10"/>
      <c r="T3304" s="10"/>
      <c r="U3304" s="10"/>
      <c r="V3304" s="10"/>
      <c r="W3304" s="10"/>
      <c r="X3304" s="10"/>
      <c r="Y3304" s="10"/>
      <c r="Z3304" s="10"/>
      <c r="AA3304" s="10"/>
      <c r="AB3304" s="10"/>
      <c r="AC3304" s="10"/>
      <c r="AD3304" s="10"/>
      <c r="AE3304" s="10"/>
      <c r="AF3304" s="10"/>
    </row>
    <row r="3305">
      <c r="A3305" s="7"/>
      <c r="B3305" s="26">
        <v>248.0</v>
      </c>
      <c r="C3305" s="27">
        <v>10.0</v>
      </c>
      <c r="D3305" s="8" t="s">
        <v>4324</v>
      </c>
      <c r="E3305" s="7">
        <v>0.0</v>
      </c>
      <c r="F3305" s="7"/>
      <c r="G3305" s="7" t="s">
        <v>313</v>
      </c>
      <c r="H3305" s="7" t="s">
        <v>312</v>
      </c>
      <c r="I3305" s="10"/>
      <c r="J3305" s="11"/>
      <c r="K3305" s="12"/>
      <c r="L3305" s="12"/>
      <c r="M3305" s="10"/>
      <c r="N3305" s="10"/>
      <c r="O3305" s="10"/>
      <c r="P3305" s="10"/>
      <c r="Q3305" s="10"/>
      <c r="R3305" s="10"/>
      <c r="S3305" s="10"/>
      <c r="T3305" s="10"/>
      <c r="U3305" s="10"/>
      <c r="V3305" s="10"/>
      <c r="W3305" s="10"/>
      <c r="X3305" s="10"/>
      <c r="Y3305" s="10"/>
      <c r="Z3305" s="10"/>
      <c r="AA3305" s="10"/>
      <c r="AB3305" s="10"/>
      <c r="AC3305" s="10"/>
      <c r="AD3305" s="10"/>
      <c r="AE3305" s="10"/>
      <c r="AF3305" s="10"/>
    </row>
    <row r="3306">
      <c r="A3306" s="10"/>
      <c r="B3306" s="12"/>
      <c r="C3306" s="12"/>
      <c r="D3306" s="12"/>
      <c r="E3306" s="10"/>
      <c r="F3306" s="10"/>
      <c r="G3306" s="10"/>
      <c r="H3306" s="10"/>
      <c r="I3306" s="10"/>
      <c r="J3306" s="11"/>
      <c r="K3306" s="12"/>
      <c r="L3306" s="12"/>
      <c r="M3306" s="10"/>
      <c r="N3306" s="10"/>
      <c r="O3306" s="10"/>
      <c r="P3306" s="10"/>
      <c r="Q3306" s="10"/>
      <c r="R3306" s="10"/>
      <c r="S3306" s="10"/>
      <c r="T3306" s="10"/>
      <c r="U3306" s="10"/>
      <c r="V3306" s="10"/>
      <c r="W3306" s="10"/>
      <c r="X3306" s="10"/>
      <c r="Y3306" s="10"/>
      <c r="Z3306" s="10"/>
      <c r="AA3306" s="10"/>
      <c r="AB3306" s="10"/>
      <c r="AC3306" s="10"/>
      <c r="AD3306" s="10"/>
      <c r="AE3306" s="10"/>
      <c r="AF3306" s="10"/>
    </row>
    <row r="3307">
      <c r="A3307" s="7"/>
      <c r="B3307" s="26">
        <v>249.0</v>
      </c>
      <c r="C3307" s="27">
        <v>1.0</v>
      </c>
      <c r="D3307" s="8" t="s">
        <v>4325</v>
      </c>
      <c r="E3307" s="7">
        <v>0.0</v>
      </c>
      <c r="F3307" s="7"/>
      <c r="G3307" s="7" t="s">
        <v>313</v>
      </c>
      <c r="H3307" s="7" t="s">
        <v>312</v>
      </c>
      <c r="I3307" s="10"/>
      <c r="J3307" s="9" t="s">
        <v>4326</v>
      </c>
      <c r="K3307" s="12"/>
      <c r="L3307" s="12"/>
      <c r="M3307" s="10"/>
      <c r="N3307" s="10"/>
      <c r="O3307" s="10"/>
      <c r="P3307" s="10"/>
      <c r="Q3307" s="10"/>
      <c r="R3307" s="10"/>
      <c r="S3307" s="10"/>
      <c r="T3307" s="10"/>
      <c r="U3307" s="10"/>
      <c r="V3307" s="10"/>
      <c r="W3307" s="10"/>
      <c r="X3307" s="10"/>
      <c r="Y3307" s="10"/>
      <c r="Z3307" s="10"/>
      <c r="AA3307" s="10"/>
      <c r="AB3307" s="10"/>
      <c r="AC3307" s="10"/>
      <c r="AD3307" s="10"/>
      <c r="AE3307" s="10"/>
      <c r="AF3307" s="10"/>
    </row>
    <row r="3308">
      <c r="A3308" s="7"/>
      <c r="B3308" s="26">
        <v>249.0</v>
      </c>
      <c r="C3308" s="27">
        <v>2.0</v>
      </c>
      <c r="D3308" s="8" t="s">
        <v>4327</v>
      </c>
      <c r="E3308" s="7">
        <v>3.0</v>
      </c>
      <c r="F3308" s="7"/>
      <c r="G3308" s="7" t="s">
        <v>313</v>
      </c>
      <c r="H3308" s="7" t="s">
        <v>312</v>
      </c>
      <c r="I3308" s="7" t="s">
        <v>366</v>
      </c>
      <c r="J3308" s="20" t="s">
        <v>4328</v>
      </c>
      <c r="K3308" s="12"/>
      <c r="L3308" s="14" t="s">
        <v>4329</v>
      </c>
      <c r="M3308" s="10"/>
      <c r="N3308" s="10"/>
      <c r="O3308" s="10"/>
      <c r="P3308" s="10"/>
      <c r="Q3308" s="10"/>
      <c r="R3308" s="10"/>
      <c r="S3308" s="10"/>
      <c r="T3308" s="10"/>
      <c r="U3308" s="10"/>
      <c r="V3308" s="10"/>
      <c r="W3308" s="10"/>
      <c r="X3308" s="10"/>
      <c r="Y3308" s="10"/>
      <c r="Z3308" s="10"/>
      <c r="AA3308" s="10"/>
      <c r="AB3308" s="10"/>
      <c r="AC3308" s="10"/>
      <c r="AD3308" s="10"/>
      <c r="AE3308" s="10"/>
      <c r="AF3308" s="10"/>
    </row>
    <row r="3309">
      <c r="A3309" s="7"/>
      <c r="B3309" s="26">
        <v>249.0</v>
      </c>
      <c r="C3309" s="27">
        <v>3.0</v>
      </c>
      <c r="D3309" s="8" t="s">
        <v>4330</v>
      </c>
      <c r="E3309" s="7">
        <v>3.0</v>
      </c>
      <c r="F3309" s="7"/>
      <c r="G3309" s="7" t="s">
        <v>313</v>
      </c>
      <c r="H3309" s="7" t="s">
        <v>312</v>
      </c>
      <c r="I3309" s="10"/>
      <c r="J3309" s="11"/>
      <c r="K3309" s="12"/>
      <c r="L3309" s="12"/>
      <c r="M3309" s="10"/>
      <c r="N3309" s="10"/>
      <c r="O3309" s="10"/>
      <c r="P3309" s="10"/>
      <c r="Q3309" s="10"/>
      <c r="R3309" s="10"/>
      <c r="S3309" s="10"/>
      <c r="T3309" s="10"/>
      <c r="U3309" s="10"/>
      <c r="V3309" s="10"/>
      <c r="W3309" s="10"/>
      <c r="X3309" s="10"/>
      <c r="Y3309" s="10"/>
      <c r="Z3309" s="10"/>
      <c r="AA3309" s="10"/>
      <c r="AB3309" s="10"/>
      <c r="AC3309" s="10"/>
      <c r="AD3309" s="10"/>
      <c r="AE3309" s="10"/>
      <c r="AF3309" s="10"/>
    </row>
    <row r="3310">
      <c r="A3310" s="10"/>
      <c r="B3310" s="12"/>
      <c r="C3310" s="12"/>
      <c r="D3310" s="12"/>
      <c r="E3310" s="10"/>
      <c r="F3310" s="10"/>
      <c r="G3310" s="10"/>
      <c r="H3310" s="10"/>
      <c r="I3310" s="10"/>
      <c r="J3310" s="11"/>
      <c r="K3310" s="12"/>
      <c r="L3310" s="12"/>
      <c r="M3310" s="10"/>
      <c r="N3310" s="10"/>
      <c r="O3310" s="10"/>
      <c r="P3310" s="10"/>
      <c r="Q3310" s="10"/>
      <c r="R3310" s="10"/>
      <c r="S3310" s="10"/>
      <c r="T3310" s="10"/>
      <c r="U3310" s="10"/>
      <c r="V3310" s="10"/>
      <c r="W3310" s="10"/>
      <c r="X3310" s="10"/>
      <c r="Y3310" s="10"/>
      <c r="Z3310" s="10"/>
      <c r="AA3310" s="10"/>
      <c r="AB3310" s="10"/>
      <c r="AC3310" s="10"/>
      <c r="AD3310" s="10"/>
      <c r="AE3310" s="10"/>
      <c r="AF3310" s="10"/>
    </row>
    <row r="3311">
      <c r="A3311" s="7"/>
      <c r="B3311" s="26">
        <v>250.0</v>
      </c>
      <c r="C3311" s="27">
        <v>1.0</v>
      </c>
      <c r="D3311" s="8" t="s">
        <v>4331</v>
      </c>
      <c r="E3311" s="7">
        <v>0.0</v>
      </c>
      <c r="F3311" s="7"/>
      <c r="G3311" s="7" t="s">
        <v>313</v>
      </c>
      <c r="H3311" s="7" t="s">
        <v>312</v>
      </c>
      <c r="I3311" s="10"/>
      <c r="J3311" s="9" t="s">
        <v>4332</v>
      </c>
      <c r="K3311" s="12"/>
      <c r="L3311" s="12"/>
      <c r="M3311" s="10"/>
      <c r="N3311" s="10"/>
      <c r="O3311" s="10"/>
      <c r="P3311" s="10"/>
      <c r="Q3311" s="10"/>
      <c r="R3311" s="10"/>
      <c r="S3311" s="10"/>
      <c r="T3311" s="10"/>
      <c r="U3311" s="10"/>
      <c r="V3311" s="10"/>
      <c r="W3311" s="10"/>
      <c r="X3311" s="10"/>
      <c r="Y3311" s="10"/>
      <c r="Z3311" s="10"/>
      <c r="AA3311" s="10"/>
      <c r="AB3311" s="10"/>
      <c r="AC3311" s="10"/>
      <c r="AD3311" s="10"/>
      <c r="AE3311" s="10"/>
      <c r="AF3311" s="10"/>
    </row>
    <row r="3312">
      <c r="A3312" s="7"/>
      <c r="B3312" s="26">
        <v>250.0</v>
      </c>
      <c r="C3312" s="27">
        <v>2.0</v>
      </c>
      <c r="D3312" s="8" t="s">
        <v>4333</v>
      </c>
      <c r="E3312" s="7">
        <v>3.0</v>
      </c>
      <c r="F3312" s="7" t="s">
        <v>320</v>
      </c>
      <c r="G3312" s="7" t="s">
        <v>313</v>
      </c>
      <c r="H3312" s="7" t="s">
        <v>312</v>
      </c>
      <c r="I3312" s="10"/>
      <c r="J3312" s="9" t="s">
        <v>4334</v>
      </c>
      <c r="K3312" s="12"/>
      <c r="L3312" s="12"/>
      <c r="M3312" s="10"/>
      <c r="N3312" s="10"/>
      <c r="O3312" s="10"/>
      <c r="P3312" s="10"/>
      <c r="Q3312" s="10"/>
      <c r="R3312" s="10"/>
      <c r="S3312" s="10"/>
      <c r="T3312" s="10"/>
      <c r="U3312" s="10"/>
      <c r="V3312" s="10"/>
      <c r="W3312" s="10"/>
      <c r="X3312" s="10"/>
      <c r="Y3312" s="10"/>
      <c r="Z3312" s="10"/>
      <c r="AA3312" s="10"/>
      <c r="AB3312" s="10"/>
      <c r="AC3312" s="10"/>
      <c r="AD3312" s="10"/>
      <c r="AE3312" s="10"/>
      <c r="AF3312" s="10"/>
    </row>
    <row r="3313">
      <c r="A3313" s="7"/>
      <c r="B3313" s="26">
        <v>250.0</v>
      </c>
      <c r="C3313" s="27">
        <v>3.0</v>
      </c>
      <c r="D3313" s="8" t="s">
        <v>4335</v>
      </c>
      <c r="E3313" s="7">
        <v>3.0</v>
      </c>
      <c r="F3313" s="7"/>
      <c r="G3313" s="7" t="s">
        <v>313</v>
      </c>
      <c r="H3313" s="7" t="s">
        <v>312</v>
      </c>
      <c r="I3313" s="10"/>
      <c r="J3313" s="11"/>
      <c r="K3313" s="12"/>
      <c r="L3313" s="12"/>
      <c r="M3313" s="10"/>
      <c r="N3313" s="10"/>
      <c r="O3313" s="10"/>
      <c r="P3313" s="10"/>
      <c r="Q3313" s="10"/>
      <c r="R3313" s="10"/>
      <c r="S3313" s="10"/>
      <c r="T3313" s="10"/>
      <c r="U3313" s="10"/>
      <c r="V3313" s="10"/>
      <c r="W3313" s="10"/>
      <c r="X3313" s="10"/>
      <c r="Y3313" s="10"/>
      <c r="Z3313" s="10"/>
      <c r="AA3313" s="10"/>
      <c r="AB3313" s="10"/>
      <c r="AC3313" s="10"/>
      <c r="AD3313" s="10"/>
      <c r="AE3313" s="10"/>
      <c r="AF3313" s="10"/>
    </row>
    <row r="3314">
      <c r="A3314" s="13" t="s">
        <v>251</v>
      </c>
      <c r="B3314" s="12"/>
      <c r="C3314" s="12"/>
      <c r="D3314" s="12"/>
      <c r="E3314" s="10"/>
      <c r="F3314" s="10"/>
      <c r="G3314" s="10"/>
      <c r="H3314" s="10"/>
      <c r="I3314" s="10"/>
      <c r="J3314" s="11"/>
      <c r="K3314" s="12"/>
      <c r="L3314" s="12"/>
      <c r="M3314" s="10"/>
      <c r="N3314" s="10"/>
      <c r="O3314" s="10"/>
      <c r="P3314" s="10"/>
      <c r="Q3314" s="10"/>
      <c r="R3314" s="10"/>
      <c r="S3314" s="10"/>
      <c r="T3314" s="10"/>
      <c r="U3314" s="10"/>
      <c r="V3314" s="10"/>
      <c r="W3314" s="10"/>
      <c r="X3314" s="10"/>
      <c r="Y3314" s="10"/>
      <c r="Z3314" s="10"/>
      <c r="AA3314" s="10"/>
      <c r="AB3314" s="10"/>
      <c r="AC3314" s="10"/>
      <c r="AD3314" s="10"/>
      <c r="AE3314" s="10"/>
      <c r="AF3314" s="10"/>
    </row>
    <row r="3315">
      <c r="A3315" s="7"/>
      <c r="B3315" s="26">
        <v>251.0</v>
      </c>
      <c r="C3315" s="27">
        <v>1.0</v>
      </c>
      <c r="D3315" s="8" t="s">
        <v>4336</v>
      </c>
      <c r="E3315" s="7">
        <v>2.0</v>
      </c>
      <c r="F3315" s="7" t="s">
        <v>320</v>
      </c>
      <c r="G3315" s="7" t="s">
        <v>313</v>
      </c>
      <c r="H3315" s="7" t="s">
        <v>312</v>
      </c>
      <c r="I3315" s="10"/>
      <c r="J3315" s="23" t="s">
        <v>4337</v>
      </c>
      <c r="K3315" s="8" t="s">
        <v>4338</v>
      </c>
      <c r="L3315" s="14" t="s">
        <v>4339</v>
      </c>
      <c r="M3315" s="10"/>
      <c r="N3315" s="10"/>
      <c r="O3315" s="10"/>
      <c r="P3315" s="10"/>
      <c r="Q3315" s="10"/>
      <c r="R3315" s="10"/>
      <c r="S3315" s="10"/>
      <c r="T3315" s="10"/>
      <c r="U3315" s="10"/>
      <c r="V3315" s="10"/>
      <c r="W3315" s="10"/>
      <c r="X3315" s="10"/>
      <c r="Y3315" s="10"/>
      <c r="Z3315" s="10"/>
      <c r="AA3315" s="10"/>
      <c r="AB3315" s="10"/>
      <c r="AC3315" s="10"/>
      <c r="AD3315" s="10"/>
      <c r="AE3315" s="10"/>
      <c r="AF3315" s="10"/>
    </row>
    <row r="3316">
      <c r="A3316" s="7"/>
      <c r="B3316" s="26">
        <v>251.0</v>
      </c>
      <c r="C3316" s="27">
        <v>2.0</v>
      </c>
      <c r="D3316" s="8" t="s">
        <v>4340</v>
      </c>
      <c r="E3316" s="7">
        <v>2.0</v>
      </c>
      <c r="F3316" s="7" t="s">
        <v>320</v>
      </c>
      <c r="G3316" s="7" t="s">
        <v>313</v>
      </c>
      <c r="H3316" s="10"/>
      <c r="I3316" s="10"/>
      <c r="J3316" s="23" t="s">
        <v>4341</v>
      </c>
      <c r="K3316" s="8" t="s">
        <v>4342</v>
      </c>
      <c r="L3316" s="14" t="s">
        <v>4339</v>
      </c>
      <c r="M3316" s="10"/>
      <c r="N3316" s="10"/>
      <c r="O3316" s="10"/>
      <c r="P3316" s="10"/>
      <c r="Q3316" s="10"/>
      <c r="R3316" s="10"/>
      <c r="S3316" s="10"/>
      <c r="T3316" s="10"/>
      <c r="U3316" s="10"/>
      <c r="V3316" s="10"/>
      <c r="W3316" s="10"/>
      <c r="X3316" s="10"/>
      <c r="Y3316" s="10"/>
      <c r="Z3316" s="10"/>
      <c r="AA3316" s="10"/>
      <c r="AB3316" s="10"/>
      <c r="AC3316" s="10"/>
      <c r="AD3316" s="10"/>
      <c r="AE3316" s="10"/>
      <c r="AF3316" s="10"/>
    </row>
    <row r="3317">
      <c r="A3317" s="7"/>
      <c r="B3317" s="26">
        <v>251.0</v>
      </c>
      <c r="C3317" s="27">
        <v>3.0</v>
      </c>
      <c r="D3317" s="8" t="s">
        <v>4343</v>
      </c>
      <c r="E3317" s="7">
        <v>0.0</v>
      </c>
      <c r="F3317" s="7"/>
      <c r="G3317" s="7" t="s">
        <v>313</v>
      </c>
      <c r="H3317" s="10"/>
      <c r="I3317" s="10"/>
      <c r="J3317" s="11"/>
      <c r="K3317" s="12"/>
      <c r="L3317" s="14" t="s">
        <v>4339</v>
      </c>
      <c r="M3317" s="10"/>
      <c r="N3317" s="10"/>
      <c r="O3317" s="10"/>
      <c r="P3317" s="10"/>
      <c r="Q3317" s="10"/>
      <c r="R3317" s="10"/>
      <c r="S3317" s="10"/>
      <c r="T3317" s="10"/>
      <c r="U3317" s="10"/>
      <c r="V3317" s="10"/>
      <c r="W3317" s="10"/>
      <c r="X3317" s="10"/>
      <c r="Y3317" s="10"/>
      <c r="Z3317" s="10"/>
      <c r="AA3317" s="10"/>
      <c r="AB3317" s="10"/>
      <c r="AC3317" s="10"/>
      <c r="AD3317" s="10"/>
      <c r="AE3317" s="10"/>
      <c r="AF3317" s="10"/>
    </row>
    <row r="3318">
      <c r="A3318" s="13" t="s">
        <v>252</v>
      </c>
      <c r="B3318" s="12"/>
      <c r="C3318" s="12"/>
      <c r="D3318" s="12"/>
      <c r="E3318" s="10"/>
      <c r="F3318" s="10"/>
      <c r="G3318" s="10"/>
      <c r="H3318" s="10"/>
      <c r="I3318" s="10"/>
      <c r="J3318" s="11"/>
      <c r="K3318" s="12"/>
      <c r="L3318" s="12"/>
      <c r="M3318" s="10"/>
      <c r="N3318" s="10"/>
      <c r="O3318" s="10"/>
      <c r="P3318" s="10"/>
      <c r="Q3318" s="10"/>
      <c r="R3318" s="10"/>
      <c r="S3318" s="10"/>
      <c r="T3318" s="10"/>
      <c r="U3318" s="10"/>
      <c r="V3318" s="10"/>
      <c r="W3318" s="10"/>
      <c r="X3318" s="10"/>
      <c r="Y3318" s="10"/>
      <c r="Z3318" s="10"/>
      <c r="AA3318" s="10"/>
      <c r="AB3318" s="10"/>
      <c r="AC3318" s="10"/>
      <c r="AD3318" s="10"/>
      <c r="AE3318" s="10"/>
      <c r="AF3318" s="10"/>
    </row>
    <row r="3319">
      <c r="A3319" s="7"/>
      <c r="B3319" s="8">
        <v>252.0</v>
      </c>
      <c r="C3319" s="8">
        <v>1.0</v>
      </c>
      <c r="D3319" s="8" t="s">
        <v>4344</v>
      </c>
      <c r="E3319" s="7">
        <v>0.0</v>
      </c>
      <c r="F3319" s="7" t="s">
        <v>320</v>
      </c>
      <c r="G3319" s="7" t="s">
        <v>313</v>
      </c>
      <c r="H3319" s="7" t="s">
        <v>312</v>
      </c>
      <c r="I3319" s="7" t="s">
        <v>366</v>
      </c>
      <c r="J3319" s="9" t="s">
        <v>4345</v>
      </c>
      <c r="K3319" s="12"/>
      <c r="L3319" s="12"/>
      <c r="M3319" s="10"/>
      <c r="N3319" s="10"/>
      <c r="O3319" s="10"/>
      <c r="P3319" s="10"/>
      <c r="Q3319" s="10"/>
      <c r="R3319" s="10"/>
      <c r="S3319" s="10"/>
      <c r="T3319" s="10"/>
      <c r="U3319" s="10"/>
      <c r="V3319" s="10"/>
      <c r="W3319" s="10"/>
      <c r="X3319" s="10"/>
      <c r="Y3319" s="10"/>
      <c r="Z3319" s="10"/>
      <c r="AA3319" s="10"/>
      <c r="AB3319" s="10"/>
      <c r="AC3319" s="10"/>
      <c r="AD3319" s="10"/>
      <c r="AE3319" s="10"/>
      <c r="AF3319" s="10"/>
    </row>
    <row r="3320">
      <c r="A3320" s="10"/>
      <c r="B3320" s="12"/>
      <c r="C3320" s="12"/>
      <c r="D3320" s="12"/>
      <c r="E3320" s="10"/>
      <c r="F3320" s="10"/>
      <c r="G3320" s="10"/>
      <c r="H3320" s="10"/>
      <c r="I3320" s="10"/>
      <c r="J3320" s="11"/>
      <c r="K3320" s="12"/>
      <c r="L3320" s="12"/>
      <c r="M3320" s="10"/>
      <c r="N3320" s="10"/>
      <c r="O3320" s="10"/>
      <c r="P3320" s="10"/>
      <c r="Q3320" s="10"/>
      <c r="R3320" s="10"/>
      <c r="S3320" s="10"/>
      <c r="T3320" s="10"/>
      <c r="U3320" s="10"/>
      <c r="V3320" s="10"/>
      <c r="W3320" s="10"/>
      <c r="X3320" s="10"/>
      <c r="Y3320" s="10"/>
      <c r="Z3320" s="10"/>
      <c r="AA3320" s="10"/>
      <c r="AB3320" s="10"/>
      <c r="AC3320" s="10"/>
      <c r="AD3320" s="10"/>
      <c r="AE3320" s="10"/>
      <c r="AF3320" s="10"/>
    </row>
    <row r="3321">
      <c r="A3321" s="7"/>
      <c r="B3321" s="26">
        <v>253.0</v>
      </c>
      <c r="C3321" s="27">
        <v>1.0</v>
      </c>
      <c r="D3321" s="8" t="s">
        <v>4346</v>
      </c>
      <c r="E3321" s="7">
        <v>0.0</v>
      </c>
      <c r="F3321" s="7"/>
      <c r="G3321" s="7" t="s">
        <v>313</v>
      </c>
      <c r="H3321" s="7" t="s">
        <v>312</v>
      </c>
      <c r="I3321" s="10"/>
      <c r="J3321" s="9" t="s">
        <v>4347</v>
      </c>
      <c r="K3321" s="12"/>
      <c r="L3321" s="12"/>
      <c r="M3321" s="10"/>
      <c r="N3321" s="10"/>
      <c r="O3321" s="10"/>
      <c r="P3321" s="10"/>
      <c r="Q3321" s="10"/>
      <c r="R3321" s="10"/>
      <c r="S3321" s="10"/>
      <c r="T3321" s="10"/>
      <c r="U3321" s="10"/>
      <c r="V3321" s="10"/>
      <c r="W3321" s="10"/>
      <c r="X3321" s="10"/>
      <c r="Y3321" s="10"/>
      <c r="Z3321" s="10"/>
      <c r="AA3321" s="10"/>
      <c r="AB3321" s="10"/>
      <c r="AC3321" s="10"/>
      <c r="AD3321" s="10"/>
      <c r="AE3321" s="10"/>
      <c r="AF3321" s="10"/>
    </row>
    <row r="3322">
      <c r="A3322" s="7"/>
      <c r="B3322" s="26">
        <v>253.0</v>
      </c>
      <c r="C3322" s="27">
        <v>2.0</v>
      </c>
      <c r="D3322" s="8" t="s">
        <v>4348</v>
      </c>
      <c r="E3322" s="7">
        <v>0.0</v>
      </c>
      <c r="F3322" s="7"/>
      <c r="G3322" s="7" t="s">
        <v>313</v>
      </c>
      <c r="H3322" s="7" t="s">
        <v>312</v>
      </c>
      <c r="I3322" s="10"/>
      <c r="J3322" s="11"/>
      <c r="K3322" s="12"/>
      <c r="L3322" s="12"/>
      <c r="M3322" s="10"/>
      <c r="N3322" s="10"/>
      <c r="O3322" s="10"/>
      <c r="P3322" s="10"/>
      <c r="Q3322" s="10"/>
      <c r="R3322" s="10"/>
      <c r="S3322" s="10"/>
      <c r="T3322" s="10"/>
      <c r="U3322" s="10"/>
      <c r="V3322" s="10"/>
      <c r="W3322" s="10"/>
      <c r="X3322" s="10"/>
      <c r="Y3322" s="10"/>
      <c r="Z3322" s="10"/>
      <c r="AA3322" s="10"/>
      <c r="AB3322" s="10"/>
      <c r="AC3322" s="10"/>
      <c r="AD3322" s="10"/>
      <c r="AE3322" s="10"/>
      <c r="AF3322" s="10"/>
    </row>
    <row r="3323">
      <c r="A3323" s="7"/>
      <c r="B3323" s="26">
        <v>253.0</v>
      </c>
      <c r="C3323" s="27">
        <v>3.0</v>
      </c>
      <c r="D3323" s="8" t="s">
        <v>4349</v>
      </c>
      <c r="E3323" s="7">
        <v>0.0</v>
      </c>
      <c r="F3323" s="7"/>
      <c r="G3323" s="7" t="s">
        <v>313</v>
      </c>
      <c r="H3323" s="7" t="s">
        <v>312</v>
      </c>
      <c r="I3323" s="10"/>
      <c r="J3323" s="11"/>
      <c r="K3323" s="12"/>
      <c r="L3323" s="12"/>
      <c r="M3323" s="10"/>
      <c r="N3323" s="10"/>
      <c r="O3323" s="10"/>
      <c r="P3323" s="10"/>
      <c r="Q3323" s="10"/>
      <c r="R3323" s="10"/>
      <c r="S3323" s="10"/>
      <c r="T3323" s="10"/>
      <c r="U3323" s="10"/>
      <c r="V3323" s="10"/>
      <c r="W3323" s="10"/>
      <c r="X3323" s="10"/>
      <c r="Y3323" s="10"/>
      <c r="Z3323" s="10"/>
      <c r="AA3323" s="10"/>
      <c r="AB3323" s="10"/>
      <c r="AC3323" s="10"/>
      <c r="AD3323" s="10"/>
      <c r="AE3323" s="10"/>
      <c r="AF3323" s="10"/>
    </row>
    <row r="3324">
      <c r="A3324" s="7"/>
      <c r="B3324" s="26">
        <v>253.0</v>
      </c>
      <c r="C3324" s="27">
        <v>4.0</v>
      </c>
      <c r="D3324" s="8" t="s">
        <v>4350</v>
      </c>
      <c r="E3324" s="7">
        <v>0.0</v>
      </c>
      <c r="F3324" s="7"/>
      <c r="G3324" s="7" t="s">
        <v>313</v>
      </c>
      <c r="H3324" s="7" t="s">
        <v>312</v>
      </c>
      <c r="I3324" s="10"/>
      <c r="J3324" s="11"/>
      <c r="K3324" s="12"/>
      <c r="L3324" s="12"/>
      <c r="M3324" s="10"/>
      <c r="N3324" s="10"/>
      <c r="O3324" s="10"/>
      <c r="P3324" s="10"/>
      <c r="Q3324" s="10"/>
      <c r="R3324" s="10"/>
      <c r="S3324" s="10"/>
      <c r="T3324" s="10"/>
      <c r="U3324" s="10"/>
      <c r="V3324" s="10"/>
      <c r="W3324" s="10"/>
      <c r="X3324" s="10"/>
      <c r="Y3324" s="10"/>
      <c r="Z3324" s="10"/>
      <c r="AA3324" s="10"/>
      <c r="AB3324" s="10"/>
      <c r="AC3324" s="10"/>
      <c r="AD3324" s="10"/>
      <c r="AE3324" s="10"/>
      <c r="AF3324" s="10"/>
    </row>
    <row r="3325">
      <c r="A3325" s="7"/>
      <c r="B3325" s="26">
        <v>253.0</v>
      </c>
      <c r="C3325" s="27">
        <v>5.0</v>
      </c>
      <c r="D3325" s="8" t="s">
        <v>4351</v>
      </c>
      <c r="E3325" s="7">
        <v>0.0</v>
      </c>
      <c r="F3325" s="7"/>
      <c r="G3325" s="7" t="s">
        <v>313</v>
      </c>
      <c r="H3325" s="7" t="s">
        <v>312</v>
      </c>
      <c r="I3325" s="7" t="s">
        <v>366</v>
      </c>
      <c r="J3325" s="16" t="s">
        <v>4352</v>
      </c>
      <c r="K3325" s="20" t="s">
        <v>2764</v>
      </c>
      <c r="L3325" s="12"/>
      <c r="M3325" s="10"/>
      <c r="N3325" s="10"/>
      <c r="O3325" s="10"/>
      <c r="P3325" s="10"/>
      <c r="Q3325" s="10"/>
      <c r="R3325" s="10"/>
      <c r="S3325" s="10"/>
      <c r="T3325" s="10"/>
      <c r="U3325" s="10"/>
      <c r="V3325" s="10"/>
      <c r="W3325" s="10"/>
      <c r="X3325" s="10"/>
      <c r="Y3325" s="10"/>
      <c r="Z3325" s="10"/>
      <c r="AA3325" s="10"/>
      <c r="AB3325" s="10"/>
      <c r="AC3325" s="10"/>
      <c r="AD3325" s="10"/>
      <c r="AE3325" s="10"/>
      <c r="AF3325" s="10"/>
    </row>
    <row r="3326">
      <c r="A3326" s="7"/>
      <c r="B3326" s="26">
        <v>253.0</v>
      </c>
      <c r="C3326" s="27">
        <v>6.0</v>
      </c>
      <c r="D3326" s="8" t="s">
        <v>4353</v>
      </c>
      <c r="E3326" s="7">
        <v>0.0</v>
      </c>
      <c r="F3326" s="7"/>
      <c r="G3326" s="7" t="s">
        <v>313</v>
      </c>
      <c r="H3326" s="7" t="s">
        <v>312</v>
      </c>
      <c r="I3326" s="10"/>
      <c r="J3326" s="11"/>
      <c r="K3326" s="8"/>
      <c r="L3326" s="12"/>
      <c r="M3326" s="10"/>
      <c r="N3326" s="10"/>
      <c r="O3326" s="10"/>
      <c r="P3326" s="10"/>
      <c r="Q3326" s="10"/>
      <c r="R3326" s="10"/>
      <c r="S3326" s="10"/>
      <c r="T3326" s="10"/>
      <c r="U3326" s="10"/>
      <c r="V3326" s="10"/>
      <c r="W3326" s="10"/>
      <c r="X3326" s="10"/>
      <c r="Y3326" s="10"/>
      <c r="Z3326" s="10"/>
      <c r="AA3326" s="10"/>
      <c r="AB3326" s="10"/>
      <c r="AC3326" s="10"/>
      <c r="AD3326" s="10"/>
      <c r="AE3326" s="10"/>
      <c r="AF3326" s="10"/>
    </row>
    <row r="3327">
      <c r="A3327" s="13" t="s">
        <v>254</v>
      </c>
      <c r="B3327" s="12"/>
      <c r="C3327" s="12"/>
      <c r="D3327" s="12"/>
      <c r="E3327" s="10"/>
      <c r="F3327" s="10"/>
      <c r="G3327" s="10"/>
      <c r="H3327" s="10"/>
      <c r="I3327" s="10"/>
      <c r="J3327" s="11"/>
      <c r="K3327" s="12"/>
      <c r="L3327" s="12"/>
      <c r="M3327" s="10"/>
      <c r="N3327" s="10"/>
      <c r="O3327" s="10"/>
      <c r="P3327" s="10"/>
      <c r="Q3327" s="10"/>
      <c r="R3327" s="10"/>
      <c r="S3327" s="10"/>
      <c r="T3327" s="10"/>
      <c r="U3327" s="10"/>
      <c r="V3327" s="10"/>
      <c r="W3327" s="10"/>
      <c r="X3327" s="10"/>
      <c r="Y3327" s="10"/>
      <c r="Z3327" s="10"/>
      <c r="AA3327" s="10"/>
      <c r="AB3327" s="10"/>
      <c r="AC3327" s="10"/>
      <c r="AD3327" s="10"/>
      <c r="AE3327" s="10"/>
      <c r="AF3327" s="10"/>
    </row>
    <row r="3328">
      <c r="A3328" s="7"/>
      <c r="B3328" s="26">
        <v>254.0</v>
      </c>
      <c r="C3328" s="27">
        <v>1.0</v>
      </c>
      <c r="D3328" s="8" t="s">
        <v>4354</v>
      </c>
      <c r="E3328" s="7">
        <v>0.0</v>
      </c>
      <c r="F3328" s="7"/>
      <c r="G3328" s="7" t="s">
        <v>313</v>
      </c>
      <c r="H3328" s="7" t="s">
        <v>312</v>
      </c>
      <c r="I3328" s="10"/>
      <c r="J3328" s="9"/>
      <c r="K3328" s="12"/>
      <c r="L3328" s="12"/>
      <c r="M3328" s="10"/>
      <c r="N3328" s="10"/>
      <c r="O3328" s="10"/>
      <c r="P3328" s="10"/>
      <c r="Q3328" s="10"/>
      <c r="R3328" s="10"/>
      <c r="S3328" s="10"/>
      <c r="T3328" s="10"/>
      <c r="U3328" s="10"/>
      <c r="V3328" s="10"/>
      <c r="W3328" s="10"/>
      <c r="X3328" s="10"/>
      <c r="Y3328" s="10"/>
      <c r="Z3328" s="10"/>
      <c r="AA3328" s="10"/>
      <c r="AB3328" s="10"/>
      <c r="AC3328" s="10"/>
      <c r="AD3328" s="10"/>
      <c r="AE3328" s="10"/>
      <c r="AF3328" s="10"/>
    </row>
    <row r="3329">
      <c r="A3329" s="7"/>
      <c r="B3329" s="26">
        <v>254.0</v>
      </c>
      <c r="C3329" s="27">
        <v>2.0</v>
      </c>
      <c r="D3329" s="8" t="s">
        <v>4355</v>
      </c>
      <c r="E3329" s="7">
        <v>0.0</v>
      </c>
      <c r="F3329" s="7"/>
      <c r="G3329" s="7" t="s">
        <v>313</v>
      </c>
      <c r="H3329" s="7" t="s">
        <v>312</v>
      </c>
      <c r="I3329" s="10"/>
      <c r="J3329" s="11"/>
      <c r="K3329" s="12"/>
      <c r="L3329" s="12"/>
      <c r="M3329" s="10"/>
      <c r="N3329" s="10"/>
      <c r="O3329" s="10"/>
      <c r="P3329" s="10"/>
      <c r="Q3329" s="10"/>
      <c r="R3329" s="10"/>
      <c r="S3329" s="10"/>
      <c r="T3329" s="10"/>
      <c r="U3329" s="10"/>
      <c r="V3329" s="10"/>
      <c r="W3329" s="10"/>
      <c r="X3329" s="10"/>
      <c r="Y3329" s="10"/>
      <c r="Z3329" s="10"/>
      <c r="AA3329" s="10"/>
      <c r="AB3329" s="10"/>
      <c r="AC3329" s="10"/>
      <c r="AD3329" s="10"/>
      <c r="AE3329" s="10"/>
      <c r="AF3329" s="10"/>
    </row>
    <row r="3330">
      <c r="A3330" s="7"/>
      <c r="B3330" s="26">
        <v>254.0</v>
      </c>
      <c r="C3330" s="27">
        <v>3.0</v>
      </c>
      <c r="D3330" s="8" t="s">
        <v>4356</v>
      </c>
      <c r="E3330" s="7">
        <v>0.0</v>
      </c>
      <c r="F3330" s="7"/>
      <c r="G3330" s="7" t="s">
        <v>313</v>
      </c>
      <c r="H3330" s="7" t="s">
        <v>312</v>
      </c>
      <c r="I3330" s="10"/>
      <c r="J3330" s="11"/>
      <c r="K3330" s="12"/>
      <c r="L3330" s="12"/>
      <c r="M3330" s="10"/>
      <c r="N3330" s="10"/>
      <c r="O3330" s="10"/>
      <c r="P3330" s="10"/>
      <c r="Q3330" s="10"/>
      <c r="R3330" s="10"/>
      <c r="S3330" s="10"/>
      <c r="T3330" s="10"/>
      <c r="U3330" s="10"/>
      <c r="V3330" s="10"/>
      <c r="W3330" s="10"/>
      <c r="X3330" s="10"/>
      <c r="Y3330" s="10"/>
      <c r="Z3330" s="10"/>
      <c r="AA3330" s="10"/>
      <c r="AB3330" s="10"/>
      <c r="AC3330" s="10"/>
      <c r="AD3330" s="10"/>
      <c r="AE3330" s="10"/>
      <c r="AF3330" s="10"/>
    </row>
    <row r="3331">
      <c r="A3331" s="7"/>
      <c r="B3331" s="26">
        <v>254.0</v>
      </c>
      <c r="C3331" s="27">
        <v>4.0</v>
      </c>
      <c r="D3331" s="8" t="s">
        <v>4357</v>
      </c>
      <c r="E3331" s="7">
        <v>0.0</v>
      </c>
      <c r="F3331" s="7"/>
      <c r="G3331" s="7" t="s">
        <v>313</v>
      </c>
      <c r="H3331" s="7" t="s">
        <v>312</v>
      </c>
      <c r="I3331" s="10"/>
      <c r="J3331" s="11"/>
      <c r="K3331" s="12"/>
      <c r="L3331" s="12"/>
      <c r="M3331" s="10"/>
      <c r="N3331" s="10"/>
      <c r="O3331" s="10"/>
      <c r="P3331" s="10"/>
      <c r="Q3331" s="10"/>
      <c r="R3331" s="10"/>
      <c r="S3331" s="10"/>
      <c r="T3331" s="10"/>
      <c r="U3331" s="10"/>
      <c r="V3331" s="10"/>
      <c r="W3331" s="10"/>
      <c r="X3331" s="10"/>
      <c r="Y3331" s="10"/>
      <c r="Z3331" s="10"/>
      <c r="AA3331" s="10"/>
      <c r="AB3331" s="10"/>
      <c r="AC3331" s="10"/>
      <c r="AD3331" s="10"/>
      <c r="AE3331" s="10"/>
      <c r="AF3331" s="10"/>
    </row>
    <row r="3332">
      <c r="A3332" s="7"/>
      <c r="B3332" s="26">
        <v>254.0</v>
      </c>
      <c r="C3332" s="27">
        <v>5.0</v>
      </c>
      <c r="D3332" s="8" t="s">
        <v>4358</v>
      </c>
      <c r="E3332" s="7">
        <v>0.0</v>
      </c>
      <c r="F3332" s="7"/>
      <c r="G3332" s="7" t="s">
        <v>313</v>
      </c>
      <c r="H3332" s="7" t="s">
        <v>312</v>
      </c>
      <c r="I3332" s="10"/>
      <c r="J3332" s="11"/>
      <c r="K3332" s="12"/>
      <c r="L3332" s="12"/>
      <c r="M3332" s="10"/>
      <c r="N3332" s="10"/>
      <c r="O3332" s="10"/>
      <c r="P3332" s="10"/>
      <c r="Q3332" s="10"/>
      <c r="R3332" s="10"/>
      <c r="S3332" s="10"/>
      <c r="T3332" s="10"/>
      <c r="U3332" s="10"/>
      <c r="V3332" s="10"/>
      <c r="W3332" s="10"/>
      <c r="X3332" s="10"/>
      <c r="Y3332" s="10"/>
      <c r="Z3332" s="10"/>
      <c r="AA3332" s="10"/>
      <c r="AB3332" s="10"/>
      <c r="AC3332" s="10"/>
      <c r="AD3332" s="10"/>
      <c r="AE3332" s="10"/>
      <c r="AF3332" s="10"/>
    </row>
    <row r="3333">
      <c r="A3333" s="7"/>
      <c r="B3333" s="26">
        <v>254.0</v>
      </c>
      <c r="C3333" s="27">
        <v>6.0</v>
      </c>
      <c r="D3333" s="8" t="s">
        <v>4359</v>
      </c>
      <c r="E3333" s="7">
        <v>0.0</v>
      </c>
      <c r="F3333" s="7"/>
      <c r="G3333" s="7" t="s">
        <v>313</v>
      </c>
      <c r="H3333" s="7" t="s">
        <v>312</v>
      </c>
      <c r="I3333" s="10"/>
      <c r="J3333" s="11"/>
      <c r="K3333" s="20" t="s">
        <v>4360</v>
      </c>
      <c r="L3333" s="12"/>
      <c r="M3333" s="10"/>
      <c r="N3333" s="10"/>
      <c r="O3333" s="10"/>
      <c r="P3333" s="10"/>
      <c r="Q3333" s="10"/>
      <c r="R3333" s="10"/>
      <c r="S3333" s="10"/>
      <c r="T3333" s="10"/>
      <c r="U3333" s="10"/>
      <c r="V3333" s="10"/>
      <c r="W3333" s="10"/>
      <c r="X3333" s="10"/>
      <c r="Y3333" s="10"/>
      <c r="Z3333" s="10"/>
      <c r="AA3333" s="10"/>
      <c r="AB3333" s="10"/>
      <c r="AC3333" s="10"/>
      <c r="AD3333" s="10"/>
      <c r="AE3333" s="10"/>
      <c r="AF3333" s="10"/>
    </row>
    <row r="3334">
      <c r="A3334" s="7"/>
      <c r="B3334" s="26">
        <v>254.0</v>
      </c>
      <c r="C3334" s="27">
        <v>7.0</v>
      </c>
      <c r="D3334" s="8" t="s">
        <v>4361</v>
      </c>
      <c r="E3334" s="7">
        <v>3.0</v>
      </c>
      <c r="F3334" s="7" t="s">
        <v>320</v>
      </c>
      <c r="G3334" s="7" t="s">
        <v>313</v>
      </c>
      <c r="H3334" s="7" t="s">
        <v>312</v>
      </c>
      <c r="I3334" s="7" t="s">
        <v>366</v>
      </c>
      <c r="J3334" s="9" t="s">
        <v>4362</v>
      </c>
      <c r="K3334" s="12"/>
      <c r="L3334" s="12"/>
      <c r="M3334" s="10"/>
      <c r="N3334" s="10"/>
      <c r="O3334" s="10"/>
      <c r="P3334" s="10"/>
      <c r="Q3334" s="10"/>
      <c r="R3334" s="10"/>
      <c r="S3334" s="10"/>
      <c r="T3334" s="10"/>
      <c r="U3334" s="10"/>
      <c r="V3334" s="10"/>
      <c r="W3334" s="10"/>
      <c r="X3334" s="10"/>
      <c r="Y3334" s="10"/>
      <c r="Z3334" s="10"/>
      <c r="AA3334" s="10"/>
      <c r="AB3334" s="10"/>
      <c r="AC3334" s="10"/>
      <c r="AD3334" s="10"/>
      <c r="AE3334" s="10"/>
      <c r="AF3334" s="10"/>
    </row>
    <row r="3335">
      <c r="A3335" s="7"/>
      <c r="B3335" s="26">
        <v>254.0</v>
      </c>
      <c r="C3335" s="27">
        <v>8.0</v>
      </c>
      <c r="D3335" s="8" t="s">
        <v>4363</v>
      </c>
      <c r="E3335" s="7">
        <v>3.0</v>
      </c>
      <c r="F3335" s="7"/>
      <c r="G3335" s="7" t="s">
        <v>313</v>
      </c>
      <c r="H3335" s="7" t="s">
        <v>312</v>
      </c>
      <c r="I3335" s="10"/>
      <c r="J3335" s="11"/>
      <c r="K3335" s="12"/>
      <c r="L3335" s="12"/>
      <c r="M3335" s="10"/>
      <c r="N3335" s="10"/>
      <c r="O3335" s="10"/>
      <c r="P3335" s="10"/>
      <c r="Q3335" s="10"/>
      <c r="R3335" s="10"/>
      <c r="S3335" s="10"/>
      <c r="T3335" s="10"/>
      <c r="U3335" s="10"/>
      <c r="V3335" s="10"/>
      <c r="W3335" s="10"/>
      <c r="X3335" s="10"/>
      <c r="Y3335" s="10"/>
      <c r="Z3335" s="10"/>
      <c r="AA3335" s="10"/>
      <c r="AB3335" s="10"/>
      <c r="AC3335" s="10"/>
      <c r="AD3335" s="10"/>
      <c r="AE3335" s="10"/>
      <c r="AF3335" s="10"/>
    </row>
    <row r="3336">
      <c r="A3336" s="7"/>
      <c r="B3336" s="26">
        <v>254.0</v>
      </c>
      <c r="C3336" s="27">
        <v>9.0</v>
      </c>
      <c r="D3336" s="8" t="s">
        <v>4364</v>
      </c>
      <c r="E3336" s="7">
        <v>3.0</v>
      </c>
      <c r="F3336" s="7"/>
      <c r="G3336" s="7" t="s">
        <v>313</v>
      </c>
      <c r="H3336" s="7" t="s">
        <v>312</v>
      </c>
      <c r="I3336" s="10"/>
      <c r="J3336" s="11"/>
      <c r="K3336" s="12"/>
      <c r="L3336" s="12"/>
      <c r="M3336" s="10"/>
      <c r="N3336" s="10"/>
      <c r="O3336" s="10"/>
      <c r="P3336" s="10"/>
      <c r="Q3336" s="10"/>
      <c r="R3336" s="10"/>
      <c r="S3336" s="10"/>
      <c r="T3336" s="10"/>
      <c r="U3336" s="10"/>
      <c r="V3336" s="10"/>
      <c r="W3336" s="10"/>
      <c r="X3336" s="10"/>
      <c r="Y3336" s="10"/>
      <c r="Z3336" s="10"/>
      <c r="AA3336" s="10"/>
      <c r="AB3336" s="10"/>
      <c r="AC3336" s="10"/>
      <c r="AD3336" s="10"/>
      <c r="AE3336" s="10"/>
      <c r="AF3336" s="10"/>
    </row>
    <row r="3337">
      <c r="A3337" s="7"/>
      <c r="B3337" s="26">
        <v>254.0</v>
      </c>
      <c r="C3337" s="27">
        <v>10.0</v>
      </c>
      <c r="D3337" s="8" t="s">
        <v>4365</v>
      </c>
      <c r="E3337" s="7">
        <v>0.0</v>
      </c>
      <c r="F3337" s="7"/>
      <c r="G3337" s="7" t="s">
        <v>313</v>
      </c>
      <c r="H3337" s="7" t="s">
        <v>312</v>
      </c>
      <c r="I3337" s="10"/>
      <c r="J3337" s="11"/>
      <c r="K3337" s="12"/>
      <c r="L3337" s="12"/>
      <c r="M3337" s="10"/>
      <c r="N3337" s="10"/>
      <c r="O3337" s="10"/>
      <c r="P3337" s="10"/>
      <c r="Q3337" s="10"/>
      <c r="R3337" s="10"/>
      <c r="S3337" s="10"/>
      <c r="T3337" s="10"/>
      <c r="U3337" s="10"/>
      <c r="V3337" s="10"/>
      <c r="W3337" s="10"/>
      <c r="X3337" s="10"/>
      <c r="Y3337" s="10"/>
      <c r="Z3337" s="10"/>
      <c r="AA3337" s="10"/>
      <c r="AB3337" s="10"/>
      <c r="AC3337" s="10"/>
      <c r="AD3337" s="10"/>
      <c r="AE3337" s="10"/>
      <c r="AF3337" s="10"/>
    </row>
    <row r="3338">
      <c r="A3338" s="7"/>
      <c r="B3338" s="26">
        <v>254.0</v>
      </c>
      <c r="C3338" s="27">
        <v>11.0</v>
      </c>
      <c r="D3338" s="8" t="s">
        <v>4366</v>
      </c>
      <c r="E3338" s="7">
        <v>0.0</v>
      </c>
      <c r="F3338" s="7"/>
      <c r="G3338" s="7" t="s">
        <v>313</v>
      </c>
      <c r="H3338" s="7" t="s">
        <v>312</v>
      </c>
      <c r="I3338" s="10"/>
      <c r="J3338" s="11"/>
      <c r="K3338" s="12"/>
      <c r="L3338" s="12"/>
      <c r="M3338" s="10"/>
      <c r="N3338" s="10"/>
      <c r="O3338" s="10"/>
      <c r="P3338" s="10"/>
      <c r="Q3338" s="10"/>
      <c r="R3338" s="10"/>
      <c r="S3338" s="10"/>
      <c r="T3338" s="10"/>
      <c r="U3338" s="10"/>
      <c r="V3338" s="10"/>
      <c r="W3338" s="10"/>
      <c r="X3338" s="10"/>
      <c r="Y3338" s="10"/>
      <c r="Z3338" s="10"/>
      <c r="AA3338" s="10"/>
      <c r="AB3338" s="10"/>
      <c r="AC3338" s="10"/>
      <c r="AD3338" s="10"/>
      <c r="AE3338" s="10"/>
      <c r="AF3338" s="10"/>
    </row>
    <row r="3339">
      <c r="A3339" s="7"/>
      <c r="B3339" s="26">
        <v>254.0</v>
      </c>
      <c r="C3339" s="27">
        <v>12.0</v>
      </c>
      <c r="D3339" s="8" t="s">
        <v>4367</v>
      </c>
      <c r="E3339" s="7">
        <v>0.0</v>
      </c>
      <c r="F3339" s="7"/>
      <c r="G3339" s="7" t="s">
        <v>313</v>
      </c>
      <c r="H3339" s="7" t="s">
        <v>312</v>
      </c>
      <c r="I3339" s="10"/>
      <c r="J3339" s="11"/>
      <c r="K3339" s="12"/>
      <c r="L3339" s="12"/>
      <c r="M3339" s="10"/>
      <c r="N3339" s="10"/>
      <c r="O3339" s="10"/>
      <c r="P3339" s="10"/>
      <c r="Q3339" s="10"/>
      <c r="R3339" s="10"/>
      <c r="S3339" s="10"/>
      <c r="T3339" s="10"/>
      <c r="U3339" s="10"/>
      <c r="V3339" s="10"/>
      <c r="W3339" s="10"/>
      <c r="X3339" s="10"/>
      <c r="Y3339" s="10"/>
      <c r="Z3339" s="10"/>
      <c r="AA3339" s="10"/>
      <c r="AB3339" s="10"/>
      <c r="AC3339" s="10"/>
      <c r="AD3339" s="10"/>
      <c r="AE3339" s="10"/>
      <c r="AF3339" s="10"/>
    </row>
    <row r="3340">
      <c r="A3340" s="7"/>
      <c r="B3340" s="26">
        <v>254.0</v>
      </c>
      <c r="C3340" s="27">
        <v>13.0</v>
      </c>
      <c r="D3340" s="8" t="s">
        <v>4368</v>
      </c>
      <c r="E3340" s="7">
        <v>0.0</v>
      </c>
      <c r="F3340" s="7"/>
      <c r="G3340" s="7" t="s">
        <v>313</v>
      </c>
      <c r="H3340" s="7" t="s">
        <v>312</v>
      </c>
      <c r="I3340" s="10"/>
      <c r="J3340" s="11"/>
      <c r="K3340" s="12"/>
      <c r="L3340" s="12"/>
      <c r="M3340" s="10"/>
      <c r="N3340" s="10"/>
      <c r="O3340" s="10"/>
      <c r="P3340" s="10"/>
      <c r="Q3340" s="10"/>
      <c r="R3340" s="10"/>
      <c r="S3340" s="10"/>
      <c r="T3340" s="10"/>
      <c r="U3340" s="10"/>
      <c r="V3340" s="10"/>
      <c r="W3340" s="10"/>
      <c r="X3340" s="10"/>
      <c r="Y3340" s="10"/>
      <c r="Z3340" s="10"/>
      <c r="AA3340" s="10"/>
      <c r="AB3340" s="10"/>
      <c r="AC3340" s="10"/>
      <c r="AD3340" s="10"/>
      <c r="AE3340" s="10"/>
      <c r="AF3340" s="10"/>
    </row>
    <row r="3341">
      <c r="A3341" s="7"/>
      <c r="B3341" s="26">
        <v>254.0</v>
      </c>
      <c r="C3341" s="27">
        <v>14.0</v>
      </c>
      <c r="D3341" s="8" t="s">
        <v>4369</v>
      </c>
      <c r="E3341" s="7">
        <v>0.0</v>
      </c>
      <c r="F3341" s="7"/>
      <c r="G3341" s="7" t="s">
        <v>313</v>
      </c>
      <c r="H3341" s="7" t="s">
        <v>312</v>
      </c>
      <c r="I3341" s="10"/>
      <c r="J3341" s="11"/>
      <c r="K3341" s="12"/>
      <c r="L3341" s="12"/>
      <c r="M3341" s="10"/>
      <c r="N3341" s="10"/>
      <c r="O3341" s="10"/>
      <c r="P3341" s="10"/>
      <c r="Q3341" s="10"/>
      <c r="R3341" s="10"/>
      <c r="S3341" s="10"/>
      <c r="T3341" s="10"/>
      <c r="U3341" s="10"/>
      <c r="V3341" s="10"/>
      <c r="W3341" s="10"/>
      <c r="X3341" s="10"/>
      <c r="Y3341" s="10"/>
      <c r="Z3341" s="10"/>
      <c r="AA3341" s="10"/>
      <c r="AB3341" s="10"/>
      <c r="AC3341" s="10"/>
      <c r="AD3341" s="10"/>
      <c r="AE3341" s="10"/>
      <c r="AF3341" s="10"/>
    </row>
    <row r="3342">
      <c r="A3342" s="7"/>
      <c r="B3342" s="26">
        <v>254.0</v>
      </c>
      <c r="C3342" s="27">
        <v>15.0</v>
      </c>
      <c r="D3342" s="8" t="s">
        <v>4370</v>
      </c>
      <c r="E3342" s="7">
        <v>0.0</v>
      </c>
      <c r="F3342" s="7"/>
      <c r="G3342" s="7" t="s">
        <v>313</v>
      </c>
      <c r="H3342" s="7" t="s">
        <v>312</v>
      </c>
      <c r="I3342" s="10"/>
      <c r="J3342" s="11"/>
      <c r="K3342" s="12"/>
      <c r="L3342" s="12"/>
      <c r="M3342" s="10"/>
      <c r="N3342" s="10"/>
      <c r="O3342" s="10"/>
      <c r="P3342" s="10"/>
      <c r="Q3342" s="10"/>
      <c r="R3342" s="10"/>
      <c r="S3342" s="10"/>
      <c r="T3342" s="10"/>
      <c r="U3342" s="10"/>
      <c r="V3342" s="10"/>
      <c r="W3342" s="10"/>
      <c r="X3342" s="10"/>
      <c r="Y3342" s="10"/>
      <c r="Z3342" s="10"/>
      <c r="AA3342" s="10"/>
      <c r="AB3342" s="10"/>
      <c r="AC3342" s="10"/>
      <c r="AD3342" s="10"/>
      <c r="AE3342" s="10"/>
      <c r="AF3342" s="10"/>
    </row>
    <row r="3343">
      <c r="A3343" s="13" t="s">
        <v>255</v>
      </c>
      <c r="B3343" s="12"/>
      <c r="C3343" s="12"/>
      <c r="D3343" s="12"/>
      <c r="E3343" s="10"/>
      <c r="F3343" s="10"/>
      <c r="G3343" s="10"/>
      <c r="H3343" s="10"/>
      <c r="I3343" s="10"/>
      <c r="J3343" s="11"/>
      <c r="K3343" s="12"/>
      <c r="L3343" s="12"/>
      <c r="M3343" s="10"/>
      <c r="N3343" s="10"/>
      <c r="O3343" s="10"/>
      <c r="P3343" s="10"/>
      <c r="Q3343" s="10"/>
      <c r="R3343" s="10"/>
      <c r="S3343" s="10"/>
      <c r="T3343" s="10"/>
      <c r="U3343" s="10"/>
      <c r="V3343" s="10"/>
      <c r="W3343" s="10"/>
      <c r="X3343" s="10"/>
      <c r="Y3343" s="10"/>
      <c r="Z3343" s="10"/>
      <c r="AA3343" s="10"/>
      <c r="AB3343" s="10"/>
      <c r="AC3343" s="10"/>
      <c r="AD3343" s="10"/>
      <c r="AE3343" s="10"/>
      <c r="AF3343" s="10"/>
    </row>
    <row r="3344">
      <c r="A3344" s="7"/>
      <c r="B3344" s="26">
        <v>255.0</v>
      </c>
      <c r="C3344" s="27">
        <v>1.0</v>
      </c>
      <c r="D3344" s="8" t="s">
        <v>4371</v>
      </c>
      <c r="E3344" s="7">
        <v>0.0</v>
      </c>
      <c r="F3344" s="7"/>
      <c r="G3344" s="7" t="s">
        <v>313</v>
      </c>
      <c r="H3344" s="7" t="s">
        <v>312</v>
      </c>
      <c r="I3344" s="10"/>
      <c r="J3344" s="9"/>
      <c r="K3344" s="12"/>
      <c r="L3344" s="14" t="s">
        <v>4372</v>
      </c>
      <c r="M3344" s="10"/>
      <c r="N3344" s="10"/>
      <c r="O3344" s="10"/>
      <c r="P3344" s="10"/>
      <c r="Q3344" s="10"/>
      <c r="R3344" s="10"/>
      <c r="S3344" s="10"/>
      <c r="T3344" s="10"/>
      <c r="U3344" s="10"/>
      <c r="V3344" s="10"/>
      <c r="W3344" s="10"/>
      <c r="X3344" s="10"/>
      <c r="Y3344" s="10"/>
      <c r="Z3344" s="10"/>
      <c r="AA3344" s="10"/>
      <c r="AB3344" s="10"/>
      <c r="AC3344" s="10"/>
      <c r="AD3344" s="10"/>
      <c r="AE3344" s="10"/>
      <c r="AF3344" s="10"/>
    </row>
    <row r="3345">
      <c r="A3345" s="7"/>
      <c r="B3345" s="26">
        <v>255.0</v>
      </c>
      <c r="C3345" s="27">
        <v>2.0</v>
      </c>
      <c r="D3345" s="8" t="s">
        <v>4373</v>
      </c>
      <c r="E3345" s="7">
        <v>0.0</v>
      </c>
      <c r="F3345" s="7"/>
      <c r="G3345" s="7" t="s">
        <v>313</v>
      </c>
      <c r="H3345" s="7" t="s">
        <v>312</v>
      </c>
      <c r="I3345" s="10"/>
      <c r="J3345" s="9"/>
      <c r="L3345" s="14" t="s">
        <v>4372</v>
      </c>
      <c r="M3345" s="10"/>
      <c r="N3345" s="10"/>
      <c r="O3345" s="10"/>
      <c r="P3345" s="10"/>
      <c r="Q3345" s="10"/>
      <c r="R3345" s="10"/>
      <c r="S3345" s="10"/>
      <c r="T3345" s="10"/>
      <c r="U3345" s="10"/>
      <c r="V3345" s="10"/>
      <c r="W3345" s="10"/>
      <c r="X3345" s="10"/>
      <c r="Y3345" s="10"/>
      <c r="Z3345" s="10"/>
      <c r="AA3345" s="10"/>
      <c r="AB3345" s="10"/>
      <c r="AC3345" s="10"/>
      <c r="AD3345" s="10"/>
      <c r="AE3345" s="10"/>
      <c r="AF3345" s="10"/>
    </row>
    <row r="3346">
      <c r="A3346" s="7"/>
      <c r="B3346" s="26">
        <v>255.0</v>
      </c>
      <c r="C3346" s="27">
        <v>3.0</v>
      </c>
      <c r="D3346" s="8" t="s">
        <v>4374</v>
      </c>
      <c r="E3346" s="7">
        <v>0.0</v>
      </c>
      <c r="F3346" s="7"/>
      <c r="G3346" s="7" t="s">
        <v>313</v>
      </c>
      <c r="H3346" s="7" t="s">
        <v>312</v>
      </c>
      <c r="I3346" s="10"/>
      <c r="J3346" s="11"/>
      <c r="K3346" s="12"/>
      <c r="L3346" s="14" t="s">
        <v>4372</v>
      </c>
      <c r="M3346" s="10"/>
      <c r="N3346" s="10"/>
      <c r="O3346" s="10"/>
      <c r="P3346" s="10"/>
      <c r="Q3346" s="10"/>
      <c r="R3346" s="10"/>
      <c r="S3346" s="10"/>
      <c r="T3346" s="10"/>
      <c r="U3346" s="10"/>
      <c r="V3346" s="10"/>
      <c r="W3346" s="10"/>
      <c r="X3346" s="10"/>
      <c r="Y3346" s="10"/>
      <c r="Z3346" s="10"/>
      <c r="AA3346" s="10"/>
      <c r="AB3346" s="10"/>
      <c r="AC3346" s="10"/>
      <c r="AD3346" s="10"/>
      <c r="AE3346" s="10"/>
      <c r="AF3346" s="10"/>
    </row>
    <row r="3347">
      <c r="A3347" s="7"/>
      <c r="B3347" s="26">
        <v>255.0</v>
      </c>
      <c r="C3347" s="27">
        <v>4.0</v>
      </c>
      <c r="D3347" s="8" t="s">
        <v>4375</v>
      </c>
      <c r="E3347" s="7">
        <v>0.0</v>
      </c>
      <c r="F3347" s="7"/>
      <c r="G3347" s="7" t="s">
        <v>313</v>
      </c>
      <c r="H3347" s="7" t="s">
        <v>312</v>
      </c>
      <c r="I3347" s="10"/>
      <c r="J3347" s="11"/>
      <c r="K3347" s="12"/>
      <c r="L3347" s="14" t="s">
        <v>4372</v>
      </c>
      <c r="M3347" s="10"/>
      <c r="N3347" s="10"/>
      <c r="O3347" s="10"/>
      <c r="P3347" s="10"/>
      <c r="Q3347" s="10"/>
      <c r="R3347" s="10"/>
      <c r="S3347" s="10"/>
      <c r="T3347" s="10"/>
      <c r="U3347" s="10"/>
      <c r="V3347" s="10"/>
      <c r="W3347" s="10"/>
      <c r="X3347" s="10"/>
      <c r="Y3347" s="10"/>
      <c r="Z3347" s="10"/>
      <c r="AA3347" s="10"/>
      <c r="AB3347" s="10"/>
      <c r="AC3347" s="10"/>
      <c r="AD3347" s="10"/>
      <c r="AE3347" s="10"/>
      <c r="AF3347" s="10"/>
    </row>
    <row r="3348">
      <c r="A3348" s="7"/>
      <c r="B3348" s="26">
        <v>255.0</v>
      </c>
      <c r="C3348" s="27">
        <v>5.0</v>
      </c>
      <c r="D3348" s="8" t="s">
        <v>4376</v>
      </c>
      <c r="E3348" s="7">
        <v>0.0</v>
      </c>
      <c r="F3348" s="7"/>
      <c r="G3348" s="7" t="s">
        <v>313</v>
      </c>
      <c r="H3348" s="7" t="s">
        <v>312</v>
      </c>
      <c r="I3348" s="10"/>
      <c r="J3348" s="11"/>
      <c r="K3348" s="12"/>
      <c r="L3348" s="14" t="s">
        <v>4372</v>
      </c>
      <c r="M3348" s="10"/>
      <c r="N3348" s="10"/>
      <c r="O3348" s="10"/>
      <c r="P3348" s="10"/>
      <c r="Q3348" s="10"/>
      <c r="R3348" s="10"/>
      <c r="S3348" s="10"/>
      <c r="T3348" s="10"/>
      <c r="U3348" s="10"/>
      <c r="V3348" s="10"/>
      <c r="W3348" s="10"/>
      <c r="X3348" s="10"/>
      <c r="Y3348" s="10"/>
      <c r="Z3348" s="10"/>
      <c r="AA3348" s="10"/>
      <c r="AB3348" s="10"/>
      <c r="AC3348" s="10"/>
      <c r="AD3348" s="10"/>
      <c r="AE3348" s="10"/>
      <c r="AF3348" s="10"/>
    </row>
    <row r="3349">
      <c r="A3349" s="7"/>
      <c r="B3349" s="26">
        <v>255.0</v>
      </c>
      <c r="C3349" s="27">
        <v>6.0</v>
      </c>
      <c r="D3349" s="8" t="s">
        <v>4377</v>
      </c>
      <c r="E3349" s="7">
        <v>0.0</v>
      </c>
      <c r="F3349" s="7"/>
      <c r="G3349" s="7" t="s">
        <v>313</v>
      </c>
      <c r="H3349" s="7" t="s">
        <v>312</v>
      </c>
      <c r="I3349" s="10"/>
      <c r="J3349" s="11"/>
      <c r="K3349" s="12"/>
      <c r="L3349" s="14" t="s">
        <v>4372</v>
      </c>
      <c r="M3349" s="10"/>
      <c r="N3349" s="10"/>
      <c r="O3349" s="10"/>
      <c r="P3349" s="10"/>
      <c r="Q3349" s="10"/>
      <c r="R3349" s="10"/>
      <c r="S3349" s="10"/>
      <c r="T3349" s="10"/>
      <c r="U3349" s="10"/>
      <c r="V3349" s="10"/>
      <c r="W3349" s="10"/>
      <c r="X3349" s="10"/>
      <c r="Y3349" s="10"/>
      <c r="Z3349" s="10"/>
      <c r="AA3349" s="10"/>
      <c r="AB3349" s="10"/>
      <c r="AC3349" s="10"/>
      <c r="AD3349" s="10"/>
      <c r="AE3349" s="10"/>
      <c r="AF3349" s="10"/>
    </row>
    <row r="3350">
      <c r="A3350" s="7"/>
      <c r="B3350" s="26">
        <v>255.0</v>
      </c>
      <c r="C3350" s="27">
        <v>7.0</v>
      </c>
      <c r="D3350" s="8" t="s">
        <v>4378</v>
      </c>
      <c r="E3350" s="7">
        <v>0.0</v>
      </c>
      <c r="F3350" s="7"/>
      <c r="G3350" s="7" t="s">
        <v>313</v>
      </c>
      <c r="H3350" s="7" t="s">
        <v>312</v>
      </c>
      <c r="I3350" s="10"/>
      <c r="J3350" s="11"/>
      <c r="K3350" s="20" t="s">
        <v>4379</v>
      </c>
      <c r="L3350" s="12"/>
      <c r="M3350" s="10"/>
      <c r="N3350" s="10"/>
      <c r="O3350" s="10"/>
      <c r="P3350" s="10"/>
      <c r="Q3350" s="10"/>
      <c r="R3350" s="10"/>
      <c r="S3350" s="10"/>
      <c r="T3350" s="10"/>
      <c r="U3350" s="10"/>
      <c r="V3350" s="10"/>
      <c r="W3350" s="10"/>
      <c r="X3350" s="10"/>
      <c r="Y3350" s="10"/>
      <c r="Z3350" s="10"/>
      <c r="AA3350" s="10"/>
      <c r="AB3350" s="10"/>
      <c r="AC3350" s="10"/>
      <c r="AD3350" s="10"/>
      <c r="AE3350" s="10"/>
      <c r="AF3350" s="10"/>
    </row>
    <row r="3351">
      <c r="A3351" s="7"/>
      <c r="B3351" s="26">
        <v>255.0</v>
      </c>
      <c r="C3351" s="27">
        <v>8.0</v>
      </c>
      <c r="D3351" s="8" t="s">
        <v>4380</v>
      </c>
      <c r="E3351" s="7">
        <v>0.0</v>
      </c>
      <c r="F3351" s="7"/>
      <c r="G3351" s="7" t="s">
        <v>313</v>
      </c>
      <c r="H3351" s="7" t="s">
        <v>312</v>
      </c>
      <c r="I3351" s="10"/>
      <c r="J3351" s="11"/>
      <c r="K3351" s="12"/>
      <c r="L3351" s="12"/>
      <c r="M3351" s="10"/>
      <c r="N3351" s="10"/>
      <c r="O3351" s="10"/>
      <c r="P3351" s="10"/>
      <c r="Q3351" s="10"/>
      <c r="R3351" s="10"/>
      <c r="S3351" s="10"/>
      <c r="T3351" s="10"/>
      <c r="U3351" s="10"/>
      <c r="V3351" s="10"/>
      <c r="W3351" s="10"/>
      <c r="X3351" s="10"/>
      <c r="Y3351" s="10"/>
      <c r="Z3351" s="10"/>
      <c r="AA3351" s="10"/>
      <c r="AB3351" s="10"/>
      <c r="AC3351" s="10"/>
      <c r="AD3351" s="10"/>
      <c r="AE3351" s="10"/>
      <c r="AF3351" s="10"/>
    </row>
    <row r="3352">
      <c r="A3352" s="7"/>
      <c r="B3352" s="26">
        <v>255.0</v>
      </c>
      <c r="C3352" s="27">
        <v>9.0</v>
      </c>
      <c r="D3352" s="8" t="s">
        <v>4381</v>
      </c>
      <c r="E3352" s="7">
        <v>0.0</v>
      </c>
      <c r="F3352" s="7"/>
      <c r="G3352" s="7" t="s">
        <v>313</v>
      </c>
      <c r="H3352" s="7" t="s">
        <v>312</v>
      </c>
      <c r="I3352" s="10"/>
      <c r="J3352" s="11"/>
      <c r="K3352" s="12"/>
      <c r="L3352" s="12"/>
      <c r="M3352" s="10"/>
      <c r="N3352" s="10"/>
      <c r="O3352" s="10"/>
      <c r="P3352" s="10"/>
      <c r="Q3352" s="10"/>
      <c r="R3352" s="10"/>
      <c r="S3352" s="10"/>
      <c r="T3352" s="10"/>
      <c r="U3352" s="10"/>
      <c r="V3352" s="10"/>
      <c r="W3352" s="10"/>
      <c r="X3352" s="10"/>
      <c r="Y3352" s="10"/>
      <c r="Z3352" s="10"/>
      <c r="AA3352" s="10"/>
      <c r="AB3352" s="10"/>
      <c r="AC3352" s="10"/>
      <c r="AD3352" s="10"/>
      <c r="AE3352" s="10"/>
      <c r="AF3352" s="10"/>
    </row>
    <row r="3353">
      <c r="A3353" s="7"/>
      <c r="B3353" s="26">
        <v>255.0</v>
      </c>
      <c r="C3353" s="27">
        <v>10.0</v>
      </c>
      <c r="D3353" s="8" t="s">
        <v>4382</v>
      </c>
      <c r="E3353" s="7">
        <v>0.0</v>
      </c>
      <c r="F3353" s="7"/>
      <c r="G3353" s="7" t="s">
        <v>313</v>
      </c>
      <c r="H3353" s="7" t="s">
        <v>312</v>
      </c>
      <c r="I3353" s="10"/>
      <c r="J3353" s="11"/>
      <c r="K3353" s="12"/>
      <c r="L3353" s="12"/>
      <c r="M3353" s="10"/>
      <c r="N3353" s="10"/>
      <c r="O3353" s="10"/>
      <c r="P3353" s="10"/>
      <c r="Q3353" s="10"/>
      <c r="R3353" s="10"/>
      <c r="S3353" s="10"/>
      <c r="T3353" s="10"/>
      <c r="U3353" s="10"/>
      <c r="V3353" s="10"/>
      <c r="W3353" s="10"/>
      <c r="X3353" s="10"/>
      <c r="Y3353" s="10"/>
      <c r="Z3353" s="10"/>
      <c r="AA3353" s="10"/>
      <c r="AB3353" s="10"/>
      <c r="AC3353" s="10"/>
      <c r="AD3353" s="10"/>
      <c r="AE3353" s="10"/>
      <c r="AF3353" s="10"/>
    </row>
    <row r="3354">
      <c r="A3354" s="7"/>
      <c r="B3354" s="26">
        <v>255.0</v>
      </c>
      <c r="C3354" s="27">
        <v>11.0</v>
      </c>
      <c r="D3354" s="8" t="s">
        <v>4383</v>
      </c>
      <c r="E3354" s="7">
        <v>0.0</v>
      </c>
      <c r="F3354" s="7"/>
      <c r="G3354" s="7" t="s">
        <v>313</v>
      </c>
      <c r="H3354" s="7" t="s">
        <v>312</v>
      </c>
      <c r="I3354" s="10"/>
      <c r="J3354" s="11"/>
      <c r="K3354" s="12"/>
      <c r="L3354" s="12"/>
      <c r="M3354" s="10"/>
      <c r="N3354" s="10"/>
      <c r="O3354" s="10"/>
      <c r="P3354" s="10"/>
      <c r="Q3354" s="10"/>
      <c r="R3354" s="10"/>
      <c r="S3354" s="10"/>
      <c r="T3354" s="10"/>
      <c r="U3354" s="10"/>
      <c r="V3354" s="10"/>
      <c r="W3354" s="10"/>
      <c r="X3354" s="10"/>
      <c r="Y3354" s="10"/>
      <c r="Z3354" s="10"/>
      <c r="AA3354" s="10"/>
      <c r="AB3354" s="10"/>
      <c r="AC3354" s="10"/>
      <c r="AD3354" s="10"/>
      <c r="AE3354" s="10"/>
      <c r="AF3354" s="10"/>
    </row>
    <row r="3355">
      <c r="A3355" s="7"/>
      <c r="B3355" s="26">
        <v>255.0</v>
      </c>
      <c r="C3355" s="27">
        <v>12.0</v>
      </c>
      <c r="D3355" s="8" t="s">
        <v>4384</v>
      </c>
      <c r="E3355" s="7">
        <v>3.0</v>
      </c>
      <c r="F3355" s="7" t="s">
        <v>320</v>
      </c>
      <c r="G3355" s="7" t="s">
        <v>313</v>
      </c>
      <c r="H3355" s="7" t="s">
        <v>312</v>
      </c>
      <c r="I3355" s="7" t="s">
        <v>320</v>
      </c>
      <c r="J3355" s="9" t="s">
        <v>4385</v>
      </c>
      <c r="K3355" s="12"/>
      <c r="L3355" s="12"/>
      <c r="M3355" s="10"/>
      <c r="N3355" s="10"/>
      <c r="O3355" s="10"/>
      <c r="P3355" s="10"/>
      <c r="Q3355" s="10"/>
      <c r="R3355" s="10"/>
      <c r="S3355" s="10"/>
      <c r="T3355" s="10"/>
      <c r="U3355" s="10"/>
      <c r="V3355" s="10"/>
      <c r="W3355" s="10"/>
      <c r="X3355" s="10"/>
      <c r="Y3355" s="10"/>
      <c r="Z3355" s="10"/>
      <c r="AA3355" s="10"/>
      <c r="AB3355" s="10"/>
      <c r="AC3355" s="10"/>
      <c r="AD3355" s="10"/>
      <c r="AE3355" s="10"/>
      <c r="AF3355" s="10"/>
    </row>
    <row r="3356">
      <c r="A3356" s="7"/>
      <c r="B3356" s="26">
        <v>255.0</v>
      </c>
      <c r="C3356" s="27">
        <v>13.0</v>
      </c>
      <c r="D3356" s="8" t="s">
        <v>4386</v>
      </c>
      <c r="E3356" s="7">
        <v>3.0</v>
      </c>
      <c r="F3356" s="7" t="s">
        <v>320</v>
      </c>
      <c r="G3356" s="7" t="s">
        <v>313</v>
      </c>
      <c r="H3356" s="7" t="s">
        <v>312</v>
      </c>
      <c r="I3356" s="7" t="s">
        <v>320</v>
      </c>
      <c r="J3356" s="11"/>
      <c r="K3356" s="12"/>
      <c r="L3356" s="12"/>
      <c r="M3356" s="10"/>
      <c r="N3356" s="10"/>
      <c r="O3356" s="10"/>
      <c r="P3356" s="10"/>
      <c r="Q3356" s="10"/>
      <c r="R3356" s="10"/>
      <c r="S3356" s="10"/>
      <c r="T3356" s="10"/>
      <c r="U3356" s="10"/>
      <c r="V3356" s="10"/>
      <c r="W3356" s="10"/>
      <c r="X3356" s="10"/>
      <c r="Y3356" s="10"/>
      <c r="Z3356" s="10"/>
      <c r="AA3356" s="10"/>
      <c r="AB3356" s="10"/>
      <c r="AC3356" s="10"/>
      <c r="AD3356" s="10"/>
      <c r="AE3356" s="10"/>
      <c r="AF3356" s="10"/>
    </row>
    <row r="3357">
      <c r="A3357" s="7"/>
      <c r="B3357" s="26">
        <v>255.0</v>
      </c>
      <c r="C3357" s="27">
        <v>14.0</v>
      </c>
      <c r="D3357" s="8" t="s">
        <v>4387</v>
      </c>
      <c r="E3357" s="7">
        <v>3.0</v>
      </c>
      <c r="F3357" s="7" t="s">
        <v>320</v>
      </c>
      <c r="G3357" s="7" t="s">
        <v>313</v>
      </c>
      <c r="H3357" s="7" t="s">
        <v>312</v>
      </c>
      <c r="I3357" s="7" t="s">
        <v>320</v>
      </c>
      <c r="J3357" s="11"/>
      <c r="K3357" s="12"/>
      <c r="L3357" s="12"/>
      <c r="M3357" s="10"/>
      <c r="N3357" s="10"/>
      <c r="O3357" s="10"/>
      <c r="P3357" s="10"/>
      <c r="Q3357" s="10"/>
      <c r="R3357" s="10"/>
      <c r="S3357" s="10"/>
      <c r="T3357" s="10"/>
      <c r="U3357" s="10"/>
      <c r="V3357" s="10"/>
      <c r="W3357" s="10"/>
      <c r="X3357" s="10"/>
      <c r="Y3357" s="10"/>
      <c r="Z3357" s="10"/>
      <c r="AA3357" s="10"/>
      <c r="AB3357" s="10"/>
      <c r="AC3357" s="10"/>
      <c r="AD3357" s="10"/>
      <c r="AE3357" s="10"/>
      <c r="AF3357" s="10"/>
    </row>
    <row r="3358">
      <c r="A3358" s="7"/>
      <c r="B3358" s="26">
        <v>255.0</v>
      </c>
      <c r="C3358" s="27">
        <v>15.0</v>
      </c>
      <c r="D3358" s="8" t="s">
        <v>4388</v>
      </c>
      <c r="E3358" s="7">
        <v>3.0</v>
      </c>
      <c r="F3358" s="7" t="s">
        <v>320</v>
      </c>
      <c r="G3358" s="7" t="s">
        <v>313</v>
      </c>
      <c r="H3358" s="7" t="s">
        <v>312</v>
      </c>
      <c r="I3358" s="7" t="s">
        <v>320</v>
      </c>
      <c r="J3358" s="11"/>
      <c r="K3358" s="12"/>
      <c r="L3358" s="12"/>
      <c r="M3358" s="10"/>
      <c r="N3358" s="10"/>
      <c r="O3358" s="10"/>
      <c r="P3358" s="10"/>
      <c r="Q3358" s="10"/>
      <c r="R3358" s="10"/>
      <c r="S3358" s="10"/>
      <c r="T3358" s="10"/>
      <c r="U3358" s="10"/>
      <c r="V3358" s="10"/>
      <c r="W3358" s="10"/>
      <c r="X3358" s="10"/>
      <c r="Y3358" s="10"/>
      <c r="Z3358" s="10"/>
      <c r="AA3358" s="10"/>
      <c r="AB3358" s="10"/>
      <c r="AC3358" s="10"/>
      <c r="AD3358" s="10"/>
      <c r="AE3358" s="10"/>
      <c r="AF3358" s="10"/>
    </row>
    <row r="3359">
      <c r="A3359" s="7"/>
      <c r="B3359" s="26">
        <v>255.0</v>
      </c>
      <c r="C3359" s="27">
        <v>16.0</v>
      </c>
      <c r="D3359" s="8" t="s">
        <v>4389</v>
      </c>
      <c r="E3359" s="7">
        <v>0.0</v>
      </c>
      <c r="F3359" s="7"/>
      <c r="G3359" s="7" t="s">
        <v>313</v>
      </c>
      <c r="H3359" s="7" t="s">
        <v>312</v>
      </c>
      <c r="I3359" s="10"/>
      <c r="J3359" s="11"/>
      <c r="K3359" s="12"/>
      <c r="L3359" s="12"/>
      <c r="M3359" s="10"/>
      <c r="N3359" s="10"/>
      <c r="O3359" s="10"/>
      <c r="P3359" s="10"/>
      <c r="Q3359" s="10"/>
      <c r="R3359" s="10"/>
      <c r="S3359" s="10"/>
      <c r="T3359" s="10"/>
      <c r="U3359" s="10"/>
      <c r="V3359" s="10"/>
      <c r="W3359" s="10"/>
      <c r="X3359" s="10"/>
      <c r="Y3359" s="10"/>
      <c r="Z3359" s="10"/>
      <c r="AA3359" s="10"/>
      <c r="AB3359" s="10"/>
      <c r="AC3359" s="10"/>
      <c r="AD3359" s="10"/>
      <c r="AE3359" s="10"/>
      <c r="AF3359" s="10"/>
    </row>
    <row r="3360">
      <c r="A3360" s="7"/>
      <c r="B3360" s="26">
        <v>255.0</v>
      </c>
      <c r="C3360" s="27">
        <v>17.0</v>
      </c>
      <c r="D3360" s="8" t="s">
        <v>4390</v>
      </c>
      <c r="E3360" s="7">
        <v>0.0</v>
      </c>
      <c r="F3360" s="7"/>
      <c r="G3360" s="7" t="s">
        <v>313</v>
      </c>
      <c r="H3360" s="7" t="s">
        <v>312</v>
      </c>
      <c r="I3360" s="10"/>
      <c r="J3360" s="11"/>
      <c r="K3360" s="12"/>
      <c r="L3360" s="12"/>
      <c r="M3360" s="10"/>
      <c r="N3360" s="10"/>
      <c r="O3360" s="10"/>
      <c r="P3360" s="10"/>
      <c r="Q3360" s="10"/>
      <c r="R3360" s="10"/>
      <c r="S3360" s="10"/>
      <c r="T3360" s="10"/>
      <c r="U3360" s="10"/>
      <c r="V3360" s="10"/>
      <c r="W3360" s="10"/>
      <c r="X3360" s="10"/>
      <c r="Y3360" s="10"/>
      <c r="Z3360" s="10"/>
      <c r="AA3360" s="10"/>
      <c r="AB3360" s="10"/>
      <c r="AC3360" s="10"/>
      <c r="AD3360" s="10"/>
      <c r="AE3360" s="10"/>
      <c r="AF3360" s="10"/>
    </row>
    <row r="3361">
      <c r="A3361" s="7"/>
      <c r="B3361" s="26">
        <v>255.0</v>
      </c>
      <c r="C3361" s="27">
        <v>18.0</v>
      </c>
      <c r="D3361" s="8" t="s">
        <v>4391</v>
      </c>
      <c r="E3361" s="7">
        <v>0.0</v>
      </c>
      <c r="F3361" s="7"/>
      <c r="G3361" s="7" t="s">
        <v>313</v>
      </c>
      <c r="H3361" s="7" t="s">
        <v>312</v>
      </c>
      <c r="I3361" s="10"/>
      <c r="J3361" s="11"/>
      <c r="K3361" s="12"/>
      <c r="L3361" s="12"/>
      <c r="M3361" s="10"/>
      <c r="N3361" s="10"/>
      <c r="O3361" s="10"/>
      <c r="P3361" s="10"/>
      <c r="Q3361" s="10"/>
      <c r="R3361" s="10"/>
      <c r="S3361" s="10"/>
      <c r="T3361" s="10"/>
      <c r="U3361" s="10"/>
      <c r="V3361" s="10"/>
      <c r="W3361" s="10"/>
      <c r="X3361" s="10"/>
      <c r="Y3361" s="10"/>
      <c r="Z3361" s="10"/>
      <c r="AA3361" s="10"/>
      <c r="AB3361" s="10"/>
      <c r="AC3361" s="10"/>
      <c r="AD3361" s="10"/>
      <c r="AE3361" s="10"/>
      <c r="AF3361" s="10"/>
    </row>
    <row r="3362">
      <c r="A3362" s="7"/>
      <c r="B3362" s="26">
        <v>255.0</v>
      </c>
      <c r="C3362" s="27">
        <v>19.0</v>
      </c>
      <c r="D3362" s="8" t="s">
        <v>4392</v>
      </c>
      <c r="E3362" s="7">
        <v>0.0</v>
      </c>
      <c r="F3362" s="7"/>
      <c r="G3362" s="7" t="s">
        <v>313</v>
      </c>
      <c r="H3362" s="7" t="s">
        <v>312</v>
      </c>
      <c r="I3362" s="10"/>
      <c r="J3362" s="11"/>
      <c r="K3362" s="12"/>
      <c r="L3362" s="12"/>
      <c r="M3362" s="10"/>
      <c r="N3362" s="10"/>
      <c r="O3362" s="10"/>
      <c r="P3362" s="10"/>
      <c r="Q3362" s="10"/>
      <c r="R3362" s="10"/>
      <c r="S3362" s="10"/>
      <c r="T3362" s="10"/>
      <c r="U3362" s="10"/>
      <c r="V3362" s="10"/>
      <c r="W3362" s="10"/>
      <c r="X3362" s="10"/>
      <c r="Y3362" s="10"/>
      <c r="Z3362" s="10"/>
      <c r="AA3362" s="10"/>
      <c r="AB3362" s="10"/>
      <c r="AC3362" s="10"/>
      <c r="AD3362" s="10"/>
      <c r="AE3362" s="10"/>
      <c r="AF3362" s="10"/>
    </row>
    <row r="3363">
      <c r="A3363" s="7"/>
      <c r="B3363" s="26">
        <v>255.0</v>
      </c>
      <c r="C3363" s="27">
        <v>20.0</v>
      </c>
      <c r="D3363" s="8" t="s">
        <v>4393</v>
      </c>
      <c r="E3363" s="7">
        <v>0.0</v>
      </c>
      <c r="F3363" s="7"/>
      <c r="G3363" s="7" t="s">
        <v>313</v>
      </c>
      <c r="H3363" s="7" t="s">
        <v>312</v>
      </c>
      <c r="I3363" s="10"/>
      <c r="J3363" s="11"/>
      <c r="K3363" s="12"/>
      <c r="L3363" s="12"/>
      <c r="M3363" s="10"/>
      <c r="N3363" s="10"/>
      <c r="O3363" s="10"/>
      <c r="P3363" s="10"/>
      <c r="Q3363" s="10"/>
      <c r="R3363" s="10"/>
      <c r="S3363" s="10"/>
      <c r="T3363" s="10"/>
      <c r="U3363" s="10"/>
      <c r="V3363" s="10"/>
      <c r="W3363" s="10"/>
      <c r="X3363" s="10"/>
      <c r="Y3363" s="10"/>
      <c r="Z3363" s="10"/>
      <c r="AA3363" s="10"/>
      <c r="AB3363" s="10"/>
      <c r="AC3363" s="10"/>
      <c r="AD3363" s="10"/>
      <c r="AE3363" s="10"/>
      <c r="AF3363" s="10"/>
    </row>
    <row r="3364">
      <c r="A3364" s="7"/>
      <c r="B3364" s="26">
        <v>255.0</v>
      </c>
      <c r="C3364" s="27">
        <v>21.0</v>
      </c>
      <c r="D3364" s="8" t="s">
        <v>4394</v>
      </c>
      <c r="E3364" s="7">
        <v>0.0</v>
      </c>
      <c r="F3364" s="7"/>
      <c r="G3364" s="7" t="s">
        <v>313</v>
      </c>
      <c r="H3364" s="7" t="s">
        <v>312</v>
      </c>
      <c r="I3364" s="10"/>
      <c r="J3364" s="11"/>
      <c r="K3364" s="12"/>
      <c r="L3364" s="12"/>
      <c r="M3364" s="10"/>
      <c r="N3364" s="10"/>
      <c r="O3364" s="10"/>
      <c r="P3364" s="10"/>
      <c r="Q3364" s="10"/>
      <c r="R3364" s="10"/>
      <c r="S3364" s="10"/>
      <c r="T3364" s="10"/>
      <c r="U3364" s="10"/>
      <c r="V3364" s="10"/>
      <c r="W3364" s="10"/>
      <c r="X3364" s="10"/>
      <c r="Y3364" s="10"/>
      <c r="Z3364" s="10"/>
      <c r="AA3364" s="10"/>
      <c r="AB3364" s="10"/>
      <c r="AC3364" s="10"/>
      <c r="AD3364" s="10"/>
      <c r="AE3364" s="10"/>
      <c r="AF3364" s="10"/>
    </row>
    <row r="3365">
      <c r="A3365" s="13" t="s">
        <v>256</v>
      </c>
      <c r="B3365" s="12"/>
      <c r="C3365" s="12"/>
      <c r="D3365" s="12"/>
      <c r="E3365" s="10"/>
      <c r="F3365" s="10"/>
      <c r="G3365" s="10"/>
      <c r="H3365" s="10"/>
      <c r="I3365" s="10"/>
      <c r="J3365" s="11"/>
      <c r="K3365" s="12"/>
      <c r="L3365" s="12"/>
      <c r="M3365" s="10"/>
      <c r="N3365" s="10"/>
      <c r="O3365" s="10"/>
      <c r="P3365" s="10"/>
      <c r="Q3365" s="10"/>
      <c r="R3365" s="10"/>
      <c r="S3365" s="10"/>
      <c r="T3365" s="10"/>
      <c r="U3365" s="10"/>
      <c r="V3365" s="10"/>
      <c r="W3365" s="10"/>
      <c r="X3365" s="10"/>
      <c r="Y3365" s="10"/>
      <c r="Z3365" s="10"/>
      <c r="AA3365" s="10"/>
      <c r="AB3365" s="10"/>
      <c r="AC3365" s="10"/>
      <c r="AD3365" s="10"/>
      <c r="AE3365" s="10"/>
      <c r="AF3365" s="10"/>
    </row>
    <row r="3366">
      <c r="A3366" s="7"/>
      <c r="B3366" s="26">
        <v>256.0</v>
      </c>
      <c r="C3366" s="27">
        <v>1.0</v>
      </c>
      <c r="D3366" s="8" t="s">
        <v>4395</v>
      </c>
      <c r="E3366" s="7">
        <v>0.0</v>
      </c>
      <c r="F3366" s="7"/>
      <c r="G3366" s="7" t="s">
        <v>313</v>
      </c>
      <c r="H3366" s="7" t="s">
        <v>312</v>
      </c>
      <c r="I3366" s="10"/>
      <c r="J3366" s="9" t="s">
        <v>4396</v>
      </c>
      <c r="K3366" s="12"/>
      <c r="L3366" s="12"/>
      <c r="M3366" s="10"/>
      <c r="N3366" s="10"/>
      <c r="O3366" s="10"/>
      <c r="P3366" s="10"/>
      <c r="Q3366" s="10"/>
      <c r="R3366" s="10"/>
      <c r="S3366" s="10"/>
      <c r="T3366" s="10"/>
      <c r="U3366" s="10"/>
      <c r="V3366" s="10"/>
      <c r="W3366" s="10"/>
      <c r="X3366" s="10"/>
      <c r="Y3366" s="10"/>
      <c r="Z3366" s="10"/>
      <c r="AA3366" s="10"/>
      <c r="AB3366" s="10"/>
      <c r="AC3366" s="10"/>
      <c r="AD3366" s="10"/>
      <c r="AE3366" s="10"/>
      <c r="AF3366" s="10"/>
    </row>
    <row r="3367">
      <c r="A3367" s="7"/>
      <c r="B3367" s="26">
        <v>256.0</v>
      </c>
      <c r="C3367" s="27">
        <v>2.0</v>
      </c>
      <c r="D3367" s="8" t="s">
        <v>4397</v>
      </c>
      <c r="E3367" s="7">
        <v>0.0</v>
      </c>
      <c r="F3367" s="7"/>
      <c r="G3367" s="7" t="s">
        <v>313</v>
      </c>
      <c r="H3367" s="7" t="s">
        <v>312</v>
      </c>
      <c r="I3367" s="10"/>
      <c r="J3367" s="9" t="s">
        <v>4398</v>
      </c>
      <c r="K3367" s="12"/>
      <c r="L3367" s="12"/>
      <c r="M3367" s="10"/>
      <c r="N3367" s="10"/>
      <c r="O3367" s="10"/>
      <c r="P3367" s="10"/>
      <c r="Q3367" s="10"/>
      <c r="R3367" s="10"/>
      <c r="S3367" s="10"/>
      <c r="T3367" s="10"/>
      <c r="U3367" s="10"/>
      <c r="V3367" s="10"/>
      <c r="W3367" s="10"/>
      <c r="X3367" s="10"/>
      <c r="Y3367" s="10"/>
      <c r="Z3367" s="10"/>
      <c r="AA3367" s="10"/>
      <c r="AB3367" s="10"/>
      <c r="AC3367" s="10"/>
      <c r="AD3367" s="10"/>
      <c r="AE3367" s="10"/>
      <c r="AF3367" s="10"/>
    </row>
    <row r="3368">
      <c r="A3368" s="7"/>
      <c r="B3368" s="26">
        <v>256.0</v>
      </c>
      <c r="C3368" s="27">
        <v>3.0</v>
      </c>
      <c r="D3368" s="8" t="s">
        <v>4399</v>
      </c>
      <c r="E3368" s="7">
        <v>0.0</v>
      </c>
      <c r="F3368" s="7"/>
      <c r="G3368" s="7" t="s">
        <v>313</v>
      </c>
      <c r="H3368" s="7" t="s">
        <v>312</v>
      </c>
      <c r="I3368" s="10"/>
      <c r="J3368" s="9" t="s">
        <v>4400</v>
      </c>
      <c r="K3368" s="12"/>
      <c r="L3368" s="12"/>
      <c r="M3368" s="10"/>
      <c r="N3368" s="10"/>
      <c r="O3368" s="10"/>
      <c r="P3368" s="10"/>
      <c r="Q3368" s="10"/>
      <c r="R3368" s="10"/>
      <c r="S3368" s="10"/>
      <c r="T3368" s="10"/>
      <c r="U3368" s="10"/>
      <c r="V3368" s="10"/>
      <c r="W3368" s="10"/>
      <c r="X3368" s="10"/>
      <c r="Y3368" s="10"/>
      <c r="Z3368" s="10"/>
      <c r="AA3368" s="10"/>
      <c r="AB3368" s="10"/>
      <c r="AC3368" s="10"/>
      <c r="AD3368" s="10"/>
      <c r="AE3368" s="10"/>
      <c r="AF3368" s="10"/>
    </row>
    <row r="3369">
      <c r="A3369" s="7"/>
      <c r="B3369" s="26">
        <v>256.0</v>
      </c>
      <c r="C3369" s="27">
        <v>4.0</v>
      </c>
      <c r="D3369" s="8" t="s">
        <v>4401</v>
      </c>
      <c r="E3369" s="7">
        <v>0.0</v>
      </c>
      <c r="F3369" s="7"/>
      <c r="G3369" s="7" t="s">
        <v>313</v>
      </c>
      <c r="H3369" s="7" t="s">
        <v>312</v>
      </c>
      <c r="I3369" s="10"/>
      <c r="J3369" s="11"/>
      <c r="K3369" s="12"/>
      <c r="L3369" s="12"/>
      <c r="M3369" s="10"/>
      <c r="N3369" s="10"/>
      <c r="O3369" s="10"/>
      <c r="P3369" s="10"/>
      <c r="Q3369" s="10"/>
      <c r="R3369" s="10"/>
      <c r="S3369" s="10"/>
      <c r="T3369" s="10"/>
      <c r="U3369" s="10"/>
      <c r="V3369" s="10"/>
      <c r="W3369" s="10"/>
      <c r="X3369" s="10"/>
      <c r="Y3369" s="10"/>
      <c r="Z3369" s="10"/>
      <c r="AA3369" s="10"/>
      <c r="AB3369" s="10"/>
      <c r="AC3369" s="10"/>
      <c r="AD3369" s="10"/>
      <c r="AE3369" s="10"/>
      <c r="AF3369" s="10"/>
    </row>
    <row r="3370">
      <c r="A3370" s="7"/>
      <c r="B3370" s="26">
        <v>256.0</v>
      </c>
      <c r="C3370" s="27">
        <v>5.0</v>
      </c>
      <c r="D3370" s="8" t="s">
        <v>4402</v>
      </c>
      <c r="E3370" s="7">
        <v>0.0</v>
      </c>
      <c r="F3370" s="7"/>
      <c r="G3370" s="7" t="s">
        <v>313</v>
      </c>
      <c r="H3370" s="7" t="s">
        <v>312</v>
      </c>
      <c r="I3370" s="10"/>
      <c r="J3370" s="11"/>
      <c r="K3370" s="12"/>
      <c r="L3370" s="12"/>
      <c r="M3370" s="10"/>
      <c r="N3370" s="10"/>
      <c r="O3370" s="10"/>
      <c r="P3370" s="10"/>
      <c r="Q3370" s="10"/>
      <c r="R3370" s="10"/>
      <c r="S3370" s="10"/>
      <c r="T3370" s="10"/>
      <c r="U3370" s="10"/>
      <c r="V3370" s="10"/>
      <c r="W3370" s="10"/>
      <c r="X3370" s="10"/>
      <c r="Y3370" s="10"/>
      <c r="Z3370" s="10"/>
      <c r="AA3370" s="10"/>
      <c r="AB3370" s="10"/>
      <c r="AC3370" s="10"/>
      <c r="AD3370" s="10"/>
      <c r="AE3370" s="10"/>
      <c r="AF3370" s="10"/>
    </row>
    <row r="3371">
      <c r="A3371" s="7"/>
      <c r="B3371" s="26">
        <v>256.0</v>
      </c>
      <c r="C3371" s="27">
        <v>6.0</v>
      </c>
      <c r="D3371" s="8" t="s">
        <v>4403</v>
      </c>
      <c r="E3371" s="7">
        <v>0.0</v>
      </c>
      <c r="F3371" s="7"/>
      <c r="G3371" s="7" t="s">
        <v>313</v>
      </c>
      <c r="H3371" s="7" t="s">
        <v>312</v>
      </c>
      <c r="I3371" s="10"/>
      <c r="J3371" s="11"/>
      <c r="K3371" s="12"/>
      <c r="L3371" s="12"/>
      <c r="M3371" s="10"/>
      <c r="N3371" s="10"/>
      <c r="O3371" s="10"/>
      <c r="P3371" s="10"/>
      <c r="Q3371" s="10"/>
      <c r="R3371" s="10"/>
      <c r="S3371" s="10"/>
      <c r="T3371" s="10"/>
      <c r="U3371" s="10"/>
      <c r="V3371" s="10"/>
      <c r="W3371" s="10"/>
      <c r="X3371" s="10"/>
      <c r="Y3371" s="10"/>
      <c r="Z3371" s="10"/>
      <c r="AA3371" s="10"/>
      <c r="AB3371" s="10"/>
      <c r="AC3371" s="10"/>
      <c r="AD3371" s="10"/>
      <c r="AE3371" s="10"/>
      <c r="AF3371" s="10"/>
    </row>
    <row r="3372">
      <c r="A3372" s="7"/>
      <c r="B3372" s="26">
        <v>256.0</v>
      </c>
      <c r="C3372" s="27">
        <v>7.0</v>
      </c>
      <c r="D3372" s="8" t="s">
        <v>4404</v>
      </c>
      <c r="E3372" s="7">
        <v>0.0</v>
      </c>
      <c r="F3372" s="7"/>
      <c r="G3372" s="7" t="s">
        <v>313</v>
      </c>
      <c r="H3372" s="7" t="s">
        <v>312</v>
      </c>
      <c r="I3372" s="10"/>
      <c r="J3372" s="11"/>
      <c r="K3372" s="12"/>
      <c r="L3372" s="12"/>
      <c r="M3372" s="10"/>
      <c r="N3372" s="10"/>
      <c r="O3372" s="10"/>
      <c r="P3372" s="10"/>
      <c r="Q3372" s="10"/>
      <c r="R3372" s="10"/>
      <c r="S3372" s="10"/>
      <c r="T3372" s="10"/>
      <c r="U3372" s="10"/>
      <c r="V3372" s="10"/>
      <c r="W3372" s="10"/>
      <c r="X3372" s="10"/>
      <c r="Y3372" s="10"/>
      <c r="Z3372" s="10"/>
      <c r="AA3372" s="10"/>
      <c r="AB3372" s="10"/>
      <c r="AC3372" s="10"/>
      <c r="AD3372" s="10"/>
      <c r="AE3372" s="10"/>
      <c r="AF3372" s="10"/>
    </row>
    <row r="3373">
      <c r="A3373" s="7"/>
      <c r="B3373" s="26">
        <v>256.0</v>
      </c>
      <c r="C3373" s="27">
        <v>8.0</v>
      </c>
      <c r="D3373" s="8" t="s">
        <v>4405</v>
      </c>
      <c r="E3373" s="7">
        <v>0.0</v>
      </c>
      <c r="F3373" s="7"/>
      <c r="G3373" s="7" t="s">
        <v>313</v>
      </c>
      <c r="H3373" s="7" t="s">
        <v>312</v>
      </c>
      <c r="I3373" s="10"/>
      <c r="J3373" s="11"/>
      <c r="K3373" s="12"/>
      <c r="L3373" s="12"/>
      <c r="M3373" s="10"/>
      <c r="N3373" s="10"/>
      <c r="O3373" s="10"/>
      <c r="P3373" s="10"/>
      <c r="Q3373" s="10"/>
      <c r="R3373" s="10"/>
      <c r="S3373" s="10"/>
      <c r="T3373" s="10"/>
      <c r="U3373" s="10"/>
      <c r="V3373" s="10"/>
      <c r="W3373" s="10"/>
      <c r="X3373" s="10"/>
      <c r="Y3373" s="10"/>
      <c r="Z3373" s="10"/>
      <c r="AA3373" s="10"/>
      <c r="AB3373" s="10"/>
      <c r="AC3373" s="10"/>
      <c r="AD3373" s="10"/>
      <c r="AE3373" s="10"/>
      <c r="AF3373" s="10"/>
    </row>
    <row r="3374">
      <c r="A3374" s="7"/>
      <c r="B3374" s="26">
        <v>256.0</v>
      </c>
      <c r="C3374" s="27">
        <v>9.0</v>
      </c>
      <c r="D3374" s="8" t="s">
        <v>4406</v>
      </c>
      <c r="E3374" s="7">
        <v>0.0</v>
      </c>
      <c r="F3374" s="7"/>
      <c r="G3374" s="7" t="s">
        <v>313</v>
      </c>
      <c r="H3374" s="7" t="s">
        <v>312</v>
      </c>
      <c r="I3374" s="10"/>
      <c r="J3374" s="11"/>
      <c r="K3374" s="12"/>
      <c r="L3374" s="12"/>
      <c r="M3374" s="10"/>
      <c r="N3374" s="10"/>
      <c r="O3374" s="10"/>
      <c r="P3374" s="10"/>
      <c r="Q3374" s="10"/>
      <c r="R3374" s="10"/>
      <c r="S3374" s="10"/>
      <c r="T3374" s="10"/>
      <c r="U3374" s="10"/>
      <c r="V3374" s="10"/>
      <c r="W3374" s="10"/>
      <c r="X3374" s="10"/>
      <c r="Y3374" s="10"/>
      <c r="Z3374" s="10"/>
      <c r="AA3374" s="10"/>
      <c r="AB3374" s="10"/>
      <c r="AC3374" s="10"/>
      <c r="AD3374" s="10"/>
      <c r="AE3374" s="10"/>
      <c r="AF3374" s="10"/>
    </row>
    <row r="3375">
      <c r="A3375" s="7"/>
      <c r="B3375" s="26">
        <v>256.0</v>
      </c>
      <c r="C3375" s="27">
        <v>10.0</v>
      </c>
      <c r="D3375" s="8" t="s">
        <v>4407</v>
      </c>
      <c r="E3375" s="7">
        <v>0.0</v>
      </c>
      <c r="F3375" s="7"/>
      <c r="G3375" s="7" t="s">
        <v>313</v>
      </c>
      <c r="H3375" s="7" t="s">
        <v>312</v>
      </c>
      <c r="I3375" s="10"/>
      <c r="J3375" s="11"/>
      <c r="K3375" s="12"/>
      <c r="L3375" s="12"/>
      <c r="M3375" s="10"/>
      <c r="N3375" s="10"/>
      <c r="O3375" s="10"/>
      <c r="P3375" s="10"/>
      <c r="Q3375" s="10"/>
      <c r="R3375" s="10"/>
      <c r="S3375" s="10"/>
      <c r="T3375" s="10"/>
      <c r="U3375" s="10"/>
      <c r="V3375" s="10"/>
      <c r="W3375" s="10"/>
      <c r="X3375" s="10"/>
      <c r="Y3375" s="10"/>
      <c r="Z3375" s="10"/>
      <c r="AA3375" s="10"/>
      <c r="AB3375" s="10"/>
      <c r="AC3375" s="10"/>
      <c r="AD3375" s="10"/>
      <c r="AE3375" s="10"/>
      <c r="AF3375" s="10"/>
    </row>
    <row r="3376">
      <c r="A3376" s="7"/>
      <c r="B3376" s="26">
        <v>256.0</v>
      </c>
      <c r="C3376" s="27">
        <v>11.0</v>
      </c>
      <c r="D3376" s="8" t="s">
        <v>4408</v>
      </c>
      <c r="E3376" s="7">
        <v>0.0</v>
      </c>
      <c r="F3376" s="7"/>
      <c r="G3376" s="7" t="s">
        <v>313</v>
      </c>
      <c r="H3376" s="7" t="s">
        <v>312</v>
      </c>
      <c r="I3376" s="10"/>
      <c r="J3376" s="11"/>
      <c r="K3376" s="12"/>
      <c r="L3376" s="12"/>
      <c r="M3376" s="10"/>
      <c r="N3376" s="10"/>
      <c r="O3376" s="10"/>
      <c r="P3376" s="10"/>
      <c r="Q3376" s="10"/>
      <c r="R3376" s="10"/>
      <c r="S3376" s="10"/>
      <c r="T3376" s="10"/>
      <c r="U3376" s="10"/>
      <c r="V3376" s="10"/>
      <c r="W3376" s="10"/>
      <c r="X3376" s="10"/>
      <c r="Y3376" s="10"/>
      <c r="Z3376" s="10"/>
      <c r="AA3376" s="10"/>
      <c r="AB3376" s="10"/>
      <c r="AC3376" s="10"/>
      <c r="AD3376" s="10"/>
      <c r="AE3376" s="10"/>
      <c r="AF3376" s="10"/>
    </row>
    <row r="3377">
      <c r="A3377" s="7"/>
      <c r="B3377" s="26">
        <v>256.0</v>
      </c>
      <c r="C3377" s="27">
        <v>12.0</v>
      </c>
      <c r="D3377" s="8" t="s">
        <v>4409</v>
      </c>
      <c r="E3377" s="7">
        <v>0.0</v>
      </c>
      <c r="F3377" s="7"/>
      <c r="G3377" s="7" t="s">
        <v>313</v>
      </c>
      <c r="H3377" s="7" t="s">
        <v>312</v>
      </c>
      <c r="I3377" s="10"/>
      <c r="J3377" s="11"/>
      <c r="K3377" s="12"/>
      <c r="L3377" s="12"/>
      <c r="M3377" s="10"/>
      <c r="N3377" s="10"/>
      <c r="O3377" s="10"/>
      <c r="P3377" s="10"/>
      <c r="Q3377" s="10"/>
      <c r="R3377" s="10"/>
      <c r="S3377" s="10"/>
      <c r="T3377" s="10"/>
      <c r="U3377" s="10"/>
      <c r="V3377" s="10"/>
      <c r="W3377" s="10"/>
      <c r="X3377" s="10"/>
      <c r="Y3377" s="10"/>
      <c r="Z3377" s="10"/>
      <c r="AA3377" s="10"/>
      <c r="AB3377" s="10"/>
      <c r="AC3377" s="10"/>
      <c r="AD3377" s="10"/>
      <c r="AE3377" s="10"/>
      <c r="AF3377" s="10"/>
    </row>
    <row r="3378">
      <c r="A3378" s="7"/>
      <c r="B3378" s="26">
        <v>256.0</v>
      </c>
      <c r="C3378" s="27">
        <v>13.0</v>
      </c>
      <c r="D3378" s="8" t="s">
        <v>4410</v>
      </c>
      <c r="E3378" s="7">
        <v>0.0</v>
      </c>
      <c r="F3378" s="7"/>
      <c r="G3378" s="7" t="s">
        <v>313</v>
      </c>
      <c r="H3378" s="7" t="s">
        <v>312</v>
      </c>
      <c r="I3378" s="10"/>
      <c r="J3378" s="11"/>
      <c r="K3378" s="12"/>
      <c r="L3378" s="12"/>
      <c r="M3378" s="10"/>
      <c r="N3378" s="10"/>
      <c r="O3378" s="10"/>
      <c r="P3378" s="10"/>
      <c r="Q3378" s="10"/>
      <c r="R3378" s="10"/>
      <c r="S3378" s="10"/>
      <c r="T3378" s="10"/>
      <c r="U3378" s="10"/>
      <c r="V3378" s="10"/>
      <c r="W3378" s="10"/>
      <c r="X3378" s="10"/>
      <c r="Y3378" s="10"/>
      <c r="Z3378" s="10"/>
      <c r="AA3378" s="10"/>
      <c r="AB3378" s="10"/>
      <c r="AC3378" s="10"/>
      <c r="AD3378" s="10"/>
      <c r="AE3378" s="10"/>
      <c r="AF3378" s="10"/>
    </row>
    <row r="3379">
      <c r="A3379" s="7"/>
      <c r="B3379" s="26">
        <v>256.0</v>
      </c>
      <c r="C3379" s="27">
        <v>14.0</v>
      </c>
      <c r="D3379" s="8" t="s">
        <v>4411</v>
      </c>
      <c r="E3379" s="7">
        <v>0.0</v>
      </c>
      <c r="F3379" s="7"/>
      <c r="G3379" s="7" t="s">
        <v>313</v>
      </c>
      <c r="H3379" s="7" t="s">
        <v>312</v>
      </c>
      <c r="I3379" s="10"/>
      <c r="J3379" s="11"/>
      <c r="K3379" s="12"/>
      <c r="L3379" s="12"/>
      <c r="M3379" s="10"/>
      <c r="N3379" s="10"/>
      <c r="O3379" s="10"/>
      <c r="P3379" s="10"/>
      <c r="Q3379" s="10"/>
      <c r="R3379" s="10"/>
      <c r="S3379" s="10"/>
      <c r="T3379" s="10"/>
      <c r="U3379" s="10"/>
      <c r="V3379" s="10"/>
      <c r="W3379" s="10"/>
      <c r="X3379" s="10"/>
      <c r="Y3379" s="10"/>
      <c r="Z3379" s="10"/>
      <c r="AA3379" s="10"/>
      <c r="AB3379" s="10"/>
      <c r="AC3379" s="10"/>
      <c r="AD3379" s="10"/>
      <c r="AE3379" s="10"/>
      <c r="AF3379" s="10"/>
    </row>
    <row r="3380">
      <c r="A3380" s="7"/>
      <c r="B3380" s="26">
        <v>256.0</v>
      </c>
      <c r="C3380" s="27">
        <v>15.0</v>
      </c>
      <c r="D3380" s="8" t="s">
        <v>4412</v>
      </c>
      <c r="E3380" s="7">
        <v>0.0</v>
      </c>
      <c r="F3380" s="7"/>
      <c r="G3380" s="7" t="s">
        <v>313</v>
      </c>
      <c r="H3380" s="7" t="s">
        <v>312</v>
      </c>
      <c r="I3380" s="10"/>
      <c r="J3380" s="11"/>
      <c r="K3380" s="12"/>
      <c r="L3380" s="12"/>
      <c r="M3380" s="10"/>
      <c r="N3380" s="10"/>
      <c r="O3380" s="10"/>
      <c r="P3380" s="10"/>
      <c r="Q3380" s="10"/>
      <c r="R3380" s="10"/>
      <c r="S3380" s="10"/>
      <c r="T3380" s="10"/>
      <c r="U3380" s="10"/>
      <c r="V3380" s="10"/>
      <c r="W3380" s="10"/>
      <c r="X3380" s="10"/>
      <c r="Y3380" s="10"/>
      <c r="Z3380" s="10"/>
      <c r="AA3380" s="10"/>
      <c r="AB3380" s="10"/>
      <c r="AC3380" s="10"/>
      <c r="AD3380" s="10"/>
      <c r="AE3380" s="10"/>
      <c r="AF3380" s="10"/>
    </row>
    <row r="3381">
      <c r="A3381" s="7"/>
      <c r="B3381" s="26">
        <v>256.0</v>
      </c>
      <c r="C3381" s="27">
        <v>16.0</v>
      </c>
      <c r="D3381" s="8" t="s">
        <v>4413</v>
      </c>
      <c r="E3381" s="7">
        <v>0.0</v>
      </c>
      <c r="F3381" s="7"/>
      <c r="G3381" s="7" t="s">
        <v>313</v>
      </c>
      <c r="H3381" s="7" t="s">
        <v>312</v>
      </c>
      <c r="I3381" s="10"/>
      <c r="J3381" s="11"/>
      <c r="K3381" s="12"/>
      <c r="L3381" s="12"/>
      <c r="M3381" s="10"/>
      <c r="N3381" s="10"/>
      <c r="O3381" s="10"/>
      <c r="P3381" s="10"/>
      <c r="Q3381" s="10"/>
      <c r="R3381" s="10"/>
      <c r="S3381" s="10"/>
      <c r="T3381" s="10"/>
      <c r="U3381" s="10"/>
      <c r="V3381" s="10"/>
      <c r="W3381" s="10"/>
      <c r="X3381" s="10"/>
      <c r="Y3381" s="10"/>
      <c r="Z3381" s="10"/>
      <c r="AA3381" s="10"/>
      <c r="AB3381" s="10"/>
      <c r="AC3381" s="10"/>
      <c r="AD3381" s="10"/>
      <c r="AE3381" s="10"/>
      <c r="AF3381" s="10"/>
    </row>
    <row r="3382">
      <c r="A3382" s="7"/>
      <c r="B3382" s="26">
        <v>256.0</v>
      </c>
      <c r="C3382" s="27">
        <v>17.0</v>
      </c>
      <c r="D3382" s="8" t="s">
        <v>4414</v>
      </c>
      <c r="E3382" s="7">
        <v>0.0</v>
      </c>
      <c r="F3382" s="7"/>
      <c r="G3382" s="7" t="s">
        <v>313</v>
      </c>
      <c r="H3382" s="7" t="s">
        <v>312</v>
      </c>
      <c r="I3382" s="10"/>
      <c r="J3382" s="11"/>
      <c r="K3382" s="12"/>
      <c r="L3382" s="12"/>
      <c r="M3382" s="10"/>
      <c r="N3382" s="10"/>
      <c r="O3382" s="10"/>
      <c r="P3382" s="10"/>
      <c r="Q3382" s="10"/>
      <c r="R3382" s="10"/>
      <c r="S3382" s="10"/>
      <c r="T3382" s="10"/>
      <c r="U3382" s="10"/>
      <c r="V3382" s="10"/>
      <c r="W3382" s="10"/>
      <c r="X3382" s="10"/>
      <c r="Y3382" s="10"/>
      <c r="Z3382" s="10"/>
      <c r="AA3382" s="10"/>
      <c r="AB3382" s="10"/>
      <c r="AC3382" s="10"/>
      <c r="AD3382" s="10"/>
      <c r="AE3382" s="10"/>
      <c r="AF3382" s="10"/>
    </row>
    <row r="3383">
      <c r="A3383" s="7"/>
      <c r="B3383" s="26">
        <v>256.0</v>
      </c>
      <c r="C3383" s="27">
        <v>18.0</v>
      </c>
      <c r="D3383" s="8" t="s">
        <v>4415</v>
      </c>
      <c r="E3383" s="7">
        <v>0.0</v>
      </c>
      <c r="F3383" s="7"/>
      <c r="G3383" s="7" t="s">
        <v>313</v>
      </c>
      <c r="H3383" s="7" t="s">
        <v>312</v>
      </c>
      <c r="I3383" s="10"/>
      <c r="J3383" s="11"/>
      <c r="K3383" s="12"/>
      <c r="L3383" s="12"/>
      <c r="M3383" s="10"/>
      <c r="N3383" s="10"/>
      <c r="O3383" s="10"/>
      <c r="P3383" s="10"/>
      <c r="Q3383" s="10"/>
      <c r="R3383" s="10"/>
      <c r="S3383" s="10"/>
      <c r="T3383" s="10"/>
      <c r="U3383" s="10"/>
      <c r="V3383" s="10"/>
      <c r="W3383" s="10"/>
      <c r="X3383" s="10"/>
      <c r="Y3383" s="10"/>
      <c r="Z3383" s="10"/>
      <c r="AA3383" s="10"/>
      <c r="AB3383" s="10"/>
      <c r="AC3383" s="10"/>
      <c r="AD3383" s="10"/>
      <c r="AE3383" s="10"/>
      <c r="AF3383" s="10"/>
    </row>
    <row r="3384">
      <c r="A3384" s="7"/>
      <c r="B3384" s="26">
        <v>256.0</v>
      </c>
      <c r="C3384" s="27">
        <v>19.0</v>
      </c>
      <c r="D3384" s="8" t="s">
        <v>4416</v>
      </c>
      <c r="E3384" s="7">
        <v>0.0</v>
      </c>
      <c r="F3384" s="7"/>
      <c r="G3384" s="7" t="s">
        <v>313</v>
      </c>
      <c r="H3384" s="7" t="s">
        <v>312</v>
      </c>
      <c r="I3384" s="10"/>
      <c r="J3384" s="11"/>
      <c r="K3384" s="12"/>
      <c r="L3384" s="12"/>
      <c r="M3384" s="10"/>
      <c r="N3384" s="10"/>
      <c r="O3384" s="10"/>
      <c r="P3384" s="10"/>
      <c r="Q3384" s="10"/>
      <c r="R3384" s="10"/>
      <c r="S3384" s="10"/>
      <c r="T3384" s="10"/>
      <c r="U3384" s="10"/>
      <c r="V3384" s="10"/>
      <c r="W3384" s="10"/>
      <c r="X3384" s="10"/>
      <c r="Y3384" s="10"/>
      <c r="Z3384" s="10"/>
      <c r="AA3384" s="10"/>
      <c r="AB3384" s="10"/>
      <c r="AC3384" s="10"/>
      <c r="AD3384" s="10"/>
      <c r="AE3384" s="10"/>
      <c r="AF3384" s="10"/>
    </row>
    <row r="3385">
      <c r="A3385" s="7"/>
      <c r="B3385" s="26">
        <v>256.0</v>
      </c>
      <c r="C3385" s="27">
        <v>20.0</v>
      </c>
      <c r="D3385" s="8" t="s">
        <v>4417</v>
      </c>
      <c r="E3385" s="7">
        <v>0.0</v>
      </c>
      <c r="F3385" s="7"/>
      <c r="G3385" s="7" t="s">
        <v>313</v>
      </c>
      <c r="H3385" s="7" t="s">
        <v>312</v>
      </c>
      <c r="I3385" s="10"/>
      <c r="J3385" s="11"/>
      <c r="K3385" s="12"/>
      <c r="L3385" s="12"/>
      <c r="M3385" s="10"/>
      <c r="N3385" s="10"/>
      <c r="O3385" s="10"/>
      <c r="P3385" s="10"/>
      <c r="Q3385" s="10"/>
      <c r="R3385" s="10"/>
      <c r="S3385" s="10"/>
      <c r="T3385" s="10"/>
      <c r="U3385" s="10"/>
      <c r="V3385" s="10"/>
      <c r="W3385" s="10"/>
      <c r="X3385" s="10"/>
      <c r="Y3385" s="10"/>
      <c r="Z3385" s="10"/>
      <c r="AA3385" s="10"/>
      <c r="AB3385" s="10"/>
      <c r="AC3385" s="10"/>
      <c r="AD3385" s="10"/>
      <c r="AE3385" s="10"/>
      <c r="AF3385" s="10"/>
    </row>
    <row r="3386">
      <c r="A3386" s="7"/>
      <c r="B3386" s="26">
        <v>256.0</v>
      </c>
      <c r="C3386" s="27">
        <v>21.0</v>
      </c>
      <c r="D3386" s="8" t="s">
        <v>4418</v>
      </c>
      <c r="E3386" s="7">
        <v>0.0</v>
      </c>
      <c r="F3386" s="7"/>
      <c r="G3386" s="7" t="s">
        <v>313</v>
      </c>
      <c r="H3386" s="7" t="s">
        <v>312</v>
      </c>
      <c r="I3386" s="10"/>
      <c r="J3386" s="11"/>
      <c r="K3386" s="12"/>
      <c r="L3386" s="12"/>
      <c r="M3386" s="10"/>
      <c r="N3386" s="10"/>
      <c r="O3386" s="10"/>
      <c r="P3386" s="10"/>
      <c r="Q3386" s="10"/>
      <c r="R3386" s="10"/>
      <c r="S3386" s="10"/>
      <c r="T3386" s="10"/>
      <c r="U3386" s="10"/>
      <c r="V3386" s="10"/>
      <c r="W3386" s="10"/>
      <c r="X3386" s="10"/>
      <c r="Y3386" s="10"/>
      <c r="Z3386" s="10"/>
      <c r="AA3386" s="10"/>
      <c r="AB3386" s="10"/>
      <c r="AC3386" s="10"/>
      <c r="AD3386" s="10"/>
      <c r="AE3386" s="10"/>
      <c r="AF3386" s="10"/>
    </row>
    <row r="3387">
      <c r="A3387" s="13" t="s">
        <v>257</v>
      </c>
      <c r="B3387" s="12"/>
      <c r="C3387" s="12"/>
      <c r="D3387" s="12"/>
      <c r="E3387" s="10"/>
      <c r="F3387" s="10"/>
      <c r="G3387" s="10"/>
      <c r="H3387" s="10"/>
      <c r="I3387" s="10"/>
      <c r="J3387" s="11"/>
      <c r="K3387" s="12"/>
      <c r="L3387" s="12"/>
      <c r="M3387" s="10"/>
      <c r="N3387" s="10"/>
      <c r="O3387" s="10"/>
      <c r="P3387" s="10"/>
      <c r="Q3387" s="10"/>
      <c r="R3387" s="10"/>
      <c r="S3387" s="10"/>
      <c r="T3387" s="10"/>
      <c r="U3387" s="10"/>
      <c r="V3387" s="10"/>
      <c r="W3387" s="10"/>
      <c r="X3387" s="10"/>
      <c r="Y3387" s="10"/>
      <c r="Z3387" s="10"/>
      <c r="AA3387" s="10"/>
      <c r="AB3387" s="10"/>
      <c r="AC3387" s="10"/>
      <c r="AD3387" s="10"/>
      <c r="AE3387" s="10"/>
      <c r="AF3387" s="10"/>
    </row>
    <row r="3388">
      <c r="A3388" s="7"/>
      <c r="B3388" s="26">
        <v>257.0</v>
      </c>
      <c r="C3388" s="27">
        <v>1.0</v>
      </c>
      <c r="D3388" s="8" t="s">
        <v>4419</v>
      </c>
      <c r="E3388" s="7">
        <v>0.0</v>
      </c>
      <c r="F3388" s="7"/>
      <c r="G3388" s="7" t="s">
        <v>313</v>
      </c>
      <c r="H3388" s="7" t="s">
        <v>312</v>
      </c>
      <c r="I3388" s="10"/>
      <c r="J3388" s="9" t="s">
        <v>4420</v>
      </c>
      <c r="K3388" s="12"/>
      <c r="L3388" s="12"/>
      <c r="M3388" s="10"/>
      <c r="N3388" s="10"/>
      <c r="O3388" s="10"/>
      <c r="P3388" s="10"/>
      <c r="Q3388" s="10"/>
      <c r="R3388" s="10"/>
      <c r="S3388" s="10"/>
      <c r="T3388" s="10"/>
      <c r="U3388" s="10"/>
      <c r="V3388" s="10"/>
      <c r="W3388" s="10"/>
      <c r="X3388" s="10"/>
      <c r="Y3388" s="10"/>
      <c r="Z3388" s="10"/>
      <c r="AA3388" s="10"/>
      <c r="AB3388" s="10"/>
      <c r="AC3388" s="10"/>
      <c r="AD3388" s="10"/>
      <c r="AE3388" s="10"/>
      <c r="AF3388" s="10"/>
    </row>
    <row r="3389">
      <c r="A3389" s="7"/>
      <c r="B3389" s="26">
        <v>257.0</v>
      </c>
      <c r="C3389" s="27">
        <v>2.0</v>
      </c>
      <c r="D3389" s="8" t="s">
        <v>4421</v>
      </c>
      <c r="E3389" s="7">
        <v>0.0</v>
      </c>
      <c r="F3389" s="7" t="s">
        <v>320</v>
      </c>
      <c r="G3389" s="7" t="s">
        <v>313</v>
      </c>
      <c r="H3389" s="7" t="s">
        <v>312</v>
      </c>
      <c r="I3389" s="7"/>
      <c r="J3389" s="9" t="s">
        <v>4422</v>
      </c>
      <c r="K3389" s="12"/>
      <c r="L3389" s="12"/>
      <c r="M3389" s="10"/>
      <c r="N3389" s="10"/>
      <c r="O3389" s="10"/>
      <c r="P3389" s="10"/>
      <c r="Q3389" s="10"/>
      <c r="R3389" s="10"/>
      <c r="S3389" s="10"/>
      <c r="T3389" s="10"/>
      <c r="U3389" s="10"/>
      <c r="V3389" s="10"/>
      <c r="W3389" s="10"/>
      <c r="X3389" s="10"/>
      <c r="Y3389" s="10"/>
      <c r="Z3389" s="10"/>
      <c r="AA3389" s="10"/>
      <c r="AB3389" s="10"/>
      <c r="AC3389" s="10"/>
      <c r="AD3389" s="10"/>
      <c r="AE3389" s="10"/>
      <c r="AF3389" s="10"/>
    </row>
    <row r="3390">
      <c r="A3390" s="7"/>
      <c r="B3390" s="26">
        <v>257.0</v>
      </c>
      <c r="C3390" s="27">
        <v>3.0</v>
      </c>
      <c r="D3390" s="8" t="s">
        <v>4423</v>
      </c>
      <c r="E3390" s="7">
        <v>0.0</v>
      </c>
      <c r="F3390" s="7" t="s">
        <v>320</v>
      </c>
      <c r="G3390" s="7" t="s">
        <v>313</v>
      </c>
      <c r="H3390" s="7" t="s">
        <v>312</v>
      </c>
      <c r="I3390" s="7"/>
      <c r="J3390" s="9" t="s">
        <v>4424</v>
      </c>
      <c r="K3390" s="12"/>
      <c r="L3390" s="12"/>
      <c r="M3390" s="10"/>
      <c r="N3390" s="10"/>
      <c r="O3390" s="10"/>
      <c r="P3390" s="10"/>
      <c r="Q3390" s="10"/>
      <c r="R3390" s="10"/>
      <c r="S3390" s="10"/>
      <c r="T3390" s="10"/>
      <c r="U3390" s="10"/>
      <c r="V3390" s="10"/>
      <c r="W3390" s="10"/>
      <c r="X3390" s="10"/>
      <c r="Y3390" s="10"/>
      <c r="Z3390" s="10"/>
      <c r="AA3390" s="10"/>
      <c r="AB3390" s="10"/>
      <c r="AC3390" s="10"/>
      <c r="AD3390" s="10"/>
      <c r="AE3390" s="10"/>
      <c r="AF3390" s="10"/>
    </row>
    <row r="3391">
      <c r="A3391" s="7"/>
      <c r="B3391" s="26">
        <v>257.0</v>
      </c>
      <c r="C3391" s="27">
        <v>4.0</v>
      </c>
      <c r="D3391" s="8" t="s">
        <v>4425</v>
      </c>
      <c r="E3391" s="7">
        <v>0.0</v>
      </c>
      <c r="F3391" s="7"/>
      <c r="G3391" s="7" t="s">
        <v>313</v>
      </c>
      <c r="H3391" s="7" t="s">
        <v>312</v>
      </c>
      <c r="I3391" s="10"/>
      <c r="J3391" s="9"/>
      <c r="K3391" s="12"/>
      <c r="L3391" s="12"/>
      <c r="M3391" s="10"/>
      <c r="N3391" s="10"/>
      <c r="O3391" s="10"/>
      <c r="P3391" s="10"/>
      <c r="Q3391" s="10"/>
      <c r="R3391" s="10"/>
      <c r="S3391" s="10"/>
      <c r="T3391" s="10"/>
      <c r="U3391" s="10"/>
      <c r="V3391" s="10"/>
      <c r="W3391" s="10"/>
      <c r="X3391" s="10"/>
      <c r="Y3391" s="10"/>
      <c r="Z3391" s="10"/>
      <c r="AA3391" s="10"/>
      <c r="AB3391" s="10"/>
      <c r="AC3391" s="10"/>
      <c r="AD3391" s="10"/>
      <c r="AE3391" s="10"/>
      <c r="AF3391" s="10"/>
    </row>
    <row r="3392">
      <c r="A3392" s="7"/>
      <c r="B3392" s="26">
        <v>257.0</v>
      </c>
      <c r="C3392" s="27">
        <v>5.0</v>
      </c>
      <c r="D3392" s="8" t="s">
        <v>4426</v>
      </c>
      <c r="E3392" s="7">
        <v>0.0</v>
      </c>
      <c r="F3392" s="7"/>
      <c r="G3392" s="7" t="s">
        <v>313</v>
      </c>
      <c r="H3392" s="7" t="s">
        <v>312</v>
      </c>
      <c r="I3392" s="10"/>
      <c r="J3392" s="11"/>
      <c r="K3392" s="12"/>
      <c r="L3392" s="12"/>
      <c r="M3392" s="10"/>
      <c r="N3392" s="10"/>
      <c r="O3392" s="10"/>
      <c r="P3392" s="10"/>
      <c r="Q3392" s="10"/>
      <c r="R3392" s="10"/>
      <c r="S3392" s="10"/>
      <c r="T3392" s="10"/>
      <c r="U3392" s="10"/>
      <c r="V3392" s="10"/>
      <c r="W3392" s="10"/>
      <c r="X3392" s="10"/>
      <c r="Y3392" s="10"/>
      <c r="Z3392" s="10"/>
      <c r="AA3392" s="10"/>
      <c r="AB3392" s="10"/>
      <c r="AC3392" s="10"/>
      <c r="AD3392" s="10"/>
      <c r="AE3392" s="10"/>
      <c r="AF3392" s="10"/>
    </row>
    <row r="3393">
      <c r="A3393" s="7"/>
      <c r="B3393" s="26">
        <v>257.0</v>
      </c>
      <c r="C3393" s="27">
        <v>6.0</v>
      </c>
      <c r="D3393" s="8" t="s">
        <v>4427</v>
      </c>
      <c r="E3393" s="7">
        <v>3.0</v>
      </c>
      <c r="F3393" s="7"/>
      <c r="G3393" s="7" t="s">
        <v>313</v>
      </c>
      <c r="H3393" s="7" t="s">
        <v>312</v>
      </c>
      <c r="I3393" s="7" t="s">
        <v>4428</v>
      </c>
      <c r="J3393" s="16" t="s">
        <v>4429</v>
      </c>
      <c r="K3393" s="12"/>
      <c r="L3393" s="12"/>
      <c r="M3393" s="10"/>
      <c r="N3393" s="10"/>
      <c r="O3393" s="10"/>
      <c r="P3393" s="10"/>
      <c r="Q3393" s="10"/>
      <c r="R3393" s="10"/>
      <c r="S3393" s="10"/>
      <c r="T3393" s="10"/>
      <c r="U3393" s="10"/>
      <c r="V3393" s="10"/>
      <c r="W3393" s="10"/>
      <c r="X3393" s="10"/>
      <c r="Y3393" s="10"/>
      <c r="Z3393" s="10"/>
      <c r="AA3393" s="10"/>
      <c r="AB3393" s="10"/>
      <c r="AC3393" s="10"/>
      <c r="AD3393" s="10"/>
      <c r="AE3393" s="10"/>
      <c r="AF3393" s="10"/>
    </row>
    <row r="3394">
      <c r="A3394" s="7"/>
      <c r="B3394" s="26">
        <v>257.0</v>
      </c>
      <c r="C3394" s="27">
        <v>7.0</v>
      </c>
      <c r="D3394" s="8" t="s">
        <v>4430</v>
      </c>
      <c r="E3394" s="7">
        <v>3.0</v>
      </c>
      <c r="F3394" s="7"/>
      <c r="G3394" s="7" t="s">
        <v>313</v>
      </c>
      <c r="H3394" s="7" t="s">
        <v>312</v>
      </c>
      <c r="I3394" s="7" t="s">
        <v>4428</v>
      </c>
      <c r="J3394" s="16" t="s">
        <v>4431</v>
      </c>
      <c r="K3394" s="12"/>
      <c r="L3394" s="12"/>
      <c r="M3394" s="10"/>
      <c r="N3394" s="10"/>
      <c r="O3394" s="10"/>
      <c r="P3394" s="10"/>
      <c r="Q3394" s="10"/>
      <c r="R3394" s="10"/>
      <c r="S3394" s="10"/>
      <c r="T3394" s="10"/>
      <c r="U3394" s="10"/>
      <c r="V3394" s="10"/>
      <c r="W3394" s="10"/>
      <c r="X3394" s="10"/>
      <c r="Y3394" s="10"/>
      <c r="Z3394" s="10"/>
      <c r="AA3394" s="10"/>
      <c r="AB3394" s="10"/>
      <c r="AC3394" s="10"/>
      <c r="AD3394" s="10"/>
      <c r="AE3394" s="10"/>
      <c r="AF3394" s="10"/>
    </row>
    <row r="3395">
      <c r="A3395" s="7"/>
      <c r="B3395" s="26">
        <v>257.0</v>
      </c>
      <c r="C3395" s="27">
        <v>8.0</v>
      </c>
      <c r="D3395" s="8" t="s">
        <v>4432</v>
      </c>
      <c r="E3395" s="7">
        <v>0.0</v>
      </c>
      <c r="F3395" s="7"/>
      <c r="G3395" s="7" t="s">
        <v>313</v>
      </c>
      <c r="H3395" s="7" t="s">
        <v>312</v>
      </c>
      <c r="I3395" s="10"/>
      <c r="J3395" s="11"/>
      <c r="K3395" s="12"/>
      <c r="L3395" s="12"/>
      <c r="M3395" s="10"/>
      <c r="N3395" s="10"/>
      <c r="O3395" s="10"/>
      <c r="P3395" s="10"/>
      <c r="Q3395" s="10"/>
      <c r="R3395" s="10"/>
      <c r="S3395" s="10"/>
      <c r="T3395" s="10"/>
      <c r="U3395" s="10"/>
      <c r="V3395" s="10"/>
      <c r="W3395" s="10"/>
      <c r="X3395" s="10"/>
      <c r="Y3395" s="10"/>
      <c r="Z3395" s="10"/>
      <c r="AA3395" s="10"/>
      <c r="AB3395" s="10"/>
      <c r="AC3395" s="10"/>
      <c r="AD3395" s="10"/>
      <c r="AE3395" s="10"/>
      <c r="AF3395" s="10"/>
    </row>
    <row r="3396">
      <c r="A3396" s="7"/>
      <c r="B3396" s="26">
        <v>257.0</v>
      </c>
      <c r="C3396" s="27">
        <v>9.0</v>
      </c>
      <c r="D3396" s="8" t="s">
        <v>4433</v>
      </c>
      <c r="E3396" s="7">
        <v>0.0</v>
      </c>
      <c r="F3396" s="7"/>
      <c r="G3396" s="7" t="s">
        <v>313</v>
      </c>
      <c r="H3396" s="7" t="s">
        <v>312</v>
      </c>
      <c r="I3396" s="10"/>
      <c r="J3396" s="11"/>
      <c r="K3396" s="12"/>
      <c r="L3396" s="12"/>
      <c r="M3396" s="10"/>
      <c r="N3396" s="10"/>
      <c r="O3396" s="10"/>
      <c r="P3396" s="10"/>
      <c r="Q3396" s="10"/>
      <c r="R3396" s="10"/>
      <c r="S3396" s="10"/>
      <c r="T3396" s="10"/>
      <c r="U3396" s="10"/>
      <c r="V3396" s="10"/>
      <c r="W3396" s="10"/>
      <c r="X3396" s="10"/>
      <c r="Y3396" s="10"/>
      <c r="Z3396" s="10"/>
      <c r="AA3396" s="10"/>
      <c r="AB3396" s="10"/>
      <c r="AC3396" s="10"/>
      <c r="AD3396" s="10"/>
      <c r="AE3396" s="10"/>
      <c r="AF3396" s="10"/>
    </row>
    <row r="3397">
      <c r="A3397" s="7"/>
      <c r="B3397" s="26">
        <v>257.0</v>
      </c>
      <c r="C3397" s="27">
        <v>10.0</v>
      </c>
      <c r="D3397" s="8" t="s">
        <v>4434</v>
      </c>
      <c r="E3397" s="7">
        <v>3.0</v>
      </c>
      <c r="F3397" s="7"/>
      <c r="G3397" s="7" t="s">
        <v>313</v>
      </c>
      <c r="H3397" s="7" t="s">
        <v>312</v>
      </c>
      <c r="I3397" s="7" t="s">
        <v>4428</v>
      </c>
      <c r="J3397" s="16" t="s">
        <v>4429</v>
      </c>
      <c r="K3397" s="12"/>
      <c r="L3397" s="12"/>
      <c r="M3397" s="10"/>
      <c r="N3397" s="10"/>
      <c r="O3397" s="10"/>
      <c r="P3397" s="10"/>
      <c r="Q3397" s="10"/>
      <c r="R3397" s="10"/>
      <c r="S3397" s="10"/>
      <c r="T3397" s="10"/>
      <c r="U3397" s="10"/>
      <c r="V3397" s="10"/>
      <c r="W3397" s="10"/>
      <c r="X3397" s="10"/>
      <c r="Y3397" s="10"/>
      <c r="Z3397" s="10"/>
      <c r="AA3397" s="10"/>
      <c r="AB3397" s="10"/>
      <c r="AC3397" s="10"/>
      <c r="AD3397" s="10"/>
      <c r="AE3397" s="10"/>
      <c r="AF3397" s="10"/>
    </row>
    <row r="3398">
      <c r="A3398" s="7"/>
      <c r="B3398" s="26">
        <v>257.0</v>
      </c>
      <c r="C3398" s="27">
        <v>11.0</v>
      </c>
      <c r="D3398" s="8" t="s">
        <v>4435</v>
      </c>
      <c r="E3398" s="7">
        <v>3.0</v>
      </c>
      <c r="F3398" s="7"/>
      <c r="G3398" s="7" t="s">
        <v>313</v>
      </c>
      <c r="H3398" s="7" t="s">
        <v>312</v>
      </c>
      <c r="I3398" s="7" t="s">
        <v>4428</v>
      </c>
      <c r="J3398" s="16" t="s">
        <v>4431</v>
      </c>
      <c r="K3398" s="12"/>
      <c r="L3398" s="12"/>
      <c r="M3398" s="10"/>
      <c r="N3398" s="10"/>
      <c r="O3398" s="10"/>
      <c r="P3398" s="10"/>
      <c r="Q3398" s="10"/>
      <c r="R3398" s="10"/>
      <c r="S3398" s="10"/>
      <c r="T3398" s="10"/>
      <c r="U3398" s="10"/>
      <c r="V3398" s="10"/>
      <c r="W3398" s="10"/>
      <c r="X3398" s="10"/>
      <c r="Y3398" s="10"/>
      <c r="Z3398" s="10"/>
      <c r="AA3398" s="10"/>
      <c r="AB3398" s="10"/>
      <c r="AC3398" s="10"/>
      <c r="AD3398" s="10"/>
      <c r="AE3398" s="10"/>
      <c r="AF3398" s="10"/>
    </row>
    <row r="3399">
      <c r="A3399" s="7"/>
      <c r="B3399" s="26">
        <v>257.0</v>
      </c>
      <c r="C3399" s="27">
        <v>12.0</v>
      </c>
      <c r="D3399" s="8" t="s">
        <v>4436</v>
      </c>
      <c r="E3399" s="7">
        <v>0.0</v>
      </c>
      <c r="F3399" s="7" t="s">
        <v>320</v>
      </c>
      <c r="G3399" s="7" t="s">
        <v>313</v>
      </c>
      <c r="H3399" s="7" t="s">
        <v>312</v>
      </c>
      <c r="I3399" s="10"/>
      <c r="J3399" s="9" t="s">
        <v>4437</v>
      </c>
      <c r="K3399" s="12"/>
      <c r="L3399" s="12"/>
      <c r="M3399" s="10"/>
      <c r="N3399" s="10"/>
      <c r="O3399" s="10"/>
      <c r="P3399" s="10"/>
      <c r="Q3399" s="10"/>
      <c r="R3399" s="10"/>
      <c r="S3399" s="10"/>
      <c r="T3399" s="10"/>
      <c r="U3399" s="10"/>
      <c r="V3399" s="10"/>
      <c r="W3399" s="10"/>
      <c r="X3399" s="10"/>
      <c r="Y3399" s="10"/>
      <c r="Z3399" s="10"/>
      <c r="AA3399" s="10"/>
      <c r="AB3399" s="10"/>
      <c r="AC3399" s="10"/>
      <c r="AD3399" s="10"/>
      <c r="AE3399" s="10"/>
      <c r="AF3399" s="10"/>
    </row>
    <row r="3400">
      <c r="A3400" s="7"/>
      <c r="B3400" s="26">
        <v>257.0</v>
      </c>
      <c r="C3400" s="27">
        <v>13.0</v>
      </c>
      <c r="D3400" s="8" t="s">
        <v>4438</v>
      </c>
      <c r="E3400" s="7">
        <v>0.0</v>
      </c>
      <c r="F3400" s="7" t="s">
        <v>320</v>
      </c>
      <c r="G3400" s="7" t="s">
        <v>313</v>
      </c>
      <c r="H3400" s="7" t="s">
        <v>312</v>
      </c>
      <c r="I3400" s="10"/>
      <c r="J3400" s="9" t="s">
        <v>4439</v>
      </c>
      <c r="K3400" s="12"/>
      <c r="L3400" s="12"/>
      <c r="M3400" s="10"/>
      <c r="N3400" s="10"/>
      <c r="O3400" s="10"/>
      <c r="P3400" s="10"/>
      <c r="Q3400" s="10"/>
      <c r="R3400" s="10"/>
      <c r="S3400" s="10"/>
      <c r="T3400" s="10"/>
      <c r="U3400" s="10"/>
      <c r="V3400" s="10"/>
      <c r="W3400" s="10"/>
      <c r="X3400" s="10"/>
      <c r="Y3400" s="10"/>
      <c r="Z3400" s="10"/>
      <c r="AA3400" s="10"/>
      <c r="AB3400" s="10"/>
      <c r="AC3400" s="10"/>
      <c r="AD3400" s="10"/>
      <c r="AE3400" s="10"/>
      <c r="AF3400" s="10"/>
    </row>
    <row r="3401">
      <c r="A3401" s="7"/>
      <c r="B3401" s="26">
        <v>257.0</v>
      </c>
      <c r="C3401" s="27">
        <v>14.0</v>
      </c>
      <c r="D3401" s="8" t="s">
        <v>4440</v>
      </c>
      <c r="E3401" s="7">
        <v>0.0</v>
      </c>
      <c r="F3401" s="7"/>
      <c r="G3401" s="7" t="s">
        <v>313</v>
      </c>
      <c r="H3401" s="7" t="s">
        <v>312</v>
      </c>
      <c r="I3401" s="10"/>
      <c r="J3401" s="11"/>
      <c r="K3401" s="12"/>
      <c r="L3401" s="12"/>
      <c r="M3401" s="10"/>
      <c r="N3401" s="10"/>
      <c r="O3401" s="10"/>
      <c r="P3401" s="10"/>
      <c r="Q3401" s="10"/>
      <c r="R3401" s="10"/>
      <c r="S3401" s="10"/>
      <c r="T3401" s="10"/>
      <c r="U3401" s="10"/>
      <c r="V3401" s="10"/>
      <c r="W3401" s="10"/>
      <c r="X3401" s="10"/>
      <c r="Y3401" s="10"/>
      <c r="Z3401" s="10"/>
      <c r="AA3401" s="10"/>
      <c r="AB3401" s="10"/>
      <c r="AC3401" s="10"/>
      <c r="AD3401" s="10"/>
      <c r="AE3401" s="10"/>
      <c r="AF3401" s="10"/>
    </row>
    <row r="3402">
      <c r="A3402" s="7"/>
      <c r="B3402" s="26">
        <v>257.0</v>
      </c>
      <c r="C3402" s="27">
        <v>15.0</v>
      </c>
      <c r="D3402" s="8" t="s">
        <v>4441</v>
      </c>
      <c r="E3402" s="7">
        <v>0.0</v>
      </c>
      <c r="F3402" s="7"/>
      <c r="G3402" s="7" t="s">
        <v>313</v>
      </c>
      <c r="H3402" s="7" t="s">
        <v>312</v>
      </c>
      <c r="I3402" s="10"/>
      <c r="J3402" s="11"/>
      <c r="K3402" s="12"/>
      <c r="L3402" s="12"/>
      <c r="M3402" s="10"/>
      <c r="N3402" s="10"/>
      <c r="O3402" s="10"/>
      <c r="P3402" s="10"/>
      <c r="Q3402" s="10"/>
      <c r="R3402" s="10"/>
      <c r="S3402" s="10"/>
      <c r="T3402" s="10"/>
      <c r="U3402" s="10"/>
      <c r="V3402" s="10"/>
      <c r="W3402" s="10"/>
      <c r="X3402" s="10"/>
      <c r="Y3402" s="10"/>
      <c r="Z3402" s="10"/>
      <c r="AA3402" s="10"/>
      <c r="AB3402" s="10"/>
      <c r="AC3402" s="10"/>
      <c r="AD3402" s="10"/>
      <c r="AE3402" s="10"/>
      <c r="AF3402" s="10"/>
    </row>
    <row r="3403">
      <c r="A3403" s="7"/>
      <c r="B3403" s="26">
        <v>257.0</v>
      </c>
      <c r="C3403" s="27">
        <v>16.0</v>
      </c>
      <c r="D3403" s="8" t="s">
        <v>4442</v>
      </c>
      <c r="E3403" s="7">
        <v>3.0</v>
      </c>
      <c r="F3403" s="7" t="s">
        <v>320</v>
      </c>
      <c r="G3403" s="7" t="s">
        <v>313</v>
      </c>
      <c r="H3403" s="7" t="s">
        <v>312</v>
      </c>
      <c r="I3403" s="10"/>
      <c r="J3403" s="9" t="s">
        <v>4443</v>
      </c>
      <c r="K3403" s="12"/>
      <c r="L3403" s="12"/>
      <c r="M3403" s="10"/>
      <c r="N3403" s="10"/>
      <c r="O3403" s="10"/>
      <c r="P3403" s="10"/>
      <c r="Q3403" s="10"/>
      <c r="R3403" s="10"/>
      <c r="S3403" s="10"/>
      <c r="T3403" s="10"/>
      <c r="U3403" s="10"/>
      <c r="V3403" s="10"/>
      <c r="W3403" s="10"/>
      <c r="X3403" s="10"/>
      <c r="Y3403" s="10"/>
      <c r="Z3403" s="10"/>
      <c r="AA3403" s="10"/>
      <c r="AB3403" s="10"/>
      <c r="AC3403" s="10"/>
      <c r="AD3403" s="10"/>
      <c r="AE3403" s="10"/>
      <c r="AF3403" s="10"/>
    </row>
    <row r="3404">
      <c r="A3404" s="7"/>
      <c r="B3404" s="26">
        <v>257.0</v>
      </c>
      <c r="C3404" s="27">
        <v>17.0</v>
      </c>
      <c r="D3404" s="8" t="s">
        <v>4444</v>
      </c>
      <c r="E3404" s="7">
        <v>3.0</v>
      </c>
      <c r="F3404" s="7" t="s">
        <v>320</v>
      </c>
      <c r="G3404" s="7" t="s">
        <v>313</v>
      </c>
      <c r="H3404" s="7" t="s">
        <v>312</v>
      </c>
      <c r="I3404" s="10"/>
      <c r="J3404" s="9" t="s">
        <v>4445</v>
      </c>
      <c r="K3404" s="12"/>
      <c r="L3404" s="12"/>
      <c r="M3404" s="10"/>
      <c r="N3404" s="10"/>
      <c r="O3404" s="10"/>
      <c r="P3404" s="10"/>
      <c r="Q3404" s="10"/>
      <c r="R3404" s="10"/>
      <c r="S3404" s="10"/>
      <c r="T3404" s="10"/>
      <c r="U3404" s="10"/>
      <c r="V3404" s="10"/>
      <c r="W3404" s="10"/>
      <c r="X3404" s="10"/>
      <c r="Y3404" s="10"/>
      <c r="Z3404" s="10"/>
      <c r="AA3404" s="10"/>
      <c r="AB3404" s="10"/>
      <c r="AC3404" s="10"/>
      <c r="AD3404" s="10"/>
      <c r="AE3404" s="10"/>
      <c r="AF3404" s="10"/>
    </row>
    <row r="3405">
      <c r="A3405" s="7"/>
      <c r="B3405" s="26">
        <v>257.0</v>
      </c>
      <c r="C3405" s="27">
        <v>18.0</v>
      </c>
      <c r="D3405" s="8" t="s">
        <v>4446</v>
      </c>
      <c r="E3405" s="7">
        <v>0.0</v>
      </c>
      <c r="F3405" s="7"/>
      <c r="G3405" s="7" t="s">
        <v>313</v>
      </c>
      <c r="H3405" s="7" t="s">
        <v>312</v>
      </c>
      <c r="I3405" s="10"/>
      <c r="J3405" s="11"/>
      <c r="K3405" s="12"/>
      <c r="L3405" s="12"/>
      <c r="M3405" s="10"/>
      <c r="N3405" s="10"/>
      <c r="O3405" s="10"/>
      <c r="P3405" s="10"/>
      <c r="Q3405" s="10"/>
      <c r="R3405" s="10"/>
      <c r="S3405" s="10"/>
      <c r="T3405" s="10"/>
      <c r="U3405" s="10"/>
      <c r="V3405" s="10"/>
      <c r="W3405" s="10"/>
      <c r="X3405" s="10"/>
      <c r="Y3405" s="10"/>
      <c r="Z3405" s="10"/>
      <c r="AA3405" s="10"/>
      <c r="AB3405" s="10"/>
      <c r="AC3405" s="10"/>
      <c r="AD3405" s="10"/>
      <c r="AE3405" s="10"/>
      <c r="AF3405" s="10"/>
    </row>
    <row r="3406">
      <c r="A3406" s="7"/>
      <c r="B3406" s="26">
        <v>257.0</v>
      </c>
      <c r="C3406" s="27">
        <v>19.0</v>
      </c>
      <c r="D3406" s="8" t="s">
        <v>4447</v>
      </c>
      <c r="E3406" s="7">
        <v>0.0</v>
      </c>
      <c r="F3406" s="7"/>
      <c r="G3406" s="7" t="s">
        <v>313</v>
      </c>
      <c r="H3406" s="7" t="s">
        <v>312</v>
      </c>
      <c r="I3406" s="10"/>
      <c r="J3406" s="11"/>
      <c r="K3406" s="12"/>
      <c r="L3406" s="12"/>
      <c r="M3406" s="10"/>
      <c r="N3406" s="10"/>
      <c r="O3406" s="10"/>
      <c r="P3406" s="10"/>
      <c r="Q3406" s="10"/>
      <c r="R3406" s="10"/>
      <c r="S3406" s="10"/>
      <c r="T3406" s="10"/>
      <c r="U3406" s="10"/>
      <c r="V3406" s="10"/>
      <c r="W3406" s="10"/>
      <c r="X3406" s="10"/>
      <c r="Y3406" s="10"/>
      <c r="Z3406" s="10"/>
      <c r="AA3406" s="10"/>
      <c r="AB3406" s="10"/>
      <c r="AC3406" s="10"/>
      <c r="AD3406" s="10"/>
      <c r="AE3406" s="10"/>
      <c r="AF3406" s="10"/>
    </row>
    <row r="3407">
      <c r="A3407" s="7"/>
      <c r="B3407" s="26">
        <v>257.0</v>
      </c>
      <c r="C3407" s="27">
        <v>20.0</v>
      </c>
      <c r="D3407" s="8" t="s">
        <v>4448</v>
      </c>
      <c r="E3407" s="7">
        <v>3.0</v>
      </c>
      <c r="F3407" s="7" t="s">
        <v>320</v>
      </c>
      <c r="G3407" s="7" t="s">
        <v>313</v>
      </c>
      <c r="H3407" s="7" t="s">
        <v>312</v>
      </c>
      <c r="I3407" s="10"/>
      <c r="J3407" s="9" t="s">
        <v>4449</v>
      </c>
      <c r="K3407" s="12"/>
      <c r="L3407" s="12"/>
      <c r="M3407" s="10"/>
      <c r="N3407" s="10"/>
      <c r="O3407" s="10"/>
      <c r="P3407" s="10"/>
      <c r="Q3407" s="10"/>
      <c r="R3407" s="10"/>
      <c r="S3407" s="10"/>
      <c r="T3407" s="10"/>
      <c r="U3407" s="10"/>
      <c r="V3407" s="10"/>
      <c r="W3407" s="10"/>
      <c r="X3407" s="10"/>
      <c r="Y3407" s="10"/>
      <c r="Z3407" s="10"/>
      <c r="AA3407" s="10"/>
      <c r="AB3407" s="10"/>
      <c r="AC3407" s="10"/>
      <c r="AD3407" s="10"/>
      <c r="AE3407" s="10"/>
      <c r="AF3407" s="10"/>
    </row>
    <row r="3408">
      <c r="A3408" s="7"/>
      <c r="B3408" s="26">
        <v>257.0</v>
      </c>
      <c r="C3408" s="27">
        <v>21.0</v>
      </c>
      <c r="D3408" s="8" t="s">
        <v>4450</v>
      </c>
      <c r="E3408" s="7">
        <v>3.0</v>
      </c>
      <c r="F3408" s="7" t="s">
        <v>320</v>
      </c>
      <c r="G3408" s="7" t="s">
        <v>313</v>
      </c>
      <c r="H3408" s="7" t="s">
        <v>312</v>
      </c>
      <c r="I3408" s="10"/>
      <c r="J3408" s="9" t="s">
        <v>4451</v>
      </c>
      <c r="K3408" s="12"/>
      <c r="L3408" s="12"/>
      <c r="M3408" s="10"/>
      <c r="N3408" s="10"/>
      <c r="O3408" s="10"/>
      <c r="P3408" s="10"/>
      <c r="Q3408" s="10"/>
      <c r="R3408" s="10"/>
      <c r="S3408" s="10"/>
      <c r="T3408" s="10"/>
      <c r="U3408" s="10"/>
      <c r="V3408" s="10"/>
      <c r="W3408" s="10"/>
      <c r="X3408" s="10"/>
      <c r="Y3408" s="10"/>
      <c r="Z3408" s="10"/>
      <c r="AA3408" s="10"/>
      <c r="AB3408" s="10"/>
      <c r="AC3408" s="10"/>
      <c r="AD3408" s="10"/>
      <c r="AE3408" s="10"/>
      <c r="AF3408" s="10"/>
    </row>
    <row r="3409">
      <c r="A3409" s="7"/>
      <c r="B3409" s="26">
        <v>257.0</v>
      </c>
      <c r="C3409" s="27">
        <v>22.0</v>
      </c>
      <c r="D3409" s="8" t="s">
        <v>4452</v>
      </c>
      <c r="E3409" s="7">
        <v>0.0</v>
      </c>
      <c r="F3409" s="7"/>
      <c r="G3409" s="7" t="s">
        <v>313</v>
      </c>
      <c r="H3409" s="7" t="s">
        <v>312</v>
      </c>
      <c r="I3409" s="10"/>
      <c r="J3409" s="11"/>
      <c r="K3409" s="12"/>
      <c r="L3409" s="12"/>
      <c r="M3409" s="10"/>
      <c r="N3409" s="10"/>
      <c r="O3409" s="10"/>
      <c r="P3409" s="10"/>
      <c r="Q3409" s="10"/>
      <c r="R3409" s="10"/>
      <c r="S3409" s="10"/>
      <c r="T3409" s="10"/>
      <c r="U3409" s="10"/>
      <c r="V3409" s="10"/>
      <c r="W3409" s="10"/>
      <c r="X3409" s="10"/>
      <c r="Y3409" s="10"/>
      <c r="Z3409" s="10"/>
      <c r="AA3409" s="10"/>
      <c r="AB3409" s="10"/>
      <c r="AC3409" s="10"/>
      <c r="AD3409" s="10"/>
      <c r="AE3409" s="10"/>
      <c r="AF3409" s="10"/>
    </row>
    <row r="3410">
      <c r="A3410" s="7"/>
      <c r="B3410" s="26">
        <v>257.0</v>
      </c>
      <c r="C3410" s="27">
        <v>23.0</v>
      </c>
      <c r="D3410" s="8" t="s">
        <v>4453</v>
      </c>
      <c r="E3410" s="7">
        <v>3.0</v>
      </c>
      <c r="F3410" s="7" t="s">
        <v>320</v>
      </c>
      <c r="G3410" s="7" t="s">
        <v>313</v>
      </c>
      <c r="H3410" s="7" t="s">
        <v>312</v>
      </c>
      <c r="I3410" s="10"/>
      <c r="J3410" s="9" t="s">
        <v>4454</v>
      </c>
      <c r="K3410" s="12"/>
      <c r="L3410" s="12"/>
      <c r="M3410" s="10"/>
      <c r="N3410" s="10"/>
      <c r="O3410" s="10"/>
      <c r="P3410" s="10"/>
      <c r="Q3410" s="10"/>
      <c r="R3410" s="10"/>
      <c r="S3410" s="10"/>
      <c r="T3410" s="10"/>
      <c r="U3410" s="10"/>
      <c r="V3410" s="10"/>
      <c r="W3410" s="10"/>
      <c r="X3410" s="10"/>
      <c r="Y3410" s="10"/>
      <c r="Z3410" s="10"/>
      <c r="AA3410" s="10"/>
      <c r="AB3410" s="10"/>
      <c r="AC3410" s="10"/>
      <c r="AD3410" s="10"/>
      <c r="AE3410" s="10"/>
      <c r="AF3410" s="10"/>
    </row>
    <row r="3411">
      <c r="A3411" s="7"/>
      <c r="B3411" s="26">
        <v>257.0</v>
      </c>
      <c r="C3411" s="27">
        <v>24.0</v>
      </c>
      <c r="D3411" s="8" t="s">
        <v>4455</v>
      </c>
      <c r="E3411" s="7">
        <v>3.0</v>
      </c>
      <c r="F3411" s="7" t="s">
        <v>320</v>
      </c>
      <c r="G3411" s="7" t="s">
        <v>313</v>
      </c>
      <c r="H3411" s="7" t="s">
        <v>312</v>
      </c>
      <c r="I3411" s="10"/>
      <c r="J3411" s="9" t="s">
        <v>4456</v>
      </c>
      <c r="K3411" s="12"/>
      <c r="L3411" s="12"/>
      <c r="M3411" s="10"/>
      <c r="N3411" s="10"/>
      <c r="O3411" s="10"/>
      <c r="P3411" s="10"/>
      <c r="Q3411" s="10"/>
      <c r="R3411" s="10"/>
      <c r="S3411" s="10"/>
      <c r="T3411" s="10"/>
      <c r="U3411" s="10"/>
      <c r="V3411" s="10"/>
      <c r="W3411" s="10"/>
      <c r="X3411" s="10"/>
      <c r="Y3411" s="10"/>
      <c r="Z3411" s="10"/>
      <c r="AA3411" s="10"/>
      <c r="AB3411" s="10"/>
      <c r="AC3411" s="10"/>
      <c r="AD3411" s="10"/>
      <c r="AE3411" s="10"/>
      <c r="AF3411" s="10"/>
    </row>
    <row r="3412">
      <c r="A3412" s="7"/>
      <c r="B3412" s="26">
        <v>257.0</v>
      </c>
      <c r="C3412" s="27">
        <v>25.0</v>
      </c>
      <c r="D3412" s="8" t="s">
        <v>4457</v>
      </c>
      <c r="E3412" s="7">
        <v>0.0</v>
      </c>
      <c r="F3412" s="7"/>
      <c r="G3412" s="7" t="s">
        <v>313</v>
      </c>
      <c r="H3412" s="7" t="s">
        <v>312</v>
      </c>
      <c r="I3412" s="10"/>
      <c r="J3412" s="11"/>
      <c r="K3412" s="12"/>
      <c r="L3412" s="12"/>
      <c r="M3412" s="10"/>
      <c r="N3412" s="10"/>
      <c r="O3412" s="10"/>
      <c r="P3412" s="10"/>
      <c r="Q3412" s="10"/>
      <c r="R3412" s="10"/>
      <c r="S3412" s="10"/>
      <c r="T3412" s="10"/>
      <c r="U3412" s="10"/>
      <c r="V3412" s="10"/>
      <c r="W3412" s="10"/>
      <c r="X3412" s="10"/>
      <c r="Y3412" s="10"/>
      <c r="Z3412" s="10"/>
      <c r="AA3412" s="10"/>
      <c r="AB3412" s="10"/>
      <c r="AC3412" s="10"/>
      <c r="AD3412" s="10"/>
      <c r="AE3412" s="10"/>
      <c r="AF3412" s="10"/>
    </row>
    <row r="3413">
      <c r="A3413" s="7"/>
      <c r="B3413" s="26">
        <v>257.0</v>
      </c>
      <c r="C3413" s="27">
        <v>26.0</v>
      </c>
      <c r="D3413" s="8" t="s">
        <v>4458</v>
      </c>
      <c r="E3413" s="7">
        <v>0.0</v>
      </c>
      <c r="F3413" s="7"/>
      <c r="G3413" s="7" t="s">
        <v>313</v>
      </c>
      <c r="H3413" s="7" t="s">
        <v>312</v>
      </c>
      <c r="I3413" s="10"/>
      <c r="J3413" s="11"/>
      <c r="K3413" s="12"/>
      <c r="L3413" s="12"/>
      <c r="M3413" s="10"/>
      <c r="N3413" s="10"/>
      <c r="O3413" s="10"/>
      <c r="P3413" s="10"/>
      <c r="Q3413" s="10"/>
      <c r="R3413" s="10"/>
      <c r="S3413" s="10"/>
      <c r="T3413" s="10"/>
      <c r="U3413" s="10"/>
      <c r="V3413" s="10"/>
      <c r="W3413" s="10"/>
      <c r="X3413" s="10"/>
      <c r="Y3413" s="10"/>
      <c r="Z3413" s="10"/>
      <c r="AA3413" s="10"/>
      <c r="AB3413" s="10"/>
      <c r="AC3413" s="10"/>
      <c r="AD3413" s="10"/>
      <c r="AE3413" s="10"/>
      <c r="AF3413" s="10"/>
    </row>
    <row r="3414">
      <c r="A3414" s="7"/>
      <c r="B3414" s="26">
        <v>257.0</v>
      </c>
      <c r="C3414" s="27">
        <v>27.0</v>
      </c>
      <c r="D3414" s="8" t="s">
        <v>4459</v>
      </c>
      <c r="E3414" s="7">
        <v>3.0</v>
      </c>
      <c r="F3414" s="7"/>
      <c r="G3414" s="7" t="s">
        <v>313</v>
      </c>
      <c r="H3414" s="7" t="s">
        <v>312</v>
      </c>
      <c r="I3414" s="7" t="s">
        <v>4428</v>
      </c>
      <c r="J3414" s="16" t="s">
        <v>4429</v>
      </c>
      <c r="K3414" s="12"/>
      <c r="L3414" s="12"/>
      <c r="M3414" s="10"/>
      <c r="N3414" s="10"/>
      <c r="O3414" s="10"/>
      <c r="P3414" s="10"/>
      <c r="Q3414" s="10"/>
      <c r="R3414" s="10"/>
      <c r="S3414" s="10"/>
      <c r="T3414" s="10"/>
      <c r="U3414" s="10"/>
      <c r="V3414" s="10"/>
      <c r="W3414" s="10"/>
      <c r="X3414" s="10"/>
      <c r="Y3414" s="10"/>
      <c r="Z3414" s="10"/>
      <c r="AA3414" s="10"/>
      <c r="AB3414" s="10"/>
      <c r="AC3414" s="10"/>
      <c r="AD3414" s="10"/>
      <c r="AE3414" s="10"/>
      <c r="AF3414" s="10"/>
    </row>
    <row r="3415">
      <c r="A3415" s="7"/>
      <c r="B3415" s="26">
        <v>257.0</v>
      </c>
      <c r="C3415" s="27">
        <v>28.0</v>
      </c>
      <c r="D3415" s="8" t="s">
        <v>4460</v>
      </c>
      <c r="E3415" s="7">
        <v>3.0</v>
      </c>
      <c r="F3415" s="7"/>
      <c r="G3415" s="7" t="s">
        <v>313</v>
      </c>
      <c r="H3415" s="7" t="s">
        <v>312</v>
      </c>
      <c r="I3415" s="7" t="s">
        <v>4428</v>
      </c>
      <c r="J3415" s="16" t="s">
        <v>4429</v>
      </c>
      <c r="K3415" s="12"/>
      <c r="L3415" s="12"/>
      <c r="M3415" s="10"/>
      <c r="N3415" s="10"/>
      <c r="O3415" s="10"/>
      <c r="P3415" s="10"/>
      <c r="Q3415" s="10"/>
      <c r="R3415" s="10"/>
      <c r="S3415" s="10"/>
      <c r="T3415" s="10"/>
      <c r="U3415" s="10"/>
      <c r="V3415" s="10"/>
      <c r="W3415" s="10"/>
      <c r="X3415" s="10"/>
      <c r="Y3415" s="10"/>
      <c r="Z3415" s="10"/>
      <c r="AA3415" s="10"/>
      <c r="AB3415" s="10"/>
      <c r="AC3415" s="10"/>
      <c r="AD3415" s="10"/>
      <c r="AE3415" s="10"/>
      <c r="AF3415" s="10"/>
    </row>
    <row r="3416">
      <c r="A3416" s="7"/>
      <c r="B3416" s="26">
        <v>257.0</v>
      </c>
      <c r="C3416" s="27">
        <v>29.0</v>
      </c>
      <c r="D3416" s="8" t="s">
        <v>4461</v>
      </c>
      <c r="E3416" s="7">
        <v>0.0</v>
      </c>
      <c r="F3416" s="7"/>
      <c r="G3416" s="7" t="s">
        <v>313</v>
      </c>
      <c r="H3416" s="7" t="s">
        <v>312</v>
      </c>
      <c r="I3416" s="10"/>
      <c r="J3416" s="11"/>
      <c r="K3416" s="12"/>
      <c r="L3416" s="12"/>
      <c r="M3416" s="10"/>
      <c r="N3416" s="10"/>
      <c r="O3416" s="10"/>
      <c r="P3416" s="10"/>
      <c r="Q3416" s="10"/>
      <c r="R3416" s="10"/>
      <c r="S3416" s="10"/>
      <c r="T3416" s="10"/>
      <c r="U3416" s="10"/>
      <c r="V3416" s="10"/>
      <c r="W3416" s="10"/>
      <c r="X3416" s="10"/>
      <c r="Y3416" s="10"/>
      <c r="Z3416" s="10"/>
      <c r="AA3416" s="10"/>
      <c r="AB3416" s="10"/>
      <c r="AC3416" s="10"/>
      <c r="AD3416" s="10"/>
      <c r="AE3416" s="10"/>
      <c r="AF3416" s="10"/>
    </row>
    <row r="3417">
      <c r="A3417" s="7"/>
      <c r="B3417" s="26">
        <v>257.0</v>
      </c>
      <c r="C3417" s="27">
        <v>30.0</v>
      </c>
      <c r="D3417" s="8" t="s">
        <v>4462</v>
      </c>
      <c r="E3417" s="7">
        <v>0.0</v>
      </c>
      <c r="F3417" s="7"/>
      <c r="G3417" s="7" t="s">
        <v>313</v>
      </c>
      <c r="H3417" s="7" t="s">
        <v>312</v>
      </c>
      <c r="I3417" s="10"/>
      <c r="J3417" s="11"/>
      <c r="K3417" s="12"/>
      <c r="L3417" s="12"/>
      <c r="M3417" s="10"/>
      <c r="N3417" s="10"/>
      <c r="O3417" s="10"/>
      <c r="P3417" s="10"/>
      <c r="Q3417" s="10"/>
      <c r="R3417" s="10"/>
      <c r="S3417" s="10"/>
      <c r="T3417" s="10"/>
      <c r="U3417" s="10"/>
      <c r="V3417" s="10"/>
      <c r="W3417" s="10"/>
      <c r="X3417" s="10"/>
      <c r="Y3417" s="10"/>
      <c r="Z3417" s="10"/>
      <c r="AA3417" s="10"/>
      <c r="AB3417" s="10"/>
      <c r="AC3417" s="10"/>
      <c r="AD3417" s="10"/>
      <c r="AE3417" s="10"/>
      <c r="AF3417" s="10"/>
    </row>
    <row r="3418">
      <c r="A3418" s="7"/>
      <c r="B3418" s="26">
        <v>257.0</v>
      </c>
      <c r="C3418" s="27">
        <v>31.0</v>
      </c>
      <c r="D3418" s="8" t="s">
        <v>4463</v>
      </c>
      <c r="E3418" s="7">
        <v>3.0</v>
      </c>
      <c r="F3418" s="7" t="s">
        <v>320</v>
      </c>
      <c r="G3418" s="7" t="s">
        <v>313</v>
      </c>
      <c r="H3418" s="7" t="s">
        <v>312</v>
      </c>
      <c r="I3418" s="10"/>
      <c r="J3418" s="9" t="s">
        <v>4464</v>
      </c>
      <c r="K3418" s="12"/>
      <c r="L3418" s="12"/>
      <c r="M3418" s="10"/>
      <c r="N3418" s="10"/>
      <c r="O3418" s="10"/>
      <c r="P3418" s="10"/>
      <c r="Q3418" s="10"/>
      <c r="R3418" s="10"/>
      <c r="S3418" s="10"/>
      <c r="T3418" s="10"/>
      <c r="U3418" s="10"/>
      <c r="V3418" s="10"/>
      <c r="W3418" s="10"/>
      <c r="X3418" s="10"/>
      <c r="Y3418" s="10"/>
      <c r="Z3418" s="10"/>
      <c r="AA3418" s="10"/>
      <c r="AB3418" s="10"/>
      <c r="AC3418" s="10"/>
      <c r="AD3418" s="10"/>
      <c r="AE3418" s="10"/>
      <c r="AF3418" s="10"/>
    </row>
    <row r="3419">
      <c r="A3419" s="7"/>
      <c r="B3419" s="26">
        <v>257.0</v>
      </c>
      <c r="C3419" s="27">
        <v>32.0</v>
      </c>
      <c r="D3419" s="8" t="s">
        <v>4465</v>
      </c>
      <c r="E3419" s="7">
        <v>3.0</v>
      </c>
      <c r="F3419" s="7"/>
      <c r="G3419" s="7" t="s">
        <v>313</v>
      </c>
      <c r="H3419" s="7" t="s">
        <v>312</v>
      </c>
      <c r="I3419" s="7" t="s">
        <v>4428</v>
      </c>
      <c r="J3419" s="16" t="s">
        <v>4431</v>
      </c>
      <c r="K3419" s="12"/>
      <c r="L3419" s="12"/>
      <c r="M3419" s="10"/>
      <c r="N3419" s="10"/>
      <c r="O3419" s="10"/>
      <c r="P3419" s="10"/>
      <c r="Q3419" s="10"/>
      <c r="R3419" s="10"/>
      <c r="S3419" s="10"/>
      <c r="T3419" s="10"/>
      <c r="U3419" s="10"/>
      <c r="V3419" s="10"/>
      <c r="W3419" s="10"/>
      <c r="X3419" s="10"/>
      <c r="Y3419" s="10"/>
      <c r="Z3419" s="10"/>
      <c r="AA3419" s="10"/>
      <c r="AB3419" s="10"/>
      <c r="AC3419" s="10"/>
      <c r="AD3419" s="10"/>
      <c r="AE3419" s="10"/>
      <c r="AF3419" s="10"/>
    </row>
    <row r="3420">
      <c r="A3420" s="7"/>
      <c r="B3420" s="26">
        <v>257.0</v>
      </c>
      <c r="C3420" s="27">
        <v>33.0</v>
      </c>
      <c r="D3420" s="8" t="s">
        <v>4466</v>
      </c>
      <c r="E3420" s="7">
        <v>0.0</v>
      </c>
      <c r="F3420" s="7"/>
      <c r="G3420" s="7" t="s">
        <v>313</v>
      </c>
      <c r="H3420" s="7" t="s">
        <v>312</v>
      </c>
      <c r="I3420" s="10"/>
      <c r="J3420" s="11"/>
      <c r="K3420" s="12"/>
      <c r="L3420" s="12"/>
      <c r="M3420" s="10"/>
      <c r="N3420" s="10"/>
      <c r="O3420" s="10"/>
      <c r="P3420" s="10"/>
      <c r="Q3420" s="10"/>
      <c r="R3420" s="10"/>
      <c r="S3420" s="10"/>
      <c r="T3420" s="10"/>
      <c r="U3420" s="10"/>
      <c r="V3420" s="10"/>
      <c r="W3420" s="10"/>
      <c r="X3420" s="10"/>
      <c r="Y3420" s="10"/>
      <c r="Z3420" s="10"/>
      <c r="AA3420" s="10"/>
      <c r="AB3420" s="10"/>
      <c r="AC3420" s="10"/>
      <c r="AD3420" s="10"/>
      <c r="AE3420" s="10"/>
      <c r="AF3420" s="10"/>
    </row>
    <row r="3421">
      <c r="A3421" s="7"/>
      <c r="B3421" s="26">
        <v>257.0</v>
      </c>
      <c r="C3421" s="27">
        <v>34.0</v>
      </c>
      <c r="D3421" s="8" t="s">
        <v>4467</v>
      </c>
      <c r="E3421" s="7">
        <v>0.0</v>
      </c>
      <c r="F3421" s="7"/>
      <c r="G3421" s="7" t="s">
        <v>313</v>
      </c>
      <c r="H3421" s="7" t="s">
        <v>312</v>
      </c>
      <c r="I3421" s="10"/>
      <c r="J3421" s="11"/>
      <c r="K3421" s="12"/>
      <c r="L3421" s="12"/>
      <c r="M3421" s="10"/>
      <c r="N3421" s="10"/>
      <c r="O3421" s="10"/>
      <c r="P3421" s="10"/>
      <c r="Q3421" s="10"/>
      <c r="R3421" s="10"/>
      <c r="S3421" s="10"/>
      <c r="T3421" s="10"/>
      <c r="U3421" s="10"/>
      <c r="V3421" s="10"/>
      <c r="W3421" s="10"/>
      <c r="X3421" s="10"/>
      <c r="Y3421" s="10"/>
      <c r="Z3421" s="10"/>
      <c r="AA3421" s="10"/>
      <c r="AB3421" s="10"/>
      <c r="AC3421" s="10"/>
      <c r="AD3421" s="10"/>
      <c r="AE3421" s="10"/>
      <c r="AF3421" s="10"/>
    </row>
    <row r="3422">
      <c r="A3422" s="7"/>
      <c r="B3422" s="26">
        <v>257.0</v>
      </c>
      <c r="C3422" s="27">
        <v>35.0</v>
      </c>
      <c r="D3422" s="8" t="s">
        <v>4468</v>
      </c>
      <c r="E3422" s="7">
        <v>3.0</v>
      </c>
      <c r="F3422" s="7"/>
      <c r="G3422" s="7" t="s">
        <v>313</v>
      </c>
      <c r="H3422" s="7" t="s">
        <v>312</v>
      </c>
      <c r="I3422" s="7" t="s">
        <v>4428</v>
      </c>
      <c r="J3422" s="16" t="s">
        <v>4431</v>
      </c>
      <c r="K3422" s="12"/>
      <c r="L3422" s="12"/>
      <c r="M3422" s="10"/>
      <c r="N3422" s="10"/>
      <c r="O3422" s="10"/>
      <c r="P3422" s="10"/>
      <c r="Q3422" s="10"/>
      <c r="R3422" s="10"/>
      <c r="S3422" s="10"/>
      <c r="T3422" s="10"/>
      <c r="U3422" s="10"/>
      <c r="V3422" s="10"/>
      <c r="W3422" s="10"/>
      <c r="X3422" s="10"/>
      <c r="Y3422" s="10"/>
      <c r="Z3422" s="10"/>
      <c r="AA3422" s="10"/>
      <c r="AB3422" s="10"/>
      <c r="AC3422" s="10"/>
      <c r="AD3422" s="10"/>
      <c r="AE3422" s="10"/>
      <c r="AF3422" s="10"/>
    </row>
    <row r="3423">
      <c r="A3423" s="7"/>
      <c r="B3423" s="26">
        <v>257.0</v>
      </c>
      <c r="C3423" s="27">
        <v>36.0</v>
      </c>
      <c r="D3423" s="8" t="s">
        <v>4469</v>
      </c>
      <c r="E3423" s="7">
        <v>3.0</v>
      </c>
      <c r="F3423" s="7"/>
      <c r="G3423" s="7" t="s">
        <v>313</v>
      </c>
      <c r="H3423" s="7" t="s">
        <v>312</v>
      </c>
      <c r="I3423" s="7" t="s">
        <v>4428</v>
      </c>
      <c r="J3423" s="16" t="s">
        <v>4431</v>
      </c>
      <c r="K3423" s="12"/>
      <c r="L3423" s="12"/>
      <c r="M3423" s="10"/>
      <c r="N3423" s="10"/>
      <c r="O3423" s="10"/>
      <c r="P3423" s="10"/>
      <c r="Q3423" s="10"/>
      <c r="R3423" s="10"/>
      <c r="S3423" s="10"/>
      <c r="T3423" s="10"/>
      <c r="U3423" s="10"/>
      <c r="V3423" s="10"/>
      <c r="W3423" s="10"/>
      <c r="X3423" s="10"/>
      <c r="Y3423" s="10"/>
      <c r="Z3423" s="10"/>
      <c r="AA3423" s="10"/>
      <c r="AB3423" s="10"/>
      <c r="AC3423" s="10"/>
      <c r="AD3423" s="10"/>
      <c r="AE3423" s="10"/>
      <c r="AF3423" s="10"/>
    </row>
    <row r="3424">
      <c r="A3424" s="7"/>
      <c r="B3424" s="26">
        <v>257.0</v>
      </c>
      <c r="C3424" s="27">
        <v>37.0</v>
      </c>
      <c r="D3424" s="8" t="s">
        <v>4470</v>
      </c>
      <c r="E3424" s="7">
        <v>0.0</v>
      </c>
      <c r="F3424" s="7"/>
      <c r="G3424" s="7" t="s">
        <v>313</v>
      </c>
      <c r="H3424" s="7" t="s">
        <v>312</v>
      </c>
      <c r="I3424" s="10"/>
      <c r="J3424" s="11"/>
      <c r="K3424" s="12"/>
      <c r="L3424" s="12"/>
      <c r="M3424" s="10"/>
      <c r="N3424" s="10"/>
      <c r="O3424" s="10"/>
      <c r="P3424" s="10"/>
      <c r="Q3424" s="10"/>
      <c r="R3424" s="10"/>
      <c r="S3424" s="10"/>
      <c r="T3424" s="10"/>
      <c r="U3424" s="10"/>
      <c r="V3424" s="10"/>
      <c r="W3424" s="10"/>
      <c r="X3424" s="10"/>
      <c r="Y3424" s="10"/>
      <c r="Z3424" s="10"/>
      <c r="AA3424" s="10"/>
      <c r="AB3424" s="10"/>
      <c r="AC3424" s="10"/>
      <c r="AD3424" s="10"/>
      <c r="AE3424" s="10"/>
      <c r="AF3424" s="10"/>
    </row>
    <row r="3425">
      <c r="A3425" s="7"/>
      <c r="B3425" s="26">
        <v>257.0</v>
      </c>
      <c r="C3425" s="27">
        <v>38.0</v>
      </c>
      <c r="D3425" s="8" t="s">
        <v>4471</v>
      </c>
      <c r="E3425" s="7">
        <v>0.0</v>
      </c>
      <c r="F3425" s="7"/>
      <c r="G3425" s="7" t="s">
        <v>313</v>
      </c>
      <c r="H3425" s="7" t="s">
        <v>312</v>
      </c>
      <c r="I3425" s="10"/>
      <c r="J3425" s="11"/>
      <c r="K3425" s="12"/>
      <c r="L3425" s="12"/>
      <c r="M3425" s="10"/>
      <c r="N3425" s="10"/>
      <c r="O3425" s="10"/>
      <c r="P3425" s="10"/>
      <c r="Q3425" s="10"/>
      <c r="R3425" s="10"/>
      <c r="S3425" s="10"/>
      <c r="T3425" s="10"/>
      <c r="U3425" s="10"/>
      <c r="V3425" s="10"/>
      <c r="W3425" s="10"/>
      <c r="X3425" s="10"/>
      <c r="Y3425" s="10"/>
      <c r="Z3425" s="10"/>
      <c r="AA3425" s="10"/>
      <c r="AB3425" s="10"/>
      <c r="AC3425" s="10"/>
      <c r="AD3425" s="10"/>
      <c r="AE3425" s="10"/>
      <c r="AF3425" s="10"/>
    </row>
    <row r="3426">
      <c r="A3426" s="7"/>
      <c r="B3426" s="26">
        <v>257.0</v>
      </c>
      <c r="C3426" s="27">
        <v>39.0</v>
      </c>
      <c r="D3426" s="8" t="s">
        <v>4472</v>
      </c>
      <c r="E3426" s="7">
        <v>0.0</v>
      </c>
      <c r="F3426" s="7"/>
      <c r="G3426" s="7" t="s">
        <v>313</v>
      </c>
      <c r="H3426" s="7" t="s">
        <v>312</v>
      </c>
      <c r="I3426" s="10"/>
      <c r="J3426" s="11"/>
      <c r="K3426" s="12"/>
      <c r="L3426" s="12"/>
      <c r="M3426" s="10"/>
      <c r="N3426" s="10"/>
      <c r="O3426" s="10"/>
      <c r="P3426" s="10"/>
      <c r="Q3426" s="10"/>
      <c r="R3426" s="10"/>
      <c r="S3426" s="10"/>
      <c r="T3426" s="10"/>
      <c r="U3426" s="10"/>
      <c r="V3426" s="10"/>
      <c r="W3426" s="10"/>
      <c r="X3426" s="10"/>
      <c r="Y3426" s="10"/>
      <c r="Z3426" s="10"/>
      <c r="AA3426" s="10"/>
      <c r="AB3426" s="10"/>
      <c r="AC3426" s="10"/>
      <c r="AD3426" s="10"/>
      <c r="AE3426" s="10"/>
      <c r="AF3426" s="10"/>
    </row>
    <row r="3427">
      <c r="A3427" s="7"/>
      <c r="B3427" s="26">
        <v>257.0</v>
      </c>
      <c r="C3427" s="27">
        <v>40.0</v>
      </c>
      <c r="D3427" s="8" t="s">
        <v>4473</v>
      </c>
      <c r="E3427" s="7">
        <v>3.0</v>
      </c>
      <c r="F3427" s="7" t="s">
        <v>320</v>
      </c>
      <c r="G3427" s="7" t="s">
        <v>313</v>
      </c>
      <c r="H3427" s="7" t="s">
        <v>312</v>
      </c>
      <c r="I3427" s="10"/>
      <c r="J3427" s="9" t="s">
        <v>4474</v>
      </c>
      <c r="K3427" s="12"/>
      <c r="L3427" s="12"/>
      <c r="M3427" s="10"/>
      <c r="N3427" s="10"/>
      <c r="O3427" s="10"/>
      <c r="P3427" s="10"/>
      <c r="Q3427" s="10"/>
      <c r="R3427" s="10"/>
      <c r="S3427" s="10"/>
      <c r="T3427" s="10"/>
      <c r="U3427" s="10"/>
      <c r="V3427" s="10"/>
      <c r="W3427" s="10"/>
      <c r="X3427" s="10"/>
      <c r="Y3427" s="10"/>
      <c r="Z3427" s="10"/>
      <c r="AA3427" s="10"/>
      <c r="AB3427" s="10"/>
      <c r="AC3427" s="10"/>
      <c r="AD3427" s="10"/>
      <c r="AE3427" s="10"/>
      <c r="AF3427" s="10"/>
    </row>
    <row r="3428">
      <c r="A3428" s="7"/>
      <c r="B3428" s="26">
        <v>257.0</v>
      </c>
      <c r="C3428" s="27">
        <v>41.0</v>
      </c>
      <c r="D3428" s="8" t="s">
        <v>4475</v>
      </c>
      <c r="E3428" s="7">
        <v>3.0</v>
      </c>
      <c r="F3428" s="7" t="s">
        <v>320</v>
      </c>
      <c r="G3428" s="7" t="s">
        <v>313</v>
      </c>
      <c r="H3428" s="7" t="s">
        <v>312</v>
      </c>
      <c r="I3428" s="10"/>
      <c r="J3428" s="9" t="s">
        <v>4476</v>
      </c>
      <c r="K3428" s="12"/>
      <c r="L3428" s="12"/>
      <c r="M3428" s="10"/>
      <c r="N3428" s="10"/>
      <c r="O3428" s="10"/>
      <c r="P3428" s="10"/>
      <c r="Q3428" s="10"/>
      <c r="R3428" s="10"/>
      <c r="S3428" s="10"/>
      <c r="T3428" s="10"/>
      <c r="U3428" s="10"/>
      <c r="V3428" s="10"/>
      <c r="W3428" s="10"/>
      <c r="X3428" s="10"/>
      <c r="Y3428" s="10"/>
      <c r="Z3428" s="10"/>
      <c r="AA3428" s="10"/>
      <c r="AB3428" s="10"/>
      <c r="AC3428" s="10"/>
      <c r="AD3428" s="10"/>
      <c r="AE3428" s="10"/>
      <c r="AF3428" s="10"/>
    </row>
    <row r="3429">
      <c r="A3429" s="7"/>
      <c r="B3429" s="26">
        <v>257.0</v>
      </c>
      <c r="C3429" s="27">
        <v>42.0</v>
      </c>
      <c r="D3429" s="8" t="s">
        <v>4477</v>
      </c>
      <c r="E3429" s="7">
        <v>0.0</v>
      </c>
      <c r="F3429" s="7"/>
      <c r="G3429" s="7" t="s">
        <v>313</v>
      </c>
      <c r="H3429" s="7" t="s">
        <v>312</v>
      </c>
      <c r="I3429" s="10"/>
      <c r="J3429" s="11"/>
      <c r="K3429" s="12"/>
      <c r="L3429" s="12"/>
      <c r="M3429" s="10"/>
      <c r="N3429" s="10"/>
      <c r="O3429" s="10"/>
      <c r="P3429" s="10"/>
      <c r="Q3429" s="10"/>
      <c r="R3429" s="10"/>
      <c r="S3429" s="10"/>
      <c r="T3429" s="10"/>
      <c r="U3429" s="10"/>
      <c r="V3429" s="10"/>
      <c r="W3429" s="10"/>
      <c r="X3429" s="10"/>
      <c r="Y3429" s="10"/>
      <c r="Z3429" s="10"/>
      <c r="AA3429" s="10"/>
      <c r="AB3429" s="10"/>
      <c r="AC3429" s="10"/>
      <c r="AD3429" s="10"/>
      <c r="AE3429" s="10"/>
      <c r="AF3429" s="10"/>
    </row>
    <row r="3430">
      <c r="A3430" s="7"/>
      <c r="B3430" s="26">
        <v>257.0</v>
      </c>
      <c r="C3430" s="27">
        <v>43.0</v>
      </c>
      <c r="D3430" s="8" t="s">
        <v>4478</v>
      </c>
      <c r="E3430" s="7">
        <v>0.0</v>
      </c>
      <c r="F3430" s="7"/>
      <c r="G3430" s="7" t="s">
        <v>313</v>
      </c>
      <c r="H3430" s="7" t="s">
        <v>312</v>
      </c>
      <c r="I3430" s="10"/>
      <c r="J3430" s="11"/>
      <c r="K3430" s="12"/>
      <c r="L3430" s="12"/>
      <c r="M3430" s="10"/>
      <c r="N3430" s="10"/>
      <c r="O3430" s="10"/>
      <c r="P3430" s="10"/>
      <c r="Q3430" s="10"/>
      <c r="R3430" s="10"/>
      <c r="S3430" s="10"/>
      <c r="T3430" s="10"/>
      <c r="U3430" s="10"/>
      <c r="V3430" s="10"/>
      <c r="W3430" s="10"/>
      <c r="X3430" s="10"/>
      <c r="Y3430" s="10"/>
      <c r="Z3430" s="10"/>
      <c r="AA3430" s="10"/>
      <c r="AB3430" s="10"/>
      <c r="AC3430" s="10"/>
      <c r="AD3430" s="10"/>
      <c r="AE3430" s="10"/>
      <c r="AF3430" s="10"/>
    </row>
    <row r="3431">
      <c r="A3431" s="7"/>
      <c r="B3431" s="26">
        <v>257.0</v>
      </c>
      <c r="C3431" s="27">
        <v>44.0</v>
      </c>
      <c r="D3431" s="8" t="s">
        <v>4479</v>
      </c>
      <c r="E3431" s="7">
        <v>3.0</v>
      </c>
      <c r="F3431" s="7" t="s">
        <v>320</v>
      </c>
      <c r="G3431" s="7" t="s">
        <v>313</v>
      </c>
      <c r="H3431" s="7" t="s">
        <v>312</v>
      </c>
      <c r="I3431" s="10"/>
      <c r="J3431" s="9" t="s">
        <v>4480</v>
      </c>
      <c r="K3431" s="12"/>
      <c r="L3431" s="12"/>
      <c r="M3431" s="10"/>
      <c r="N3431" s="10"/>
      <c r="O3431" s="10"/>
      <c r="P3431" s="10"/>
      <c r="Q3431" s="10"/>
      <c r="R3431" s="10"/>
      <c r="S3431" s="10"/>
      <c r="T3431" s="10"/>
      <c r="U3431" s="10"/>
      <c r="V3431" s="10"/>
      <c r="W3431" s="10"/>
      <c r="X3431" s="10"/>
      <c r="Y3431" s="10"/>
      <c r="Z3431" s="10"/>
      <c r="AA3431" s="10"/>
      <c r="AB3431" s="10"/>
      <c r="AC3431" s="10"/>
      <c r="AD3431" s="10"/>
      <c r="AE3431" s="10"/>
      <c r="AF3431" s="10"/>
    </row>
    <row r="3432">
      <c r="A3432" s="7"/>
      <c r="B3432" s="26">
        <v>257.0</v>
      </c>
      <c r="C3432" s="27">
        <v>45.0</v>
      </c>
      <c r="D3432" s="8" t="s">
        <v>4481</v>
      </c>
      <c r="E3432" s="7">
        <v>3.0</v>
      </c>
      <c r="F3432" s="7" t="s">
        <v>320</v>
      </c>
      <c r="G3432" s="7" t="s">
        <v>313</v>
      </c>
      <c r="H3432" s="7" t="s">
        <v>312</v>
      </c>
      <c r="I3432" s="10"/>
      <c r="J3432" s="9" t="s">
        <v>4482</v>
      </c>
      <c r="K3432" s="12"/>
      <c r="L3432" s="12"/>
      <c r="M3432" s="10"/>
      <c r="N3432" s="10"/>
      <c r="O3432" s="10"/>
      <c r="P3432" s="10"/>
      <c r="Q3432" s="10"/>
      <c r="R3432" s="10"/>
      <c r="S3432" s="10"/>
      <c r="T3432" s="10"/>
      <c r="U3432" s="10"/>
      <c r="V3432" s="10"/>
      <c r="W3432" s="10"/>
      <c r="X3432" s="10"/>
      <c r="Y3432" s="10"/>
      <c r="Z3432" s="10"/>
      <c r="AA3432" s="10"/>
      <c r="AB3432" s="10"/>
      <c r="AC3432" s="10"/>
      <c r="AD3432" s="10"/>
      <c r="AE3432" s="10"/>
      <c r="AF3432" s="10"/>
    </row>
    <row r="3433">
      <c r="A3433" s="7"/>
      <c r="B3433" s="26">
        <v>257.0</v>
      </c>
      <c r="C3433" s="27">
        <v>46.0</v>
      </c>
      <c r="D3433" s="8" t="s">
        <v>4483</v>
      </c>
      <c r="E3433" s="7">
        <v>3.0</v>
      </c>
      <c r="F3433" s="7"/>
      <c r="G3433" s="7" t="s">
        <v>313</v>
      </c>
      <c r="H3433" s="7" t="s">
        <v>312</v>
      </c>
      <c r="I3433" s="7" t="s">
        <v>4428</v>
      </c>
      <c r="J3433" s="16" t="s">
        <v>4431</v>
      </c>
      <c r="K3433" s="12"/>
      <c r="L3433" s="12"/>
      <c r="M3433" s="10"/>
      <c r="N3433" s="10"/>
      <c r="O3433" s="10"/>
      <c r="P3433" s="10"/>
      <c r="Q3433" s="10"/>
      <c r="R3433" s="10"/>
      <c r="S3433" s="10"/>
      <c r="T3433" s="10"/>
      <c r="U3433" s="10"/>
      <c r="V3433" s="10"/>
      <c r="W3433" s="10"/>
      <c r="X3433" s="10"/>
      <c r="Y3433" s="10"/>
      <c r="Z3433" s="10"/>
      <c r="AA3433" s="10"/>
      <c r="AB3433" s="10"/>
      <c r="AC3433" s="10"/>
      <c r="AD3433" s="10"/>
      <c r="AE3433" s="10"/>
      <c r="AF3433" s="10"/>
    </row>
    <row r="3434">
      <c r="A3434" s="7"/>
      <c r="B3434" s="26">
        <v>257.0</v>
      </c>
      <c r="C3434" s="27">
        <v>47.0</v>
      </c>
      <c r="D3434" s="8" t="s">
        <v>4484</v>
      </c>
      <c r="E3434" s="7">
        <v>3.0</v>
      </c>
      <c r="F3434" s="7"/>
      <c r="G3434" s="7" t="s">
        <v>313</v>
      </c>
      <c r="H3434" s="7" t="s">
        <v>312</v>
      </c>
      <c r="I3434" s="7" t="s">
        <v>4428</v>
      </c>
      <c r="J3434" s="16" t="s">
        <v>4431</v>
      </c>
      <c r="K3434" s="12"/>
      <c r="L3434" s="12"/>
      <c r="M3434" s="10"/>
      <c r="N3434" s="10"/>
      <c r="O3434" s="10"/>
      <c r="P3434" s="10"/>
      <c r="Q3434" s="10"/>
      <c r="R3434" s="10"/>
      <c r="S3434" s="10"/>
      <c r="T3434" s="10"/>
      <c r="U3434" s="10"/>
      <c r="V3434" s="10"/>
      <c r="W3434" s="10"/>
      <c r="X3434" s="10"/>
      <c r="Y3434" s="10"/>
      <c r="Z3434" s="10"/>
      <c r="AA3434" s="10"/>
      <c r="AB3434" s="10"/>
      <c r="AC3434" s="10"/>
      <c r="AD3434" s="10"/>
      <c r="AE3434" s="10"/>
      <c r="AF3434" s="10"/>
    </row>
    <row r="3435">
      <c r="A3435" s="7"/>
      <c r="B3435" s="26">
        <v>257.0</v>
      </c>
      <c r="C3435" s="27">
        <v>48.0</v>
      </c>
      <c r="D3435" s="8" t="s">
        <v>4485</v>
      </c>
      <c r="E3435" s="7">
        <v>0.0</v>
      </c>
      <c r="F3435" s="7"/>
      <c r="G3435" s="7" t="s">
        <v>313</v>
      </c>
      <c r="H3435" s="7" t="s">
        <v>312</v>
      </c>
      <c r="I3435" s="10"/>
      <c r="J3435" s="11"/>
      <c r="K3435" s="12"/>
      <c r="L3435" s="12"/>
      <c r="M3435" s="10"/>
      <c r="N3435" s="10"/>
      <c r="O3435" s="10"/>
      <c r="P3435" s="10"/>
      <c r="Q3435" s="10"/>
      <c r="R3435" s="10"/>
      <c r="S3435" s="10"/>
      <c r="T3435" s="10"/>
      <c r="U3435" s="10"/>
      <c r="V3435" s="10"/>
      <c r="W3435" s="10"/>
      <c r="X3435" s="10"/>
      <c r="Y3435" s="10"/>
      <c r="Z3435" s="10"/>
      <c r="AA3435" s="10"/>
      <c r="AB3435" s="10"/>
      <c r="AC3435" s="10"/>
      <c r="AD3435" s="10"/>
      <c r="AE3435" s="10"/>
      <c r="AF3435" s="10"/>
    </row>
    <row r="3436">
      <c r="A3436" s="7"/>
      <c r="B3436" s="26">
        <v>257.0</v>
      </c>
      <c r="C3436" s="27">
        <v>49.0</v>
      </c>
      <c r="D3436" s="8" t="s">
        <v>4486</v>
      </c>
      <c r="E3436" s="7">
        <v>0.0</v>
      </c>
      <c r="F3436" s="7"/>
      <c r="G3436" s="7" t="s">
        <v>313</v>
      </c>
      <c r="H3436" s="7" t="s">
        <v>312</v>
      </c>
      <c r="I3436" s="10"/>
      <c r="J3436" s="11"/>
      <c r="K3436" s="12"/>
      <c r="L3436" s="12"/>
      <c r="M3436" s="10"/>
      <c r="N3436" s="10"/>
      <c r="O3436" s="10"/>
      <c r="P3436" s="10"/>
      <c r="Q3436" s="10"/>
      <c r="R3436" s="10"/>
      <c r="S3436" s="10"/>
      <c r="T3436" s="10"/>
      <c r="U3436" s="10"/>
      <c r="V3436" s="10"/>
      <c r="W3436" s="10"/>
      <c r="X3436" s="10"/>
      <c r="Y3436" s="10"/>
      <c r="Z3436" s="10"/>
      <c r="AA3436" s="10"/>
      <c r="AB3436" s="10"/>
      <c r="AC3436" s="10"/>
      <c r="AD3436" s="10"/>
      <c r="AE3436" s="10"/>
      <c r="AF3436" s="10"/>
    </row>
    <row r="3437">
      <c r="A3437" s="7"/>
      <c r="B3437" s="26">
        <v>257.0</v>
      </c>
      <c r="C3437" s="27">
        <v>50.0</v>
      </c>
      <c r="D3437" s="8" t="s">
        <v>4487</v>
      </c>
      <c r="E3437" s="7">
        <v>3.0</v>
      </c>
      <c r="F3437" s="7"/>
      <c r="G3437" s="7" t="s">
        <v>313</v>
      </c>
      <c r="H3437" s="7" t="s">
        <v>312</v>
      </c>
      <c r="I3437" s="7" t="s">
        <v>4428</v>
      </c>
      <c r="J3437" s="16" t="s">
        <v>4431</v>
      </c>
      <c r="K3437" s="12"/>
      <c r="L3437" s="12"/>
      <c r="M3437" s="10"/>
      <c r="N3437" s="10"/>
      <c r="O3437" s="10"/>
      <c r="P3437" s="10"/>
      <c r="Q3437" s="10"/>
      <c r="R3437" s="10"/>
      <c r="S3437" s="10"/>
      <c r="T3437" s="10"/>
      <c r="U3437" s="10"/>
      <c r="V3437" s="10"/>
      <c r="W3437" s="10"/>
      <c r="X3437" s="10"/>
      <c r="Y3437" s="10"/>
      <c r="Z3437" s="10"/>
      <c r="AA3437" s="10"/>
      <c r="AB3437" s="10"/>
      <c r="AC3437" s="10"/>
      <c r="AD3437" s="10"/>
      <c r="AE3437" s="10"/>
      <c r="AF3437" s="10"/>
    </row>
    <row r="3438">
      <c r="A3438" s="7"/>
      <c r="B3438" s="26">
        <v>257.0</v>
      </c>
      <c r="C3438" s="27">
        <v>51.0</v>
      </c>
      <c r="D3438" s="8" t="s">
        <v>4488</v>
      </c>
      <c r="E3438" s="7">
        <v>3.0</v>
      </c>
      <c r="F3438" s="7"/>
      <c r="G3438" s="7" t="s">
        <v>313</v>
      </c>
      <c r="H3438" s="7" t="s">
        <v>312</v>
      </c>
      <c r="I3438" s="7" t="s">
        <v>4428</v>
      </c>
      <c r="J3438" s="16" t="s">
        <v>4431</v>
      </c>
      <c r="K3438" s="12"/>
      <c r="L3438" s="12"/>
      <c r="M3438" s="10"/>
      <c r="N3438" s="10"/>
      <c r="O3438" s="10"/>
      <c r="P3438" s="10"/>
      <c r="Q3438" s="10"/>
      <c r="R3438" s="10"/>
      <c r="S3438" s="10"/>
      <c r="T3438" s="10"/>
      <c r="U3438" s="10"/>
      <c r="V3438" s="10"/>
      <c r="W3438" s="10"/>
      <c r="X3438" s="10"/>
      <c r="Y3438" s="10"/>
      <c r="Z3438" s="10"/>
      <c r="AA3438" s="10"/>
      <c r="AB3438" s="10"/>
      <c r="AC3438" s="10"/>
      <c r="AD3438" s="10"/>
      <c r="AE3438" s="10"/>
      <c r="AF3438" s="10"/>
    </row>
    <row r="3439">
      <c r="A3439" s="7"/>
      <c r="B3439" s="26">
        <v>257.0</v>
      </c>
      <c r="C3439" s="27">
        <v>52.0</v>
      </c>
      <c r="D3439" s="8" t="s">
        <v>4489</v>
      </c>
      <c r="E3439" s="7">
        <v>0.0</v>
      </c>
      <c r="F3439" s="7"/>
      <c r="G3439" s="7" t="s">
        <v>313</v>
      </c>
      <c r="H3439" s="7" t="s">
        <v>312</v>
      </c>
      <c r="I3439" s="10"/>
      <c r="J3439" s="11"/>
      <c r="K3439" s="12"/>
      <c r="L3439" s="12"/>
      <c r="M3439" s="10"/>
      <c r="N3439" s="10"/>
      <c r="O3439" s="10"/>
      <c r="P3439" s="10"/>
      <c r="Q3439" s="10"/>
      <c r="R3439" s="10"/>
      <c r="S3439" s="10"/>
      <c r="T3439" s="10"/>
      <c r="U3439" s="10"/>
      <c r="V3439" s="10"/>
      <c r="W3439" s="10"/>
      <c r="X3439" s="10"/>
      <c r="Y3439" s="10"/>
      <c r="Z3439" s="10"/>
      <c r="AA3439" s="10"/>
      <c r="AB3439" s="10"/>
      <c r="AC3439" s="10"/>
      <c r="AD3439" s="10"/>
      <c r="AE3439" s="10"/>
      <c r="AF3439" s="10"/>
    </row>
    <row r="3440">
      <c r="A3440" s="7"/>
      <c r="B3440" s="26">
        <v>257.0</v>
      </c>
      <c r="C3440" s="27">
        <v>53.0</v>
      </c>
      <c r="D3440" s="8" t="s">
        <v>4490</v>
      </c>
      <c r="E3440" s="7">
        <v>3.0</v>
      </c>
      <c r="F3440" s="7"/>
      <c r="G3440" s="7" t="s">
        <v>313</v>
      </c>
      <c r="H3440" s="7" t="s">
        <v>312</v>
      </c>
      <c r="I3440" s="10"/>
      <c r="J3440" s="11"/>
      <c r="K3440" s="12"/>
      <c r="L3440" s="12"/>
      <c r="M3440" s="10"/>
      <c r="N3440" s="10"/>
      <c r="O3440" s="10"/>
      <c r="P3440" s="10"/>
      <c r="Q3440" s="10"/>
      <c r="R3440" s="10"/>
      <c r="S3440" s="10"/>
      <c r="T3440" s="10"/>
      <c r="U3440" s="10"/>
      <c r="V3440" s="10"/>
      <c r="W3440" s="10"/>
      <c r="X3440" s="10"/>
      <c r="Y3440" s="10"/>
      <c r="Z3440" s="10"/>
      <c r="AA3440" s="10"/>
      <c r="AB3440" s="10"/>
      <c r="AC3440" s="10"/>
      <c r="AD3440" s="10"/>
      <c r="AE3440" s="10"/>
      <c r="AF3440" s="10"/>
    </row>
    <row r="3441">
      <c r="A3441" s="7"/>
      <c r="B3441" s="26">
        <v>257.0</v>
      </c>
      <c r="C3441" s="27">
        <v>54.0</v>
      </c>
      <c r="D3441" s="8" t="s">
        <v>4491</v>
      </c>
      <c r="E3441" s="7">
        <v>3.0</v>
      </c>
      <c r="F3441" s="7"/>
      <c r="G3441" s="7" t="s">
        <v>313</v>
      </c>
      <c r="H3441" s="7" t="s">
        <v>312</v>
      </c>
      <c r="I3441" s="10"/>
      <c r="J3441" s="11"/>
      <c r="K3441" s="12"/>
      <c r="L3441" s="12"/>
      <c r="M3441" s="10"/>
      <c r="N3441" s="10"/>
      <c r="O3441" s="10"/>
      <c r="P3441" s="10"/>
      <c r="Q3441" s="10"/>
      <c r="R3441" s="10"/>
      <c r="S3441" s="10"/>
      <c r="T3441" s="10"/>
      <c r="U3441" s="10"/>
      <c r="V3441" s="10"/>
      <c r="W3441" s="10"/>
      <c r="X3441" s="10"/>
      <c r="Y3441" s="10"/>
      <c r="Z3441" s="10"/>
      <c r="AA3441" s="10"/>
      <c r="AB3441" s="10"/>
      <c r="AC3441" s="10"/>
      <c r="AD3441" s="10"/>
      <c r="AE3441" s="10"/>
      <c r="AF3441" s="10"/>
    </row>
    <row r="3442">
      <c r="A3442" s="7"/>
      <c r="B3442" s="26">
        <v>257.0</v>
      </c>
      <c r="C3442" s="27">
        <v>55.0</v>
      </c>
      <c r="D3442" s="8" t="s">
        <v>4492</v>
      </c>
      <c r="E3442" s="7">
        <v>0.0</v>
      </c>
      <c r="F3442" s="7"/>
      <c r="G3442" s="7" t="s">
        <v>313</v>
      </c>
      <c r="H3442" s="7" t="s">
        <v>312</v>
      </c>
      <c r="I3442" s="10"/>
      <c r="J3442" s="11"/>
      <c r="K3442" s="12"/>
      <c r="L3442" s="12"/>
      <c r="M3442" s="10"/>
      <c r="N3442" s="10"/>
      <c r="O3442" s="10"/>
      <c r="P3442" s="10"/>
      <c r="Q3442" s="10"/>
      <c r="R3442" s="10"/>
      <c r="S3442" s="10"/>
      <c r="T3442" s="10"/>
      <c r="U3442" s="10"/>
      <c r="V3442" s="10"/>
      <c r="W3442" s="10"/>
      <c r="X3442" s="10"/>
      <c r="Y3442" s="10"/>
      <c r="Z3442" s="10"/>
      <c r="AA3442" s="10"/>
      <c r="AB3442" s="10"/>
      <c r="AC3442" s="10"/>
      <c r="AD3442" s="10"/>
      <c r="AE3442" s="10"/>
      <c r="AF3442" s="10"/>
    </row>
    <row r="3443">
      <c r="A3443" s="7"/>
      <c r="B3443" s="26">
        <v>257.0</v>
      </c>
      <c r="C3443" s="27">
        <v>56.0</v>
      </c>
      <c r="D3443" s="8" t="s">
        <v>4493</v>
      </c>
      <c r="E3443" s="7">
        <v>0.0</v>
      </c>
      <c r="F3443" s="7"/>
      <c r="G3443" s="7" t="s">
        <v>313</v>
      </c>
      <c r="H3443" s="7" t="s">
        <v>312</v>
      </c>
      <c r="I3443" s="10"/>
      <c r="J3443" s="11"/>
      <c r="K3443" s="12"/>
      <c r="L3443" s="12"/>
      <c r="M3443" s="10"/>
      <c r="N3443" s="10"/>
      <c r="O3443" s="10"/>
      <c r="P3443" s="10"/>
      <c r="Q3443" s="10"/>
      <c r="R3443" s="10"/>
      <c r="S3443" s="10"/>
      <c r="T3443" s="10"/>
      <c r="U3443" s="10"/>
      <c r="V3443" s="10"/>
      <c r="W3443" s="10"/>
      <c r="X3443" s="10"/>
      <c r="Y3443" s="10"/>
      <c r="Z3443" s="10"/>
      <c r="AA3443" s="10"/>
      <c r="AB3443" s="10"/>
      <c r="AC3443" s="10"/>
      <c r="AD3443" s="10"/>
      <c r="AE3443" s="10"/>
      <c r="AF3443" s="10"/>
    </row>
    <row r="3444">
      <c r="A3444" s="7"/>
      <c r="B3444" s="26">
        <v>257.0</v>
      </c>
      <c r="C3444" s="27">
        <v>57.0</v>
      </c>
      <c r="D3444" s="8" t="s">
        <v>4494</v>
      </c>
      <c r="E3444" s="7">
        <v>3.0</v>
      </c>
      <c r="F3444" s="7"/>
      <c r="G3444" s="7" t="s">
        <v>313</v>
      </c>
      <c r="H3444" s="7" t="s">
        <v>312</v>
      </c>
      <c r="I3444" s="10"/>
      <c r="J3444" s="11"/>
      <c r="K3444" s="12"/>
      <c r="L3444" s="12"/>
      <c r="M3444" s="10"/>
      <c r="N3444" s="10"/>
      <c r="O3444" s="10"/>
      <c r="P3444" s="10"/>
      <c r="Q3444" s="10"/>
      <c r="R3444" s="10"/>
      <c r="S3444" s="10"/>
      <c r="T3444" s="10"/>
      <c r="U3444" s="10"/>
      <c r="V3444" s="10"/>
      <c r="W3444" s="10"/>
      <c r="X3444" s="10"/>
      <c r="Y3444" s="10"/>
      <c r="Z3444" s="10"/>
      <c r="AA3444" s="10"/>
      <c r="AB3444" s="10"/>
      <c r="AC3444" s="10"/>
      <c r="AD3444" s="10"/>
      <c r="AE3444" s="10"/>
      <c r="AF3444" s="10"/>
    </row>
    <row r="3445">
      <c r="A3445" s="7"/>
      <c r="B3445" s="26">
        <v>257.0</v>
      </c>
      <c r="C3445" s="27">
        <v>58.0</v>
      </c>
      <c r="D3445" s="8" t="s">
        <v>4495</v>
      </c>
      <c r="E3445" s="7">
        <v>3.0</v>
      </c>
      <c r="F3445" s="7"/>
      <c r="G3445" s="7" t="s">
        <v>313</v>
      </c>
      <c r="H3445" s="7" t="s">
        <v>312</v>
      </c>
      <c r="I3445" s="10"/>
      <c r="J3445" s="11"/>
      <c r="K3445" s="12"/>
      <c r="L3445" s="12"/>
      <c r="M3445" s="10"/>
      <c r="N3445" s="10"/>
      <c r="O3445" s="10"/>
      <c r="P3445" s="10"/>
      <c r="Q3445" s="10"/>
      <c r="R3445" s="10"/>
      <c r="S3445" s="10"/>
      <c r="T3445" s="10"/>
      <c r="U3445" s="10"/>
      <c r="V3445" s="10"/>
      <c r="W3445" s="10"/>
      <c r="X3445" s="10"/>
      <c r="Y3445" s="10"/>
      <c r="Z3445" s="10"/>
      <c r="AA3445" s="10"/>
      <c r="AB3445" s="10"/>
      <c r="AC3445" s="10"/>
      <c r="AD3445" s="10"/>
      <c r="AE3445" s="10"/>
      <c r="AF3445" s="10"/>
    </row>
    <row r="3446">
      <c r="A3446" s="7"/>
      <c r="B3446" s="26">
        <v>257.0</v>
      </c>
      <c r="C3446" s="27">
        <v>59.0</v>
      </c>
      <c r="D3446" s="8" t="s">
        <v>4496</v>
      </c>
      <c r="E3446" s="7">
        <v>0.0</v>
      </c>
      <c r="F3446" s="7"/>
      <c r="G3446" s="7" t="s">
        <v>313</v>
      </c>
      <c r="H3446" s="7" t="s">
        <v>312</v>
      </c>
      <c r="I3446" s="10"/>
      <c r="J3446" s="11"/>
      <c r="K3446" s="12"/>
      <c r="L3446" s="12"/>
      <c r="M3446" s="10"/>
      <c r="N3446" s="10"/>
      <c r="O3446" s="10"/>
      <c r="P3446" s="10"/>
      <c r="Q3446" s="10"/>
      <c r="R3446" s="10"/>
      <c r="S3446" s="10"/>
      <c r="T3446" s="10"/>
      <c r="U3446" s="10"/>
      <c r="V3446" s="10"/>
      <c r="W3446" s="10"/>
      <c r="X3446" s="10"/>
      <c r="Y3446" s="10"/>
      <c r="Z3446" s="10"/>
      <c r="AA3446" s="10"/>
      <c r="AB3446" s="10"/>
      <c r="AC3446" s="10"/>
      <c r="AD3446" s="10"/>
      <c r="AE3446" s="10"/>
      <c r="AF3446" s="10"/>
    </row>
    <row r="3447">
      <c r="A3447" s="7"/>
      <c r="B3447" s="26">
        <v>257.0</v>
      </c>
      <c r="C3447" s="27">
        <v>60.0</v>
      </c>
      <c r="D3447" s="8" t="s">
        <v>4497</v>
      </c>
      <c r="E3447" s="7">
        <v>0.0</v>
      </c>
      <c r="F3447" s="7"/>
      <c r="G3447" s="7" t="s">
        <v>313</v>
      </c>
      <c r="H3447" s="7" t="s">
        <v>312</v>
      </c>
      <c r="I3447" s="10"/>
      <c r="J3447" s="11"/>
      <c r="K3447" s="12"/>
      <c r="L3447" s="12"/>
      <c r="M3447" s="10"/>
      <c r="N3447" s="10"/>
      <c r="O3447" s="10"/>
      <c r="P3447" s="10"/>
      <c r="Q3447" s="10"/>
      <c r="R3447" s="10"/>
      <c r="S3447" s="10"/>
      <c r="T3447" s="10"/>
      <c r="U3447" s="10"/>
      <c r="V3447" s="10"/>
      <c r="W3447" s="10"/>
      <c r="X3447" s="10"/>
      <c r="Y3447" s="10"/>
      <c r="Z3447" s="10"/>
      <c r="AA3447" s="10"/>
      <c r="AB3447" s="10"/>
      <c r="AC3447" s="10"/>
      <c r="AD3447" s="10"/>
      <c r="AE3447" s="10"/>
      <c r="AF3447" s="10"/>
    </row>
    <row r="3448">
      <c r="A3448" s="7"/>
      <c r="B3448" s="26">
        <v>257.0</v>
      </c>
      <c r="C3448" s="27">
        <v>61.0</v>
      </c>
      <c r="D3448" s="8" t="s">
        <v>4498</v>
      </c>
      <c r="E3448" s="7">
        <v>0.0</v>
      </c>
      <c r="F3448" s="7"/>
      <c r="G3448" s="7" t="s">
        <v>313</v>
      </c>
      <c r="H3448" s="7" t="s">
        <v>312</v>
      </c>
      <c r="I3448" s="10"/>
      <c r="J3448" s="11"/>
      <c r="K3448" s="12"/>
      <c r="L3448" s="12"/>
      <c r="M3448" s="10"/>
      <c r="N3448" s="10"/>
      <c r="O3448" s="10"/>
      <c r="P3448" s="10"/>
      <c r="Q3448" s="10"/>
      <c r="R3448" s="10"/>
      <c r="S3448" s="10"/>
      <c r="T3448" s="10"/>
      <c r="U3448" s="10"/>
      <c r="V3448" s="10"/>
      <c r="W3448" s="10"/>
      <c r="X3448" s="10"/>
      <c r="Y3448" s="10"/>
      <c r="Z3448" s="10"/>
      <c r="AA3448" s="10"/>
      <c r="AB3448" s="10"/>
      <c r="AC3448" s="10"/>
      <c r="AD3448" s="10"/>
      <c r="AE3448" s="10"/>
      <c r="AF3448" s="10"/>
    </row>
    <row r="3449">
      <c r="A3449" s="7"/>
      <c r="B3449" s="26">
        <v>257.0</v>
      </c>
      <c r="C3449" s="27">
        <v>62.0</v>
      </c>
      <c r="D3449" s="8" t="s">
        <v>4499</v>
      </c>
      <c r="E3449" s="7">
        <v>3.0</v>
      </c>
      <c r="F3449" s="7"/>
      <c r="G3449" s="7" t="s">
        <v>313</v>
      </c>
      <c r="H3449" s="7" t="s">
        <v>312</v>
      </c>
      <c r="I3449" s="10"/>
      <c r="J3449" s="9"/>
      <c r="K3449" s="12"/>
      <c r="L3449" s="12"/>
      <c r="M3449" s="10"/>
      <c r="N3449" s="10"/>
      <c r="O3449" s="10"/>
      <c r="P3449" s="10"/>
      <c r="Q3449" s="10"/>
      <c r="R3449" s="10"/>
      <c r="S3449" s="10"/>
      <c r="T3449" s="10"/>
      <c r="U3449" s="10"/>
      <c r="V3449" s="10"/>
      <c r="W3449" s="10"/>
      <c r="X3449" s="10"/>
      <c r="Y3449" s="10"/>
      <c r="Z3449" s="10"/>
      <c r="AA3449" s="10"/>
      <c r="AB3449" s="10"/>
      <c r="AC3449" s="10"/>
      <c r="AD3449" s="10"/>
      <c r="AE3449" s="10"/>
      <c r="AF3449" s="10"/>
    </row>
    <row r="3450">
      <c r="A3450" s="7"/>
      <c r="B3450" s="26">
        <v>257.0</v>
      </c>
      <c r="C3450" s="27">
        <v>63.0</v>
      </c>
      <c r="D3450" s="8" t="s">
        <v>4500</v>
      </c>
      <c r="E3450" s="7">
        <v>3.0</v>
      </c>
      <c r="F3450" s="7"/>
      <c r="G3450" s="7" t="s">
        <v>313</v>
      </c>
      <c r="H3450" s="7" t="s">
        <v>312</v>
      </c>
      <c r="I3450" s="10"/>
      <c r="J3450" s="11"/>
      <c r="K3450" s="12"/>
      <c r="L3450" s="12"/>
      <c r="M3450" s="10"/>
      <c r="N3450" s="10"/>
      <c r="O3450" s="10"/>
      <c r="P3450" s="10"/>
      <c r="Q3450" s="10"/>
      <c r="R3450" s="10"/>
      <c r="S3450" s="10"/>
      <c r="T3450" s="10"/>
      <c r="U3450" s="10"/>
      <c r="V3450" s="10"/>
      <c r="W3450" s="10"/>
      <c r="X3450" s="10"/>
      <c r="Y3450" s="10"/>
      <c r="Z3450" s="10"/>
      <c r="AA3450" s="10"/>
      <c r="AB3450" s="10"/>
      <c r="AC3450" s="10"/>
      <c r="AD3450" s="10"/>
      <c r="AE3450" s="10"/>
      <c r="AF3450" s="10"/>
    </row>
    <row r="3451">
      <c r="A3451" s="7"/>
      <c r="B3451" s="26">
        <v>257.0</v>
      </c>
      <c r="C3451" s="27">
        <v>64.0</v>
      </c>
      <c r="D3451" s="8" t="s">
        <v>4501</v>
      </c>
      <c r="E3451" s="7">
        <v>3.0</v>
      </c>
      <c r="F3451" s="7"/>
      <c r="G3451" s="7" t="s">
        <v>313</v>
      </c>
      <c r="H3451" s="7" t="s">
        <v>312</v>
      </c>
      <c r="I3451" s="10"/>
      <c r="J3451" s="11"/>
      <c r="K3451" s="12"/>
      <c r="L3451" s="12"/>
      <c r="M3451" s="10"/>
      <c r="N3451" s="10"/>
      <c r="O3451" s="10"/>
      <c r="P3451" s="10"/>
      <c r="Q3451" s="10"/>
      <c r="R3451" s="10"/>
      <c r="S3451" s="10"/>
      <c r="T3451" s="10"/>
      <c r="U3451" s="10"/>
      <c r="V3451" s="10"/>
      <c r="W3451" s="10"/>
      <c r="X3451" s="10"/>
      <c r="Y3451" s="10"/>
      <c r="Z3451" s="10"/>
      <c r="AA3451" s="10"/>
      <c r="AB3451" s="10"/>
      <c r="AC3451" s="10"/>
      <c r="AD3451" s="10"/>
      <c r="AE3451" s="10"/>
      <c r="AF3451" s="10"/>
    </row>
    <row r="3452">
      <c r="A3452" s="7"/>
      <c r="B3452" s="26">
        <v>257.0</v>
      </c>
      <c r="C3452" s="27">
        <v>65.0</v>
      </c>
      <c r="D3452" s="8" t="s">
        <v>4502</v>
      </c>
      <c r="E3452" s="7">
        <v>3.0</v>
      </c>
      <c r="F3452" s="7"/>
      <c r="G3452" s="7" t="s">
        <v>313</v>
      </c>
      <c r="H3452" s="7" t="s">
        <v>312</v>
      </c>
      <c r="I3452" s="10"/>
      <c r="J3452" s="11"/>
      <c r="K3452" s="12"/>
      <c r="L3452" s="12"/>
      <c r="M3452" s="10"/>
      <c r="N3452" s="10"/>
      <c r="O3452" s="10"/>
      <c r="P3452" s="10"/>
      <c r="Q3452" s="10"/>
      <c r="R3452" s="10"/>
      <c r="S3452" s="10"/>
      <c r="T3452" s="10"/>
      <c r="U3452" s="10"/>
      <c r="V3452" s="10"/>
      <c r="W3452" s="10"/>
      <c r="X3452" s="10"/>
      <c r="Y3452" s="10"/>
      <c r="Z3452" s="10"/>
      <c r="AA3452" s="10"/>
      <c r="AB3452" s="10"/>
      <c r="AC3452" s="10"/>
      <c r="AD3452" s="10"/>
      <c r="AE3452" s="10"/>
      <c r="AF3452" s="10"/>
    </row>
    <row r="3453">
      <c r="A3453" s="7"/>
      <c r="B3453" s="26">
        <v>257.0</v>
      </c>
      <c r="C3453" s="27">
        <v>66.0</v>
      </c>
      <c r="D3453" s="8" t="s">
        <v>4503</v>
      </c>
      <c r="E3453" s="7">
        <v>0.0</v>
      </c>
      <c r="F3453" s="7"/>
      <c r="G3453" s="7" t="s">
        <v>313</v>
      </c>
      <c r="H3453" s="7" t="s">
        <v>312</v>
      </c>
      <c r="I3453" s="10"/>
      <c r="J3453" s="11"/>
      <c r="K3453" s="12"/>
      <c r="L3453" s="12"/>
      <c r="M3453" s="10"/>
      <c r="N3453" s="10"/>
      <c r="O3453" s="10"/>
      <c r="P3453" s="10"/>
      <c r="Q3453" s="10"/>
      <c r="R3453" s="10"/>
      <c r="S3453" s="10"/>
      <c r="T3453" s="10"/>
      <c r="U3453" s="10"/>
      <c r="V3453" s="10"/>
      <c r="W3453" s="10"/>
      <c r="X3453" s="10"/>
      <c r="Y3453" s="10"/>
      <c r="Z3453" s="10"/>
      <c r="AA3453" s="10"/>
      <c r="AB3453" s="10"/>
      <c r="AC3453" s="10"/>
      <c r="AD3453" s="10"/>
      <c r="AE3453" s="10"/>
      <c r="AF3453" s="10"/>
    </row>
    <row r="3454">
      <c r="A3454" s="10"/>
      <c r="B3454" s="12"/>
      <c r="C3454" s="12"/>
      <c r="D3454" s="12"/>
      <c r="E3454" s="10"/>
      <c r="F3454" s="10"/>
      <c r="G3454" s="10"/>
      <c r="H3454" s="10"/>
      <c r="I3454" s="10"/>
      <c r="J3454" s="11"/>
      <c r="K3454" s="12"/>
      <c r="L3454" s="12"/>
      <c r="M3454" s="10"/>
      <c r="N3454" s="10"/>
      <c r="O3454" s="10"/>
      <c r="P3454" s="10"/>
      <c r="Q3454" s="10"/>
      <c r="R3454" s="10"/>
      <c r="S3454" s="10"/>
      <c r="T3454" s="10"/>
      <c r="U3454" s="10"/>
      <c r="V3454" s="10"/>
      <c r="W3454" s="10"/>
      <c r="X3454" s="10"/>
      <c r="Y3454" s="10"/>
      <c r="Z3454" s="10"/>
      <c r="AA3454" s="10"/>
      <c r="AB3454" s="10"/>
      <c r="AC3454" s="10"/>
      <c r="AD3454" s="10"/>
      <c r="AE3454" s="10"/>
      <c r="AF3454" s="10"/>
    </row>
    <row r="3455">
      <c r="A3455" s="7"/>
      <c r="B3455" s="26">
        <v>258.0</v>
      </c>
      <c r="C3455" s="27">
        <v>1.0</v>
      </c>
      <c r="D3455" s="8" t="s">
        <v>4504</v>
      </c>
      <c r="E3455" s="7">
        <v>0.0</v>
      </c>
      <c r="F3455" s="7"/>
      <c r="G3455" s="7" t="s">
        <v>313</v>
      </c>
      <c r="H3455" s="7" t="s">
        <v>312</v>
      </c>
      <c r="I3455" s="10"/>
      <c r="J3455" s="9" t="s">
        <v>4505</v>
      </c>
      <c r="K3455" s="12"/>
      <c r="L3455" s="12"/>
      <c r="M3455" s="10"/>
      <c r="N3455" s="10"/>
      <c r="O3455" s="10"/>
      <c r="P3455" s="10"/>
      <c r="Q3455" s="10"/>
      <c r="R3455" s="10"/>
      <c r="S3455" s="10"/>
      <c r="T3455" s="10"/>
      <c r="U3455" s="10"/>
      <c r="V3455" s="10"/>
      <c r="W3455" s="10"/>
      <c r="X3455" s="10"/>
      <c r="Y3455" s="10"/>
      <c r="Z3455" s="10"/>
      <c r="AA3455" s="10"/>
      <c r="AB3455" s="10"/>
      <c r="AC3455" s="10"/>
      <c r="AD3455" s="10"/>
      <c r="AE3455" s="10"/>
      <c r="AF3455" s="10"/>
    </row>
    <row r="3456">
      <c r="A3456" s="7"/>
      <c r="B3456" s="26">
        <v>258.0</v>
      </c>
      <c r="C3456" s="27">
        <v>2.0</v>
      </c>
      <c r="D3456" s="8" t="s">
        <v>4506</v>
      </c>
      <c r="E3456" s="7">
        <v>3.0</v>
      </c>
      <c r="F3456" s="7"/>
      <c r="G3456" s="7" t="s">
        <v>313</v>
      </c>
      <c r="H3456" s="7" t="s">
        <v>312</v>
      </c>
      <c r="I3456" s="10"/>
      <c r="J3456" s="9" t="s">
        <v>4507</v>
      </c>
      <c r="K3456" s="12"/>
      <c r="L3456" s="12"/>
      <c r="M3456" s="10"/>
      <c r="N3456" s="10"/>
      <c r="O3456" s="10"/>
      <c r="P3456" s="10"/>
      <c r="Q3456" s="10"/>
      <c r="R3456" s="10"/>
      <c r="S3456" s="10"/>
      <c r="T3456" s="10"/>
      <c r="U3456" s="10"/>
      <c r="V3456" s="10"/>
      <c r="W3456" s="10"/>
      <c r="X3456" s="10"/>
      <c r="Y3456" s="10"/>
      <c r="Z3456" s="10"/>
      <c r="AA3456" s="10"/>
      <c r="AB3456" s="10"/>
      <c r="AC3456" s="10"/>
      <c r="AD3456" s="10"/>
      <c r="AE3456" s="10"/>
      <c r="AF3456" s="10"/>
    </row>
    <row r="3457">
      <c r="A3457" s="7"/>
      <c r="B3457" s="26">
        <v>258.0</v>
      </c>
      <c r="C3457" s="27">
        <v>3.0</v>
      </c>
      <c r="D3457" s="8" t="s">
        <v>4508</v>
      </c>
      <c r="E3457" s="7">
        <v>3.0</v>
      </c>
      <c r="F3457" s="7"/>
      <c r="G3457" s="7" t="s">
        <v>313</v>
      </c>
      <c r="H3457" s="7" t="s">
        <v>312</v>
      </c>
      <c r="I3457" s="10"/>
      <c r="J3457" s="11"/>
      <c r="K3457" s="12"/>
      <c r="L3457" s="12"/>
      <c r="M3457" s="10"/>
      <c r="N3457" s="10"/>
      <c r="O3457" s="10"/>
      <c r="P3457" s="10"/>
      <c r="Q3457" s="10"/>
      <c r="R3457" s="10"/>
      <c r="S3457" s="10"/>
      <c r="T3457" s="10"/>
      <c r="U3457" s="10"/>
      <c r="V3457" s="10"/>
      <c r="W3457" s="10"/>
      <c r="X3457" s="10"/>
      <c r="Y3457" s="10"/>
      <c r="Z3457" s="10"/>
      <c r="AA3457" s="10"/>
      <c r="AB3457" s="10"/>
      <c r="AC3457" s="10"/>
      <c r="AD3457" s="10"/>
      <c r="AE3457" s="10"/>
      <c r="AF3457" s="10"/>
    </row>
    <row r="3458">
      <c r="A3458" s="7"/>
      <c r="B3458" s="26">
        <v>258.0</v>
      </c>
      <c r="C3458" s="27">
        <v>4.0</v>
      </c>
      <c r="D3458" s="8" t="s">
        <v>4509</v>
      </c>
      <c r="E3458" s="7">
        <v>3.0</v>
      </c>
      <c r="F3458" s="7"/>
      <c r="G3458" s="7" t="s">
        <v>313</v>
      </c>
      <c r="H3458" s="7" t="s">
        <v>312</v>
      </c>
      <c r="I3458" s="10"/>
      <c r="J3458" s="11"/>
      <c r="K3458" s="12"/>
      <c r="L3458" s="12"/>
      <c r="M3458" s="10"/>
      <c r="N3458" s="10"/>
      <c r="O3458" s="10"/>
      <c r="P3458" s="10"/>
      <c r="Q3458" s="10"/>
      <c r="R3458" s="10"/>
      <c r="S3458" s="10"/>
      <c r="T3458" s="10"/>
      <c r="U3458" s="10"/>
      <c r="V3458" s="10"/>
      <c r="W3458" s="10"/>
      <c r="X3458" s="10"/>
      <c r="Y3458" s="10"/>
      <c r="Z3458" s="10"/>
      <c r="AA3458" s="10"/>
      <c r="AB3458" s="10"/>
      <c r="AC3458" s="10"/>
      <c r="AD3458" s="10"/>
      <c r="AE3458" s="10"/>
      <c r="AF3458" s="10"/>
    </row>
    <row r="3459">
      <c r="A3459" s="7"/>
      <c r="B3459" s="26">
        <v>258.0</v>
      </c>
      <c r="C3459" s="27">
        <v>5.0</v>
      </c>
      <c r="D3459" s="8" t="s">
        <v>4510</v>
      </c>
      <c r="E3459" s="7">
        <v>3.0</v>
      </c>
      <c r="F3459" s="7"/>
      <c r="G3459" s="7" t="s">
        <v>313</v>
      </c>
      <c r="H3459" s="7" t="s">
        <v>312</v>
      </c>
      <c r="I3459" s="10"/>
      <c r="J3459" s="11"/>
      <c r="K3459" s="12"/>
      <c r="L3459" s="12"/>
      <c r="M3459" s="10"/>
      <c r="N3459" s="10"/>
      <c r="O3459" s="10"/>
      <c r="P3459" s="10"/>
      <c r="Q3459" s="10"/>
      <c r="R3459" s="10"/>
      <c r="S3459" s="10"/>
      <c r="T3459" s="10"/>
      <c r="U3459" s="10"/>
      <c r="V3459" s="10"/>
      <c r="W3459" s="10"/>
      <c r="X3459" s="10"/>
      <c r="Y3459" s="10"/>
      <c r="Z3459" s="10"/>
      <c r="AA3459" s="10"/>
      <c r="AB3459" s="10"/>
      <c r="AC3459" s="10"/>
      <c r="AD3459" s="10"/>
      <c r="AE3459" s="10"/>
      <c r="AF3459" s="10"/>
    </row>
    <row r="3460">
      <c r="A3460" s="7"/>
      <c r="B3460" s="26">
        <v>258.0</v>
      </c>
      <c r="C3460" s="27">
        <v>6.0</v>
      </c>
      <c r="D3460" s="8" t="s">
        <v>4511</v>
      </c>
      <c r="E3460" s="7">
        <v>3.0</v>
      </c>
      <c r="F3460" s="7"/>
      <c r="G3460" s="7" t="s">
        <v>313</v>
      </c>
      <c r="H3460" s="7" t="s">
        <v>312</v>
      </c>
      <c r="I3460" s="10"/>
      <c r="J3460" s="11"/>
      <c r="K3460" s="12"/>
      <c r="L3460" s="12"/>
      <c r="M3460" s="10"/>
      <c r="N3460" s="10"/>
      <c r="O3460" s="10"/>
      <c r="P3460" s="10"/>
      <c r="Q3460" s="10"/>
      <c r="R3460" s="10"/>
      <c r="S3460" s="10"/>
      <c r="T3460" s="10"/>
      <c r="U3460" s="10"/>
      <c r="V3460" s="10"/>
      <c r="W3460" s="10"/>
      <c r="X3460" s="10"/>
      <c r="Y3460" s="10"/>
      <c r="Z3460" s="10"/>
      <c r="AA3460" s="10"/>
      <c r="AB3460" s="10"/>
      <c r="AC3460" s="10"/>
      <c r="AD3460" s="10"/>
      <c r="AE3460" s="10"/>
      <c r="AF3460" s="10"/>
    </row>
    <row r="3461">
      <c r="A3461" s="7"/>
      <c r="B3461" s="26">
        <v>258.0</v>
      </c>
      <c r="C3461" s="27">
        <v>7.0</v>
      </c>
      <c r="D3461" s="8" t="s">
        <v>4512</v>
      </c>
      <c r="E3461" s="7">
        <v>3.0</v>
      </c>
      <c r="F3461" s="7"/>
      <c r="G3461" s="7" t="s">
        <v>313</v>
      </c>
      <c r="H3461" s="7" t="s">
        <v>312</v>
      </c>
      <c r="I3461" s="10"/>
      <c r="J3461" s="11"/>
      <c r="K3461" s="12"/>
      <c r="L3461" s="12"/>
      <c r="M3461" s="10"/>
      <c r="N3461" s="10"/>
      <c r="O3461" s="10"/>
      <c r="P3461" s="10"/>
      <c r="Q3461" s="10"/>
      <c r="R3461" s="10"/>
      <c r="S3461" s="10"/>
      <c r="T3461" s="10"/>
      <c r="U3461" s="10"/>
      <c r="V3461" s="10"/>
      <c r="W3461" s="10"/>
      <c r="X3461" s="10"/>
      <c r="Y3461" s="10"/>
      <c r="Z3461" s="10"/>
      <c r="AA3461" s="10"/>
      <c r="AB3461" s="10"/>
      <c r="AC3461" s="10"/>
      <c r="AD3461" s="10"/>
      <c r="AE3461" s="10"/>
      <c r="AF3461" s="10"/>
    </row>
    <row r="3462">
      <c r="A3462" s="7"/>
      <c r="B3462" s="26">
        <v>258.0</v>
      </c>
      <c r="C3462" s="27">
        <v>8.0</v>
      </c>
      <c r="D3462" s="8" t="s">
        <v>4513</v>
      </c>
      <c r="E3462" s="7">
        <v>0.0</v>
      </c>
      <c r="F3462" s="7"/>
      <c r="G3462" s="7" t="s">
        <v>313</v>
      </c>
      <c r="H3462" s="7" t="s">
        <v>312</v>
      </c>
      <c r="I3462" s="10"/>
      <c r="J3462" s="11"/>
      <c r="K3462" s="12"/>
      <c r="L3462" s="12"/>
      <c r="M3462" s="10"/>
      <c r="N3462" s="10"/>
      <c r="O3462" s="10"/>
      <c r="P3462" s="10"/>
      <c r="Q3462" s="10"/>
      <c r="R3462" s="10"/>
      <c r="S3462" s="10"/>
      <c r="T3462" s="10"/>
      <c r="U3462" s="10"/>
      <c r="V3462" s="10"/>
      <c r="W3462" s="10"/>
      <c r="X3462" s="10"/>
      <c r="Y3462" s="10"/>
      <c r="Z3462" s="10"/>
      <c r="AA3462" s="10"/>
      <c r="AB3462" s="10"/>
      <c r="AC3462" s="10"/>
      <c r="AD3462" s="10"/>
      <c r="AE3462" s="10"/>
      <c r="AF3462" s="10"/>
    </row>
    <row r="3463">
      <c r="A3463" s="7"/>
      <c r="B3463" s="26">
        <v>258.0</v>
      </c>
      <c r="C3463" s="27">
        <v>9.0</v>
      </c>
      <c r="D3463" s="8" t="s">
        <v>4514</v>
      </c>
      <c r="E3463" s="7">
        <v>0.0</v>
      </c>
      <c r="F3463" s="7"/>
      <c r="G3463" s="7" t="s">
        <v>313</v>
      </c>
      <c r="H3463" s="7" t="s">
        <v>312</v>
      </c>
      <c r="I3463" s="10"/>
      <c r="J3463" s="11"/>
      <c r="K3463" s="12"/>
      <c r="L3463" s="12"/>
      <c r="M3463" s="10"/>
      <c r="N3463" s="10"/>
      <c r="O3463" s="10"/>
      <c r="P3463" s="10"/>
      <c r="Q3463" s="10"/>
      <c r="R3463" s="10"/>
      <c r="S3463" s="10"/>
      <c r="T3463" s="10"/>
      <c r="U3463" s="10"/>
      <c r="V3463" s="10"/>
      <c r="W3463" s="10"/>
      <c r="X3463" s="10"/>
      <c r="Y3463" s="10"/>
      <c r="Z3463" s="10"/>
      <c r="AA3463" s="10"/>
      <c r="AB3463" s="10"/>
      <c r="AC3463" s="10"/>
      <c r="AD3463" s="10"/>
      <c r="AE3463" s="10"/>
      <c r="AF3463" s="10"/>
    </row>
    <row r="3464">
      <c r="A3464" s="7"/>
      <c r="B3464" s="26">
        <v>258.0</v>
      </c>
      <c r="C3464" s="27">
        <v>10.0</v>
      </c>
      <c r="D3464" s="8" t="s">
        <v>4515</v>
      </c>
      <c r="E3464" s="7">
        <v>0.0</v>
      </c>
      <c r="F3464" s="7"/>
      <c r="G3464" s="7" t="s">
        <v>313</v>
      </c>
      <c r="H3464" s="7" t="s">
        <v>312</v>
      </c>
      <c r="I3464" s="10"/>
      <c r="J3464" s="11"/>
      <c r="K3464" s="12"/>
      <c r="L3464" s="12"/>
      <c r="M3464" s="10"/>
      <c r="N3464" s="10"/>
      <c r="O3464" s="10"/>
      <c r="P3464" s="10"/>
      <c r="Q3464" s="10"/>
      <c r="R3464" s="10"/>
      <c r="S3464" s="10"/>
      <c r="T3464" s="10"/>
      <c r="U3464" s="10"/>
      <c r="V3464" s="10"/>
      <c r="W3464" s="10"/>
      <c r="X3464" s="10"/>
      <c r="Y3464" s="10"/>
      <c r="Z3464" s="10"/>
      <c r="AA3464" s="10"/>
      <c r="AB3464" s="10"/>
      <c r="AC3464" s="10"/>
      <c r="AD3464" s="10"/>
      <c r="AE3464" s="10"/>
      <c r="AF3464" s="10"/>
    </row>
    <row r="3465">
      <c r="A3465" s="13" t="s">
        <v>259</v>
      </c>
      <c r="B3465" s="10"/>
      <c r="C3465" s="10"/>
      <c r="D3465" s="10"/>
      <c r="E3465" s="10"/>
      <c r="F3465" s="10"/>
      <c r="G3465" s="10"/>
      <c r="H3465" s="10"/>
      <c r="I3465" s="10"/>
      <c r="J3465" s="11"/>
      <c r="K3465" s="12"/>
      <c r="L3465" s="12"/>
      <c r="M3465" s="10"/>
      <c r="N3465" s="10"/>
      <c r="O3465" s="10"/>
      <c r="P3465" s="10"/>
      <c r="Q3465" s="10"/>
      <c r="R3465" s="10"/>
      <c r="S3465" s="10"/>
      <c r="T3465" s="10"/>
      <c r="U3465" s="10"/>
      <c r="V3465" s="10"/>
      <c r="W3465" s="10"/>
      <c r="X3465" s="10"/>
      <c r="Y3465" s="10"/>
      <c r="Z3465" s="10"/>
      <c r="AA3465" s="10"/>
      <c r="AB3465" s="10"/>
      <c r="AC3465" s="10"/>
      <c r="AD3465" s="10"/>
      <c r="AE3465" s="10"/>
      <c r="AF3465" s="10"/>
    </row>
    <row r="3466">
      <c r="A3466" s="7"/>
      <c r="B3466" s="26">
        <v>259.0</v>
      </c>
      <c r="C3466" s="27">
        <v>1.0</v>
      </c>
      <c r="D3466" s="8" t="s">
        <v>4516</v>
      </c>
      <c r="E3466" s="7">
        <v>3.0</v>
      </c>
      <c r="F3466" s="7"/>
      <c r="G3466" s="7" t="s">
        <v>313</v>
      </c>
      <c r="H3466" s="7" t="s">
        <v>312</v>
      </c>
      <c r="I3466" s="10"/>
      <c r="J3466" s="9" t="s">
        <v>4517</v>
      </c>
      <c r="K3466" s="12"/>
      <c r="L3466" s="12"/>
      <c r="M3466" s="10"/>
      <c r="N3466" s="10"/>
      <c r="O3466" s="10"/>
      <c r="P3466" s="10"/>
      <c r="Q3466" s="10"/>
      <c r="R3466" s="10"/>
      <c r="S3466" s="10"/>
      <c r="T3466" s="10"/>
      <c r="U3466" s="10"/>
      <c r="V3466" s="10"/>
      <c r="W3466" s="10"/>
      <c r="X3466" s="10"/>
      <c r="Y3466" s="10"/>
      <c r="Z3466" s="10"/>
      <c r="AA3466" s="10"/>
      <c r="AB3466" s="10"/>
      <c r="AC3466" s="10"/>
      <c r="AD3466" s="10"/>
      <c r="AE3466" s="10"/>
      <c r="AF3466" s="10"/>
    </row>
    <row r="3467">
      <c r="A3467" s="7"/>
      <c r="B3467" s="26">
        <v>259.0</v>
      </c>
      <c r="C3467" s="27">
        <v>2.0</v>
      </c>
      <c r="D3467" s="8" t="s">
        <v>4518</v>
      </c>
      <c r="E3467" s="7">
        <v>0.0</v>
      </c>
      <c r="F3467" s="7"/>
      <c r="G3467" s="7" t="s">
        <v>313</v>
      </c>
      <c r="H3467" s="7" t="s">
        <v>312</v>
      </c>
      <c r="I3467" s="10"/>
      <c r="J3467" s="11"/>
      <c r="K3467" s="12"/>
      <c r="L3467" s="12"/>
      <c r="M3467" s="10"/>
      <c r="N3467" s="10"/>
      <c r="O3467" s="10"/>
      <c r="P3467" s="10"/>
      <c r="Q3467" s="10"/>
      <c r="R3467" s="10"/>
      <c r="S3467" s="10"/>
      <c r="T3467" s="10"/>
      <c r="U3467" s="10"/>
      <c r="V3467" s="10"/>
      <c r="W3467" s="10"/>
      <c r="X3467" s="10"/>
      <c r="Y3467" s="10"/>
      <c r="Z3467" s="10"/>
      <c r="AA3467" s="10"/>
      <c r="AB3467" s="10"/>
      <c r="AC3467" s="10"/>
      <c r="AD3467" s="10"/>
      <c r="AE3467" s="10"/>
      <c r="AF3467" s="10"/>
    </row>
    <row r="3468">
      <c r="A3468" s="7"/>
      <c r="B3468" s="26">
        <v>259.0</v>
      </c>
      <c r="C3468" s="27">
        <v>3.0</v>
      </c>
      <c r="D3468" s="8" t="s">
        <v>4519</v>
      </c>
      <c r="E3468" s="7">
        <v>0.0</v>
      </c>
      <c r="F3468" s="7"/>
      <c r="G3468" s="7" t="s">
        <v>313</v>
      </c>
      <c r="H3468" s="7" t="s">
        <v>312</v>
      </c>
      <c r="I3468" s="10"/>
      <c r="J3468" s="11"/>
      <c r="K3468" s="12"/>
      <c r="L3468" s="12"/>
      <c r="M3468" s="10"/>
      <c r="N3468" s="10"/>
      <c r="O3468" s="10"/>
      <c r="P3468" s="10"/>
      <c r="Q3468" s="10"/>
      <c r="R3468" s="10"/>
      <c r="S3468" s="10"/>
      <c r="T3468" s="10"/>
      <c r="U3468" s="10"/>
      <c r="V3468" s="10"/>
      <c r="W3468" s="10"/>
      <c r="X3468" s="10"/>
      <c r="Y3468" s="10"/>
      <c r="Z3468" s="10"/>
      <c r="AA3468" s="10"/>
      <c r="AB3468" s="10"/>
      <c r="AC3468" s="10"/>
      <c r="AD3468" s="10"/>
      <c r="AE3468" s="10"/>
      <c r="AF3468" s="10"/>
    </row>
    <row r="3469">
      <c r="A3469" s="7"/>
      <c r="B3469" s="26">
        <v>259.0</v>
      </c>
      <c r="C3469" s="27">
        <v>4.0</v>
      </c>
      <c r="D3469" s="8" t="s">
        <v>4520</v>
      </c>
      <c r="E3469" s="7">
        <v>0.0</v>
      </c>
      <c r="F3469" s="7"/>
      <c r="G3469" s="7" t="s">
        <v>313</v>
      </c>
      <c r="H3469" s="7" t="s">
        <v>312</v>
      </c>
      <c r="I3469" s="10"/>
      <c r="J3469" s="11"/>
      <c r="K3469" s="12"/>
      <c r="L3469" s="12"/>
      <c r="M3469" s="10"/>
      <c r="N3469" s="10"/>
      <c r="O3469" s="10"/>
      <c r="P3469" s="10"/>
      <c r="Q3469" s="10"/>
      <c r="R3469" s="10"/>
      <c r="S3469" s="10"/>
      <c r="T3469" s="10"/>
      <c r="U3469" s="10"/>
      <c r="V3469" s="10"/>
      <c r="W3469" s="10"/>
      <c r="X3469" s="10"/>
      <c r="Y3469" s="10"/>
      <c r="Z3469" s="10"/>
      <c r="AA3469" s="10"/>
      <c r="AB3469" s="10"/>
      <c r="AC3469" s="10"/>
      <c r="AD3469" s="10"/>
      <c r="AE3469" s="10"/>
      <c r="AF3469" s="10"/>
    </row>
    <row r="3470">
      <c r="A3470" s="7"/>
      <c r="B3470" s="26">
        <v>259.0</v>
      </c>
      <c r="C3470" s="27">
        <v>5.0</v>
      </c>
      <c r="D3470" s="8" t="s">
        <v>4521</v>
      </c>
      <c r="E3470" s="7">
        <v>0.0</v>
      </c>
      <c r="F3470" s="7"/>
      <c r="G3470" s="7" t="s">
        <v>313</v>
      </c>
      <c r="H3470" s="7" t="s">
        <v>312</v>
      </c>
      <c r="I3470" s="10"/>
      <c r="J3470" s="11"/>
      <c r="K3470" s="12"/>
      <c r="L3470" s="12"/>
      <c r="M3470" s="10"/>
      <c r="N3470" s="10"/>
      <c r="O3470" s="10"/>
      <c r="P3470" s="10"/>
      <c r="Q3470" s="10"/>
      <c r="R3470" s="10"/>
      <c r="S3470" s="10"/>
      <c r="T3470" s="10"/>
      <c r="U3470" s="10"/>
      <c r="V3470" s="10"/>
      <c r="W3470" s="10"/>
      <c r="X3470" s="10"/>
      <c r="Y3470" s="10"/>
      <c r="Z3470" s="10"/>
      <c r="AA3470" s="10"/>
      <c r="AB3470" s="10"/>
      <c r="AC3470" s="10"/>
      <c r="AD3470" s="10"/>
      <c r="AE3470" s="10"/>
      <c r="AF3470" s="10"/>
    </row>
    <row r="3471">
      <c r="A3471" s="7"/>
      <c r="B3471" s="26">
        <v>259.0</v>
      </c>
      <c r="C3471" s="27">
        <v>6.0</v>
      </c>
      <c r="D3471" s="8" t="s">
        <v>4522</v>
      </c>
      <c r="E3471" s="7">
        <v>0.0</v>
      </c>
      <c r="F3471" s="7"/>
      <c r="G3471" s="7" t="s">
        <v>313</v>
      </c>
      <c r="H3471" s="7" t="s">
        <v>312</v>
      </c>
      <c r="I3471" s="10"/>
      <c r="J3471" s="11"/>
      <c r="K3471" s="12"/>
      <c r="L3471" s="12"/>
      <c r="M3471" s="10"/>
      <c r="N3471" s="10"/>
      <c r="O3471" s="10"/>
      <c r="P3471" s="10"/>
      <c r="Q3471" s="10"/>
      <c r="R3471" s="10"/>
      <c r="S3471" s="10"/>
      <c r="T3471" s="10"/>
      <c r="U3471" s="10"/>
      <c r="V3471" s="10"/>
      <c r="W3471" s="10"/>
      <c r="X3471" s="10"/>
      <c r="Y3471" s="10"/>
      <c r="Z3471" s="10"/>
      <c r="AA3471" s="10"/>
      <c r="AB3471" s="10"/>
      <c r="AC3471" s="10"/>
      <c r="AD3471" s="10"/>
      <c r="AE3471" s="10"/>
      <c r="AF3471" s="10"/>
    </row>
    <row r="3472">
      <c r="A3472" s="7"/>
      <c r="B3472" s="26">
        <v>259.0</v>
      </c>
      <c r="C3472" s="27">
        <v>7.0</v>
      </c>
      <c r="D3472" s="8" t="s">
        <v>4523</v>
      </c>
      <c r="E3472" s="7">
        <v>0.0</v>
      </c>
      <c r="F3472" s="7"/>
      <c r="G3472" s="7" t="s">
        <v>313</v>
      </c>
      <c r="H3472" s="7" t="s">
        <v>312</v>
      </c>
      <c r="I3472" s="10"/>
      <c r="J3472" s="11"/>
      <c r="K3472" s="12"/>
      <c r="L3472" s="12"/>
      <c r="M3472" s="10"/>
      <c r="N3472" s="10"/>
      <c r="O3472" s="10"/>
      <c r="P3472" s="10"/>
      <c r="Q3472" s="10"/>
      <c r="R3472" s="10"/>
      <c r="S3472" s="10"/>
      <c r="T3472" s="10"/>
      <c r="U3472" s="10"/>
      <c r="V3472" s="10"/>
      <c r="W3472" s="10"/>
      <c r="X3472" s="10"/>
      <c r="Y3472" s="10"/>
      <c r="Z3472" s="10"/>
      <c r="AA3472" s="10"/>
      <c r="AB3472" s="10"/>
      <c r="AC3472" s="10"/>
      <c r="AD3472" s="10"/>
      <c r="AE3472" s="10"/>
      <c r="AF3472" s="10"/>
    </row>
    <row r="3473">
      <c r="A3473" s="7"/>
      <c r="B3473" s="26">
        <v>259.0</v>
      </c>
      <c r="C3473" s="27">
        <v>8.0</v>
      </c>
      <c r="D3473" s="8" t="s">
        <v>4524</v>
      </c>
      <c r="E3473" s="7">
        <v>0.0</v>
      </c>
      <c r="F3473" s="7"/>
      <c r="G3473" s="7" t="s">
        <v>313</v>
      </c>
      <c r="H3473" s="7" t="s">
        <v>312</v>
      </c>
      <c r="I3473" s="10"/>
      <c r="J3473" s="11"/>
      <c r="K3473" s="12"/>
      <c r="L3473" s="12"/>
      <c r="M3473" s="10"/>
      <c r="N3473" s="10"/>
      <c r="O3473" s="10"/>
      <c r="P3473" s="10"/>
      <c r="Q3473" s="10"/>
      <c r="R3473" s="10"/>
      <c r="S3473" s="10"/>
      <c r="T3473" s="10"/>
      <c r="U3473" s="10"/>
      <c r="V3473" s="10"/>
      <c r="W3473" s="10"/>
      <c r="X3473" s="10"/>
      <c r="Y3473" s="10"/>
      <c r="Z3473" s="10"/>
      <c r="AA3473" s="10"/>
      <c r="AB3473" s="10"/>
      <c r="AC3473" s="10"/>
      <c r="AD3473" s="10"/>
      <c r="AE3473" s="10"/>
      <c r="AF3473" s="10"/>
    </row>
    <row r="3474">
      <c r="A3474" s="7"/>
      <c r="B3474" s="26">
        <v>259.0</v>
      </c>
      <c r="C3474" s="27">
        <v>9.0</v>
      </c>
      <c r="D3474" s="8" t="s">
        <v>4525</v>
      </c>
      <c r="E3474" s="7">
        <v>0.0</v>
      </c>
      <c r="F3474" s="7"/>
      <c r="G3474" s="7" t="s">
        <v>313</v>
      </c>
      <c r="H3474" s="7" t="s">
        <v>312</v>
      </c>
      <c r="I3474" s="10"/>
      <c r="J3474" s="11"/>
      <c r="K3474" s="12"/>
      <c r="L3474" s="12"/>
      <c r="M3474" s="10"/>
      <c r="N3474" s="10"/>
      <c r="O3474" s="10"/>
      <c r="P3474" s="10"/>
      <c r="Q3474" s="10"/>
      <c r="R3474" s="10"/>
      <c r="S3474" s="10"/>
      <c r="T3474" s="10"/>
      <c r="U3474" s="10"/>
      <c r="V3474" s="10"/>
      <c r="W3474" s="10"/>
      <c r="X3474" s="10"/>
      <c r="Y3474" s="10"/>
      <c r="Z3474" s="10"/>
      <c r="AA3474" s="10"/>
      <c r="AB3474" s="10"/>
      <c r="AC3474" s="10"/>
      <c r="AD3474" s="10"/>
      <c r="AE3474" s="10"/>
      <c r="AF3474" s="10"/>
    </row>
    <row r="3475">
      <c r="A3475" s="7"/>
      <c r="B3475" s="26">
        <v>259.0</v>
      </c>
      <c r="C3475" s="27">
        <v>10.0</v>
      </c>
      <c r="D3475" s="8" t="s">
        <v>4526</v>
      </c>
      <c r="E3475" s="7">
        <v>0.0</v>
      </c>
      <c r="F3475" s="7"/>
      <c r="G3475" s="7" t="s">
        <v>313</v>
      </c>
      <c r="H3475" s="7" t="s">
        <v>312</v>
      </c>
      <c r="I3475" s="10"/>
      <c r="J3475" s="11"/>
      <c r="K3475" s="12"/>
      <c r="L3475" s="12"/>
      <c r="M3475" s="10"/>
      <c r="N3475" s="10"/>
      <c r="O3475" s="10"/>
      <c r="P3475" s="10"/>
      <c r="Q3475" s="10"/>
      <c r="R3475" s="10"/>
      <c r="S3475" s="10"/>
      <c r="T3475" s="10"/>
      <c r="U3475" s="10"/>
      <c r="V3475" s="10"/>
      <c r="W3475" s="10"/>
      <c r="X3475" s="10"/>
      <c r="Y3475" s="10"/>
      <c r="Z3475" s="10"/>
      <c r="AA3475" s="10"/>
      <c r="AB3475" s="10"/>
      <c r="AC3475" s="10"/>
      <c r="AD3475" s="10"/>
      <c r="AE3475" s="10"/>
      <c r="AF3475" s="10"/>
    </row>
    <row r="3476">
      <c r="A3476" s="10"/>
      <c r="B3476" s="12"/>
      <c r="C3476" s="12"/>
      <c r="D3476" s="12"/>
      <c r="E3476" s="10"/>
      <c r="F3476" s="10"/>
      <c r="G3476" s="10"/>
      <c r="H3476" s="10"/>
      <c r="I3476" s="10"/>
      <c r="J3476" s="11"/>
      <c r="K3476" s="12"/>
      <c r="L3476" s="12"/>
      <c r="M3476" s="10"/>
      <c r="N3476" s="10"/>
      <c r="O3476" s="10"/>
      <c r="P3476" s="10"/>
      <c r="Q3476" s="10"/>
      <c r="R3476" s="10"/>
      <c r="S3476" s="10"/>
      <c r="T3476" s="10"/>
      <c r="U3476" s="10"/>
      <c r="V3476" s="10"/>
      <c r="W3476" s="10"/>
      <c r="X3476" s="10"/>
      <c r="Y3476" s="10"/>
      <c r="Z3476" s="10"/>
      <c r="AA3476" s="10"/>
      <c r="AB3476" s="10"/>
      <c r="AC3476" s="10"/>
      <c r="AD3476" s="10"/>
      <c r="AE3476" s="10"/>
      <c r="AF3476" s="10"/>
    </row>
    <row r="3477">
      <c r="A3477" s="7"/>
      <c r="B3477" s="26">
        <v>260.0</v>
      </c>
      <c r="C3477" s="27">
        <v>1.0</v>
      </c>
      <c r="D3477" s="8" t="s">
        <v>4527</v>
      </c>
      <c r="E3477" s="7">
        <v>3.0</v>
      </c>
      <c r="F3477" s="7"/>
      <c r="G3477" s="7" t="s">
        <v>313</v>
      </c>
      <c r="H3477" s="7" t="s">
        <v>312</v>
      </c>
      <c r="I3477" s="10"/>
      <c r="J3477" s="9" t="s">
        <v>4528</v>
      </c>
      <c r="K3477" s="12"/>
      <c r="L3477" s="12"/>
      <c r="M3477" s="10"/>
      <c r="N3477" s="10"/>
      <c r="O3477" s="10"/>
      <c r="P3477" s="10"/>
      <c r="Q3477" s="10"/>
      <c r="R3477" s="10"/>
      <c r="S3477" s="10"/>
      <c r="T3477" s="10"/>
      <c r="U3477" s="10"/>
      <c r="V3477" s="10"/>
      <c r="W3477" s="10"/>
      <c r="X3477" s="10"/>
      <c r="Y3477" s="10"/>
      <c r="Z3477" s="10"/>
      <c r="AA3477" s="10"/>
      <c r="AB3477" s="10"/>
      <c r="AC3477" s="10"/>
      <c r="AD3477" s="10"/>
      <c r="AE3477" s="10"/>
      <c r="AF3477" s="10"/>
    </row>
    <row r="3478">
      <c r="A3478" s="7"/>
      <c r="B3478" s="26">
        <v>260.0</v>
      </c>
      <c r="C3478" s="27">
        <v>2.0</v>
      </c>
      <c r="D3478" s="8" t="s">
        <v>4529</v>
      </c>
      <c r="E3478" s="7">
        <v>0.0</v>
      </c>
      <c r="F3478" s="7"/>
      <c r="G3478" s="7" t="s">
        <v>313</v>
      </c>
      <c r="H3478" s="7" t="s">
        <v>312</v>
      </c>
      <c r="I3478" s="10"/>
      <c r="J3478" s="11"/>
      <c r="K3478" s="12"/>
      <c r="L3478" s="12"/>
      <c r="M3478" s="10"/>
      <c r="N3478" s="10"/>
      <c r="O3478" s="10"/>
      <c r="P3478" s="10"/>
      <c r="Q3478" s="10"/>
      <c r="R3478" s="10"/>
      <c r="S3478" s="10"/>
      <c r="T3478" s="10"/>
      <c r="U3478" s="10"/>
      <c r="V3478" s="10"/>
      <c r="W3478" s="10"/>
      <c r="X3478" s="10"/>
      <c r="Y3478" s="10"/>
      <c r="Z3478" s="10"/>
      <c r="AA3478" s="10"/>
      <c r="AB3478" s="10"/>
      <c r="AC3478" s="10"/>
      <c r="AD3478" s="10"/>
      <c r="AE3478" s="10"/>
      <c r="AF3478" s="10"/>
    </row>
    <row r="3479">
      <c r="A3479" s="7"/>
      <c r="B3479" s="26">
        <v>260.0</v>
      </c>
      <c r="C3479" s="27">
        <v>3.0</v>
      </c>
      <c r="D3479" s="8" t="s">
        <v>4530</v>
      </c>
      <c r="E3479" s="7">
        <v>3.0</v>
      </c>
      <c r="F3479" s="7"/>
      <c r="G3479" s="7" t="s">
        <v>313</v>
      </c>
      <c r="H3479" s="7" t="s">
        <v>312</v>
      </c>
      <c r="I3479" s="10"/>
      <c r="J3479" s="11"/>
      <c r="K3479" s="12"/>
      <c r="L3479" s="12"/>
      <c r="M3479" s="10"/>
      <c r="N3479" s="10"/>
      <c r="O3479" s="10"/>
      <c r="P3479" s="10"/>
      <c r="Q3479" s="10"/>
      <c r="R3479" s="10"/>
      <c r="S3479" s="10"/>
      <c r="T3479" s="10"/>
      <c r="U3479" s="10"/>
      <c r="V3479" s="10"/>
      <c r="W3479" s="10"/>
      <c r="X3479" s="10"/>
      <c r="Y3479" s="10"/>
      <c r="Z3479" s="10"/>
      <c r="AA3479" s="10"/>
      <c r="AB3479" s="10"/>
      <c r="AC3479" s="10"/>
      <c r="AD3479" s="10"/>
      <c r="AE3479" s="10"/>
      <c r="AF3479" s="10"/>
    </row>
    <row r="3480">
      <c r="A3480" s="10"/>
      <c r="B3480" s="12"/>
      <c r="C3480" s="12"/>
      <c r="D3480" s="12"/>
      <c r="E3480" s="10"/>
      <c r="F3480" s="10"/>
      <c r="G3480" s="10"/>
      <c r="H3480" s="10"/>
      <c r="I3480" s="10"/>
      <c r="J3480" s="11"/>
      <c r="K3480" s="12"/>
      <c r="L3480" s="12"/>
      <c r="M3480" s="10"/>
      <c r="N3480" s="10"/>
      <c r="O3480" s="10"/>
      <c r="P3480" s="10"/>
      <c r="Q3480" s="10"/>
      <c r="R3480" s="10"/>
      <c r="S3480" s="10"/>
      <c r="T3480" s="10"/>
      <c r="U3480" s="10"/>
      <c r="V3480" s="10"/>
      <c r="W3480" s="10"/>
      <c r="X3480" s="10"/>
      <c r="Y3480" s="10"/>
      <c r="Z3480" s="10"/>
      <c r="AA3480" s="10"/>
      <c r="AB3480" s="10"/>
      <c r="AC3480" s="10"/>
      <c r="AD3480" s="10"/>
      <c r="AE3480" s="10"/>
      <c r="AF3480" s="10"/>
    </row>
    <row r="3481">
      <c r="A3481" s="7"/>
      <c r="B3481" s="26">
        <v>261.0</v>
      </c>
      <c r="C3481" s="27">
        <v>1.0</v>
      </c>
      <c r="D3481" s="8" t="s">
        <v>4531</v>
      </c>
      <c r="E3481" s="7">
        <v>0.0</v>
      </c>
      <c r="F3481" s="7"/>
      <c r="G3481" s="7" t="s">
        <v>313</v>
      </c>
      <c r="H3481" s="7" t="s">
        <v>312</v>
      </c>
      <c r="I3481" s="10"/>
      <c r="J3481" s="9"/>
      <c r="K3481" s="12"/>
      <c r="L3481" s="12"/>
      <c r="M3481" s="10"/>
      <c r="N3481" s="10"/>
      <c r="O3481" s="10"/>
      <c r="P3481" s="10"/>
      <c r="Q3481" s="10"/>
      <c r="R3481" s="10"/>
      <c r="S3481" s="10"/>
      <c r="T3481" s="10"/>
      <c r="U3481" s="10"/>
      <c r="V3481" s="10"/>
      <c r="W3481" s="10"/>
      <c r="X3481" s="10"/>
      <c r="Y3481" s="10"/>
      <c r="Z3481" s="10"/>
      <c r="AA3481" s="10"/>
      <c r="AB3481" s="10"/>
      <c r="AC3481" s="10"/>
      <c r="AD3481" s="10"/>
      <c r="AE3481" s="10"/>
      <c r="AF3481" s="10"/>
    </row>
    <row r="3482">
      <c r="A3482" s="7"/>
      <c r="B3482" s="26">
        <v>261.0</v>
      </c>
      <c r="C3482" s="27">
        <v>2.0</v>
      </c>
      <c r="D3482" s="8" t="s">
        <v>4532</v>
      </c>
      <c r="E3482" s="7">
        <v>3.0</v>
      </c>
      <c r="F3482" s="7" t="s">
        <v>320</v>
      </c>
      <c r="G3482" s="7" t="s">
        <v>313</v>
      </c>
      <c r="H3482" s="7" t="s">
        <v>312</v>
      </c>
      <c r="I3482" s="7" t="s">
        <v>366</v>
      </c>
      <c r="J3482" s="9" t="s">
        <v>4533</v>
      </c>
      <c r="K3482" s="12"/>
      <c r="L3482" s="12"/>
      <c r="M3482" s="10"/>
      <c r="N3482" s="10"/>
      <c r="O3482" s="10"/>
      <c r="P3482" s="10"/>
      <c r="Q3482" s="10"/>
      <c r="R3482" s="10"/>
      <c r="S3482" s="10"/>
      <c r="T3482" s="10"/>
      <c r="U3482" s="10"/>
      <c r="V3482" s="10"/>
      <c r="W3482" s="10"/>
      <c r="X3482" s="10"/>
      <c r="Y3482" s="10"/>
      <c r="Z3482" s="10"/>
      <c r="AA3482" s="10"/>
      <c r="AB3482" s="10"/>
      <c r="AC3482" s="10"/>
      <c r="AD3482" s="10"/>
      <c r="AE3482" s="10"/>
      <c r="AF3482" s="10"/>
    </row>
    <row r="3483">
      <c r="A3483" s="7"/>
      <c r="B3483" s="26">
        <v>261.0</v>
      </c>
      <c r="C3483" s="27">
        <v>3.0</v>
      </c>
      <c r="D3483" s="8" t="s">
        <v>4534</v>
      </c>
      <c r="E3483" s="7">
        <v>3.0</v>
      </c>
      <c r="F3483" s="7" t="s">
        <v>320</v>
      </c>
      <c r="G3483" s="7" t="s">
        <v>313</v>
      </c>
      <c r="H3483" s="7" t="s">
        <v>312</v>
      </c>
      <c r="I3483" s="7" t="s">
        <v>366</v>
      </c>
      <c r="J3483" s="9" t="s">
        <v>4535</v>
      </c>
      <c r="K3483" s="12"/>
      <c r="L3483" s="12"/>
      <c r="M3483" s="10"/>
      <c r="N3483" s="10"/>
      <c r="O3483" s="10"/>
      <c r="P3483" s="10"/>
      <c r="Q3483" s="10"/>
      <c r="R3483" s="10"/>
      <c r="S3483" s="10"/>
      <c r="T3483" s="10"/>
      <c r="U3483" s="10"/>
      <c r="V3483" s="10"/>
      <c r="W3483" s="10"/>
      <c r="X3483" s="10"/>
      <c r="Y3483" s="10"/>
      <c r="Z3483" s="10"/>
      <c r="AA3483" s="10"/>
      <c r="AB3483" s="10"/>
      <c r="AC3483" s="10"/>
      <c r="AD3483" s="10"/>
      <c r="AE3483" s="10"/>
      <c r="AF3483" s="10"/>
    </row>
    <row r="3484">
      <c r="A3484" s="7"/>
      <c r="B3484" s="26">
        <v>261.0</v>
      </c>
      <c r="C3484" s="27">
        <v>4.0</v>
      </c>
      <c r="D3484" s="8" t="s">
        <v>4536</v>
      </c>
      <c r="E3484" s="7">
        <v>0.0</v>
      </c>
      <c r="F3484" s="7"/>
      <c r="G3484" s="7" t="s">
        <v>313</v>
      </c>
      <c r="H3484" s="7" t="s">
        <v>312</v>
      </c>
      <c r="I3484" s="10"/>
      <c r="J3484" s="9"/>
      <c r="K3484" s="12"/>
      <c r="L3484" s="12"/>
      <c r="M3484" s="10"/>
      <c r="N3484" s="10"/>
      <c r="O3484" s="10"/>
      <c r="P3484" s="10"/>
      <c r="Q3484" s="10"/>
      <c r="R3484" s="10"/>
      <c r="S3484" s="10"/>
      <c r="T3484" s="10"/>
      <c r="U3484" s="10"/>
      <c r="V3484" s="10"/>
      <c r="W3484" s="10"/>
      <c r="X3484" s="10"/>
      <c r="Y3484" s="10"/>
      <c r="Z3484" s="10"/>
      <c r="AA3484" s="10"/>
      <c r="AB3484" s="10"/>
      <c r="AC3484" s="10"/>
      <c r="AD3484" s="10"/>
      <c r="AE3484" s="10"/>
      <c r="AF3484" s="10"/>
    </row>
    <row r="3485">
      <c r="A3485" s="7"/>
      <c r="B3485" s="26">
        <v>261.0</v>
      </c>
      <c r="C3485" s="27">
        <v>5.0</v>
      </c>
      <c r="D3485" s="8" t="s">
        <v>4537</v>
      </c>
      <c r="E3485" s="7">
        <v>3.0</v>
      </c>
      <c r="F3485" s="7" t="s">
        <v>320</v>
      </c>
      <c r="G3485" s="7" t="s">
        <v>313</v>
      </c>
      <c r="H3485" s="7" t="s">
        <v>312</v>
      </c>
      <c r="I3485" s="7" t="s">
        <v>366</v>
      </c>
      <c r="J3485" s="9" t="s">
        <v>4538</v>
      </c>
      <c r="K3485" s="12"/>
      <c r="L3485" s="12"/>
      <c r="M3485" s="10"/>
      <c r="N3485" s="10"/>
      <c r="O3485" s="10"/>
      <c r="P3485" s="10"/>
      <c r="Q3485" s="10"/>
      <c r="R3485" s="10"/>
      <c r="S3485" s="10"/>
      <c r="T3485" s="10"/>
      <c r="U3485" s="10"/>
      <c r="V3485" s="10"/>
      <c r="W3485" s="10"/>
      <c r="X3485" s="10"/>
      <c r="Y3485" s="10"/>
      <c r="Z3485" s="10"/>
      <c r="AA3485" s="10"/>
      <c r="AB3485" s="10"/>
      <c r="AC3485" s="10"/>
      <c r="AD3485" s="10"/>
      <c r="AE3485" s="10"/>
      <c r="AF3485" s="10"/>
    </row>
    <row r="3486">
      <c r="A3486" s="7"/>
      <c r="B3486" s="26">
        <v>261.0</v>
      </c>
      <c r="C3486" s="27">
        <v>6.0</v>
      </c>
      <c r="D3486" s="8" t="s">
        <v>4539</v>
      </c>
      <c r="E3486" s="7">
        <v>3.0</v>
      </c>
      <c r="F3486" s="7" t="s">
        <v>320</v>
      </c>
      <c r="G3486" s="7" t="s">
        <v>313</v>
      </c>
      <c r="H3486" s="7" t="s">
        <v>312</v>
      </c>
      <c r="I3486" s="7" t="s">
        <v>366</v>
      </c>
      <c r="J3486" s="9" t="s">
        <v>4540</v>
      </c>
      <c r="K3486" s="12"/>
      <c r="L3486" s="12"/>
      <c r="M3486" s="10"/>
      <c r="N3486" s="10"/>
      <c r="O3486" s="10"/>
      <c r="P3486" s="10"/>
      <c r="Q3486" s="10"/>
      <c r="R3486" s="10"/>
      <c r="S3486" s="10"/>
      <c r="T3486" s="10"/>
      <c r="U3486" s="10"/>
      <c r="V3486" s="10"/>
      <c r="W3486" s="10"/>
      <c r="X3486" s="10"/>
      <c r="Y3486" s="10"/>
      <c r="Z3486" s="10"/>
      <c r="AA3486" s="10"/>
      <c r="AB3486" s="10"/>
      <c r="AC3486" s="10"/>
      <c r="AD3486" s="10"/>
      <c r="AE3486" s="10"/>
      <c r="AF3486" s="10"/>
    </row>
    <row r="3487">
      <c r="A3487" s="7"/>
      <c r="B3487" s="26">
        <v>261.0</v>
      </c>
      <c r="C3487" s="27">
        <v>7.0</v>
      </c>
      <c r="D3487" s="8" t="s">
        <v>4541</v>
      </c>
      <c r="E3487" s="7">
        <v>3.0</v>
      </c>
      <c r="F3487" s="7" t="s">
        <v>320</v>
      </c>
      <c r="G3487" s="7" t="s">
        <v>313</v>
      </c>
      <c r="H3487" s="7" t="s">
        <v>312</v>
      </c>
      <c r="I3487" s="7" t="s">
        <v>366</v>
      </c>
      <c r="J3487" s="9" t="s">
        <v>4542</v>
      </c>
      <c r="K3487" s="12"/>
      <c r="L3487" s="12"/>
      <c r="M3487" s="10"/>
      <c r="N3487" s="10"/>
      <c r="O3487" s="10"/>
      <c r="P3487" s="10"/>
      <c r="Q3487" s="10"/>
      <c r="R3487" s="10"/>
      <c r="S3487" s="10"/>
      <c r="T3487" s="10"/>
      <c r="U3487" s="10"/>
      <c r="V3487" s="10"/>
      <c r="W3487" s="10"/>
      <c r="X3487" s="10"/>
      <c r="Y3487" s="10"/>
      <c r="Z3487" s="10"/>
      <c r="AA3487" s="10"/>
      <c r="AB3487" s="10"/>
      <c r="AC3487" s="10"/>
      <c r="AD3487" s="10"/>
      <c r="AE3487" s="10"/>
      <c r="AF3487" s="10"/>
    </row>
    <row r="3488">
      <c r="A3488" s="7"/>
      <c r="B3488" s="26">
        <v>261.0</v>
      </c>
      <c r="C3488" s="27">
        <v>8.0</v>
      </c>
      <c r="D3488" s="8" t="s">
        <v>4543</v>
      </c>
      <c r="E3488" s="7">
        <v>3.0</v>
      </c>
      <c r="F3488" s="7" t="s">
        <v>320</v>
      </c>
      <c r="G3488" s="7" t="s">
        <v>313</v>
      </c>
      <c r="H3488" s="7" t="s">
        <v>312</v>
      </c>
      <c r="I3488" s="7" t="s">
        <v>366</v>
      </c>
      <c r="J3488" s="9" t="s">
        <v>4544</v>
      </c>
      <c r="K3488" s="12"/>
      <c r="L3488" s="12"/>
      <c r="M3488" s="10"/>
      <c r="N3488" s="10"/>
      <c r="O3488" s="10"/>
      <c r="P3488" s="10"/>
      <c r="Q3488" s="10"/>
      <c r="R3488" s="10"/>
      <c r="S3488" s="10"/>
      <c r="T3488" s="10"/>
      <c r="U3488" s="10"/>
      <c r="V3488" s="10"/>
      <c r="W3488" s="10"/>
      <c r="X3488" s="10"/>
      <c r="Y3488" s="10"/>
      <c r="Z3488" s="10"/>
      <c r="AA3488" s="10"/>
      <c r="AB3488" s="10"/>
      <c r="AC3488" s="10"/>
      <c r="AD3488" s="10"/>
      <c r="AE3488" s="10"/>
      <c r="AF3488" s="10"/>
    </row>
    <row r="3489">
      <c r="A3489" s="7"/>
      <c r="B3489" s="26">
        <v>261.0</v>
      </c>
      <c r="C3489" s="27">
        <v>9.0</v>
      </c>
      <c r="D3489" s="8" t="s">
        <v>4545</v>
      </c>
      <c r="E3489" s="7">
        <v>3.0</v>
      </c>
      <c r="F3489" s="7" t="s">
        <v>320</v>
      </c>
      <c r="G3489" s="7" t="s">
        <v>313</v>
      </c>
      <c r="H3489" s="7" t="s">
        <v>312</v>
      </c>
      <c r="I3489" s="7" t="s">
        <v>366</v>
      </c>
      <c r="J3489" s="9" t="s">
        <v>4546</v>
      </c>
      <c r="K3489" s="12"/>
      <c r="L3489" s="12"/>
      <c r="M3489" s="10"/>
      <c r="N3489" s="10"/>
      <c r="O3489" s="10"/>
      <c r="P3489" s="10"/>
      <c r="Q3489" s="10"/>
      <c r="R3489" s="10"/>
      <c r="S3489" s="10"/>
      <c r="T3489" s="10"/>
      <c r="U3489" s="10"/>
      <c r="V3489" s="10"/>
      <c r="W3489" s="10"/>
      <c r="X3489" s="10"/>
      <c r="Y3489" s="10"/>
      <c r="Z3489" s="10"/>
      <c r="AA3489" s="10"/>
      <c r="AB3489" s="10"/>
      <c r="AC3489" s="10"/>
      <c r="AD3489" s="10"/>
      <c r="AE3489" s="10"/>
      <c r="AF3489" s="10"/>
    </row>
    <row r="3490">
      <c r="A3490" s="7"/>
      <c r="B3490" s="26">
        <v>261.0</v>
      </c>
      <c r="C3490" s="27">
        <v>10.0</v>
      </c>
      <c r="D3490" s="8" t="s">
        <v>4547</v>
      </c>
      <c r="E3490" s="7">
        <v>3.0</v>
      </c>
      <c r="F3490" s="7" t="s">
        <v>320</v>
      </c>
      <c r="G3490" s="7" t="s">
        <v>313</v>
      </c>
      <c r="H3490" s="7" t="s">
        <v>312</v>
      </c>
      <c r="I3490" s="7" t="s">
        <v>366</v>
      </c>
      <c r="J3490" s="9" t="s">
        <v>4548</v>
      </c>
      <c r="K3490" s="12"/>
      <c r="L3490" s="12"/>
      <c r="M3490" s="10"/>
      <c r="N3490" s="10"/>
      <c r="O3490" s="10"/>
      <c r="P3490" s="10"/>
      <c r="Q3490" s="10"/>
      <c r="R3490" s="10"/>
      <c r="S3490" s="10"/>
      <c r="T3490" s="10"/>
      <c r="U3490" s="10"/>
      <c r="V3490" s="10"/>
      <c r="W3490" s="10"/>
      <c r="X3490" s="10"/>
      <c r="Y3490" s="10"/>
      <c r="Z3490" s="10"/>
      <c r="AA3490" s="10"/>
      <c r="AB3490" s="10"/>
      <c r="AC3490" s="10"/>
      <c r="AD3490" s="10"/>
      <c r="AE3490" s="10"/>
      <c r="AF3490" s="10"/>
    </row>
    <row r="3491">
      <c r="A3491" s="7"/>
      <c r="B3491" s="26">
        <v>261.0</v>
      </c>
      <c r="C3491" s="27">
        <v>11.0</v>
      </c>
      <c r="D3491" s="8" t="s">
        <v>4549</v>
      </c>
      <c r="E3491" s="7">
        <v>3.0</v>
      </c>
      <c r="F3491" s="7" t="s">
        <v>320</v>
      </c>
      <c r="G3491" s="7" t="s">
        <v>313</v>
      </c>
      <c r="H3491" s="7" t="s">
        <v>312</v>
      </c>
      <c r="I3491" s="7" t="s">
        <v>366</v>
      </c>
      <c r="J3491" s="9" t="s">
        <v>4550</v>
      </c>
      <c r="K3491" s="12"/>
      <c r="L3491" s="12"/>
      <c r="M3491" s="10"/>
      <c r="N3491" s="10"/>
      <c r="O3491" s="10"/>
      <c r="P3491" s="10"/>
      <c r="Q3491" s="10"/>
      <c r="R3491" s="10"/>
      <c r="S3491" s="10"/>
      <c r="T3491" s="10"/>
      <c r="U3491" s="10"/>
      <c r="V3491" s="10"/>
      <c r="W3491" s="10"/>
      <c r="X3491" s="10"/>
      <c r="Y3491" s="10"/>
      <c r="Z3491" s="10"/>
      <c r="AA3491" s="10"/>
      <c r="AB3491" s="10"/>
      <c r="AC3491" s="10"/>
      <c r="AD3491" s="10"/>
      <c r="AE3491" s="10"/>
      <c r="AF3491" s="10"/>
    </row>
    <row r="3492">
      <c r="A3492" s="7"/>
      <c r="B3492" s="26">
        <v>261.0</v>
      </c>
      <c r="C3492" s="27">
        <v>12.0</v>
      </c>
      <c r="D3492" s="8" t="s">
        <v>4551</v>
      </c>
      <c r="E3492" s="7">
        <v>3.0</v>
      </c>
      <c r="F3492" s="7" t="s">
        <v>320</v>
      </c>
      <c r="G3492" s="7" t="s">
        <v>313</v>
      </c>
      <c r="H3492" s="7" t="s">
        <v>312</v>
      </c>
      <c r="I3492" s="7" t="s">
        <v>366</v>
      </c>
      <c r="J3492" s="9" t="s">
        <v>4552</v>
      </c>
      <c r="K3492" s="12"/>
      <c r="L3492" s="12"/>
      <c r="M3492" s="10"/>
      <c r="N3492" s="10"/>
      <c r="O3492" s="10"/>
      <c r="P3492" s="10"/>
      <c r="Q3492" s="10"/>
      <c r="R3492" s="10"/>
      <c r="S3492" s="10"/>
      <c r="T3492" s="10"/>
      <c r="U3492" s="10"/>
      <c r="V3492" s="10"/>
      <c r="W3492" s="10"/>
      <c r="X3492" s="10"/>
      <c r="Y3492" s="10"/>
      <c r="Z3492" s="10"/>
      <c r="AA3492" s="10"/>
      <c r="AB3492" s="10"/>
      <c r="AC3492" s="10"/>
      <c r="AD3492" s="10"/>
      <c r="AE3492" s="10"/>
      <c r="AF3492" s="10"/>
    </row>
    <row r="3493">
      <c r="A3493" s="7"/>
      <c r="B3493" s="26">
        <v>261.0</v>
      </c>
      <c r="C3493" s="27">
        <v>13.0</v>
      </c>
      <c r="D3493" s="8" t="s">
        <v>4553</v>
      </c>
      <c r="E3493" s="7">
        <v>3.0</v>
      </c>
      <c r="F3493" s="7" t="s">
        <v>320</v>
      </c>
      <c r="G3493" s="7" t="s">
        <v>313</v>
      </c>
      <c r="H3493" s="7" t="s">
        <v>312</v>
      </c>
      <c r="I3493" s="7" t="s">
        <v>366</v>
      </c>
      <c r="J3493" s="9" t="s">
        <v>4554</v>
      </c>
      <c r="K3493" s="12"/>
      <c r="L3493" s="12"/>
      <c r="M3493" s="10"/>
      <c r="N3493" s="10"/>
      <c r="O3493" s="10"/>
      <c r="P3493" s="10"/>
      <c r="Q3493" s="10"/>
      <c r="R3493" s="10"/>
      <c r="S3493" s="10"/>
      <c r="T3493" s="10"/>
      <c r="U3493" s="10"/>
      <c r="V3493" s="10"/>
      <c r="W3493" s="10"/>
      <c r="X3493" s="10"/>
      <c r="Y3493" s="10"/>
      <c r="Z3493" s="10"/>
      <c r="AA3493" s="10"/>
      <c r="AB3493" s="10"/>
      <c r="AC3493" s="10"/>
      <c r="AD3493" s="10"/>
      <c r="AE3493" s="10"/>
      <c r="AF3493" s="10"/>
    </row>
    <row r="3494">
      <c r="A3494" s="7"/>
      <c r="B3494" s="26">
        <v>261.0</v>
      </c>
      <c r="C3494" s="27">
        <v>14.0</v>
      </c>
      <c r="D3494" s="8" t="s">
        <v>4555</v>
      </c>
      <c r="E3494" s="7">
        <v>3.0</v>
      </c>
      <c r="F3494" s="7"/>
      <c r="G3494" s="7" t="s">
        <v>313</v>
      </c>
      <c r="H3494" s="7" t="s">
        <v>312</v>
      </c>
      <c r="I3494" s="10"/>
      <c r="J3494" s="11"/>
      <c r="K3494" s="12"/>
      <c r="L3494" s="12"/>
      <c r="M3494" s="10"/>
      <c r="N3494" s="10"/>
      <c r="O3494" s="10"/>
      <c r="P3494" s="10"/>
      <c r="Q3494" s="10"/>
      <c r="R3494" s="10"/>
      <c r="S3494" s="10"/>
      <c r="T3494" s="10"/>
      <c r="U3494" s="10"/>
      <c r="V3494" s="10"/>
      <c r="W3494" s="10"/>
      <c r="X3494" s="10"/>
      <c r="Y3494" s="10"/>
      <c r="Z3494" s="10"/>
      <c r="AA3494" s="10"/>
      <c r="AB3494" s="10"/>
      <c r="AC3494" s="10"/>
      <c r="AD3494" s="10"/>
      <c r="AE3494" s="10"/>
      <c r="AF3494" s="10"/>
    </row>
    <row r="3495">
      <c r="A3495" s="7"/>
      <c r="B3495" s="26">
        <v>261.0</v>
      </c>
      <c r="C3495" s="27">
        <v>15.0</v>
      </c>
      <c r="D3495" s="8" t="s">
        <v>4556</v>
      </c>
      <c r="E3495" s="7">
        <v>3.0</v>
      </c>
      <c r="F3495" s="7"/>
      <c r="G3495" s="7" t="s">
        <v>313</v>
      </c>
      <c r="H3495" s="7" t="s">
        <v>312</v>
      </c>
      <c r="I3495" s="10"/>
      <c r="J3495" s="11"/>
      <c r="K3495" s="12"/>
      <c r="L3495" s="12"/>
      <c r="M3495" s="10"/>
      <c r="N3495" s="10"/>
      <c r="O3495" s="10"/>
      <c r="P3495" s="10"/>
      <c r="Q3495" s="10"/>
      <c r="R3495" s="10"/>
      <c r="S3495" s="10"/>
      <c r="T3495" s="10"/>
      <c r="U3495" s="10"/>
      <c r="V3495" s="10"/>
      <c r="W3495" s="10"/>
      <c r="X3495" s="10"/>
      <c r="Y3495" s="10"/>
      <c r="Z3495" s="10"/>
      <c r="AA3495" s="10"/>
      <c r="AB3495" s="10"/>
      <c r="AC3495" s="10"/>
      <c r="AD3495" s="10"/>
      <c r="AE3495" s="10"/>
      <c r="AF3495" s="10"/>
    </row>
    <row r="3496">
      <c r="A3496" s="7"/>
      <c r="B3496" s="26">
        <v>261.0</v>
      </c>
      <c r="C3496" s="27">
        <v>16.0</v>
      </c>
      <c r="D3496" s="8" t="s">
        <v>4557</v>
      </c>
      <c r="E3496" s="7">
        <v>0.0</v>
      </c>
      <c r="F3496" s="7"/>
      <c r="G3496" s="7" t="s">
        <v>313</v>
      </c>
      <c r="H3496" s="7" t="s">
        <v>312</v>
      </c>
      <c r="I3496" s="10"/>
      <c r="J3496" s="11"/>
      <c r="K3496" s="12"/>
      <c r="L3496" s="12"/>
      <c r="M3496" s="10"/>
      <c r="N3496" s="10"/>
      <c r="O3496" s="10"/>
      <c r="P3496" s="10"/>
      <c r="Q3496" s="10"/>
      <c r="R3496" s="10"/>
      <c r="S3496" s="10"/>
      <c r="T3496" s="10"/>
      <c r="U3496" s="10"/>
      <c r="V3496" s="10"/>
      <c r="W3496" s="10"/>
      <c r="X3496" s="10"/>
      <c r="Y3496" s="10"/>
      <c r="Z3496" s="10"/>
      <c r="AA3496" s="10"/>
      <c r="AB3496" s="10"/>
      <c r="AC3496" s="10"/>
      <c r="AD3496" s="10"/>
      <c r="AE3496" s="10"/>
      <c r="AF3496" s="10"/>
    </row>
    <row r="3497">
      <c r="A3497" s="7"/>
      <c r="B3497" s="26">
        <v>261.0</v>
      </c>
      <c r="C3497" s="27">
        <v>17.0</v>
      </c>
      <c r="D3497" s="8" t="s">
        <v>4558</v>
      </c>
      <c r="E3497" s="7">
        <v>3.0</v>
      </c>
      <c r="F3497" s="7" t="s">
        <v>320</v>
      </c>
      <c r="G3497" s="7" t="s">
        <v>313</v>
      </c>
      <c r="H3497" s="7" t="s">
        <v>312</v>
      </c>
      <c r="I3497" s="7" t="s">
        <v>366</v>
      </c>
      <c r="J3497" s="9" t="s">
        <v>4559</v>
      </c>
      <c r="K3497" s="12"/>
      <c r="L3497" s="12"/>
      <c r="M3497" s="10"/>
      <c r="N3497" s="10"/>
      <c r="O3497" s="10"/>
      <c r="P3497" s="10"/>
      <c r="Q3497" s="10"/>
      <c r="R3497" s="10"/>
      <c r="S3497" s="10"/>
      <c r="T3497" s="10"/>
      <c r="U3497" s="10"/>
      <c r="V3497" s="10"/>
      <c r="W3497" s="10"/>
      <c r="X3497" s="10"/>
      <c r="Y3497" s="10"/>
      <c r="Z3497" s="10"/>
      <c r="AA3497" s="10"/>
      <c r="AB3497" s="10"/>
      <c r="AC3497" s="10"/>
      <c r="AD3497" s="10"/>
      <c r="AE3497" s="10"/>
      <c r="AF3497" s="10"/>
    </row>
    <row r="3498">
      <c r="A3498" s="7"/>
      <c r="B3498" s="26">
        <v>261.0</v>
      </c>
      <c r="C3498" s="27">
        <v>18.0</v>
      </c>
      <c r="D3498" s="8" t="s">
        <v>4560</v>
      </c>
      <c r="E3498" s="7">
        <v>3.0</v>
      </c>
      <c r="F3498" s="7" t="s">
        <v>320</v>
      </c>
      <c r="G3498" s="7" t="s">
        <v>313</v>
      </c>
      <c r="H3498" s="7" t="s">
        <v>312</v>
      </c>
      <c r="I3498" s="7" t="s">
        <v>366</v>
      </c>
      <c r="J3498" s="9" t="s">
        <v>4561</v>
      </c>
      <c r="K3498" s="12"/>
      <c r="L3498" s="12"/>
      <c r="M3498" s="10"/>
      <c r="N3498" s="10"/>
      <c r="O3498" s="10"/>
      <c r="P3498" s="10"/>
      <c r="Q3498" s="10"/>
      <c r="R3498" s="10"/>
      <c r="S3498" s="10"/>
      <c r="T3498" s="10"/>
      <c r="U3498" s="10"/>
      <c r="V3498" s="10"/>
      <c r="W3498" s="10"/>
      <c r="X3498" s="10"/>
      <c r="Y3498" s="10"/>
      <c r="Z3498" s="10"/>
      <c r="AA3498" s="10"/>
      <c r="AB3498" s="10"/>
      <c r="AC3498" s="10"/>
      <c r="AD3498" s="10"/>
      <c r="AE3498" s="10"/>
      <c r="AF3498" s="10"/>
    </row>
    <row r="3499">
      <c r="A3499" s="7"/>
      <c r="B3499" s="26">
        <v>261.0</v>
      </c>
      <c r="C3499" s="27">
        <v>19.0</v>
      </c>
      <c r="D3499" s="8" t="s">
        <v>4562</v>
      </c>
      <c r="E3499" s="7">
        <v>3.0</v>
      </c>
      <c r="F3499" s="7" t="s">
        <v>320</v>
      </c>
      <c r="G3499" s="7" t="s">
        <v>313</v>
      </c>
      <c r="H3499" s="7" t="s">
        <v>312</v>
      </c>
      <c r="I3499" s="7" t="s">
        <v>366</v>
      </c>
      <c r="J3499" s="9" t="s">
        <v>4563</v>
      </c>
      <c r="K3499" s="12"/>
      <c r="L3499" s="12"/>
      <c r="M3499" s="10"/>
      <c r="N3499" s="10"/>
      <c r="O3499" s="10"/>
      <c r="P3499" s="10"/>
      <c r="Q3499" s="10"/>
      <c r="R3499" s="10"/>
      <c r="S3499" s="10"/>
      <c r="T3499" s="10"/>
      <c r="U3499" s="10"/>
      <c r="V3499" s="10"/>
      <c r="W3499" s="10"/>
      <c r="X3499" s="10"/>
      <c r="Y3499" s="10"/>
      <c r="Z3499" s="10"/>
      <c r="AA3499" s="10"/>
      <c r="AB3499" s="10"/>
      <c r="AC3499" s="10"/>
      <c r="AD3499" s="10"/>
      <c r="AE3499" s="10"/>
      <c r="AF3499" s="10"/>
    </row>
    <row r="3500">
      <c r="A3500" s="7"/>
      <c r="B3500" s="26">
        <v>261.0</v>
      </c>
      <c r="C3500" s="27">
        <v>20.0</v>
      </c>
      <c r="D3500" s="8" t="s">
        <v>4564</v>
      </c>
      <c r="E3500" s="7">
        <v>3.0</v>
      </c>
      <c r="F3500" s="7" t="s">
        <v>320</v>
      </c>
      <c r="G3500" s="7" t="s">
        <v>313</v>
      </c>
      <c r="H3500" s="7" t="s">
        <v>312</v>
      </c>
      <c r="I3500" s="7" t="s">
        <v>366</v>
      </c>
      <c r="J3500" s="9" t="s">
        <v>4565</v>
      </c>
      <c r="K3500" s="12"/>
      <c r="L3500" s="12"/>
      <c r="M3500" s="10"/>
      <c r="N3500" s="10"/>
      <c r="O3500" s="10"/>
      <c r="P3500" s="10"/>
      <c r="Q3500" s="10"/>
      <c r="R3500" s="10"/>
      <c r="S3500" s="10"/>
      <c r="T3500" s="10"/>
      <c r="U3500" s="10"/>
      <c r="V3500" s="10"/>
      <c r="W3500" s="10"/>
      <c r="X3500" s="10"/>
      <c r="Y3500" s="10"/>
      <c r="Z3500" s="10"/>
      <c r="AA3500" s="10"/>
      <c r="AB3500" s="10"/>
      <c r="AC3500" s="10"/>
      <c r="AD3500" s="10"/>
      <c r="AE3500" s="10"/>
      <c r="AF3500" s="10"/>
    </row>
    <row r="3501">
      <c r="A3501" s="7"/>
      <c r="B3501" s="26">
        <v>261.0</v>
      </c>
      <c r="C3501" s="27">
        <v>21.0</v>
      </c>
      <c r="D3501" s="8" t="s">
        <v>4566</v>
      </c>
      <c r="E3501" s="7">
        <v>3.0</v>
      </c>
      <c r="F3501" s="7" t="s">
        <v>320</v>
      </c>
      <c r="G3501" s="7" t="s">
        <v>313</v>
      </c>
      <c r="H3501" s="7" t="s">
        <v>312</v>
      </c>
      <c r="I3501" s="7" t="s">
        <v>366</v>
      </c>
      <c r="J3501" s="9" t="s">
        <v>4567</v>
      </c>
      <c r="K3501" s="12"/>
      <c r="L3501" s="12"/>
      <c r="M3501" s="10"/>
      <c r="N3501" s="10"/>
      <c r="O3501" s="10"/>
      <c r="P3501" s="10"/>
      <c r="Q3501" s="10"/>
      <c r="R3501" s="10"/>
      <c r="S3501" s="10"/>
      <c r="T3501" s="10"/>
      <c r="U3501" s="10"/>
      <c r="V3501" s="10"/>
      <c r="W3501" s="10"/>
      <c r="X3501" s="10"/>
      <c r="Y3501" s="10"/>
      <c r="Z3501" s="10"/>
      <c r="AA3501" s="10"/>
      <c r="AB3501" s="10"/>
      <c r="AC3501" s="10"/>
      <c r="AD3501" s="10"/>
      <c r="AE3501" s="10"/>
      <c r="AF3501" s="10"/>
    </row>
    <row r="3502">
      <c r="A3502" s="7"/>
      <c r="B3502" s="26">
        <v>261.0</v>
      </c>
      <c r="C3502" s="27">
        <v>22.0</v>
      </c>
      <c r="D3502" s="8" t="s">
        <v>4568</v>
      </c>
      <c r="E3502" s="7">
        <v>3.0</v>
      </c>
      <c r="F3502" s="7" t="s">
        <v>320</v>
      </c>
      <c r="G3502" s="7" t="s">
        <v>313</v>
      </c>
      <c r="H3502" s="7" t="s">
        <v>312</v>
      </c>
      <c r="I3502" s="7" t="s">
        <v>366</v>
      </c>
      <c r="J3502" s="9" t="s">
        <v>4569</v>
      </c>
      <c r="K3502" s="12"/>
      <c r="L3502" s="12"/>
      <c r="M3502" s="10"/>
      <c r="N3502" s="10"/>
      <c r="O3502" s="10"/>
      <c r="P3502" s="10"/>
      <c r="Q3502" s="10"/>
      <c r="R3502" s="10"/>
      <c r="S3502" s="10"/>
      <c r="T3502" s="10"/>
      <c r="U3502" s="10"/>
      <c r="V3502" s="10"/>
      <c r="W3502" s="10"/>
      <c r="X3502" s="10"/>
      <c r="Y3502" s="10"/>
      <c r="Z3502" s="10"/>
      <c r="AA3502" s="10"/>
      <c r="AB3502" s="10"/>
      <c r="AC3502" s="10"/>
      <c r="AD3502" s="10"/>
      <c r="AE3502" s="10"/>
      <c r="AF3502" s="10"/>
    </row>
    <row r="3503">
      <c r="A3503" s="7"/>
      <c r="B3503" s="26">
        <v>261.0</v>
      </c>
      <c r="C3503" s="27">
        <v>23.0</v>
      </c>
      <c r="D3503" s="8" t="s">
        <v>4570</v>
      </c>
      <c r="E3503" s="7">
        <v>3.0</v>
      </c>
      <c r="F3503" s="7" t="s">
        <v>320</v>
      </c>
      <c r="G3503" s="7" t="s">
        <v>313</v>
      </c>
      <c r="H3503" s="7" t="s">
        <v>312</v>
      </c>
      <c r="I3503" s="7" t="s">
        <v>366</v>
      </c>
      <c r="J3503" s="9" t="s">
        <v>4571</v>
      </c>
      <c r="K3503" s="12"/>
      <c r="L3503" s="12"/>
      <c r="M3503" s="10"/>
      <c r="N3503" s="10"/>
      <c r="O3503" s="10"/>
      <c r="P3503" s="10"/>
      <c r="Q3503" s="10"/>
      <c r="R3503" s="10"/>
      <c r="S3503" s="10"/>
      <c r="T3503" s="10"/>
      <c r="U3503" s="10"/>
      <c r="V3503" s="10"/>
      <c r="W3503" s="10"/>
      <c r="X3503" s="10"/>
      <c r="Y3503" s="10"/>
      <c r="Z3503" s="10"/>
      <c r="AA3503" s="10"/>
      <c r="AB3503" s="10"/>
      <c r="AC3503" s="10"/>
      <c r="AD3503" s="10"/>
      <c r="AE3503" s="10"/>
      <c r="AF3503" s="10"/>
    </row>
    <row r="3504">
      <c r="A3504" s="7"/>
      <c r="B3504" s="26">
        <v>261.0</v>
      </c>
      <c r="C3504" s="27">
        <v>24.0</v>
      </c>
      <c r="D3504" s="8" t="s">
        <v>4572</v>
      </c>
      <c r="E3504" s="7">
        <v>3.0</v>
      </c>
      <c r="F3504" s="7" t="s">
        <v>320</v>
      </c>
      <c r="G3504" s="7" t="s">
        <v>313</v>
      </c>
      <c r="H3504" s="7" t="s">
        <v>312</v>
      </c>
      <c r="I3504" s="7" t="s">
        <v>366</v>
      </c>
      <c r="J3504" s="9" t="s">
        <v>4573</v>
      </c>
      <c r="K3504" s="12"/>
      <c r="L3504" s="12"/>
      <c r="M3504" s="10"/>
      <c r="N3504" s="10"/>
      <c r="O3504" s="10"/>
      <c r="P3504" s="10"/>
      <c r="Q3504" s="10"/>
      <c r="R3504" s="10"/>
      <c r="S3504" s="10"/>
      <c r="T3504" s="10"/>
      <c r="U3504" s="10"/>
      <c r="V3504" s="10"/>
      <c r="W3504" s="10"/>
      <c r="X3504" s="10"/>
      <c r="Y3504" s="10"/>
      <c r="Z3504" s="10"/>
      <c r="AA3504" s="10"/>
      <c r="AB3504" s="10"/>
      <c r="AC3504" s="10"/>
      <c r="AD3504" s="10"/>
      <c r="AE3504" s="10"/>
      <c r="AF3504" s="10"/>
    </row>
    <row r="3505">
      <c r="A3505" s="7"/>
      <c r="B3505" s="26">
        <v>261.0</v>
      </c>
      <c r="C3505" s="27">
        <v>25.0</v>
      </c>
      <c r="D3505" s="8" t="s">
        <v>4574</v>
      </c>
      <c r="E3505" s="7">
        <v>3.0</v>
      </c>
      <c r="F3505" s="7" t="s">
        <v>320</v>
      </c>
      <c r="G3505" s="7" t="s">
        <v>313</v>
      </c>
      <c r="H3505" s="7" t="s">
        <v>312</v>
      </c>
      <c r="I3505" s="7" t="s">
        <v>366</v>
      </c>
      <c r="J3505" s="9" t="s">
        <v>4575</v>
      </c>
      <c r="K3505" s="12"/>
      <c r="L3505" s="12"/>
      <c r="M3505" s="10"/>
      <c r="N3505" s="10"/>
      <c r="O3505" s="10"/>
      <c r="P3505" s="10"/>
      <c r="Q3505" s="10"/>
      <c r="R3505" s="10"/>
      <c r="S3505" s="10"/>
      <c r="T3505" s="10"/>
      <c r="U3505" s="10"/>
      <c r="V3505" s="10"/>
      <c r="W3505" s="10"/>
      <c r="X3505" s="10"/>
      <c r="Y3505" s="10"/>
      <c r="Z3505" s="10"/>
      <c r="AA3505" s="10"/>
      <c r="AB3505" s="10"/>
      <c r="AC3505" s="10"/>
      <c r="AD3505" s="10"/>
      <c r="AE3505" s="10"/>
      <c r="AF3505" s="10"/>
    </row>
    <row r="3506">
      <c r="A3506" s="7"/>
      <c r="B3506" s="26">
        <v>261.0</v>
      </c>
      <c r="C3506" s="27">
        <v>26.0</v>
      </c>
      <c r="D3506" s="8" t="s">
        <v>4576</v>
      </c>
      <c r="E3506" s="7">
        <v>0.0</v>
      </c>
      <c r="F3506" s="7"/>
      <c r="G3506" s="7" t="s">
        <v>313</v>
      </c>
      <c r="H3506" s="7" t="s">
        <v>312</v>
      </c>
      <c r="I3506" s="10"/>
      <c r="J3506" s="11"/>
      <c r="K3506" s="12"/>
      <c r="L3506" s="12"/>
      <c r="M3506" s="10"/>
      <c r="N3506" s="10"/>
      <c r="O3506" s="10"/>
      <c r="P3506" s="10"/>
      <c r="Q3506" s="10"/>
      <c r="R3506" s="10"/>
      <c r="S3506" s="10"/>
      <c r="T3506" s="10"/>
      <c r="U3506" s="10"/>
      <c r="V3506" s="10"/>
      <c r="W3506" s="10"/>
      <c r="X3506" s="10"/>
      <c r="Y3506" s="10"/>
      <c r="Z3506" s="10"/>
      <c r="AA3506" s="10"/>
      <c r="AB3506" s="10"/>
      <c r="AC3506" s="10"/>
      <c r="AD3506" s="10"/>
      <c r="AE3506" s="10"/>
      <c r="AF3506" s="10"/>
    </row>
    <row r="3507">
      <c r="A3507" s="7"/>
      <c r="B3507" s="26">
        <v>261.0</v>
      </c>
      <c r="C3507" s="27">
        <v>27.0</v>
      </c>
      <c r="D3507" s="8" t="s">
        <v>4577</v>
      </c>
      <c r="E3507" s="7">
        <v>0.0</v>
      </c>
      <c r="F3507" s="7"/>
      <c r="G3507" s="7" t="s">
        <v>313</v>
      </c>
      <c r="H3507" s="7" t="s">
        <v>312</v>
      </c>
      <c r="I3507" s="10"/>
      <c r="J3507" s="11"/>
      <c r="K3507" s="12"/>
      <c r="L3507" s="12"/>
      <c r="M3507" s="10"/>
      <c r="N3507" s="10"/>
      <c r="O3507" s="10"/>
      <c r="P3507" s="10"/>
      <c r="Q3507" s="10"/>
      <c r="R3507" s="10"/>
      <c r="S3507" s="10"/>
      <c r="T3507" s="10"/>
      <c r="U3507" s="10"/>
      <c r="V3507" s="10"/>
      <c r="W3507" s="10"/>
      <c r="X3507" s="10"/>
      <c r="Y3507" s="10"/>
      <c r="Z3507" s="10"/>
      <c r="AA3507" s="10"/>
      <c r="AB3507" s="10"/>
      <c r="AC3507" s="10"/>
      <c r="AD3507" s="10"/>
      <c r="AE3507" s="10"/>
      <c r="AF3507" s="10"/>
    </row>
    <row r="3508">
      <c r="A3508" s="7"/>
      <c r="B3508" s="26">
        <v>261.0</v>
      </c>
      <c r="C3508" s="27">
        <v>28.0</v>
      </c>
      <c r="D3508" s="8" t="s">
        <v>4578</v>
      </c>
      <c r="E3508" s="7">
        <v>0.0</v>
      </c>
      <c r="F3508" s="7"/>
      <c r="G3508" s="7" t="s">
        <v>313</v>
      </c>
      <c r="H3508" s="7" t="s">
        <v>312</v>
      </c>
      <c r="I3508" s="10"/>
      <c r="J3508" s="11"/>
      <c r="K3508" s="12"/>
      <c r="L3508" s="12"/>
      <c r="M3508" s="10"/>
      <c r="N3508" s="10"/>
      <c r="O3508" s="10"/>
      <c r="P3508" s="10"/>
      <c r="Q3508" s="10"/>
      <c r="R3508" s="10"/>
      <c r="S3508" s="10"/>
      <c r="T3508" s="10"/>
      <c r="U3508" s="10"/>
      <c r="V3508" s="10"/>
      <c r="W3508" s="10"/>
      <c r="X3508" s="10"/>
      <c r="Y3508" s="10"/>
      <c r="Z3508" s="10"/>
      <c r="AA3508" s="10"/>
      <c r="AB3508" s="10"/>
      <c r="AC3508" s="10"/>
      <c r="AD3508" s="10"/>
      <c r="AE3508" s="10"/>
      <c r="AF3508" s="10"/>
    </row>
    <row r="3509">
      <c r="A3509" s="7"/>
      <c r="B3509" s="26">
        <v>261.0</v>
      </c>
      <c r="C3509" s="27">
        <v>29.0</v>
      </c>
      <c r="D3509" s="8" t="s">
        <v>4579</v>
      </c>
      <c r="E3509" s="7">
        <v>0.0</v>
      </c>
      <c r="F3509" s="7"/>
      <c r="G3509" s="7" t="s">
        <v>313</v>
      </c>
      <c r="H3509" s="7" t="s">
        <v>312</v>
      </c>
      <c r="I3509" s="10"/>
      <c r="J3509" s="11"/>
      <c r="K3509" s="12"/>
      <c r="L3509" s="12"/>
      <c r="M3509" s="10"/>
      <c r="N3509" s="10"/>
      <c r="O3509" s="10"/>
      <c r="P3509" s="10"/>
      <c r="Q3509" s="10"/>
      <c r="R3509" s="10"/>
      <c r="S3509" s="10"/>
      <c r="T3509" s="10"/>
      <c r="U3509" s="10"/>
      <c r="V3509" s="10"/>
      <c r="W3509" s="10"/>
      <c r="X3509" s="10"/>
      <c r="Y3509" s="10"/>
      <c r="Z3509" s="10"/>
      <c r="AA3509" s="10"/>
      <c r="AB3509" s="10"/>
      <c r="AC3509" s="10"/>
      <c r="AD3509" s="10"/>
      <c r="AE3509" s="10"/>
      <c r="AF3509" s="10"/>
    </row>
    <row r="3510">
      <c r="A3510" s="7"/>
      <c r="B3510" s="26">
        <v>261.0</v>
      </c>
      <c r="C3510" s="27">
        <v>30.0</v>
      </c>
      <c r="D3510" s="8" t="s">
        <v>4580</v>
      </c>
      <c r="E3510" s="7">
        <v>0.0</v>
      </c>
      <c r="F3510" s="7"/>
      <c r="G3510" s="7" t="s">
        <v>313</v>
      </c>
      <c r="H3510" s="7" t="s">
        <v>312</v>
      </c>
      <c r="I3510" s="10"/>
      <c r="J3510" s="11"/>
      <c r="K3510" s="12"/>
      <c r="L3510" s="12"/>
      <c r="M3510" s="10"/>
      <c r="N3510" s="10"/>
      <c r="O3510" s="10"/>
      <c r="P3510" s="10"/>
      <c r="Q3510" s="10"/>
      <c r="R3510" s="10"/>
      <c r="S3510" s="10"/>
      <c r="T3510" s="10"/>
      <c r="U3510" s="10"/>
      <c r="V3510" s="10"/>
      <c r="W3510" s="10"/>
      <c r="X3510" s="10"/>
      <c r="Y3510" s="10"/>
      <c r="Z3510" s="10"/>
      <c r="AA3510" s="10"/>
      <c r="AB3510" s="10"/>
      <c r="AC3510" s="10"/>
      <c r="AD3510" s="10"/>
      <c r="AE3510" s="10"/>
      <c r="AF3510" s="10"/>
    </row>
    <row r="3511">
      <c r="A3511" s="7"/>
      <c r="B3511" s="26">
        <v>261.0</v>
      </c>
      <c r="C3511" s="27">
        <v>31.0</v>
      </c>
      <c r="D3511" s="8" t="s">
        <v>4581</v>
      </c>
      <c r="E3511" s="7">
        <v>0.0</v>
      </c>
      <c r="F3511" s="7"/>
      <c r="G3511" s="7" t="s">
        <v>313</v>
      </c>
      <c r="H3511" s="7" t="s">
        <v>312</v>
      </c>
      <c r="I3511" s="10"/>
      <c r="J3511" s="11"/>
      <c r="K3511" s="12"/>
      <c r="L3511" s="12"/>
      <c r="M3511" s="10"/>
      <c r="N3511" s="10"/>
      <c r="O3511" s="10"/>
      <c r="P3511" s="10"/>
      <c r="Q3511" s="10"/>
      <c r="R3511" s="10"/>
      <c r="S3511" s="10"/>
      <c r="T3511" s="10"/>
      <c r="U3511" s="10"/>
      <c r="V3511" s="10"/>
      <c r="W3511" s="10"/>
      <c r="X3511" s="10"/>
      <c r="Y3511" s="10"/>
      <c r="Z3511" s="10"/>
      <c r="AA3511" s="10"/>
      <c r="AB3511" s="10"/>
      <c r="AC3511" s="10"/>
      <c r="AD3511" s="10"/>
      <c r="AE3511" s="10"/>
      <c r="AF3511" s="10"/>
    </row>
    <row r="3512">
      <c r="A3512" s="7"/>
      <c r="B3512" s="26">
        <v>261.0</v>
      </c>
      <c r="C3512" s="27">
        <v>32.0</v>
      </c>
      <c r="D3512" s="8" t="s">
        <v>4582</v>
      </c>
      <c r="E3512" s="7">
        <v>0.0</v>
      </c>
      <c r="F3512" s="7"/>
      <c r="G3512" s="7" t="s">
        <v>313</v>
      </c>
      <c r="H3512" s="7" t="s">
        <v>312</v>
      </c>
      <c r="I3512" s="10"/>
      <c r="J3512" s="11"/>
      <c r="K3512" s="12"/>
      <c r="L3512" s="12"/>
      <c r="M3512" s="10"/>
      <c r="N3512" s="10"/>
      <c r="O3512" s="10"/>
      <c r="P3512" s="10"/>
      <c r="Q3512" s="10"/>
      <c r="R3512" s="10"/>
      <c r="S3512" s="10"/>
      <c r="T3512" s="10"/>
      <c r="U3512" s="10"/>
      <c r="V3512" s="10"/>
      <c r="W3512" s="10"/>
      <c r="X3512" s="10"/>
      <c r="Y3512" s="10"/>
      <c r="Z3512" s="10"/>
      <c r="AA3512" s="10"/>
      <c r="AB3512" s="10"/>
      <c r="AC3512" s="10"/>
      <c r="AD3512" s="10"/>
      <c r="AE3512" s="10"/>
      <c r="AF3512" s="10"/>
    </row>
    <row r="3513">
      <c r="A3513" s="7"/>
      <c r="B3513" s="26">
        <v>261.0</v>
      </c>
      <c r="C3513" s="27">
        <v>33.0</v>
      </c>
      <c r="D3513" s="8" t="s">
        <v>4583</v>
      </c>
      <c r="E3513" s="7">
        <v>0.0</v>
      </c>
      <c r="F3513" s="7"/>
      <c r="G3513" s="7" t="s">
        <v>313</v>
      </c>
      <c r="H3513" s="7" t="s">
        <v>312</v>
      </c>
      <c r="I3513" s="10"/>
      <c r="J3513" s="11"/>
      <c r="K3513" s="12"/>
      <c r="L3513" s="12"/>
      <c r="M3513" s="10"/>
      <c r="N3513" s="10"/>
      <c r="O3513" s="10"/>
      <c r="P3513" s="10"/>
      <c r="Q3513" s="10"/>
      <c r="R3513" s="10"/>
      <c r="S3513" s="10"/>
      <c r="T3513" s="10"/>
      <c r="U3513" s="10"/>
      <c r="V3513" s="10"/>
      <c r="W3513" s="10"/>
      <c r="X3513" s="10"/>
      <c r="Y3513" s="10"/>
      <c r="Z3513" s="10"/>
      <c r="AA3513" s="10"/>
      <c r="AB3513" s="10"/>
      <c r="AC3513" s="10"/>
      <c r="AD3513" s="10"/>
      <c r="AE3513" s="10"/>
      <c r="AF3513" s="10"/>
    </row>
    <row r="3514">
      <c r="A3514" s="7"/>
      <c r="B3514" s="26">
        <v>261.0</v>
      </c>
      <c r="C3514" s="27">
        <v>34.0</v>
      </c>
      <c r="D3514" s="8" t="s">
        <v>4584</v>
      </c>
      <c r="E3514" s="7">
        <v>0.0</v>
      </c>
      <c r="F3514" s="7"/>
      <c r="G3514" s="7" t="s">
        <v>313</v>
      </c>
      <c r="H3514" s="7" t="s">
        <v>312</v>
      </c>
      <c r="I3514" s="10"/>
      <c r="J3514" s="11"/>
      <c r="K3514" s="12"/>
      <c r="L3514" s="12"/>
      <c r="M3514" s="10"/>
      <c r="N3514" s="10"/>
      <c r="O3514" s="10"/>
      <c r="P3514" s="10"/>
      <c r="Q3514" s="10"/>
      <c r="R3514" s="10"/>
      <c r="S3514" s="10"/>
      <c r="T3514" s="10"/>
      <c r="U3514" s="10"/>
      <c r="V3514" s="10"/>
      <c r="W3514" s="10"/>
      <c r="X3514" s="10"/>
      <c r="Y3514" s="10"/>
      <c r="Z3514" s="10"/>
      <c r="AA3514" s="10"/>
      <c r="AB3514" s="10"/>
      <c r="AC3514" s="10"/>
      <c r="AD3514" s="10"/>
      <c r="AE3514" s="10"/>
      <c r="AF3514" s="10"/>
    </row>
    <row r="3515">
      <c r="A3515" s="7"/>
      <c r="B3515" s="26">
        <v>261.0</v>
      </c>
      <c r="C3515" s="27">
        <v>35.0</v>
      </c>
      <c r="D3515" s="8" t="s">
        <v>4585</v>
      </c>
      <c r="E3515" s="7">
        <v>0.0</v>
      </c>
      <c r="F3515" s="7"/>
      <c r="G3515" s="7" t="s">
        <v>313</v>
      </c>
      <c r="H3515" s="7" t="s">
        <v>312</v>
      </c>
      <c r="I3515" s="10"/>
      <c r="J3515" s="11"/>
      <c r="K3515" s="12"/>
      <c r="L3515" s="12"/>
      <c r="M3515" s="10"/>
      <c r="N3515" s="10"/>
      <c r="O3515" s="10"/>
      <c r="P3515" s="10"/>
      <c r="Q3515" s="10"/>
      <c r="R3515" s="10"/>
      <c r="S3515" s="10"/>
      <c r="T3515" s="10"/>
      <c r="U3515" s="10"/>
      <c r="V3515" s="10"/>
      <c r="W3515" s="10"/>
      <c r="X3515" s="10"/>
      <c r="Y3515" s="10"/>
      <c r="Z3515" s="10"/>
      <c r="AA3515" s="10"/>
      <c r="AB3515" s="10"/>
      <c r="AC3515" s="10"/>
      <c r="AD3515" s="10"/>
      <c r="AE3515" s="10"/>
      <c r="AF3515" s="10"/>
    </row>
    <row r="3516">
      <c r="A3516" s="7"/>
      <c r="B3516" s="26">
        <v>261.0</v>
      </c>
      <c r="C3516" s="27">
        <v>36.0</v>
      </c>
      <c r="D3516" s="8" t="s">
        <v>4586</v>
      </c>
      <c r="E3516" s="7">
        <v>0.0</v>
      </c>
      <c r="F3516" s="7"/>
      <c r="G3516" s="7" t="s">
        <v>313</v>
      </c>
      <c r="H3516" s="7" t="s">
        <v>312</v>
      </c>
      <c r="I3516" s="10"/>
      <c r="J3516" s="11"/>
      <c r="K3516" s="12"/>
      <c r="L3516" s="12"/>
      <c r="M3516" s="10"/>
      <c r="N3516" s="10"/>
      <c r="O3516" s="10"/>
      <c r="P3516" s="10"/>
      <c r="Q3516" s="10"/>
      <c r="R3516" s="10"/>
      <c r="S3516" s="10"/>
      <c r="T3516" s="10"/>
      <c r="U3516" s="10"/>
      <c r="V3516" s="10"/>
      <c r="W3516" s="10"/>
      <c r="X3516" s="10"/>
      <c r="Y3516" s="10"/>
      <c r="Z3516" s="10"/>
      <c r="AA3516" s="10"/>
      <c r="AB3516" s="10"/>
      <c r="AC3516" s="10"/>
      <c r="AD3516" s="10"/>
      <c r="AE3516" s="10"/>
      <c r="AF3516" s="10"/>
    </row>
    <row r="3517">
      <c r="A3517" s="7"/>
      <c r="B3517" s="26">
        <v>261.0</v>
      </c>
      <c r="C3517" s="27">
        <v>37.0</v>
      </c>
      <c r="D3517" s="8" t="s">
        <v>4587</v>
      </c>
      <c r="E3517" s="7">
        <v>0.0</v>
      </c>
      <c r="F3517" s="7"/>
      <c r="G3517" s="7" t="s">
        <v>313</v>
      </c>
      <c r="H3517" s="7" t="s">
        <v>312</v>
      </c>
      <c r="I3517" s="10"/>
      <c r="J3517" s="11"/>
      <c r="K3517" s="12"/>
      <c r="L3517" s="12"/>
      <c r="M3517" s="10"/>
      <c r="N3517" s="10"/>
      <c r="O3517" s="10"/>
      <c r="P3517" s="10"/>
      <c r="Q3517" s="10"/>
      <c r="R3517" s="10"/>
      <c r="S3517" s="10"/>
      <c r="T3517" s="10"/>
      <c r="U3517" s="10"/>
      <c r="V3517" s="10"/>
      <c r="W3517" s="10"/>
      <c r="X3517" s="10"/>
      <c r="Y3517" s="10"/>
      <c r="Z3517" s="10"/>
      <c r="AA3517" s="10"/>
      <c r="AB3517" s="10"/>
      <c r="AC3517" s="10"/>
      <c r="AD3517" s="10"/>
      <c r="AE3517" s="10"/>
      <c r="AF3517" s="10"/>
    </row>
    <row r="3518">
      <c r="A3518" s="7"/>
      <c r="B3518" s="26">
        <v>261.0</v>
      </c>
      <c r="C3518" s="27">
        <v>38.0</v>
      </c>
      <c r="D3518" s="8" t="s">
        <v>4588</v>
      </c>
      <c r="E3518" s="7">
        <v>0.0</v>
      </c>
      <c r="F3518" s="7"/>
      <c r="G3518" s="7" t="s">
        <v>313</v>
      </c>
      <c r="H3518" s="7" t="s">
        <v>312</v>
      </c>
      <c r="I3518" s="10"/>
      <c r="J3518" s="11"/>
      <c r="K3518" s="12"/>
      <c r="L3518" s="12"/>
      <c r="M3518" s="10"/>
      <c r="N3518" s="10"/>
      <c r="O3518" s="10"/>
      <c r="P3518" s="10"/>
      <c r="Q3518" s="10"/>
      <c r="R3518" s="10"/>
      <c r="S3518" s="10"/>
      <c r="T3518" s="10"/>
      <c r="U3518" s="10"/>
      <c r="V3518" s="10"/>
      <c r="W3518" s="10"/>
      <c r="X3518" s="10"/>
      <c r="Y3518" s="10"/>
      <c r="Z3518" s="10"/>
      <c r="AA3518" s="10"/>
      <c r="AB3518" s="10"/>
      <c r="AC3518" s="10"/>
      <c r="AD3518" s="10"/>
      <c r="AE3518" s="10"/>
      <c r="AF3518" s="10"/>
    </row>
    <row r="3519">
      <c r="A3519" s="7"/>
      <c r="B3519" s="26">
        <v>261.0</v>
      </c>
      <c r="C3519" s="27">
        <v>39.0</v>
      </c>
      <c r="D3519" s="8" t="s">
        <v>4589</v>
      </c>
      <c r="E3519" s="7">
        <v>0.0</v>
      </c>
      <c r="F3519" s="7"/>
      <c r="G3519" s="7" t="s">
        <v>313</v>
      </c>
      <c r="H3519" s="7" t="s">
        <v>312</v>
      </c>
      <c r="I3519" s="10"/>
      <c r="J3519" s="11"/>
      <c r="K3519" s="12"/>
      <c r="L3519" s="12"/>
      <c r="M3519" s="10"/>
      <c r="N3519" s="10"/>
      <c r="O3519" s="10"/>
      <c r="P3519" s="10"/>
      <c r="Q3519" s="10"/>
      <c r="R3519" s="10"/>
      <c r="S3519" s="10"/>
      <c r="T3519" s="10"/>
      <c r="U3519" s="10"/>
      <c r="V3519" s="10"/>
      <c r="W3519" s="10"/>
      <c r="X3519" s="10"/>
      <c r="Y3519" s="10"/>
      <c r="Z3519" s="10"/>
      <c r="AA3519" s="10"/>
      <c r="AB3519" s="10"/>
      <c r="AC3519" s="10"/>
      <c r="AD3519" s="10"/>
      <c r="AE3519" s="10"/>
      <c r="AF3519" s="10"/>
    </row>
    <row r="3520">
      <c r="A3520" s="7"/>
      <c r="B3520" s="26">
        <v>261.0</v>
      </c>
      <c r="C3520" s="27">
        <v>40.0</v>
      </c>
      <c r="D3520" s="8" t="s">
        <v>4590</v>
      </c>
      <c r="E3520" s="7">
        <v>0.0</v>
      </c>
      <c r="F3520" s="7"/>
      <c r="G3520" s="7" t="s">
        <v>313</v>
      </c>
      <c r="H3520" s="7" t="s">
        <v>312</v>
      </c>
      <c r="I3520" s="10"/>
      <c r="J3520" s="11"/>
      <c r="K3520" s="12"/>
      <c r="L3520" s="12"/>
      <c r="M3520" s="10"/>
      <c r="N3520" s="10"/>
      <c r="O3520" s="10"/>
      <c r="P3520" s="10"/>
      <c r="Q3520" s="10"/>
      <c r="R3520" s="10"/>
      <c r="S3520" s="10"/>
      <c r="T3520" s="10"/>
      <c r="U3520" s="10"/>
      <c r="V3520" s="10"/>
      <c r="W3520" s="10"/>
      <c r="X3520" s="10"/>
      <c r="Y3520" s="10"/>
      <c r="Z3520" s="10"/>
      <c r="AA3520" s="10"/>
      <c r="AB3520" s="10"/>
      <c r="AC3520" s="10"/>
      <c r="AD3520" s="10"/>
      <c r="AE3520" s="10"/>
      <c r="AF3520" s="10"/>
    </row>
    <row r="3521">
      <c r="A3521" s="7"/>
      <c r="B3521" s="26">
        <v>261.0</v>
      </c>
      <c r="C3521" s="27">
        <v>41.0</v>
      </c>
      <c r="D3521" s="8" t="s">
        <v>4591</v>
      </c>
      <c r="E3521" s="7">
        <v>0.0</v>
      </c>
      <c r="F3521" s="7"/>
      <c r="G3521" s="7" t="s">
        <v>313</v>
      </c>
      <c r="H3521" s="7" t="s">
        <v>312</v>
      </c>
      <c r="I3521" s="10"/>
      <c r="J3521" s="11"/>
      <c r="K3521" s="12"/>
      <c r="L3521" s="12"/>
      <c r="M3521" s="10"/>
      <c r="N3521" s="10"/>
      <c r="O3521" s="10"/>
      <c r="P3521" s="10"/>
      <c r="Q3521" s="10"/>
      <c r="R3521" s="10"/>
      <c r="S3521" s="10"/>
      <c r="T3521" s="10"/>
      <c r="U3521" s="10"/>
      <c r="V3521" s="10"/>
      <c r="W3521" s="10"/>
      <c r="X3521" s="10"/>
      <c r="Y3521" s="10"/>
      <c r="Z3521" s="10"/>
      <c r="AA3521" s="10"/>
      <c r="AB3521" s="10"/>
      <c r="AC3521" s="10"/>
      <c r="AD3521" s="10"/>
      <c r="AE3521" s="10"/>
      <c r="AF3521" s="10"/>
    </row>
    <row r="3522">
      <c r="A3522" s="7"/>
      <c r="B3522" s="26">
        <v>261.0</v>
      </c>
      <c r="C3522" s="27">
        <v>42.0</v>
      </c>
      <c r="D3522" s="8" t="s">
        <v>4592</v>
      </c>
      <c r="E3522" s="7">
        <v>0.0</v>
      </c>
      <c r="F3522" s="7"/>
      <c r="G3522" s="7" t="s">
        <v>313</v>
      </c>
      <c r="H3522" s="7" t="s">
        <v>312</v>
      </c>
      <c r="I3522" s="10"/>
      <c r="J3522" s="11"/>
      <c r="K3522" s="12"/>
      <c r="L3522" s="12"/>
      <c r="M3522" s="10"/>
      <c r="N3522" s="10"/>
      <c r="O3522" s="10"/>
      <c r="P3522" s="10"/>
      <c r="Q3522" s="10"/>
      <c r="R3522" s="10"/>
      <c r="S3522" s="10"/>
      <c r="T3522" s="10"/>
      <c r="U3522" s="10"/>
      <c r="V3522" s="10"/>
      <c r="W3522" s="10"/>
      <c r="X3522" s="10"/>
      <c r="Y3522" s="10"/>
      <c r="Z3522" s="10"/>
      <c r="AA3522" s="10"/>
      <c r="AB3522" s="10"/>
      <c r="AC3522" s="10"/>
      <c r="AD3522" s="10"/>
      <c r="AE3522" s="10"/>
      <c r="AF3522" s="10"/>
    </row>
    <row r="3523">
      <c r="A3523" s="7"/>
      <c r="B3523" s="26">
        <v>261.0</v>
      </c>
      <c r="C3523" s="27">
        <v>43.0</v>
      </c>
      <c r="D3523" s="8" t="s">
        <v>4593</v>
      </c>
      <c r="E3523" s="7">
        <v>0.0</v>
      </c>
      <c r="F3523" s="7"/>
      <c r="G3523" s="7" t="s">
        <v>313</v>
      </c>
      <c r="H3523" s="7" t="s">
        <v>312</v>
      </c>
      <c r="I3523" s="10"/>
      <c r="J3523" s="11"/>
      <c r="K3523" s="12"/>
      <c r="L3523" s="12"/>
      <c r="M3523" s="10"/>
      <c r="N3523" s="10"/>
      <c r="O3523" s="10"/>
      <c r="P3523" s="10"/>
      <c r="Q3523" s="10"/>
      <c r="R3523" s="10"/>
      <c r="S3523" s="10"/>
      <c r="T3523" s="10"/>
      <c r="U3523" s="10"/>
      <c r="V3523" s="10"/>
      <c r="W3523" s="10"/>
      <c r="X3523" s="10"/>
      <c r="Y3523" s="10"/>
      <c r="Z3523" s="10"/>
      <c r="AA3523" s="10"/>
      <c r="AB3523" s="10"/>
      <c r="AC3523" s="10"/>
      <c r="AD3523" s="10"/>
      <c r="AE3523" s="10"/>
      <c r="AF3523" s="10"/>
    </row>
    <row r="3524">
      <c r="A3524" s="7"/>
      <c r="B3524" s="26">
        <v>261.0</v>
      </c>
      <c r="C3524" s="27">
        <v>44.0</v>
      </c>
      <c r="D3524" s="8" t="s">
        <v>4594</v>
      </c>
      <c r="E3524" s="7">
        <v>0.0</v>
      </c>
      <c r="F3524" s="7"/>
      <c r="G3524" s="7" t="s">
        <v>313</v>
      </c>
      <c r="H3524" s="7" t="s">
        <v>312</v>
      </c>
      <c r="I3524" s="10"/>
      <c r="J3524" s="11"/>
      <c r="K3524" s="12"/>
      <c r="L3524" s="12"/>
      <c r="M3524" s="10"/>
      <c r="N3524" s="10"/>
      <c r="O3524" s="10"/>
      <c r="P3524" s="10"/>
      <c r="Q3524" s="10"/>
      <c r="R3524" s="10"/>
      <c r="S3524" s="10"/>
      <c r="T3524" s="10"/>
      <c r="U3524" s="10"/>
      <c r="V3524" s="10"/>
      <c r="W3524" s="10"/>
      <c r="X3524" s="10"/>
      <c r="Y3524" s="10"/>
      <c r="Z3524" s="10"/>
      <c r="AA3524" s="10"/>
      <c r="AB3524" s="10"/>
      <c r="AC3524" s="10"/>
      <c r="AD3524" s="10"/>
      <c r="AE3524" s="10"/>
      <c r="AF3524" s="10"/>
    </row>
    <row r="3525">
      <c r="A3525" s="7"/>
      <c r="B3525" s="26">
        <v>261.0</v>
      </c>
      <c r="C3525" s="27">
        <v>45.0</v>
      </c>
      <c r="D3525" s="8" t="s">
        <v>4595</v>
      </c>
      <c r="E3525" s="7">
        <v>0.0</v>
      </c>
      <c r="F3525" s="7"/>
      <c r="G3525" s="7" t="s">
        <v>313</v>
      </c>
      <c r="H3525" s="7" t="s">
        <v>312</v>
      </c>
      <c r="I3525" s="10"/>
      <c r="J3525" s="11"/>
      <c r="K3525" s="12"/>
      <c r="L3525" s="12"/>
      <c r="M3525" s="10"/>
      <c r="N3525" s="10"/>
      <c r="O3525" s="10"/>
      <c r="P3525" s="10"/>
      <c r="Q3525" s="10"/>
      <c r="R3525" s="10"/>
      <c r="S3525" s="10"/>
      <c r="T3525" s="10"/>
      <c r="U3525" s="10"/>
      <c r="V3525" s="10"/>
      <c r="W3525" s="10"/>
      <c r="X3525" s="10"/>
      <c r="Y3525" s="10"/>
      <c r="Z3525" s="10"/>
      <c r="AA3525" s="10"/>
      <c r="AB3525" s="10"/>
      <c r="AC3525" s="10"/>
      <c r="AD3525" s="10"/>
      <c r="AE3525" s="10"/>
      <c r="AF3525" s="10"/>
    </row>
    <row r="3526">
      <c r="A3526" s="7"/>
      <c r="B3526" s="26">
        <v>261.0</v>
      </c>
      <c r="C3526" s="27">
        <v>46.0</v>
      </c>
      <c r="D3526" s="8" t="s">
        <v>4596</v>
      </c>
      <c r="E3526" s="7">
        <v>0.0</v>
      </c>
      <c r="F3526" s="7"/>
      <c r="G3526" s="7" t="s">
        <v>313</v>
      </c>
      <c r="H3526" s="7" t="s">
        <v>312</v>
      </c>
      <c r="I3526" s="10"/>
      <c r="J3526" s="11"/>
      <c r="K3526" s="12"/>
      <c r="L3526" s="12"/>
      <c r="M3526" s="10"/>
      <c r="N3526" s="10"/>
      <c r="O3526" s="10"/>
      <c r="P3526" s="10"/>
      <c r="Q3526" s="10"/>
      <c r="R3526" s="10"/>
      <c r="S3526" s="10"/>
      <c r="T3526" s="10"/>
      <c r="U3526" s="10"/>
      <c r="V3526" s="10"/>
      <c r="W3526" s="10"/>
      <c r="X3526" s="10"/>
      <c r="Y3526" s="10"/>
      <c r="Z3526" s="10"/>
      <c r="AA3526" s="10"/>
      <c r="AB3526" s="10"/>
      <c r="AC3526" s="10"/>
      <c r="AD3526" s="10"/>
      <c r="AE3526" s="10"/>
      <c r="AF3526" s="10"/>
    </row>
    <row r="3527">
      <c r="A3527" s="7"/>
      <c r="B3527" s="26">
        <v>261.0</v>
      </c>
      <c r="C3527" s="27">
        <v>47.0</v>
      </c>
      <c r="D3527" s="8" t="s">
        <v>4597</v>
      </c>
      <c r="E3527" s="7">
        <v>0.0</v>
      </c>
      <c r="F3527" s="7"/>
      <c r="G3527" s="7" t="s">
        <v>313</v>
      </c>
      <c r="H3527" s="7" t="s">
        <v>312</v>
      </c>
      <c r="I3527" s="10"/>
      <c r="J3527" s="11"/>
      <c r="K3527" s="12"/>
      <c r="L3527" s="12"/>
      <c r="M3527" s="10"/>
      <c r="N3527" s="10"/>
      <c r="O3527" s="10"/>
      <c r="P3527" s="10"/>
      <c r="Q3527" s="10"/>
      <c r="R3527" s="10"/>
      <c r="S3527" s="10"/>
      <c r="T3527" s="10"/>
      <c r="U3527" s="10"/>
      <c r="V3527" s="10"/>
      <c r="W3527" s="10"/>
      <c r="X3527" s="10"/>
      <c r="Y3527" s="10"/>
      <c r="Z3527" s="10"/>
      <c r="AA3527" s="10"/>
      <c r="AB3527" s="10"/>
      <c r="AC3527" s="10"/>
      <c r="AD3527" s="10"/>
      <c r="AE3527" s="10"/>
      <c r="AF3527" s="10"/>
    </row>
    <row r="3528">
      <c r="A3528" s="7"/>
      <c r="B3528" s="26">
        <v>261.0</v>
      </c>
      <c r="C3528" s="27">
        <v>48.0</v>
      </c>
      <c r="D3528" s="8" t="s">
        <v>4598</v>
      </c>
      <c r="E3528" s="7">
        <v>0.0</v>
      </c>
      <c r="F3528" s="7"/>
      <c r="G3528" s="7" t="s">
        <v>313</v>
      </c>
      <c r="H3528" s="7" t="s">
        <v>312</v>
      </c>
      <c r="I3528" s="10"/>
      <c r="J3528" s="11"/>
      <c r="K3528" s="12"/>
      <c r="L3528" s="12"/>
      <c r="M3528" s="10"/>
      <c r="N3528" s="10"/>
      <c r="O3528" s="10"/>
      <c r="P3528" s="10"/>
      <c r="Q3528" s="10"/>
      <c r="R3528" s="10"/>
      <c r="S3528" s="10"/>
      <c r="T3528" s="10"/>
      <c r="U3528" s="10"/>
      <c r="V3528" s="10"/>
      <c r="W3528" s="10"/>
      <c r="X3528" s="10"/>
      <c r="Y3528" s="10"/>
      <c r="Z3528" s="10"/>
      <c r="AA3528" s="10"/>
      <c r="AB3528" s="10"/>
      <c r="AC3528" s="10"/>
      <c r="AD3528" s="10"/>
      <c r="AE3528" s="10"/>
      <c r="AF3528" s="10"/>
    </row>
    <row r="3529">
      <c r="A3529" s="7"/>
      <c r="B3529" s="26">
        <v>261.0</v>
      </c>
      <c r="C3529" s="27">
        <v>49.0</v>
      </c>
      <c r="D3529" s="8" t="s">
        <v>4599</v>
      </c>
      <c r="E3529" s="7">
        <v>0.0</v>
      </c>
      <c r="F3529" s="7"/>
      <c r="G3529" s="7" t="s">
        <v>313</v>
      </c>
      <c r="H3529" s="7" t="s">
        <v>312</v>
      </c>
      <c r="I3529" s="10"/>
      <c r="J3529" s="11"/>
      <c r="K3529" s="12"/>
      <c r="L3529" s="12"/>
      <c r="M3529" s="10"/>
      <c r="N3529" s="10"/>
      <c r="O3529" s="10"/>
      <c r="P3529" s="10"/>
      <c r="Q3529" s="10"/>
      <c r="R3529" s="10"/>
      <c r="S3529" s="10"/>
      <c r="T3529" s="10"/>
      <c r="U3529" s="10"/>
      <c r="V3529" s="10"/>
      <c r="W3529" s="10"/>
      <c r="X3529" s="10"/>
      <c r="Y3529" s="10"/>
      <c r="Z3529" s="10"/>
      <c r="AA3529" s="10"/>
      <c r="AB3529" s="10"/>
      <c r="AC3529" s="10"/>
      <c r="AD3529" s="10"/>
      <c r="AE3529" s="10"/>
      <c r="AF3529" s="10"/>
    </row>
    <row r="3530">
      <c r="A3530" s="7"/>
      <c r="B3530" s="26">
        <v>261.0</v>
      </c>
      <c r="C3530" s="27">
        <v>50.0</v>
      </c>
      <c r="D3530" s="8" t="s">
        <v>4600</v>
      </c>
      <c r="E3530" s="7">
        <v>0.0</v>
      </c>
      <c r="F3530" s="7"/>
      <c r="G3530" s="7" t="s">
        <v>313</v>
      </c>
      <c r="H3530" s="7" t="s">
        <v>312</v>
      </c>
      <c r="I3530" s="10"/>
      <c r="J3530" s="11"/>
      <c r="K3530" s="12"/>
      <c r="L3530" s="12"/>
      <c r="M3530" s="10"/>
      <c r="N3530" s="10"/>
      <c r="O3530" s="10"/>
      <c r="P3530" s="10"/>
      <c r="Q3530" s="10"/>
      <c r="R3530" s="10"/>
      <c r="S3530" s="10"/>
      <c r="T3530" s="10"/>
      <c r="U3530" s="10"/>
      <c r="V3530" s="10"/>
      <c r="W3530" s="10"/>
      <c r="X3530" s="10"/>
      <c r="Y3530" s="10"/>
      <c r="Z3530" s="10"/>
      <c r="AA3530" s="10"/>
      <c r="AB3530" s="10"/>
      <c r="AC3530" s="10"/>
      <c r="AD3530" s="10"/>
      <c r="AE3530" s="10"/>
      <c r="AF3530" s="10"/>
    </row>
    <row r="3531">
      <c r="A3531" s="7"/>
      <c r="B3531" s="26">
        <v>261.0</v>
      </c>
      <c r="C3531" s="27">
        <v>51.0</v>
      </c>
      <c r="D3531" s="8" t="s">
        <v>4601</v>
      </c>
      <c r="E3531" s="7">
        <v>0.0</v>
      </c>
      <c r="F3531" s="7"/>
      <c r="G3531" s="7" t="s">
        <v>313</v>
      </c>
      <c r="H3531" s="7" t="s">
        <v>312</v>
      </c>
      <c r="I3531" s="10"/>
      <c r="J3531" s="11"/>
      <c r="K3531" s="12"/>
      <c r="L3531" s="12"/>
      <c r="M3531" s="10"/>
      <c r="N3531" s="10"/>
      <c r="O3531" s="10"/>
      <c r="P3531" s="10"/>
      <c r="Q3531" s="10"/>
      <c r="R3531" s="10"/>
      <c r="S3531" s="10"/>
      <c r="T3531" s="10"/>
      <c r="U3531" s="10"/>
      <c r="V3531" s="10"/>
      <c r="W3531" s="10"/>
      <c r="X3531" s="10"/>
      <c r="Y3531" s="10"/>
      <c r="Z3531" s="10"/>
      <c r="AA3531" s="10"/>
      <c r="AB3531" s="10"/>
      <c r="AC3531" s="10"/>
      <c r="AD3531" s="10"/>
      <c r="AE3531" s="10"/>
      <c r="AF3531" s="10"/>
    </row>
    <row r="3532">
      <c r="A3532" s="7"/>
      <c r="B3532" s="26">
        <v>261.0</v>
      </c>
      <c r="C3532" s="27">
        <v>52.0</v>
      </c>
      <c r="D3532" s="8" t="s">
        <v>4602</v>
      </c>
      <c r="E3532" s="7">
        <v>0.0</v>
      </c>
      <c r="F3532" s="7"/>
      <c r="G3532" s="7" t="s">
        <v>313</v>
      </c>
      <c r="H3532" s="7" t="s">
        <v>312</v>
      </c>
      <c r="I3532" s="10"/>
      <c r="J3532" s="11"/>
      <c r="K3532" s="12"/>
      <c r="L3532" s="12"/>
      <c r="M3532" s="10"/>
      <c r="N3532" s="10"/>
      <c r="O3532" s="10"/>
      <c r="P3532" s="10"/>
      <c r="Q3532" s="10"/>
      <c r="R3532" s="10"/>
      <c r="S3532" s="10"/>
      <c r="T3532" s="10"/>
      <c r="U3532" s="10"/>
      <c r="V3532" s="10"/>
      <c r="W3532" s="10"/>
      <c r="X3532" s="10"/>
      <c r="Y3532" s="10"/>
      <c r="Z3532" s="10"/>
      <c r="AA3532" s="10"/>
      <c r="AB3532" s="10"/>
      <c r="AC3532" s="10"/>
      <c r="AD3532" s="10"/>
      <c r="AE3532" s="10"/>
      <c r="AF3532" s="10"/>
    </row>
    <row r="3533">
      <c r="A3533" s="7"/>
      <c r="B3533" s="26">
        <v>261.0</v>
      </c>
      <c r="C3533" s="27">
        <v>53.0</v>
      </c>
      <c r="D3533" s="8" t="s">
        <v>4603</v>
      </c>
      <c r="E3533" s="7">
        <v>0.0</v>
      </c>
      <c r="F3533" s="7"/>
      <c r="G3533" s="7" t="s">
        <v>313</v>
      </c>
      <c r="H3533" s="7" t="s">
        <v>312</v>
      </c>
      <c r="I3533" s="10"/>
      <c r="J3533" s="11"/>
      <c r="K3533" s="12"/>
      <c r="L3533" s="12"/>
      <c r="M3533" s="10"/>
      <c r="N3533" s="10"/>
      <c r="O3533" s="10"/>
      <c r="P3533" s="10"/>
      <c r="Q3533" s="10"/>
      <c r="R3533" s="10"/>
      <c r="S3533" s="10"/>
      <c r="T3533" s="10"/>
      <c r="U3533" s="10"/>
      <c r="V3533" s="10"/>
      <c r="W3533" s="10"/>
      <c r="X3533" s="10"/>
      <c r="Y3533" s="10"/>
      <c r="Z3533" s="10"/>
      <c r="AA3533" s="10"/>
      <c r="AB3533" s="10"/>
      <c r="AC3533" s="10"/>
      <c r="AD3533" s="10"/>
      <c r="AE3533" s="10"/>
      <c r="AF3533" s="10"/>
    </row>
    <row r="3534">
      <c r="A3534" s="7"/>
      <c r="B3534" s="26">
        <v>261.0</v>
      </c>
      <c r="C3534" s="27">
        <v>54.0</v>
      </c>
      <c r="D3534" s="8" t="s">
        <v>4604</v>
      </c>
      <c r="E3534" s="7">
        <v>0.0</v>
      </c>
      <c r="F3534" s="7"/>
      <c r="G3534" s="7" t="s">
        <v>313</v>
      </c>
      <c r="H3534" s="7" t="s">
        <v>312</v>
      </c>
      <c r="I3534" s="10"/>
      <c r="J3534" s="11"/>
      <c r="K3534" s="12"/>
      <c r="L3534" s="12"/>
      <c r="M3534" s="10"/>
      <c r="N3534" s="10"/>
      <c r="O3534" s="10"/>
      <c r="P3534" s="10"/>
      <c r="Q3534" s="10"/>
      <c r="R3534" s="10"/>
      <c r="S3534" s="10"/>
      <c r="T3534" s="10"/>
      <c r="U3534" s="10"/>
      <c r="V3534" s="10"/>
      <c r="W3534" s="10"/>
      <c r="X3534" s="10"/>
      <c r="Y3534" s="10"/>
      <c r="Z3534" s="10"/>
      <c r="AA3534" s="10"/>
      <c r="AB3534" s="10"/>
      <c r="AC3534" s="10"/>
      <c r="AD3534" s="10"/>
      <c r="AE3534" s="10"/>
      <c r="AF3534" s="10"/>
    </row>
    <row r="3535">
      <c r="A3535" s="7"/>
      <c r="B3535" s="26">
        <v>261.0</v>
      </c>
      <c r="C3535" s="27">
        <v>55.0</v>
      </c>
      <c r="D3535" s="8" t="s">
        <v>4605</v>
      </c>
      <c r="E3535" s="7">
        <v>0.0</v>
      </c>
      <c r="F3535" s="7"/>
      <c r="G3535" s="7" t="s">
        <v>313</v>
      </c>
      <c r="H3535" s="7" t="s">
        <v>312</v>
      </c>
      <c r="I3535" s="10"/>
      <c r="J3535" s="11"/>
      <c r="K3535" s="12"/>
      <c r="L3535" s="12"/>
      <c r="M3535" s="10"/>
      <c r="N3535" s="10"/>
      <c r="O3535" s="10"/>
      <c r="P3535" s="10"/>
      <c r="Q3535" s="10"/>
      <c r="R3535" s="10"/>
      <c r="S3535" s="10"/>
      <c r="T3535" s="10"/>
      <c r="U3535" s="10"/>
      <c r="V3535" s="10"/>
      <c r="W3535" s="10"/>
      <c r="X3535" s="10"/>
      <c r="Y3535" s="10"/>
      <c r="Z3535" s="10"/>
      <c r="AA3535" s="10"/>
      <c r="AB3535" s="10"/>
      <c r="AC3535" s="10"/>
      <c r="AD3535" s="10"/>
      <c r="AE3535" s="10"/>
      <c r="AF3535" s="10"/>
    </row>
    <row r="3536">
      <c r="A3536" s="7"/>
      <c r="B3536" s="26">
        <v>261.0</v>
      </c>
      <c r="C3536" s="27">
        <v>56.0</v>
      </c>
      <c r="D3536" s="8" t="s">
        <v>4606</v>
      </c>
      <c r="E3536" s="7">
        <v>0.0</v>
      </c>
      <c r="F3536" s="7"/>
      <c r="G3536" s="7" t="s">
        <v>313</v>
      </c>
      <c r="H3536" s="7" t="s">
        <v>312</v>
      </c>
      <c r="I3536" s="10"/>
      <c r="J3536" s="11"/>
      <c r="K3536" s="12"/>
      <c r="L3536" s="12"/>
      <c r="M3536" s="10"/>
      <c r="N3536" s="10"/>
      <c r="O3536" s="10"/>
      <c r="P3536" s="10"/>
      <c r="Q3536" s="10"/>
      <c r="R3536" s="10"/>
      <c r="S3536" s="10"/>
      <c r="T3536" s="10"/>
      <c r="U3536" s="10"/>
      <c r="V3536" s="10"/>
      <c r="W3536" s="10"/>
      <c r="X3536" s="10"/>
      <c r="Y3536" s="10"/>
      <c r="Z3536" s="10"/>
      <c r="AA3536" s="10"/>
      <c r="AB3536" s="10"/>
      <c r="AC3536" s="10"/>
      <c r="AD3536" s="10"/>
      <c r="AE3536" s="10"/>
      <c r="AF3536" s="10"/>
    </row>
    <row r="3537">
      <c r="A3537" s="7"/>
      <c r="B3537" s="26">
        <v>261.0</v>
      </c>
      <c r="C3537" s="27">
        <v>57.0</v>
      </c>
      <c r="D3537" s="8" t="s">
        <v>4607</v>
      </c>
      <c r="E3537" s="7">
        <v>0.0</v>
      </c>
      <c r="F3537" s="7"/>
      <c r="G3537" s="7" t="s">
        <v>313</v>
      </c>
      <c r="H3537" s="7" t="s">
        <v>312</v>
      </c>
      <c r="I3537" s="10"/>
      <c r="J3537" s="11"/>
      <c r="K3537" s="12"/>
      <c r="L3537" s="12"/>
      <c r="M3537" s="10"/>
      <c r="N3537" s="10"/>
      <c r="O3537" s="10"/>
      <c r="P3537" s="10"/>
      <c r="Q3537" s="10"/>
      <c r="R3537" s="10"/>
      <c r="S3537" s="10"/>
      <c r="T3537" s="10"/>
      <c r="U3537" s="10"/>
      <c r="V3537" s="10"/>
      <c r="W3537" s="10"/>
      <c r="X3537" s="10"/>
      <c r="Y3537" s="10"/>
      <c r="Z3537" s="10"/>
      <c r="AA3537" s="10"/>
      <c r="AB3537" s="10"/>
      <c r="AC3537" s="10"/>
      <c r="AD3537" s="10"/>
      <c r="AE3537" s="10"/>
      <c r="AF3537" s="10"/>
    </row>
    <row r="3538">
      <c r="A3538" s="7"/>
      <c r="B3538" s="26">
        <v>261.0</v>
      </c>
      <c r="C3538" s="27">
        <v>58.0</v>
      </c>
      <c r="D3538" s="8" t="s">
        <v>4608</v>
      </c>
      <c r="E3538" s="7">
        <v>0.0</v>
      </c>
      <c r="F3538" s="7"/>
      <c r="G3538" s="7" t="s">
        <v>313</v>
      </c>
      <c r="H3538" s="7" t="s">
        <v>312</v>
      </c>
      <c r="I3538" s="10"/>
      <c r="J3538" s="11"/>
      <c r="K3538" s="12"/>
      <c r="L3538" s="12"/>
      <c r="M3538" s="10"/>
      <c r="N3538" s="10"/>
      <c r="O3538" s="10"/>
      <c r="P3538" s="10"/>
      <c r="Q3538" s="10"/>
      <c r="R3538" s="10"/>
      <c r="S3538" s="10"/>
      <c r="T3538" s="10"/>
      <c r="U3538" s="10"/>
      <c r="V3538" s="10"/>
      <c r="W3538" s="10"/>
      <c r="X3538" s="10"/>
      <c r="Y3538" s="10"/>
      <c r="Z3538" s="10"/>
      <c r="AA3538" s="10"/>
      <c r="AB3538" s="10"/>
      <c r="AC3538" s="10"/>
      <c r="AD3538" s="10"/>
      <c r="AE3538" s="10"/>
      <c r="AF3538" s="10"/>
    </row>
    <row r="3539">
      <c r="A3539" s="7"/>
      <c r="B3539" s="26">
        <v>261.0</v>
      </c>
      <c r="C3539" s="27">
        <v>59.0</v>
      </c>
      <c r="D3539" s="8" t="s">
        <v>4609</v>
      </c>
      <c r="E3539" s="7">
        <v>0.0</v>
      </c>
      <c r="F3539" s="7"/>
      <c r="G3539" s="7" t="s">
        <v>313</v>
      </c>
      <c r="H3539" s="7" t="s">
        <v>312</v>
      </c>
      <c r="I3539" s="10"/>
      <c r="J3539" s="11"/>
      <c r="K3539" s="12"/>
      <c r="L3539" s="12"/>
      <c r="M3539" s="10"/>
      <c r="N3539" s="10"/>
      <c r="O3539" s="10"/>
      <c r="P3539" s="10"/>
      <c r="Q3539" s="10"/>
      <c r="R3539" s="10"/>
      <c r="S3539" s="10"/>
      <c r="T3539" s="10"/>
      <c r="U3539" s="10"/>
      <c r="V3539" s="10"/>
      <c r="W3539" s="10"/>
      <c r="X3539" s="10"/>
      <c r="Y3539" s="10"/>
      <c r="Z3539" s="10"/>
      <c r="AA3539" s="10"/>
      <c r="AB3539" s="10"/>
      <c r="AC3539" s="10"/>
      <c r="AD3539" s="10"/>
      <c r="AE3539" s="10"/>
      <c r="AF3539" s="10"/>
    </row>
    <row r="3540">
      <c r="A3540" s="7"/>
      <c r="B3540" s="26">
        <v>261.0</v>
      </c>
      <c r="C3540" s="27">
        <v>60.0</v>
      </c>
      <c r="D3540" s="8" t="s">
        <v>4610</v>
      </c>
      <c r="E3540" s="7">
        <v>0.0</v>
      </c>
      <c r="F3540" s="7"/>
      <c r="G3540" s="7" t="s">
        <v>313</v>
      </c>
      <c r="H3540" s="7" t="s">
        <v>312</v>
      </c>
      <c r="I3540" s="10"/>
      <c r="J3540" s="11"/>
      <c r="K3540" s="12"/>
      <c r="L3540" s="12"/>
      <c r="M3540" s="10"/>
      <c r="N3540" s="10"/>
      <c r="O3540" s="10"/>
      <c r="P3540" s="10"/>
      <c r="Q3540" s="10"/>
      <c r="R3540" s="10"/>
      <c r="S3540" s="10"/>
      <c r="T3540" s="10"/>
      <c r="U3540" s="10"/>
      <c r="V3540" s="10"/>
      <c r="W3540" s="10"/>
      <c r="X3540" s="10"/>
      <c r="Y3540" s="10"/>
      <c r="Z3540" s="10"/>
      <c r="AA3540" s="10"/>
      <c r="AB3540" s="10"/>
      <c r="AC3540" s="10"/>
      <c r="AD3540" s="10"/>
      <c r="AE3540" s="10"/>
      <c r="AF3540" s="10"/>
    </row>
    <row r="3541">
      <c r="A3541" s="7"/>
      <c r="B3541" s="26">
        <v>261.0</v>
      </c>
      <c r="C3541" s="27">
        <v>61.0</v>
      </c>
      <c r="D3541" s="8" t="s">
        <v>4611</v>
      </c>
      <c r="E3541" s="7">
        <v>0.0</v>
      </c>
      <c r="F3541" s="7"/>
      <c r="G3541" s="7" t="s">
        <v>313</v>
      </c>
      <c r="H3541" s="7" t="s">
        <v>312</v>
      </c>
      <c r="I3541" s="10"/>
      <c r="J3541" s="11"/>
      <c r="K3541" s="12"/>
      <c r="L3541" s="12"/>
      <c r="M3541" s="10"/>
      <c r="N3541" s="10"/>
      <c r="O3541" s="10"/>
      <c r="P3541" s="10"/>
      <c r="Q3541" s="10"/>
      <c r="R3541" s="10"/>
      <c r="S3541" s="10"/>
      <c r="T3541" s="10"/>
      <c r="U3541" s="10"/>
      <c r="V3541" s="10"/>
      <c r="W3541" s="10"/>
      <c r="X3541" s="10"/>
      <c r="Y3541" s="10"/>
      <c r="Z3541" s="10"/>
      <c r="AA3541" s="10"/>
      <c r="AB3541" s="10"/>
      <c r="AC3541" s="10"/>
      <c r="AD3541" s="10"/>
      <c r="AE3541" s="10"/>
      <c r="AF3541" s="10"/>
    </row>
    <row r="3542">
      <c r="A3542" s="7"/>
      <c r="B3542" s="26">
        <v>261.0</v>
      </c>
      <c r="C3542" s="27">
        <v>62.0</v>
      </c>
      <c r="D3542" s="8" t="s">
        <v>4612</v>
      </c>
      <c r="E3542" s="7">
        <v>0.0</v>
      </c>
      <c r="F3542" s="7"/>
      <c r="G3542" s="7" t="s">
        <v>313</v>
      </c>
      <c r="H3542" s="7" t="s">
        <v>312</v>
      </c>
      <c r="I3542" s="10"/>
      <c r="J3542" s="11"/>
      <c r="K3542" s="12"/>
      <c r="L3542" s="12"/>
      <c r="M3542" s="10"/>
      <c r="N3542" s="10"/>
      <c r="O3542" s="10"/>
      <c r="P3542" s="10"/>
      <c r="Q3542" s="10"/>
      <c r="R3542" s="10"/>
      <c r="S3542" s="10"/>
      <c r="T3542" s="10"/>
      <c r="U3542" s="10"/>
      <c r="V3542" s="10"/>
      <c r="W3542" s="10"/>
      <c r="X3542" s="10"/>
      <c r="Y3542" s="10"/>
      <c r="Z3542" s="10"/>
      <c r="AA3542" s="10"/>
      <c r="AB3542" s="10"/>
      <c r="AC3542" s="10"/>
      <c r="AD3542" s="10"/>
      <c r="AE3542" s="10"/>
      <c r="AF3542" s="10"/>
    </row>
    <row r="3543">
      <c r="A3543" s="7"/>
      <c r="B3543" s="26">
        <v>261.0</v>
      </c>
      <c r="C3543" s="27">
        <v>63.0</v>
      </c>
      <c r="D3543" s="8" t="s">
        <v>4613</v>
      </c>
      <c r="E3543" s="7">
        <v>0.0</v>
      </c>
      <c r="F3543" s="7"/>
      <c r="G3543" s="7" t="s">
        <v>313</v>
      </c>
      <c r="H3543" s="7" t="s">
        <v>312</v>
      </c>
      <c r="I3543" s="10"/>
      <c r="J3543" s="11"/>
      <c r="K3543" s="12"/>
      <c r="L3543" s="12"/>
      <c r="M3543" s="10"/>
      <c r="N3543" s="10"/>
      <c r="O3543" s="10"/>
      <c r="P3543" s="10"/>
      <c r="Q3543" s="10"/>
      <c r="R3543" s="10"/>
      <c r="S3543" s="10"/>
      <c r="T3543" s="10"/>
      <c r="U3543" s="10"/>
      <c r="V3543" s="10"/>
      <c r="W3543" s="10"/>
      <c r="X3543" s="10"/>
      <c r="Y3543" s="10"/>
      <c r="Z3543" s="10"/>
      <c r="AA3543" s="10"/>
      <c r="AB3543" s="10"/>
      <c r="AC3543" s="10"/>
      <c r="AD3543" s="10"/>
      <c r="AE3543" s="10"/>
      <c r="AF3543" s="10"/>
    </row>
    <row r="3544">
      <c r="A3544" s="7"/>
      <c r="B3544" s="26">
        <v>261.0</v>
      </c>
      <c r="C3544" s="27">
        <v>64.0</v>
      </c>
      <c r="D3544" s="8" t="s">
        <v>4614</v>
      </c>
      <c r="E3544" s="7">
        <v>0.0</v>
      </c>
      <c r="F3544" s="7"/>
      <c r="G3544" s="7" t="s">
        <v>313</v>
      </c>
      <c r="H3544" s="7" t="s">
        <v>312</v>
      </c>
      <c r="I3544" s="10"/>
      <c r="J3544" s="11"/>
      <c r="K3544" s="12"/>
      <c r="L3544" s="12"/>
      <c r="M3544" s="10"/>
      <c r="N3544" s="10"/>
      <c r="O3544" s="10"/>
      <c r="P3544" s="10"/>
      <c r="Q3544" s="10"/>
      <c r="R3544" s="10"/>
      <c r="S3544" s="10"/>
      <c r="T3544" s="10"/>
      <c r="U3544" s="10"/>
      <c r="V3544" s="10"/>
      <c r="W3544" s="10"/>
      <c r="X3544" s="10"/>
      <c r="Y3544" s="10"/>
      <c r="Z3544" s="10"/>
      <c r="AA3544" s="10"/>
      <c r="AB3544" s="10"/>
      <c r="AC3544" s="10"/>
      <c r="AD3544" s="10"/>
      <c r="AE3544" s="10"/>
      <c r="AF3544" s="10"/>
    </row>
    <row r="3545">
      <c r="A3545" s="7"/>
      <c r="B3545" s="26">
        <v>261.0</v>
      </c>
      <c r="C3545" s="27">
        <v>65.0</v>
      </c>
      <c r="D3545" s="8" t="s">
        <v>4615</v>
      </c>
      <c r="E3545" s="7">
        <v>0.0</v>
      </c>
      <c r="F3545" s="7"/>
      <c r="G3545" s="7" t="s">
        <v>313</v>
      </c>
      <c r="H3545" s="7" t="s">
        <v>312</v>
      </c>
      <c r="I3545" s="10"/>
      <c r="J3545" s="11"/>
      <c r="K3545" s="12"/>
      <c r="L3545" s="12"/>
      <c r="M3545" s="10"/>
      <c r="N3545" s="10"/>
      <c r="O3545" s="10"/>
      <c r="P3545" s="10"/>
      <c r="Q3545" s="10"/>
      <c r="R3545" s="10"/>
      <c r="S3545" s="10"/>
      <c r="T3545" s="10"/>
      <c r="U3545" s="10"/>
      <c r="V3545" s="10"/>
      <c r="W3545" s="10"/>
      <c r="X3545" s="10"/>
      <c r="Y3545" s="10"/>
      <c r="Z3545" s="10"/>
      <c r="AA3545" s="10"/>
      <c r="AB3545" s="10"/>
      <c r="AC3545" s="10"/>
      <c r="AD3545" s="10"/>
      <c r="AE3545" s="10"/>
      <c r="AF3545" s="10"/>
    </row>
    <row r="3546">
      <c r="A3546" s="7"/>
      <c r="B3546" s="26">
        <v>261.0</v>
      </c>
      <c r="C3546" s="27">
        <v>66.0</v>
      </c>
      <c r="D3546" s="8" t="s">
        <v>4616</v>
      </c>
      <c r="E3546" s="7">
        <v>0.0</v>
      </c>
      <c r="F3546" s="7"/>
      <c r="G3546" s="7" t="s">
        <v>313</v>
      </c>
      <c r="H3546" s="7" t="s">
        <v>312</v>
      </c>
      <c r="I3546" s="10"/>
      <c r="J3546" s="11"/>
      <c r="K3546" s="12"/>
      <c r="L3546" s="12"/>
      <c r="M3546" s="10"/>
      <c r="N3546" s="10"/>
      <c r="O3546" s="10"/>
      <c r="P3546" s="10"/>
      <c r="Q3546" s="10"/>
      <c r="R3546" s="10"/>
      <c r="S3546" s="10"/>
      <c r="T3546" s="10"/>
      <c r="U3546" s="10"/>
      <c r="V3546" s="10"/>
      <c r="W3546" s="10"/>
      <c r="X3546" s="10"/>
      <c r="Y3546" s="10"/>
      <c r="Z3546" s="10"/>
      <c r="AA3546" s="10"/>
      <c r="AB3546" s="10"/>
      <c r="AC3546" s="10"/>
      <c r="AD3546" s="10"/>
      <c r="AE3546" s="10"/>
      <c r="AF3546" s="10"/>
    </row>
    <row r="3547">
      <c r="A3547" s="7"/>
      <c r="B3547" s="26">
        <v>261.0</v>
      </c>
      <c r="C3547" s="27">
        <v>67.0</v>
      </c>
      <c r="D3547" s="8" t="s">
        <v>4617</v>
      </c>
      <c r="E3547" s="7">
        <v>0.0</v>
      </c>
      <c r="F3547" s="7"/>
      <c r="G3547" s="7" t="s">
        <v>313</v>
      </c>
      <c r="H3547" s="7" t="s">
        <v>312</v>
      </c>
      <c r="I3547" s="10"/>
      <c r="J3547" s="11"/>
      <c r="K3547" s="12"/>
      <c r="L3547" s="12"/>
      <c r="M3547" s="10"/>
      <c r="N3547" s="10"/>
      <c r="O3547" s="10"/>
      <c r="P3547" s="10"/>
      <c r="Q3547" s="10"/>
      <c r="R3547" s="10"/>
      <c r="S3547" s="10"/>
      <c r="T3547" s="10"/>
      <c r="U3547" s="10"/>
      <c r="V3547" s="10"/>
      <c r="W3547" s="10"/>
      <c r="X3547" s="10"/>
      <c r="Y3547" s="10"/>
      <c r="Z3547" s="10"/>
      <c r="AA3547" s="10"/>
      <c r="AB3547" s="10"/>
      <c r="AC3547" s="10"/>
      <c r="AD3547" s="10"/>
      <c r="AE3547" s="10"/>
      <c r="AF3547" s="10"/>
    </row>
    <row r="3548">
      <c r="A3548" s="7"/>
      <c r="B3548" s="26">
        <v>261.0</v>
      </c>
      <c r="C3548" s="27">
        <v>68.0</v>
      </c>
      <c r="D3548" s="8" t="s">
        <v>4618</v>
      </c>
      <c r="E3548" s="7">
        <v>0.0</v>
      </c>
      <c r="F3548" s="7"/>
      <c r="G3548" s="7" t="s">
        <v>313</v>
      </c>
      <c r="H3548" s="7" t="s">
        <v>312</v>
      </c>
      <c r="I3548" s="10"/>
      <c r="J3548" s="11"/>
      <c r="K3548" s="12"/>
      <c r="L3548" s="12"/>
      <c r="M3548" s="10"/>
      <c r="N3548" s="10"/>
      <c r="O3548" s="10"/>
      <c r="P3548" s="10"/>
      <c r="Q3548" s="10"/>
      <c r="R3548" s="10"/>
      <c r="S3548" s="10"/>
      <c r="T3548" s="10"/>
      <c r="U3548" s="10"/>
      <c r="V3548" s="10"/>
      <c r="W3548" s="10"/>
      <c r="X3548" s="10"/>
      <c r="Y3548" s="10"/>
      <c r="Z3548" s="10"/>
      <c r="AA3548" s="10"/>
      <c r="AB3548" s="10"/>
      <c r="AC3548" s="10"/>
      <c r="AD3548" s="10"/>
      <c r="AE3548" s="10"/>
      <c r="AF3548" s="10"/>
    </row>
    <row r="3549">
      <c r="A3549" s="7"/>
      <c r="B3549" s="26">
        <v>261.0</v>
      </c>
      <c r="C3549" s="27">
        <v>69.0</v>
      </c>
      <c r="D3549" s="8" t="s">
        <v>4619</v>
      </c>
      <c r="E3549" s="7">
        <v>0.0</v>
      </c>
      <c r="F3549" s="7"/>
      <c r="G3549" s="7" t="s">
        <v>313</v>
      </c>
      <c r="H3549" s="7" t="s">
        <v>312</v>
      </c>
      <c r="I3549" s="10"/>
      <c r="J3549" s="11"/>
      <c r="K3549" s="12"/>
      <c r="L3549" s="12"/>
      <c r="M3549" s="10"/>
      <c r="N3549" s="10"/>
      <c r="O3549" s="10"/>
      <c r="P3549" s="10"/>
      <c r="Q3549" s="10"/>
      <c r="R3549" s="10"/>
      <c r="S3549" s="10"/>
      <c r="T3549" s="10"/>
      <c r="U3549" s="10"/>
      <c r="V3549" s="10"/>
      <c r="W3549" s="10"/>
      <c r="X3549" s="10"/>
      <c r="Y3549" s="10"/>
      <c r="Z3549" s="10"/>
      <c r="AA3549" s="10"/>
      <c r="AB3549" s="10"/>
      <c r="AC3549" s="10"/>
      <c r="AD3549" s="10"/>
      <c r="AE3549" s="10"/>
      <c r="AF3549" s="10"/>
    </row>
    <row r="3550">
      <c r="A3550" s="7"/>
      <c r="B3550" s="26">
        <v>261.0</v>
      </c>
      <c r="C3550" s="27">
        <v>70.0</v>
      </c>
      <c r="D3550" s="8" t="s">
        <v>4620</v>
      </c>
      <c r="E3550" s="7">
        <v>0.0</v>
      </c>
      <c r="F3550" s="7"/>
      <c r="G3550" s="7" t="s">
        <v>313</v>
      </c>
      <c r="H3550" s="7" t="s">
        <v>312</v>
      </c>
      <c r="I3550" s="10"/>
      <c r="J3550" s="11"/>
      <c r="K3550" s="12"/>
      <c r="L3550" s="12"/>
      <c r="M3550" s="10"/>
      <c r="N3550" s="10"/>
      <c r="O3550" s="10"/>
      <c r="P3550" s="10"/>
      <c r="Q3550" s="10"/>
      <c r="R3550" s="10"/>
      <c r="S3550" s="10"/>
      <c r="T3550" s="10"/>
      <c r="U3550" s="10"/>
      <c r="V3550" s="10"/>
      <c r="W3550" s="10"/>
      <c r="X3550" s="10"/>
      <c r="Y3550" s="10"/>
      <c r="Z3550" s="10"/>
      <c r="AA3550" s="10"/>
      <c r="AB3550" s="10"/>
      <c r="AC3550" s="10"/>
      <c r="AD3550" s="10"/>
      <c r="AE3550" s="10"/>
      <c r="AF3550" s="10"/>
    </row>
    <row r="3551">
      <c r="A3551" s="7"/>
      <c r="B3551" s="26">
        <v>261.0</v>
      </c>
      <c r="C3551" s="27">
        <v>71.0</v>
      </c>
      <c r="D3551" s="8" t="s">
        <v>4621</v>
      </c>
      <c r="E3551" s="7">
        <v>0.0</v>
      </c>
      <c r="F3551" s="7"/>
      <c r="G3551" s="7" t="s">
        <v>313</v>
      </c>
      <c r="H3551" s="7" t="s">
        <v>312</v>
      </c>
      <c r="I3551" s="10"/>
      <c r="J3551" s="11"/>
      <c r="K3551" s="12"/>
      <c r="L3551" s="12"/>
      <c r="M3551" s="10"/>
      <c r="N3551" s="10"/>
      <c r="O3551" s="10"/>
      <c r="P3551" s="10"/>
      <c r="Q3551" s="10"/>
      <c r="R3551" s="10"/>
      <c r="S3551" s="10"/>
      <c r="T3551" s="10"/>
      <c r="U3551" s="10"/>
      <c r="V3551" s="10"/>
      <c r="W3551" s="10"/>
      <c r="X3551" s="10"/>
      <c r="Y3551" s="10"/>
      <c r="Z3551" s="10"/>
      <c r="AA3551" s="10"/>
      <c r="AB3551" s="10"/>
      <c r="AC3551" s="10"/>
      <c r="AD3551" s="10"/>
      <c r="AE3551" s="10"/>
      <c r="AF3551" s="10"/>
    </row>
    <row r="3552">
      <c r="A3552" s="7"/>
      <c r="B3552" s="26">
        <v>261.0</v>
      </c>
      <c r="C3552" s="27">
        <v>72.0</v>
      </c>
      <c r="D3552" s="8" t="s">
        <v>4622</v>
      </c>
      <c r="E3552" s="7">
        <v>0.0</v>
      </c>
      <c r="F3552" s="7"/>
      <c r="G3552" s="7" t="s">
        <v>313</v>
      </c>
      <c r="H3552" s="7" t="s">
        <v>312</v>
      </c>
      <c r="I3552" s="10"/>
      <c r="J3552" s="11"/>
      <c r="K3552" s="12"/>
      <c r="L3552" s="12"/>
      <c r="M3552" s="10"/>
      <c r="N3552" s="10"/>
      <c r="O3552" s="10"/>
      <c r="P3552" s="10"/>
      <c r="Q3552" s="10"/>
      <c r="R3552" s="10"/>
      <c r="S3552" s="10"/>
      <c r="T3552" s="10"/>
      <c r="U3552" s="10"/>
      <c r="V3552" s="10"/>
      <c r="W3552" s="10"/>
      <c r="X3552" s="10"/>
      <c r="Y3552" s="10"/>
      <c r="Z3552" s="10"/>
      <c r="AA3552" s="10"/>
      <c r="AB3552" s="10"/>
      <c r="AC3552" s="10"/>
      <c r="AD3552" s="10"/>
      <c r="AE3552" s="10"/>
      <c r="AF3552" s="10"/>
    </row>
    <row r="3553">
      <c r="A3553" s="7"/>
      <c r="B3553" s="26">
        <v>261.0</v>
      </c>
      <c r="C3553" s="27">
        <v>73.0</v>
      </c>
      <c r="D3553" s="8" t="s">
        <v>4623</v>
      </c>
      <c r="E3553" s="7">
        <v>0.0</v>
      </c>
      <c r="F3553" s="7"/>
      <c r="G3553" s="7" t="s">
        <v>313</v>
      </c>
      <c r="H3553" s="7" t="s">
        <v>312</v>
      </c>
      <c r="I3553" s="10"/>
      <c r="J3553" s="11"/>
      <c r="K3553" s="12"/>
      <c r="L3553" s="12"/>
      <c r="M3553" s="10"/>
      <c r="N3553" s="10"/>
      <c r="O3553" s="10"/>
      <c r="P3553" s="10"/>
      <c r="Q3553" s="10"/>
      <c r="R3553" s="10"/>
      <c r="S3553" s="10"/>
      <c r="T3553" s="10"/>
      <c r="U3553" s="10"/>
      <c r="V3553" s="10"/>
      <c r="W3553" s="10"/>
      <c r="X3553" s="10"/>
      <c r="Y3553" s="10"/>
      <c r="Z3553" s="10"/>
      <c r="AA3553" s="10"/>
      <c r="AB3553" s="10"/>
      <c r="AC3553" s="10"/>
      <c r="AD3553" s="10"/>
      <c r="AE3553" s="10"/>
      <c r="AF3553" s="10"/>
    </row>
    <row r="3554">
      <c r="A3554" s="7"/>
      <c r="B3554" s="26">
        <v>261.0</v>
      </c>
      <c r="C3554" s="27">
        <v>74.0</v>
      </c>
      <c r="D3554" s="8" t="s">
        <v>4624</v>
      </c>
      <c r="E3554" s="7">
        <v>0.0</v>
      </c>
      <c r="F3554" s="7"/>
      <c r="G3554" s="7" t="s">
        <v>313</v>
      </c>
      <c r="H3554" s="7" t="s">
        <v>312</v>
      </c>
      <c r="I3554" s="10"/>
      <c r="J3554" s="11"/>
      <c r="K3554" s="12"/>
      <c r="L3554" s="12"/>
      <c r="M3554" s="10"/>
      <c r="N3554" s="10"/>
      <c r="O3554" s="10"/>
      <c r="P3554" s="10"/>
      <c r="Q3554" s="10"/>
      <c r="R3554" s="10"/>
      <c r="S3554" s="10"/>
      <c r="T3554" s="10"/>
      <c r="U3554" s="10"/>
      <c r="V3554" s="10"/>
      <c r="W3554" s="10"/>
      <c r="X3554" s="10"/>
      <c r="Y3554" s="10"/>
      <c r="Z3554" s="10"/>
      <c r="AA3554" s="10"/>
      <c r="AB3554" s="10"/>
      <c r="AC3554" s="10"/>
      <c r="AD3554" s="10"/>
      <c r="AE3554" s="10"/>
      <c r="AF3554" s="10"/>
    </row>
    <row r="3555">
      <c r="A3555" s="7"/>
      <c r="B3555" s="26">
        <v>261.0</v>
      </c>
      <c r="C3555" s="27">
        <v>75.0</v>
      </c>
      <c r="D3555" s="8" t="s">
        <v>4625</v>
      </c>
      <c r="E3555" s="7">
        <v>0.0</v>
      </c>
      <c r="F3555" s="7"/>
      <c r="G3555" s="7" t="s">
        <v>313</v>
      </c>
      <c r="H3555" s="7" t="s">
        <v>312</v>
      </c>
      <c r="I3555" s="10"/>
      <c r="J3555" s="11"/>
      <c r="K3555" s="12"/>
      <c r="L3555" s="12"/>
      <c r="M3555" s="10"/>
      <c r="N3555" s="10"/>
      <c r="O3555" s="10"/>
      <c r="P3555" s="10"/>
      <c r="Q3555" s="10"/>
      <c r="R3555" s="10"/>
      <c r="S3555" s="10"/>
      <c r="T3555" s="10"/>
      <c r="U3555" s="10"/>
      <c r="V3555" s="10"/>
      <c r="W3555" s="10"/>
      <c r="X3555" s="10"/>
      <c r="Y3555" s="10"/>
      <c r="Z3555" s="10"/>
      <c r="AA3555" s="10"/>
      <c r="AB3555" s="10"/>
      <c r="AC3555" s="10"/>
      <c r="AD3555" s="10"/>
      <c r="AE3555" s="10"/>
      <c r="AF3555" s="10"/>
    </row>
    <row r="3556">
      <c r="A3556" s="7"/>
      <c r="B3556" s="26">
        <v>261.0</v>
      </c>
      <c r="C3556" s="27">
        <v>76.0</v>
      </c>
      <c r="D3556" s="8" t="s">
        <v>4626</v>
      </c>
      <c r="E3556" s="7">
        <v>0.0</v>
      </c>
      <c r="F3556" s="7"/>
      <c r="G3556" s="7" t="s">
        <v>313</v>
      </c>
      <c r="H3556" s="7" t="s">
        <v>312</v>
      </c>
      <c r="I3556" s="10"/>
      <c r="J3556" s="11"/>
      <c r="K3556" s="12"/>
      <c r="L3556" s="12"/>
      <c r="M3556" s="10"/>
      <c r="N3556" s="10"/>
      <c r="O3556" s="10"/>
      <c r="P3556" s="10"/>
      <c r="Q3556" s="10"/>
      <c r="R3556" s="10"/>
      <c r="S3556" s="10"/>
      <c r="T3556" s="10"/>
      <c r="U3556" s="10"/>
      <c r="V3556" s="10"/>
      <c r="W3556" s="10"/>
      <c r="X3556" s="10"/>
      <c r="Y3556" s="10"/>
      <c r="Z3556" s="10"/>
      <c r="AA3556" s="10"/>
      <c r="AB3556" s="10"/>
      <c r="AC3556" s="10"/>
      <c r="AD3556" s="10"/>
      <c r="AE3556" s="10"/>
      <c r="AF3556" s="10"/>
    </row>
    <row r="3557">
      <c r="A3557" s="7"/>
      <c r="B3557" s="26">
        <v>261.0</v>
      </c>
      <c r="C3557" s="27">
        <v>77.0</v>
      </c>
      <c r="D3557" s="8" t="s">
        <v>4627</v>
      </c>
      <c r="E3557" s="7">
        <v>0.0</v>
      </c>
      <c r="F3557" s="7"/>
      <c r="G3557" s="7" t="s">
        <v>313</v>
      </c>
      <c r="H3557" s="7" t="s">
        <v>312</v>
      </c>
      <c r="I3557" s="10"/>
      <c r="J3557" s="11"/>
      <c r="K3557" s="12"/>
      <c r="L3557" s="12"/>
      <c r="M3557" s="10"/>
      <c r="N3557" s="10"/>
      <c r="O3557" s="10"/>
      <c r="P3557" s="10"/>
      <c r="Q3557" s="10"/>
      <c r="R3557" s="10"/>
      <c r="S3557" s="10"/>
      <c r="T3557" s="10"/>
      <c r="U3557" s="10"/>
      <c r="V3557" s="10"/>
      <c r="W3557" s="10"/>
      <c r="X3557" s="10"/>
      <c r="Y3557" s="10"/>
      <c r="Z3557" s="10"/>
      <c r="AA3557" s="10"/>
      <c r="AB3557" s="10"/>
      <c r="AC3557" s="10"/>
      <c r="AD3557" s="10"/>
      <c r="AE3557" s="10"/>
      <c r="AF3557" s="10"/>
    </row>
    <row r="3558">
      <c r="A3558" s="7"/>
      <c r="B3558" s="26">
        <v>261.0</v>
      </c>
      <c r="C3558" s="27">
        <v>78.0</v>
      </c>
      <c r="D3558" s="8" t="s">
        <v>4628</v>
      </c>
      <c r="E3558" s="7">
        <v>0.0</v>
      </c>
      <c r="F3558" s="7"/>
      <c r="G3558" s="7" t="s">
        <v>313</v>
      </c>
      <c r="H3558" s="7" t="s">
        <v>312</v>
      </c>
      <c r="I3558" s="10"/>
      <c r="J3558" s="11"/>
      <c r="K3558" s="12"/>
      <c r="L3558" s="12"/>
      <c r="M3558" s="10"/>
      <c r="N3558" s="10"/>
      <c r="O3558" s="10"/>
      <c r="P3558" s="10"/>
      <c r="Q3558" s="10"/>
      <c r="R3558" s="10"/>
      <c r="S3558" s="10"/>
      <c r="T3558" s="10"/>
      <c r="U3558" s="10"/>
      <c r="V3558" s="10"/>
      <c r="W3558" s="10"/>
      <c r="X3558" s="10"/>
      <c r="Y3558" s="10"/>
      <c r="Z3558" s="10"/>
      <c r="AA3558" s="10"/>
      <c r="AB3558" s="10"/>
      <c r="AC3558" s="10"/>
      <c r="AD3558" s="10"/>
      <c r="AE3558" s="10"/>
      <c r="AF3558" s="10"/>
    </row>
    <row r="3559">
      <c r="A3559" s="7"/>
      <c r="B3559" s="26">
        <v>261.0</v>
      </c>
      <c r="C3559" s="27">
        <v>79.0</v>
      </c>
      <c r="D3559" s="8" t="s">
        <v>4629</v>
      </c>
      <c r="E3559" s="7">
        <v>0.0</v>
      </c>
      <c r="F3559" s="7"/>
      <c r="G3559" s="7" t="s">
        <v>313</v>
      </c>
      <c r="H3559" s="7" t="s">
        <v>312</v>
      </c>
      <c r="I3559" s="10"/>
      <c r="J3559" s="11"/>
      <c r="K3559" s="12"/>
      <c r="L3559" s="12"/>
      <c r="M3559" s="10"/>
      <c r="N3559" s="10"/>
      <c r="O3559" s="10"/>
      <c r="P3559" s="10"/>
      <c r="Q3559" s="10"/>
      <c r="R3559" s="10"/>
      <c r="S3559" s="10"/>
      <c r="T3559" s="10"/>
      <c r="U3559" s="10"/>
      <c r="V3559" s="10"/>
      <c r="W3559" s="10"/>
      <c r="X3559" s="10"/>
      <c r="Y3559" s="10"/>
      <c r="Z3559" s="10"/>
      <c r="AA3559" s="10"/>
      <c r="AB3559" s="10"/>
      <c r="AC3559" s="10"/>
      <c r="AD3559" s="10"/>
      <c r="AE3559" s="10"/>
      <c r="AF3559" s="10"/>
    </row>
    <row r="3560">
      <c r="A3560" s="7"/>
      <c r="B3560" s="26">
        <v>261.0</v>
      </c>
      <c r="C3560" s="27">
        <v>80.0</v>
      </c>
      <c r="D3560" s="8" t="s">
        <v>4630</v>
      </c>
      <c r="E3560" s="7">
        <v>0.0</v>
      </c>
      <c r="F3560" s="7"/>
      <c r="G3560" s="7" t="s">
        <v>313</v>
      </c>
      <c r="H3560" s="7" t="s">
        <v>312</v>
      </c>
      <c r="I3560" s="10"/>
      <c r="J3560" s="11"/>
      <c r="K3560" s="12"/>
      <c r="L3560" s="12"/>
      <c r="M3560" s="10"/>
      <c r="N3560" s="10"/>
      <c r="O3560" s="10"/>
      <c r="P3560" s="10"/>
      <c r="Q3560" s="10"/>
      <c r="R3560" s="10"/>
      <c r="S3560" s="10"/>
      <c r="T3560" s="10"/>
      <c r="U3560" s="10"/>
      <c r="V3560" s="10"/>
      <c r="W3560" s="10"/>
      <c r="X3560" s="10"/>
      <c r="Y3560" s="10"/>
      <c r="Z3560" s="10"/>
      <c r="AA3560" s="10"/>
      <c r="AB3560" s="10"/>
      <c r="AC3560" s="10"/>
      <c r="AD3560" s="10"/>
      <c r="AE3560" s="10"/>
      <c r="AF3560" s="10"/>
    </row>
    <row r="3561">
      <c r="A3561" s="7"/>
      <c r="B3561" s="26">
        <v>261.0</v>
      </c>
      <c r="C3561" s="27">
        <v>81.0</v>
      </c>
      <c r="D3561" s="8" t="s">
        <v>4631</v>
      </c>
      <c r="E3561" s="7">
        <v>0.0</v>
      </c>
      <c r="F3561" s="7"/>
      <c r="G3561" s="7" t="s">
        <v>313</v>
      </c>
      <c r="H3561" s="7" t="s">
        <v>312</v>
      </c>
      <c r="I3561" s="10"/>
      <c r="J3561" s="11"/>
      <c r="K3561" s="12"/>
      <c r="L3561" s="12"/>
      <c r="M3561" s="10"/>
      <c r="N3561" s="10"/>
      <c r="O3561" s="10"/>
      <c r="P3561" s="10"/>
      <c r="Q3561" s="10"/>
      <c r="R3561" s="10"/>
      <c r="S3561" s="10"/>
      <c r="T3561" s="10"/>
      <c r="U3561" s="10"/>
      <c r="V3561" s="10"/>
      <c r="W3561" s="10"/>
      <c r="X3561" s="10"/>
      <c r="Y3561" s="10"/>
      <c r="Z3561" s="10"/>
      <c r="AA3561" s="10"/>
      <c r="AB3561" s="10"/>
      <c r="AC3561" s="10"/>
      <c r="AD3561" s="10"/>
      <c r="AE3561" s="10"/>
      <c r="AF3561" s="10"/>
    </row>
    <row r="3562">
      <c r="A3562" s="7"/>
      <c r="B3562" s="26">
        <v>261.0</v>
      </c>
      <c r="C3562" s="27">
        <v>82.0</v>
      </c>
      <c r="D3562" s="8" t="s">
        <v>4632</v>
      </c>
      <c r="E3562" s="7">
        <v>0.0</v>
      </c>
      <c r="F3562" s="7"/>
      <c r="G3562" s="7" t="s">
        <v>313</v>
      </c>
      <c r="H3562" s="7" t="s">
        <v>312</v>
      </c>
      <c r="I3562" s="10"/>
      <c r="J3562" s="11"/>
      <c r="K3562" s="12"/>
      <c r="L3562" s="12"/>
      <c r="M3562" s="10"/>
      <c r="N3562" s="10"/>
      <c r="O3562" s="10"/>
      <c r="P3562" s="10"/>
      <c r="Q3562" s="10"/>
      <c r="R3562" s="10"/>
      <c r="S3562" s="10"/>
      <c r="T3562" s="10"/>
      <c r="U3562" s="10"/>
      <c r="V3562" s="10"/>
      <c r="W3562" s="10"/>
      <c r="X3562" s="10"/>
      <c r="Y3562" s="10"/>
      <c r="Z3562" s="10"/>
      <c r="AA3562" s="10"/>
      <c r="AB3562" s="10"/>
      <c r="AC3562" s="10"/>
      <c r="AD3562" s="10"/>
      <c r="AE3562" s="10"/>
      <c r="AF3562" s="10"/>
    </row>
    <row r="3563">
      <c r="A3563" s="7"/>
      <c r="B3563" s="26">
        <v>261.0</v>
      </c>
      <c r="C3563" s="27">
        <v>83.0</v>
      </c>
      <c r="D3563" s="8" t="s">
        <v>4633</v>
      </c>
      <c r="E3563" s="7">
        <v>0.0</v>
      </c>
      <c r="F3563" s="7"/>
      <c r="G3563" s="7" t="s">
        <v>313</v>
      </c>
      <c r="H3563" s="7" t="s">
        <v>312</v>
      </c>
      <c r="I3563" s="10"/>
      <c r="J3563" s="11"/>
      <c r="K3563" s="12"/>
      <c r="L3563" s="12"/>
      <c r="M3563" s="10"/>
      <c r="N3563" s="10"/>
      <c r="O3563" s="10"/>
      <c r="P3563" s="10"/>
      <c r="Q3563" s="10"/>
      <c r="R3563" s="10"/>
      <c r="S3563" s="10"/>
      <c r="T3563" s="10"/>
      <c r="U3563" s="10"/>
      <c r="V3563" s="10"/>
      <c r="W3563" s="10"/>
      <c r="X3563" s="10"/>
      <c r="Y3563" s="10"/>
      <c r="Z3563" s="10"/>
      <c r="AA3563" s="10"/>
      <c r="AB3563" s="10"/>
      <c r="AC3563" s="10"/>
      <c r="AD3563" s="10"/>
      <c r="AE3563" s="10"/>
      <c r="AF3563" s="10"/>
    </row>
    <row r="3564">
      <c r="A3564" s="7"/>
      <c r="B3564" s="26">
        <v>261.0</v>
      </c>
      <c r="C3564" s="27">
        <v>84.0</v>
      </c>
      <c r="D3564" s="8" t="s">
        <v>4634</v>
      </c>
      <c r="E3564" s="7">
        <v>0.0</v>
      </c>
      <c r="F3564" s="7"/>
      <c r="G3564" s="7" t="s">
        <v>313</v>
      </c>
      <c r="H3564" s="7" t="s">
        <v>312</v>
      </c>
      <c r="I3564" s="10"/>
      <c r="J3564" s="11"/>
      <c r="K3564" s="12"/>
      <c r="L3564" s="12"/>
      <c r="M3564" s="10"/>
      <c r="N3564" s="10"/>
      <c r="O3564" s="10"/>
      <c r="P3564" s="10"/>
      <c r="Q3564" s="10"/>
      <c r="R3564" s="10"/>
      <c r="S3564" s="10"/>
      <c r="T3564" s="10"/>
      <c r="U3564" s="10"/>
      <c r="V3564" s="10"/>
      <c r="W3564" s="10"/>
      <c r="X3564" s="10"/>
      <c r="Y3564" s="10"/>
      <c r="Z3564" s="10"/>
      <c r="AA3564" s="10"/>
      <c r="AB3564" s="10"/>
      <c r="AC3564" s="10"/>
      <c r="AD3564" s="10"/>
      <c r="AE3564" s="10"/>
      <c r="AF3564" s="10"/>
    </row>
    <row r="3565">
      <c r="A3565" s="7"/>
      <c r="B3565" s="26">
        <v>261.0</v>
      </c>
      <c r="C3565" s="27">
        <v>85.0</v>
      </c>
      <c r="D3565" s="8" t="s">
        <v>4635</v>
      </c>
      <c r="E3565" s="7">
        <v>0.0</v>
      </c>
      <c r="F3565" s="7"/>
      <c r="G3565" s="7" t="s">
        <v>313</v>
      </c>
      <c r="H3565" s="7" t="s">
        <v>312</v>
      </c>
      <c r="I3565" s="10"/>
      <c r="J3565" s="11"/>
      <c r="K3565" s="12"/>
      <c r="L3565" s="12"/>
      <c r="M3565" s="10"/>
      <c r="N3565" s="10"/>
      <c r="O3565" s="10"/>
      <c r="P3565" s="10"/>
      <c r="Q3565" s="10"/>
      <c r="R3565" s="10"/>
      <c r="S3565" s="10"/>
      <c r="T3565" s="10"/>
      <c r="U3565" s="10"/>
      <c r="V3565" s="10"/>
      <c r="W3565" s="10"/>
      <c r="X3565" s="10"/>
      <c r="Y3565" s="10"/>
      <c r="Z3565" s="10"/>
      <c r="AA3565" s="10"/>
      <c r="AB3565" s="10"/>
      <c r="AC3565" s="10"/>
      <c r="AD3565" s="10"/>
      <c r="AE3565" s="10"/>
      <c r="AF3565" s="10"/>
    </row>
    <row r="3566">
      <c r="A3566" s="7"/>
      <c r="B3566" s="26">
        <v>261.0</v>
      </c>
      <c r="C3566" s="27">
        <v>86.0</v>
      </c>
      <c r="D3566" s="8" t="s">
        <v>4636</v>
      </c>
      <c r="E3566" s="7">
        <v>0.0</v>
      </c>
      <c r="F3566" s="7"/>
      <c r="G3566" s="7" t="s">
        <v>313</v>
      </c>
      <c r="H3566" s="7" t="s">
        <v>312</v>
      </c>
      <c r="I3566" s="10"/>
      <c r="J3566" s="11"/>
      <c r="K3566" s="12"/>
      <c r="L3566" s="12"/>
      <c r="M3566" s="10"/>
      <c r="N3566" s="10"/>
      <c r="O3566" s="10"/>
      <c r="P3566" s="10"/>
      <c r="Q3566" s="10"/>
      <c r="R3566" s="10"/>
      <c r="S3566" s="10"/>
      <c r="T3566" s="10"/>
      <c r="U3566" s="10"/>
      <c r="V3566" s="10"/>
      <c r="W3566" s="10"/>
      <c r="X3566" s="10"/>
      <c r="Y3566" s="10"/>
      <c r="Z3566" s="10"/>
      <c r="AA3566" s="10"/>
      <c r="AB3566" s="10"/>
      <c r="AC3566" s="10"/>
      <c r="AD3566" s="10"/>
      <c r="AE3566" s="10"/>
      <c r="AF3566" s="10"/>
    </row>
    <row r="3567">
      <c r="A3567" s="7"/>
      <c r="B3567" s="26">
        <v>261.0</v>
      </c>
      <c r="C3567" s="27">
        <v>87.0</v>
      </c>
      <c r="D3567" s="8" t="s">
        <v>4637</v>
      </c>
      <c r="E3567" s="7">
        <v>0.0</v>
      </c>
      <c r="F3567" s="7"/>
      <c r="G3567" s="7" t="s">
        <v>313</v>
      </c>
      <c r="H3567" s="7" t="s">
        <v>312</v>
      </c>
      <c r="I3567" s="10"/>
      <c r="J3567" s="11"/>
      <c r="K3567" s="12"/>
      <c r="L3567" s="12"/>
      <c r="M3567" s="10"/>
      <c r="N3567" s="10"/>
      <c r="O3567" s="10"/>
      <c r="P3567" s="10"/>
      <c r="Q3567" s="10"/>
      <c r="R3567" s="10"/>
      <c r="S3567" s="10"/>
      <c r="T3567" s="10"/>
      <c r="U3567" s="10"/>
      <c r="V3567" s="10"/>
      <c r="W3567" s="10"/>
      <c r="X3567" s="10"/>
      <c r="Y3567" s="10"/>
      <c r="Z3567" s="10"/>
      <c r="AA3567" s="10"/>
      <c r="AB3567" s="10"/>
      <c r="AC3567" s="10"/>
      <c r="AD3567" s="10"/>
      <c r="AE3567" s="10"/>
      <c r="AF3567" s="10"/>
    </row>
    <row r="3568">
      <c r="A3568" s="7"/>
      <c r="B3568" s="26">
        <v>261.0</v>
      </c>
      <c r="C3568" s="27">
        <v>88.0</v>
      </c>
      <c r="D3568" s="8" t="s">
        <v>4638</v>
      </c>
      <c r="E3568" s="7">
        <v>0.0</v>
      </c>
      <c r="F3568" s="7"/>
      <c r="G3568" s="7" t="s">
        <v>313</v>
      </c>
      <c r="H3568" s="7" t="s">
        <v>312</v>
      </c>
      <c r="I3568" s="10"/>
      <c r="J3568" s="11"/>
      <c r="K3568" s="12"/>
      <c r="L3568" s="12"/>
      <c r="M3568" s="10"/>
      <c r="N3568" s="10"/>
      <c r="O3568" s="10"/>
      <c r="P3568" s="10"/>
      <c r="Q3568" s="10"/>
      <c r="R3568" s="10"/>
      <c r="S3568" s="10"/>
      <c r="T3568" s="10"/>
      <c r="U3568" s="10"/>
      <c r="V3568" s="10"/>
      <c r="W3568" s="10"/>
      <c r="X3568" s="10"/>
      <c r="Y3568" s="10"/>
      <c r="Z3568" s="10"/>
      <c r="AA3568" s="10"/>
      <c r="AB3568" s="10"/>
      <c r="AC3568" s="10"/>
      <c r="AD3568" s="10"/>
      <c r="AE3568" s="10"/>
      <c r="AF3568" s="10"/>
    </row>
    <row r="3569">
      <c r="A3569" s="7"/>
      <c r="B3569" s="26">
        <v>261.0</v>
      </c>
      <c r="C3569" s="27">
        <v>89.0</v>
      </c>
      <c r="D3569" s="8" t="s">
        <v>4639</v>
      </c>
      <c r="E3569" s="7">
        <v>0.0</v>
      </c>
      <c r="F3569" s="7"/>
      <c r="G3569" s="7" t="s">
        <v>313</v>
      </c>
      <c r="H3569" s="7" t="s">
        <v>312</v>
      </c>
      <c r="I3569" s="10"/>
      <c r="J3569" s="11"/>
      <c r="K3569" s="12"/>
      <c r="L3569" s="12"/>
      <c r="M3569" s="10"/>
      <c r="N3569" s="10"/>
      <c r="O3569" s="10"/>
      <c r="P3569" s="10"/>
      <c r="Q3569" s="10"/>
      <c r="R3569" s="10"/>
      <c r="S3569" s="10"/>
      <c r="T3569" s="10"/>
      <c r="U3569" s="10"/>
      <c r="V3569" s="10"/>
      <c r="W3569" s="10"/>
      <c r="X3569" s="10"/>
      <c r="Y3569" s="10"/>
      <c r="Z3569" s="10"/>
      <c r="AA3569" s="10"/>
      <c r="AB3569" s="10"/>
      <c r="AC3569" s="10"/>
      <c r="AD3569" s="10"/>
      <c r="AE3569" s="10"/>
      <c r="AF3569" s="10"/>
    </row>
    <row r="3570">
      <c r="A3570" s="7"/>
      <c r="B3570" s="26">
        <v>261.0</v>
      </c>
      <c r="C3570" s="27">
        <v>90.0</v>
      </c>
      <c r="D3570" s="8" t="s">
        <v>4640</v>
      </c>
      <c r="E3570" s="7">
        <v>0.0</v>
      </c>
      <c r="F3570" s="7"/>
      <c r="G3570" s="7" t="s">
        <v>313</v>
      </c>
      <c r="H3570" s="7" t="s">
        <v>312</v>
      </c>
      <c r="I3570" s="10"/>
      <c r="J3570" s="11"/>
      <c r="K3570" s="12"/>
      <c r="L3570" s="12"/>
      <c r="M3570" s="10"/>
      <c r="N3570" s="10"/>
      <c r="O3570" s="10"/>
      <c r="P3570" s="10"/>
      <c r="Q3570" s="10"/>
      <c r="R3570" s="10"/>
      <c r="S3570" s="10"/>
      <c r="T3570" s="10"/>
      <c r="U3570" s="10"/>
      <c r="V3570" s="10"/>
      <c r="W3570" s="10"/>
      <c r="X3570" s="10"/>
      <c r="Y3570" s="10"/>
      <c r="Z3570" s="10"/>
      <c r="AA3570" s="10"/>
      <c r="AB3570" s="10"/>
      <c r="AC3570" s="10"/>
      <c r="AD3570" s="10"/>
      <c r="AE3570" s="10"/>
      <c r="AF3570" s="10"/>
    </row>
    <row r="3571">
      <c r="A3571" s="7"/>
      <c r="B3571" s="26">
        <v>261.0</v>
      </c>
      <c r="C3571" s="27">
        <v>91.0</v>
      </c>
      <c r="D3571" s="8" t="s">
        <v>4641</v>
      </c>
      <c r="E3571" s="7">
        <v>0.0</v>
      </c>
      <c r="F3571" s="7"/>
      <c r="G3571" s="7" t="s">
        <v>313</v>
      </c>
      <c r="H3571" s="7" t="s">
        <v>312</v>
      </c>
      <c r="I3571" s="10"/>
      <c r="J3571" s="11"/>
      <c r="K3571" s="12"/>
      <c r="L3571" s="12"/>
      <c r="M3571" s="10"/>
      <c r="N3571" s="10"/>
      <c r="O3571" s="10"/>
      <c r="P3571" s="10"/>
      <c r="Q3571" s="10"/>
      <c r="R3571" s="10"/>
      <c r="S3571" s="10"/>
      <c r="T3571" s="10"/>
      <c r="U3571" s="10"/>
      <c r="V3571" s="10"/>
      <c r="W3571" s="10"/>
      <c r="X3571" s="10"/>
      <c r="Y3571" s="10"/>
      <c r="Z3571" s="10"/>
      <c r="AA3571" s="10"/>
      <c r="AB3571" s="10"/>
      <c r="AC3571" s="10"/>
      <c r="AD3571" s="10"/>
      <c r="AE3571" s="10"/>
      <c r="AF3571" s="10"/>
    </row>
    <row r="3572">
      <c r="A3572" s="10"/>
      <c r="B3572" s="10"/>
      <c r="C3572" s="10"/>
      <c r="D3572" s="10"/>
      <c r="E3572" s="10"/>
      <c r="F3572" s="10"/>
      <c r="G3572" s="10"/>
      <c r="H3572" s="10"/>
      <c r="I3572" s="10"/>
      <c r="J3572" s="11"/>
      <c r="K3572" s="12"/>
      <c r="L3572" s="12"/>
      <c r="M3572" s="10"/>
      <c r="N3572" s="10"/>
      <c r="O3572" s="10"/>
      <c r="P3572" s="10"/>
      <c r="Q3572" s="10"/>
      <c r="R3572" s="10"/>
      <c r="S3572" s="10"/>
      <c r="T3572" s="10"/>
      <c r="U3572" s="10"/>
      <c r="V3572" s="10"/>
      <c r="W3572" s="10"/>
      <c r="X3572" s="10"/>
      <c r="Y3572" s="10"/>
      <c r="Z3572" s="10"/>
      <c r="AA3572" s="10"/>
      <c r="AB3572" s="10"/>
      <c r="AC3572" s="10"/>
      <c r="AD3572" s="10"/>
      <c r="AE3572" s="10"/>
      <c r="AF3572" s="10"/>
    </row>
    <row r="3573">
      <c r="A3573" s="7"/>
      <c r="B3573" s="26">
        <v>262.0</v>
      </c>
      <c r="C3573" s="27">
        <v>1.0</v>
      </c>
      <c r="D3573" s="8" t="s">
        <v>4642</v>
      </c>
      <c r="E3573" s="7">
        <v>3.0</v>
      </c>
      <c r="F3573" s="7" t="s">
        <v>320</v>
      </c>
      <c r="G3573" s="7" t="s">
        <v>313</v>
      </c>
      <c r="H3573" s="7" t="s">
        <v>312</v>
      </c>
      <c r="I3573" s="7" t="s">
        <v>366</v>
      </c>
      <c r="J3573" s="9" t="s">
        <v>4643</v>
      </c>
      <c r="K3573" s="12"/>
      <c r="L3573" s="15" t="s">
        <v>4644</v>
      </c>
      <c r="M3573" s="10"/>
      <c r="N3573" s="10"/>
      <c r="O3573" s="10"/>
      <c r="P3573" s="10"/>
      <c r="Q3573" s="10"/>
      <c r="R3573" s="10"/>
      <c r="S3573" s="10"/>
      <c r="T3573" s="10"/>
      <c r="U3573" s="10"/>
      <c r="V3573" s="10"/>
      <c r="W3573" s="10"/>
      <c r="X3573" s="10"/>
      <c r="Y3573" s="10"/>
      <c r="Z3573" s="10"/>
      <c r="AA3573" s="10"/>
      <c r="AB3573" s="10"/>
      <c r="AC3573" s="10"/>
      <c r="AD3573" s="10"/>
      <c r="AE3573" s="10"/>
      <c r="AF3573" s="10"/>
    </row>
    <row r="3574">
      <c r="A3574" s="7"/>
      <c r="B3574" s="26">
        <v>262.0</v>
      </c>
      <c r="C3574" s="27">
        <v>2.0</v>
      </c>
      <c r="D3574" s="8" t="s">
        <v>4645</v>
      </c>
      <c r="E3574" s="7">
        <v>3.0</v>
      </c>
      <c r="F3574" s="7"/>
      <c r="G3574" s="7" t="s">
        <v>313</v>
      </c>
      <c r="H3574" s="7" t="s">
        <v>312</v>
      </c>
      <c r="I3574" s="10"/>
      <c r="J3574" s="11"/>
      <c r="K3574" s="12"/>
      <c r="L3574" s="12"/>
      <c r="M3574" s="10"/>
      <c r="N3574" s="10"/>
      <c r="O3574" s="10"/>
      <c r="P3574" s="10"/>
      <c r="Q3574" s="10"/>
      <c r="R3574" s="10"/>
      <c r="S3574" s="10"/>
      <c r="T3574" s="10"/>
      <c r="U3574" s="10"/>
      <c r="V3574" s="10"/>
      <c r="W3574" s="10"/>
      <c r="X3574" s="10"/>
      <c r="Y3574" s="10"/>
      <c r="Z3574" s="10"/>
      <c r="AA3574" s="10"/>
      <c r="AB3574" s="10"/>
      <c r="AC3574" s="10"/>
      <c r="AD3574" s="10"/>
      <c r="AE3574" s="10"/>
      <c r="AF3574" s="10"/>
    </row>
    <row r="3575">
      <c r="A3575" s="7"/>
      <c r="B3575" s="26">
        <v>262.0</v>
      </c>
      <c r="C3575" s="27">
        <v>3.0</v>
      </c>
      <c r="D3575" s="8" t="s">
        <v>4646</v>
      </c>
      <c r="E3575" s="7">
        <v>0.0</v>
      </c>
      <c r="F3575" s="7" t="s">
        <v>320</v>
      </c>
      <c r="G3575" s="7" t="s">
        <v>313</v>
      </c>
      <c r="H3575" s="7" t="s">
        <v>312</v>
      </c>
      <c r="I3575" s="7" t="s">
        <v>366</v>
      </c>
      <c r="J3575" s="9" t="s">
        <v>4647</v>
      </c>
      <c r="K3575" s="12"/>
      <c r="L3575" s="12"/>
      <c r="M3575" s="10"/>
      <c r="N3575" s="10"/>
      <c r="O3575" s="10"/>
      <c r="P3575" s="10"/>
      <c r="Q3575" s="10"/>
      <c r="R3575" s="10"/>
      <c r="S3575" s="10"/>
      <c r="T3575" s="10"/>
      <c r="U3575" s="10"/>
      <c r="V3575" s="10"/>
      <c r="W3575" s="10"/>
      <c r="X3575" s="10"/>
      <c r="Y3575" s="10"/>
      <c r="Z3575" s="10"/>
      <c r="AA3575" s="10"/>
      <c r="AB3575" s="10"/>
      <c r="AC3575" s="10"/>
      <c r="AD3575" s="10"/>
      <c r="AE3575" s="10"/>
      <c r="AF3575" s="10"/>
    </row>
    <row r="3576">
      <c r="A3576" s="7"/>
      <c r="B3576" s="26">
        <v>262.0</v>
      </c>
      <c r="C3576" s="27">
        <v>4.0</v>
      </c>
      <c r="D3576" s="8" t="s">
        <v>4648</v>
      </c>
      <c r="E3576" s="7">
        <v>0.0</v>
      </c>
      <c r="F3576" s="7" t="s">
        <v>320</v>
      </c>
      <c r="G3576" s="7" t="s">
        <v>313</v>
      </c>
      <c r="H3576" s="7" t="s">
        <v>312</v>
      </c>
      <c r="I3576" s="7" t="s">
        <v>4428</v>
      </c>
      <c r="J3576" s="9" t="s">
        <v>4649</v>
      </c>
      <c r="K3576" s="12"/>
      <c r="L3576" s="12"/>
      <c r="M3576" s="10"/>
      <c r="N3576" s="10"/>
      <c r="O3576" s="10"/>
      <c r="P3576" s="10"/>
      <c r="Q3576" s="10"/>
      <c r="R3576" s="10"/>
      <c r="S3576" s="10"/>
      <c r="T3576" s="10"/>
      <c r="U3576" s="10"/>
      <c r="V3576" s="10"/>
      <c r="W3576" s="10"/>
      <c r="X3576" s="10"/>
      <c r="Y3576" s="10"/>
      <c r="Z3576" s="10"/>
      <c r="AA3576" s="10"/>
      <c r="AB3576" s="10"/>
      <c r="AC3576" s="10"/>
      <c r="AD3576" s="10"/>
      <c r="AE3576" s="10"/>
      <c r="AF3576" s="10"/>
    </row>
    <row r="3577">
      <c r="A3577" s="7"/>
      <c r="B3577" s="26">
        <v>262.0</v>
      </c>
      <c r="C3577" s="27">
        <v>5.0</v>
      </c>
      <c r="D3577" s="8" t="s">
        <v>4650</v>
      </c>
      <c r="E3577" s="7">
        <v>0.0</v>
      </c>
      <c r="F3577" s="7"/>
      <c r="G3577" s="7" t="s">
        <v>313</v>
      </c>
      <c r="H3577" s="7" t="s">
        <v>312</v>
      </c>
      <c r="I3577" s="10"/>
      <c r="J3577" s="11"/>
      <c r="K3577" s="12"/>
      <c r="L3577" s="12"/>
      <c r="M3577" s="10"/>
      <c r="N3577" s="10"/>
      <c r="O3577" s="10"/>
      <c r="P3577" s="10"/>
      <c r="Q3577" s="10"/>
      <c r="R3577" s="10"/>
      <c r="S3577" s="10"/>
      <c r="T3577" s="10"/>
      <c r="U3577" s="10"/>
      <c r="V3577" s="10"/>
      <c r="W3577" s="10"/>
      <c r="X3577" s="10"/>
      <c r="Y3577" s="10"/>
      <c r="Z3577" s="10"/>
      <c r="AA3577" s="10"/>
      <c r="AB3577" s="10"/>
      <c r="AC3577" s="10"/>
      <c r="AD3577" s="10"/>
      <c r="AE3577" s="10"/>
      <c r="AF3577" s="10"/>
    </row>
    <row r="3578">
      <c r="A3578" s="7"/>
      <c r="B3578" s="26">
        <v>262.0</v>
      </c>
      <c r="C3578" s="27">
        <v>6.0</v>
      </c>
      <c r="D3578" s="8" t="s">
        <v>4651</v>
      </c>
      <c r="E3578" s="7">
        <v>0.0</v>
      </c>
      <c r="F3578" s="7"/>
      <c r="G3578" s="7" t="s">
        <v>313</v>
      </c>
      <c r="H3578" s="7" t="s">
        <v>312</v>
      </c>
      <c r="I3578" s="10"/>
      <c r="J3578" s="11"/>
      <c r="K3578" s="12"/>
      <c r="L3578" s="12"/>
      <c r="M3578" s="10"/>
      <c r="N3578" s="10"/>
      <c r="O3578" s="10"/>
      <c r="P3578" s="10"/>
      <c r="Q3578" s="10"/>
      <c r="R3578" s="10"/>
      <c r="S3578" s="10"/>
      <c r="T3578" s="10"/>
      <c r="U3578" s="10"/>
      <c r="V3578" s="10"/>
      <c r="W3578" s="10"/>
      <c r="X3578" s="10"/>
      <c r="Y3578" s="10"/>
      <c r="Z3578" s="10"/>
      <c r="AA3578" s="10"/>
      <c r="AB3578" s="10"/>
      <c r="AC3578" s="10"/>
      <c r="AD3578" s="10"/>
      <c r="AE3578" s="10"/>
      <c r="AF3578" s="10"/>
    </row>
    <row r="3579">
      <c r="A3579" s="7"/>
      <c r="B3579" s="26">
        <v>262.0</v>
      </c>
      <c r="C3579" s="27">
        <v>7.0</v>
      </c>
      <c r="D3579" s="8" t="s">
        <v>4652</v>
      </c>
      <c r="E3579" s="7">
        <v>0.0</v>
      </c>
      <c r="F3579" s="7"/>
      <c r="G3579" s="7" t="s">
        <v>313</v>
      </c>
      <c r="H3579" s="7" t="s">
        <v>312</v>
      </c>
      <c r="I3579" s="10"/>
      <c r="J3579" s="11"/>
      <c r="K3579" s="12"/>
      <c r="L3579" s="12"/>
      <c r="M3579" s="10"/>
      <c r="N3579" s="10"/>
      <c r="O3579" s="10"/>
      <c r="P3579" s="10"/>
      <c r="Q3579" s="10"/>
      <c r="R3579" s="10"/>
      <c r="S3579" s="10"/>
      <c r="T3579" s="10"/>
      <c r="U3579" s="10"/>
      <c r="V3579" s="10"/>
      <c r="W3579" s="10"/>
      <c r="X3579" s="10"/>
      <c r="Y3579" s="10"/>
      <c r="Z3579" s="10"/>
      <c r="AA3579" s="10"/>
      <c r="AB3579" s="10"/>
      <c r="AC3579" s="10"/>
      <c r="AD3579" s="10"/>
      <c r="AE3579" s="10"/>
      <c r="AF3579" s="10"/>
    </row>
    <row r="3580">
      <c r="A3580" s="7"/>
      <c r="B3580" s="26">
        <v>262.0</v>
      </c>
      <c r="C3580" s="27">
        <v>8.0</v>
      </c>
      <c r="D3580" s="8" t="s">
        <v>4653</v>
      </c>
      <c r="E3580" s="7">
        <v>0.0</v>
      </c>
      <c r="F3580" s="7"/>
      <c r="G3580" s="7" t="s">
        <v>313</v>
      </c>
      <c r="H3580" s="7" t="s">
        <v>312</v>
      </c>
      <c r="I3580" s="10"/>
      <c r="J3580" s="11"/>
      <c r="K3580" s="12"/>
      <c r="L3580" s="12"/>
      <c r="M3580" s="10"/>
      <c r="N3580" s="10"/>
      <c r="O3580" s="10"/>
      <c r="P3580" s="10"/>
      <c r="Q3580" s="10"/>
      <c r="R3580" s="10"/>
      <c r="S3580" s="10"/>
      <c r="T3580" s="10"/>
      <c r="U3580" s="10"/>
      <c r="V3580" s="10"/>
      <c r="W3580" s="10"/>
      <c r="X3580" s="10"/>
      <c r="Y3580" s="10"/>
      <c r="Z3580" s="10"/>
      <c r="AA3580" s="10"/>
      <c r="AB3580" s="10"/>
      <c r="AC3580" s="10"/>
      <c r="AD3580" s="10"/>
      <c r="AE3580" s="10"/>
      <c r="AF3580" s="10"/>
    </row>
    <row r="3581">
      <c r="A3581" s="7"/>
      <c r="B3581" s="26">
        <v>262.0</v>
      </c>
      <c r="C3581" s="27">
        <v>9.0</v>
      </c>
      <c r="D3581" s="8" t="s">
        <v>4654</v>
      </c>
      <c r="E3581" s="7">
        <v>0.0</v>
      </c>
      <c r="F3581" s="7"/>
      <c r="G3581" s="7" t="s">
        <v>313</v>
      </c>
      <c r="H3581" s="7" t="s">
        <v>312</v>
      </c>
      <c r="I3581" s="10"/>
      <c r="J3581" s="11"/>
      <c r="K3581" s="12"/>
      <c r="L3581" s="12"/>
      <c r="M3581" s="10"/>
      <c r="N3581" s="10"/>
      <c r="O3581" s="10"/>
      <c r="P3581" s="10"/>
      <c r="Q3581" s="10"/>
      <c r="R3581" s="10"/>
      <c r="S3581" s="10"/>
      <c r="T3581" s="10"/>
      <c r="U3581" s="10"/>
      <c r="V3581" s="10"/>
      <c r="W3581" s="10"/>
      <c r="X3581" s="10"/>
      <c r="Y3581" s="10"/>
      <c r="Z3581" s="10"/>
      <c r="AA3581" s="10"/>
      <c r="AB3581" s="10"/>
      <c r="AC3581" s="10"/>
      <c r="AD3581" s="10"/>
      <c r="AE3581" s="10"/>
      <c r="AF3581" s="10"/>
    </row>
    <row r="3582">
      <c r="A3582" s="7"/>
      <c r="B3582" s="26">
        <v>262.0</v>
      </c>
      <c r="C3582" s="27">
        <v>10.0</v>
      </c>
      <c r="D3582" s="8" t="s">
        <v>4655</v>
      </c>
      <c r="E3582" s="7">
        <v>0.0</v>
      </c>
      <c r="F3582" s="7"/>
      <c r="G3582" s="7" t="s">
        <v>313</v>
      </c>
      <c r="H3582" s="7" t="s">
        <v>312</v>
      </c>
      <c r="I3582" s="10"/>
      <c r="J3582" s="11"/>
      <c r="K3582" s="12"/>
      <c r="L3582" s="12"/>
      <c r="M3582" s="10"/>
      <c r="N3582" s="10"/>
      <c r="O3582" s="10"/>
      <c r="P3582" s="10"/>
      <c r="Q3582" s="10"/>
      <c r="R3582" s="10"/>
      <c r="S3582" s="10"/>
      <c r="T3582" s="10"/>
      <c r="U3582" s="10"/>
      <c r="V3582" s="10"/>
      <c r="W3582" s="10"/>
      <c r="X3582" s="10"/>
      <c r="Y3582" s="10"/>
      <c r="Z3582" s="10"/>
      <c r="AA3582" s="10"/>
      <c r="AB3582" s="10"/>
      <c r="AC3582" s="10"/>
      <c r="AD3582" s="10"/>
      <c r="AE3582" s="10"/>
      <c r="AF3582" s="10"/>
    </row>
    <row r="3583">
      <c r="A3583" s="7"/>
      <c r="B3583" s="26">
        <v>262.0</v>
      </c>
      <c r="C3583" s="27">
        <v>11.0</v>
      </c>
      <c r="D3583" s="8" t="s">
        <v>4656</v>
      </c>
      <c r="E3583" s="7">
        <v>0.0</v>
      </c>
      <c r="F3583" s="7"/>
      <c r="G3583" s="7" t="s">
        <v>313</v>
      </c>
      <c r="H3583" s="7" t="s">
        <v>312</v>
      </c>
      <c r="I3583" s="10"/>
      <c r="J3583" s="11"/>
      <c r="K3583" s="12"/>
      <c r="L3583" s="12"/>
      <c r="M3583" s="10"/>
      <c r="N3583" s="10"/>
      <c r="O3583" s="10"/>
      <c r="P3583" s="10"/>
      <c r="Q3583" s="10"/>
      <c r="R3583" s="10"/>
      <c r="S3583" s="10"/>
      <c r="T3583" s="10"/>
      <c r="U3583" s="10"/>
      <c r="V3583" s="10"/>
      <c r="W3583" s="10"/>
      <c r="X3583" s="10"/>
      <c r="Y3583" s="10"/>
      <c r="Z3583" s="10"/>
      <c r="AA3583" s="10"/>
      <c r="AB3583" s="10"/>
      <c r="AC3583" s="10"/>
      <c r="AD3583" s="10"/>
      <c r="AE3583" s="10"/>
      <c r="AF3583" s="10"/>
    </row>
    <row r="3584">
      <c r="A3584" s="7"/>
      <c r="B3584" s="26">
        <v>262.0</v>
      </c>
      <c r="C3584" s="27">
        <v>12.0</v>
      </c>
      <c r="D3584" s="8" t="s">
        <v>4657</v>
      </c>
      <c r="E3584" s="7">
        <v>0.0</v>
      </c>
      <c r="F3584" s="7"/>
      <c r="G3584" s="7" t="s">
        <v>313</v>
      </c>
      <c r="H3584" s="7" t="s">
        <v>312</v>
      </c>
      <c r="I3584" s="10"/>
      <c r="J3584" s="11"/>
      <c r="K3584" s="12"/>
      <c r="L3584" s="12"/>
      <c r="M3584" s="10"/>
      <c r="N3584" s="10"/>
      <c r="O3584" s="10"/>
      <c r="P3584" s="10"/>
      <c r="Q3584" s="10"/>
      <c r="R3584" s="10"/>
      <c r="S3584" s="10"/>
      <c r="T3584" s="10"/>
      <c r="U3584" s="10"/>
      <c r="V3584" s="10"/>
      <c r="W3584" s="10"/>
      <c r="X3584" s="10"/>
      <c r="Y3584" s="10"/>
      <c r="Z3584" s="10"/>
      <c r="AA3584" s="10"/>
      <c r="AB3584" s="10"/>
      <c r="AC3584" s="10"/>
      <c r="AD3584" s="10"/>
      <c r="AE3584" s="10"/>
      <c r="AF3584" s="10"/>
    </row>
    <row r="3585">
      <c r="A3585" s="7"/>
      <c r="B3585" s="26">
        <v>262.0</v>
      </c>
      <c r="C3585" s="27">
        <v>13.0</v>
      </c>
      <c r="D3585" s="8" t="s">
        <v>4658</v>
      </c>
      <c r="E3585" s="7">
        <v>0.0</v>
      </c>
      <c r="F3585" s="7"/>
      <c r="G3585" s="7" t="s">
        <v>313</v>
      </c>
      <c r="H3585" s="7" t="s">
        <v>312</v>
      </c>
      <c r="I3585" s="10"/>
      <c r="J3585" s="11"/>
      <c r="K3585" s="12"/>
      <c r="L3585" s="12"/>
      <c r="M3585" s="10"/>
      <c r="N3585" s="10"/>
      <c r="O3585" s="10"/>
      <c r="P3585" s="10"/>
      <c r="Q3585" s="10"/>
      <c r="R3585" s="10"/>
      <c r="S3585" s="10"/>
      <c r="T3585" s="10"/>
      <c r="U3585" s="10"/>
      <c r="V3585" s="10"/>
      <c r="W3585" s="10"/>
      <c r="X3585" s="10"/>
      <c r="Y3585" s="10"/>
      <c r="Z3585" s="10"/>
      <c r="AA3585" s="10"/>
      <c r="AB3585" s="10"/>
      <c r="AC3585" s="10"/>
      <c r="AD3585" s="10"/>
      <c r="AE3585" s="10"/>
      <c r="AF3585" s="10"/>
    </row>
    <row r="3586">
      <c r="A3586" s="7"/>
      <c r="B3586" s="26">
        <v>262.0</v>
      </c>
      <c r="C3586" s="27">
        <v>14.0</v>
      </c>
      <c r="D3586" s="8" t="s">
        <v>4659</v>
      </c>
      <c r="E3586" s="7">
        <v>0.0</v>
      </c>
      <c r="F3586" s="7"/>
      <c r="G3586" s="7" t="s">
        <v>313</v>
      </c>
      <c r="H3586" s="7" t="s">
        <v>312</v>
      </c>
      <c r="I3586" s="10"/>
      <c r="J3586" s="11"/>
      <c r="K3586" s="12"/>
      <c r="L3586" s="12"/>
      <c r="M3586" s="10"/>
      <c r="N3586" s="10"/>
      <c r="O3586" s="10"/>
      <c r="P3586" s="10"/>
      <c r="Q3586" s="10"/>
      <c r="R3586" s="10"/>
      <c r="S3586" s="10"/>
      <c r="T3586" s="10"/>
      <c r="U3586" s="10"/>
      <c r="V3586" s="10"/>
      <c r="W3586" s="10"/>
      <c r="X3586" s="10"/>
      <c r="Y3586" s="10"/>
      <c r="Z3586" s="10"/>
      <c r="AA3586" s="10"/>
      <c r="AB3586" s="10"/>
      <c r="AC3586" s="10"/>
      <c r="AD3586" s="10"/>
      <c r="AE3586" s="10"/>
      <c r="AF3586" s="10"/>
    </row>
    <row r="3587">
      <c r="A3587" s="7"/>
      <c r="B3587" s="26">
        <v>262.0</v>
      </c>
      <c r="C3587" s="27">
        <v>15.0</v>
      </c>
      <c r="D3587" s="8" t="s">
        <v>4660</v>
      </c>
      <c r="E3587" s="7">
        <v>0.0</v>
      </c>
      <c r="F3587" s="7"/>
      <c r="G3587" s="7" t="s">
        <v>313</v>
      </c>
      <c r="H3587" s="7" t="s">
        <v>312</v>
      </c>
      <c r="I3587" s="10"/>
      <c r="J3587" s="11"/>
      <c r="K3587" s="12"/>
      <c r="L3587" s="12"/>
      <c r="M3587" s="10"/>
      <c r="N3587" s="10"/>
      <c r="O3587" s="10"/>
      <c r="P3587" s="10"/>
      <c r="Q3587" s="10"/>
      <c r="R3587" s="10"/>
      <c r="S3587" s="10"/>
      <c r="T3587" s="10"/>
      <c r="U3587" s="10"/>
      <c r="V3587" s="10"/>
      <c r="W3587" s="10"/>
      <c r="X3587" s="10"/>
      <c r="Y3587" s="10"/>
      <c r="Z3587" s="10"/>
      <c r="AA3587" s="10"/>
      <c r="AB3587" s="10"/>
      <c r="AC3587" s="10"/>
      <c r="AD3587" s="10"/>
      <c r="AE3587" s="10"/>
      <c r="AF3587" s="10"/>
    </row>
    <row r="3588">
      <c r="A3588" s="7"/>
      <c r="B3588" s="26">
        <v>262.0</v>
      </c>
      <c r="C3588" s="27">
        <v>16.0</v>
      </c>
      <c r="D3588" s="8" t="s">
        <v>4661</v>
      </c>
      <c r="E3588" s="7">
        <v>0.0</v>
      </c>
      <c r="F3588" s="7"/>
      <c r="G3588" s="7" t="s">
        <v>313</v>
      </c>
      <c r="H3588" s="7" t="s">
        <v>312</v>
      </c>
      <c r="I3588" s="10"/>
      <c r="J3588" s="11"/>
      <c r="K3588" s="12"/>
      <c r="L3588" s="12"/>
      <c r="M3588" s="10"/>
      <c r="N3588" s="10"/>
      <c r="O3588" s="10"/>
      <c r="P3588" s="10"/>
      <c r="Q3588" s="10"/>
      <c r="R3588" s="10"/>
      <c r="S3588" s="10"/>
      <c r="T3588" s="10"/>
      <c r="U3588" s="10"/>
      <c r="V3588" s="10"/>
      <c r="W3588" s="10"/>
      <c r="X3588" s="10"/>
      <c r="Y3588" s="10"/>
      <c r="Z3588" s="10"/>
      <c r="AA3588" s="10"/>
      <c r="AB3588" s="10"/>
      <c r="AC3588" s="10"/>
      <c r="AD3588" s="10"/>
      <c r="AE3588" s="10"/>
      <c r="AF3588" s="10"/>
    </row>
    <row r="3589">
      <c r="A3589" s="7"/>
      <c r="B3589" s="26">
        <v>262.0</v>
      </c>
      <c r="C3589" s="27">
        <v>17.0</v>
      </c>
      <c r="D3589" s="8" t="s">
        <v>4662</v>
      </c>
      <c r="E3589" s="7">
        <v>0.0</v>
      </c>
      <c r="F3589" s="7"/>
      <c r="G3589" s="7" t="s">
        <v>313</v>
      </c>
      <c r="H3589" s="7" t="s">
        <v>312</v>
      </c>
      <c r="I3589" s="10"/>
      <c r="J3589" s="11"/>
      <c r="K3589" s="12"/>
      <c r="L3589" s="12"/>
      <c r="M3589" s="10"/>
      <c r="N3589" s="10"/>
      <c r="O3589" s="10"/>
      <c r="P3589" s="10"/>
      <c r="Q3589" s="10"/>
      <c r="R3589" s="10"/>
      <c r="S3589" s="10"/>
      <c r="T3589" s="10"/>
      <c r="U3589" s="10"/>
      <c r="V3589" s="10"/>
      <c r="W3589" s="10"/>
      <c r="X3589" s="10"/>
      <c r="Y3589" s="10"/>
      <c r="Z3589" s="10"/>
      <c r="AA3589" s="10"/>
      <c r="AB3589" s="10"/>
      <c r="AC3589" s="10"/>
      <c r="AD3589" s="10"/>
      <c r="AE3589" s="10"/>
      <c r="AF3589" s="10"/>
    </row>
    <row r="3590">
      <c r="A3590" s="7"/>
      <c r="B3590" s="26">
        <v>262.0</v>
      </c>
      <c r="C3590" s="27">
        <v>18.0</v>
      </c>
      <c r="D3590" s="8" t="s">
        <v>4663</v>
      </c>
      <c r="E3590" s="7">
        <v>0.0</v>
      </c>
      <c r="F3590" s="7"/>
      <c r="G3590" s="7" t="s">
        <v>313</v>
      </c>
      <c r="H3590" s="7" t="s">
        <v>312</v>
      </c>
      <c r="I3590" s="10"/>
      <c r="J3590" s="11"/>
      <c r="K3590" s="12"/>
      <c r="L3590" s="12"/>
      <c r="M3590" s="10"/>
      <c r="N3590" s="10"/>
      <c r="O3590" s="10"/>
      <c r="P3590" s="10"/>
      <c r="Q3590" s="10"/>
      <c r="R3590" s="10"/>
      <c r="S3590" s="10"/>
      <c r="T3590" s="10"/>
      <c r="U3590" s="10"/>
      <c r="V3590" s="10"/>
      <c r="W3590" s="10"/>
      <c r="X3590" s="10"/>
      <c r="Y3590" s="10"/>
      <c r="Z3590" s="10"/>
      <c r="AA3590" s="10"/>
      <c r="AB3590" s="10"/>
      <c r="AC3590" s="10"/>
      <c r="AD3590" s="10"/>
      <c r="AE3590" s="10"/>
      <c r="AF3590" s="10"/>
    </row>
    <row r="3591">
      <c r="A3591" s="7"/>
      <c r="B3591" s="26">
        <v>262.0</v>
      </c>
      <c r="C3591" s="27">
        <v>19.0</v>
      </c>
      <c r="D3591" s="8" t="s">
        <v>4664</v>
      </c>
      <c r="E3591" s="7">
        <v>0.0</v>
      </c>
      <c r="F3591" s="7"/>
      <c r="G3591" s="7" t="s">
        <v>313</v>
      </c>
      <c r="H3591" s="7" t="s">
        <v>312</v>
      </c>
      <c r="I3591" s="10"/>
      <c r="J3591" s="11"/>
      <c r="K3591" s="12"/>
      <c r="L3591" s="12"/>
      <c r="M3591" s="10"/>
      <c r="N3591" s="10"/>
      <c r="O3591" s="10"/>
      <c r="P3591" s="10"/>
      <c r="Q3591" s="10"/>
      <c r="R3591" s="10"/>
      <c r="S3591" s="10"/>
      <c r="T3591" s="10"/>
      <c r="U3591" s="10"/>
      <c r="V3591" s="10"/>
      <c r="W3591" s="10"/>
      <c r="X3591" s="10"/>
      <c r="Y3591" s="10"/>
      <c r="Z3591" s="10"/>
      <c r="AA3591" s="10"/>
      <c r="AB3591" s="10"/>
      <c r="AC3591" s="10"/>
      <c r="AD3591" s="10"/>
      <c r="AE3591" s="10"/>
      <c r="AF3591" s="10"/>
    </row>
    <row r="3592">
      <c r="A3592" s="7"/>
      <c r="B3592" s="26">
        <v>262.0</v>
      </c>
      <c r="C3592" s="27">
        <v>20.0</v>
      </c>
      <c r="D3592" s="8" t="s">
        <v>4665</v>
      </c>
      <c r="E3592" s="7">
        <v>0.0</v>
      </c>
      <c r="F3592" s="7"/>
      <c r="G3592" s="7" t="s">
        <v>313</v>
      </c>
      <c r="H3592" s="7" t="s">
        <v>312</v>
      </c>
      <c r="I3592" s="10"/>
      <c r="J3592" s="11"/>
      <c r="K3592" s="12"/>
      <c r="L3592" s="12"/>
      <c r="M3592" s="10"/>
      <c r="N3592" s="10"/>
      <c r="O3592" s="10"/>
      <c r="P3592" s="10"/>
      <c r="Q3592" s="10"/>
      <c r="R3592" s="10"/>
      <c r="S3592" s="10"/>
      <c r="T3592" s="10"/>
      <c r="U3592" s="10"/>
      <c r="V3592" s="10"/>
      <c r="W3592" s="10"/>
      <c r="X3592" s="10"/>
      <c r="Y3592" s="10"/>
      <c r="Z3592" s="10"/>
      <c r="AA3592" s="10"/>
      <c r="AB3592" s="10"/>
      <c r="AC3592" s="10"/>
      <c r="AD3592" s="10"/>
      <c r="AE3592" s="10"/>
      <c r="AF3592" s="10"/>
    </row>
    <row r="3593">
      <c r="A3593" s="7"/>
      <c r="B3593" s="26">
        <v>262.0</v>
      </c>
      <c r="C3593" s="27">
        <v>21.0</v>
      </c>
      <c r="D3593" s="8" t="s">
        <v>4666</v>
      </c>
      <c r="E3593" s="7">
        <v>0.0</v>
      </c>
      <c r="F3593" s="7"/>
      <c r="G3593" s="7" t="s">
        <v>313</v>
      </c>
      <c r="H3593" s="7" t="s">
        <v>312</v>
      </c>
      <c r="I3593" s="10"/>
      <c r="J3593" s="11"/>
      <c r="K3593" s="12"/>
      <c r="L3593" s="12"/>
      <c r="M3593" s="10"/>
      <c r="N3593" s="10"/>
      <c r="O3593" s="10"/>
      <c r="P3593" s="10"/>
      <c r="Q3593" s="10"/>
      <c r="R3593" s="10"/>
      <c r="S3593" s="10"/>
      <c r="T3593" s="10"/>
      <c r="U3593" s="10"/>
      <c r="V3593" s="10"/>
      <c r="W3593" s="10"/>
      <c r="X3593" s="10"/>
      <c r="Y3593" s="10"/>
      <c r="Z3593" s="10"/>
      <c r="AA3593" s="10"/>
      <c r="AB3593" s="10"/>
      <c r="AC3593" s="10"/>
      <c r="AD3593" s="10"/>
      <c r="AE3593" s="10"/>
      <c r="AF3593" s="10"/>
    </row>
    <row r="3594">
      <c r="A3594" s="10"/>
      <c r="B3594" s="12"/>
      <c r="C3594" s="12"/>
      <c r="D3594" s="12"/>
      <c r="E3594" s="10"/>
      <c r="F3594" s="10"/>
      <c r="G3594" s="10"/>
      <c r="H3594" s="10"/>
      <c r="I3594" s="10"/>
      <c r="J3594" s="11"/>
      <c r="K3594" s="12"/>
      <c r="L3594" s="12"/>
      <c r="M3594" s="10"/>
      <c r="N3594" s="10"/>
      <c r="O3594" s="10"/>
      <c r="P3594" s="10"/>
      <c r="Q3594" s="10"/>
      <c r="R3594" s="10"/>
      <c r="S3594" s="10"/>
      <c r="T3594" s="10"/>
      <c r="U3594" s="10"/>
      <c r="V3594" s="10"/>
      <c r="W3594" s="10"/>
      <c r="X3594" s="10"/>
      <c r="Y3594" s="10"/>
      <c r="Z3594" s="10"/>
      <c r="AA3594" s="10"/>
      <c r="AB3594" s="10"/>
      <c r="AC3594" s="10"/>
      <c r="AD3594" s="10"/>
      <c r="AE3594" s="10"/>
      <c r="AF3594" s="10"/>
    </row>
    <row r="3595">
      <c r="A3595" s="7"/>
      <c r="B3595" s="26">
        <v>263.0</v>
      </c>
      <c r="C3595" s="27">
        <v>1.0</v>
      </c>
      <c r="D3595" s="8" t="s">
        <v>4667</v>
      </c>
      <c r="E3595" s="7">
        <v>0.0</v>
      </c>
      <c r="F3595" s="7"/>
      <c r="G3595" s="7" t="s">
        <v>313</v>
      </c>
      <c r="H3595" s="7" t="s">
        <v>312</v>
      </c>
      <c r="I3595" s="10"/>
      <c r="J3595" s="9" t="s">
        <v>4668</v>
      </c>
      <c r="K3595" s="12"/>
      <c r="L3595" s="12"/>
      <c r="M3595" s="10"/>
      <c r="N3595" s="10"/>
      <c r="O3595" s="10"/>
      <c r="P3595" s="10"/>
      <c r="Q3595" s="10"/>
      <c r="R3595" s="10"/>
      <c r="S3595" s="10"/>
      <c r="T3595" s="10"/>
      <c r="U3595" s="10"/>
      <c r="V3595" s="10"/>
      <c r="W3595" s="10"/>
      <c r="X3595" s="10"/>
      <c r="Y3595" s="10"/>
      <c r="Z3595" s="10"/>
      <c r="AA3595" s="10"/>
      <c r="AB3595" s="10"/>
      <c r="AC3595" s="10"/>
      <c r="AD3595" s="10"/>
      <c r="AE3595" s="10"/>
      <c r="AF3595" s="10"/>
    </row>
    <row r="3596">
      <c r="A3596" s="7"/>
      <c r="B3596" s="26">
        <v>263.0</v>
      </c>
      <c r="C3596" s="27">
        <v>2.0</v>
      </c>
      <c r="D3596" s="8" t="s">
        <v>4669</v>
      </c>
      <c r="E3596" s="7">
        <v>0.0</v>
      </c>
      <c r="F3596" s="7"/>
      <c r="G3596" s="7" t="s">
        <v>313</v>
      </c>
      <c r="H3596" s="7" t="s">
        <v>312</v>
      </c>
      <c r="I3596" s="10"/>
      <c r="J3596" s="9" t="s">
        <v>4670</v>
      </c>
      <c r="K3596" s="12"/>
      <c r="L3596" s="12"/>
      <c r="M3596" s="10"/>
      <c r="N3596" s="10"/>
      <c r="O3596" s="10"/>
      <c r="P3596" s="10"/>
      <c r="Q3596" s="10"/>
      <c r="R3596" s="10"/>
      <c r="S3596" s="10"/>
      <c r="T3596" s="10"/>
      <c r="U3596" s="10"/>
      <c r="V3596" s="10"/>
      <c r="W3596" s="10"/>
      <c r="X3596" s="10"/>
      <c r="Y3596" s="10"/>
      <c r="Z3596" s="10"/>
      <c r="AA3596" s="10"/>
      <c r="AB3596" s="10"/>
      <c r="AC3596" s="10"/>
      <c r="AD3596" s="10"/>
      <c r="AE3596" s="10"/>
      <c r="AF3596" s="10"/>
    </row>
    <row r="3597">
      <c r="A3597" s="7"/>
      <c r="B3597" s="26">
        <v>263.0</v>
      </c>
      <c r="C3597" s="27">
        <v>3.0</v>
      </c>
      <c r="D3597" s="8" t="s">
        <v>4671</v>
      </c>
      <c r="E3597" s="7">
        <v>3.0</v>
      </c>
      <c r="F3597" s="7" t="s">
        <v>320</v>
      </c>
      <c r="G3597" s="7" t="s">
        <v>313</v>
      </c>
      <c r="H3597" s="7" t="s">
        <v>312</v>
      </c>
      <c r="I3597" s="7" t="s">
        <v>366</v>
      </c>
      <c r="J3597" s="9" t="s">
        <v>4672</v>
      </c>
      <c r="K3597" s="12"/>
      <c r="L3597" s="12"/>
      <c r="M3597" s="10"/>
      <c r="N3597" s="10"/>
      <c r="O3597" s="10"/>
      <c r="P3597" s="10"/>
      <c r="Q3597" s="10"/>
      <c r="R3597" s="10"/>
      <c r="S3597" s="10"/>
      <c r="T3597" s="10"/>
      <c r="U3597" s="10"/>
      <c r="V3597" s="10"/>
      <c r="W3597" s="10"/>
      <c r="X3597" s="10"/>
      <c r="Y3597" s="10"/>
      <c r="Z3597" s="10"/>
      <c r="AA3597" s="10"/>
      <c r="AB3597" s="10"/>
      <c r="AC3597" s="10"/>
      <c r="AD3597" s="10"/>
      <c r="AE3597" s="10"/>
      <c r="AF3597" s="10"/>
    </row>
    <row r="3598">
      <c r="A3598" s="7"/>
      <c r="B3598" s="26">
        <v>263.0</v>
      </c>
      <c r="C3598" s="27">
        <v>4.0</v>
      </c>
      <c r="D3598" s="8" t="s">
        <v>4673</v>
      </c>
      <c r="E3598" s="7">
        <v>3.0</v>
      </c>
      <c r="F3598" s="7" t="s">
        <v>320</v>
      </c>
      <c r="G3598" s="7" t="s">
        <v>313</v>
      </c>
      <c r="H3598" s="7" t="s">
        <v>312</v>
      </c>
      <c r="I3598" s="7" t="s">
        <v>366</v>
      </c>
      <c r="J3598" s="9" t="s">
        <v>4674</v>
      </c>
      <c r="K3598" s="12"/>
      <c r="L3598" s="12"/>
      <c r="M3598" s="10"/>
      <c r="N3598" s="10"/>
      <c r="O3598" s="10"/>
      <c r="P3598" s="10"/>
      <c r="Q3598" s="10"/>
      <c r="R3598" s="10"/>
      <c r="S3598" s="10"/>
      <c r="T3598" s="10"/>
      <c r="U3598" s="10"/>
      <c r="V3598" s="10"/>
      <c r="W3598" s="10"/>
      <c r="X3598" s="10"/>
      <c r="Y3598" s="10"/>
      <c r="Z3598" s="10"/>
      <c r="AA3598" s="10"/>
      <c r="AB3598" s="10"/>
      <c r="AC3598" s="10"/>
      <c r="AD3598" s="10"/>
      <c r="AE3598" s="10"/>
      <c r="AF3598" s="10"/>
    </row>
    <row r="3599">
      <c r="A3599" s="7"/>
      <c r="B3599" s="26">
        <v>263.0</v>
      </c>
      <c r="C3599" s="27">
        <v>5.0</v>
      </c>
      <c r="D3599" s="8" t="s">
        <v>4675</v>
      </c>
      <c r="E3599" s="7">
        <v>0.0</v>
      </c>
      <c r="F3599" s="7"/>
      <c r="G3599" s="7" t="s">
        <v>313</v>
      </c>
      <c r="H3599" s="7" t="s">
        <v>312</v>
      </c>
      <c r="I3599" s="10"/>
      <c r="J3599" s="11"/>
      <c r="K3599" s="12"/>
      <c r="L3599" s="12"/>
      <c r="M3599" s="10"/>
      <c r="N3599" s="10"/>
      <c r="O3599" s="10"/>
      <c r="P3599" s="10"/>
      <c r="Q3599" s="10"/>
      <c r="R3599" s="10"/>
      <c r="S3599" s="10"/>
      <c r="T3599" s="10"/>
      <c r="U3599" s="10"/>
      <c r="V3599" s="10"/>
      <c r="W3599" s="10"/>
      <c r="X3599" s="10"/>
      <c r="Y3599" s="10"/>
      <c r="Z3599" s="10"/>
      <c r="AA3599" s="10"/>
      <c r="AB3599" s="10"/>
      <c r="AC3599" s="10"/>
      <c r="AD3599" s="10"/>
      <c r="AE3599" s="10"/>
      <c r="AF3599" s="10"/>
    </row>
    <row r="3600">
      <c r="A3600" s="7"/>
      <c r="B3600" s="26">
        <v>263.0</v>
      </c>
      <c r="C3600" s="27">
        <v>6.0</v>
      </c>
      <c r="D3600" s="8" t="s">
        <v>4676</v>
      </c>
      <c r="E3600" s="7">
        <v>3.0</v>
      </c>
      <c r="F3600" s="7" t="s">
        <v>320</v>
      </c>
      <c r="G3600" s="7" t="s">
        <v>313</v>
      </c>
      <c r="H3600" s="7" t="s">
        <v>312</v>
      </c>
      <c r="I3600" s="7" t="s">
        <v>366</v>
      </c>
      <c r="J3600" s="9" t="s">
        <v>4677</v>
      </c>
      <c r="K3600" s="12"/>
      <c r="L3600" s="12"/>
      <c r="M3600" s="10"/>
      <c r="N3600" s="10"/>
      <c r="O3600" s="10"/>
      <c r="P3600" s="10"/>
      <c r="Q3600" s="10"/>
      <c r="R3600" s="10"/>
      <c r="S3600" s="10"/>
      <c r="T3600" s="10"/>
      <c r="U3600" s="10"/>
      <c r="V3600" s="10"/>
      <c r="W3600" s="10"/>
      <c r="X3600" s="10"/>
      <c r="Y3600" s="10"/>
      <c r="Z3600" s="10"/>
      <c r="AA3600" s="10"/>
      <c r="AB3600" s="10"/>
      <c r="AC3600" s="10"/>
      <c r="AD3600" s="10"/>
      <c r="AE3600" s="10"/>
      <c r="AF3600" s="10"/>
    </row>
    <row r="3601">
      <c r="A3601" s="7"/>
      <c r="B3601" s="26">
        <v>263.0</v>
      </c>
      <c r="C3601" s="27">
        <v>7.0</v>
      </c>
      <c r="D3601" s="8" t="s">
        <v>4678</v>
      </c>
      <c r="E3601" s="7">
        <v>0.0</v>
      </c>
      <c r="F3601" s="7" t="s">
        <v>320</v>
      </c>
      <c r="G3601" s="7" t="s">
        <v>313</v>
      </c>
      <c r="H3601" s="7" t="s">
        <v>312</v>
      </c>
      <c r="I3601" s="7" t="s">
        <v>320</v>
      </c>
      <c r="J3601" s="9" t="s">
        <v>4679</v>
      </c>
      <c r="K3601" s="12"/>
      <c r="L3601" s="12"/>
      <c r="M3601" s="10"/>
      <c r="N3601" s="10"/>
      <c r="O3601" s="10"/>
      <c r="P3601" s="10"/>
      <c r="Q3601" s="10"/>
      <c r="R3601" s="10"/>
      <c r="S3601" s="10"/>
      <c r="T3601" s="10"/>
      <c r="U3601" s="10"/>
      <c r="V3601" s="10"/>
      <c r="W3601" s="10"/>
      <c r="X3601" s="10"/>
      <c r="Y3601" s="10"/>
      <c r="Z3601" s="10"/>
      <c r="AA3601" s="10"/>
      <c r="AB3601" s="10"/>
      <c r="AC3601" s="10"/>
      <c r="AD3601" s="10"/>
      <c r="AE3601" s="10"/>
      <c r="AF3601" s="10"/>
    </row>
    <row r="3602">
      <c r="A3602" s="7"/>
      <c r="B3602" s="26">
        <v>263.0</v>
      </c>
      <c r="C3602" s="27">
        <v>8.0</v>
      </c>
      <c r="D3602" s="8" t="s">
        <v>4680</v>
      </c>
      <c r="E3602" s="7">
        <v>0.0</v>
      </c>
      <c r="F3602" s="7"/>
      <c r="G3602" s="7" t="s">
        <v>313</v>
      </c>
      <c r="H3602" s="7" t="s">
        <v>312</v>
      </c>
      <c r="I3602" s="10"/>
      <c r="J3602" s="11"/>
      <c r="K3602" s="12"/>
      <c r="L3602" s="12"/>
      <c r="M3602" s="10"/>
      <c r="N3602" s="10"/>
      <c r="O3602" s="10"/>
      <c r="P3602" s="10"/>
      <c r="Q3602" s="10"/>
      <c r="R3602" s="10"/>
      <c r="S3602" s="10"/>
      <c r="T3602" s="10"/>
      <c r="U3602" s="10"/>
      <c r="V3602" s="10"/>
      <c r="W3602" s="10"/>
      <c r="X3602" s="10"/>
      <c r="Y3602" s="10"/>
      <c r="Z3602" s="10"/>
      <c r="AA3602" s="10"/>
      <c r="AB3602" s="10"/>
      <c r="AC3602" s="10"/>
      <c r="AD3602" s="10"/>
      <c r="AE3602" s="10"/>
      <c r="AF3602" s="10"/>
    </row>
    <row r="3603">
      <c r="A3603" s="7"/>
      <c r="B3603" s="26">
        <v>263.0</v>
      </c>
      <c r="C3603" s="27">
        <v>9.0</v>
      </c>
      <c r="D3603" s="8" t="s">
        <v>4681</v>
      </c>
      <c r="E3603" s="7">
        <v>3.0</v>
      </c>
      <c r="F3603" s="7" t="s">
        <v>320</v>
      </c>
      <c r="G3603" s="7" t="s">
        <v>313</v>
      </c>
      <c r="H3603" s="7" t="s">
        <v>312</v>
      </c>
      <c r="I3603" s="7" t="s">
        <v>4428</v>
      </c>
      <c r="J3603" s="9" t="s">
        <v>4682</v>
      </c>
      <c r="K3603" s="12"/>
      <c r="L3603" s="12"/>
      <c r="M3603" s="10"/>
      <c r="N3603" s="10"/>
      <c r="O3603" s="10"/>
      <c r="P3603" s="10"/>
      <c r="Q3603" s="10"/>
      <c r="R3603" s="10"/>
      <c r="S3603" s="10"/>
      <c r="T3603" s="10"/>
      <c r="U3603" s="10"/>
      <c r="V3603" s="10"/>
      <c r="W3603" s="10"/>
      <c r="X3603" s="10"/>
      <c r="Y3603" s="10"/>
      <c r="Z3603" s="10"/>
      <c r="AA3603" s="10"/>
      <c r="AB3603" s="10"/>
      <c r="AC3603" s="10"/>
      <c r="AD3603" s="10"/>
      <c r="AE3603" s="10"/>
      <c r="AF3603" s="10"/>
    </row>
    <row r="3604">
      <c r="A3604" s="7"/>
      <c r="B3604" s="26">
        <v>263.0</v>
      </c>
      <c r="C3604" s="27">
        <v>10.0</v>
      </c>
      <c r="D3604" s="8" t="s">
        <v>4683</v>
      </c>
      <c r="E3604" s="7">
        <v>3.0</v>
      </c>
      <c r="F3604" s="7"/>
      <c r="G3604" s="7" t="s">
        <v>313</v>
      </c>
      <c r="H3604" s="7" t="s">
        <v>312</v>
      </c>
      <c r="I3604" s="10"/>
      <c r="J3604" s="11"/>
      <c r="K3604" s="12"/>
      <c r="L3604" s="12"/>
      <c r="M3604" s="10"/>
      <c r="N3604" s="10"/>
      <c r="O3604" s="10"/>
      <c r="P3604" s="10"/>
      <c r="Q3604" s="10"/>
      <c r="R3604" s="10"/>
      <c r="S3604" s="10"/>
      <c r="T3604" s="10"/>
      <c r="U3604" s="10"/>
      <c r="V3604" s="10"/>
      <c r="W3604" s="10"/>
      <c r="X3604" s="10"/>
      <c r="Y3604" s="10"/>
      <c r="Z3604" s="10"/>
      <c r="AA3604" s="10"/>
      <c r="AB3604" s="10"/>
      <c r="AC3604" s="10"/>
      <c r="AD3604" s="10"/>
      <c r="AE3604" s="10"/>
      <c r="AF3604" s="10"/>
    </row>
    <row r="3605">
      <c r="A3605" s="7"/>
      <c r="B3605" s="26">
        <v>263.0</v>
      </c>
      <c r="C3605" s="27">
        <v>11.0</v>
      </c>
      <c r="D3605" s="8" t="s">
        <v>4684</v>
      </c>
      <c r="E3605" s="7">
        <v>0.0</v>
      </c>
      <c r="F3605" s="7"/>
      <c r="G3605" s="7" t="s">
        <v>313</v>
      </c>
      <c r="H3605" s="7" t="s">
        <v>312</v>
      </c>
      <c r="I3605" s="10"/>
      <c r="J3605" s="11"/>
      <c r="K3605" s="12"/>
      <c r="L3605" s="12"/>
      <c r="M3605" s="10"/>
      <c r="N3605" s="10"/>
      <c r="O3605" s="10"/>
      <c r="P3605" s="10"/>
      <c r="Q3605" s="10"/>
      <c r="R3605" s="10"/>
      <c r="S3605" s="10"/>
      <c r="T3605" s="10"/>
      <c r="U3605" s="10"/>
      <c r="V3605" s="10"/>
      <c r="W3605" s="10"/>
      <c r="X3605" s="10"/>
      <c r="Y3605" s="10"/>
      <c r="Z3605" s="10"/>
      <c r="AA3605" s="10"/>
      <c r="AB3605" s="10"/>
      <c r="AC3605" s="10"/>
      <c r="AD3605" s="10"/>
      <c r="AE3605" s="10"/>
      <c r="AF3605" s="10"/>
    </row>
    <row r="3606">
      <c r="A3606" s="7"/>
      <c r="B3606" s="26">
        <v>263.0</v>
      </c>
      <c r="C3606" s="27">
        <v>12.0</v>
      </c>
      <c r="D3606" s="8" t="s">
        <v>4685</v>
      </c>
      <c r="E3606" s="7">
        <v>3.0</v>
      </c>
      <c r="F3606" s="7"/>
      <c r="G3606" s="7" t="s">
        <v>313</v>
      </c>
      <c r="H3606" s="7" t="s">
        <v>312</v>
      </c>
      <c r="I3606" s="10"/>
      <c r="J3606" s="11"/>
      <c r="K3606" s="12"/>
      <c r="L3606" s="12"/>
      <c r="M3606" s="10"/>
      <c r="N3606" s="10"/>
      <c r="O3606" s="10"/>
      <c r="P3606" s="10"/>
      <c r="Q3606" s="10"/>
      <c r="R3606" s="10"/>
      <c r="S3606" s="10"/>
      <c r="T3606" s="10"/>
      <c r="U3606" s="10"/>
      <c r="V3606" s="10"/>
      <c r="W3606" s="10"/>
      <c r="X3606" s="10"/>
      <c r="Y3606" s="10"/>
      <c r="Z3606" s="10"/>
      <c r="AA3606" s="10"/>
      <c r="AB3606" s="10"/>
      <c r="AC3606" s="10"/>
      <c r="AD3606" s="10"/>
      <c r="AE3606" s="10"/>
      <c r="AF3606" s="10"/>
    </row>
    <row r="3607">
      <c r="A3607" s="7"/>
      <c r="B3607" s="26">
        <v>263.0</v>
      </c>
      <c r="C3607" s="27">
        <v>13.0</v>
      </c>
      <c r="D3607" s="8" t="s">
        <v>4686</v>
      </c>
      <c r="E3607" s="7">
        <v>0.0</v>
      </c>
      <c r="F3607" s="7" t="s">
        <v>320</v>
      </c>
      <c r="G3607" s="7" t="s">
        <v>313</v>
      </c>
      <c r="H3607" s="7" t="s">
        <v>312</v>
      </c>
      <c r="I3607" s="7" t="s">
        <v>366</v>
      </c>
      <c r="J3607" s="9" t="s">
        <v>4687</v>
      </c>
      <c r="K3607" s="12"/>
      <c r="L3607" s="12"/>
      <c r="M3607" s="10"/>
      <c r="N3607" s="10"/>
      <c r="O3607" s="10"/>
      <c r="P3607" s="10"/>
      <c r="Q3607" s="10"/>
      <c r="R3607" s="10"/>
      <c r="S3607" s="10"/>
      <c r="T3607" s="10"/>
      <c r="U3607" s="10"/>
      <c r="V3607" s="10"/>
      <c r="W3607" s="10"/>
      <c r="X3607" s="10"/>
      <c r="Y3607" s="10"/>
      <c r="Z3607" s="10"/>
      <c r="AA3607" s="10"/>
      <c r="AB3607" s="10"/>
      <c r="AC3607" s="10"/>
      <c r="AD3607" s="10"/>
      <c r="AE3607" s="10"/>
      <c r="AF3607" s="10"/>
    </row>
    <row r="3608">
      <c r="A3608" s="7"/>
      <c r="B3608" s="26">
        <v>263.0</v>
      </c>
      <c r="C3608" s="27">
        <v>14.0</v>
      </c>
      <c r="D3608" s="8" t="s">
        <v>4688</v>
      </c>
      <c r="E3608" s="7">
        <v>3.0</v>
      </c>
      <c r="F3608" s="7" t="s">
        <v>320</v>
      </c>
      <c r="G3608" s="7" t="s">
        <v>313</v>
      </c>
      <c r="H3608" s="7" t="s">
        <v>312</v>
      </c>
      <c r="I3608" s="7" t="s">
        <v>4428</v>
      </c>
      <c r="J3608" s="9" t="s">
        <v>4689</v>
      </c>
      <c r="K3608" s="12"/>
      <c r="L3608" s="12"/>
      <c r="M3608" s="10"/>
      <c r="N3608" s="10"/>
      <c r="O3608" s="10"/>
      <c r="P3608" s="10"/>
      <c r="Q3608" s="10"/>
      <c r="R3608" s="10"/>
      <c r="S3608" s="10"/>
      <c r="T3608" s="10"/>
      <c r="U3608" s="10"/>
      <c r="V3608" s="10"/>
      <c r="W3608" s="10"/>
      <c r="X3608" s="10"/>
      <c r="Y3608" s="10"/>
      <c r="Z3608" s="10"/>
      <c r="AA3608" s="10"/>
      <c r="AB3608" s="10"/>
      <c r="AC3608" s="10"/>
      <c r="AD3608" s="10"/>
      <c r="AE3608" s="10"/>
      <c r="AF3608" s="10"/>
    </row>
    <row r="3609">
      <c r="A3609" s="7"/>
      <c r="B3609" s="26">
        <v>263.0</v>
      </c>
      <c r="C3609" s="27">
        <v>15.0</v>
      </c>
      <c r="D3609" s="8" t="s">
        <v>4690</v>
      </c>
      <c r="E3609" s="7">
        <v>3.0</v>
      </c>
      <c r="F3609" s="7"/>
      <c r="G3609" s="7" t="s">
        <v>313</v>
      </c>
      <c r="H3609" s="7" t="s">
        <v>312</v>
      </c>
      <c r="I3609" s="10"/>
      <c r="J3609" s="11"/>
      <c r="K3609" s="12"/>
      <c r="L3609" s="12"/>
      <c r="M3609" s="10"/>
      <c r="N3609" s="10"/>
      <c r="O3609" s="10"/>
      <c r="P3609" s="10"/>
      <c r="Q3609" s="10"/>
      <c r="R3609" s="10"/>
      <c r="S3609" s="10"/>
      <c r="T3609" s="10"/>
      <c r="U3609" s="10"/>
      <c r="V3609" s="10"/>
      <c r="W3609" s="10"/>
      <c r="X3609" s="10"/>
      <c r="Y3609" s="10"/>
      <c r="Z3609" s="10"/>
      <c r="AA3609" s="10"/>
      <c r="AB3609" s="10"/>
      <c r="AC3609" s="10"/>
      <c r="AD3609" s="10"/>
      <c r="AE3609" s="10"/>
      <c r="AF3609" s="10"/>
    </row>
    <row r="3610">
      <c r="A3610" s="7"/>
      <c r="B3610" s="26">
        <v>263.0</v>
      </c>
      <c r="C3610" s="27">
        <v>16.0</v>
      </c>
      <c r="D3610" s="8" t="s">
        <v>4691</v>
      </c>
      <c r="E3610" s="7">
        <v>0.0</v>
      </c>
      <c r="F3610" s="7"/>
      <c r="G3610" s="7" t="s">
        <v>313</v>
      </c>
      <c r="H3610" s="7" t="s">
        <v>312</v>
      </c>
      <c r="I3610" s="10"/>
      <c r="J3610" s="11"/>
      <c r="K3610" s="12"/>
      <c r="L3610" s="12"/>
      <c r="M3610" s="10"/>
      <c r="N3610" s="10"/>
      <c r="O3610" s="10"/>
      <c r="P3610" s="10"/>
      <c r="Q3610" s="10"/>
      <c r="R3610" s="10"/>
      <c r="S3610" s="10"/>
      <c r="T3610" s="10"/>
      <c r="U3610" s="10"/>
      <c r="V3610" s="10"/>
      <c r="W3610" s="10"/>
      <c r="X3610" s="10"/>
      <c r="Y3610" s="10"/>
      <c r="Z3610" s="10"/>
      <c r="AA3610" s="10"/>
      <c r="AB3610" s="10"/>
      <c r="AC3610" s="10"/>
      <c r="AD3610" s="10"/>
      <c r="AE3610" s="10"/>
      <c r="AF3610" s="10"/>
    </row>
    <row r="3611">
      <c r="A3611" s="7"/>
      <c r="B3611" s="26">
        <v>263.0</v>
      </c>
      <c r="C3611" s="27">
        <v>17.0</v>
      </c>
      <c r="D3611" s="8" t="s">
        <v>4692</v>
      </c>
      <c r="E3611" s="7">
        <v>3.0</v>
      </c>
      <c r="F3611" s="7"/>
      <c r="G3611" s="7" t="s">
        <v>313</v>
      </c>
      <c r="H3611" s="7" t="s">
        <v>312</v>
      </c>
      <c r="I3611" s="10"/>
      <c r="J3611" s="11"/>
      <c r="K3611" s="12"/>
      <c r="L3611" s="12"/>
      <c r="M3611" s="10"/>
      <c r="N3611" s="10"/>
      <c r="O3611" s="10"/>
      <c r="P3611" s="10"/>
      <c r="Q3611" s="10"/>
      <c r="R3611" s="10"/>
      <c r="S3611" s="10"/>
      <c r="T3611" s="10"/>
      <c r="U3611" s="10"/>
      <c r="V3611" s="10"/>
      <c r="W3611" s="10"/>
      <c r="X3611" s="10"/>
      <c r="Y3611" s="10"/>
      <c r="Z3611" s="10"/>
      <c r="AA3611" s="10"/>
      <c r="AB3611" s="10"/>
      <c r="AC3611" s="10"/>
      <c r="AD3611" s="10"/>
      <c r="AE3611" s="10"/>
      <c r="AF3611" s="10"/>
    </row>
    <row r="3612">
      <c r="A3612" s="7"/>
      <c r="B3612" s="26">
        <v>263.0</v>
      </c>
      <c r="C3612" s="27">
        <v>18.0</v>
      </c>
      <c r="D3612" s="8" t="s">
        <v>4693</v>
      </c>
      <c r="E3612" s="7">
        <v>0.0</v>
      </c>
      <c r="F3612" s="7" t="s">
        <v>320</v>
      </c>
      <c r="G3612" s="7" t="s">
        <v>313</v>
      </c>
      <c r="H3612" s="7" t="s">
        <v>312</v>
      </c>
      <c r="I3612" s="7" t="s">
        <v>366</v>
      </c>
      <c r="J3612" s="9" t="s">
        <v>4694</v>
      </c>
      <c r="K3612" s="12"/>
      <c r="L3612" s="12"/>
      <c r="M3612" s="10"/>
      <c r="N3612" s="10"/>
      <c r="O3612" s="10"/>
      <c r="P3612" s="10"/>
      <c r="Q3612" s="10"/>
      <c r="R3612" s="10"/>
      <c r="S3612" s="10"/>
      <c r="T3612" s="10"/>
      <c r="U3612" s="10"/>
      <c r="V3612" s="10"/>
      <c r="W3612" s="10"/>
      <c r="X3612" s="10"/>
      <c r="Y3612" s="10"/>
      <c r="Z3612" s="10"/>
      <c r="AA3612" s="10"/>
      <c r="AB3612" s="10"/>
      <c r="AC3612" s="10"/>
      <c r="AD3612" s="10"/>
      <c r="AE3612" s="10"/>
      <c r="AF3612" s="10"/>
    </row>
    <row r="3613">
      <c r="A3613" s="7"/>
      <c r="B3613" s="26">
        <v>263.0</v>
      </c>
      <c r="C3613" s="27">
        <v>19.0</v>
      </c>
      <c r="D3613" s="8" t="s">
        <v>4695</v>
      </c>
      <c r="E3613" s="7">
        <v>0.0</v>
      </c>
      <c r="F3613" s="7"/>
      <c r="G3613" s="7" t="s">
        <v>313</v>
      </c>
      <c r="H3613" s="7" t="s">
        <v>312</v>
      </c>
      <c r="I3613" s="10"/>
      <c r="J3613" s="11"/>
      <c r="K3613" s="12"/>
      <c r="L3613" s="12"/>
      <c r="M3613" s="10"/>
      <c r="N3613" s="10"/>
      <c r="O3613" s="10"/>
      <c r="P3613" s="10"/>
      <c r="Q3613" s="10"/>
      <c r="R3613" s="10"/>
      <c r="S3613" s="10"/>
      <c r="T3613" s="10"/>
      <c r="U3613" s="10"/>
      <c r="V3613" s="10"/>
      <c r="W3613" s="10"/>
      <c r="X3613" s="10"/>
      <c r="Y3613" s="10"/>
      <c r="Z3613" s="10"/>
      <c r="AA3613" s="10"/>
      <c r="AB3613" s="10"/>
      <c r="AC3613" s="10"/>
      <c r="AD3613" s="10"/>
      <c r="AE3613" s="10"/>
      <c r="AF3613" s="10"/>
    </row>
    <row r="3614">
      <c r="A3614" s="7"/>
      <c r="B3614" s="26">
        <v>263.0</v>
      </c>
      <c r="C3614" s="27">
        <v>20.0</v>
      </c>
      <c r="D3614" s="8" t="s">
        <v>4696</v>
      </c>
      <c r="E3614" s="7">
        <v>3.0</v>
      </c>
      <c r="F3614" s="7" t="s">
        <v>320</v>
      </c>
      <c r="G3614" s="7" t="s">
        <v>313</v>
      </c>
      <c r="H3614" s="7" t="s">
        <v>312</v>
      </c>
      <c r="I3614" s="7" t="s">
        <v>4428</v>
      </c>
      <c r="J3614" s="9" t="s">
        <v>4697</v>
      </c>
      <c r="K3614" s="12"/>
      <c r="L3614" s="12"/>
      <c r="M3614" s="10"/>
      <c r="N3614" s="10"/>
      <c r="O3614" s="10"/>
      <c r="P3614" s="10"/>
      <c r="Q3614" s="10"/>
      <c r="R3614" s="10"/>
      <c r="S3614" s="10"/>
      <c r="T3614" s="10"/>
      <c r="U3614" s="10"/>
      <c r="V3614" s="10"/>
      <c r="W3614" s="10"/>
      <c r="X3614" s="10"/>
      <c r="Y3614" s="10"/>
      <c r="Z3614" s="10"/>
      <c r="AA3614" s="10"/>
      <c r="AB3614" s="10"/>
      <c r="AC3614" s="10"/>
      <c r="AD3614" s="10"/>
      <c r="AE3614" s="10"/>
      <c r="AF3614" s="10"/>
    </row>
    <row r="3615">
      <c r="A3615" s="7"/>
      <c r="B3615" s="26">
        <v>263.0</v>
      </c>
      <c r="C3615" s="27">
        <v>21.0</v>
      </c>
      <c r="D3615" s="8" t="s">
        <v>4698</v>
      </c>
      <c r="E3615" s="7">
        <v>0.0</v>
      </c>
      <c r="F3615" s="7"/>
      <c r="G3615" s="7" t="s">
        <v>313</v>
      </c>
      <c r="H3615" s="7" t="s">
        <v>312</v>
      </c>
      <c r="I3615" s="10"/>
      <c r="J3615" s="11"/>
      <c r="K3615" s="12"/>
      <c r="L3615" s="12"/>
      <c r="M3615" s="10"/>
      <c r="N3615" s="10"/>
      <c r="O3615" s="10"/>
      <c r="P3615" s="10"/>
      <c r="Q3615" s="10"/>
      <c r="R3615" s="10"/>
      <c r="S3615" s="10"/>
      <c r="T3615" s="10"/>
      <c r="U3615" s="10"/>
      <c r="V3615" s="10"/>
      <c r="W3615" s="10"/>
      <c r="X3615" s="10"/>
      <c r="Y3615" s="10"/>
      <c r="Z3615" s="10"/>
      <c r="AA3615" s="10"/>
      <c r="AB3615" s="10"/>
      <c r="AC3615" s="10"/>
      <c r="AD3615" s="10"/>
      <c r="AE3615" s="10"/>
      <c r="AF3615" s="10"/>
    </row>
    <row r="3616">
      <c r="A3616" s="7"/>
      <c r="B3616" s="26">
        <v>263.0</v>
      </c>
      <c r="C3616" s="27">
        <v>22.0</v>
      </c>
      <c r="D3616" s="8" t="s">
        <v>4699</v>
      </c>
      <c r="E3616" s="7">
        <v>0.0</v>
      </c>
      <c r="F3616" s="7"/>
      <c r="G3616" s="7" t="s">
        <v>313</v>
      </c>
      <c r="H3616" s="7" t="s">
        <v>312</v>
      </c>
      <c r="I3616" s="10"/>
      <c r="J3616" s="11"/>
      <c r="K3616" s="12"/>
      <c r="L3616" s="12"/>
      <c r="M3616" s="10"/>
      <c r="N3616" s="10"/>
      <c r="O3616" s="10"/>
      <c r="P3616" s="10"/>
      <c r="Q3616" s="10"/>
      <c r="R3616" s="10"/>
      <c r="S3616" s="10"/>
      <c r="T3616" s="10"/>
      <c r="U3616" s="10"/>
      <c r="V3616" s="10"/>
      <c r="W3616" s="10"/>
      <c r="X3616" s="10"/>
      <c r="Y3616" s="10"/>
      <c r="Z3616" s="10"/>
      <c r="AA3616" s="10"/>
      <c r="AB3616" s="10"/>
      <c r="AC3616" s="10"/>
      <c r="AD3616" s="10"/>
      <c r="AE3616" s="10"/>
      <c r="AF3616" s="10"/>
    </row>
    <row r="3617">
      <c r="A3617" s="7"/>
      <c r="B3617" s="26">
        <v>263.0</v>
      </c>
      <c r="C3617" s="27">
        <v>23.0</v>
      </c>
      <c r="D3617" s="8" t="s">
        <v>4700</v>
      </c>
      <c r="E3617" s="7">
        <v>3.0</v>
      </c>
      <c r="F3617" s="7" t="s">
        <v>320</v>
      </c>
      <c r="G3617" s="7" t="s">
        <v>313</v>
      </c>
      <c r="H3617" s="7" t="s">
        <v>312</v>
      </c>
      <c r="I3617" s="7" t="s">
        <v>320</v>
      </c>
      <c r="J3617" s="9" t="s">
        <v>4701</v>
      </c>
      <c r="K3617" s="12"/>
      <c r="L3617" s="12"/>
      <c r="M3617" s="10"/>
      <c r="N3617" s="10"/>
      <c r="O3617" s="10"/>
      <c r="P3617" s="10"/>
      <c r="Q3617" s="10"/>
      <c r="R3617" s="10"/>
      <c r="S3617" s="10"/>
      <c r="T3617" s="10"/>
      <c r="U3617" s="10"/>
      <c r="V3617" s="10"/>
      <c r="W3617" s="10"/>
      <c r="X3617" s="10"/>
      <c r="Y3617" s="10"/>
      <c r="Z3617" s="10"/>
      <c r="AA3617" s="10"/>
      <c r="AB3617" s="10"/>
      <c r="AC3617" s="10"/>
      <c r="AD3617" s="10"/>
      <c r="AE3617" s="10"/>
      <c r="AF3617" s="10"/>
    </row>
    <row r="3618">
      <c r="A3618" s="7"/>
      <c r="B3618" s="26">
        <v>263.0</v>
      </c>
      <c r="C3618" s="27">
        <v>24.0</v>
      </c>
      <c r="D3618" s="8" t="s">
        <v>4702</v>
      </c>
      <c r="E3618" s="7">
        <v>0.0</v>
      </c>
      <c r="F3618" s="7"/>
      <c r="G3618" s="7" t="s">
        <v>313</v>
      </c>
      <c r="H3618" s="7" t="s">
        <v>312</v>
      </c>
      <c r="I3618" s="10"/>
      <c r="J3618" s="11"/>
      <c r="K3618" s="12"/>
      <c r="L3618" s="12"/>
      <c r="M3618" s="10"/>
      <c r="N3618" s="10"/>
      <c r="O3618" s="10"/>
      <c r="P3618" s="10"/>
      <c r="Q3618" s="10"/>
      <c r="R3618" s="10"/>
      <c r="S3618" s="10"/>
      <c r="T3618" s="10"/>
      <c r="U3618" s="10"/>
      <c r="V3618" s="10"/>
      <c r="W3618" s="10"/>
      <c r="X3618" s="10"/>
      <c r="Y3618" s="10"/>
      <c r="Z3618" s="10"/>
      <c r="AA3618" s="10"/>
      <c r="AB3618" s="10"/>
      <c r="AC3618" s="10"/>
      <c r="AD3618" s="10"/>
      <c r="AE3618" s="10"/>
      <c r="AF3618" s="10"/>
    </row>
    <row r="3619">
      <c r="A3619" s="7"/>
      <c r="B3619" s="26">
        <v>263.0</v>
      </c>
      <c r="C3619" s="27">
        <v>25.0</v>
      </c>
      <c r="D3619" s="8" t="s">
        <v>4703</v>
      </c>
      <c r="E3619" s="7">
        <v>0.0</v>
      </c>
      <c r="F3619" s="7"/>
      <c r="G3619" s="7" t="s">
        <v>313</v>
      </c>
      <c r="H3619" s="7" t="s">
        <v>312</v>
      </c>
      <c r="I3619" s="10"/>
      <c r="J3619" s="11"/>
      <c r="K3619" s="12"/>
      <c r="L3619" s="12"/>
      <c r="M3619" s="10"/>
      <c r="N3619" s="10"/>
      <c r="O3619" s="10"/>
      <c r="P3619" s="10"/>
      <c r="Q3619" s="10"/>
      <c r="R3619" s="10"/>
      <c r="S3619" s="10"/>
      <c r="T3619" s="10"/>
      <c r="U3619" s="10"/>
      <c r="V3619" s="10"/>
      <c r="W3619" s="10"/>
      <c r="X3619" s="10"/>
      <c r="Y3619" s="10"/>
      <c r="Z3619" s="10"/>
      <c r="AA3619" s="10"/>
      <c r="AB3619" s="10"/>
      <c r="AC3619" s="10"/>
      <c r="AD3619" s="10"/>
      <c r="AE3619" s="10"/>
      <c r="AF3619" s="10"/>
    </row>
    <row r="3620">
      <c r="A3620" s="7"/>
      <c r="B3620" s="26">
        <v>263.0</v>
      </c>
      <c r="C3620" s="27">
        <v>26.0</v>
      </c>
      <c r="D3620" s="8" t="s">
        <v>4704</v>
      </c>
      <c r="E3620" s="7">
        <v>3.0</v>
      </c>
      <c r="F3620" s="7" t="s">
        <v>320</v>
      </c>
      <c r="G3620" s="7" t="s">
        <v>313</v>
      </c>
      <c r="H3620" s="7" t="s">
        <v>312</v>
      </c>
      <c r="I3620" s="7" t="s">
        <v>320</v>
      </c>
      <c r="J3620" s="9" t="s">
        <v>4705</v>
      </c>
      <c r="K3620" s="12"/>
      <c r="L3620" s="12"/>
      <c r="M3620" s="10"/>
      <c r="N3620" s="10"/>
      <c r="O3620" s="10"/>
      <c r="P3620" s="10"/>
      <c r="Q3620" s="10"/>
      <c r="R3620" s="10"/>
      <c r="S3620" s="10"/>
      <c r="T3620" s="10"/>
      <c r="U3620" s="10"/>
      <c r="V3620" s="10"/>
      <c r="W3620" s="10"/>
      <c r="X3620" s="10"/>
      <c r="Y3620" s="10"/>
      <c r="Z3620" s="10"/>
      <c r="AA3620" s="10"/>
      <c r="AB3620" s="10"/>
      <c r="AC3620" s="10"/>
      <c r="AD3620" s="10"/>
      <c r="AE3620" s="10"/>
      <c r="AF3620" s="10"/>
    </row>
    <row r="3621">
      <c r="A3621" s="7"/>
      <c r="B3621" s="26">
        <v>263.0</v>
      </c>
      <c r="C3621" s="27">
        <v>27.0</v>
      </c>
      <c r="D3621" s="8" t="s">
        <v>4706</v>
      </c>
      <c r="E3621" s="7">
        <v>0.0</v>
      </c>
      <c r="F3621" s="7"/>
      <c r="G3621" s="7" t="s">
        <v>313</v>
      </c>
      <c r="H3621" s="7" t="s">
        <v>312</v>
      </c>
      <c r="I3621" s="10"/>
      <c r="J3621" s="11"/>
      <c r="K3621" s="12"/>
      <c r="L3621" s="12"/>
      <c r="M3621" s="10"/>
      <c r="N3621" s="10"/>
      <c r="O3621" s="10"/>
      <c r="P3621" s="10"/>
      <c r="Q3621" s="10"/>
      <c r="R3621" s="10"/>
      <c r="S3621" s="10"/>
      <c r="T3621" s="10"/>
      <c r="U3621" s="10"/>
      <c r="V3621" s="10"/>
      <c r="W3621" s="10"/>
      <c r="X3621" s="10"/>
      <c r="Y3621" s="10"/>
      <c r="Z3621" s="10"/>
      <c r="AA3621" s="10"/>
      <c r="AB3621" s="10"/>
      <c r="AC3621" s="10"/>
      <c r="AD3621" s="10"/>
      <c r="AE3621" s="10"/>
      <c r="AF3621" s="10"/>
    </row>
    <row r="3622">
      <c r="A3622" s="7"/>
      <c r="B3622" s="26">
        <v>263.0</v>
      </c>
      <c r="C3622" s="27">
        <v>28.0</v>
      </c>
      <c r="D3622" s="8" t="s">
        <v>4707</v>
      </c>
      <c r="E3622" s="7">
        <v>0.0</v>
      </c>
      <c r="F3622" s="7"/>
      <c r="G3622" s="7" t="s">
        <v>313</v>
      </c>
      <c r="H3622" s="7" t="s">
        <v>312</v>
      </c>
      <c r="I3622" s="10"/>
      <c r="J3622" s="11"/>
      <c r="K3622" s="12"/>
      <c r="L3622" s="12"/>
      <c r="M3622" s="10"/>
      <c r="N3622" s="10"/>
      <c r="O3622" s="10"/>
      <c r="P3622" s="10"/>
      <c r="Q3622" s="10"/>
      <c r="R3622" s="10"/>
      <c r="S3622" s="10"/>
      <c r="T3622" s="10"/>
      <c r="U3622" s="10"/>
      <c r="V3622" s="10"/>
      <c r="W3622" s="10"/>
      <c r="X3622" s="10"/>
      <c r="Y3622" s="10"/>
      <c r="Z3622" s="10"/>
      <c r="AA3622" s="10"/>
      <c r="AB3622" s="10"/>
      <c r="AC3622" s="10"/>
      <c r="AD3622" s="10"/>
      <c r="AE3622" s="10"/>
      <c r="AF3622" s="10"/>
    </row>
    <row r="3623">
      <c r="A3623" s="10"/>
      <c r="B3623" s="12"/>
      <c r="C3623" s="12"/>
      <c r="D3623" s="12"/>
      <c r="E3623" s="10"/>
      <c r="F3623" s="10"/>
      <c r="G3623" s="10"/>
      <c r="H3623" s="10"/>
      <c r="I3623" s="10"/>
      <c r="J3623" s="11"/>
      <c r="K3623" s="12"/>
      <c r="L3623" s="12"/>
      <c r="M3623" s="10"/>
      <c r="N3623" s="10"/>
      <c r="O3623" s="10"/>
      <c r="P3623" s="10"/>
      <c r="Q3623" s="10"/>
      <c r="R3623" s="10"/>
      <c r="S3623" s="10"/>
      <c r="T3623" s="10"/>
      <c r="U3623" s="10"/>
      <c r="V3623" s="10"/>
      <c r="W3623" s="10"/>
      <c r="X3623" s="10"/>
      <c r="Y3623" s="10"/>
      <c r="Z3623" s="10"/>
      <c r="AA3623" s="10"/>
      <c r="AB3623" s="10"/>
      <c r="AC3623" s="10"/>
      <c r="AD3623" s="10"/>
      <c r="AE3623" s="10"/>
      <c r="AF3623" s="10"/>
    </row>
    <row r="3624">
      <c r="A3624" s="7"/>
      <c r="B3624" s="26">
        <v>264.0</v>
      </c>
      <c r="C3624" s="27">
        <v>1.0</v>
      </c>
      <c r="D3624" s="8" t="s">
        <v>4708</v>
      </c>
      <c r="E3624" s="7">
        <v>0.0</v>
      </c>
      <c r="F3624" s="7"/>
      <c r="G3624" s="7" t="s">
        <v>313</v>
      </c>
      <c r="H3624" s="7" t="s">
        <v>312</v>
      </c>
      <c r="I3624" s="10"/>
      <c r="J3624" s="9" t="s">
        <v>4709</v>
      </c>
      <c r="K3624" s="12"/>
      <c r="L3624" s="12"/>
      <c r="M3624" s="10"/>
      <c r="N3624" s="10"/>
      <c r="O3624" s="10"/>
      <c r="P3624" s="10"/>
      <c r="Q3624" s="10"/>
      <c r="R3624" s="10"/>
      <c r="S3624" s="10"/>
      <c r="T3624" s="10"/>
      <c r="U3624" s="10"/>
      <c r="V3624" s="10"/>
      <c r="W3624" s="10"/>
      <c r="X3624" s="10"/>
      <c r="Y3624" s="10"/>
      <c r="Z3624" s="10"/>
      <c r="AA3624" s="10"/>
      <c r="AB3624" s="10"/>
      <c r="AC3624" s="10"/>
      <c r="AD3624" s="10"/>
      <c r="AE3624" s="10"/>
      <c r="AF3624" s="10"/>
    </row>
    <row r="3625">
      <c r="A3625" s="7"/>
      <c r="B3625" s="26">
        <v>264.0</v>
      </c>
      <c r="C3625" s="27">
        <v>2.0</v>
      </c>
      <c r="D3625" s="8" t="s">
        <v>4710</v>
      </c>
      <c r="E3625" s="7">
        <v>0.0</v>
      </c>
      <c r="F3625" s="7"/>
      <c r="G3625" s="7" t="s">
        <v>313</v>
      </c>
      <c r="H3625" s="7" t="s">
        <v>312</v>
      </c>
      <c r="I3625" s="10"/>
      <c r="J3625" s="11"/>
      <c r="K3625" s="12"/>
      <c r="L3625" s="12"/>
      <c r="M3625" s="10"/>
      <c r="N3625" s="10"/>
      <c r="O3625" s="10"/>
      <c r="P3625" s="10"/>
      <c r="Q3625" s="10"/>
      <c r="R3625" s="10"/>
      <c r="S3625" s="10"/>
      <c r="T3625" s="10"/>
      <c r="U3625" s="10"/>
      <c r="V3625" s="10"/>
      <c r="W3625" s="10"/>
      <c r="X3625" s="10"/>
      <c r="Y3625" s="10"/>
      <c r="Z3625" s="10"/>
      <c r="AA3625" s="10"/>
      <c r="AB3625" s="10"/>
      <c r="AC3625" s="10"/>
      <c r="AD3625" s="10"/>
      <c r="AE3625" s="10"/>
      <c r="AF3625" s="10"/>
    </row>
    <row r="3626">
      <c r="A3626" s="7"/>
      <c r="B3626" s="26">
        <v>264.0</v>
      </c>
      <c r="C3626" s="27">
        <v>3.0</v>
      </c>
      <c r="D3626" s="8" t="s">
        <v>4711</v>
      </c>
      <c r="E3626" s="7">
        <v>0.0</v>
      </c>
      <c r="F3626" s="7"/>
      <c r="G3626" s="7" t="s">
        <v>313</v>
      </c>
      <c r="H3626" s="7" t="s">
        <v>312</v>
      </c>
      <c r="I3626" s="10"/>
      <c r="J3626" s="11"/>
      <c r="K3626" s="12"/>
      <c r="L3626" s="12"/>
      <c r="M3626" s="10"/>
      <c r="N3626" s="10"/>
      <c r="O3626" s="10"/>
      <c r="P3626" s="10"/>
      <c r="Q3626" s="10"/>
      <c r="R3626" s="10"/>
      <c r="S3626" s="10"/>
      <c r="T3626" s="10"/>
      <c r="U3626" s="10"/>
      <c r="V3626" s="10"/>
      <c r="W3626" s="10"/>
      <c r="X3626" s="10"/>
      <c r="Y3626" s="10"/>
      <c r="Z3626" s="10"/>
      <c r="AA3626" s="10"/>
      <c r="AB3626" s="10"/>
      <c r="AC3626" s="10"/>
      <c r="AD3626" s="10"/>
      <c r="AE3626" s="10"/>
      <c r="AF3626" s="10"/>
    </row>
    <row r="3627">
      <c r="A3627" s="7"/>
      <c r="B3627" s="26">
        <v>264.0</v>
      </c>
      <c r="C3627" s="27">
        <v>4.0</v>
      </c>
      <c r="D3627" s="8" t="s">
        <v>4712</v>
      </c>
      <c r="E3627" s="7">
        <v>3.0</v>
      </c>
      <c r="F3627" s="7"/>
      <c r="G3627" s="7" t="s">
        <v>313</v>
      </c>
      <c r="H3627" s="7" t="s">
        <v>312</v>
      </c>
      <c r="I3627" s="10"/>
      <c r="J3627" s="11"/>
      <c r="K3627" s="12"/>
      <c r="L3627" s="12"/>
      <c r="M3627" s="10"/>
      <c r="N3627" s="10"/>
      <c r="O3627" s="10"/>
      <c r="P3627" s="10"/>
      <c r="Q3627" s="10"/>
      <c r="R3627" s="10"/>
      <c r="S3627" s="10"/>
      <c r="T3627" s="10"/>
      <c r="U3627" s="10"/>
      <c r="V3627" s="10"/>
      <c r="W3627" s="10"/>
      <c r="X3627" s="10"/>
      <c r="Y3627" s="10"/>
      <c r="Z3627" s="10"/>
      <c r="AA3627" s="10"/>
      <c r="AB3627" s="10"/>
      <c r="AC3627" s="10"/>
      <c r="AD3627" s="10"/>
      <c r="AE3627" s="10"/>
      <c r="AF3627" s="10"/>
    </row>
    <row r="3628">
      <c r="A3628" s="7"/>
      <c r="B3628" s="26">
        <v>264.0</v>
      </c>
      <c r="C3628" s="27">
        <v>5.0</v>
      </c>
      <c r="D3628" s="8" t="s">
        <v>4713</v>
      </c>
      <c r="E3628" s="7">
        <v>0.0</v>
      </c>
      <c r="F3628" s="7"/>
      <c r="G3628" s="7" t="s">
        <v>313</v>
      </c>
      <c r="H3628" s="7" t="s">
        <v>312</v>
      </c>
      <c r="I3628" s="10"/>
      <c r="J3628" s="11"/>
      <c r="K3628" s="12"/>
      <c r="L3628" s="12"/>
      <c r="M3628" s="10"/>
      <c r="N3628" s="10"/>
      <c r="O3628" s="10"/>
      <c r="P3628" s="10"/>
      <c r="Q3628" s="10"/>
      <c r="R3628" s="10"/>
      <c r="S3628" s="10"/>
      <c r="T3628" s="10"/>
      <c r="U3628" s="10"/>
      <c r="V3628" s="10"/>
      <c r="W3628" s="10"/>
      <c r="X3628" s="10"/>
      <c r="Y3628" s="10"/>
      <c r="Z3628" s="10"/>
      <c r="AA3628" s="10"/>
      <c r="AB3628" s="10"/>
      <c r="AC3628" s="10"/>
      <c r="AD3628" s="10"/>
      <c r="AE3628" s="10"/>
      <c r="AF3628" s="10"/>
    </row>
    <row r="3629">
      <c r="A3629" s="7"/>
      <c r="B3629" s="26">
        <v>264.0</v>
      </c>
      <c r="C3629" s="27">
        <v>6.0</v>
      </c>
      <c r="D3629" s="8" t="s">
        <v>4714</v>
      </c>
      <c r="E3629" s="7">
        <v>0.0</v>
      </c>
      <c r="F3629" s="7"/>
      <c r="G3629" s="7" t="s">
        <v>313</v>
      </c>
      <c r="H3629" s="7" t="s">
        <v>312</v>
      </c>
      <c r="I3629" s="10"/>
      <c r="J3629" s="11"/>
      <c r="K3629" s="12"/>
      <c r="L3629" s="12"/>
      <c r="M3629" s="10"/>
      <c r="N3629" s="10"/>
      <c r="O3629" s="10"/>
      <c r="P3629" s="10"/>
      <c r="Q3629" s="10"/>
      <c r="R3629" s="10"/>
      <c r="S3629" s="10"/>
      <c r="T3629" s="10"/>
      <c r="U3629" s="10"/>
      <c r="V3629" s="10"/>
      <c r="W3629" s="10"/>
      <c r="X3629" s="10"/>
      <c r="Y3629" s="10"/>
      <c r="Z3629" s="10"/>
      <c r="AA3629" s="10"/>
      <c r="AB3629" s="10"/>
      <c r="AC3629" s="10"/>
      <c r="AD3629" s="10"/>
      <c r="AE3629" s="10"/>
      <c r="AF3629" s="10"/>
    </row>
    <row r="3630">
      <c r="A3630" s="7"/>
      <c r="B3630" s="26">
        <v>264.0</v>
      </c>
      <c r="C3630" s="27">
        <v>7.0</v>
      </c>
      <c r="D3630" s="8" t="s">
        <v>4715</v>
      </c>
      <c r="E3630" s="7">
        <v>3.0</v>
      </c>
      <c r="F3630" s="7"/>
      <c r="G3630" s="7" t="s">
        <v>313</v>
      </c>
      <c r="H3630" s="7" t="s">
        <v>312</v>
      </c>
      <c r="I3630" s="10"/>
      <c r="J3630" s="11"/>
      <c r="K3630" s="12"/>
      <c r="L3630" s="12"/>
      <c r="M3630" s="10"/>
      <c r="N3630" s="10"/>
      <c r="O3630" s="10"/>
      <c r="P3630" s="10"/>
      <c r="Q3630" s="10"/>
      <c r="R3630" s="10"/>
      <c r="S3630" s="10"/>
      <c r="T3630" s="10"/>
      <c r="U3630" s="10"/>
      <c r="V3630" s="10"/>
      <c r="W3630" s="10"/>
      <c r="X3630" s="10"/>
      <c r="Y3630" s="10"/>
      <c r="Z3630" s="10"/>
      <c r="AA3630" s="10"/>
      <c r="AB3630" s="10"/>
      <c r="AC3630" s="10"/>
      <c r="AD3630" s="10"/>
      <c r="AE3630" s="10"/>
      <c r="AF3630" s="10"/>
    </row>
    <row r="3631">
      <c r="A3631" s="7"/>
      <c r="B3631" s="26">
        <v>264.0</v>
      </c>
      <c r="C3631" s="27">
        <v>8.0</v>
      </c>
      <c r="D3631" s="8" t="s">
        <v>4716</v>
      </c>
      <c r="E3631" s="7">
        <v>0.0</v>
      </c>
      <c r="F3631" s="7"/>
      <c r="G3631" s="7" t="s">
        <v>313</v>
      </c>
      <c r="H3631" s="7" t="s">
        <v>312</v>
      </c>
      <c r="I3631" s="10"/>
      <c r="J3631" s="11"/>
      <c r="L3631" s="12"/>
      <c r="M3631" s="10"/>
      <c r="N3631" s="10"/>
      <c r="O3631" s="10"/>
      <c r="P3631" s="10"/>
      <c r="Q3631" s="10"/>
      <c r="R3631" s="10"/>
      <c r="S3631" s="10"/>
      <c r="T3631" s="10"/>
      <c r="U3631" s="10"/>
      <c r="V3631" s="10"/>
      <c r="W3631" s="10"/>
      <c r="X3631" s="10"/>
      <c r="Y3631" s="10"/>
      <c r="Z3631" s="10"/>
      <c r="AA3631" s="10"/>
      <c r="AB3631" s="10"/>
      <c r="AC3631" s="10"/>
      <c r="AD3631" s="10"/>
      <c r="AE3631" s="10"/>
      <c r="AF3631" s="10"/>
    </row>
    <row r="3632">
      <c r="A3632" s="7"/>
      <c r="B3632" s="26">
        <v>264.0</v>
      </c>
      <c r="C3632" s="27">
        <v>9.0</v>
      </c>
      <c r="D3632" s="8" t="s">
        <v>4717</v>
      </c>
      <c r="E3632" s="7">
        <v>3.0</v>
      </c>
      <c r="F3632" s="7" t="s">
        <v>320</v>
      </c>
      <c r="G3632" s="7" t="s">
        <v>313</v>
      </c>
      <c r="H3632" s="7" t="s">
        <v>312</v>
      </c>
      <c r="I3632" s="10"/>
      <c r="J3632" s="9" t="s">
        <v>4718</v>
      </c>
      <c r="K3632" s="12"/>
      <c r="L3632" s="12"/>
      <c r="M3632" s="10"/>
      <c r="N3632" s="10"/>
      <c r="O3632" s="10"/>
      <c r="P3632" s="10"/>
      <c r="Q3632" s="10"/>
      <c r="R3632" s="10"/>
      <c r="S3632" s="10"/>
      <c r="T3632" s="10"/>
      <c r="U3632" s="10"/>
      <c r="V3632" s="10"/>
      <c r="W3632" s="10"/>
      <c r="X3632" s="10"/>
      <c r="Y3632" s="10"/>
      <c r="Z3632" s="10"/>
      <c r="AA3632" s="10"/>
      <c r="AB3632" s="10"/>
      <c r="AC3632" s="10"/>
      <c r="AD3632" s="10"/>
      <c r="AE3632" s="10"/>
      <c r="AF3632" s="10"/>
    </row>
    <row r="3633">
      <c r="A3633" s="7"/>
      <c r="B3633" s="26">
        <v>264.0</v>
      </c>
      <c r="C3633" s="27">
        <v>10.0</v>
      </c>
      <c r="D3633" s="8" t="s">
        <v>4719</v>
      </c>
      <c r="E3633" s="7">
        <v>3.0</v>
      </c>
      <c r="F3633" s="7" t="s">
        <v>320</v>
      </c>
      <c r="G3633" s="7" t="s">
        <v>313</v>
      </c>
      <c r="H3633" s="7" t="s">
        <v>312</v>
      </c>
      <c r="I3633" s="10"/>
      <c r="J3633" s="9" t="s">
        <v>4720</v>
      </c>
      <c r="K3633" s="12"/>
      <c r="L3633" s="12"/>
      <c r="M3633" s="10"/>
      <c r="N3633" s="10"/>
      <c r="O3633" s="10"/>
      <c r="P3633" s="10"/>
      <c r="Q3633" s="10"/>
      <c r="R3633" s="10"/>
      <c r="S3633" s="10"/>
      <c r="T3633" s="10"/>
      <c r="U3633" s="10"/>
      <c r="V3633" s="10"/>
      <c r="W3633" s="10"/>
      <c r="X3633" s="10"/>
      <c r="Y3633" s="10"/>
      <c r="Z3633" s="10"/>
      <c r="AA3633" s="10"/>
      <c r="AB3633" s="10"/>
      <c r="AC3633" s="10"/>
      <c r="AD3633" s="10"/>
      <c r="AE3633" s="10"/>
      <c r="AF3633" s="10"/>
    </row>
    <row r="3634">
      <c r="A3634" s="10"/>
      <c r="B3634" s="12"/>
      <c r="C3634" s="12"/>
      <c r="D3634" s="12"/>
      <c r="E3634" s="10"/>
      <c r="F3634" s="10"/>
      <c r="G3634" s="10"/>
      <c r="H3634" s="10"/>
      <c r="I3634" s="10"/>
      <c r="J3634" s="11"/>
      <c r="K3634" s="12"/>
      <c r="L3634" s="12"/>
      <c r="M3634" s="10"/>
      <c r="N3634" s="10"/>
      <c r="O3634" s="10"/>
      <c r="P3634" s="10"/>
      <c r="Q3634" s="10"/>
      <c r="R3634" s="10"/>
      <c r="S3634" s="10"/>
      <c r="T3634" s="10"/>
      <c r="U3634" s="10"/>
      <c r="V3634" s="10"/>
      <c r="W3634" s="10"/>
      <c r="X3634" s="10"/>
      <c r="Y3634" s="10"/>
      <c r="Z3634" s="10"/>
      <c r="AA3634" s="10"/>
      <c r="AB3634" s="10"/>
      <c r="AC3634" s="10"/>
      <c r="AD3634" s="10"/>
      <c r="AE3634" s="10"/>
      <c r="AF3634" s="10"/>
    </row>
    <row r="3635">
      <c r="A3635" s="7"/>
      <c r="B3635" s="26">
        <v>265.0</v>
      </c>
      <c r="C3635" s="27">
        <v>1.0</v>
      </c>
      <c r="D3635" s="8" t="s">
        <v>4721</v>
      </c>
      <c r="E3635" s="7">
        <v>0.0</v>
      </c>
      <c r="F3635" s="7"/>
      <c r="G3635" s="7" t="s">
        <v>313</v>
      </c>
      <c r="H3635" s="7" t="s">
        <v>312</v>
      </c>
      <c r="I3635" s="10"/>
      <c r="J3635" s="9" t="s">
        <v>4722</v>
      </c>
      <c r="K3635" s="12"/>
      <c r="L3635" s="12"/>
      <c r="M3635" s="10"/>
      <c r="N3635" s="10"/>
      <c r="O3635" s="10"/>
      <c r="P3635" s="10"/>
      <c r="Q3635" s="10"/>
      <c r="R3635" s="10"/>
      <c r="S3635" s="10"/>
      <c r="T3635" s="10"/>
      <c r="U3635" s="10"/>
      <c r="V3635" s="10"/>
      <c r="W3635" s="10"/>
      <c r="X3635" s="10"/>
      <c r="Y3635" s="10"/>
      <c r="Z3635" s="10"/>
      <c r="AA3635" s="10"/>
      <c r="AB3635" s="10"/>
      <c r="AC3635" s="10"/>
      <c r="AD3635" s="10"/>
      <c r="AE3635" s="10"/>
      <c r="AF3635" s="10"/>
    </row>
    <row r="3636">
      <c r="A3636" s="7"/>
      <c r="B3636" s="26">
        <v>265.0</v>
      </c>
      <c r="C3636" s="27">
        <v>2.0</v>
      </c>
      <c r="D3636" s="8" t="s">
        <v>4723</v>
      </c>
      <c r="E3636" s="7">
        <v>0.0</v>
      </c>
      <c r="F3636" s="7"/>
      <c r="G3636" s="7" t="s">
        <v>313</v>
      </c>
      <c r="H3636" s="7" t="s">
        <v>312</v>
      </c>
      <c r="I3636" s="10"/>
      <c r="J3636" s="11"/>
      <c r="K3636" s="12"/>
      <c r="L3636" s="12"/>
      <c r="M3636" s="10"/>
      <c r="N3636" s="10"/>
      <c r="O3636" s="10"/>
      <c r="P3636" s="10"/>
      <c r="Q3636" s="10"/>
      <c r="R3636" s="10"/>
      <c r="S3636" s="10"/>
      <c r="T3636" s="10"/>
      <c r="U3636" s="10"/>
      <c r="V3636" s="10"/>
      <c r="W3636" s="10"/>
      <c r="X3636" s="10"/>
      <c r="Y3636" s="10"/>
      <c r="Z3636" s="10"/>
      <c r="AA3636" s="10"/>
      <c r="AB3636" s="10"/>
      <c r="AC3636" s="10"/>
      <c r="AD3636" s="10"/>
      <c r="AE3636" s="10"/>
      <c r="AF3636" s="10"/>
    </row>
    <row r="3637">
      <c r="A3637" s="7"/>
      <c r="B3637" s="26">
        <v>265.0</v>
      </c>
      <c r="C3637" s="27">
        <v>3.0</v>
      </c>
      <c r="D3637" s="8" t="s">
        <v>4724</v>
      </c>
      <c r="E3637" s="7">
        <v>0.0</v>
      </c>
      <c r="F3637" s="7"/>
      <c r="G3637" s="7" t="s">
        <v>313</v>
      </c>
      <c r="H3637" s="7" t="s">
        <v>312</v>
      </c>
      <c r="I3637" s="10"/>
      <c r="J3637" s="11"/>
      <c r="K3637" s="12"/>
      <c r="L3637" s="12"/>
      <c r="M3637" s="10"/>
      <c r="N3637" s="10"/>
      <c r="O3637" s="10"/>
      <c r="P3637" s="10"/>
      <c r="Q3637" s="10"/>
      <c r="R3637" s="10"/>
      <c r="S3637" s="10"/>
      <c r="T3637" s="10"/>
      <c r="U3637" s="10"/>
      <c r="V3637" s="10"/>
      <c r="W3637" s="10"/>
      <c r="X3637" s="10"/>
      <c r="Y3637" s="10"/>
      <c r="Z3637" s="10"/>
      <c r="AA3637" s="10"/>
      <c r="AB3637" s="10"/>
      <c r="AC3637" s="10"/>
      <c r="AD3637" s="10"/>
      <c r="AE3637" s="10"/>
      <c r="AF3637" s="10"/>
    </row>
    <row r="3638">
      <c r="A3638" s="7"/>
      <c r="B3638" s="26">
        <v>265.0</v>
      </c>
      <c r="C3638" s="27">
        <v>4.0</v>
      </c>
      <c r="D3638" s="8" t="s">
        <v>4725</v>
      </c>
      <c r="E3638" s="7">
        <v>0.0</v>
      </c>
      <c r="F3638" s="7"/>
      <c r="G3638" s="7" t="s">
        <v>313</v>
      </c>
      <c r="H3638" s="7" t="s">
        <v>312</v>
      </c>
      <c r="I3638" s="10"/>
      <c r="J3638" s="11"/>
      <c r="K3638" s="12"/>
      <c r="L3638" s="12"/>
      <c r="M3638" s="10"/>
      <c r="N3638" s="10"/>
      <c r="O3638" s="10"/>
      <c r="P3638" s="10"/>
      <c r="Q3638" s="10"/>
      <c r="R3638" s="10"/>
      <c r="S3638" s="10"/>
      <c r="T3638" s="10"/>
      <c r="U3638" s="10"/>
      <c r="V3638" s="10"/>
      <c r="W3638" s="10"/>
      <c r="X3638" s="10"/>
      <c r="Y3638" s="10"/>
      <c r="Z3638" s="10"/>
      <c r="AA3638" s="10"/>
      <c r="AB3638" s="10"/>
      <c r="AC3638" s="10"/>
      <c r="AD3638" s="10"/>
      <c r="AE3638" s="10"/>
      <c r="AF3638" s="10"/>
    </row>
    <row r="3639">
      <c r="A3639" s="7"/>
      <c r="B3639" s="26">
        <v>265.0</v>
      </c>
      <c r="C3639" s="27">
        <v>5.0</v>
      </c>
      <c r="D3639" s="8" t="s">
        <v>4726</v>
      </c>
      <c r="E3639" s="7">
        <v>0.0</v>
      </c>
      <c r="F3639" s="7"/>
      <c r="G3639" s="7" t="s">
        <v>313</v>
      </c>
      <c r="H3639" s="7" t="s">
        <v>312</v>
      </c>
      <c r="I3639" s="10"/>
      <c r="J3639" s="11"/>
      <c r="K3639" s="12"/>
      <c r="L3639" s="12"/>
      <c r="M3639" s="10"/>
      <c r="N3639" s="10"/>
      <c r="O3639" s="10"/>
      <c r="P3639" s="10"/>
      <c r="Q3639" s="10"/>
      <c r="R3639" s="10"/>
      <c r="S3639" s="10"/>
      <c r="T3639" s="10"/>
      <c r="U3639" s="10"/>
      <c r="V3639" s="10"/>
      <c r="W3639" s="10"/>
      <c r="X3639" s="10"/>
      <c r="Y3639" s="10"/>
      <c r="Z3639" s="10"/>
      <c r="AA3639" s="10"/>
      <c r="AB3639" s="10"/>
      <c r="AC3639" s="10"/>
      <c r="AD3639" s="10"/>
      <c r="AE3639" s="10"/>
      <c r="AF3639" s="10"/>
    </row>
    <row r="3640">
      <c r="A3640" s="7"/>
      <c r="B3640" s="26">
        <v>265.0</v>
      </c>
      <c r="C3640" s="27">
        <v>6.0</v>
      </c>
      <c r="D3640" s="8" t="s">
        <v>4727</v>
      </c>
      <c r="E3640" s="7">
        <v>0.0</v>
      </c>
      <c r="F3640" s="7"/>
      <c r="G3640" s="7" t="s">
        <v>313</v>
      </c>
      <c r="H3640" s="7" t="s">
        <v>312</v>
      </c>
      <c r="I3640" s="10"/>
      <c r="J3640" s="11"/>
      <c r="K3640" s="12"/>
      <c r="L3640" s="12"/>
      <c r="M3640" s="10"/>
      <c r="N3640" s="10"/>
      <c r="O3640" s="10"/>
      <c r="P3640" s="10"/>
      <c r="Q3640" s="10"/>
      <c r="R3640" s="10"/>
      <c r="S3640" s="10"/>
      <c r="T3640" s="10"/>
      <c r="U3640" s="10"/>
      <c r="V3640" s="10"/>
      <c r="W3640" s="10"/>
      <c r="X3640" s="10"/>
      <c r="Y3640" s="10"/>
      <c r="Z3640" s="10"/>
      <c r="AA3640" s="10"/>
      <c r="AB3640" s="10"/>
      <c r="AC3640" s="10"/>
      <c r="AD3640" s="10"/>
      <c r="AE3640" s="10"/>
      <c r="AF3640" s="10"/>
    </row>
    <row r="3641">
      <c r="A3641" s="7"/>
      <c r="B3641" s="26">
        <v>265.0</v>
      </c>
      <c r="C3641" s="27">
        <v>7.0</v>
      </c>
      <c r="D3641" s="8" t="s">
        <v>4728</v>
      </c>
      <c r="E3641" s="7">
        <v>0.0</v>
      </c>
      <c r="F3641" s="7"/>
      <c r="G3641" s="7" t="s">
        <v>313</v>
      </c>
      <c r="H3641" s="7" t="s">
        <v>312</v>
      </c>
      <c r="I3641" s="10"/>
      <c r="J3641" s="11"/>
      <c r="K3641" s="12"/>
      <c r="L3641" s="12"/>
      <c r="M3641" s="10"/>
      <c r="N3641" s="10"/>
      <c r="O3641" s="10"/>
      <c r="P3641" s="10"/>
      <c r="Q3641" s="10"/>
      <c r="R3641" s="10"/>
      <c r="S3641" s="10"/>
      <c r="T3641" s="10"/>
      <c r="U3641" s="10"/>
      <c r="V3641" s="10"/>
      <c r="W3641" s="10"/>
      <c r="X3641" s="10"/>
      <c r="Y3641" s="10"/>
      <c r="Z3641" s="10"/>
      <c r="AA3641" s="10"/>
      <c r="AB3641" s="10"/>
      <c r="AC3641" s="10"/>
      <c r="AD3641" s="10"/>
      <c r="AE3641" s="10"/>
      <c r="AF3641" s="10"/>
    </row>
    <row r="3642">
      <c r="A3642" s="7"/>
      <c r="B3642" s="26">
        <v>265.0</v>
      </c>
      <c r="C3642" s="27">
        <v>8.0</v>
      </c>
      <c r="D3642" s="8" t="s">
        <v>4729</v>
      </c>
      <c r="E3642" s="7">
        <v>0.0</v>
      </c>
      <c r="F3642" s="7"/>
      <c r="G3642" s="7" t="s">
        <v>313</v>
      </c>
      <c r="H3642" s="7" t="s">
        <v>312</v>
      </c>
      <c r="I3642" s="10"/>
      <c r="J3642" s="11"/>
      <c r="K3642" s="12"/>
      <c r="L3642" s="12"/>
      <c r="M3642" s="10"/>
      <c r="N3642" s="10"/>
      <c r="O3642" s="10"/>
      <c r="P3642" s="10"/>
      <c r="Q3642" s="10"/>
      <c r="R3642" s="10"/>
      <c r="S3642" s="10"/>
      <c r="T3642" s="10"/>
      <c r="U3642" s="10"/>
      <c r="V3642" s="10"/>
      <c r="W3642" s="10"/>
      <c r="X3642" s="10"/>
      <c r="Y3642" s="10"/>
      <c r="Z3642" s="10"/>
      <c r="AA3642" s="10"/>
      <c r="AB3642" s="10"/>
      <c r="AC3642" s="10"/>
      <c r="AD3642" s="10"/>
      <c r="AE3642" s="10"/>
      <c r="AF3642" s="10"/>
    </row>
    <row r="3643">
      <c r="A3643" s="7"/>
      <c r="B3643" s="26">
        <v>265.0</v>
      </c>
      <c r="C3643" s="27">
        <v>9.0</v>
      </c>
      <c r="D3643" s="8" t="s">
        <v>4730</v>
      </c>
      <c r="E3643" s="7">
        <v>2.0</v>
      </c>
      <c r="F3643" s="7" t="s">
        <v>320</v>
      </c>
      <c r="G3643" s="7" t="s">
        <v>313</v>
      </c>
      <c r="H3643" s="7" t="s">
        <v>312</v>
      </c>
      <c r="I3643" s="7" t="s">
        <v>320</v>
      </c>
      <c r="J3643" s="23" t="s">
        <v>4731</v>
      </c>
      <c r="K3643" s="8" t="s">
        <v>4732</v>
      </c>
      <c r="L3643" s="12"/>
      <c r="M3643" s="10"/>
      <c r="N3643" s="10"/>
      <c r="O3643" s="10"/>
      <c r="P3643" s="10"/>
      <c r="Q3643" s="10"/>
      <c r="R3643" s="10"/>
      <c r="S3643" s="10"/>
      <c r="T3643" s="10"/>
      <c r="U3643" s="10"/>
      <c r="V3643" s="10"/>
      <c r="W3643" s="10"/>
      <c r="X3643" s="10"/>
      <c r="Y3643" s="10"/>
      <c r="Z3643" s="10"/>
      <c r="AA3643" s="10"/>
      <c r="AB3643" s="10"/>
      <c r="AC3643" s="10"/>
      <c r="AD3643" s="10"/>
      <c r="AE3643" s="10"/>
      <c r="AF3643" s="10"/>
    </row>
    <row r="3644">
      <c r="A3644" s="7"/>
      <c r="B3644" s="26">
        <v>265.0</v>
      </c>
      <c r="C3644" s="27">
        <v>10.0</v>
      </c>
      <c r="D3644" s="8" t="s">
        <v>4733</v>
      </c>
      <c r="E3644" s="7">
        <v>2.0</v>
      </c>
      <c r="F3644" s="7" t="s">
        <v>320</v>
      </c>
      <c r="G3644" s="7" t="s">
        <v>313</v>
      </c>
      <c r="H3644" s="7" t="s">
        <v>312</v>
      </c>
      <c r="I3644" s="7" t="s">
        <v>320</v>
      </c>
      <c r="J3644" s="23" t="s">
        <v>4734</v>
      </c>
      <c r="K3644" s="8" t="s">
        <v>4735</v>
      </c>
      <c r="L3644" s="12"/>
      <c r="M3644" s="10"/>
      <c r="N3644" s="10"/>
      <c r="O3644" s="10"/>
      <c r="P3644" s="10"/>
      <c r="Q3644" s="10"/>
      <c r="R3644" s="10"/>
      <c r="S3644" s="10"/>
      <c r="T3644" s="10"/>
      <c r="U3644" s="10"/>
      <c r="V3644" s="10"/>
      <c r="W3644" s="10"/>
      <c r="X3644" s="10"/>
      <c r="Y3644" s="10"/>
      <c r="Z3644" s="10"/>
      <c r="AA3644" s="10"/>
      <c r="AB3644" s="10"/>
      <c r="AC3644" s="10"/>
      <c r="AD3644" s="10"/>
      <c r="AE3644" s="10"/>
      <c r="AF3644" s="10"/>
    </row>
    <row r="3645">
      <c r="A3645" s="7"/>
      <c r="B3645" s="26">
        <v>265.0</v>
      </c>
      <c r="C3645" s="27">
        <v>11.0</v>
      </c>
      <c r="D3645" s="8" t="s">
        <v>4736</v>
      </c>
      <c r="E3645" s="7">
        <v>0.0</v>
      </c>
      <c r="F3645" s="7" t="s">
        <v>320</v>
      </c>
      <c r="G3645" s="7" t="s">
        <v>313</v>
      </c>
      <c r="H3645" s="7" t="s">
        <v>312</v>
      </c>
      <c r="I3645" s="7" t="s">
        <v>366</v>
      </c>
      <c r="J3645" s="9" t="s">
        <v>4737</v>
      </c>
      <c r="K3645" s="12"/>
      <c r="L3645" s="12"/>
      <c r="M3645" s="10"/>
      <c r="N3645" s="10"/>
      <c r="O3645" s="10"/>
      <c r="P3645" s="10"/>
      <c r="Q3645" s="10"/>
      <c r="R3645" s="10"/>
      <c r="S3645" s="10"/>
      <c r="T3645" s="10"/>
      <c r="U3645" s="10"/>
      <c r="V3645" s="10"/>
      <c r="W3645" s="10"/>
      <c r="X3645" s="10"/>
      <c r="Y3645" s="10"/>
      <c r="Z3645" s="10"/>
      <c r="AA3645" s="10"/>
      <c r="AB3645" s="10"/>
      <c r="AC3645" s="10"/>
      <c r="AD3645" s="10"/>
      <c r="AE3645" s="10"/>
      <c r="AF3645" s="10"/>
    </row>
    <row r="3646">
      <c r="A3646" s="7"/>
      <c r="B3646" s="26">
        <v>265.0</v>
      </c>
      <c r="C3646" s="27">
        <v>12.0</v>
      </c>
      <c r="D3646" s="8" t="s">
        <v>4738</v>
      </c>
      <c r="E3646" s="7">
        <v>0.0</v>
      </c>
      <c r="F3646" s="7"/>
      <c r="G3646" s="7" t="s">
        <v>313</v>
      </c>
      <c r="H3646" s="7" t="s">
        <v>312</v>
      </c>
      <c r="I3646" s="10"/>
      <c r="J3646" s="11"/>
      <c r="K3646" s="12"/>
      <c r="L3646" s="14" t="s">
        <v>4739</v>
      </c>
      <c r="M3646" s="10"/>
      <c r="N3646" s="10"/>
      <c r="O3646" s="10"/>
      <c r="P3646" s="10"/>
      <c r="Q3646" s="10"/>
      <c r="R3646" s="10"/>
      <c r="S3646" s="10"/>
      <c r="T3646" s="10"/>
      <c r="U3646" s="10"/>
      <c r="V3646" s="10"/>
      <c r="W3646" s="10"/>
      <c r="X3646" s="10"/>
      <c r="Y3646" s="10"/>
      <c r="Z3646" s="10"/>
      <c r="AA3646" s="10"/>
      <c r="AB3646" s="10"/>
      <c r="AC3646" s="10"/>
      <c r="AD3646" s="10"/>
      <c r="AE3646" s="10"/>
      <c r="AF3646" s="10"/>
    </row>
    <row r="3647">
      <c r="A3647" s="7"/>
      <c r="B3647" s="26">
        <v>265.0</v>
      </c>
      <c r="C3647" s="27">
        <v>13.0</v>
      </c>
      <c r="D3647" s="8" t="s">
        <v>4740</v>
      </c>
      <c r="E3647" s="7">
        <v>2.0</v>
      </c>
      <c r="F3647" s="7" t="s">
        <v>320</v>
      </c>
      <c r="G3647" s="7" t="s">
        <v>313</v>
      </c>
      <c r="H3647" s="7" t="s">
        <v>312</v>
      </c>
      <c r="I3647" s="7" t="s">
        <v>4428</v>
      </c>
      <c r="J3647" s="9" t="s">
        <v>4741</v>
      </c>
      <c r="K3647" s="8" t="s">
        <v>851</v>
      </c>
      <c r="L3647" s="14" t="s">
        <v>4739</v>
      </c>
      <c r="M3647" s="10"/>
      <c r="N3647" s="10"/>
      <c r="O3647" s="10"/>
      <c r="P3647" s="10"/>
      <c r="Q3647" s="10"/>
      <c r="R3647" s="10"/>
      <c r="S3647" s="10"/>
      <c r="T3647" s="10"/>
      <c r="U3647" s="10"/>
      <c r="V3647" s="10"/>
      <c r="W3647" s="10"/>
      <c r="X3647" s="10"/>
      <c r="Y3647" s="10"/>
      <c r="Z3647" s="10"/>
      <c r="AA3647" s="10"/>
      <c r="AB3647" s="10"/>
      <c r="AC3647" s="10"/>
      <c r="AD3647" s="10"/>
      <c r="AE3647" s="10"/>
      <c r="AF3647" s="10"/>
    </row>
    <row r="3648">
      <c r="A3648" s="7"/>
      <c r="B3648" s="26">
        <v>265.0</v>
      </c>
      <c r="C3648" s="27">
        <v>14.0</v>
      </c>
      <c r="D3648" s="8" t="s">
        <v>4742</v>
      </c>
      <c r="E3648" s="7">
        <v>2.0</v>
      </c>
      <c r="F3648" s="7" t="s">
        <v>320</v>
      </c>
      <c r="G3648" s="7" t="s">
        <v>313</v>
      </c>
      <c r="H3648" s="7" t="s">
        <v>312</v>
      </c>
      <c r="I3648" s="7" t="s">
        <v>4428</v>
      </c>
      <c r="J3648" s="9" t="s">
        <v>4743</v>
      </c>
      <c r="K3648" s="8" t="s">
        <v>851</v>
      </c>
      <c r="L3648" s="14" t="s">
        <v>4739</v>
      </c>
      <c r="M3648" s="10"/>
      <c r="N3648" s="10"/>
      <c r="O3648" s="10"/>
      <c r="P3648" s="10"/>
      <c r="Q3648" s="10"/>
      <c r="R3648" s="10"/>
      <c r="S3648" s="10"/>
      <c r="T3648" s="10"/>
      <c r="U3648" s="10"/>
      <c r="V3648" s="10"/>
      <c r="W3648" s="10"/>
      <c r="X3648" s="10"/>
      <c r="Y3648" s="10"/>
      <c r="Z3648" s="10"/>
      <c r="AA3648" s="10"/>
      <c r="AB3648" s="10"/>
      <c r="AC3648" s="10"/>
      <c r="AD3648" s="10"/>
      <c r="AE3648" s="10"/>
      <c r="AF3648" s="10"/>
    </row>
    <row r="3649">
      <c r="A3649" s="7"/>
      <c r="B3649" s="26">
        <v>265.0</v>
      </c>
      <c r="C3649" s="27">
        <v>15.0</v>
      </c>
      <c r="D3649" s="8" t="s">
        <v>4744</v>
      </c>
      <c r="E3649" s="7">
        <v>0.0</v>
      </c>
      <c r="F3649" s="7" t="s">
        <v>320</v>
      </c>
      <c r="G3649" s="7" t="s">
        <v>313</v>
      </c>
      <c r="H3649" s="7" t="s">
        <v>312</v>
      </c>
      <c r="I3649" s="7" t="s">
        <v>4428</v>
      </c>
      <c r="J3649" s="9" t="s">
        <v>4745</v>
      </c>
      <c r="K3649" s="12"/>
      <c r="L3649" s="14" t="s">
        <v>4739</v>
      </c>
      <c r="M3649" s="10"/>
      <c r="N3649" s="10"/>
      <c r="O3649" s="10"/>
      <c r="P3649" s="10"/>
      <c r="Q3649" s="10"/>
      <c r="R3649" s="10"/>
      <c r="S3649" s="10"/>
      <c r="T3649" s="10"/>
      <c r="U3649" s="10"/>
      <c r="V3649" s="10"/>
      <c r="W3649" s="10"/>
      <c r="X3649" s="10"/>
      <c r="Y3649" s="10"/>
      <c r="Z3649" s="10"/>
      <c r="AA3649" s="10"/>
      <c r="AB3649" s="10"/>
      <c r="AC3649" s="10"/>
      <c r="AD3649" s="10"/>
      <c r="AE3649" s="10"/>
      <c r="AF3649" s="10"/>
    </row>
    <row r="3650">
      <c r="A3650" s="7"/>
      <c r="B3650" s="26">
        <v>265.0</v>
      </c>
      <c r="C3650" s="27">
        <v>16.0</v>
      </c>
      <c r="D3650" s="8" t="s">
        <v>4746</v>
      </c>
      <c r="E3650" s="7">
        <v>2.0</v>
      </c>
      <c r="F3650" s="7" t="s">
        <v>320</v>
      </c>
      <c r="G3650" s="7" t="s">
        <v>313</v>
      </c>
      <c r="H3650" s="7" t="s">
        <v>312</v>
      </c>
      <c r="I3650" s="7" t="s">
        <v>366</v>
      </c>
      <c r="J3650" s="9" t="s">
        <v>4747</v>
      </c>
      <c r="K3650" s="8" t="s">
        <v>4748</v>
      </c>
      <c r="L3650" s="14" t="s">
        <v>4739</v>
      </c>
      <c r="M3650" s="10"/>
      <c r="N3650" s="10"/>
      <c r="O3650" s="10"/>
      <c r="P3650" s="10"/>
      <c r="Q3650" s="10"/>
      <c r="R3650" s="10"/>
      <c r="S3650" s="10"/>
      <c r="T3650" s="10"/>
      <c r="U3650" s="10"/>
      <c r="V3650" s="10"/>
      <c r="W3650" s="10"/>
      <c r="X3650" s="10"/>
      <c r="Y3650" s="10"/>
      <c r="Z3650" s="10"/>
      <c r="AA3650" s="10"/>
      <c r="AB3650" s="10"/>
      <c r="AC3650" s="10"/>
      <c r="AD3650" s="10"/>
      <c r="AE3650" s="10"/>
      <c r="AF3650" s="10"/>
    </row>
    <row r="3651">
      <c r="A3651" s="7"/>
      <c r="B3651" s="26">
        <v>265.0</v>
      </c>
      <c r="C3651" s="27">
        <v>17.0</v>
      </c>
      <c r="D3651" s="8" t="s">
        <v>4749</v>
      </c>
      <c r="E3651" s="7">
        <v>2.0</v>
      </c>
      <c r="F3651" s="7" t="s">
        <v>320</v>
      </c>
      <c r="G3651" s="7" t="s">
        <v>313</v>
      </c>
      <c r="H3651" s="7" t="s">
        <v>312</v>
      </c>
      <c r="I3651" s="7" t="s">
        <v>366</v>
      </c>
      <c r="J3651" s="9" t="s">
        <v>4750</v>
      </c>
      <c r="K3651" s="8" t="s">
        <v>4751</v>
      </c>
      <c r="L3651" s="14" t="s">
        <v>4739</v>
      </c>
      <c r="M3651" s="10"/>
      <c r="N3651" s="10"/>
      <c r="O3651" s="10"/>
      <c r="P3651" s="10"/>
      <c r="Q3651" s="10"/>
      <c r="R3651" s="10"/>
      <c r="S3651" s="10"/>
      <c r="T3651" s="10"/>
      <c r="U3651" s="10"/>
      <c r="V3651" s="10"/>
      <c r="W3651" s="10"/>
      <c r="X3651" s="10"/>
      <c r="Y3651" s="10"/>
      <c r="Z3651" s="10"/>
      <c r="AA3651" s="10"/>
      <c r="AB3651" s="10"/>
      <c r="AC3651" s="10"/>
      <c r="AD3651" s="10"/>
      <c r="AE3651" s="10"/>
      <c r="AF3651" s="10"/>
    </row>
    <row r="3652">
      <c r="A3652" s="7"/>
      <c r="B3652" s="26">
        <v>265.0</v>
      </c>
      <c r="C3652" s="27">
        <v>18.0</v>
      </c>
      <c r="D3652" s="8" t="s">
        <v>4752</v>
      </c>
      <c r="E3652" s="7">
        <v>0.0</v>
      </c>
      <c r="F3652" s="7" t="s">
        <v>320</v>
      </c>
      <c r="G3652" s="7" t="s">
        <v>313</v>
      </c>
      <c r="H3652" s="7" t="s">
        <v>312</v>
      </c>
      <c r="I3652" s="7" t="s">
        <v>320</v>
      </c>
      <c r="J3652" s="9" t="s">
        <v>4753</v>
      </c>
      <c r="K3652" s="12"/>
      <c r="L3652" s="14" t="s">
        <v>4739</v>
      </c>
      <c r="M3652" s="10"/>
      <c r="N3652" s="10"/>
      <c r="O3652" s="10"/>
      <c r="P3652" s="10"/>
      <c r="Q3652" s="10"/>
      <c r="R3652" s="10"/>
      <c r="S3652" s="10"/>
      <c r="T3652" s="10"/>
      <c r="U3652" s="10"/>
      <c r="V3652" s="10"/>
      <c r="W3652" s="10"/>
      <c r="X3652" s="10"/>
      <c r="Y3652" s="10"/>
      <c r="Z3652" s="10"/>
      <c r="AA3652" s="10"/>
      <c r="AB3652" s="10"/>
      <c r="AC3652" s="10"/>
      <c r="AD3652" s="10"/>
      <c r="AE3652" s="10"/>
      <c r="AF3652" s="10"/>
    </row>
    <row r="3653">
      <c r="A3653" s="7"/>
      <c r="B3653" s="26">
        <v>265.0</v>
      </c>
      <c r="C3653" s="27">
        <v>19.0</v>
      </c>
      <c r="D3653" s="8" t="s">
        <v>4754</v>
      </c>
      <c r="E3653" s="7">
        <v>0.0</v>
      </c>
      <c r="F3653" s="7" t="s">
        <v>320</v>
      </c>
      <c r="G3653" s="7" t="s">
        <v>313</v>
      </c>
      <c r="H3653" s="7" t="s">
        <v>312</v>
      </c>
      <c r="I3653" s="7" t="s">
        <v>366</v>
      </c>
      <c r="J3653" s="9" t="s">
        <v>4755</v>
      </c>
      <c r="K3653" s="20" t="s">
        <v>2764</v>
      </c>
      <c r="L3653" s="12"/>
      <c r="M3653" s="10"/>
      <c r="N3653" s="10"/>
      <c r="O3653" s="10"/>
      <c r="P3653" s="10"/>
      <c r="Q3653" s="10"/>
      <c r="R3653" s="10"/>
      <c r="S3653" s="10"/>
      <c r="T3653" s="10"/>
      <c r="U3653" s="10"/>
      <c r="V3653" s="10"/>
      <c r="W3653" s="10"/>
      <c r="X3653" s="10"/>
      <c r="Y3653" s="10"/>
      <c r="Z3653" s="10"/>
      <c r="AA3653" s="10"/>
      <c r="AB3653" s="10"/>
      <c r="AC3653" s="10"/>
      <c r="AD3653" s="10"/>
      <c r="AE3653" s="10"/>
      <c r="AF3653" s="10"/>
    </row>
    <row r="3654">
      <c r="A3654" s="7"/>
      <c r="B3654" s="26">
        <v>265.0</v>
      </c>
      <c r="C3654" s="27">
        <v>20.0</v>
      </c>
      <c r="D3654" s="8" t="s">
        <v>4756</v>
      </c>
      <c r="E3654" s="7">
        <v>0.0</v>
      </c>
      <c r="F3654" s="7"/>
      <c r="G3654" s="7" t="s">
        <v>313</v>
      </c>
      <c r="H3654" s="7" t="s">
        <v>312</v>
      </c>
      <c r="I3654" s="10"/>
      <c r="J3654" s="11"/>
      <c r="K3654" s="12"/>
      <c r="L3654" s="12"/>
      <c r="M3654" s="10"/>
      <c r="N3654" s="10"/>
      <c r="O3654" s="10"/>
      <c r="P3654" s="10"/>
      <c r="Q3654" s="10"/>
      <c r="R3654" s="10"/>
      <c r="S3654" s="10"/>
      <c r="T3654" s="10"/>
      <c r="U3654" s="10"/>
      <c r="V3654" s="10"/>
      <c r="W3654" s="10"/>
      <c r="X3654" s="10"/>
      <c r="Y3654" s="10"/>
      <c r="Z3654" s="10"/>
      <c r="AA3654" s="10"/>
      <c r="AB3654" s="10"/>
      <c r="AC3654" s="10"/>
      <c r="AD3654" s="10"/>
      <c r="AE3654" s="10"/>
      <c r="AF3654" s="10"/>
    </row>
    <row r="3655">
      <c r="A3655" s="7"/>
      <c r="B3655" s="26">
        <v>265.0</v>
      </c>
      <c r="C3655" s="27">
        <v>21.0</v>
      </c>
      <c r="D3655" s="8" t="s">
        <v>4757</v>
      </c>
      <c r="E3655" s="7">
        <v>0.0</v>
      </c>
      <c r="F3655" s="7"/>
      <c r="G3655" s="7" t="s">
        <v>313</v>
      </c>
      <c r="H3655" s="7" t="s">
        <v>312</v>
      </c>
      <c r="I3655" s="10"/>
      <c r="J3655" s="11"/>
      <c r="K3655" s="12"/>
      <c r="L3655" s="12"/>
      <c r="M3655" s="10"/>
      <c r="N3655" s="10"/>
      <c r="O3655" s="10"/>
      <c r="P3655" s="10"/>
      <c r="Q3655" s="10"/>
      <c r="R3655" s="10"/>
      <c r="S3655" s="10"/>
      <c r="T3655" s="10"/>
      <c r="U3655" s="10"/>
      <c r="V3655" s="10"/>
      <c r="W3655" s="10"/>
      <c r="X3655" s="10"/>
      <c r="Y3655" s="10"/>
      <c r="Z3655" s="10"/>
      <c r="AA3655" s="10"/>
      <c r="AB3655" s="10"/>
      <c r="AC3655" s="10"/>
      <c r="AD3655" s="10"/>
      <c r="AE3655" s="10"/>
      <c r="AF3655" s="10"/>
    </row>
    <row r="3656">
      <c r="A3656" s="10"/>
      <c r="B3656" s="12"/>
      <c r="C3656" s="12"/>
      <c r="D3656" s="12"/>
      <c r="E3656" s="10"/>
      <c r="F3656" s="10"/>
      <c r="G3656" s="10"/>
      <c r="H3656" s="10"/>
      <c r="I3656" s="10"/>
      <c r="J3656" s="11"/>
      <c r="K3656" s="12"/>
      <c r="L3656" s="12"/>
      <c r="M3656" s="10"/>
      <c r="N3656" s="10"/>
      <c r="O3656" s="10"/>
      <c r="P3656" s="10"/>
      <c r="Q3656" s="10"/>
      <c r="R3656" s="10"/>
      <c r="S3656" s="10"/>
      <c r="T3656" s="10"/>
      <c r="U3656" s="10"/>
      <c r="V3656" s="10"/>
      <c r="W3656" s="10"/>
      <c r="X3656" s="10"/>
      <c r="Y3656" s="10"/>
      <c r="Z3656" s="10"/>
      <c r="AA3656" s="10"/>
      <c r="AB3656" s="10"/>
      <c r="AC3656" s="10"/>
      <c r="AD3656" s="10"/>
      <c r="AE3656" s="10"/>
      <c r="AF3656" s="10"/>
    </row>
    <row r="3657">
      <c r="A3657" s="7"/>
      <c r="B3657" s="26">
        <v>266.0</v>
      </c>
      <c r="C3657" s="27">
        <v>1.0</v>
      </c>
      <c r="D3657" s="8" t="s">
        <v>4758</v>
      </c>
      <c r="E3657" s="7">
        <v>3.0</v>
      </c>
      <c r="F3657" s="7"/>
      <c r="G3657" s="7" t="s">
        <v>313</v>
      </c>
      <c r="H3657" s="7" t="s">
        <v>312</v>
      </c>
      <c r="I3657" s="10"/>
      <c r="J3657" s="9" t="s">
        <v>4759</v>
      </c>
      <c r="K3657" s="12"/>
      <c r="L3657" s="12"/>
      <c r="M3657" s="10"/>
      <c r="N3657" s="10"/>
      <c r="O3657" s="10"/>
      <c r="P3657" s="10"/>
      <c r="Q3657" s="10"/>
      <c r="R3657" s="10"/>
      <c r="S3657" s="10"/>
      <c r="T3657" s="10"/>
      <c r="U3657" s="10"/>
      <c r="V3657" s="10"/>
      <c r="W3657" s="10"/>
      <c r="X3657" s="10"/>
      <c r="Y3657" s="10"/>
      <c r="Z3657" s="10"/>
      <c r="AA3657" s="10"/>
      <c r="AB3657" s="10"/>
      <c r="AC3657" s="10"/>
      <c r="AD3657" s="10"/>
      <c r="AE3657" s="10"/>
      <c r="AF3657" s="10"/>
    </row>
    <row r="3658">
      <c r="A3658" s="7"/>
      <c r="B3658" s="26">
        <v>266.0</v>
      </c>
      <c r="C3658" s="27">
        <v>2.0</v>
      </c>
      <c r="D3658" s="8" t="s">
        <v>4760</v>
      </c>
      <c r="E3658" s="7">
        <v>0.0</v>
      </c>
      <c r="F3658" s="7"/>
      <c r="G3658" s="7" t="s">
        <v>313</v>
      </c>
      <c r="H3658" s="7" t="s">
        <v>312</v>
      </c>
      <c r="I3658" s="10"/>
      <c r="J3658" s="9" t="s">
        <v>4761</v>
      </c>
      <c r="K3658" s="12"/>
      <c r="L3658" s="12"/>
      <c r="M3658" s="10"/>
      <c r="N3658" s="10"/>
      <c r="O3658" s="10"/>
      <c r="P3658" s="10"/>
      <c r="Q3658" s="10"/>
      <c r="R3658" s="10"/>
      <c r="S3658" s="10"/>
      <c r="T3658" s="10"/>
      <c r="U3658" s="10"/>
      <c r="V3658" s="10"/>
      <c r="W3658" s="10"/>
      <c r="X3658" s="10"/>
      <c r="Y3658" s="10"/>
      <c r="Z3658" s="10"/>
      <c r="AA3658" s="10"/>
      <c r="AB3658" s="10"/>
      <c r="AC3658" s="10"/>
      <c r="AD3658" s="10"/>
      <c r="AE3658" s="10"/>
      <c r="AF3658" s="10"/>
    </row>
    <row r="3659">
      <c r="A3659" s="7"/>
      <c r="B3659" s="26">
        <v>266.0</v>
      </c>
      <c r="C3659" s="27">
        <v>3.0</v>
      </c>
      <c r="D3659" s="8" t="s">
        <v>4762</v>
      </c>
      <c r="E3659" s="7">
        <v>0.0</v>
      </c>
      <c r="F3659" s="7"/>
      <c r="G3659" s="7" t="s">
        <v>313</v>
      </c>
      <c r="H3659" s="7" t="s">
        <v>312</v>
      </c>
      <c r="I3659" s="7" t="s">
        <v>320</v>
      </c>
      <c r="J3659" s="16" t="s">
        <v>4763</v>
      </c>
      <c r="K3659" s="12"/>
      <c r="L3659" s="12"/>
      <c r="M3659" s="10"/>
      <c r="N3659" s="10"/>
      <c r="O3659" s="10"/>
      <c r="P3659" s="10"/>
      <c r="Q3659" s="10"/>
      <c r="R3659" s="10"/>
      <c r="S3659" s="10"/>
      <c r="T3659" s="10"/>
      <c r="U3659" s="10"/>
      <c r="V3659" s="10"/>
      <c r="W3659" s="10"/>
      <c r="X3659" s="10"/>
      <c r="Y3659" s="10"/>
      <c r="Z3659" s="10"/>
      <c r="AA3659" s="10"/>
      <c r="AB3659" s="10"/>
      <c r="AC3659" s="10"/>
      <c r="AD3659" s="10"/>
      <c r="AE3659" s="10"/>
      <c r="AF3659" s="10"/>
    </row>
    <row r="3660">
      <c r="A3660" s="7"/>
      <c r="B3660" s="26">
        <v>266.0</v>
      </c>
      <c r="C3660" s="27">
        <v>4.0</v>
      </c>
      <c r="D3660" s="8" t="s">
        <v>4764</v>
      </c>
      <c r="E3660" s="7">
        <v>0.0</v>
      </c>
      <c r="F3660" s="7"/>
      <c r="G3660" s="7" t="s">
        <v>313</v>
      </c>
      <c r="H3660" s="7" t="s">
        <v>312</v>
      </c>
      <c r="I3660" s="10"/>
      <c r="J3660" s="11"/>
      <c r="K3660" s="12"/>
      <c r="L3660" s="12"/>
      <c r="M3660" s="10"/>
      <c r="N3660" s="10"/>
      <c r="O3660" s="10"/>
      <c r="P3660" s="10"/>
      <c r="Q3660" s="10"/>
      <c r="R3660" s="10"/>
      <c r="S3660" s="10"/>
      <c r="T3660" s="10"/>
      <c r="U3660" s="10"/>
      <c r="V3660" s="10"/>
      <c r="W3660" s="10"/>
      <c r="X3660" s="10"/>
      <c r="Y3660" s="10"/>
      <c r="Z3660" s="10"/>
      <c r="AA3660" s="10"/>
      <c r="AB3660" s="10"/>
      <c r="AC3660" s="10"/>
      <c r="AD3660" s="10"/>
      <c r="AE3660" s="10"/>
      <c r="AF3660" s="10"/>
    </row>
    <row r="3661">
      <c r="A3661" s="7"/>
      <c r="B3661" s="26">
        <v>266.0</v>
      </c>
      <c r="C3661" s="27">
        <v>5.0</v>
      </c>
      <c r="D3661" s="8" t="s">
        <v>4765</v>
      </c>
      <c r="E3661" s="7">
        <v>0.0</v>
      </c>
      <c r="F3661" s="7"/>
      <c r="G3661" s="7" t="s">
        <v>313</v>
      </c>
      <c r="H3661" s="7" t="s">
        <v>312</v>
      </c>
      <c r="I3661" s="10"/>
      <c r="J3661" s="11"/>
      <c r="K3661" s="12"/>
      <c r="L3661" s="12"/>
      <c r="M3661" s="10"/>
      <c r="N3661" s="10"/>
      <c r="O3661" s="10"/>
      <c r="P3661" s="10"/>
      <c r="Q3661" s="10"/>
      <c r="R3661" s="10"/>
      <c r="S3661" s="10"/>
      <c r="T3661" s="10"/>
      <c r="U3661" s="10"/>
      <c r="V3661" s="10"/>
      <c r="W3661" s="10"/>
      <c r="X3661" s="10"/>
      <c r="Y3661" s="10"/>
      <c r="Z3661" s="10"/>
      <c r="AA3661" s="10"/>
      <c r="AB3661" s="10"/>
      <c r="AC3661" s="10"/>
      <c r="AD3661" s="10"/>
      <c r="AE3661" s="10"/>
      <c r="AF3661" s="10"/>
    </row>
    <row r="3662">
      <c r="A3662" s="7"/>
      <c r="B3662" s="26">
        <v>266.0</v>
      </c>
      <c r="C3662" s="27">
        <v>6.0</v>
      </c>
      <c r="D3662" s="8" t="s">
        <v>4766</v>
      </c>
      <c r="E3662" s="7">
        <v>3.0</v>
      </c>
      <c r="F3662" s="7"/>
      <c r="G3662" s="7" t="s">
        <v>313</v>
      </c>
      <c r="H3662" s="7" t="s">
        <v>312</v>
      </c>
      <c r="I3662" s="10"/>
      <c r="J3662" s="11"/>
      <c r="K3662" s="12"/>
      <c r="L3662" s="12"/>
      <c r="M3662" s="10"/>
      <c r="N3662" s="10"/>
      <c r="O3662" s="10"/>
      <c r="P3662" s="10"/>
      <c r="Q3662" s="10"/>
      <c r="R3662" s="10"/>
      <c r="S3662" s="10"/>
      <c r="T3662" s="10"/>
      <c r="U3662" s="10"/>
      <c r="V3662" s="10"/>
      <c r="W3662" s="10"/>
      <c r="X3662" s="10"/>
      <c r="Y3662" s="10"/>
      <c r="Z3662" s="10"/>
      <c r="AA3662" s="10"/>
      <c r="AB3662" s="10"/>
      <c r="AC3662" s="10"/>
      <c r="AD3662" s="10"/>
      <c r="AE3662" s="10"/>
      <c r="AF3662" s="10"/>
    </row>
    <row r="3663">
      <c r="A3663" s="10"/>
      <c r="B3663" s="12"/>
      <c r="C3663" s="12"/>
      <c r="D3663" s="12"/>
      <c r="E3663" s="10"/>
      <c r="F3663" s="10"/>
      <c r="G3663" s="10"/>
      <c r="H3663" s="10"/>
      <c r="I3663" s="10"/>
      <c r="J3663" s="11"/>
      <c r="K3663" s="12"/>
      <c r="L3663" s="12"/>
      <c r="M3663" s="10"/>
      <c r="N3663" s="10"/>
      <c r="O3663" s="10"/>
      <c r="P3663" s="10"/>
      <c r="Q3663" s="10"/>
      <c r="R3663" s="10"/>
      <c r="S3663" s="10"/>
      <c r="T3663" s="10"/>
      <c r="U3663" s="10"/>
      <c r="V3663" s="10"/>
      <c r="W3663" s="10"/>
      <c r="X3663" s="10"/>
      <c r="Y3663" s="10"/>
      <c r="Z3663" s="10"/>
      <c r="AA3663" s="10"/>
      <c r="AB3663" s="10"/>
      <c r="AC3663" s="10"/>
      <c r="AD3663" s="10"/>
      <c r="AE3663" s="10"/>
      <c r="AF3663" s="10"/>
    </row>
    <row r="3664">
      <c r="A3664" s="7"/>
      <c r="B3664" s="26">
        <v>267.0</v>
      </c>
      <c r="C3664" s="27">
        <v>1.0</v>
      </c>
      <c r="D3664" s="8" t="s">
        <v>4767</v>
      </c>
      <c r="E3664" s="7">
        <v>0.0</v>
      </c>
      <c r="F3664" s="7"/>
      <c r="G3664" s="7" t="s">
        <v>313</v>
      </c>
      <c r="H3664" s="7" t="s">
        <v>312</v>
      </c>
      <c r="I3664" s="10"/>
      <c r="J3664" s="9"/>
      <c r="K3664" s="12"/>
      <c r="L3664" s="12"/>
      <c r="M3664" s="10"/>
      <c r="N3664" s="10"/>
      <c r="O3664" s="10"/>
      <c r="P3664" s="10"/>
      <c r="Q3664" s="10"/>
      <c r="R3664" s="10"/>
      <c r="S3664" s="10"/>
      <c r="T3664" s="10"/>
      <c r="U3664" s="10"/>
      <c r="V3664" s="10"/>
      <c r="W3664" s="10"/>
      <c r="X3664" s="10"/>
      <c r="Y3664" s="10"/>
      <c r="Z3664" s="10"/>
      <c r="AA3664" s="10"/>
      <c r="AB3664" s="10"/>
      <c r="AC3664" s="10"/>
      <c r="AD3664" s="10"/>
      <c r="AE3664" s="10"/>
      <c r="AF3664" s="10"/>
    </row>
    <row r="3665">
      <c r="A3665" s="7"/>
      <c r="B3665" s="26">
        <v>267.0</v>
      </c>
      <c r="C3665" s="27">
        <v>2.0</v>
      </c>
      <c r="D3665" s="8" t="s">
        <v>4768</v>
      </c>
      <c r="E3665" s="7">
        <v>0.0</v>
      </c>
      <c r="F3665" s="7"/>
      <c r="G3665" s="7" t="s">
        <v>313</v>
      </c>
      <c r="H3665" s="7" t="s">
        <v>312</v>
      </c>
      <c r="I3665" s="10"/>
      <c r="J3665" s="11"/>
      <c r="K3665" s="12"/>
      <c r="L3665" s="12"/>
      <c r="M3665" s="10"/>
      <c r="N3665" s="10"/>
      <c r="O3665" s="10"/>
      <c r="P3665" s="10"/>
      <c r="Q3665" s="10"/>
      <c r="R3665" s="10"/>
      <c r="S3665" s="10"/>
      <c r="T3665" s="10"/>
      <c r="U3665" s="10"/>
      <c r="V3665" s="10"/>
      <c r="W3665" s="10"/>
      <c r="X3665" s="10"/>
      <c r="Y3665" s="10"/>
      <c r="Z3665" s="10"/>
      <c r="AA3665" s="10"/>
      <c r="AB3665" s="10"/>
      <c r="AC3665" s="10"/>
      <c r="AD3665" s="10"/>
      <c r="AE3665" s="10"/>
      <c r="AF3665" s="10"/>
    </row>
    <row r="3666">
      <c r="A3666" s="7"/>
      <c r="B3666" s="26">
        <v>267.0</v>
      </c>
      <c r="C3666" s="27">
        <v>3.0</v>
      </c>
      <c r="D3666" s="8" t="s">
        <v>4769</v>
      </c>
      <c r="E3666" s="7">
        <v>0.0</v>
      </c>
      <c r="F3666" s="7"/>
      <c r="G3666" s="7" t="s">
        <v>313</v>
      </c>
      <c r="H3666" s="7" t="s">
        <v>312</v>
      </c>
      <c r="I3666" s="10"/>
      <c r="J3666" s="11"/>
      <c r="K3666" s="12"/>
      <c r="L3666" s="12"/>
      <c r="M3666" s="10"/>
      <c r="N3666" s="10"/>
      <c r="O3666" s="10"/>
      <c r="P3666" s="10"/>
      <c r="Q3666" s="10"/>
      <c r="R3666" s="10"/>
      <c r="S3666" s="10"/>
      <c r="T3666" s="10"/>
      <c r="U3666" s="10"/>
      <c r="V3666" s="10"/>
      <c r="W3666" s="10"/>
      <c r="X3666" s="10"/>
      <c r="Y3666" s="10"/>
      <c r="Z3666" s="10"/>
      <c r="AA3666" s="10"/>
      <c r="AB3666" s="10"/>
      <c r="AC3666" s="10"/>
      <c r="AD3666" s="10"/>
      <c r="AE3666" s="10"/>
      <c r="AF3666" s="10"/>
    </row>
    <row r="3667">
      <c r="A3667" s="7"/>
      <c r="B3667" s="26">
        <v>267.0</v>
      </c>
      <c r="C3667" s="27">
        <v>4.0</v>
      </c>
      <c r="D3667" s="8" t="s">
        <v>4770</v>
      </c>
      <c r="E3667" s="7">
        <v>0.0</v>
      </c>
      <c r="F3667" s="7"/>
      <c r="G3667" s="7" t="s">
        <v>313</v>
      </c>
      <c r="H3667" s="7" t="s">
        <v>312</v>
      </c>
      <c r="I3667" s="10"/>
      <c r="J3667" s="11"/>
      <c r="K3667" s="12"/>
      <c r="L3667" s="12"/>
      <c r="M3667" s="10"/>
      <c r="N3667" s="10"/>
      <c r="O3667" s="10"/>
      <c r="P3667" s="10"/>
      <c r="Q3667" s="10"/>
      <c r="R3667" s="10"/>
      <c r="S3667" s="10"/>
      <c r="T3667" s="10"/>
      <c r="U3667" s="10"/>
      <c r="V3667" s="10"/>
      <c r="W3667" s="10"/>
      <c r="X3667" s="10"/>
      <c r="Y3667" s="10"/>
      <c r="Z3667" s="10"/>
      <c r="AA3667" s="10"/>
      <c r="AB3667" s="10"/>
      <c r="AC3667" s="10"/>
      <c r="AD3667" s="10"/>
      <c r="AE3667" s="10"/>
      <c r="AF3667" s="10"/>
    </row>
    <row r="3668">
      <c r="A3668" s="7"/>
      <c r="B3668" s="26">
        <v>267.0</v>
      </c>
      <c r="C3668" s="27">
        <v>5.0</v>
      </c>
      <c r="D3668" s="8" t="s">
        <v>4771</v>
      </c>
      <c r="E3668" s="7">
        <v>0.0</v>
      </c>
      <c r="F3668" s="7"/>
      <c r="G3668" s="7" t="s">
        <v>313</v>
      </c>
      <c r="H3668" s="7" t="s">
        <v>312</v>
      </c>
      <c r="I3668" s="10"/>
      <c r="J3668" s="11"/>
      <c r="K3668" s="12"/>
      <c r="L3668" s="12"/>
      <c r="M3668" s="10"/>
      <c r="N3668" s="10"/>
      <c r="O3668" s="10"/>
      <c r="P3668" s="10"/>
      <c r="Q3668" s="10"/>
      <c r="R3668" s="10"/>
      <c r="S3668" s="10"/>
      <c r="T3668" s="10"/>
      <c r="U3668" s="10"/>
      <c r="V3668" s="10"/>
      <c r="W3668" s="10"/>
      <c r="X3668" s="10"/>
      <c r="Y3668" s="10"/>
      <c r="Z3668" s="10"/>
      <c r="AA3668" s="10"/>
      <c r="AB3668" s="10"/>
      <c r="AC3668" s="10"/>
      <c r="AD3668" s="10"/>
      <c r="AE3668" s="10"/>
      <c r="AF3668" s="10"/>
    </row>
    <row r="3669">
      <c r="A3669" s="7"/>
      <c r="B3669" s="26">
        <v>267.0</v>
      </c>
      <c r="C3669" s="27">
        <v>6.0</v>
      </c>
      <c r="D3669" s="8" t="s">
        <v>4772</v>
      </c>
      <c r="E3669" s="7">
        <v>0.0</v>
      </c>
      <c r="F3669" s="7"/>
      <c r="G3669" s="7" t="s">
        <v>313</v>
      </c>
      <c r="H3669" s="7" t="s">
        <v>312</v>
      </c>
      <c r="I3669" s="10"/>
      <c r="J3669" s="11"/>
      <c r="K3669" s="12"/>
      <c r="L3669" s="12"/>
      <c r="M3669" s="10"/>
      <c r="N3669" s="10"/>
      <c r="O3669" s="10"/>
      <c r="P3669" s="10"/>
      <c r="Q3669" s="10"/>
      <c r="R3669" s="10"/>
      <c r="S3669" s="10"/>
      <c r="T3669" s="10"/>
      <c r="U3669" s="10"/>
      <c r="V3669" s="10"/>
      <c r="W3669" s="10"/>
      <c r="X3669" s="10"/>
      <c r="Y3669" s="10"/>
      <c r="Z3669" s="10"/>
      <c r="AA3669" s="10"/>
      <c r="AB3669" s="10"/>
      <c r="AC3669" s="10"/>
      <c r="AD3669" s="10"/>
      <c r="AE3669" s="10"/>
      <c r="AF3669" s="10"/>
    </row>
    <row r="3670">
      <c r="A3670" s="10"/>
      <c r="B3670" s="12"/>
      <c r="C3670" s="12"/>
      <c r="D3670" s="12"/>
      <c r="E3670" s="10"/>
      <c r="F3670" s="10"/>
      <c r="G3670" s="10"/>
      <c r="H3670" s="10"/>
      <c r="I3670" s="10"/>
      <c r="J3670" s="11"/>
      <c r="K3670" s="12"/>
      <c r="L3670" s="12"/>
      <c r="M3670" s="10"/>
      <c r="N3670" s="10"/>
      <c r="O3670" s="10"/>
      <c r="P3670" s="10"/>
      <c r="Q3670" s="10"/>
      <c r="R3670" s="10"/>
      <c r="S3670" s="10"/>
      <c r="T3670" s="10"/>
      <c r="U3670" s="10"/>
      <c r="V3670" s="10"/>
      <c r="W3670" s="10"/>
      <c r="X3670" s="10"/>
      <c r="Y3670" s="10"/>
      <c r="Z3670" s="10"/>
      <c r="AA3670" s="10"/>
      <c r="AB3670" s="10"/>
      <c r="AC3670" s="10"/>
      <c r="AD3670" s="10"/>
      <c r="AE3670" s="10"/>
      <c r="AF3670" s="10"/>
    </row>
    <row r="3671">
      <c r="A3671" s="7"/>
      <c r="B3671" s="8">
        <v>268.0</v>
      </c>
      <c r="C3671" s="8">
        <v>1.0</v>
      </c>
      <c r="D3671" s="8" t="s">
        <v>4773</v>
      </c>
      <c r="E3671" s="7">
        <v>0.0</v>
      </c>
      <c r="F3671" s="7"/>
      <c r="G3671" s="7" t="s">
        <v>313</v>
      </c>
      <c r="H3671" s="7" t="s">
        <v>312</v>
      </c>
      <c r="I3671" s="10"/>
      <c r="J3671" s="11"/>
      <c r="K3671" s="12"/>
      <c r="L3671" s="12"/>
      <c r="M3671" s="10"/>
      <c r="N3671" s="10"/>
      <c r="O3671" s="10"/>
      <c r="P3671" s="10"/>
      <c r="Q3671" s="10"/>
      <c r="R3671" s="10"/>
      <c r="S3671" s="10"/>
      <c r="T3671" s="10"/>
      <c r="U3671" s="10"/>
      <c r="V3671" s="10"/>
      <c r="W3671" s="10"/>
      <c r="X3671" s="10"/>
      <c r="Y3671" s="10"/>
      <c r="Z3671" s="10"/>
      <c r="AA3671" s="10"/>
      <c r="AB3671" s="10"/>
      <c r="AC3671" s="10"/>
      <c r="AD3671" s="10"/>
      <c r="AE3671" s="10"/>
      <c r="AF3671" s="10"/>
    </row>
    <row r="3672">
      <c r="A3672" s="10"/>
      <c r="B3672" s="12"/>
      <c r="C3672" s="12"/>
      <c r="D3672" s="12"/>
      <c r="E3672" s="10"/>
      <c r="F3672" s="10"/>
      <c r="G3672" s="10"/>
      <c r="H3672" s="10"/>
      <c r="I3672" s="10"/>
      <c r="J3672" s="11"/>
      <c r="K3672" s="12"/>
      <c r="L3672" s="12"/>
      <c r="M3672" s="10"/>
      <c r="N3672" s="10"/>
      <c r="O3672" s="10"/>
      <c r="P3672" s="10"/>
      <c r="Q3672" s="10"/>
      <c r="R3672" s="10"/>
      <c r="S3672" s="10"/>
      <c r="T3672" s="10"/>
      <c r="U3672" s="10"/>
      <c r="V3672" s="10"/>
      <c r="W3672" s="10"/>
      <c r="X3672" s="10"/>
      <c r="Y3672" s="10"/>
      <c r="Z3672" s="10"/>
      <c r="AA3672" s="10"/>
      <c r="AB3672" s="10"/>
      <c r="AC3672" s="10"/>
      <c r="AD3672" s="10"/>
      <c r="AE3672" s="10"/>
      <c r="AF3672" s="10"/>
    </row>
    <row r="3673">
      <c r="A3673" s="7"/>
      <c r="B3673" s="8">
        <v>269.0</v>
      </c>
      <c r="C3673" s="8">
        <v>1.0</v>
      </c>
      <c r="D3673" s="8" t="s">
        <v>4774</v>
      </c>
      <c r="E3673" s="7">
        <v>2.0</v>
      </c>
      <c r="F3673" s="7" t="s">
        <v>320</v>
      </c>
      <c r="G3673" s="7" t="s">
        <v>313</v>
      </c>
      <c r="H3673" s="7" t="s">
        <v>312</v>
      </c>
      <c r="I3673" s="10"/>
      <c r="J3673" s="23" t="s">
        <v>4775</v>
      </c>
      <c r="K3673" s="8" t="s">
        <v>4776</v>
      </c>
      <c r="L3673" s="12"/>
      <c r="M3673" s="10"/>
      <c r="N3673" s="10"/>
      <c r="O3673" s="10"/>
      <c r="P3673" s="10"/>
      <c r="Q3673" s="10"/>
      <c r="R3673" s="10"/>
      <c r="S3673" s="10"/>
      <c r="T3673" s="10"/>
      <c r="U3673" s="10"/>
      <c r="V3673" s="10"/>
      <c r="W3673" s="10"/>
      <c r="X3673" s="10"/>
      <c r="Y3673" s="10"/>
      <c r="Z3673" s="10"/>
      <c r="AA3673" s="10"/>
      <c r="AB3673" s="10"/>
      <c r="AC3673" s="10"/>
      <c r="AD3673" s="10"/>
      <c r="AE3673" s="10"/>
      <c r="AF3673" s="10"/>
    </row>
    <row r="3674">
      <c r="A3674" s="10"/>
      <c r="B3674" s="12"/>
      <c r="C3674" s="12"/>
      <c r="D3674" s="12"/>
      <c r="E3674" s="10"/>
      <c r="F3674" s="10"/>
      <c r="G3674" s="10"/>
      <c r="H3674" s="10"/>
      <c r="I3674" s="10"/>
      <c r="J3674" s="11"/>
      <c r="K3674" s="12"/>
      <c r="L3674" s="12"/>
      <c r="M3674" s="10"/>
      <c r="N3674" s="10"/>
      <c r="O3674" s="10"/>
      <c r="P3674" s="10"/>
      <c r="Q3674" s="10"/>
      <c r="R3674" s="10"/>
      <c r="S3674" s="10"/>
      <c r="T3674" s="10"/>
      <c r="U3674" s="10"/>
      <c r="V3674" s="10"/>
      <c r="W3674" s="10"/>
      <c r="X3674" s="10"/>
      <c r="Y3674" s="10"/>
      <c r="Z3674" s="10"/>
      <c r="AA3674" s="10"/>
      <c r="AB3674" s="10"/>
      <c r="AC3674" s="10"/>
      <c r="AD3674" s="10"/>
      <c r="AE3674" s="10"/>
      <c r="AF3674" s="10"/>
    </row>
    <row r="3675">
      <c r="A3675" s="10"/>
      <c r="B3675" s="8" t="s">
        <v>4777</v>
      </c>
      <c r="C3675" s="37">
        <v>1.0</v>
      </c>
      <c r="D3675" s="38" t="s">
        <v>270</v>
      </c>
      <c r="E3675" s="7">
        <v>0.0</v>
      </c>
      <c r="F3675" s="7" t="s">
        <v>320</v>
      </c>
      <c r="G3675" s="39" t="s">
        <v>312</v>
      </c>
      <c r="H3675" s="40"/>
      <c r="I3675" s="38"/>
      <c r="J3675" s="34" t="s">
        <v>4778</v>
      </c>
      <c r="K3675" s="40"/>
      <c r="L3675" s="41" t="s">
        <v>4779</v>
      </c>
      <c r="M3675" s="40"/>
      <c r="N3675" s="40"/>
      <c r="O3675" s="40"/>
      <c r="P3675" s="40"/>
      <c r="Q3675" s="40"/>
      <c r="R3675" s="40"/>
      <c r="S3675" s="40"/>
      <c r="T3675" s="40"/>
      <c r="U3675" s="40"/>
      <c r="V3675" s="40"/>
      <c r="W3675" s="40"/>
      <c r="X3675" s="40"/>
      <c r="Y3675" s="40"/>
      <c r="Z3675" s="40"/>
      <c r="AA3675" s="40"/>
      <c r="AB3675" s="40"/>
      <c r="AC3675" s="40"/>
      <c r="AD3675" s="10"/>
      <c r="AE3675" s="10"/>
      <c r="AF3675" s="10"/>
    </row>
    <row r="3676">
      <c r="A3676" s="10"/>
      <c r="B3676" s="8" t="s">
        <v>4777</v>
      </c>
      <c r="C3676" s="37">
        <v>1.0</v>
      </c>
      <c r="D3676" s="38" t="s">
        <v>271</v>
      </c>
      <c r="E3676" s="7">
        <v>0.0</v>
      </c>
      <c r="F3676" s="7" t="s">
        <v>320</v>
      </c>
      <c r="G3676" s="39" t="s">
        <v>312</v>
      </c>
      <c r="H3676" s="40"/>
      <c r="I3676" s="38"/>
      <c r="J3676" s="42"/>
      <c r="K3676" s="40"/>
      <c r="L3676" s="40"/>
      <c r="M3676" s="40"/>
      <c r="N3676" s="40"/>
      <c r="O3676" s="40"/>
      <c r="P3676" s="40"/>
      <c r="Q3676" s="40"/>
      <c r="R3676" s="40"/>
      <c r="S3676" s="40"/>
      <c r="T3676" s="40"/>
      <c r="U3676" s="40"/>
      <c r="V3676" s="40"/>
      <c r="W3676" s="40"/>
      <c r="X3676" s="40"/>
      <c r="Y3676" s="40"/>
      <c r="Z3676" s="40"/>
      <c r="AA3676" s="40"/>
      <c r="AB3676" s="40"/>
      <c r="AC3676" s="40"/>
      <c r="AD3676" s="10"/>
      <c r="AE3676" s="10"/>
      <c r="AF3676" s="10"/>
    </row>
    <row r="3677">
      <c r="A3677" s="10"/>
      <c r="B3677" s="8" t="s">
        <v>4777</v>
      </c>
      <c r="C3677" s="37">
        <v>1.0</v>
      </c>
      <c r="D3677" s="38" t="s">
        <v>272</v>
      </c>
      <c r="E3677" s="7">
        <v>0.0</v>
      </c>
      <c r="F3677" s="7" t="s">
        <v>320</v>
      </c>
      <c r="G3677" s="39" t="s">
        <v>312</v>
      </c>
      <c r="H3677" s="40"/>
      <c r="I3677" s="38"/>
      <c r="J3677" s="42"/>
      <c r="K3677" s="40"/>
      <c r="L3677" s="40"/>
      <c r="M3677" s="40"/>
      <c r="N3677" s="40"/>
      <c r="O3677" s="40"/>
      <c r="P3677" s="40"/>
      <c r="Q3677" s="40"/>
      <c r="R3677" s="40"/>
      <c r="S3677" s="40"/>
      <c r="T3677" s="40"/>
      <c r="U3677" s="40"/>
      <c r="V3677" s="40"/>
      <c r="W3677" s="40"/>
      <c r="X3677" s="40"/>
      <c r="Y3677" s="40"/>
      <c r="Z3677" s="40"/>
      <c r="AA3677" s="40"/>
      <c r="AB3677" s="40"/>
      <c r="AC3677" s="40"/>
      <c r="AD3677" s="10"/>
      <c r="AE3677" s="10"/>
      <c r="AF3677" s="10"/>
    </row>
    <row r="3678">
      <c r="A3678" s="10"/>
      <c r="B3678" s="8" t="s">
        <v>4777</v>
      </c>
      <c r="C3678" s="37">
        <v>1.0</v>
      </c>
      <c r="D3678" s="38" t="s">
        <v>273</v>
      </c>
      <c r="E3678" s="7">
        <v>0.0</v>
      </c>
      <c r="F3678" s="7" t="s">
        <v>320</v>
      </c>
      <c r="G3678" s="39" t="s">
        <v>312</v>
      </c>
      <c r="H3678" s="40"/>
      <c r="I3678" s="38"/>
      <c r="J3678" s="42"/>
      <c r="K3678" s="40"/>
      <c r="L3678" s="40"/>
      <c r="M3678" s="40"/>
      <c r="N3678" s="40"/>
      <c r="O3678" s="40"/>
      <c r="P3678" s="40"/>
      <c r="Q3678" s="40"/>
      <c r="R3678" s="40"/>
      <c r="S3678" s="40"/>
      <c r="T3678" s="40"/>
      <c r="U3678" s="40"/>
      <c r="V3678" s="40"/>
      <c r="W3678" s="40"/>
      <c r="X3678" s="40"/>
      <c r="Y3678" s="40"/>
      <c r="Z3678" s="40"/>
      <c r="AA3678" s="40"/>
      <c r="AB3678" s="40"/>
      <c r="AC3678" s="40"/>
      <c r="AD3678" s="10"/>
      <c r="AE3678" s="10"/>
      <c r="AF3678" s="10"/>
    </row>
    <row r="3679">
      <c r="A3679" s="10"/>
      <c r="B3679" s="8" t="s">
        <v>4777</v>
      </c>
      <c r="C3679" s="37">
        <v>1.0</v>
      </c>
      <c r="D3679" s="38" t="s">
        <v>274</v>
      </c>
      <c r="E3679" s="7">
        <v>0.0</v>
      </c>
      <c r="F3679" s="7" t="s">
        <v>320</v>
      </c>
      <c r="G3679" s="39" t="s">
        <v>312</v>
      </c>
      <c r="H3679" s="40"/>
      <c r="I3679" s="38"/>
      <c r="J3679" s="42"/>
      <c r="K3679" s="40"/>
      <c r="L3679" s="40"/>
      <c r="M3679" s="40"/>
      <c r="N3679" s="40"/>
      <c r="O3679" s="40"/>
      <c r="P3679" s="40"/>
      <c r="Q3679" s="40"/>
      <c r="R3679" s="40"/>
      <c r="S3679" s="40"/>
      <c r="T3679" s="40"/>
      <c r="U3679" s="40"/>
      <c r="V3679" s="40"/>
      <c r="W3679" s="40"/>
      <c r="X3679" s="40"/>
      <c r="Y3679" s="40"/>
      <c r="Z3679" s="40"/>
      <c r="AA3679" s="40"/>
      <c r="AB3679" s="40"/>
      <c r="AC3679" s="40"/>
      <c r="AD3679" s="10"/>
      <c r="AE3679" s="10"/>
      <c r="AF3679" s="10"/>
    </row>
    <row r="3680">
      <c r="A3680" s="10"/>
      <c r="B3680" s="8" t="s">
        <v>4777</v>
      </c>
      <c r="C3680" s="37">
        <v>1.0</v>
      </c>
      <c r="D3680" s="38" t="s">
        <v>275</v>
      </c>
      <c r="E3680" s="7">
        <v>0.0</v>
      </c>
      <c r="F3680" s="7" t="s">
        <v>320</v>
      </c>
      <c r="G3680" s="39" t="s">
        <v>312</v>
      </c>
      <c r="H3680" s="40"/>
      <c r="I3680" s="38"/>
      <c r="J3680" s="42"/>
      <c r="K3680" s="40"/>
      <c r="L3680" s="40"/>
      <c r="M3680" s="40"/>
      <c r="N3680" s="40"/>
      <c r="O3680" s="40"/>
      <c r="P3680" s="40"/>
      <c r="Q3680" s="40"/>
      <c r="R3680" s="40"/>
      <c r="S3680" s="40"/>
      <c r="T3680" s="40"/>
      <c r="U3680" s="40"/>
      <c r="V3680" s="40"/>
      <c r="W3680" s="40"/>
      <c r="X3680" s="40"/>
      <c r="Y3680" s="40"/>
      <c r="Z3680" s="40"/>
      <c r="AA3680" s="40"/>
      <c r="AB3680" s="40"/>
      <c r="AC3680" s="40"/>
      <c r="AD3680" s="10"/>
      <c r="AE3680" s="10"/>
      <c r="AF3680" s="10"/>
    </row>
    <row r="3681">
      <c r="A3681" s="10"/>
      <c r="B3681" s="8" t="s">
        <v>4777</v>
      </c>
      <c r="C3681" s="37">
        <v>1.0</v>
      </c>
      <c r="D3681" s="38" t="s">
        <v>276</v>
      </c>
      <c r="E3681" s="7">
        <v>0.0</v>
      </c>
      <c r="F3681" s="7" t="s">
        <v>320</v>
      </c>
      <c r="G3681" s="39" t="s">
        <v>312</v>
      </c>
      <c r="H3681" s="40"/>
      <c r="I3681" s="38"/>
      <c r="J3681" s="42"/>
      <c r="K3681" s="40"/>
      <c r="L3681" s="40"/>
      <c r="M3681" s="40"/>
      <c r="N3681" s="40"/>
      <c r="O3681" s="40"/>
      <c r="P3681" s="40"/>
      <c r="Q3681" s="40"/>
      <c r="R3681" s="40"/>
      <c r="S3681" s="40"/>
      <c r="T3681" s="40"/>
      <c r="U3681" s="40"/>
      <c r="V3681" s="40"/>
      <c r="W3681" s="40"/>
      <c r="X3681" s="40"/>
      <c r="Y3681" s="40"/>
      <c r="Z3681" s="40"/>
      <c r="AA3681" s="40"/>
      <c r="AB3681" s="40"/>
      <c r="AC3681" s="40"/>
      <c r="AD3681" s="10"/>
      <c r="AE3681" s="10"/>
      <c r="AF3681" s="10"/>
    </row>
    <row r="3682">
      <c r="A3682" s="10"/>
      <c r="B3682" s="12"/>
      <c r="C3682" s="12"/>
      <c r="D3682" s="12"/>
      <c r="E3682" s="10"/>
      <c r="F3682" s="10"/>
      <c r="G3682" s="10"/>
      <c r="H3682" s="10"/>
      <c r="I3682" s="10"/>
      <c r="J3682" s="11"/>
      <c r="K3682" s="12"/>
      <c r="L3682" s="12"/>
      <c r="M3682" s="10"/>
      <c r="N3682" s="10"/>
      <c r="O3682" s="10"/>
      <c r="P3682" s="10"/>
      <c r="Q3682" s="10"/>
      <c r="R3682" s="10"/>
      <c r="S3682" s="10"/>
      <c r="T3682" s="10"/>
      <c r="U3682" s="10"/>
      <c r="V3682" s="10"/>
      <c r="W3682" s="10"/>
      <c r="X3682" s="10"/>
      <c r="Y3682" s="10"/>
      <c r="Z3682" s="10"/>
      <c r="AA3682" s="10"/>
      <c r="AB3682" s="10"/>
      <c r="AC3682" s="10"/>
      <c r="AD3682" s="10"/>
      <c r="AE3682" s="10"/>
      <c r="AF3682" s="10"/>
    </row>
    <row r="3683">
      <c r="A3683" s="7"/>
      <c r="B3683" s="26">
        <v>273.0</v>
      </c>
      <c r="C3683" s="27">
        <v>1.0</v>
      </c>
      <c r="D3683" s="8" t="s">
        <v>4780</v>
      </c>
      <c r="E3683" s="7">
        <v>1.0</v>
      </c>
      <c r="F3683" s="7"/>
      <c r="G3683" s="7" t="s">
        <v>313</v>
      </c>
      <c r="H3683" s="7" t="s">
        <v>312</v>
      </c>
      <c r="I3683" s="10"/>
      <c r="J3683" s="9" t="s">
        <v>4781</v>
      </c>
      <c r="K3683" s="20" t="s">
        <v>4782</v>
      </c>
      <c r="L3683" s="12"/>
      <c r="M3683" s="10"/>
      <c r="N3683" s="10"/>
      <c r="O3683" s="10"/>
      <c r="P3683" s="10"/>
      <c r="Q3683" s="10"/>
      <c r="R3683" s="10"/>
      <c r="S3683" s="10"/>
      <c r="T3683" s="10"/>
      <c r="U3683" s="10"/>
      <c r="V3683" s="10"/>
      <c r="W3683" s="10"/>
      <c r="X3683" s="10"/>
      <c r="Y3683" s="10"/>
      <c r="Z3683" s="10"/>
      <c r="AA3683" s="10"/>
      <c r="AB3683" s="10"/>
      <c r="AC3683" s="10"/>
      <c r="AD3683" s="10"/>
      <c r="AE3683" s="10"/>
      <c r="AF3683" s="10"/>
    </row>
    <row r="3684">
      <c r="A3684" s="7"/>
      <c r="B3684" s="26">
        <v>273.0</v>
      </c>
      <c r="C3684" s="27">
        <v>2.0</v>
      </c>
      <c r="D3684" s="8" t="s">
        <v>4783</v>
      </c>
      <c r="E3684" s="7">
        <v>1.0</v>
      </c>
      <c r="F3684" s="7"/>
      <c r="G3684" s="7" t="s">
        <v>313</v>
      </c>
      <c r="H3684" s="7" t="s">
        <v>312</v>
      </c>
      <c r="I3684" s="10"/>
      <c r="J3684" s="9" t="s">
        <v>4784</v>
      </c>
      <c r="K3684" s="12"/>
      <c r="L3684" s="12"/>
      <c r="M3684" s="10"/>
      <c r="N3684" s="10"/>
      <c r="O3684" s="10"/>
      <c r="P3684" s="10"/>
      <c r="Q3684" s="10"/>
      <c r="R3684" s="10"/>
      <c r="S3684" s="10"/>
      <c r="T3684" s="10"/>
      <c r="U3684" s="10"/>
      <c r="V3684" s="10"/>
      <c r="W3684" s="10"/>
      <c r="X3684" s="10"/>
      <c r="Y3684" s="10"/>
      <c r="Z3684" s="10"/>
      <c r="AA3684" s="10"/>
      <c r="AB3684" s="10"/>
      <c r="AC3684" s="10"/>
      <c r="AD3684" s="10"/>
      <c r="AE3684" s="10"/>
      <c r="AF3684" s="10"/>
    </row>
    <row r="3685">
      <c r="A3685" s="7"/>
      <c r="B3685" s="26">
        <v>273.0</v>
      </c>
      <c r="C3685" s="27">
        <v>3.0</v>
      </c>
      <c r="D3685" s="8" t="s">
        <v>4785</v>
      </c>
      <c r="E3685" s="7">
        <v>1.0</v>
      </c>
      <c r="F3685" s="7"/>
      <c r="G3685" s="7" t="s">
        <v>313</v>
      </c>
      <c r="H3685" s="7" t="s">
        <v>312</v>
      </c>
      <c r="I3685" s="7" t="s">
        <v>4428</v>
      </c>
      <c r="J3685" s="16" t="s">
        <v>4786</v>
      </c>
      <c r="K3685" s="12"/>
      <c r="L3685" s="12"/>
      <c r="M3685" s="10"/>
      <c r="N3685" s="10"/>
      <c r="O3685" s="10"/>
      <c r="P3685" s="10"/>
      <c r="Q3685" s="10"/>
      <c r="R3685" s="10"/>
      <c r="S3685" s="10"/>
      <c r="T3685" s="10"/>
      <c r="U3685" s="10"/>
      <c r="V3685" s="10"/>
      <c r="W3685" s="10"/>
      <c r="X3685" s="10"/>
      <c r="Y3685" s="10"/>
      <c r="Z3685" s="10"/>
      <c r="AA3685" s="10"/>
      <c r="AB3685" s="10"/>
      <c r="AC3685" s="10"/>
      <c r="AD3685" s="10"/>
      <c r="AE3685" s="10"/>
      <c r="AF3685" s="10"/>
    </row>
    <row r="3686">
      <c r="A3686" s="7"/>
      <c r="B3686" s="26">
        <v>273.0</v>
      </c>
      <c r="C3686" s="27">
        <v>4.0</v>
      </c>
      <c r="D3686" s="8" t="s">
        <v>4787</v>
      </c>
      <c r="E3686" s="7">
        <v>0.0</v>
      </c>
      <c r="F3686" s="7"/>
      <c r="G3686" s="7" t="s">
        <v>313</v>
      </c>
      <c r="H3686" s="7" t="s">
        <v>312</v>
      </c>
      <c r="I3686" s="10"/>
      <c r="J3686" s="11"/>
      <c r="K3686" s="20" t="s">
        <v>4788</v>
      </c>
      <c r="L3686" s="12"/>
      <c r="M3686" s="10"/>
      <c r="N3686" s="10"/>
      <c r="O3686" s="10"/>
      <c r="P3686" s="10"/>
      <c r="Q3686" s="10"/>
      <c r="R3686" s="10"/>
      <c r="S3686" s="10"/>
      <c r="T3686" s="10"/>
      <c r="U3686" s="10"/>
      <c r="V3686" s="10"/>
      <c r="W3686" s="10"/>
      <c r="X3686" s="10"/>
      <c r="Y3686" s="10"/>
      <c r="Z3686" s="10"/>
      <c r="AA3686" s="10"/>
      <c r="AB3686" s="10"/>
      <c r="AC3686" s="10"/>
      <c r="AD3686" s="10"/>
      <c r="AE3686" s="10"/>
      <c r="AF3686" s="10"/>
    </row>
    <row r="3687">
      <c r="A3687" s="7"/>
      <c r="B3687" s="26">
        <v>273.0</v>
      </c>
      <c r="C3687" s="27">
        <v>5.0</v>
      </c>
      <c r="D3687" s="8" t="s">
        <v>4789</v>
      </c>
      <c r="E3687" s="7">
        <v>0.0</v>
      </c>
      <c r="F3687" s="7"/>
      <c r="G3687" s="7" t="s">
        <v>313</v>
      </c>
      <c r="H3687" s="7" t="s">
        <v>312</v>
      </c>
      <c r="I3687" s="10"/>
      <c r="J3687" s="11"/>
      <c r="K3687" s="20" t="s">
        <v>4788</v>
      </c>
      <c r="L3687" s="12"/>
      <c r="M3687" s="10"/>
      <c r="N3687" s="10"/>
      <c r="O3687" s="10"/>
      <c r="P3687" s="10"/>
      <c r="Q3687" s="10"/>
      <c r="R3687" s="10"/>
      <c r="S3687" s="10"/>
      <c r="T3687" s="10"/>
      <c r="U3687" s="10"/>
      <c r="V3687" s="10"/>
      <c r="W3687" s="10"/>
      <c r="X3687" s="10"/>
      <c r="Y3687" s="10"/>
      <c r="Z3687" s="10"/>
      <c r="AA3687" s="10"/>
      <c r="AB3687" s="10"/>
      <c r="AC3687" s="10"/>
      <c r="AD3687" s="10"/>
      <c r="AE3687" s="10"/>
      <c r="AF3687" s="10"/>
    </row>
    <row r="3688">
      <c r="A3688" s="7"/>
      <c r="B3688" s="26">
        <v>273.0</v>
      </c>
      <c r="C3688" s="27">
        <v>6.0</v>
      </c>
      <c r="D3688" s="8" t="s">
        <v>4790</v>
      </c>
      <c r="E3688" s="7">
        <v>0.0</v>
      </c>
      <c r="F3688" s="7"/>
      <c r="G3688" s="7" t="s">
        <v>313</v>
      </c>
      <c r="H3688" s="7" t="s">
        <v>312</v>
      </c>
      <c r="I3688" s="10"/>
      <c r="J3688" s="11"/>
      <c r="K3688" s="12"/>
      <c r="L3688" s="12"/>
      <c r="M3688" s="10"/>
      <c r="N3688" s="10"/>
      <c r="O3688" s="10"/>
      <c r="P3688" s="10"/>
      <c r="Q3688" s="10"/>
      <c r="R3688" s="10"/>
      <c r="S3688" s="10"/>
      <c r="T3688" s="10"/>
      <c r="U3688" s="10"/>
      <c r="V3688" s="10"/>
      <c r="W3688" s="10"/>
      <c r="X3688" s="10"/>
      <c r="Y3688" s="10"/>
      <c r="Z3688" s="10"/>
      <c r="AA3688" s="10"/>
      <c r="AB3688" s="10"/>
      <c r="AC3688" s="10"/>
      <c r="AD3688" s="10"/>
      <c r="AE3688" s="10"/>
      <c r="AF3688" s="10"/>
    </row>
    <row r="3689">
      <c r="A3689" s="7"/>
      <c r="B3689" s="26">
        <v>273.0</v>
      </c>
      <c r="C3689" s="27">
        <v>7.0</v>
      </c>
      <c r="D3689" s="8" t="s">
        <v>4791</v>
      </c>
      <c r="E3689" s="7">
        <v>0.0</v>
      </c>
      <c r="F3689" s="7"/>
      <c r="G3689" s="7" t="s">
        <v>313</v>
      </c>
      <c r="H3689" s="7" t="s">
        <v>312</v>
      </c>
      <c r="I3689" s="10"/>
      <c r="J3689" s="11"/>
      <c r="K3689" s="12"/>
      <c r="L3689" s="12"/>
      <c r="M3689" s="10"/>
      <c r="N3689" s="10"/>
      <c r="O3689" s="10"/>
      <c r="P3689" s="10"/>
      <c r="Q3689" s="10"/>
      <c r="R3689" s="10"/>
      <c r="S3689" s="10"/>
      <c r="T3689" s="10"/>
      <c r="U3689" s="10"/>
      <c r="V3689" s="10"/>
      <c r="W3689" s="10"/>
      <c r="X3689" s="10"/>
      <c r="Y3689" s="10"/>
      <c r="Z3689" s="10"/>
      <c r="AA3689" s="10"/>
      <c r="AB3689" s="10"/>
      <c r="AC3689" s="10"/>
      <c r="AD3689" s="10"/>
      <c r="AE3689" s="10"/>
      <c r="AF3689" s="10"/>
    </row>
    <row r="3690">
      <c r="A3690" s="7"/>
      <c r="B3690" s="26">
        <v>273.0</v>
      </c>
      <c r="C3690" s="27">
        <v>8.0</v>
      </c>
      <c r="D3690" s="8" t="s">
        <v>4792</v>
      </c>
      <c r="E3690" s="7">
        <v>0.0</v>
      </c>
      <c r="F3690" s="7"/>
      <c r="G3690" s="7" t="s">
        <v>313</v>
      </c>
      <c r="H3690" s="7" t="s">
        <v>312</v>
      </c>
      <c r="I3690" s="10"/>
      <c r="J3690" s="11"/>
      <c r="L3690" s="12"/>
      <c r="M3690" s="10"/>
      <c r="N3690" s="10"/>
      <c r="O3690" s="10"/>
      <c r="P3690" s="10"/>
      <c r="Q3690" s="10"/>
      <c r="R3690" s="10"/>
      <c r="S3690" s="10"/>
      <c r="T3690" s="10"/>
      <c r="U3690" s="10"/>
      <c r="V3690" s="10"/>
      <c r="W3690" s="10"/>
      <c r="X3690" s="10"/>
      <c r="Y3690" s="10"/>
      <c r="Z3690" s="10"/>
      <c r="AA3690" s="10"/>
      <c r="AB3690" s="10"/>
      <c r="AC3690" s="10"/>
      <c r="AD3690" s="10"/>
      <c r="AE3690" s="10"/>
      <c r="AF3690" s="10"/>
    </row>
    <row r="3691">
      <c r="A3691" s="7"/>
      <c r="B3691" s="26">
        <v>273.0</v>
      </c>
      <c r="C3691" s="27">
        <v>9.0</v>
      </c>
      <c r="D3691" s="8" t="s">
        <v>4793</v>
      </c>
      <c r="E3691" s="7">
        <v>0.0</v>
      </c>
      <c r="F3691" s="7"/>
      <c r="G3691" s="7" t="s">
        <v>313</v>
      </c>
      <c r="H3691" s="7" t="s">
        <v>312</v>
      </c>
      <c r="I3691" s="10"/>
      <c r="J3691" s="11"/>
      <c r="K3691" s="12"/>
      <c r="L3691" s="12"/>
      <c r="M3691" s="10"/>
      <c r="N3691" s="10"/>
      <c r="O3691" s="10"/>
      <c r="P3691" s="10"/>
      <c r="Q3691" s="10"/>
      <c r="R3691" s="10"/>
      <c r="S3691" s="10"/>
      <c r="T3691" s="10"/>
      <c r="U3691" s="10"/>
      <c r="V3691" s="10"/>
      <c r="W3691" s="10"/>
      <c r="X3691" s="10"/>
      <c r="Y3691" s="10"/>
      <c r="Z3691" s="10"/>
      <c r="AA3691" s="10"/>
      <c r="AB3691" s="10"/>
      <c r="AC3691" s="10"/>
      <c r="AD3691" s="10"/>
      <c r="AE3691" s="10"/>
      <c r="AF3691" s="10"/>
    </row>
    <row r="3692">
      <c r="A3692" s="7"/>
      <c r="B3692" s="26">
        <v>273.0</v>
      </c>
      <c r="C3692" s="27">
        <v>10.0</v>
      </c>
      <c r="D3692" s="8" t="s">
        <v>4794</v>
      </c>
      <c r="E3692" s="7">
        <v>0.0</v>
      </c>
      <c r="F3692" s="7"/>
      <c r="G3692" s="7" t="s">
        <v>313</v>
      </c>
      <c r="H3692" s="7" t="s">
        <v>312</v>
      </c>
      <c r="I3692" s="10"/>
      <c r="J3692" s="11"/>
      <c r="K3692" s="12"/>
      <c r="L3692" s="12"/>
      <c r="M3692" s="10"/>
      <c r="N3692" s="10"/>
      <c r="O3692" s="10"/>
      <c r="P3692" s="10"/>
      <c r="Q3692" s="10"/>
      <c r="R3692" s="10"/>
      <c r="S3692" s="10"/>
      <c r="T3692" s="10"/>
      <c r="U3692" s="10"/>
      <c r="V3692" s="10"/>
      <c r="W3692" s="10"/>
      <c r="X3692" s="10"/>
      <c r="Y3692" s="10"/>
      <c r="Z3692" s="10"/>
      <c r="AA3692" s="10"/>
      <c r="AB3692" s="10"/>
      <c r="AC3692" s="10"/>
      <c r="AD3692" s="10"/>
      <c r="AE3692" s="10"/>
      <c r="AF3692" s="10"/>
    </row>
    <row r="3693">
      <c r="A3693" s="7"/>
      <c r="B3693" s="26">
        <v>273.0</v>
      </c>
      <c r="C3693" s="27">
        <v>11.0</v>
      </c>
      <c r="D3693" s="8" t="s">
        <v>4795</v>
      </c>
      <c r="E3693" s="7">
        <v>0.0</v>
      </c>
      <c r="F3693" s="7"/>
      <c r="G3693" s="7" t="s">
        <v>313</v>
      </c>
      <c r="H3693" s="7" t="s">
        <v>312</v>
      </c>
      <c r="I3693" s="10"/>
      <c r="J3693" s="11"/>
      <c r="K3693" s="12"/>
      <c r="L3693" s="12"/>
      <c r="M3693" s="10"/>
      <c r="N3693" s="10"/>
      <c r="O3693" s="10"/>
      <c r="P3693" s="10"/>
      <c r="Q3693" s="10"/>
      <c r="R3693" s="10"/>
      <c r="S3693" s="10"/>
      <c r="T3693" s="10"/>
      <c r="U3693" s="10"/>
      <c r="V3693" s="10"/>
      <c r="W3693" s="10"/>
      <c r="X3693" s="10"/>
      <c r="Y3693" s="10"/>
      <c r="Z3693" s="10"/>
      <c r="AA3693" s="10"/>
      <c r="AB3693" s="10"/>
      <c r="AC3693" s="10"/>
      <c r="AD3693" s="10"/>
      <c r="AE3693" s="10"/>
      <c r="AF3693" s="10"/>
    </row>
    <row r="3694">
      <c r="A3694" s="7"/>
      <c r="B3694" s="26">
        <v>273.0</v>
      </c>
      <c r="C3694" s="27">
        <v>12.0</v>
      </c>
      <c r="D3694" s="8" t="s">
        <v>4796</v>
      </c>
      <c r="E3694" s="7">
        <v>0.0</v>
      </c>
      <c r="F3694" s="7"/>
      <c r="G3694" s="7" t="s">
        <v>313</v>
      </c>
      <c r="H3694" s="7" t="s">
        <v>312</v>
      </c>
      <c r="I3694" s="10"/>
      <c r="J3694" s="11"/>
      <c r="K3694" s="12"/>
      <c r="L3694" s="12"/>
      <c r="M3694" s="10"/>
      <c r="N3694" s="10"/>
      <c r="O3694" s="10"/>
      <c r="P3694" s="10"/>
      <c r="Q3694" s="10"/>
      <c r="R3694" s="10"/>
      <c r="S3694" s="10"/>
      <c r="T3694" s="10"/>
      <c r="U3694" s="10"/>
      <c r="V3694" s="10"/>
      <c r="W3694" s="10"/>
      <c r="X3694" s="10"/>
      <c r="Y3694" s="10"/>
      <c r="Z3694" s="10"/>
      <c r="AA3694" s="10"/>
      <c r="AB3694" s="10"/>
      <c r="AC3694" s="10"/>
      <c r="AD3694" s="10"/>
      <c r="AE3694" s="10"/>
      <c r="AF3694" s="10"/>
    </row>
    <row r="3695">
      <c r="A3695" s="7"/>
      <c r="B3695" s="26">
        <v>273.0</v>
      </c>
      <c r="C3695" s="27">
        <v>13.0</v>
      </c>
      <c r="D3695" s="8" t="s">
        <v>4797</v>
      </c>
      <c r="E3695" s="7">
        <v>0.0</v>
      </c>
      <c r="F3695" s="7"/>
      <c r="G3695" s="7" t="s">
        <v>313</v>
      </c>
      <c r="H3695" s="7" t="s">
        <v>312</v>
      </c>
      <c r="I3695" s="10"/>
      <c r="J3695" s="11"/>
      <c r="K3695" s="20" t="s">
        <v>4798</v>
      </c>
      <c r="L3695" s="12"/>
      <c r="M3695" s="10"/>
      <c r="N3695" s="10"/>
      <c r="O3695" s="10"/>
      <c r="P3695" s="10"/>
      <c r="Q3695" s="10"/>
      <c r="R3695" s="10"/>
      <c r="S3695" s="10"/>
      <c r="T3695" s="10"/>
      <c r="U3695" s="10"/>
      <c r="V3695" s="10"/>
      <c r="W3695" s="10"/>
      <c r="X3695" s="10"/>
      <c r="Y3695" s="10"/>
      <c r="Z3695" s="10"/>
      <c r="AA3695" s="10"/>
      <c r="AB3695" s="10"/>
      <c r="AC3695" s="10"/>
      <c r="AD3695" s="10"/>
      <c r="AE3695" s="10"/>
      <c r="AF3695" s="10"/>
    </row>
    <row r="3696">
      <c r="A3696" s="7"/>
      <c r="B3696" s="26">
        <v>273.0</v>
      </c>
      <c r="C3696" s="27">
        <v>14.0</v>
      </c>
      <c r="D3696" s="8" t="s">
        <v>4799</v>
      </c>
      <c r="E3696" s="7">
        <v>0.0</v>
      </c>
      <c r="F3696" s="7"/>
      <c r="G3696" s="7" t="s">
        <v>313</v>
      </c>
      <c r="H3696" s="7" t="s">
        <v>312</v>
      </c>
      <c r="I3696" s="10"/>
      <c r="J3696" s="11"/>
      <c r="K3696" s="20" t="s">
        <v>4798</v>
      </c>
      <c r="L3696" s="12"/>
      <c r="M3696" s="10"/>
      <c r="N3696" s="10"/>
      <c r="O3696" s="10"/>
      <c r="P3696" s="10"/>
      <c r="Q3696" s="10"/>
      <c r="R3696" s="10"/>
      <c r="S3696" s="10"/>
      <c r="T3696" s="10"/>
      <c r="U3696" s="10"/>
      <c r="V3696" s="10"/>
      <c r="W3696" s="10"/>
      <c r="X3696" s="10"/>
      <c r="Y3696" s="10"/>
      <c r="Z3696" s="10"/>
      <c r="AA3696" s="10"/>
      <c r="AB3696" s="10"/>
      <c r="AC3696" s="10"/>
      <c r="AD3696" s="10"/>
      <c r="AE3696" s="10"/>
      <c r="AF3696" s="10"/>
    </row>
    <row r="3697">
      <c r="A3697" s="7"/>
      <c r="B3697" s="26">
        <v>273.0</v>
      </c>
      <c r="C3697" s="27">
        <v>15.0</v>
      </c>
      <c r="D3697" s="8" t="s">
        <v>4800</v>
      </c>
      <c r="E3697" s="7">
        <v>0.0</v>
      </c>
      <c r="F3697" s="7"/>
      <c r="G3697" s="7" t="s">
        <v>313</v>
      </c>
      <c r="H3697" s="7" t="s">
        <v>312</v>
      </c>
      <c r="I3697" s="7" t="s">
        <v>366</v>
      </c>
      <c r="J3697" s="16" t="s">
        <v>4801</v>
      </c>
      <c r="K3697" s="20" t="s">
        <v>2764</v>
      </c>
      <c r="L3697" s="12"/>
      <c r="M3697" s="10"/>
      <c r="N3697" s="10"/>
      <c r="O3697" s="10"/>
      <c r="P3697" s="10"/>
      <c r="Q3697" s="10"/>
      <c r="R3697" s="10"/>
      <c r="S3697" s="10"/>
      <c r="T3697" s="10"/>
      <c r="U3697" s="10"/>
      <c r="V3697" s="10"/>
      <c r="W3697" s="10"/>
      <c r="X3697" s="10"/>
      <c r="Y3697" s="10"/>
      <c r="Z3697" s="10"/>
      <c r="AA3697" s="10"/>
      <c r="AB3697" s="10"/>
      <c r="AC3697" s="10"/>
      <c r="AD3697" s="10"/>
      <c r="AE3697" s="10"/>
      <c r="AF3697" s="10"/>
    </row>
    <row r="3698">
      <c r="A3698" s="10"/>
      <c r="B3698" s="12"/>
      <c r="C3698" s="12"/>
      <c r="D3698" s="12"/>
      <c r="E3698" s="10"/>
      <c r="F3698" s="10"/>
      <c r="G3698" s="10"/>
      <c r="H3698" s="10"/>
      <c r="I3698" s="10"/>
      <c r="J3698" s="11"/>
      <c r="K3698" s="12"/>
      <c r="L3698" s="12"/>
      <c r="M3698" s="10"/>
      <c r="N3698" s="10"/>
      <c r="O3698" s="10"/>
      <c r="P3698" s="10"/>
      <c r="Q3698" s="10"/>
      <c r="R3698" s="10"/>
      <c r="S3698" s="10"/>
      <c r="T3698" s="10"/>
      <c r="U3698" s="10"/>
      <c r="V3698" s="10"/>
      <c r="W3698" s="10"/>
      <c r="X3698" s="10"/>
      <c r="Y3698" s="10"/>
      <c r="Z3698" s="10"/>
      <c r="AA3698" s="10"/>
      <c r="AB3698" s="10"/>
      <c r="AC3698" s="10"/>
      <c r="AD3698" s="10"/>
      <c r="AE3698" s="10"/>
      <c r="AF3698" s="10"/>
    </row>
    <row r="3699">
      <c r="A3699" s="7"/>
      <c r="B3699" s="26">
        <v>274.0</v>
      </c>
      <c r="C3699" s="27">
        <v>1.0</v>
      </c>
      <c r="D3699" s="8" t="s">
        <v>4802</v>
      </c>
      <c r="E3699" s="7">
        <v>0.0</v>
      </c>
      <c r="F3699" s="7"/>
      <c r="G3699" s="7" t="s">
        <v>313</v>
      </c>
      <c r="H3699" s="7" t="s">
        <v>312</v>
      </c>
      <c r="I3699" s="10"/>
      <c r="J3699" s="9" t="s">
        <v>4803</v>
      </c>
      <c r="K3699" s="12"/>
      <c r="L3699" s="12"/>
      <c r="M3699" s="10"/>
      <c r="N3699" s="10"/>
      <c r="O3699" s="10"/>
      <c r="P3699" s="10"/>
      <c r="Q3699" s="10"/>
      <c r="R3699" s="10"/>
      <c r="S3699" s="10"/>
      <c r="T3699" s="10"/>
      <c r="U3699" s="10"/>
      <c r="V3699" s="10"/>
      <c r="W3699" s="10"/>
      <c r="X3699" s="10"/>
      <c r="Y3699" s="10"/>
      <c r="Z3699" s="10"/>
      <c r="AA3699" s="10"/>
      <c r="AB3699" s="10"/>
      <c r="AC3699" s="10"/>
      <c r="AD3699" s="10"/>
      <c r="AE3699" s="10"/>
      <c r="AF3699" s="10"/>
    </row>
    <row r="3700">
      <c r="A3700" s="7"/>
      <c r="B3700" s="26">
        <v>274.0</v>
      </c>
      <c r="C3700" s="27">
        <v>2.0</v>
      </c>
      <c r="D3700" s="8" t="s">
        <v>4804</v>
      </c>
      <c r="E3700" s="7">
        <v>0.0</v>
      </c>
      <c r="F3700" s="7"/>
      <c r="G3700" s="7" t="s">
        <v>313</v>
      </c>
      <c r="H3700" s="7" t="s">
        <v>312</v>
      </c>
      <c r="I3700" s="7" t="s">
        <v>366</v>
      </c>
      <c r="J3700" s="16" t="s">
        <v>4805</v>
      </c>
      <c r="K3700" s="20" t="s">
        <v>4806</v>
      </c>
      <c r="L3700" s="14" t="s">
        <v>3900</v>
      </c>
      <c r="M3700" s="10"/>
      <c r="N3700" s="10"/>
      <c r="O3700" s="10"/>
      <c r="P3700" s="10"/>
      <c r="Q3700" s="10"/>
      <c r="R3700" s="10"/>
      <c r="S3700" s="10"/>
      <c r="T3700" s="10"/>
      <c r="U3700" s="10"/>
      <c r="V3700" s="10"/>
      <c r="W3700" s="10"/>
      <c r="X3700" s="10"/>
      <c r="Y3700" s="10"/>
      <c r="Z3700" s="10"/>
      <c r="AA3700" s="10"/>
      <c r="AB3700" s="10"/>
      <c r="AC3700" s="10"/>
      <c r="AD3700" s="10"/>
      <c r="AE3700" s="10"/>
      <c r="AF3700" s="10"/>
    </row>
    <row r="3701">
      <c r="A3701" s="7"/>
      <c r="B3701" s="26">
        <v>274.0</v>
      </c>
      <c r="C3701" s="27">
        <v>3.0</v>
      </c>
      <c r="D3701" s="8" t="s">
        <v>4807</v>
      </c>
      <c r="E3701" s="7">
        <v>0.0</v>
      </c>
      <c r="F3701" s="7"/>
      <c r="G3701" s="7" t="s">
        <v>313</v>
      </c>
      <c r="H3701" s="7" t="s">
        <v>312</v>
      </c>
      <c r="I3701" s="10"/>
      <c r="J3701" s="11"/>
      <c r="K3701" s="12"/>
      <c r="L3701" s="12"/>
      <c r="M3701" s="10"/>
      <c r="N3701" s="10"/>
      <c r="O3701" s="10"/>
      <c r="P3701" s="10"/>
      <c r="Q3701" s="10"/>
      <c r="R3701" s="10"/>
      <c r="S3701" s="10"/>
      <c r="T3701" s="10"/>
      <c r="U3701" s="10"/>
      <c r="V3701" s="10"/>
      <c r="W3701" s="10"/>
      <c r="X3701" s="10"/>
      <c r="Y3701" s="10"/>
      <c r="Z3701" s="10"/>
      <c r="AA3701" s="10"/>
      <c r="AB3701" s="10"/>
      <c r="AC3701" s="10"/>
      <c r="AD3701" s="10"/>
      <c r="AE3701" s="10"/>
      <c r="AF3701" s="10"/>
    </row>
    <row r="3702">
      <c r="A3702" s="7"/>
      <c r="B3702" s="26">
        <v>274.0</v>
      </c>
      <c r="C3702" s="27">
        <v>4.0</v>
      </c>
      <c r="D3702" s="8" t="s">
        <v>4808</v>
      </c>
      <c r="E3702" s="7">
        <v>0.0</v>
      </c>
      <c r="F3702" s="7"/>
      <c r="G3702" s="7" t="s">
        <v>313</v>
      </c>
      <c r="H3702" s="7" t="s">
        <v>312</v>
      </c>
      <c r="I3702" s="10"/>
      <c r="J3702" s="11"/>
      <c r="K3702" s="12"/>
      <c r="L3702" s="12"/>
      <c r="M3702" s="10"/>
      <c r="N3702" s="10"/>
      <c r="O3702" s="10"/>
      <c r="P3702" s="10"/>
      <c r="Q3702" s="10"/>
      <c r="R3702" s="10"/>
      <c r="S3702" s="10"/>
      <c r="T3702" s="10"/>
      <c r="U3702" s="10"/>
      <c r="V3702" s="10"/>
      <c r="W3702" s="10"/>
      <c r="X3702" s="10"/>
      <c r="Y3702" s="10"/>
      <c r="Z3702" s="10"/>
      <c r="AA3702" s="10"/>
      <c r="AB3702" s="10"/>
      <c r="AC3702" s="10"/>
      <c r="AD3702" s="10"/>
      <c r="AE3702" s="10"/>
      <c r="AF3702" s="10"/>
    </row>
    <row r="3703">
      <c r="A3703" s="7"/>
      <c r="B3703" s="26">
        <v>274.0</v>
      </c>
      <c r="C3703" s="27">
        <v>5.0</v>
      </c>
      <c r="D3703" s="8" t="s">
        <v>4809</v>
      </c>
      <c r="E3703" s="7">
        <v>0.0</v>
      </c>
      <c r="F3703" s="7"/>
      <c r="G3703" s="7" t="s">
        <v>313</v>
      </c>
      <c r="H3703" s="7" t="s">
        <v>312</v>
      </c>
      <c r="I3703" s="10"/>
      <c r="J3703" s="11"/>
      <c r="K3703" s="12"/>
      <c r="L3703" s="12"/>
      <c r="M3703" s="10"/>
      <c r="N3703" s="10"/>
      <c r="O3703" s="10"/>
      <c r="P3703" s="10"/>
      <c r="Q3703" s="10"/>
      <c r="R3703" s="10"/>
      <c r="S3703" s="10"/>
      <c r="T3703" s="10"/>
      <c r="U3703" s="10"/>
      <c r="V3703" s="10"/>
      <c r="W3703" s="10"/>
      <c r="X3703" s="10"/>
      <c r="Y3703" s="10"/>
      <c r="Z3703" s="10"/>
      <c r="AA3703" s="10"/>
      <c r="AB3703" s="10"/>
      <c r="AC3703" s="10"/>
      <c r="AD3703" s="10"/>
      <c r="AE3703" s="10"/>
      <c r="AF3703" s="10"/>
    </row>
    <row r="3704">
      <c r="A3704" s="7"/>
      <c r="B3704" s="26">
        <v>274.0</v>
      </c>
      <c r="C3704" s="27">
        <v>6.0</v>
      </c>
      <c r="D3704" s="8" t="s">
        <v>4810</v>
      </c>
      <c r="E3704" s="7">
        <v>0.0</v>
      </c>
      <c r="F3704" s="7"/>
      <c r="G3704" s="7" t="s">
        <v>313</v>
      </c>
      <c r="H3704" s="7" t="s">
        <v>312</v>
      </c>
      <c r="I3704" s="10"/>
      <c r="J3704" s="11"/>
      <c r="K3704" s="12"/>
      <c r="L3704" s="14" t="s">
        <v>3900</v>
      </c>
      <c r="M3704" s="10"/>
      <c r="N3704" s="10"/>
      <c r="O3704" s="10"/>
      <c r="P3704" s="10"/>
      <c r="Q3704" s="10"/>
      <c r="R3704" s="10"/>
      <c r="S3704" s="10"/>
      <c r="T3704" s="10"/>
      <c r="U3704" s="10"/>
      <c r="V3704" s="10"/>
      <c r="W3704" s="10"/>
      <c r="X3704" s="10"/>
      <c r="Y3704" s="10"/>
      <c r="Z3704" s="10"/>
      <c r="AA3704" s="10"/>
      <c r="AB3704" s="10"/>
      <c r="AC3704" s="10"/>
      <c r="AD3704" s="10"/>
      <c r="AE3704" s="10"/>
      <c r="AF3704" s="10"/>
    </row>
    <row r="3705">
      <c r="A3705" s="7"/>
      <c r="B3705" s="26">
        <v>274.0</v>
      </c>
      <c r="C3705" s="27">
        <v>7.0</v>
      </c>
      <c r="D3705" s="8" t="s">
        <v>4811</v>
      </c>
      <c r="E3705" s="7">
        <v>3.0</v>
      </c>
      <c r="F3705" s="7"/>
      <c r="G3705" s="7" t="s">
        <v>313</v>
      </c>
      <c r="H3705" s="7" t="s">
        <v>312</v>
      </c>
      <c r="I3705" s="7" t="s">
        <v>366</v>
      </c>
      <c r="J3705" s="16" t="s">
        <v>4812</v>
      </c>
      <c r="K3705" s="12"/>
      <c r="L3705" s="14" t="s">
        <v>3900</v>
      </c>
      <c r="M3705" s="10"/>
      <c r="N3705" s="10"/>
      <c r="O3705" s="10"/>
      <c r="P3705" s="10"/>
      <c r="Q3705" s="10"/>
      <c r="R3705" s="10"/>
      <c r="S3705" s="10"/>
      <c r="T3705" s="10"/>
      <c r="U3705" s="10"/>
      <c r="V3705" s="10"/>
      <c r="W3705" s="10"/>
      <c r="X3705" s="10"/>
      <c r="Y3705" s="10"/>
      <c r="Z3705" s="10"/>
      <c r="AA3705" s="10"/>
      <c r="AB3705" s="10"/>
      <c r="AC3705" s="10"/>
      <c r="AD3705" s="10"/>
      <c r="AE3705" s="10"/>
      <c r="AF3705" s="10"/>
    </row>
    <row r="3706">
      <c r="A3706" s="7"/>
      <c r="B3706" s="26">
        <v>274.0</v>
      </c>
      <c r="C3706" s="27">
        <v>8.0</v>
      </c>
      <c r="D3706" s="8" t="s">
        <v>4813</v>
      </c>
      <c r="E3706" s="7">
        <v>0.0</v>
      </c>
      <c r="F3706" s="7"/>
      <c r="G3706" s="7" t="s">
        <v>313</v>
      </c>
      <c r="H3706" s="7" t="s">
        <v>312</v>
      </c>
      <c r="I3706" s="10"/>
      <c r="J3706" s="11"/>
      <c r="K3706" s="12"/>
      <c r="L3706" s="12"/>
      <c r="M3706" s="10"/>
      <c r="N3706" s="10"/>
      <c r="O3706" s="10"/>
      <c r="P3706" s="10"/>
      <c r="Q3706" s="10"/>
      <c r="R3706" s="10"/>
      <c r="S3706" s="10"/>
      <c r="T3706" s="10"/>
      <c r="U3706" s="10"/>
      <c r="V3706" s="10"/>
      <c r="W3706" s="10"/>
      <c r="X3706" s="10"/>
      <c r="Y3706" s="10"/>
      <c r="Z3706" s="10"/>
      <c r="AA3706" s="10"/>
      <c r="AB3706" s="10"/>
      <c r="AC3706" s="10"/>
      <c r="AD3706" s="10"/>
      <c r="AE3706" s="10"/>
      <c r="AF3706" s="10"/>
    </row>
    <row r="3707">
      <c r="A3707" s="7"/>
      <c r="B3707" s="26">
        <v>274.0</v>
      </c>
      <c r="C3707" s="27">
        <v>9.0</v>
      </c>
      <c r="D3707" s="8" t="s">
        <v>4814</v>
      </c>
      <c r="E3707" s="7">
        <v>0.0</v>
      </c>
      <c r="F3707" s="7"/>
      <c r="G3707" s="7" t="s">
        <v>313</v>
      </c>
      <c r="H3707" s="7" t="s">
        <v>312</v>
      </c>
      <c r="I3707" s="10"/>
      <c r="J3707" s="11"/>
      <c r="K3707" s="12"/>
      <c r="L3707" s="12"/>
      <c r="M3707" s="10"/>
      <c r="N3707" s="10"/>
      <c r="O3707" s="10"/>
      <c r="P3707" s="10"/>
      <c r="Q3707" s="10"/>
      <c r="R3707" s="10"/>
      <c r="S3707" s="10"/>
      <c r="T3707" s="10"/>
      <c r="U3707" s="10"/>
      <c r="V3707" s="10"/>
      <c r="W3707" s="10"/>
      <c r="X3707" s="10"/>
      <c r="Y3707" s="10"/>
      <c r="Z3707" s="10"/>
      <c r="AA3707" s="10"/>
      <c r="AB3707" s="10"/>
      <c r="AC3707" s="10"/>
      <c r="AD3707" s="10"/>
      <c r="AE3707" s="10"/>
      <c r="AF3707" s="10"/>
    </row>
    <row r="3708">
      <c r="A3708" s="7"/>
      <c r="B3708" s="26">
        <v>274.0</v>
      </c>
      <c r="C3708" s="27">
        <v>10.0</v>
      </c>
      <c r="D3708" s="8" t="s">
        <v>4815</v>
      </c>
      <c r="E3708" s="7">
        <v>0.0</v>
      </c>
      <c r="F3708" s="7"/>
      <c r="G3708" s="7" t="s">
        <v>313</v>
      </c>
      <c r="H3708" s="7" t="s">
        <v>312</v>
      </c>
      <c r="I3708" s="10"/>
      <c r="J3708" s="11"/>
      <c r="K3708" s="12"/>
      <c r="L3708" s="12"/>
      <c r="M3708" s="10"/>
      <c r="N3708" s="10"/>
      <c r="O3708" s="10"/>
      <c r="P3708" s="10"/>
      <c r="Q3708" s="10"/>
      <c r="R3708" s="10"/>
      <c r="S3708" s="10"/>
      <c r="T3708" s="10"/>
      <c r="U3708" s="10"/>
      <c r="V3708" s="10"/>
      <c r="W3708" s="10"/>
      <c r="X3708" s="10"/>
      <c r="Y3708" s="10"/>
      <c r="Z3708" s="10"/>
      <c r="AA3708" s="10"/>
      <c r="AB3708" s="10"/>
      <c r="AC3708" s="10"/>
      <c r="AD3708" s="10"/>
      <c r="AE3708" s="10"/>
      <c r="AF3708" s="10"/>
    </row>
    <row r="3709">
      <c r="A3709" s="7"/>
      <c r="B3709" s="26">
        <v>274.0</v>
      </c>
      <c r="C3709" s="27">
        <v>11.0</v>
      </c>
      <c r="D3709" s="8" t="s">
        <v>4816</v>
      </c>
      <c r="E3709" s="7">
        <v>0.0</v>
      </c>
      <c r="F3709" s="7"/>
      <c r="G3709" s="7" t="s">
        <v>313</v>
      </c>
      <c r="H3709" s="7" t="s">
        <v>312</v>
      </c>
      <c r="I3709" s="10"/>
      <c r="J3709" s="11"/>
      <c r="K3709" s="12"/>
      <c r="L3709" s="14" t="s">
        <v>3900</v>
      </c>
      <c r="M3709" s="10"/>
      <c r="N3709" s="10"/>
      <c r="O3709" s="10"/>
      <c r="P3709" s="10"/>
      <c r="Q3709" s="10"/>
      <c r="R3709" s="10"/>
      <c r="S3709" s="10"/>
      <c r="T3709" s="10"/>
      <c r="U3709" s="10"/>
      <c r="V3709" s="10"/>
      <c r="W3709" s="10"/>
      <c r="X3709" s="10"/>
      <c r="Y3709" s="10"/>
      <c r="Z3709" s="10"/>
      <c r="AA3709" s="10"/>
      <c r="AB3709" s="10"/>
      <c r="AC3709" s="10"/>
      <c r="AD3709" s="10"/>
      <c r="AE3709" s="10"/>
      <c r="AF3709" s="10"/>
    </row>
    <row r="3710">
      <c r="A3710" s="7"/>
      <c r="B3710" s="26">
        <v>274.0</v>
      </c>
      <c r="C3710" s="27">
        <v>12.0</v>
      </c>
      <c r="D3710" s="8" t="s">
        <v>4817</v>
      </c>
      <c r="E3710" s="7">
        <v>0.0</v>
      </c>
      <c r="F3710" s="7"/>
      <c r="G3710" s="7" t="s">
        <v>313</v>
      </c>
      <c r="H3710" s="7" t="s">
        <v>312</v>
      </c>
      <c r="I3710" s="10"/>
      <c r="J3710" s="11"/>
      <c r="K3710" s="12"/>
      <c r="L3710" s="14" t="s">
        <v>3900</v>
      </c>
      <c r="M3710" s="10"/>
      <c r="N3710" s="10"/>
      <c r="O3710" s="10"/>
      <c r="P3710" s="10"/>
      <c r="Q3710" s="10"/>
      <c r="R3710" s="10"/>
      <c r="S3710" s="10"/>
      <c r="T3710" s="10"/>
      <c r="U3710" s="10"/>
      <c r="V3710" s="10"/>
      <c r="W3710" s="10"/>
      <c r="X3710" s="10"/>
      <c r="Y3710" s="10"/>
      <c r="Z3710" s="10"/>
      <c r="AA3710" s="10"/>
      <c r="AB3710" s="10"/>
      <c r="AC3710" s="10"/>
      <c r="AD3710" s="10"/>
      <c r="AE3710" s="10"/>
      <c r="AF3710" s="10"/>
    </row>
    <row r="3711">
      <c r="A3711" s="7"/>
      <c r="B3711" s="26">
        <v>274.0</v>
      </c>
      <c r="C3711" s="27">
        <v>13.0</v>
      </c>
      <c r="D3711" s="8" t="s">
        <v>4818</v>
      </c>
      <c r="E3711" s="7">
        <v>0.0</v>
      </c>
      <c r="F3711" s="7"/>
      <c r="G3711" s="7" t="s">
        <v>313</v>
      </c>
      <c r="H3711" s="7" t="s">
        <v>312</v>
      </c>
      <c r="I3711" s="10"/>
      <c r="J3711" s="11"/>
      <c r="K3711" s="12"/>
      <c r="L3711" s="14" t="s">
        <v>3900</v>
      </c>
      <c r="M3711" s="10"/>
      <c r="N3711" s="10"/>
      <c r="O3711" s="10"/>
      <c r="P3711" s="10"/>
      <c r="Q3711" s="10"/>
      <c r="R3711" s="10"/>
      <c r="S3711" s="10"/>
      <c r="T3711" s="10"/>
      <c r="U3711" s="10"/>
      <c r="V3711" s="10"/>
      <c r="W3711" s="10"/>
      <c r="X3711" s="10"/>
      <c r="Y3711" s="10"/>
      <c r="Z3711" s="10"/>
      <c r="AA3711" s="10"/>
      <c r="AB3711" s="10"/>
      <c r="AC3711" s="10"/>
      <c r="AD3711" s="10"/>
      <c r="AE3711" s="10"/>
      <c r="AF3711" s="10"/>
    </row>
    <row r="3712">
      <c r="A3712" s="7"/>
      <c r="B3712" s="26">
        <v>274.0</v>
      </c>
      <c r="C3712" s="27">
        <v>14.0</v>
      </c>
      <c r="D3712" s="8" t="s">
        <v>4819</v>
      </c>
      <c r="E3712" s="7">
        <v>0.0</v>
      </c>
      <c r="F3712" s="7"/>
      <c r="G3712" s="7" t="s">
        <v>313</v>
      </c>
      <c r="H3712" s="7" t="s">
        <v>312</v>
      </c>
      <c r="I3712" s="10"/>
      <c r="J3712" s="11"/>
      <c r="K3712" s="12"/>
      <c r="L3712" s="14" t="s">
        <v>3900</v>
      </c>
      <c r="M3712" s="10"/>
      <c r="N3712" s="10"/>
      <c r="O3712" s="10"/>
      <c r="P3712" s="10"/>
      <c r="Q3712" s="10"/>
      <c r="R3712" s="10"/>
      <c r="S3712" s="10"/>
      <c r="T3712" s="10"/>
      <c r="U3712" s="10"/>
      <c r="V3712" s="10"/>
      <c r="W3712" s="10"/>
      <c r="X3712" s="10"/>
      <c r="Y3712" s="10"/>
      <c r="Z3712" s="10"/>
      <c r="AA3712" s="10"/>
      <c r="AB3712" s="10"/>
      <c r="AC3712" s="10"/>
      <c r="AD3712" s="10"/>
      <c r="AE3712" s="10"/>
      <c r="AF3712" s="10"/>
    </row>
    <row r="3713">
      <c r="A3713" s="7"/>
      <c r="B3713" s="26">
        <v>274.0</v>
      </c>
      <c r="C3713" s="27">
        <v>15.0</v>
      </c>
      <c r="D3713" s="8" t="s">
        <v>4820</v>
      </c>
      <c r="E3713" s="7">
        <v>0.0</v>
      </c>
      <c r="F3713" s="7"/>
      <c r="G3713" s="7" t="s">
        <v>313</v>
      </c>
      <c r="H3713" s="7" t="s">
        <v>312</v>
      </c>
      <c r="I3713" s="10"/>
      <c r="J3713" s="11"/>
      <c r="K3713" s="12"/>
      <c r="L3713" s="14" t="s">
        <v>3900</v>
      </c>
      <c r="M3713" s="10"/>
      <c r="N3713" s="10"/>
      <c r="O3713" s="10"/>
      <c r="P3713" s="10"/>
      <c r="Q3713" s="10"/>
      <c r="R3713" s="10"/>
      <c r="S3713" s="10"/>
      <c r="T3713" s="10"/>
      <c r="U3713" s="10"/>
      <c r="V3713" s="10"/>
      <c r="W3713" s="10"/>
      <c r="X3713" s="10"/>
      <c r="Y3713" s="10"/>
      <c r="Z3713" s="10"/>
      <c r="AA3713" s="10"/>
      <c r="AB3713" s="10"/>
      <c r="AC3713" s="10"/>
      <c r="AD3713" s="10"/>
      <c r="AE3713" s="10"/>
      <c r="AF3713" s="10"/>
    </row>
    <row r="3714">
      <c r="A3714" s="7"/>
      <c r="B3714" s="26">
        <v>274.0</v>
      </c>
      <c r="C3714" s="27">
        <v>16.0</v>
      </c>
      <c r="D3714" s="8" t="s">
        <v>4821</v>
      </c>
      <c r="E3714" s="7">
        <v>0.0</v>
      </c>
      <c r="F3714" s="7"/>
      <c r="G3714" s="7" t="s">
        <v>313</v>
      </c>
      <c r="H3714" s="7" t="s">
        <v>312</v>
      </c>
      <c r="I3714" s="7" t="s">
        <v>366</v>
      </c>
      <c r="J3714" s="16" t="s">
        <v>4822</v>
      </c>
      <c r="K3714" s="12"/>
      <c r="L3714" s="12"/>
      <c r="M3714" s="10"/>
      <c r="N3714" s="10"/>
      <c r="O3714" s="10"/>
      <c r="P3714" s="10"/>
      <c r="Q3714" s="10"/>
      <c r="R3714" s="10"/>
      <c r="S3714" s="10"/>
      <c r="T3714" s="10"/>
      <c r="U3714" s="10"/>
      <c r="V3714" s="10"/>
      <c r="W3714" s="10"/>
      <c r="X3714" s="10"/>
      <c r="Y3714" s="10"/>
      <c r="Z3714" s="10"/>
      <c r="AA3714" s="10"/>
      <c r="AB3714" s="10"/>
      <c r="AC3714" s="10"/>
      <c r="AD3714" s="10"/>
      <c r="AE3714" s="10"/>
      <c r="AF3714" s="10"/>
    </row>
    <row r="3715">
      <c r="A3715" s="7"/>
      <c r="B3715" s="26">
        <v>274.0</v>
      </c>
      <c r="C3715" s="27">
        <v>17.0</v>
      </c>
      <c r="D3715" s="8" t="s">
        <v>4823</v>
      </c>
      <c r="E3715" s="7">
        <v>0.0</v>
      </c>
      <c r="F3715" s="7"/>
      <c r="G3715" s="7" t="s">
        <v>313</v>
      </c>
      <c r="H3715" s="7" t="s">
        <v>312</v>
      </c>
      <c r="I3715" s="7" t="s">
        <v>366</v>
      </c>
      <c r="J3715" s="16" t="s">
        <v>4824</v>
      </c>
      <c r="K3715" s="12"/>
      <c r="L3715" s="12"/>
      <c r="M3715" s="10"/>
      <c r="N3715" s="10"/>
      <c r="O3715" s="10"/>
      <c r="P3715" s="10"/>
      <c r="Q3715" s="10"/>
      <c r="R3715" s="10"/>
      <c r="S3715" s="10"/>
      <c r="T3715" s="10"/>
      <c r="U3715" s="10"/>
      <c r="V3715" s="10"/>
      <c r="W3715" s="10"/>
      <c r="X3715" s="10"/>
      <c r="Y3715" s="10"/>
      <c r="Z3715" s="10"/>
      <c r="AA3715" s="10"/>
      <c r="AB3715" s="10"/>
      <c r="AC3715" s="10"/>
      <c r="AD3715" s="10"/>
      <c r="AE3715" s="10"/>
      <c r="AF3715" s="10"/>
    </row>
    <row r="3716">
      <c r="A3716" s="7"/>
      <c r="B3716" s="26">
        <v>274.0</v>
      </c>
      <c r="C3716" s="27">
        <v>18.0</v>
      </c>
      <c r="D3716" s="8" t="s">
        <v>4825</v>
      </c>
      <c r="E3716" s="7">
        <v>0.0</v>
      </c>
      <c r="F3716" s="7"/>
      <c r="G3716" s="7" t="s">
        <v>313</v>
      </c>
      <c r="H3716" s="7" t="s">
        <v>312</v>
      </c>
      <c r="I3716" s="7" t="s">
        <v>366</v>
      </c>
      <c r="J3716" s="16" t="s">
        <v>4826</v>
      </c>
      <c r="K3716" s="12"/>
      <c r="L3716" s="14" t="s">
        <v>3900</v>
      </c>
      <c r="M3716" s="10"/>
      <c r="N3716" s="10"/>
      <c r="O3716" s="10"/>
      <c r="P3716" s="10"/>
      <c r="Q3716" s="10"/>
      <c r="R3716" s="10"/>
      <c r="S3716" s="10"/>
      <c r="T3716" s="10"/>
      <c r="U3716" s="10"/>
      <c r="V3716" s="10"/>
      <c r="W3716" s="10"/>
      <c r="X3716" s="10"/>
      <c r="Y3716" s="10"/>
      <c r="Z3716" s="10"/>
      <c r="AA3716" s="10"/>
      <c r="AB3716" s="10"/>
      <c r="AC3716" s="10"/>
      <c r="AD3716" s="10"/>
      <c r="AE3716" s="10"/>
      <c r="AF3716" s="10"/>
    </row>
    <row r="3717">
      <c r="A3717" s="7"/>
      <c r="B3717" s="26">
        <v>274.0</v>
      </c>
      <c r="C3717" s="27">
        <v>19.0</v>
      </c>
      <c r="D3717" s="8" t="s">
        <v>4827</v>
      </c>
      <c r="E3717" s="7">
        <v>0.0</v>
      </c>
      <c r="F3717" s="7"/>
      <c r="G3717" s="7" t="s">
        <v>313</v>
      </c>
      <c r="H3717" s="7" t="s">
        <v>312</v>
      </c>
      <c r="I3717" s="7" t="s">
        <v>366</v>
      </c>
      <c r="J3717" s="16" t="s">
        <v>4828</v>
      </c>
      <c r="K3717" s="12"/>
      <c r="L3717" s="12"/>
      <c r="M3717" s="10"/>
      <c r="N3717" s="10"/>
      <c r="O3717" s="10"/>
      <c r="P3717" s="10"/>
      <c r="Q3717" s="10"/>
      <c r="R3717" s="10"/>
      <c r="S3717" s="10"/>
      <c r="T3717" s="10"/>
      <c r="U3717" s="10"/>
      <c r="V3717" s="10"/>
      <c r="W3717" s="10"/>
      <c r="X3717" s="10"/>
      <c r="Y3717" s="10"/>
      <c r="Z3717" s="10"/>
      <c r="AA3717" s="10"/>
      <c r="AB3717" s="10"/>
      <c r="AC3717" s="10"/>
      <c r="AD3717" s="10"/>
      <c r="AE3717" s="10"/>
      <c r="AF3717" s="10"/>
    </row>
    <row r="3718">
      <c r="A3718" s="7"/>
      <c r="B3718" s="26">
        <v>274.0</v>
      </c>
      <c r="C3718" s="27">
        <v>20.0</v>
      </c>
      <c r="D3718" s="8" t="s">
        <v>4829</v>
      </c>
      <c r="E3718" s="7">
        <v>0.0</v>
      </c>
      <c r="F3718" s="7"/>
      <c r="G3718" s="7" t="s">
        <v>313</v>
      </c>
      <c r="H3718" s="7" t="s">
        <v>312</v>
      </c>
      <c r="I3718" s="7" t="s">
        <v>366</v>
      </c>
      <c r="J3718" s="16" t="s">
        <v>4830</v>
      </c>
      <c r="K3718" s="12"/>
      <c r="L3718" s="14" t="s">
        <v>3900</v>
      </c>
      <c r="M3718" s="10"/>
      <c r="N3718" s="10"/>
      <c r="O3718" s="10"/>
      <c r="P3718" s="10"/>
      <c r="Q3718" s="10"/>
      <c r="R3718" s="10"/>
      <c r="S3718" s="10"/>
      <c r="T3718" s="10"/>
      <c r="U3718" s="10"/>
      <c r="V3718" s="10"/>
      <c r="W3718" s="10"/>
      <c r="X3718" s="10"/>
      <c r="Y3718" s="10"/>
      <c r="Z3718" s="10"/>
      <c r="AA3718" s="10"/>
      <c r="AB3718" s="10"/>
      <c r="AC3718" s="10"/>
      <c r="AD3718" s="10"/>
      <c r="AE3718" s="10"/>
      <c r="AF3718" s="10"/>
    </row>
    <row r="3719">
      <c r="A3719" s="7"/>
      <c r="B3719" s="26">
        <v>274.0</v>
      </c>
      <c r="C3719" s="27">
        <v>21.0</v>
      </c>
      <c r="D3719" s="8" t="s">
        <v>4831</v>
      </c>
      <c r="E3719" s="7">
        <v>0.0</v>
      </c>
      <c r="F3719" s="7"/>
      <c r="G3719" s="7" t="s">
        <v>313</v>
      </c>
      <c r="H3719" s="7" t="s">
        <v>312</v>
      </c>
      <c r="I3719" s="10"/>
      <c r="J3719" s="11"/>
      <c r="K3719" s="12"/>
      <c r="L3719" s="14" t="s">
        <v>3900</v>
      </c>
      <c r="M3719" s="10"/>
      <c r="N3719" s="10"/>
      <c r="O3719" s="10"/>
      <c r="P3719" s="10"/>
      <c r="Q3719" s="10"/>
      <c r="R3719" s="10"/>
      <c r="S3719" s="10"/>
      <c r="T3719" s="10"/>
      <c r="U3719" s="10"/>
      <c r="V3719" s="10"/>
      <c r="W3719" s="10"/>
      <c r="X3719" s="10"/>
      <c r="Y3719" s="10"/>
      <c r="Z3719" s="10"/>
      <c r="AA3719" s="10"/>
      <c r="AB3719" s="10"/>
      <c r="AC3719" s="10"/>
      <c r="AD3719" s="10"/>
      <c r="AE3719" s="10"/>
      <c r="AF3719" s="10"/>
    </row>
    <row r="3720">
      <c r="A3720" s="10"/>
      <c r="B3720" s="12"/>
      <c r="C3720" s="12"/>
      <c r="D3720" s="12"/>
      <c r="E3720" s="10"/>
      <c r="F3720" s="10"/>
      <c r="G3720" s="10"/>
      <c r="H3720" s="10"/>
      <c r="I3720" s="10"/>
      <c r="J3720" s="11"/>
      <c r="K3720" s="12"/>
      <c r="L3720" s="12"/>
      <c r="M3720" s="10"/>
      <c r="N3720" s="10"/>
      <c r="O3720" s="10"/>
      <c r="P3720" s="10"/>
      <c r="Q3720" s="10"/>
      <c r="R3720" s="10"/>
      <c r="S3720" s="10"/>
      <c r="T3720" s="10"/>
      <c r="U3720" s="10"/>
      <c r="V3720" s="10"/>
      <c r="W3720" s="10"/>
      <c r="X3720" s="10"/>
      <c r="Y3720" s="10"/>
      <c r="Z3720" s="10"/>
      <c r="AA3720" s="10"/>
      <c r="AB3720" s="10"/>
      <c r="AC3720" s="10"/>
      <c r="AD3720" s="10"/>
      <c r="AE3720" s="10"/>
      <c r="AF3720" s="10"/>
    </row>
    <row r="3721">
      <c r="A3721" s="7"/>
      <c r="B3721" s="26">
        <v>275.0</v>
      </c>
      <c r="C3721" s="27">
        <v>1.0</v>
      </c>
      <c r="D3721" s="8" t="s">
        <v>4832</v>
      </c>
      <c r="E3721" s="7">
        <v>0.0</v>
      </c>
      <c r="F3721" s="10"/>
      <c r="G3721" s="7" t="s">
        <v>313</v>
      </c>
      <c r="H3721" s="7" t="s">
        <v>312</v>
      </c>
      <c r="I3721" s="10"/>
      <c r="L3721" s="12"/>
      <c r="M3721" s="10"/>
      <c r="N3721" s="10"/>
      <c r="O3721" s="10"/>
      <c r="P3721" s="10"/>
      <c r="Q3721" s="10"/>
      <c r="R3721" s="10"/>
      <c r="S3721" s="10"/>
      <c r="T3721" s="10"/>
      <c r="U3721" s="10"/>
      <c r="V3721" s="10"/>
      <c r="W3721" s="10"/>
      <c r="X3721" s="10"/>
      <c r="Y3721" s="10"/>
      <c r="Z3721" s="10"/>
      <c r="AA3721" s="10"/>
      <c r="AB3721" s="10"/>
      <c r="AC3721" s="10"/>
      <c r="AD3721" s="10"/>
      <c r="AE3721" s="10"/>
      <c r="AF3721" s="10"/>
    </row>
    <row r="3722">
      <c r="A3722" s="7"/>
      <c r="B3722" s="26">
        <v>275.0</v>
      </c>
      <c r="C3722" s="27">
        <v>2.0</v>
      </c>
      <c r="D3722" s="8" t="s">
        <v>4833</v>
      </c>
      <c r="E3722" s="7">
        <v>3.0</v>
      </c>
      <c r="F3722" s="7"/>
      <c r="G3722" s="7" t="s">
        <v>313</v>
      </c>
      <c r="H3722" s="7" t="s">
        <v>312</v>
      </c>
      <c r="I3722" s="10"/>
      <c r="J3722" s="43" t="s">
        <v>4834</v>
      </c>
      <c r="K3722" s="12"/>
      <c r="L3722" s="12"/>
      <c r="M3722" s="10"/>
      <c r="N3722" s="10"/>
      <c r="O3722" s="10"/>
      <c r="P3722" s="10"/>
      <c r="Q3722" s="10"/>
      <c r="R3722" s="10"/>
      <c r="S3722" s="10"/>
      <c r="T3722" s="10"/>
      <c r="U3722" s="10"/>
      <c r="V3722" s="10"/>
      <c r="W3722" s="10"/>
      <c r="X3722" s="10"/>
      <c r="Y3722" s="10"/>
      <c r="Z3722" s="10"/>
      <c r="AA3722" s="10"/>
      <c r="AB3722" s="10"/>
      <c r="AC3722" s="10"/>
      <c r="AD3722" s="10"/>
      <c r="AE3722" s="10"/>
      <c r="AF3722" s="10"/>
    </row>
    <row r="3723">
      <c r="A3723" s="7"/>
      <c r="B3723" s="26">
        <v>275.0</v>
      </c>
      <c r="C3723" s="27">
        <v>3.0</v>
      </c>
      <c r="D3723" s="8" t="s">
        <v>4835</v>
      </c>
      <c r="E3723" s="7">
        <v>0.0</v>
      </c>
      <c r="F3723" s="7"/>
      <c r="G3723" s="7" t="s">
        <v>313</v>
      </c>
      <c r="H3723" s="7" t="s">
        <v>312</v>
      </c>
      <c r="I3723" s="10"/>
      <c r="J3723" s="9" t="s">
        <v>4836</v>
      </c>
      <c r="K3723" s="12"/>
      <c r="L3723" s="12"/>
      <c r="M3723" s="10"/>
      <c r="N3723" s="10"/>
      <c r="O3723" s="10"/>
      <c r="P3723" s="10"/>
      <c r="Q3723" s="10"/>
      <c r="R3723" s="10"/>
      <c r="S3723" s="10"/>
      <c r="T3723" s="10"/>
      <c r="U3723" s="10"/>
      <c r="V3723" s="10"/>
      <c r="W3723" s="10"/>
      <c r="X3723" s="10"/>
      <c r="Y3723" s="10"/>
      <c r="Z3723" s="10"/>
      <c r="AA3723" s="10"/>
      <c r="AB3723" s="10"/>
      <c r="AC3723" s="10"/>
      <c r="AD3723" s="10"/>
      <c r="AE3723" s="10"/>
      <c r="AF3723" s="10"/>
    </row>
    <row r="3724">
      <c r="A3724" s="7"/>
      <c r="B3724" s="26">
        <v>275.0</v>
      </c>
      <c r="C3724" s="27">
        <v>4.0</v>
      </c>
      <c r="D3724" s="8" t="s">
        <v>4837</v>
      </c>
      <c r="E3724" s="7">
        <v>0.0</v>
      </c>
      <c r="F3724" s="7"/>
      <c r="G3724" s="7" t="s">
        <v>313</v>
      </c>
      <c r="H3724" s="7" t="s">
        <v>312</v>
      </c>
      <c r="I3724" s="10"/>
      <c r="J3724" s="11"/>
      <c r="K3724" s="12"/>
      <c r="L3724" s="12"/>
      <c r="M3724" s="10"/>
      <c r="N3724" s="10"/>
      <c r="O3724" s="10"/>
      <c r="P3724" s="10"/>
      <c r="Q3724" s="10"/>
      <c r="R3724" s="10"/>
      <c r="S3724" s="10"/>
      <c r="T3724" s="10"/>
      <c r="U3724" s="10"/>
      <c r="V3724" s="10"/>
      <c r="W3724" s="10"/>
      <c r="X3724" s="10"/>
      <c r="Y3724" s="10"/>
      <c r="Z3724" s="10"/>
      <c r="AA3724" s="10"/>
      <c r="AB3724" s="10"/>
      <c r="AC3724" s="10"/>
      <c r="AD3724" s="10"/>
      <c r="AE3724" s="10"/>
      <c r="AF3724" s="10"/>
    </row>
    <row r="3725">
      <c r="A3725" s="7"/>
      <c r="B3725" s="26">
        <v>275.0</v>
      </c>
      <c r="C3725" s="27">
        <v>5.0</v>
      </c>
      <c r="D3725" s="8" t="s">
        <v>4838</v>
      </c>
      <c r="E3725" s="7">
        <v>3.0</v>
      </c>
      <c r="F3725" s="7"/>
      <c r="G3725" s="7" t="s">
        <v>313</v>
      </c>
      <c r="H3725" s="7" t="s">
        <v>312</v>
      </c>
      <c r="I3725" s="10"/>
      <c r="J3725" s="43" t="s">
        <v>4834</v>
      </c>
      <c r="K3725" s="12"/>
      <c r="L3725" s="12"/>
      <c r="M3725" s="10"/>
      <c r="N3725" s="10"/>
      <c r="O3725" s="10"/>
      <c r="P3725" s="10"/>
      <c r="Q3725" s="10"/>
      <c r="R3725" s="10"/>
      <c r="S3725" s="10"/>
      <c r="T3725" s="10"/>
      <c r="U3725" s="10"/>
      <c r="V3725" s="10"/>
      <c r="W3725" s="10"/>
      <c r="X3725" s="10"/>
      <c r="Y3725" s="10"/>
      <c r="Z3725" s="10"/>
      <c r="AA3725" s="10"/>
      <c r="AB3725" s="10"/>
      <c r="AC3725" s="10"/>
      <c r="AD3725" s="10"/>
      <c r="AE3725" s="10"/>
      <c r="AF3725" s="10"/>
    </row>
    <row r="3726">
      <c r="A3726" s="7"/>
      <c r="B3726" s="26">
        <v>275.0</v>
      </c>
      <c r="C3726" s="27">
        <v>6.0</v>
      </c>
      <c r="D3726" s="8" t="s">
        <v>4839</v>
      </c>
      <c r="E3726" s="7">
        <v>0.0</v>
      </c>
      <c r="F3726" s="7" t="s">
        <v>320</v>
      </c>
      <c r="G3726" s="7" t="s">
        <v>313</v>
      </c>
      <c r="H3726" s="7" t="s">
        <v>312</v>
      </c>
      <c r="I3726" s="7" t="s">
        <v>4428</v>
      </c>
      <c r="J3726" s="9" t="s">
        <v>4840</v>
      </c>
      <c r="K3726" s="12"/>
      <c r="L3726" s="12"/>
      <c r="M3726" s="10"/>
      <c r="N3726" s="10"/>
      <c r="O3726" s="10"/>
      <c r="P3726" s="10"/>
      <c r="Q3726" s="10"/>
      <c r="R3726" s="10"/>
      <c r="S3726" s="10"/>
      <c r="T3726" s="10"/>
      <c r="U3726" s="10"/>
      <c r="V3726" s="10"/>
      <c r="W3726" s="10"/>
      <c r="X3726" s="10"/>
      <c r="Y3726" s="10"/>
      <c r="Z3726" s="10"/>
      <c r="AA3726" s="10"/>
      <c r="AB3726" s="10"/>
      <c r="AC3726" s="10"/>
      <c r="AD3726" s="10"/>
      <c r="AE3726" s="10"/>
      <c r="AF3726" s="10"/>
    </row>
    <row r="3727">
      <c r="A3727" s="7"/>
      <c r="B3727" s="26">
        <v>275.0</v>
      </c>
      <c r="C3727" s="27">
        <v>7.0</v>
      </c>
      <c r="D3727" s="8" t="s">
        <v>4841</v>
      </c>
      <c r="E3727" s="7">
        <v>0.0</v>
      </c>
      <c r="F3727" s="7"/>
      <c r="G3727" s="7" t="s">
        <v>313</v>
      </c>
      <c r="H3727" s="7" t="s">
        <v>312</v>
      </c>
      <c r="I3727" s="10"/>
      <c r="J3727" s="11"/>
      <c r="K3727" s="20" t="s">
        <v>4842</v>
      </c>
      <c r="L3727" s="12"/>
      <c r="M3727" s="10"/>
      <c r="N3727" s="10"/>
      <c r="O3727" s="10"/>
      <c r="P3727" s="10"/>
      <c r="Q3727" s="10"/>
      <c r="R3727" s="10"/>
      <c r="S3727" s="10"/>
      <c r="T3727" s="10"/>
      <c r="U3727" s="10"/>
      <c r="V3727" s="10"/>
      <c r="W3727" s="10"/>
      <c r="X3727" s="10"/>
      <c r="Y3727" s="10"/>
      <c r="Z3727" s="10"/>
      <c r="AA3727" s="10"/>
      <c r="AB3727" s="10"/>
      <c r="AC3727" s="10"/>
      <c r="AD3727" s="10"/>
      <c r="AE3727" s="10"/>
      <c r="AF3727" s="10"/>
    </row>
    <row r="3728">
      <c r="A3728" s="7"/>
      <c r="B3728" s="26">
        <v>275.0</v>
      </c>
      <c r="C3728" s="27">
        <v>8.0</v>
      </c>
      <c r="D3728" s="8" t="s">
        <v>4843</v>
      </c>
      <c r="E3728" s="7">
        <v>0.0</v>
      </c>
      <c r="F3728" s="7"/>
      <c r="G3728" s="7" t="s">
        <v>313</v>
      </c>
      <c r="H3728" s="7" t="s">
        <v>312</v>
      </c>
      <c r="I3728" s="10"/>
      <c r="J3728" s="11"/>
      <c r="K3728" s="20" t="s">
        <v>4842</v>
      </c>
      <c r="L3728" s="12"/>
      <c r="M3728" s="10"/>
      <c r="N3728" s="10"/>
      <c r="O3728" s="10"/>
      <c r="P3728" s="10"/>
      <c r="Q3728" s="10"/>
      <c r="R3728" s="10"/>
      <c r="S3728" s="10"/>
      <c r="T3728" s="10"/>
      <c r="U3728" s="10"/>
      <c r="V3728" s="10"/>
      <c r="W3728" s="10"/>
      <c r="X3728" s="10"/>
      <c r="Y3728" s="10"/>
      <c r="Z3728" s="10"/>
      <c r="AA3728" s="10"/>
      <c r="AB3728" s="10"/>
      <c r="AC3728" s="10"/>
      <c r="AD3728" s="10"/>
      <c r="AE3728" s="10"/>
      <c r="AF3728" s="10"/>
    </row>
    <row r="3729">
      <c r="A3729" s="7"/>
      <c r="B3729" s="26">
        <v>275.0</v>
      </c>
      <c r="C3729" s="27">
        <v>9.0</v>
      </c>
      <c r="D3729" s="8" t="s">
        <v>4844</v>
      </c>
      <c r="E3729" s="7">
        <v>0.0</v>
      </c>
      <c r="F3729" s="7" t="s">
        <v>320</v>
      </c>
      <c r="G3729" s="7" t="s">
        <v>313</v>
      </c>
      <c r="H3729" s="7" t="s">
        <v>312</v>
      </c>
      <c r="I3729" s="7" t="s">
        <v>4428</v>
      </c>
      <c r="J3729" s="9" t="s">
        <v>4845</v>
      </c>
      <c r="K3729" s="12"/>
      <c r="L3729" s="12"/>
      <c r="M3729" s="10"/>
      <c r="N3729" s="10"/>
      <c r="O3729" s="10"/>
      <c r="P3729" s="10"/>
      <c r="Q3729" s="10"/>
      <c r="R3729" s="10"/>
      <c r="S3729" s="10"/>
      <c r="T3729" s="10"/>
      <c r="U3729" s="10"/>
      <c r="V3729" s="10"/>
      <c r="W3729" s="10"/>
      <c r="X3729" s="10"/>
      <c r="Y3729" s="10"/>
      <c r="Z3729" s="10"/>
      <c r="AA3729" s="10"/>
      <c r="AB3729" s="10"/>
      <c r="AC3729" s="10"/>
      <c r="AD3729" s="10"/>
      <c r="AE3729" s="10"/>
      <c r="AF3729" s="10"/>
    </row>
    <row r="3730">
      <c r="A3730" s="7"/>
      <c r="B3730" s="26">
        <v>275.0</v>
      </c>
      <c r="C3730" s="27">
        <v>10.0</v>
      </c>
      <c r="D3730" s="8" t="s">
        <v>4846</v>
      </c>
      <c r="E3730" s="7">
        <v>3.0</v>
      </c>
      <c r="F3730" s="7"/>
      <c r="G3730" s="7" t="s">
        <v>313</v>
      </c>
      <c r="H3730" s="7" t="s">
        <v>312</v>
      </c>
      <c r="I3730" s="10"/>
      <c r="J3730" s="9" t="s">
        <v>4847</v>
      </c>
      <c r="K3730" s="12"/>
      <c r="L3730" s="12"/>
      <c r="M3730" s="10"/>
      <c r="N3730" s="10"/>
      <c r="O3730" s="10"/>
      <c r="P3730" s="10"/>
      <c r="Q3730" s="10"/>
      <c r="R3730" s="10"/>
      <c r="S3730" s="10"/>
      <c r="T3730" s="10"/>
      <c r="U3730" s="10"/>
      <c r="V3730" s="10"/>
      <c r="W3730" s="10"/>
      <c r="X3730" s="10"/>
      <c r="Y3730" s="10"/>
      <c r="Z3730" s="10"/>
      <c r="AA3730" s="10"/>
      <c r="AB3730" s="10"/>
      <c r="AC3730" s="10"/>
      <c r="AD3730" s="10"/>
      <c r="AE3730" s="10"/>
      <c r="AF3730" s="10"/>
    </row>
    <row r="3731">
      <c r="A3731" s="7"/>
      <c r="B3731" s="26">
        <v>275.0</v>
      </c>
      <c r="C3731" s="27">
        <v>11.0</v>
      </c>
      <c r="D3731" s="8" t="s">
        <v>4848</v>
      </c>
      <c r="E3731" s="7">
        <v>3.0</v>
      </c>
      <c r="F3731" s="7"/>
      <c r="G3731" s="7" t="s">
        <v>313</v>
      </c>
      <c r="H3731" s="7" t="s">
        <v>312</v>
      </c>
      <c r="I3731" s="10"/>
      <c r="J3731" s="9" t="s">
        <v>4849</v>
      </c>
      <c r="K3731" s="12"/>
      <c r="L3731" s="12"/>
      <c r="M3731" s="10"/>
      <c r="N3731" s="10"/>
      <c r="O3731" s="10"/>
      <c r="P3731" s="10"/>
      <c r="Q3731" s="10"/>
      <c r="R3731" s="10"/>
      <c r="S3731" s="10"/>
      <c r="T3731" s="10"/>
      <c r="U3731" s="10"/>
      <c r="V3731" s="10"/>
      <c r="W3731" s="10"/>
      <c r="X3731" s="10"/>
      <c r="Y3731" s="10"/>
      <c r="Z3731" s="10"/>
      <c r="AA3731" s="10"/>
      <c r="AB3731" s="10"/>
      <c r="AC3731" s="10"/>
      <c r="AD3731" s="10"/>
      <c r="AE3731" s="10"/>
      <c r="AF3731" s="10"/>
    </row>
    <row r="3732">
      <c r="A3732" s="7"/>
      <c r="B3732" s="26">
        <v>275.0</v>
      </c>
      <c r="C3732" s="27">
        <v>12.0</v>
      </c>
      <c r="D3732" s="8" t="s">
        <v>4850</v>
      </c>
      <c r="E3732" s="7">
        <v>0.0</v>
      </c>
      <c r="F3732" s="7"/>
      <c r="G3732" s="7" t="s">
        <v>313</v>
      </c>
      <c r="H3732" s="7" t="s">
        <v>312</v>
      </c>
      <c r="I3732" s="10"/>
      <c r="J3732" s="11"/>
      <c r="K3732" s="12"/>
      <c r="L3732" s="12"/>
      <c r="M3732" s="10"/>
      <c r="N3732" s="10"/>
      <c r="O3732" s="10"/>
      <c r="P3732" s="10"/>
      <c r="Q3732" s="10"/>
      <c r="R3732" s="10"/>
      <c r="S3732" s="10"/>
      <c r="T3732" s="10"/>
      <c r="U3732" s="10"/>
      <c r="V3732" s="10"/>
      <c r="W3732" s="10"/>
      <c r="X3732" s="10"/>
      <c r="Y3732" s="10"/>
      <c r="Z3732" s="10"/>
      <c r="AA3732" s="10"/>
      <c r="AB3732" s="10"/>
      <c r="AC3732" s="10"/>
      <c r="AD3732" s="10"/>
      <c r="AE3732" s="10"/>
      <c r="AF3732" s="10"/>
    </row>
    <row r="3733">
      <c r="A3733" s="7"/>
      <c r="B3733" s="26">
        <v>275.0</v>
      </c>
      <c r="C3733" s="27">
        <v>13.0</v>
      </c>
      <c r="D3733" s="8" t="s">
        <v>4851</v>
      </c>
      <c r="E3733" s="7">
        <v>0.0</v>
      </c>
      <c r="F3733" s="7"/>
      <c r="G3733" s="7" t="s">
        <v>313</v>
      </c>
      <c r="H3733" s="7" t="s">
        <v>312</v>
      </c>
      <c r="I3733" s="10"/>
      <c r="J3733" s="11"/>
      <c r="K3733" s="12"/>
      <c r="L3733" s="12"/>
      <c r="M3733" s="10"/>
      <c r="N3733" s="10"/>
      <c r="O3733" s="10"/>
      <c r="P3733" s="10"/>
      <c r="Q3733" s="10"/>
      <c r="R3733" s="10"/>
      <c r="S3733" s="10"/>
      <c r="T3733" s="10"/>
      <c r="U3733" s="10"/>
      <c r="V3733" s="10"/>
      <c r="W3733" s="10"/>
      <c r="X3733" s="10"/>
      <c r="Y3733" s="10"/>
      <c r="Z3733" s="10"/>
      <c r="AA3733" s="10"/>
      <c r="AB3733" s="10"/>
      <c r="AC3733" s="10"/>
      <c r="AD3733" s="10"/>
      <c r="AE3733" s="10"/>
      <c r="AF3733" s="10"/>
    </row>
    <row r="3734">
      <c r="A3734" s="7"/>
      <c r="B3734" s="26">
        <v>275.0</v>
      </c>
      <c r="C3734" s="27">
        <v>14.0</v>
      </c>
      <c r="D3734" s="8" t="s">
        <v>4852</v>
      </c>
      <c r="E3734" s="7">
        <v>0.0</v>
      </c>
      <c r="F3734" s="7" t="s">
        <v>320</v>
      </c>
      <c r="G3734" s="7" t="s">
        <v>313</v>
      </c>
      <c r="H3734" s="7" t="s">
        <v>312</v>
      </c>
      <c r="I3734" s="7" t="s">
        <v>4428</v>
      </c>
      <c r="J3734" s="9" t="s">
        <v>4853</v>
      </c>
      <c r="K3734" s="12"/>
      <c r="L3734" s="12"/>
      <c r="M3734" s="10"/>
      <c r="N3734" s="10"/>
      <c r="O3734" s="10"/>
      <c r="P3734" s="10"/>
      <c r="Q3734" s="10"/>
      <c r="R3734" s="10"/>
      <c r="S3734" s="10"/>
      <c r="T3734" s="10"/>
      <c r="U3734" s="10"/>
      <c r="V3734" s="10"/>
      <c r="W3734" s="10"/>
      <c r="X3734" s="10"/>
      <c r="Y3734" s="10"/>
      <c r="Z3734" s="10"/>
      <c r="AA3734" s="10"/>
      <c r="AB3734" s="10"/>
      <c r="AC3734" s="10"/>
      <c r="AD3734" s="10"/>
      <c r="AE3734" s="10"/>
      <c r="AF3734" s="10"/>
    </row>
    <row r="3735">
      <c r="A3735" s="7"/>
      <c r="B3735" s="26">
        <v>275.0</v>
      </c>
      <c r="C3735" s="27">
        <v>15.0</v>
      </c>
      <c r="D3735" s="8" t="s">
        <v>4854</v>
      </c>
      <c r="E3735" s="7">
        <v>0.0</v>
      </c>
      <c r="F3735" s="7" t="s">
        <v>320</v>
      </c>
      <c r="G3735" s="7" t="s">
        <v>313</v>
      </c>
      <c r="H3735" s="7" t="s">
        <v>312</v>
      </c>
      <c r="I3735" s="7" t="s">
        <v>4428</v>
      </c>
      <c r="J3735" s="9" t="s">
        <v>4855</v>
      </c>
      <c r="K3735" s="12"/>
      <c r="L3735" s="12"/>
      <c r="M3735" s="10"/>
      <c r="N3735" s="10"/>
      <c r="O3735" s="10"/>
      <c r="P3735" s="10"/>
      <c r="Q3735" s="10"/>
      <c r="R3735" s="10"/>
      <c r="S3735" s="10"/>
      <c r="T3735" s="10"/>
      <c r="U3735" s="10"/>
      <c r="V3735" s="10"/>
      <c r="W3735" s="10"/>
      <c r="X3735" s="10"/>
      <c r="Y3735" s="10"/>
      <c r="Z3735" s="10"/>
      <c r="AA3735" s="10"/>
      <c r="AB3735" s="10"/>
      <c r="AC3735" s="10"/>
      <c r="AD3735" s="10"/>
      <c r="AE3735" s="10"/>
      <c r="AF3735" s="10"/>
    </row>
    <row r="3736">
      <c r="A3736" s="10"/>
      <c r="B3736" s="12"/>
      <c r="C3736" s="12"/>
      <c r="D3736" s="12"/>
      <c r="E3736" s="10"/>
      <c r="F3736" s="10"/>
      <c r="G3736" s="10"/>
      <c r="H3736" s="10"/>
      <c r="I3736" s="10"/>
      <c r="J3736" s="11"/>
      <c r="K3736" s="12"/>
      <c r="L3736" s="12"/>
      <c r="M3736" s="10"/>
      <c r="N3736" s="10"/>
      <c r="O3736" s="10"/>
      <c r="P3736" s="10"/>
      <c r="Q3736" s="10"/>
      <c r="R3736" s="10"/>
      <c r="S3736" s="10"/>
      <c r="T3736" s="10"/>
      <c r="U3736" s="10"/>
      <c r="V3736" s="10"/>
      <c r="W3736" s="10"/>
      <c r="X3736" s="10"/>
      <c r="Y3736" s="10"/>
      <c r="Z3736" s="10"/>
      <c r="AA3736" s="10"/>
      <c r="AB3736" s="10"/>
      <c r="AC3736" s="10"/>
      <c r="AD3736" s="10"/>
      <c r="AE3736" s="10"/>
      <c r="AF3736" s="10"/>
    </row>
    <row r="3737">
      <c r="A3737" s="7"/>
      <c r="B3737" s="26">
        <v>276.0</v>
      </c>
      <c r="C3737" s="27">
        <v>1.0</v>
      </c>
      <c r="D3737" s="8" t="s">
        <v>4856</v>
      </c>
      <c r="E3737" s="7">
        <v>3.0</v>
      </c>
      <c r="F3737" s="7"/>
      <c r="G3737" s="7" t="s">
        <v>313</v>
      </c>
      <c r="H3737" s="7" t="s">
        <v>312</v>
      </c>
      <c r="I3737" s="10"/>
      <c r="J3737" s="9" t="s">
        <v>4857</v>
      </c>
      <c r="K3737" s="12"/>
      <c r="L3737" s="12"/>
      <c r="M3737" s="10"/>
      <c r="N3737" s="10"/>
      <c r="O3737" s="10"/>
      <c r="P3737" s="10"/>
      <c r="Q3737" s="10"/>
      <c r="R3737" s="10"/>
      <c r="S3737" s="10"/>
      <c r="T3737" s="10"/>
      <c r="U3737" s="10"/>
      <c r="V3737" s="10"/>
      <c r="W3737" s="10"/>
      <c r="X3737" s="10"/>
      <c r="Y3737" s="10"/>
      <c r="Z3737" s="10"/>
      <c r="AA3737" s="10"/>
      <c r="AB3737" s="10"/>
      <c r="AC3737" s="10"/>
      <c r="AD3737" s="10"/>
      <c r="AE3737" s="10"/>
      <c r="AF3737" s="10"/>
    </row>
    <row r="3738">
      <c r="A3738" s="7"/>
      <c r="B3738" s="26">
        <v>276.0</v>
      </c>
      <c r="C3738" s="27">
        <v>2.0</v>
      </c>
      <c r="D3738" s="8" t="s">
        <v>4858</v>
      </c>
      <c r="E3738" s="7">
        <v>3.0</v>
      </c>
      <c r="F3738" s="7"/>
      <c r="G3738" s="7" t="s">
        <v>313</v>
      </c>
      <c r="H3738" s="7" t="s">
        <v>312</v>
      </c>
      <c r="I3738" s="7" t="s">
        <v>4428</v>
      </c>
      <c r="J3738" s="43" t="s">
        <v>4859</v>
      </c>
      <c r="K3738" s="20" t="s">
        <v>4860</v>
      </c>
      <c r="L3738" s="12"/>
      <c r="M3738" s="10"/>
      <c r="N3738" s="10"/>
      <c r="O3738" s="10"/>
      <c r="P3738" s="10"/>
      <c r="Q3738" s="10"/>
      <c r="R3738" s="10"/>
      <c r="S3738" s="10"/>
      <c r="T3738" s="10"/>
      <c r="U3738" s="10"/>
      <c r="V3738" s="10"/>
      <c r="W3738" s="10"/>
      <c r="X3738" s="10"/>
      <c r="Y3738" s="10"/>
      <c r="Z3738" s="10"/>
      <c r="AA3738" s="10"/>
      <c r="AB3738" s="10"/>
      <c r="AC3738" s="10"/>
      <c r="AD3738" s="10"/>
      <c r="AE3738" s="10"/>
      <c r="AF3738" s="10"/>
    </row>
    <row r="3739">
      <c r="A3739" s="7"/>
      <c r="B3739" s="26">
        <v>276.0</v>
      </c>
      <c r="C3739" s="27">
        <v>3.0</v>
      </c>
      <c r="D3739" s="8" t="s">
        <v>4861</v>
      </c>
      <c r="E3739" s="7">
        <v>0.0</v>
      </c>
      <c r="F3739" s="7"/>
      <c r="G3739" s="7" t="s">
        <v>313</v>
      </c>
      <c r="H3739" s="7" t="s">
        <v>312</v>
      </c>
      <c r="I3739" s="10"/>
      <c r="J3739" s="11"/>
      <c r="K3739" s="12"/>
      <c r="L3739" s="12"/>
      <c r="M3739" s="10"/>
      <c r="N3739" s="10"/>
      <c r="O3739" s="10"/>
      <c r="P3739" s="10"/>
      <c r="Q3739" s="10"/>
      <c r="R3739" s="10"/>
      <c r="S3739" s="10"/>
      <c r="T3739" s="10"/>
      <c r="U3739" s="10"/>
      <c r="V3739" s="10"/>
      <c r="W3739" s="10"/>
      <c r="X3739" s="10"/>
      <c r="Y3739" s="10"/>
      <c r="Z3739" s="10"/>
      <c r="AA3739" s="10"/>
      <c r="AB3739" s="10"/>
      <c r="AC3739" s="10"/>
      <c r="AD3739" s="10"/>
      <c r="AE3739" s="10"/>
      <c r="AF3739" s="10"/>
    </row>
    <row r="3740">
      <c r="A3740" s="7"/>
      <c r="B3740" s="26">
        <v>276.0</v>
      </c>
      <c r="C3740" s="27">
        <v>4.0</v>
      </c>
      <c r="D3740" s="8" t="s">
        <v>4862</v>
      </c>
      <c r="E3740" s="7">
        <v>0.0</v>
      </c>
      <c r="F3740" s="7"/>
      <c r="G3740" s="7" t="s">
        <v>313</v>
      </c>
      <c r="H3740" s="7" t="s">
        <v>312</v>
      </c>
      <c r="I3740" s="10"/>
      <c r="J3740" s="11"/>
      <c r="K3740" s="12"/>
      <c r="L3740" s="12"/>
      <c r="M3740" s="10"/>
      <c r="N3740" s="10"/>
      <c r="O3740" s="10"/>
      <c r="P3740" s="10"/>
      <c r="Q3740" s="10"/>
      <c r="R3740" s="10"/>
      <c r="S3740" s="10"/>
      <c r="T3740" s="10"/>
      <c r="U3740" s="10"/>
      <c r="V3740" s="10"/>
      <c r="W3740" s="10"/>
      <c r="X3740" s="10"/>
      <c r="Y3740" s="10"/>
      <c r="Z3740" s="10"/>
      <c r="AA3740" s="10"/>
      <c r="AB3740" s="10"/>
      <c r="AC3740" s="10"/>
      <c r="AD3740" s="10"/>
      <c r="AE3740" s="10"/>
      <c r="AF3740" s="10"/>
    </row>
    <row r="3741">
      <c r="A3741" s="7"/>
      <c r="B3741" s="26">
        <v>276.0</v>
      </c>
      <c r="C3741" s="27">
        <v>5.0</v>
      </c>
      <c r="D3741" s="8" t="s">
        <v>4863</v>
      </c>
      <c r="E3741" s="7">
        <v>0.0</v>
      </c>
      <c r="F3741" s="7"/>
      <c r="G3741" s="7" t="s">
        <v>313</v>
      </c>
      <c r="H3741" s="7" t="s">
        <v>312</v>
      </c>
      <c r="I3741" s="10"/>
      <c r="J3741" s="11"/>
      <c r="K3741" s="12"/>
      <c r="L3741" s="12"/>
      <c r="M3741" s="10"/>
      <c r="N3741" s="10"/>
      <c r="O3741" s="10"/>
      <c r="P3741" s="10"/>
      <c r="Q3741" s="10"/>
      <c r="R3741" s="10"/>
      <c r="S3741" s="10"/>
      <c r="T3741" s="10"/>
      <c r="U3741" s="10"/>
      <c r="V3741" s="10"/>
      <c r="W3741" s="10"/>
      <c r="X3741" s="10"/>
      <c r="Y3741" s="10"/>
      <c r="Z3741" s="10"/>
      <c r="AA3741" s="10"/>
      <c r="AB3741" s="10"/>
      <c r="AC3741" s="10"/>
      <c r="AD3741" s="10"/>
      <c r="AE3741" s="10"/>
      <c r="AF3741" s="10"/>
    </row>
    <row r="3742">
      <c r="A3742" s="7"/>
      <c r="B3742" s="26">
        <v>276.0</v>
      </c>
      <c r="C3742" s="27">
        <v>6.0</v>
      </c>
      <c r="D3742" s="8" t="s">
        <v>4864</v>
      </c>
      <c r="E3742" s="7">
        <v>0.0</v>
      </c>
      <c r="F3742" s="7"/>
      <c r="G3742" s="7" t="s">
        <v>313</v>
      </c>
      <c r="H3742" s="7" t="s">
        <v>312</v>
      </c>
      <c r="I3742" s="10"/>
      <c r="J3742" s="11"/>
      <c r="K3742" s="12"/>
      <c r="L3742" s="12"/>
      <c r="M3742" s="10"/>
      <c r="N3742" s="10"/>
      <c r="O3742" s="10"/>
      <c r="P3742" s="10"/>
      <c r="Q3742" s="10"/>
      <c r="R3742" s="10"/>
      <c r="S3742" s="10"/>
      <c r="T3742" s="10"/>
      <c r="U3742" s="10"/>
      <c r="V3742" s="10"/>
      <c r="W3742" s="10"/>
      <c r="X3742" s="10"/>
      <c r="Y3742" s="10"/>
      <c r="Z3742" s="10"/>
      <c r="AA3742" s="10"/>
      <c r="AB3742" s="10"/>
      <c r="AC3742" s="10"/>
      <c r="AD3742" s="10"/>
      <c r="AE3742" s="10"/>
      <c r="AF3742" s="10"/>
    </row>
    <row r="3743">
      <c r="A3743" s="7"/>
      <c r="B3743" s="26">
        <v>276.0</v>
      </c>
      <c r="C3743" s="27">
        <v>7.0</v>
      </c>
      <c r="D3743" s="8" t="s">
        <v>4865</v>
      </c>
      <c r="E3743" s="7">
        <v>0.0</v>
      </c>
      <c r="F3743" s="7"/>
      <c r="G3743" s="7" t="s">
        <v>313</v>
      </c>
      <c r="H3743" s="7" t="s">
        <v>312</v>
      </c>
      <c r="I3743" s="10"/>
      <c r="J3743" s="11"/>
      <c r="K3743" s="12"/>
      <c r="L3743" s="12"/>
      <c r="M3743" s="10"/>
      <c r="N3743" s="10"/>
      <c r="O3743" s="10"/>
      <c r="P3743" s="10"/>
      <c r="Q3743" s="10"/>
      <c r="R3743" s="10"/>
      <c r="S3743" s="10"/>
      <c r="T3743" s="10"/>
      <c r="U3743" s="10"/>
      <c r="V3743" s="10"/>
      <c r="W3743" s="10"/>
      <c r="X3743" s="10"/>
      <c r="Y3743" s="10"/>
      <c r="Z3743" s="10"/>
      <c r="AA3743" s="10"/>
      <c r="AB3743" s="10"/>
      <c r="AC3743" s="10"/>
      <c r="AD3743" s="10"/>
      <c r="AE3743" s="10"/>
      <c r="AF3743" s="10"/>
    </row>
    <row r="3744">
      <c r="A3744" s="7"/>
      <c r="B3744" s="26">
        <v>276.0</v>
      </c>
      <c r="C3744" s="27">
        <v>8.0</v>
      </c>
      <c r="D3744" s="8" t="s">
        <v>4866</v>
      </c>
      <c r="E3744" s="7">
        <v>0.0</v>
      </c>
      <c r="F3744" s="7"/>
      <c r="G3744" s="7" t="s">
        <v>313</v>
      </c>
      <c r="H3744" s="7" t="s">
        <v>312</v>
      </c>
      <c r="I3744" s="10"/>
      <c r="J3744" s="11"/>
      <c r="K3744" s="12"/>
      <c r="L3744" s="12"/>
      <c r="M3744" s="10"/>
      <c r="N3744" s="10"/>
      <c r="O3744" s="10"/>
      <c r="P3744" s="10"/>
      <c r="Q3744" s="10"/>
      <c r="R3744" s="10"/>
      <c r="S3744" s="10"/>
      <c r="T3744" s="10"/>
      <c r="U3744" s="10"/>
      <c r="V3744" s="10"/>
      <c r="W3744" s="10"/>
      <c r="X3744" s="10"/>
      <c r="Y3744" s="10"/>
      <c r="Z3744" s="10"/>
      <c r="AA3744" s="10"/>
      <c r="AB3744" s="10"/>
      <c r="AC3744" s="10"/>
      <c r="AD3744" s="10"/>
      <c r="AE3744" s="10"/>
      <c r="AF3744" s="10"/>
    </row>
    <row r="3745">
      <c r="A3745" s="7"/>
      <c r="B3745" s="26">
        <v>276.0</v>
      </c>
      <c r="C3745" s="27">
        <v>9.0</v>
      </c>
      <c r="D3745" s="8" t="s">
        <v>4867</v>
      </c>
      <c r="E3745" s="7">
        <v>0.0</v>
      </c>
      <c r="F3745" s="7"/>
      <c r="G3745" s="7" t="s">
        <v>313</v>
      </c>
      <c r="H3745" s="7" t="s">
        <v>312</v>
      </c>
      <c r="I3745" s="10"/>
      <c r="J3745" s="11"/>
      <c r="K3745" s="12"/>
      <c r="L3745" s="12"/>
      <c r="M3745" s="10"/>
      <c r="N3745" s="10"/>
      <c r="O3745" s="10"/>
      <c r="P3745" s="10"/>
      <c r="Q3745" s="10"/>
      <c r="R3745" s="10"/>
      <c r="S3745" s="10"/>
      <c r="T3745" s="10"/>
      <c r="U3745" s="10"/>
      <c r="V3745" s="10"/>
      <c r="W3745" s="10"/>
      <c r="X3745" s="10"/>
      <c r="Y3745" s="10"/>
      <c r="Z3745" s="10"/>
      <c r="AA3745" s="10"/>
      <c r="AB3745" s="10"/>
      <c r="AC3745" s="10"/>
      <c r="AD3745" s="10"/>
      <c r="AE3745" s="10"/>
      <c r="AF3745" s="10"/>
    </row>
    <row r="3746">
      <c r="A3746" s="7"/>
      <c r="B3746" s="26">
        <v>276.0</v>
      </c>
      <c r="C3746" s="27">
        <v>10.0</v>
      </c>
      <c r="D3746" s="8" t="s">
        <v>4868</v>
      </c>
      <c r="E3746" s="7">
        <v>0.0</v>
      </c>
      <c r="F3746" s="7"/>
      <c r="G3746" s="7" t="s">
        <v>313</v>
      </c>
      <c r="H3746" s="7" t="s">
        <v>312</v>
      </c>
      <c r="I3746" s="10"/>
      <c r="J3746" s="11"/>
      <c r="K3746" s="12"/>
      <c r="L3746" s="12"/>
      <c r="M3746" s="10"/>
      <c r="N3746" s="10"/>
      <c r="O3746" s="10"/>
      <c r="P3746" s="10"/>
      <c r="Q3746" s="10"/>
      <c r="R3746" s="10"/>
      <c r="S3746" s="10"/>
      <c r="T3746" s="10"/>
      <c r="U3746" s="10"/>
      <c r="V3746" s="10"/>
      <c r="W3746" s="10"/>
      <c r="X3746" s="10"/>
      <c r="Y3746" s="10"/>
      <c r="Z3746" s="10"/>
      <c r="AA3746" s="10"/>
      <c r="AB3746" s="10"/>
      <c r="AC3746" s="10"/>
      <c r="AD3746" s="10"/>
      <c r="AE3746" s="10"/>
      <c r="AF3746" s="10"/>
    </row>
    <row r="3747">
      <c r="A3747" s="10"/>
      <c r="B3747" s="12"/>
      <c r="C3747" s="12"/>
      <c r="D3747" s="12"/>
      <c r="E3747" s="10"/>
      <c r="F3747" s="10"/>
      <c r="G3747" s="10"/>
      <c r="H3747" s="10"/>
      <c r="I3747" s="10"/>
      <c r="J3747" s="11"/>
      <c r="K3747" s="12"/>
      <c r="L3747" s="12"/>
      <c r="M3747" s="10"/>
      <c r="N3747" s="10"/>
      <c r="O3747" s="10"/>
      <c r="P3747" s="10"/>
      <c r="Q3747" s="10"/>
      <c r="R3747" s="10"/>
      <c r="S3747" s="10"/>
      <c r="T3747" s="10"/>
      <c r="U3747" s="10"/>
      <c r="V3747" s="10"/>
      <c r="W3747" s="10"/>
      <c r="X3747" s="10"/>
      <c r="Y3747" s="10"/>
      <c r="Z3747" s="10"/>
      <c r="AA3747" s="10"/>
      <c r="AB3747" s="10"/>
      <c r="AC3747" s="10"/>
      <c r="AD3747" s="10"/>
      <c r="AE3747" s="10"/>
      <c r="AF3747" s="10"/>
    </row>
    <row r="3748">
      <c r="A3748" s="7"/>
      <c r="B3748" s="26">
        <v>277.0</v>
      </c>
      <c r="C3748" s="27">
        <v>1.0</v>
      </c>
      <c r="D3748" s="8" t="s">
        <v>4869</v>
      </c>
      <c r="E3748" s="7">
        <v>3.0</v>
      </c>
      <c r="F3748" s="7"/>
      <c r="G3748" s="7" t="s">
        <v>313</v>
      </c>
      <c r="H3748" s="7" t="s">
        <v>312</v>
      </c>
      <c r="I3748" s="7" t="s">
        <v>366</v>
      </c>
      <c r="J3748" s="43" t="s">
        <v>4870</v>
      </c>
      <c r="K3748" s="20" t="s">
        <v>2764</v>
      </c>
      <c r="L3748" s="12"/>
      <c r="M3748" s="10"/>
      <c r="N3748" s="10"/>
      <c r="O3748" s="10"/>
      <c r="P3748" s="10"/>
      <c r="Q3748" s="10"/>
      <c r="R3748" s="10"/>
      <c r="S3748" s="10"/>
      <c r="T3748" s="10"/>
      <c r="U3748" s="10"/>
      <c r="V3748" s="10"/>
      <c r="W3748" s="10"/>
      <c r="X3748" s="10"/>
      <c r="Y3748" s="10"/>
      <c r="Z3748" s="10"/>
      <c r="AA3748" s="10"/>
      <c r="AB3748" s="10"/>
      <c r="AC3748" s="10"/>
      <c r="AD3748" s="10"/>
      <c r="AE3748" s="10"/>
      <c r="AF3748" s="10"/>
    </row>
    <row r="3749">
      <c r="A3749" s="7"/>
      <c r="B3749" s="26">
        <v>277.0</v>
      </c>
      <c r="C3749" s="27">
        <v>2.0</v>
      </c>
      <c r="D3749" s="8" t="s">
        <v>4871</v>
      </c>
      <c r="E3749" s="7">
        <v>3.0</v>
      </c>
      <c r="F3749" s="7"/>
      <c r="G3749" s="7" t="s">
        <v>313</v>
      </c>
      <c r="H3749" s="7" t="s">
        <v>312</v>
      </c>
      <c r="I3749" s="7" t="s">
        <v>366</v>
      </c>
      <c r="J3749" s="43" t="s">
        <v>4870</v>
      </c>
      <c r="K3749" s="20" t="s">
        <v>2764</v>
      </c>
      <c r="L3749" s="12"/>
      <c r="M3749" s="10"/>
      <c r="N3749" s="10"/>
      <c r="O3749" s="10"/>
      <c r="P3749" s="10"/>
      <c r="Q3749" s="10"/>
      <c r="R3749" s="10"/>
      <c r="S3749" s="10"/>
      <c r="T3749" s="10"/>
      <c r="U3749" s="10"/>
      <c r="V3749" s="10"/>
      <c r="W3749" s="10"/>
      <c r="X3749" s="10"/>
      <c r="Y3749" s="10"/>
      <c r="Z3749" s="10"/>
      <c r="AA3749" s="10"/>
      <c r="AB3749" s="10"/>
      <c r="AC3749" s="10"/>
      <c r="AD3749" s="10"/>
      <c r="AE3749" s="10"/>
      <c r="AF3749" s="10"/>
    </row>
    <row r="3750">
      <c r="A3750" s="7"/>
      <c r="B3750" s="26">
        <v>277.0</v>
      </c>
      <c r="C3750" s="27">
        <v>3.0</v>
      </c>
      <c r="D3750" s="8" t="s">
        <v>4872</v>
      </c>
      <c r="E3750" s="7">
        <v>3.0</v>
      </c>
      <c r="F3750" s="7"/>
      <c r="G3750" s="7" t="s">
        <v>313</v>
      </c>
      <c r="H3750" s="7" t="s">
        <v>312</v>
      </c>
      <c r="I3750" s="10"/>
      <c r="J3750" s="9" t="s">
        <v>4873</v>
      </c>
      <c r="K3750" s="12"/>
      <c r="L3750" s="12"/>
      <c r="M3750" s="10"/>
      <c r="N3750" s="10"/>
      <c r="O3750" s="10"/>
      <c r="P3750" s="10"/>
      <c r="Q3750" s="10"/>
      <c r="R3750" s="10"/>
      <c r="S3750" s="10"/>
      <c r="T3750" s="10"/>
      <c r="U3750" s="10"/>
      <c r="V3750" s="10"/>
      <c r="W3750" s="10"/>
      <c r="X3750" s="10"/>
      <c r="Y3750" s="10"/>
      <c r="Z3750" s="10"/>
      <c r="AA3750" s="10"/>
      <c r="AB3750" s="10"/>
      <c r="AC3750" s="10"/>
      <c r="AD3750" s="10"/>
      <c r="AE3750" s="10"/>
      <c r="AF3750" s="10"/>
    </row>
    <row r="3751">
      <c r="A3751" s="7"/>
      <c r="B3751" s="26">
        <v>277.0</v>
      </c>
      <c r="C3751" s="27">
        <v>4.0</v>
      </c>
      <c r="D3751" s="8" t="s">
        <v>4874</v>
      </c>
      <c r="E3751" s="7">
        <v>0.0</v>
      </c>
      <c r="F3751" s="10"/>
      <c r="G3751" s="7" t="s">
        <v>313</v>
      </c>
      <c r="H3751" s="7" t="s">
        <v>312</v>
      </c>
      <c r="I3751" s="10"/>
      <c r="J3751" s="11"/>
      <c r="K3751" s="12"/>
      <c r="L3751" s="12"/>
      <c r="M3751" s="10"/>
      <c r="N3751" s="10"/>
      <c r="O3751" s="10"/>
      <c r="P3751" s="10"/>
      <c r="Q3751" s="10"/>
      <c r="R3751" s="10"/>
      <c r="S3751" s="10"/>
      <c r="T3751" s="10"/>
      <c r="U3751" s="10"/>
      <c r="V3751" s="10"/>
      <c r="W3751" s="10"/>
      <c r="X3751" s="10"/>
      <c r="Y3751" s="10"/>
      <c r="Z3751" s="10"/>
      <c r="AA3751" s="10"/>
      <c r="AB3751" s="10"/>
      <c r="AC3751" s="10"/>
      <c r="AD3751" s="10"/>
      <c r="AE3751" s="10"/>
      <c r="AF3751" s="10"/>
    </row>
    <row r="3752">
      <c r="A3752" s="7"/>
      <c r="B3752" s="26">
        <v>277.0</v>
      </c>
      <c r="C3752" s="27">
        <v>5.0</v>
      </c>
      <c r="D3752" s="8" t="s">
        <v>4875</v>
      </c>
      <c r="E3752" s="7">
        <v>0.0</v>
      </c>
      <c r="F3752" s="7"/>
      <c r="G3752" s="7" t="s">
        <v>313</v>
      </c>
      <c r="H3752" s="7" t="s">
        <v>312</v>
      </c>
      <c r="I3752" s="10"/>
      <c r="J3752" s="11"/>
      <c r="K3752" s="12"/>
      <c r="L3752" s="12"/>
      <c r="M3752" s="10"/>
      <c r="N3752" s="10"/>
      <c r="O3752" s="10"/>
      <c r="P3752" s="10"/>
      <c r="Q3752" s="10"/>
      <c r="R3752" s="10"/>
      <c r="S3752" s="10"/>
      <c r="T3752" s="10"/>
      <c r="U3752" s="10"/>
      <c r="V3752" s="10"/>
      <c r="W3752" s="10"/>
      <c r="X3752" s="10"/>
      <c r="Y3752" s="10"/>
      <c r="Z3752" s="10"/>
      <c r="AA3752" s="10"/>
      <c r="AB3752" s="10"/>
      <c r="AC3752" s="10"/>
      <c r="AD3752" s="10"/>
      <c r="AE3752" s="10"/>
      <c r="AF3752" s="10"/>
    </row>
    <row r="3753">
      <c r="A3753" s="7"/>
      <c r="B3753" s="26">
        <v>277.0</v>
      </c>
      <c r="C3753" s="27">
        <v>6.0</v>
      </c>
      <c r="D3753" s="8" t="s">
        <v>4876</v>
      </c>
      <c r="E3753" s="7">
        <v>0.0</v>
      </c>
      <c r="F3753" s="7"/>
      <c r="G3753" s="7" t="s">
        <v>313</v>
      </c>
      <c r="H3753" s="7" t="s">
        <v>312</v>
      </c>
      <c r="I3753" s="10"/>
      <c r="J3753" s="11"/>
      <c r="K3753" s="12"/>
      <c r="L3753" s="12"/>
      <c r="M3753" s="10"/>
      <c r="N3753" s="10"/>
      <c r="O3753" s="10"/>
      <c r="P3753" s="10"/>
      <c r="Q3753" s="10"/>
      <c r="R3753" s="10"/>
      <c r="S3753" s="10"/>
      <c r="T3753" s="10"/>
      <c r="U3753" s="10"/>
      <c r="V3753" s="10"/>
      <c r="W3753" s="10"/>
      <c r="X3753" s="10"/>
      <c r="Y3753" s="10"/>
      <c r="Z3753" s="10"/>
      <c r="AA3753" s="10"/>
      <c r="AB3753" s="10"/>
      <c r="AC3753" s="10"/>
      <c r="AD3753" s="10"/>
      <c r="AE3753" s="10"/>
      <c r="AF3753" s="10"/>
    </row>
    <row r="3754">
      <c r="A3754" s="10"/>
      <c r="B3754" s="12"/>
      <c r="C3754" s="12"/>
      <c r="D3754" s="12"/>
      <c r="E3754" s="10"/>
      <c r="F3754" s="10"/>
      <c r="G3754" s="10"/>
      <c r="H3754" s="10"/>
      <c r="I3754" s="10"/>
      <c r="J3754" s="11"/>
      <c r="K3754" s="12"/>
      <c r="L3754" s="12"/>
      <c r="M3754" s="10"/>
      <c r="N3754" s="10"/>
      <c r="O3754" s="10"/>
      <c r="P3754" s="10"/>
      <c r="Q3754" s="10"/>
      <c r="R3754" s="10"/>
      <c r="S3754" s="10"/>
      <c r="T3754" s="10"/>
      <c r="U3754" s="10"/>
      <c r="V3754" s="10"/>
      <c r="W3754" s="10"/>
      <c r="X3754" s="10"/>
      <c r="Y3754" s="10"/>
      <c r="Z3754" s="10"/>
      <c r="AA3754" s="10"/>
      <c r="AB3754" s="10"/>
      <c r="AC3754" s="10"/>
      <c r="AD3754" s="10"/>
      <c r="AE3754" s="10"/>
      <c r="AF3754" s="10"/>
    </row>
    <row r="3755">
      <c r="A3755" s="7"/>
      <c r="B3755" s="26">
        <v>278.0</v>
      </c>
      <c r="C3755" s="27">
        <v>1.0</v>
      </c>
      <c r="D3755" s="8" t="s">
        <v>4877</v>
      </c>
      <c r="E3755" s="7">
        <v>0.0</v>
      </c>
      <c r="F3755" s="7"/>
      <c r="G3755" s="7" t="s">
        <v>313</v>
      </c>
      <c r="H3755" s="7" t="s">
        <v>312</v>
      </c>
      <c r="I3755" s="10"/>
      <c r="J3755" s="9" t="s">
        <v>4878</v>
      </c>
      <c r="K3755" s="12"/>
      <c r="L3755" s="12"/>
      <c r="M3755" s="10"/>
      <c r="N3755" s="10"/>
      <c r="O3755" s="10"/>
      <c r="P3755" s="10"/>
      <c r="Q3755" s="10"/>
      <c r="R3755" s="10"/>
      <c r="S3755" s="10"/>
      <c r="T3755" s="10"/>
      <c r="U3755" s="10"/>
      <c r="V3755" s="10"/>
      <c r="W3755" s="10"/>
      <c r="X3755" s="10"/>
      <c r="Y3755" s="10"/>
      <c r="Z3755" s="10"/>
      <c r="AA3755" s="10"/>
      <c r="AB3755" s="10"/>
      <c r="AC3755" s="10"/>
      <c r="AD3755" s="10"/>
      <c r="AE3755" s="10"/>
      <c r="AF3755" s="10"/>
    </row>
    <row r="3756">
      <c r="A3756" s="7"/>
      <c r="B3756" s="26">
        <v>278.0</v>
      </c>
      <c r="C3756" s="27">
        <v>2.0</v>
      </c>
      <c r="D3756" s="8" t="s">
        <v>4879</v>
      </c>
      <c r="E3756" s="7">
        <v>0.0</v>
      </c>
      <c r="F3756" s="7"/>
      <c r="G3756" s="7" t="s">
        <v>313</v>
      </c>
      <c r="H3756" s="7" t="s">
        <v>312</v>
      </c>
      <c r="I3756" s="10"/>
      <c r="J3756" s="9" t="s">
        <v>4880</v>
      </c>
      <c r="K3756" s="20" t="s">
        <v>4881</v>
      </c>
      <c r="L3756" s="12"/>
      <c r="M3756" s="10"/>
      <c r="N3756" s="10"/>
      <c r="O3756" s="10"/>
      <c r="P3756" s="10"/>
      <c r="Q3756" s="10"/>
      <c r="R3756" s="10"/>
      <c r="S3756" s="10"/>
      <c r="T3756" s="10"/>
      <c r="U3756" s="10"/>
      <c r="V3756" s="10"/>
      <c r="W3756" s="10"/>
      <c r="X3756" s="10"/>
      <c r="Y3756" s="10"/>
      <c r="Z3756" s="10"/>
      <c r="AA3756" s="10"/>
      <c r="AB3756" s="10"/>
      <c r="AC3756" s="10"/>
      <c r="AD3756" s="10"/>
      <c r="AE3756" s="10"/>
      <c r="AF3756" s="10"/>
    </row>
    <row r="3757">
      <c r="A3757" s="7"/>
      <c r="B3757" s="26">
        <v>278.0</v>
      </c>
      <c r="C3757" s="27">
        <v>3.0</v>
      </c>
      <c r="D3757" s="8" t="s">
        <v>4882</v>
      </c>
      <c r="E3757" s="7">
        <v>0.0</v>
      </c>
      <c r="F3757" s="7"/>
      <c r="G3757" s="7" t="s">
        <v>313</v>
      </c>
      <c r="H3757" s="7" t="s">
        <v>312</v>
      </c>
      <c r="I3757" s="7" t="s">
        <v>4428</v>
      </c>
      <c r="J3757" s="43" t="s">
        <v>4883</v>
      </c>
      <c r="K3757" s="20" t="s">
        <v>4884</v>
      </c>
      <c r="L3757" s="12"/>
      <c r="M3757" s="10"/>
      <c r="N3757" s="10"/>
      <c r="O3757" s="10"/>
      <c r="P3757" s="10"/>
      <c r="Q3757" s="10"/>
      <c r="R3757" s="10"/>
      <c r="S3757" s="10"/>
      <c r="T3757" s="10"/>
      <c r="U3757" s="10"/>
      <c r="V3757" s="10"/>
      <c r="W3757" s="10"/>
      <c r="X3757" s="10"/>
      <c r="Y3757" s="10"/>
      <c r="Z3757" s="10"/>
      <c r="AA3757" s="10"/>
      <c r="AB3757" s="10"/>
      <c r="AC3757" s="10"/>
      <c r="AD3757" s="10"/>
      <c r="AE3757" s="10"/>
      <c r="AF3757" s="10"/>
    </row>
    <row r="3758">
      <c r="A3758" s="7"/>
      <c r="B3758" s="26">
        <v>278.0</v>
      </c>
      <c r="C3758" s="27">
        <v>4.0</v>
      </c>
      <c r="D3758" s="8" t="s">
        <v>4885</v>
      </c>
      <c r="E3758" s="7">
        <v>0.0</v>
      </c>
      <c r="F3758" s="7"/>
      <c r="G3758" s="7" t="s">
        <v>313</v>
      </c>
      <c r="H3758" s="7" t="s">
        <v>312</v>
      </c>
      <c r="I3758" s="10"/>
      <c r="J3758" s="11"/>
      <c r="K3758" s="12"/>
      <c r="L3758" s="12"/>
      <c r="M3758" s="10"/>
      <c r="N3758" s="10"/>
      <c r="O3758" s="10"/>
      <c r="P3758" s="10"/>
      <c r="Q3758" s="10"/>
      <c r="R3758" s="10"/>
      <c r="S3758" s="10"/>
      <c r="T3758" s="10"/>
      <c r="U3758" s="10"/>
      <c r="V3758" s="10"/>
      <c r="W3758" s="10"/>
      <c r="X3758" s="10"/>
      <c r="Y3758" s="10"/>
      <c r="Z3758" s="10"/>
      <c r="AA3758" s="10"/>
      <c r="AB3758" s="10"/>
      <c r="AC3758" s="10"/>
      <c r="AD3758" s="10"/>
      <c r="AE3758" s="10"/>
      <c r="AF3758" s="10"/>
    </row>
    <row r="3759">
      <c r="A3759" s="7"/>
      <c r="B3759" s="26">
        <v>278.0</v>
      </c>
      <c r="C3759" s="27">
        <v>5.0</v>
      </c>
      <c r="D3759" s="8" t="s">
        <v>4886</v>
      </c>
      <c r="E3759" s="7">
        <v>0.0</v>
      </c>
      <c r="F3759" s="7"/>
      <c r="G3759" s="7" t="s">
        <v>313</v>
      </c>
      <c r="H3759" s="7" t="s">
        <v>312</v>
      </c>
      <c r="I3759" s="7" t="s">
        <v>4428</v>
      </c>
      <c r="J3759" s="43" t="s">
        <v>4883</v>
      </c>
      <c r="K3759" s="12"/>
      <c r="L3759" s="12"/>
      <c r="M3759" s="10"/>
      <c r="N3759" s="10"/>
      <c r="O3759" s="10"/>
      <c r="P3759" s="10"/>
      <c r="Q3759" s="10"/>
      <c r="R3759" s="10"/>
      <c r="S3759" s="10"/>
      <c r="T3759" s="10"/>
      <c r="U3759" s="10"/>
      <c r="V3759" s="10"/>
      <c r="W3759" s="10"/>
      <c r="X3759" s="10"/>
      <c r="Y3759" s="10"/>
      <c r="Z3759" s="10"/>
      <c r="AA3759" s="10"/>
      <c r="AB3759" s="10"/>
      <c r="AC3759" s="10"/>
      <c r="AD3759" s="10"/>
      <c r="AE3759" s="10"/>
      <c r="AF3759" s="10"/>
    </row>
    <row r="3760">
      <c r="A3760" s="7"/>
      <c r="B3760" s="26">
        <v>278.0</v>
      </c>
      <c r="C3760" s="27">
        <v>6.0</v>
      </c>
      <c r="D3760" s="8" t="s">
        <v>4887</v>
      </c>
      <c r="E3760" s="7">
        <v>0.0</v>
      </c>
      <c r="F3760" s="7"/>
      <c r="G3760" s="7" t="s">
        <v>313</v>
      </c>
      <c r="H3760" s="7" t="s">
        <v>312</v>
      </c>
      <c r="I3760" s="10"/>
      <c r="J3760" s="11"/>
      <c r="K3760" s="12"/>
      <c r="L3760" s="12"/>
      <c r="M3760" s="10"/>
      <c r="N3760" s="10"/>
      <c r="O3760" s="10"/>
      <c r="P3760" s="10"/>
      <c r="Q3760" s="10"/>
      <c r="R3760" s="10"/>
      <c r="S3760" s="10"/>
      <c r="T3760" s="10"/>
      <c r="U3760" s="10"/>
      <c r="V3760" s="10"/>
      <c r="W3760" s="10"/>
      <c r="X3760" s="10"/>
      <c r="Y3760" s="10"/>
      <c r="Z3760" s="10"/>
      <c r="AA3760" s="10"/>
      <c r="AB3760" s="10"/>
      <c r="AC3760" s="10"/>
      <c r="AD3760" s="10"/>
      <c r="AE3760" s="10"/>
      <c r="AF3760" s="10"/>
    </row>
    <row r="3761">
      <c r="A3761" s="7"/>
      <c r="B3761" s="26">
        <v>278.0</v>
      </c>
      <c r="C3761" s="27">
        <v>7.0</v>
      </c>
      <c r="D3761" s="8" t="s">
        <v>4888</v>
      </c>
      <c r="E3761" s="7">
        <v>0.0</v>
      </c>
      <c r="F3761" s="7"/>
      <c r="G3761" s="7" t="s">
        <v>313</v>
      </c>
      <c r="H3761" s="7" t="s">
        <v>312</v>
      </c>
      <c r="I3761" s="10"/>
      <c r="J3761" s="11"/>
      <c r="K3761" s="12"/>
      <c r="L3761" s="12"/>
      <c r="M3761" s="10"/>
      <c r="N3761" s="10"/>
      <c r="O3761" s="10"/>
      <c r="P3761" s="10"/>
      <c r="Q3761" s="10"/>
      <c r="R3761" s="10"/>
      <c r="S3761" s="10"/>
      <c r="T3761" s="10"/>
      <c r="U3761" s="10"/>
      <c r="V3761" s="10"/>
      <c r="W3761" s="10"/>
      <c r="X3761" s="10"/>
      <c r="Y3761" s="10"/>
      <c r="Z3761" s="10"/>
      <c r="AA3761" s="10"/>
      <c r="AB3761" s="10"/>
      <c r="AC3761" s="10"/>
      <c r="AD3761" s="10"/>
      <c r="AE3761" s="10"/>
      <c r="AF3761" s="10"/>
    </row>
    <row r="3762">
      <c r="A3762" s="7"/>
      <c r="B3762" s="26">
        <v>278.0</v>
      </c>
      <c r="C3762" s="27">
        <v>8.0</v>
      </c>
      <c r="D3762" s="8" t="s">
        <v>4889</v>
      </c>
      <c r="E3762" s="7">
        <v>0.0</v>
      </c>
      <c r="F3762" s="7"/>
      <c r="G3762" s="7" t="s">
        <v>313</v>
      </c>
      <c r="H3762" s="7" t="s">
        <v>312</v>
      </c>
      <c r="L3762" s="12"/>
      <c r="M3762" s="10"/>
      <c r="N3762" s="10"/>
      <c r="O3762" s="10"/>
      <c r="P3762" s="10"/>
      <c r="Q3762" s="10"/>
      <c r="R3762" s="10"/>
      <c r="S3762" s="10"/>
      <c r="T3762" s="10"/>
      <c r="U3762" s="10"/>
      <c r="V3762" s="10"/>
      <c r="W3762" s="10"/>
      <c r="X3762" s="10"/>
      <c r="Y3762" s="10"/>
      <c r="Z3762" s="10"/>
      <c r="AA3762" s="10"/>
      <c r="AB3762" s="10"/>
      <c r="AC3762" s="10"/>
      <c r="AD3762" s="10"/>
      <c r="AE3762" s="10"/>
      <c r="AF3762" s="10"/>
    </row>
    <row r="3763">
      <c r="A3763" s="7"/>
      <c r="B3763" s="26">
        <v>278.0</v>
      </c>
      <c r="C3763" s="27">
        <v>9.0</v>
      </c>
      <c r="D3763" s="8" t="s">
        <v>4890</v>
      </c>
      <c r="E3763" s="7">
        <v>0.0</v>
      </c>
      <c r="F3763" s="7"/>
      <c r="G3763" s="7" t="s">
        <v>313</v>
      </c>
      <c r="H3763" s="7" t="s">
        <v>312</v>
      </c>
      <c r="I3763" s="10"/>
      <c r="J3763" s="11"/>
      <c r="K3763" s="20" t="s">
        <v>4881</v>
      </c>
      <c r="L3763" s="12"/>
      <c r="M3763" s="10"/>
      <c r="N3763" s="10"/>
      <c r="O3763" s="10"/>
      <c r="P3763" s="10"/>
      <c r="Q3763" s="10"/>
      <c r="R3763" s="10"/>
      <c r="S3763" s="10"/>
      <c r="T3763" s="10"/>
      <c r="U3763" s="10"/>
      <c r="V3763" s="10"/>
      <c r="W3763" s="10"/>
      <c r="X3763" s="10"/>
      <c r="Y3763" s="10"/>
      <c r="Z3763" s="10"/>
      <c r="AA3763" s="10"/>
      <c r="AB3763" s="10"/>
      <c r="AC3763" s="10"/>
      <c r="AD3763" s="10"/>
      <c r="AE3763" s="10"/>
      <c r="AF3763" s="10"/>
    </row>
    <row r="3764">
      <c r="A3764" s="7"/>
      <c r="B3764" s="26">
        <v>278.0</v>
      </c>
      <c r="C3764" s="27">
        <v>10.0</v>
      </c>
      <c r="D3764" s="8" t="s">
        <v>4891</v>
      </c>
      <c r="E3764" s="7">
        <v>0.0</v>
      </c>
      <c r="F3764" s="7"/>
      <c r="G3764" s="7" t="s">
        <v>313</v>
      </c>
      <c r="H3764" s="7" t="s">
        <v>312</v>
      </c>
      <c r="I3764" s="7" t="s">
        <v>4428</v>
      </c>
      <c r="J3764" s="43" t="s">
        <v>4883</v>
      </c>
      <c r="K3764" s="20" t="s">
        <v>4884</v>
      </c>
      <c r="L3764" s="12"/>
      <c r="M3764" s="10"/>
      <c r="N3764" s="10"/>
      <c r="O3764" s="10"/>
      <c r="P3764" s="10"/>
      <c r="Q3764" s="10"/>
      <c r="R3764" s="10"/>
      <c r="S3764" s="10"/>
      <c r="T3764" s="10"/>
      <c r="U3764" s="10"/>
      <c r="V3764" s="10"/>
      <c r="W3764" s="10"/>
      <c r="X3764" s="10"/>
      <c r="Y3764" s="10"/>
      <c r="Z3764" s="10"/>
      <c r="AA3764" s="10"/>
      <c r="AB3764" s="10"/>
      <c r="AC3764" s="10"/>
      <c r="AD3764" s="10"/>
      <c r="AE3764" s="10"/>
      <c r="AF3764" s="10"/>
    </row>
    <row r="3765">
      <c r="A3765" s="7"/>
      <c r="B3765" s="26">
        <v>278.0</v>
      </c>
      <c r="C3765" s="27">
        <v>11.0</v>
      </c>
      <c r="D3765" s="8" t="s">
        <v>4892</v>
      </c>
      <c r="E3765" s="7">
        <v>0.0</v>
      </c>
      <c r="F3765" s="7"/>
      <c r="G3765" s="7" t="s">
        <v>313</v>
      </c>
      <c r="H3765" s="7" t="s">
        <v>312</v>
      </c>
      <c r="I3765" s="10"/>
      <c r="J3765" s="11"/>
      <c r="K3765" s="12"/>
      <c r="L3765" s="12"/>
      <c r="M3765" s="10"/>
      <c r="N3765" s="10"/>
      <c r="O3765" s="10"/>
      <c r="P3765" s="10"/>
      <c r="Q3765" s="10"/>
      <c r="R3765" s="10"/>
      <c r="S3765" s="10"/>
      <c r="T3765" s="10"/>
      <c r="U3765" s="10"/>
      <c r="V3765" s="10"/>
      <c r="W3765" s="10"/>
      <c r="X3765" s="10"/>
      <c r="Y3765" s="10"/>
      <c r="Z3765" s="10"/>
      <c r="AA3765" s="10"/>
      <c r="AB3765" s="10"/>
      <c r="AC3765" s="10"/>
      <c r="AD3765" s="10"/>
      <c r="AE3765" s="10"/>
      <c r="AF3765" s="10"/>
    </row>
    <row r="3766">
      <c r="A3766" s="7"/>
      <c r="B3766" s="26">
        <v>278.0</v>
      </c>
      <c r="C3766" s="27">
        <v>12.0</v>
      </c>
      <c r="D3766" s="8" t="s">
        <v>4893</v>
      </c>
      <c r="E3766" s="7">
        <v>0.0</v>
      </c>
      <c r="F3766" s="7"/>
      <c r="G3766" s="7" t="s">
        <v>313</v>
      </c>
      <c r="H3766" s="7" t="s">
        <v>312</v>
      </c>
      <c r="I3766" s="7" t="s">
        <v>4428</v>
      </c>
      <c r="J3766" s="43" t="s">
        <v>4883</v>
      </c>
      <c r="K3766" s="12"/>
      <c r="L3766" s="12"/>
      <c r="M3766" s="10"/>
      <c r="N3766" s="10"/>
      <c r="O3766" s="10"/>
      <c r="P3766" s="10"/>
      <c r="Q3766" s="10"/>
      <c r="R3766" s="10"/>
      <c r="S3766" s="10"/>
      <c r="T3766" s="10"/>
      <c r="U3766" s="10"/>
      <c r="V3766" s="10"/>
      <c r="W3766" s="10"/>
      <c r="X3766" s="10"/>
      <c r="Y3766" s="10"/>
      <c r="Z3766" s="10"/>
      <c r="AA3766" s="10"/>
      <c r="AB3766" s="10"/>
      <c r="AC3766" s="10"/>
      <c r="AD3766" s="10"/>
      <c r="AE3766" s="10"/>
      <c r="AF3766" s="10"/>
    </row>
    <row r="3767">
      <c r="A3767" s="7"/>
      <c r="B3767" s="26">
        <v>278.0</v>
      </c>
      <c r="C3767" s="27">
        <v>13.0</v>
      </c>
      <c r="D3767" s="8" t="s">
        <v>4894</v>
      </c>
      <c r="E3767" s="7">
        <v>0.0</v>
      </c>
      <c r="F3767" s="7"/>
      <c r="G3767" s="7" t="s">
        <v>313</v>
      </c>
      <c r="H3767" s="7" t="s">
        <v>312</v>
      </c>
      <c r="I3767" s="10"/>
      <c r="J3767" s="11"/>
      <c r="K3767" s="12"/>
      <c r="L3767" s="12"/>
      <c r="M3767" s="10"/>
      <c r="N3767" s="10"/>
      <c r="O3767" s="10"/>
      <c r="P3767" s="10"/>
      <c r="Q3767" s="10"/>
      <c r="R3767" s="10"/>
      <c r="S3767" s="10"/>
      <c r="T3767" s="10"/>
      <c r="U3767" s="10"/>
      <c r="V3767" s="10"/>
      <c r="W3767" s="10"/>
      <c r="X3767" s="10"/>
      <c r="Y3767" s="10"/>
      <c r="Z3767" s="10"/>
      <c r="AA3767" s="10"/>
      <c r="AB3767" s="10"/>
      <c r="AC3767" s="10"/>
      <c r="AD3767" s="10"/>
      <c r="AE3767" s="10"/>
      <c r="AF3767" s="10"/>
    </row>
    <row r="3768">
      <c r="A3768" s="7"/>
      <c r="B3768" s="26">
        <v>278.0</v>
      </c>
      <c r="C3768" s="27">
        <v>14.0</v>
      </c>
      <c r="D3768" s="8" t="s">
        <v>4895</v>
      </c>
      <c r="E3768" s="7">
        <v>0.0</v>
      </c>
      <c r="F3768" s="7"/>
      <c r="G3768" s="7" t="s">
        <v>313</v>
      </c>
      <c r="H3768" s="7" t="s">
        <v>312</v>
      </c>
      <c r="I3768" s="10"/>
      <c r="J3768" s="11"/>
      <c r="K3768" s="12"/>
      <c r="L3768" s="12"/>
      <c r="M3768" s="10"/>
      <c r="N3768" s="10"/>
      <c r="O3768" s="10"/>
      <c r="P3768" s="10"/>
      <c r="Q3768" s="10"/>
      <c r="R3768" s="10"/>
      <c r="S3768" s="10"/>
      <c r="T3768" s="10"/>
      <c r="U3768" s="10"/>
      <c r="V3768" s="10"/>
      <c r="W3768" s="10"/>
      <c r="X3768" s="10"/>
      <c r="Y3768" s="10"/>
      <c r="Z3768" s="10"/>
      <c r="AA3768" s="10"/>
      <c r="AB3768" s="10"/>
      <c r="AC3768" s="10"/>
      <c r="AD3768" s="10"/>
      <c r="AE3768" s="10"/>
      <c r="AF3768" s="10"/>
    </row>
    <row r="3769">
      <c r="A3769" s="7"/>
      <c r="B3769" s="26">
        <v>278.0</v>
      </c>
      <c r="C3769" s="27">
        <v>15.0</v>
      </c>
      <c r="D3769" s="8" t="s">
        <v>4896</v>
      </c>
      <c r="E3769" s="7">
        <v>0.0</v>
      </c>
      <c r="F3769" s="7"/>
      <c r="G3769" s="7" t="s">
        <v>313</v>
      </c>
      <c r="H3769" s="7" t="s">
        <v>312</v>
      </c>
      <c r="I3769" s="10"/>
      <c r="J3769" s="11"/>
      <c r="K3769" s="12"/>
      <c r="L3769" s="12"/>
      <c r="M3769" s="10"/>
      <c r="N3769" s="10"/>
      <c r="O3769" s="10"/>
      <c r="P3769" s="10"/>
      <c r="Q3769" s="10"/>
      <c r="R3769" s="10"/>
      <c r="S3769" s="10"/>
      <c r="T3769" s="10"/>
      <c r="U3769" s="10"/>
      <c r="V3769" s="10"/>
      <c r="W3769" s="10"/>
      <c r="X3769" s="10"/>
      <c r="Y3769" s="10"/>
      <c r="Z3769" s="10"/>
      <c r="AA3769" s="10"/>
      <c r="AB3769" s="10"/>
      <c r="AC3769" s="10"/>
      <c r="AD3769" s="10"/>
      <c r="AE3769" s="10"/>
      <c r="AF3769" s="10"/>
    </row>
    <row r="3770">
      <c r="A3770" s="7"/>
      <c r="B3770" s="26">
        <v>278.0</v>
      </c>
      <c r="C3770" s="27">
        <v>16.0</v>
      </c>
      <c r="D3770" s="8" t="s">
        <v>4897</v>
      </c>
      <c r="E3770" s="7">
        <v>0.0</v>
      </c>
      <c r="F3770" s="7"/>
      <c r="G3770" s="7" t="s">
        <v>313</v>
      </c>
      <c r="H3770" s="7" t="s">
        <v>312</v>
      </c>
      <c r="I3770" s="10"/>
      <c r="J3770" s="11"/>
      <c r="K3770" s="12"/>
      <c r="L3770" s="12"/>
      <c r="M3770" s="10"/>
      <c r="N3770" s="10"/>
      <c r="O3770" s="10"/>
      <c r="P3770" s="10"/>
      <c r="Q3770" s="10"/>
      <c r="R3770" s="10"/>
      <c r="S3770" s="10"/>
      <c r="T3770" s="10"/>
      <c r="U3770" s="10"/>
      <c r="V3770" s="10"/>
      <c r="W3770" s="10"/>
      <c r="X3770" s="10"/>
      <c r="Y3770" s="10"/>
      <c r="Z3770" s="10"/>
      <c r="AA3770" s="10"/>
      <c r="AB3770" s="10"/>
      <c r="AC3770" s="10"/>
      <c r="AD3770" s="10"/>
      <c r="AE3770" s="10"/>
      <c r="AF3770" s="10"/>
    </row>
    <row r="3771">
      <c r="A3771" s="7"/>
      <c r="B3771" s="26">
        <v>278.0</v>
      </c>
      <c r="C3771" s="27">
        <v>17.0</v>
      </c>
      <c r="D3771" s="8" t="s">
        <v>4898</v>
      </c>
      <c r="E3771" s="7">
        <v>0.0</v>
      </c>
      <c r="F3771" s="7"/>
      <c r="G3771" s="7" t="s">
        <v>313</v>
      </c>
      <c r="H3771" s="7" t="s">
        <v>312</v>
      </c>
      <c r="I3771" s="10"/>
      <c r="J3771" s="11"/>
      <c r="K3771" s="12"/>
      <c r="L3771" s="12"/>
      <c r="M3771" s="10"/>
      <c r="N3771" s="10"/>
      <c r="O3771" s="10"/>
      <c r="P3771" s="10"/>
      <c r="Q3771" s="10"/>
      <c r="R3771" s="10"/>
      <c r="S3771" s="10"/>
      <c r="T3771" s="10"/>
      <c r="U3771" s="10"/>
      <c r="V3771" s="10"/>
      <c r="W3771" s="10"/>
      <c r="X3771" s="10"/>
      <c r="Y3771" s="10"/>
      <c r="Z3771" s="10"/>
      <c r="AA3771" s="10"/>
      <c r="AB3771" s="10"/>
      <c r="AC3771" s="10"/>
      <c r="AD3771" s="10"/>
      <c r="AE3771" s="10"/>
      <c r="AF3771" s="10"/>
    </row>
    <row r="3772">
      <c r="A3772" s="7"/>
      <c r="B3772" s="26">
        <v>278.0</v>
      </c>
      <c r="C3772" s="27">
        <v>18.0</v>
      </c>
      <c r="D3772" s="8" t="s">
        <v>4899</v>
      </c>
      <c r="E3772" s="7">
        <v>0.0</v>
      </c>
      <c r="F3772" s="7"/>
      <c r="G3772" s="7" t="s">
        <v>313</v>
      </c>
      <c r="H3772" s="7" t="s">
        <v>312</v>
      </c>
      <c r="I3772" s="10"/>
      <c r="J3772" s="11"/>
      <c r="K3772" s="12"/>
      <c r="L3772" s="12"/>
      <c r="M3772" s="10"/>
      <c r="N3772" s="10"/>
      <c r="O3772" s="10"/>
      <c r="P3772" s="10"/>
      <c r="Q3772" s="10"/>
      <c r="R3772" s="10"/>
      <c r="S3772" s="10"/>
      <c r="T3772" s="10"/>
      <c r="U3772" s="10"/>
      <c r="V3772" s="10"/>
      <c r="W3772" s="10"/>
      <c r="X3772" s="10"/>
      <c r="Y3772" s="10"/>
      <c r="Z3772" s="10"/>
      <c r="AA3772" s="10"/>
      <c r="AB3772" s="10"/>
      <c r="AC3772" s="10"/>
      <c r="AD3772" s="10"/>
      <c r="AE3772" s="10"/>
      <c r="AF3772" s="10"/>
    </row>
    <row r="3773">
      <c r="A3773" s="7"/>
      <c r="B3773" s="26">
        <v>278.0</v>
      </c>
      <c r="C3773" s="27">
        <v>19.0</v>
      </c>
      <c r="D3773" s="8" t="s">
        <v>4900</v>
      </c>
      <c r="E3773" s="7">
        <v>0.0</v>
      </c>
      <c r="F3773" s="7"/>
      <c r="G3773" s="7" t="s">
        <v>313</v>
      </c>
      <c r="H3773" s="7" t="s">
        <v>312</v>
      </c>
      <c r="I3773" s="10"/>
      <c r="J3773" s="11"/>
      <c r="K3773" s="12"/>
      <c r="L3773" s="12"/>
      <c r="M3773" s="10"/>
      <c r="N3773" s="10"/>
      <c r="O3773" s="10"/>
      <c r="P3773" s="10"/>
      <c r="Q3773" s="10"/>
      <c r="R3773" s="10"/>
      <c r="S3773" s="10"/>
      <c r="T3773" s="10"/>
      <c r="U3773" s="10"/>
      <c r="V3773" s="10"/>
      <c r="W3773" s="10"/>
      <c r="X3773" s="10"/>
      <c r="Y3773" s="10"/>
      <c r="Z3773" s="10"/>
      <c r="AA3773" s="10"/>
      <c r="AB3773" s="10"/>
      <c r="AC3773" s="10"/>
      <c r="AD3773" s="10"/>
      <c r="AE3773" s="10"/>
      <c r="AF3773" s="10"/>
    </row>
    <row r="3774">
      <c r="A3774" s="7"/>
      <c r="B3774" s="26">
        <v>278.0</v>
      </c>
      <c r="C3774" s="27">
        <v>20.0</v>
      </c>
      <c r="D3774" s="8" t="s">
        <v>4901</v>
      </c>
      <c r="E3774" s="7">
        <v>0.0</v>
      </c>
      <c r="F3774" s="7"/>
      <c r="G3774" s="7" t="s">
        <v>313</v>
      </c>
      <c r="H3774" s="7" t="s">
        <v>312</v>
      </c>
      <c r="I3774" s="10"/>
      <c r="J3774" s="11"/>
      <c r="K3774" s="12"/>
      <c r="L3774" s="12"/>
      <c r="M3774" s="10"/>
      <c r="N3774" s="10"/>
      <c r="O3774" s="10"/>
      <c r="P3774" s="10"/>
      <c r="Q3774" s="10"/>
      <c r="R3774" s="10"/>
      <c r="S3774" s="10"/>
      <c r="T3774" s="10"/>
      <c r="U3774" s="10"/>
      <c r="V3774" s="10"/>
      <c r="W3774" s="10"/>
      <c r="X3774" s="10"/>
      <c r="Y3774" s="10"/>
      <c r="Z3774" s="10"/>
      <c r="AA3774" s="10"/>
      <c r="AB3774" s="10"/>
      <c r="AC3774" s="10"/>
      <c r="AD3774" s="10"/>
      <c r="AE3774" s="10"/>
      <c r="AF3774" s="10"/>
    </row>
    <row r="3775">
      <c r="A3775" s="7"/>
      <c r="B3775" s="26">
        <v>278.0</v>
      </c>
      <c r="C3775" s="27">
        <v>21.0</v>
      </c>
      <c r="D3775" s="8" t="s">
        <v>4902</v>
      </c>
      <c r="E3775" s="7">
        <v>0.0</v>
      </c>
      <c r="F3775" s="7"/>
      <c r="G3775" s="7" t="s">
        <v>313</v>
      </c>
      <c r="H3775" s="7" t="s">
        <v>312</v>
      </c>
      <c r="I3775" s="10"/>
      <c r="J3775" s="11"/>
      <c r="K3775" s="12"/>
      <c r="L3775" s="12"/>
      <c r="M3775" s="10"/>
      <c r="N3775" s="10"/>
      <c r="O3775" s="10"/>
      <c r="P3775" s="10"/>
      <c r="Q3775" s="10"/>
      <c r="R3775" s="10"/>
      <c r="S3775" s="10"/>
      <c r="T3775" s="10"/>
      <c r="U3775" s="10"/>
      <c r="V3775" s="10"/>
      <c r="W3775" s="10"/>
      <c r="X3775" s="10"/>
      <c r="Y3775" s="10"/>
      <c r="Z3775" s="10"/>
      <c r="AA3775" s="10"/>
      <c r="AB3775" s="10"/>
      <c r="AC3775" s="10"/>
      <c r="AD3775" s="10"/>
      <c r="AE3775" s="10"/>
      <c r="AF3775" s="10"/>
    </row>
    <row r="3776">
      <c r="A3776" s="7"/>
      <c r="B3776" s="26">
        <v>278.0</v>
      </c>
      <c r="C3776" s="27">
        <v>22.0</v>
      </c>
      <c r="D3776" s="8" t="s">
        <v>4903</v>
      </c>
      <c r="E3776" s="7">
        <v>3.0</v>
      </c>
      <c r="F3776" s="7"/>
      <c r="G3776" s="7" t="s">
        <v>313</v>
      </c>
      <c r="H3776" s="7" t="s">
        <v>312</v>
      </c>
      <c r="I3776" s="10"/>
      <c r="J3776" s="11"/>
      <c r="K3776" s="12"/>
      <c r="L3776" s="12"/>
      <c r="M3776" s="10"/>
      <c r="N3776" s="10"/>
      <c r="O3776" s="10"/>
      <c r="P3776" s="10"/>
      <c r="Q3776" s="10"/>
      <c r="R3776" s="10"/>
      <c r="S3776" s="10"/>
      <c r="T3776" s="10"/>
      <c r="U3776" s="10"/>
      <c r="V3776" s="10"/>
      <c r="W3776" s="10"/>
      <c r="X3776" s="10"/>
      <c r="Y3776" s="10"/>
      <c r="Z3776" s="10"/>
      <c r="AA3776" s="10"/>
      <c r="AB3776" s="10"/>
      <c r="AC3776" s="10"/>
      <c r="AD3776" s="10"/>
      <c r="AE3776" s="10"/>
      <c r="AF3776" s="10"/>
    </row>
    <row r="3777">
      <c r="A3777" s="7"/>
      <c r="B3777" s="26">
        <v>278.0</v>
      </c>
      <c r="C3777" s="27">
        <v>23.0</v>
      </c>
      <c r="D3777" s="8" t="s">
        <v>4904</v>
      </c>
      <c r="E3777" s="7">
        <v>0.0</v>
      </c>
      <c r="F3777" s="7"/>
      <c r="G3777" s="7" t="s">
        <v>313</v>
      </c>
      <c r="H3777" s="7" t="s">
        <v>312</v>
      </c>
      <c r="J3777" s="43"/>
      <c r="K3777" s="12"/>
      <c r="L3777" s="12"/>
      <c r="M3777" s="10"/>
      <c r="N3777" s="10"/>
      <c r="O3777" s="10"/>
      <c r="P3777" s="10"/>
      <c r="Q3777" s="10"/>
      <c r="R3777" s="10"/>
      <c r="S3777" s="10"/>
      <c r="T3777" s="10"/>
      <c r="U3777" s="10"/>
      <c r="V3777" s="10"/>
      <c r="W3777" s="10"/>
      <c r="X3777" s="10"/>
      <c r="Y3777" s="10"/>
      <c r="Z3777" s="10"/>
      <c r="AA3777" s="10"/>
      <c r="AB3777" s="10"/>
      <c r="AC3777" s="10"/>
      <c r="AD3777" s="10"/>
      <c r="AE3777" s="10"/>
      <c r="AF3777" s="10"/>
    </row>
    <row r="3778">
      <c r="A3778" s="7"/>
      <c r="B3778" s="26">
        <v>278.0</v>
      </c>
      <c r="C3778" s="27">
        <v>24.0</v>
      </c>
      <c r="D3778" s="8" t="s">
        <v>4905</v>
      </c>
      <c r="E3778" s="7">
        <v>2.0</v>
      </c>
      <c r="F3778" s="7" t="s">
        <v>320</v>
      </c>
      <c r="G3778" s="7" t="s">
        <v>313</v>
      </c>
      <c r="H3778" s="7" t="s">
        <v>312</v>
      </c>
      <c r="I3778" s="7" t="s">
        <v>4428</v>
      </c>
      <c r="J3778" s="9" t="s">
        <v>4906</v>
      </c>
      <c r="K3778" s="8" t="s">
        <v>4907</v>
      </c>
      <c r="L3778" s="12"/>
      <c r="M3778" s="10"/>
      <c r="N3778" s="10"/>
      <c r="O3778" s="10"/>
      <c r="P3778" s="10"/>
      <c r="Q3778" s="10"/>
      <c r="R3778" s="10"/>
      <c r="S3778" s="10"/>
      <c r="T3778" s="10"/>
      <c r="U3778" s="10"/>
      <c r="V3778" s="10"/>
      <c r="W3778" s="10"/>
      <c r="X3778" s="10"/>
      <c r="Y3778" s="10"/>
      <c r="Z3778" s="10"/>
      <c r="AA3778" s="10"/>
      <c r="AB3778" s="10"/>
      <c r="AC3778" s="10"/>
      <c r="AD3778" s="10"/>
      <c r="AE3778" s="10"/>
      <c r="AF3778" s="10"/>
    </row>
    <row r="3779">
      <c r="A3779" s="7"/>
      <c r="B3779" s="26">
        <v>278.0</v>
      </c>
      <c r="C3779" s="27">
        <v>25.0</v>
      </c>
      <c r="D3779" s="8" t="s">
        <v>4908</v>
      </c>
      <c r="E3779" s="7">
        <v>0.0</v>
      </c>
      <c r="F3779" s="7"/>
      <c r="G3779" s="7" t="s">
        <v>313</v>
      </c>
      <c r="H3779" s="7" t="s">
        <v>312</v>
      </c>
      <c r="I3779" s="7" t="s">
        <v>4428</v>
      </c>
      <c r="J3779" s="43" t="s">
        <v>4909</v>
      </c>
      <c r="K3779" s="12"/>
      <c r="L3779" s="12"/>
      <c r="M3779" s="10"/>
      <c r="N3779" s="10"/>
      <c r="O3779" s="10"/>
      <c r="P3779" s="10"/>
      <c r="Q3779" s="10"/>
      <c r="R3779" s="10"/>
      <c r="S3779" s="10"/>
      <c r="T3779" s="10"/>
      <c r="U3779" s="10"/>
      <c r="V3779" s="10"/>
      <c r="W3779" s="10"/>
      <c r="X3779" s="10"/>
      <c r="Y3779" s="10"/>
      <c r="Z3779" s="10"/>
      <c r="AA3779" s="10"/>
      <c r="AB3779" s="10"/>
      <c r="AC3779" s="10"/>
      <c r="AD3779" s="10"/>
      <c r="AE3779" s="10"/>
      <c r="AF3779" s="10"/>
    </row>
    <row r="3780">
      <c r="A3780" s="7"/>
      <c r="B3780" s="26">
        <v>278.0</v>
      </c>
      <c r="C3780" s="27">
        <v>26.0</v>
      </c>
      <c r="D3780" s="8" t="s">
        <v>4910</v>
      </c>
      <c r="E3780" s="7">
        <v>0.0</v>
      </c>
      <c r="F3780" s="7"/>
      <c r="G3780" s="7" t="s">
        <v>313</v>
      </c>
      <c r="H3780" s="7" t="s">
        <v>312</v>
      </c>
      <c r="I3780" s="7" t="s">
        <v>4428</v>
      </c>
      <c r="J3780" s="43" t="s">
        <v>4911</v>
      </c>
      <c r="K3780" s="12"/>
      <c r="L3780" s="12"/>
      <c r="M3780" s="10"/>
      <c r="N3780" s="10"/>
      <c r="O3780" s="10"/>
      <c r="P3780" s="10"/>
      <c r="Q3780" s="10"/>
      <c r="R3780" s="10"/>
      <c r="S3780" s="10"/>
      <c r="T3780" s="10"/>
      <c r="U3780" s="10"/>
      <c r="V3780" s="10"/>
      <c r="W3780" s="10"/>
      <c r="X3780" s="10"/>
      <c r="Y3780" s="10"/>
      <c r="Z3780" s="10"/>
      <c r="AA3780" s="10"/>
      <c r="AB3780" s="10"/>
      <c r="AC3780" s="10"/>
      <c r="AD3780" s="10"/>
      <c r="AE3780" s="10"/>
      <c r="AF3780" s="10"/>
    </row>
    <row r="3781">
      <c r="A3781" s="7"/>
      <c r="B3781" s="26">
        <v>278.0</v>
      </c>
      <c r="C3781" s="27">
        <v>27.0</v>
      </c>
      <c r="D3781" s="8" t="s">
        <v>4912</v>
      </c>
      <c r="E3781" s="7">
        <v>2.0</v>
      </c>
      <c r="F3781" s="7" t="s">
        <v>320</v>
      </c>
      <c r="G3781" s="7" t="s">
        <v>313</v>
      </c>
      <c r="H3781" s="7" t="s">
        <v>312</v>
      </c>
      <c r="I3781" s="7" t="s">
        <v>4428</v>
      </c>
      <c r="J3781" s="9" t="s">
        <v>4913</v>
      </c>
      <c r="K3781" s="8" t="s">
        <v>4914</v>
      </c>
      <c r="L3781" s="12"/>
      <c r="M3781" s="10"/>
      <c r="N3781" s="10"/>
      <c r="O3781" s="10"/>
      <c r="P3781" s="10"/>
      <c r="Q3781" s="10"/>
      <c r="R3781" s="10"/>
      <c r="S3781" s="10"/>
      <c r="T3781" s="10"/>
      <c r="U3781" s="10"/>
      <c r="V3781" s="10"/>
      <c r="W3781" s="10"/>
      <c r="X3781" s="10"/>
      <c r="Y3781" s="10"/>
      <c r="Z3781" s="10"/>
      <c r="AA3781" s="10"/>
      <c r="AB3781" s="10"/>
      <c r="AC3781" s="10"/>
      <c r="AD3781" s="10"/>
      <c r="AE3781" s="10"/>
      <c r="AF3781" s="10"/>
    </row>
    <row r="3782">
      <c r="A3782" s="7"/>
      <c r="B3782" s="26">
        <v>278.0</v>
      </c>
      <c r="C3782" s="27">
        <v>28.0</v>
      </c>
      <c r="D3782" s="8" t="s">
        <v>4915</v>
      </c>
      <c r="E3782" s="7">
        <v>0.0</v>
      </c>
      <c r="F3782" s="7"/>
      <c r="G3782" s="7" t="s">
        <v>313</v>
      </c>
      <c r="H3782" s="7" t="s">
        <v>312</v>
      </c>
      <c r="I3782" s="10"/>
      <c r="J3782" s="11"/>
      <c r="K3782" s="12"/>
      <c r="L3782" s="12"/>
      <c r="M3782" s="10"/>
      <c r="N3782" s="10"/>
      <c r="O3782" s="10"/>
      <c r="P3782" s="10"/>
      <c r="Q3782" s="10"/>
      <c r="R3782" s="10"/>
      <c r="S3782" s="10"/>
      <c r="T3782" s="10"/>
      <c r="U3782" s="10"/>
      <c r="V3782" s="10"/>
      <c r="W3782" s="10"/>
      <c r="X3782" s="10"/>
      <c r="Y3782" s="10"/>
      <c r="Z3782" s="10"/>
      <c r="AA3782" s="10"/>
      <c r="AB3782" s="10"/>
      <c r="AC3782" s="10"/>
      <c r="AD3782" s="10"/>
      <c r="AE3782" s="10"/>
      <c r="AF3782" s="10"/>
    </row>
    <row r="3783">
      <c r="A3783" s="7"/>
      <c r="B3783" s="26">
        <v>278.0</v>
      </c>
      <c r="C3783" s="27">
        <v>29.0</v>
      </c>
      <c r="D3783" s="8" t="s">
        <v>4916</v>
      </c>
      <c r="E3783" s="7">
        <v>0.0</v>
      </c>
      <c r="F3783" s="7"/>
      <c r="G3783" s="7" t="s">
        <v>313</v>
      </c>
      <c r="H3783" s="7" t="s">
        <v>312</v>
      </c>
      <c r="I3783" s="7" t="s">
        <v>4428</v>
      </c>
      <c r="J3783" s="43" t="s">
        <v>4909</v>
      </c>
      <c r="K3783" s="12"/>
      <c r="L3783" s="12"/>
      <c r="M3783" s="10"/>
      <c r="N3783" s="10"/>
      <c r="O3783" s="10"/>
      <c r="P3783" s="10"/>
      <c r="Q3783" s="10"/>
      <c r="R3783" s="10"/>
      <c r="S3783" s="10"/>
      <c r="T3783" s="10"/>
      <c r="U3783" s="10"/>
      <c r="V3783" s="10"/>
      <c r="W3783" s="10"/>
      <c r="X3783" s="10"/>
      <c r="Y3783" s="10"/>
      <c r="Z3783" s="10"/>
      <c r="AA3783" s="10"/>
      <c r="AB3783" s="10"/>
      <c r="AC3783" s="10"/>
      <c r="AD3783" s="10"/>
      <c r="AE3783" s="10"/>
      <c r="AF3783" s="10"/>
    </row>
    <row r="3784">
      <c r="A3784" s="7"/>
      <c r="B3784" s="26">
        <v>278.0</v>
      </c>
      <c r="C3784" s="27">
        <v>30.0</v>
      </c>
      <c r="D3784" s="8" t="s">
        <v>4917</v>
      </c>
      <c r="E3784" s="7">
        <v>0.0</v>
      </c>
      <c r="F3784" s="7"/>
      <c r="G3784" s="7" t="s">
        <v>313</v>
      </c>
      <c r="H3784" s="7" t="s">
        <v>312</v>
      </c>
      <c r="I3784" s="7" t="s">
        <v>4428</v>
      </c>
      <c r="J3784" s="43" t="s">
        <v>4911</v>
      </c>
      <c r="K3784" s="12"/>
      <c r="L3784" s="12"/>
      <c r="M3784" s="10"/>
      <c r="N3784" s="10"/>
      <c r="O3784" s="10"/>
      <c r="P3784" s="10"/>
      <c r="Q3784" s="10"/>
      <c r="R3784" s="10"/>
      <c r="S3784" s="10"/>
      <c r="T3784" s="10"/>
      <c r="U3784" s="10"/>
      <c r="V3784" s="10"/>
      <c r="W3784" s="10"/>
      <c r="X3784" s="10"/>
      <c r="Y3784" s="10"/>
      <c r="Z3784" s="10"/>
      <c r="AA3784" s="10"/>
      <c r="AB3784" s="10"/>
      <c r="AC3784" s="10"/>
      <c r="AD3784" s="10"/>
      <c r="AE3784" s="10"/>
      <c r="AF3784" s="10"/>
    </row>
    <row r="3785">
      <c r="A3785" s="7"/>
      <c r="B3785" s="26">
        <v>278.0</v>
      </c>
      <c r="C3785" s="27">
        <v>31.0</v>
      </c>
      <c r="D3785" s="8" t="s">
        <v>4918</v>
      </c>
      <c r="E3785" s="7">
        <v>2.0</v>
      </c>
      <c r="F3785" s="7" t="s">
        <v>320</v>
      </c>
      <c r="G3785" s="7" t="s">
        <v>313</v>
      </c>
      <c r="H3785" s="7" t="s">
        <v>312</v>
      </c>
      <c r="I3785" s="7" t="s">
        <v>320</v>
      </c>
      <c r="J3785" s="9" t="s">
        <v>4919</v>
      </c>
      <c r="K3785" s="8" t="s">
        <v>4920</v>
      </c>
      <c r="L3785" s="12"/>
      <c r="M3785" s="10"/>
      <c r="N3785" s="10"/>
      <c r="O3785" s="10"/>
      <c r="P3785" s="10"/>
      <c r="Q3785" s="10"/>
      <c r="R3785" s="10"/>
      <c r="S3785" s="10"/>
      <c r="T3785" s="10"/>
      <c r="U3785" s="10"/>
      <c r="V3785" s="10"/>
      <c r="W3785" s="10"/>
      <c r="X3785" s="10"/>
      <c r="Y3785" s="10"/>
      <c r="Z3785" s="10"/>
      <c r="AA3785" s="10"/>
      <c r="AB3785" s="10"/>
      <c r="AC3785" s="10"/>
      <c r="AD3785" s="10"/>
      <c r="AE3785" s="10"/>
      <c r="AF3785" s="10"/>
    </row>
    <row r="3786">
      <c r="A3786" s="7"/>
      <c r="B3786" s="26">
        <v>278.0</v>
      </c>
      <c r="C3786" s="27">
        <v>32.0</v>
      </c>
      <c r="D3786" s="8" t="s">
        <v>4921</v>
      </c>
      <c r="E3786" s="7">
        <v>0.0</v>
      </c>
      <c r="F3786" s="7"/>
      <c r="G3786" s="7" t="s">
        <v>313</v>
      </c>
      <c r="H3786" s="7" t="s">
        <v>312</v>
      </c>
      <c r="I3786" s="7" t="s">
        <v>366</v>
      </c>
      <c r="J3786" s="43" t="s">
        <v>4922</v>
      </c>
      <c r="K3786" s="20" t="s">
        <v>2764</v>
      </c>
      <c r="L3786" s="12"/>
      <c r="M3786" s="10"/>
      <c r="N3786" s="10"/>
      <c r="O3786" s="10"/>
      <c r="P3786" s="10"/>
      <c r="Q3786" s="10"/>
      <c r="R3786" s="10"/>
      <c r="S3786" s="10"/>
      <c r="T3786" s="10"/>
      <c r="U3786" s="10"/>
      <c r="V3786" s="10"/>
      <c r="W3786" s="10"/>
      <c r="X3786" s="10"/>
      <c r="Y3786" s="10"/>
      <c r="Z3786" s="10"/>
      <c r="AA3786" s="10"/>
      <c r="AB3786" s="10"/>
      <c r="AC3786" s="10"/>
      <c r="AD3786" s="10"/>
      <c r="AE3786" s="10"/>
      <c r="AF3786" s="10"/>
    </row>
    <row r="3787">
      <c r="A3787" s="7"/>
      <c r="B3787" s="26">
        <v>278.0</v>
      </c>
      <c r="C3787" s="27">
        <v>33.0</v>
      </c>
      <c r="D3787" s="8" t="s">
        <v>4923</v>
      </c>
      <c r="E3787" s="7">
        <v>0.0</v>
      </c>
      <c r="F3787" s="7"/>
      <c r="G3787" s="7" t="s">
        <v>313</v>
      </c>
      <c r="H3787" s="7" t="s">
        <v>312</v>
      </c>
      <c r="I3787" s="7" t="s">
        <v>366</v>
      </c>
      <c r="J3787" s="43" t="s">
        <v>4922</v>
      </c>
      <c r="K3787" s="20" t="s">
        <v>2764</v>
      </c>
      <c r="L3787" s="12"/>
      <c r="M3787" s="10"/>
      <c r="N3787" s="10"/>
      <c r="O3787" s="10"/>
      <c r="P3787" s="10"/>
      <c r="Q3787" s="10"/>
      <c r="R3787" s="10"/>
      <c r="S3787" s="10"/>
      <c r="T3787" s="10"/>
      <c r="U3787" s="10"/>
      <c r="V3787" s="10"/>
      <c r="W3787" s="10"/>
      <c r="X3787" s="10"/>
      <c r="Y3787" s="10"/>
      <c r="Z3787" s="10"/>
      <c r="AA3787" s="10"/>
      <c r="AB3787" s="10"/>
      <c r="AC3787" s="10"/>
      <c r="AD3787" s="10"/>
      <c r="AE3787" s="10"/>
      <c r="AF3787" s="10"/>
    </row>
    <row r="3788">
      <c r="A3788" s="7"/>
      <c r="B3788" s="26">
        <v>278.0</v>
      </c>
      <c r="C3788" s="27">
        <v>34.0</v>
      </c>
      <c r="D3788" s="8" t="s">
        <v>4924</v>
      </c>
      <c r="E3788" s="7">
        <v>0.0</v>
      </c>
      <c r="F3788" s="7"/>
      <c r="G3788" s="7" t="s">
        <v>313</v>
      </c>
      <c r="H3788" s="7" t="s">
        <v>312</v>
      </c>
      <c r="I3788" s="7" t="s">
        <v>366</v>
      </c>
      <c r="J3788" s="43" t="s">
        <v>4925</v>
      </c>
      <c r="K3788" s="20" t="s">
        <v>2764</v>
      </c>
      <c r="L3788" s="12"/>
      <c r="M3788" s="10"/>
      <c r="N3788" s="10"/>
      <c r="O3788" s="10"/>
      <c r="P3788" s="10"/>
      <c r="Q3788" s="10"/>
      <c r="R3788" s="10"/>
      <c r="S3788" s="10"/>
      <c r="T3788" s="10"/>
      <c r="U3788" s="10"/>
      <c r="V3788" s="10"/>
      <c r="W3788" s="10"/>
      <c r="X3788" s="10"/>
      <c r="Y3788" s="10"/>
      <c r="Z3788" s="10"/>
      <c r="AA3788" s="10"/>
      <c r="AB3788" s="10"/>
      <c r="AC3788" s="10"/>
      <c r="AD3788" s="10"/>
      <c r="AE3788" s="10"/>
      <c r="AF3788" s="10"/>
    </row>
    <row r="3789">
      <c r="A3789" s="7"/>
      <c r="B3789" s="26">
        <v>278.0</v>
      </c>
      <c r="C3789" s="27">
        <v>35.0</v>
      </c>
      <c r="D3789" s="8" t="s">
        <v>4926</v>
      </c>
      <c r="E3789" s="7">
        <v>0.0</v>
      </c>
      <c r="F3789" s="7"/>
      <c r="G3789" s="7" t="s">
        <v>313</v>
      </c>
      <c r="H3789" s="7" t="s">
        <v>312</v>
      </c>
      <c r="I3789" s="7" t="s">
        <v>366</v>
      </c>
      <c r="J3789" s="43" t="s">
        <v>4925</v>
      </c>
      <c r="K3789" s="20" t="s">
        <v>2764</v>
      </c>
      <c r="L3789" s="12"/>
      <c r="M3789" s="10"/>
      <c r="N3789" s="10"/>
      <c r="O3789" s="10"/>
      <c r="P3789" s="10"/>
      <c r="Q3789" s="10"/>
      <c r="R3789" s="10"/>
      <c r="S3789" s="10"/>
      <c r="T3789" s="10"/>
      <c r="U3789" s="10"/>
      <c r="V3789" s="10"/>
      <c r="W3789" s="10"/>
      <c r="X3789" s="10"/>
      <c r="Y3789" s="10"/>
      <c r="Z3789" s="10"/>
      <c r="AA3789" s="10"/>
      <c r="AB3789" s="10"/>
      <c r="AC3789" s="10"/>
      <c r="AD3789" s="10"/>
      <c r="AE3789" s="10"/>
      <c r="AF3789" s="10"/>
    </row>
    <row r="3790">
      <c r="A3790" s="7"/>
      <c r="B3790" s="26">
        <v>278.0</v>
      </c>
      <c r="C3790" s="27">
        <v>36.0</v>
      </c>
      <c r="D3790" s="8" t="s">
        <v>4927</v>
      </c>
      <c r="E3790" s="7">
        <v>0.0</v>
      </c>
      <c r="F3790" s="7"/>
      <c r="G3790" s="7" t="s">
        <v>313</v>
      </c>
      <c r="H3790" s="7" t="s">
        <v>312</v>
      </c>
      <c r="I3790" s="10"/>
      <c r="J3790" s="11"/>
      <c r="K3790" s="12"/>
      <c r="L3790" s="12"/>
      <c r="M3790" s="10"/>
      <c r="N3790" s="10"/>
      <c r="O3790" s="10"/>
      <c r="P3790" s="10"/>
      <c r="Q3790" s="10"/>
      <c r="R3790" s="10"/>
      <c r="S3790" s="10"/>
      <c r="T3790" s="10"/>
      <c r="U3790" s="10"/>
      <c r="V3790" s="10"/>
      <c r="W3790" s="10"/>
      <c r="X3790" s="10"/>
      <c r="Y3790" s="10"/>
      <c r="Z3790" s="10"/>
      <c r="AA3790" s="10"/>
      <c r="AB3790" s="10"/>
      <c r="AC3790" s="10"/>
      <c r="AD3790" s="10"/>
      <c r="AE3790" s="10"/>
      <c r="AF3790" s="10"/>
    </row>
    <row r="3791">
      <c r="A3791" s="10"/>
      <c r="B3791" s="12"/>
      <c r="C3791" s="12"/>
      <c r="D3791" s="12"/>
      <c r="E3791" s="10"/>
      <c r="F3791" s="10"/>
      <c r="G3791" s="7"/>
      <c r="H3791" s="10"/>
      <c r="I3791" s="10"/>
      <c r="J3791" s="11"/>
      <c r="K3791" s="12"/>
      <c r="L3791" s="12"/>
      <c r="M3791" s="10"/>
      <c r="N3791" s="10"/>
      <c r="O3791" s="10"/>
      <c r="P3791" s="10"/>
      <c r="Q3791" s="10"/>
      <c r="R3791" s="10"/>
      <c r="S3791" s="10"/>
      <c r="T3791" s="10"/>
      <c r="U3791" s="10"/>
      <c r="V3791" s="10"/>
      <c r="W3791" s="10"/>
      <c r="X3791" s="10"/>
      <c r="Y3791" s="10"/>
      <c r="Z3791" s="10"/>
      <c r="AA3791" s="10"/>
      <c r="AB3791" s="10"/>
      <c r="AC3791" s="10"/>
      <c r="AD3791" s="10"/>
      <c r="AE3791" s="10"/>
      <c r="AF3791" s="10"/>
    </row>
    <row r="3792">
      <c r="A3792" s="7"/>
      <c r="B3792" s="26">
        <v>279.0</v>
      </c>
      <c r="C3792" s="27">
        <v>1.0</v>
      </c>
      <c r="D3792" s="8" t="s">
        <v>4928</v>
      </c>
      <c r="E3792" s="7">
        <v>0.0</v>
      </c>
      <c r="F3792" s="7"/>
      <c r="G3792" s="7" t="s">
        <v>313</v>
      </c>
      <c r="H3792" s="7" t="s">
        <v>312</v>
      </c>
      <c r="I3792" s="10"/>
      <c r="J3792" s="9" t="s">
        <v>4929</v>
      </c>
      <c r="K3792" s="12"/>
      <c r="L3792" s="12"/>
      <c r="M3792" s="10"/>
      <c r="N3792" s="10"/>
      <c r="O3792" s="10"/>
      <c r="P3792" s="10"/>
      <c r="Q3792" s="10"/>
      <c r="R3792" s="10"/>
      <c r="S3792" s="10"/>
      <c r="T3792" s="10"/>
      <c r="U3792" s="10"/>
      <c r="V3792" s="10"/>
      <c r="W3792" s="10"/>
      <c r="X3792" s="10"/>
      <c r="Y3792" s="10"/>
      <c r="Z3792" s="10"/>
      <c r="AA3792" s="10"/>
      <c r="AB3792" s="10"/>
      <c r="AC3792" s="10"/>
      <c r="AD3792" s="10"/>
      <c r="AE3792" s="10"/>
      <c r="AF3792" s="10"/>
    </row>
    <row r="3793">
      <c r="A3793" s="7"/>
      <c r="B3793" s="26">
        <v>279.0</v>
      </c>
      <c r="C3793" s="27">
        <v>2.0</v>
      </c>
      <c r="D3793" s="8" t="s">
        <v>4930</v>
      </c>
      <c r="E3793" s="7">
        <v>3.0</v>
      </c>
      <c r="F3793" s="7"/>
      <c r="G3793" s="7" t="s">
        <v>313</v>
      </c>
      <c r="H3793" s="7" t="s">
        <v>312</v>
      </c>
      <c r="I3793" s="7" t="s">
        <v>4428</v>
      </c>
      <c r="J3793" s="16" t="s">
        <v>4931</v>
      </c>
      <c r="K3793" s="12"/>
      <c r="L3793" s="12"/>
      <c r="M3793" s="10"/>
      <c r="N3793" s="10"/>
      <c r="O3793" s="10"/>
      <c r="P3793" s="10"/>
      <c r="Q3793" s="10"/>
      <c r="R3793" s="10"/>
      <c r="S3793" s="10"/>
      <c r="T3793" s="10"/>
      <c r="U3793" s="10"/>
      <c r="V3793" s="10"/>
      <c r="W3793" s="10"/>
      <c r="X3793" s="10"/>
      <c r="Y3793" s="10"/>
      <c r="Z3793" s="10"/>
      <c r="AA3793" s="10"/>
      <c r="AB3793" s="10"/>
      <c r="AC3793" s="10"/>
      <c r="AD3793" s="10"/>
      <c r="AE3793" s="10"/>
      <c r="AF3793" s="10"/>
    </row>
    <row r="3794">
      <c r="A3794" s="7"/>
      <c r="B3794" s="26">
        <v>279.0</v>
      </c>
      <c r="C3794" s="27">
        <v>3.0</v>
      </c>
      <c r="D3794" s="8" t="s">
        <v>4932</v>
      </c>
      <c r="E3794" s="7">
        <v>3.0</v>
      </c>
      <c r="F3794" s="7"/>
      <c r="G3794" s="7" t="s">
        <v>313</v>
      </c>
      <c r="H3794" s="7" t="s">
        <v>312</v>
      </c>
      <c r="I3794" s="10"/>
      <c r="J3794" s="11"/>
      <c r="K3794" s="12"/>
      <c r="L3794" s="12"/>
      <c r="M3794" s="10"/>
      <c r="N3794" s="10"/>
      <c r="O3794" s="10"/>
      <c r="P3794" s="10"/>
      <c r="Q3794" s="10"/>
      <c r="R3794" s="10"/>
      <c r="S3794" s="10"/>
      <c r="T3794" s="10"/>
      <c r="U3794" s="10"/>
      <c r="V3794" s="10"/>
      <c r="W3794" s="10"/>
      <c r="X3794" s="10"/>
      <c r="Y3794" s="10"/>
      <c r="Z3794" s="10"/>
      <c r="AA3794" s="10"/>
      <c r="AB3794" s="10"/>
      <c r="AC3794" s="10"/>
      <c r="AD3794" s="10"/>
      <c r="AE3794" s="10"/>
      <c r="AF3794" s="10"/>
    </row>
    <row r="3795">
      <c r="A3795" s="10"/>
      <c r="B3795" s="12"/>
      <c r="C3795" s="12"/>
      <c r="D3795" s="12"/>
      <c r="E3795" s="10"/>
      <c r="F3795" s="10"/>
      <c r="G3795" s="7"/>
      <c r="H3795" s="10"/>
      <c r="I3795" s="10"/>
      <c r="J3795" s="11"/>
      <c r="K3795" s="12"/>
      <c r="L3795" s="12"/>
      <c r="M3795" s="10"/>
      <c r="N3795" s="10"/>
      <c r="O3795" s="10"/>
      <c r="P3795" s="10"/>
      <c r="Q3795" s="10"/>
      <c r="R3795" s="10"/>
      <c r="S3795" s="10"/>
      <c r="T3795" s="10"/>
      <c r="U3795" s="10"/>
      <c r="V3795" s="10"/>
      <c r="W3795" s="10"/>
      <c r="X3795" s="10"/>
      <c r="Y3795" s="10"/>
      <c r="Z3795" s="10"/>
      <c r="AA3795" s="10"/>
      <c r="AB3795" s="10"/>
      <c r="AC3795" s="10"/>
      <c r="AD3795" s="10"/>
      <c r="AE3795" s="10"/>
      <c r="AF3795" s="10"/>
    </row>
    <row r="3796">
      <c r="A3796" s="7"/>
      <c r="B3796" s="26">
        <v>280.0</v>
      </c>
      <c r="C3796" s="27">
        <v>1.0</v>
      </c>
      <c r="D3796" s="8" t="s">
        <v>4933</v>
      </c>
      <c r="E3796" s="7">
        <v>3.0</v>
      </c>
      <c r="F3796" s="7" t="s">
        <v>320</v>
      </c>
      <c r="G3796" s="7" t="s">
        <v>313</v>
      </c>
      <c r="H3796" s="7" t="s">
        <v>312</v>
      </c>
      <c r="I3796" s="7" t="s">
        <v>4428</v>
      </c>
      <c r="J3796" s="16" t="s">
        <v>4934</v>
      </c>
      <c r="K3796" s="12"/>
      <c r="L3796" s="12"/>
      <c r="M3796" s="10"/>
      <c r="N3796" s="10"/>
      <c r="O3796" s="10"/>
      <c r="P3796" s="10"/>
      <c r="Q3796" s="10"/>
      <c r="R3796" s="10"/>
      <c r="S3796" s="10"/>
      <c r="T3796" s="10"/>
      <c r="U3796" s="10"/>
      <c r="V3796" s="10"/>
      <c r="W3796" s="10"/>
      <c r="X3796" s="10"/>
      <c r="Y3796" s="10"/>
      <c r="Z3796" s="10"/>
      <c r="AA3796" s="10"/>
      <c r="AB3796" s="10"/>
      <c r="AC3796" s="10"/>
      <c r="AD3796" s="10"/>
      <c r="AE3796" s="10"/>
      <c r="AF3796" s="10"/>
    </row>
    <row r="3797">
      <c r="A3797" s="7"/>
      <c r="B3797" s="26">
        <v>280.0</v>
      </c>
      <c r="C3797" s="27">
        <v>2.0</v>
      </c>
      <c r="D3797" s="8" t="s">
        <v>4935</v>
      </c>
      <c r="E3797" s="7">
        <v>3.0</v>
      </c>
      <c r="F3797" s="7"/>
      <c r="G3797" s="7" t="s">
        <v>313</v>
      </c>
      <c r="H3797" s="7" t="s">
        <v>312</v>
      </c>
      <c r="I3797" s="10"/>
      <c r="J3797" s="11"/>
      <c r="K3797" s="12"/>
      <c r="L3797" s="12"/>
      <c r="M3797" s="10"/>
      <c r="N3797" s="10"/>
      <c r="O3797" s="10"/>
      <c r="P3797" s="10"/>
      <c r="Q3797" s="10"/>
      <c r="R3797" s="10"/>
      <c r="S3797" s="10"/>
      <c r="T3797" s="10"/>
      <c r="U3797" s="10"/>
      <c r="V3797" s="10"/>
      <c r="W3797" s="10"/>
      <c r="X3797" s="10"/>
      <c r="Y3797" s="10"/>
      <c r="Z3797" s="10"/>
      <c r="AA3797" s="10"/>
      <c r="AB3797" s="10"/>
      <c r="AC3797" s="10"/>
      <c r="AD3797" s="10"/>
      <c r="AE3797" s="10"/>
      <c r="AF3797" s="10"/>
    </row>
    <row r="3798">
      <c r="A3798" s="7"/>
      <c r="B3798" s="26">
        <v>280.0</v>
      </c>
      <c r="C3798" s="27">
        <v>3.0</v>
      </c>
      <c r="D3798" s="8" t="s">
        <v>4936</v>
      </c>
      <c r="E3798" s="7">
        <v>3.0</v>
      </c>
      <c r="F3798" s="7" t="s">
        <v>320</v>
      </c>
      <c r="G3798" s="7" t="s">
        <v>313</v>
      </c>
      <c r="H3798" s="7" t="s">
        <v>312</v>
      </c>
      <c r="I3798" s="7" t="s">
        <v>4428</v>
      </c>
      <c r="J3798" s="9" t="s">
        <v>4937</v>
      </c>
      <c r="K3798" s="12"/>
      <c r="L3798" s="12"/>
      <c r="M3798" s="10"/>
      <c r="N3798" s="10"/>
      <c r="O3798" s="10"/>
      <c r="P3798" s="10"/>
      <c r="Q3798" s="10"/>
      <c r="R3798" s="10"/>
      <c r="S3798" s="10"/>
      <c r="T3798" s="10"/>
      <c r="U3798" s="10"/>
      <c r="V3798" s="10"/>
      <c r="W3798" s="10"/>
      <c r="X3798" s="10"/>
      <c r="Y3798" s="10"/>
      <c r="Z3798" s="10"/>
      <c r="AA3798" s="10"/>
      <c r="AB3798" s="10"/>
      <c r="AC3798" s="10"/>
      <c r="AD3798" s="10"/>
      <c r="AE3798" s="10"/>
      <c r="AF3798" s="10"/>
    </row>
    <row r="3799">
      <c r="A3799" s="7"/>
      <c r="B3799" s="26">
        <v>280.0</v>
      </c>
      <c r="C3799" s="27">
        <v>4.0</v>
      </c>
      <c r="D3799" s="8" t="s">
        <v>4938</v>
      </c>
      <c r="E3799" s="7">
        <v>0.0</v>
      </c>
      <c r="F3799" s="7"/>
      <c r="G3799" s="7" t="s">
        <v>313</v>
      </c>
      <c r="H3799" s="7" t="s">
        <v>312</v>
      </c>
      <c r="I3799" s="10"/>
      <c r="J3799" s="11"/>
      <c r="K3799" s="12"/>
      <c r="L3799" s="12"/>
      <c r="M3799" s="10"/>
      <c r="N3799" s="10"/>
      <c r="O3799" s="10"/>
      <c r="P3799" s="10"/>
      <c r="Q3799" s="10"/>
      <c r="R3799" s="10"/>
      <c r="S3799" s="10"/>
      <c r="T3799" s="10"/>
      <c r="U3799" s="10"/>
      <c r="V3799" s="10"/>
      <c r="W3799" s="10"/>
      <c r="X3799" s="10"/>
      <c r="Y3799" s="10"/>
      <c r="Z3799" s="10"/>
      <c r="AA3799" s="10"/>
      <c r="AB3799" s="10"/>
      <c r="AC3799" s="10"/>
      <c r="AD3799" s="10"/>
      <c r="AE3799" s="10"/>
      <c r="AF3799" s="10"/>
    </row>
    <row r="3800">
      <c r="A3800" s="7"/>
      <c r="B3800" s="26">
        <v>280.0</v>
      </c>
      <c r="C3800" s="27">
        <v>5.0</v>
      </c>
      <c r="D3800" s="8" t="s">
        <v>4939</v>
      </c>
      <c r="E3800" s="7">
        <v>0.0</v>
      </c>
      <c r="F3800" s="7"/>
      <c r="G3800" s="7" t="s">
        <v>313</v>
      </c>
      <c r="H3800" s="7" t="s">
        <v>312</v>
      </c>
      <c r="I3800" s="10"/>
      <c r="J3800" s="11"/>
      <c r="K3800" s="12"/>
      <c r="L3800" s="12"/>
      <c r="M3800" s="10"/>
      <c r="N3800" s="10"/>
      <c r="O3800" s="10"/>
      <c r="P3800" s="10"/>
      <c r="Q3800" s="10"/>
      <c r="R3800" s="10"/>
      <c r="S3800" s="10"/>
      <c r="T3800" s="10"/>
      <c r="U3800" s="10"/>
      <c r="V3800" s="10"/>
      <c r="W3800" s="10"/>
      <c r="X3800" s="10"/>
      <c r="Y3800" s="10"/>
      <c r="Z3800" s="10"/>
      <c r="AA3800" s="10"/>
      <c r="AB3800" s="10"/>
      <c r="AC3800" s="10"/>
      <c r="AD3800" s="10"/>
      <c r="AE3800" s="10"/>
      <c r="AF3800" s="10"/>
    </row>
    <row r="3801">
      <c r="A3801" s="7"/>
      <c r="B3801" s="26">
        <v>280.0</v>
      </c>
      <c r="C3801" s="27">
        <v>6.0</v>
      </c>
      <c r="D3801" s="8" t="s">
        <v>4940</v>
      </c>
      <c r="E3801" s="7">
        <v>0.0</v>
      </c>
      <c r="F3801" s="7"/>
      <c r="G3801" s="7" t="s">
        <v>313</v>
      </c>
      <c r="H3801" s="7" t="s">
        <v>312</v>
      </c>
      <c r="I3801" s="10"/>
      <c r="J3801" s="11"/>
      <c r="K3801" s="12"/>
      <c r="L3801" s="12"/>
      <c r="M3801" s="10"/>
      <c r="N3801" s="10"/>
      <c r="O3801" s="10"/>
      <c r="P3801" s="10"/>
      <c r="Q3801" s="10"/>
      <c r="R3801" s="10"/>
      <c r="S3801" s="10"/>
      <c r="T3801" s="10"/>
      <c r="U3801" s="10"/>
      <c r="V3801" s="10"/>
      <c r="W3801" s="10"/>
      <c r="X3801" s="10"/>
      <c r="Y3801" s="10"/>
      <c r="Z3801" s="10"/>
      <c r="AA3801" s="10"/>
      <c r="AB3801" s="10"/>
      <c r="AC3801" s="10"/>
      <c r="AD3801" s="10"/>
      <c r="AE3801" s="10"/>
      <c r="AF3801" s="10"/>
    </row>
    <row r="3802">
      <c r="A3802" s="7"/>
      <c r="B3802" s="26">
        <v>280.0</v>
      </c>
      <c r="C3802" s="27">
        <v>7.0</v>
      </c>
      <c r="D3802" s="8" t="s">
        <v>4941</v>
      </c>
      <c r="E3802" s="7">
        <v>3.0</v>
      </c>
      <c r="F3802" s="7" t="s">
        <v>320</v>
      </c>
      <c r="G3802" s="7" t="s">
        <v>313</v>
      </c>
      <c r="H3802" s="7" t="s">
        <v>312</v>
      </c>
      <c r="I3802" s="7" t="s">
        <v>4428</v>
      </c>
      <c r="J3802" s="9" t="s">
        <v>4942</v>
      </c>
      <c r="K3802" s="12"/>
      <c r="L3802" s="12"/>
      <c r="M3802" s="10"/>
      <c r="N3802" s="10"/>
      <c r="O3802" s="10"/>
      <c r="P3802" s="10"/>
      <c r="Q3802" s="10"/>
      <c r="R3802" s="10"/>
      <c r="S3802" s="10"/>
      <c r="T3802" s="10"/>
      <c r="U3802" s="10"/>
      <c r="V3802" s="10"/>
      <c r="W3802" s="10"/>
      <c r="X3802" s="10"/>
      <c r="Y3802" s="10"/>
      <c r="Z3802" s="10"/>
      <c r="AA3802" s="10"/>
      <c r="AB3802" s="10"/>
      <c r="AC3802" s="10"/>
      <c r="AD3802" s="10"/>
      <c r="AE3802" s="10"/>
      <c r="AF3802" s="10"/>
    </row>
    <row r="3803">
      <c r="A3803" s="7"/>
      <c r="B3803" s="26">
        <v>280.0</v>
      </c>
      <c r="C3803" s="27">
        <v>8.0</v>
      </c>
      <c r="D3803" s="8" t="s">
        <v>4943</v>
      </c>
      <c r="E3803" s="7">
        <v>0.0</v>
      </c>
      <c r="F3803" s="7"/>
      <c r="G3803" s="7" t="s">
        <v>313</v>
      </c>
      <c r="H3803" s="7" t="s">
        <v>312</v>
      </c>
      <c r="I3803" s="10"/>
      <c r="J3803" s="11"/>
      <c r="K3803" s="12"/>
      <c r="L3803" s="12"/>
      <c r="M3803" s="10"/>
      <c r="N3803" s="10"/>
      <c r="O3803" s="10"/>
      <c r="P3803" s="10"/>
      <c r="Q3803" s="10"/>
      <c r="R3803" s="10"/>
      <c r="S3803" s="10"/>
      <c r="T3803" s="10"/>
      <c r="U3803" s="10"/>
      <c r="V3803" s="10"/>
      <c r="W3803" s="10"/>
      <c r="X3803" s="10"/>
      <c r="Y3803" s="10"/>
      <c r="Z3803" s="10"/>
      <c r="AA3803" s="10"/>
      <c r="AB3803" s="10"/>
      <c r="AC3803" s="10"/>
      <c r="AD3803" s="10"/>
      <c r="AE3803" s="10"/>
      <c r="AF3803" s="10"/>
    </row>
    <row r="3804">
      <c r="A3804" s="7"/>
      <c r="B3804" s="26">
        <v>280.0</v>
      </c>
      <c r="C3804" s="27">
        <v>9.0</v>
      </c>
      <c r="D3804" s="8" t="s">
        <v>4944</v>
      </c>
      <c r="E3804" s="7">
        <v>3.0</v>
      </c>
      <c r="F3804" s="7" t="s">
        <v>320</v>
      </c>
      <c r="G3804" s="7" t="s">
        <v>313</v>
      </c>
      <c r="H3804" s="7" t="s">
        <v>312</v>
      </c>
      <c r="I3804" s="10"/>
      <c r="J3804" s="9" t="s">
        <v>4945</v>
      </c>
      <c r="K3804" s="12"/>
      <c r="L3804" s="12"/>
      <c r="M3804" s="10"/>
      <c r="N3804" s="10"/>
      <c r="O3804" s="10"/>
      <c r="P3804" s="10"/>
      <c r="Q3804" s="10"/>
      <c r="R3804" s="10"/>
      <c r="S3804" s="10"/>
      <c r="T3804" s="10"/>
      <c r="U3804" s="10"/>
      <c r="V3804" s="10"/>
      <c r="W3804" s="10"/>
      <c r="X3804" s="10"/>
      <c r="Y3804" s="10"/>
      <c r="Z3804" s="10"/>
      <c r="AA3804" s="10"/>
      <c r="AB3804" s="10"/>
      <c r="AC3804" s="10"/>
      <c r="AD3804" s="10"/>
      <c r="AE3804" s="10"/>
      <c r="AF3804" s="10"/>
    </row>
    <row r="3805">
      <c r="A3805" s="7"/>
      <c r="B3805" s="26">
        <v>280.0</v>
      </c>
      <c r="C3805" s="27">
        <v>10.0</v>
      </c>
      <c r="D3805" s="8" t="s">
        <v>4946</v>
      </c>
      <c r="E3805" s="7">
        <v>3.0</v>
      </c>
      <c r="F3805" s="7" t="s">
        <v>320</v>
      </c>
      <c r="G3805" s="7" t="s">
        <v>313</v>
      </c>
      <c r="H3805" s="7" t="s">
        <v>312</v>
      </c>
      <c r="I3805" s="7" t="s">
        <v>4428</v>
      </c>
      <c r="J3805" s="9" t="s">
        <v>4947</v>
      </c>
      <c r="K3805" s="12"/>
      <c r="L3805" s="12"/>
      <c r="M3805" s="10"/>
      <c r="N3805" s="10"/>
      <c r="O3805" s="10"/>
      <c r="P3805" s="10"/>
      <c r="Q3805" s="10"/>
      <c r="R3805" s="10"/>
      <c r="S3805" s="10"/>
      <c r="T3805" s="10"/>
      <c r="U3805" s="10"/>
      <c r="V3805" s="10"/>
      <c r="W3805" s="10"/>
      <c r="X3805" s="10"/>
      <c r="Y3805" s="10"/>
      <c r="Z3805" s="10"/>
      <c r="AA3805" s="10"/>
      <c r="AB3805" s="10"/>
      <c r="AC3805" s="10"/>
      <c r="AD3805" s="10"/>
      <c r="AE3805" s="10"/>
      <c r="AF3805" s="10"/>
    </row>
    <row r="3806">
      <c r="A3806" s="10"/>
      <c r="B3806" s="12"/>
      <c r="C3806" s="12"/>
      <c r="D3806" s="12"/>
      <c r="E3806" s="10"/>
      <c r="F3806" s="10"/>
      <c r="G3806" s="10"/>
      <c r="H3806" s="10"/>
      <c r="I3806" s="10"/>
      <c r="J3806" s="11"/>
      <c r="K3806" s="12"/>
      <c r="L3806" s="12"/>
      <c r="M3806" s="10"/>
      <c r="N3806" s="10"/>
      <c r="O3806" s="10"/>
      <c r="P3806" s="10"/>
      <c r="Q3806" s="10"/>
      <c r="R3806" s="10"/>
      <c r="S3806" s="10"/>
      <c r="T3806" s="10"/>
      <c r="U3806" s="10"/>
      <c r="V3806" s="10"/>
      <c r="W3806" s="10"/>
      <c r="X3806" s="10"/>
      <c r="Y3806" s="10"/>
      <c r="Z3806" s="10"/>
      <c r="AA3806" s="10"/>
      <c r="AB3806" s="10"/>
      <c r="AC3806" s="10"/>
      <c r="AD3806" s="10"/>
      <c r="AE3806" s="10"/>
      <c r="AF3806" s="10"/>
    </row>
    <row r="3807">
      <c r="A3807" s="7"/>
      <c r="B3807" s="26">
        <v>281.0</v>
      </c>
      <c r="C3807" s="27">
        <v>1.0</v>
      </c>
      <c r="D3807" s="8" t="s">
        <v>4948</v>
      </c>
      <c r="E3807" s="7">
        <v>0.0</v>
      </c>
      <c r="F3807" s="7"/>
      <c r="G3807" s="7" t="s">
        <v>313</v>
      </c>
      <c r="H3807" s="7" t="s">
        <v>312</v>
      </c>
      <c r="I3807" s="10"/>
      <c r="J3807" s="9" t="s">
        <v>4949</v>
      </c>
      <c r="K3807" s="12"/>
      <c r="L3807" s="12"/>
      <c r="M3807" s="10"/>
      <c r="N3807" s="10"/>
      <c r="O3807" s="10"/>
      <c r="P3807" s="10"/>
      <c r="Q3807" s="10"/>
      <c r="R3807" s="10"/>
      <c r="S3807" s="10"/>
      <c r="T3807" s="10"/>
      <c r="U3807" s="10"/>
      <c r="V3807" s="10"/>
      <c r="W3807" s="10"/>
      <c r="X3807" s="10"/>
      <c r="Y3807" s="10"/>
      <c r="Z3807" s="10"/>
      <c r="AA3807" s="10"/>
      <c r="AB3807" s="10"/>
      <c r="AC3807" s="10"/>
      <c r="AD3807" s="10"/>
      <c r="AE3807" s="10"/>
      <c r="AF3807" s="10"/>
    </row>
    <row r="3808">
      <c r="A3808" s="7"/>
      <c r="B3808" s="26">
        <v>281.0</v>
      </c>
      <c r="C3808" s="27">
        <v>2.0</v>
      </c>
      <c r="D3808" s="8" t="s">
        <v>4950</v>
      </c>
      <c r="E3808" s="7">
        <v>3.0</v>
      </c>
      <c r="F3808" s="7"/>
      <c r="G3808" s="7" t="s">
        <v>313</v>
      </c>
      <c r="H3808" s="7" t="s">
        <v>312</v>
      </c>
      <c r="I3808" s="10"/>
      <c r="J3808" s="11"/>
      <c r="K3808" s="12"/>
      <c r="L3808" s="12"/>
      <c r="M3808" s="10"/>
      <c r="N3808" s="10"/>
      <c r="O3808" s="10"/>
      <c r="P3808" s="10"/>
      <c r="Q3808" s="10"/>
      <c r="R3808" s="10"/>
      <c r="S3808" s="10"/>
      <c r="T3808" s="10"/>
      <c r="U3808" s="10"/>
      <c r="V3808" s="10"/>
      <c r="W3808" s="10"/>
      <c r="X3808" s="10"/>
      <c r="Y3808" s="10"/>
      <c r="Z3808" s="10"/>
      <c r="AA3808" s="10"/>
      <c r="AB3808" s="10"/>
      <c r="AC3808" s="10"/>
      <c r="AD3808" s="10"/>
      <c r="AE3808" s="10"/>
      <c r="AF3808" s="10"/>
    </row>
    <row r="3809">
      <c r="A3809" s="7"/>
      <c r="B3809" s="26">
        <v>281.0</v>
      </c>
      <c r="C3809" s="27">
        <v>3.0</v>
      </c>
      <c r="D3809" s="8" t="s">
        <v>4951</v>
      </c>
      <c r="E3809" s="7">
        <v>3.0</v>
      </c>
      <c r="F3809" s="7"/>
      <c r="G3809" s="7" t="s">
        <v>313</v>
      </c>
      <c r="H3809" s="7" t="s">
        <v>312</v>
      </c>
      <c r="I3809" s="7" t="s">
        <v>4428</v>
      </c>
      <c r="J3809" s="16" t="s">
        <v>4952</v>
      </c>
      <c r="K3809" s="12"/>
      <c r="L3809" s="12"/>
      <c r="M3809" s="10"/>
      <c r="N3809" s="10"/>
      <c r="O3809" s="10"/>
      <c r="P3809" s="10"/>
      <c r="Q3809" s="10"/>
      <c r="R3809" s="10"/>
      <c r="S3809" s="10"/>
      <c r="T3809" s="10"/>
      <c r="U3809" s="10"/>
      <c r="V3809" s="10"/>
      <c r="W3809" s="10"/>
      <c r="X3809" s="10"/>
      <c r="Y3809" s="10"/>
      <c r="Z3809" s="10"/>
      <c r="AA3809" s="10"/>
      <c r="AB3809" s="10"/>
      <c r="AC3809" s="10"/>
      <c r="AD3809" s="10"/>
      <c r="AE3809" s="10"/>
      <c r="AF3809" s="10"/>
    </row>
    <row r="3810">
      <c r="A3810" s="10"/>
      <c r="B3810" s="12"/>
      <c r="C3810" s="12"/>
      <c r="D3810" s="12"/>
      <c r="E3810" s="10"/>
      <c r="F3810" s="10"/>
      <c r="G3810" s="10"/>
      <c r="H3810" s="10"/>
      <c r="I3810" s="10"/>
      <c r="J3810" s="11"/>
      <c r="K3810" s="12"/>
      <c r="L3810" s="12"/>
      <c r="M3810" s="10"/>
      <c r="N3810" s="10"/>
      <c r="O3810" s="10"/>
      <c r="P3810" s="10"/>
      <c r="Q3810" s="10"/>
      <c r="R3810" s="10"/>
      <c r="S3810" s="10"/>
      <c r="T3810" s="10"/>
      <c r="U3810" s="10"/>
      <c r="V3810" s="10"/>
      <c r="W3810" s="10"/>
      <c r="X3810" s="10"/>
      <c r="Y3810" s="10"/>
      <c r="Z3810" s="10"/>
      <c r="AA3810" s="10"/>
      <c r="AB3810" s="10"/>
      <c r="AC3810" s="10"/>
      <c r="AD3810" s="10"/>
      <c r="AE3810" s="10"/>
      <c r="AF3810" s="10"/>
    </row>
    <row r="3811">
      <c r="A3811" s="7"/>
      <c r="B3811" s="26">
        <v>282.0</v>
      </c>
      <c r="C3811" s="27">
        <v>1.0</v>
      </c>
      <c r="D3811" s="8" t="s">
        <v>4953</v>
      </c>
      <c r="E3811" s="7">
        <v>0.0</v>
      </c>
      <c r="F3811" s="7"/>
      <c r="G3811" s="7" t="s">
        <v>313</v>
      </c>
      <c r="H3811" s="7" t="s">
        <v>312</v>
      </c>
      <c r="I3811" s="10"/>
      <c r="K3811" s="12"/>
      <c r="L3811" s="12"/>
      <c r="M3811" s="10"/>
      <c r="N3811" s="10"/>
      <c r="O3811" s="10"/>
      <c r="P3811" s="10"/>
      <c r="Q3811" s="10"/>
      <c r="R3811" s="10"/>
      <c r="S3811" s="10"/>
      <c r="T3811" s="10"/>
      <c r="U3811" s="10"/>
      <c r="V3811" s="10"/>
      <c r="W3811" s="10"/>
      <c r="X3811" s="10"/>
      <c r="Y3811" s="10"/>
      <c r="Z3811" s="10"/>
      <c r="AA3811" s="10"/>
      <c r="AB3811" s="10"/>
      <c r="AC3811" s="10"/>
      <c r="AD3811" s="10"/>
      <c r="AE3811" s="10"/>
      <c r="AF3811" s="10"/>
    </row>
    <row r="3812">
      <c r="A3812" s="7"/>
      <c r="B3812" s="26">
        <v>282.0</v>
      </c>
      <c r="C3812" s="27">
        <v>2.0</v>
      </c>
      <c r="D3812" s="8" t="s">
        <v>4954</v>
      </c>
      <c r="E3812" s="7">
        <v>0.0</v>
      </c>
      <c r="F3812" s="7"/>
      <c r="G3812" s="7" t="s">
        <v>313</v>
      </c>
      <c r="H3812" s="7" t="s">
        <v>312</v>
      </c>
      <c r="I3812" s="10"/>
      <c r="K3812" s="12"/>
      <c r="L3812" s="12"/>
      <c r="M3812" s="10"/>
      <c r="N3812" s="10"/>
      <c r="O3812" s="10"/>
      <c r="P3812" s="10"/>
      <c r="Q3812" s="10"/>
      <c r="R3812" s="10"/>
      <c r="S3812" s="10"/>
      <c r="T3812" s="10"/>
      <c r="U3812" s="10"/>
      <c r="V3812" s="10"/>
      <c r="W3812" s="10"/>
      <c r="X3812" s="10"/>
      <c r="Y3812" s="10"/>
      <c r="Z3812" s="10"/>
      <c r="AA3812" s="10"/>
      <c r="AB3812" s="10"/>
      <c r="AC3812" s="10"/>
      <c r="AD3812" s="10"/>
      <c r="AE3812" s="10"/>
      <c r="AF3812" s="10"/>
    </row>
    <row r="3813">
      <c r="A3813" s="7"/>
      <c r="B3813" s="26">
        <v>282.0</v>
      </c>
      <c r="C3813" s="27">
        <v>3.0</v>
      </c>
      <c r="D3813" s="8" t="s">
        <v>4955</v>
      </c>
      <c r="E3813" s="7">
        <v>0.0</v>
      </c>
      <c r="F3813" s="7"/>
      <c r="G3813" s="7" t="s">
        <v>313</v>
      </c>
      <c r="H3813" s="7" t="s">
        <v>312</v>
      </c>
      <c r="I3813" s="10"/>
      <c r="J3813" s="11"/>
      <c r="K3813" s="12"/>
      <c r="L3813" s="12"/>
      <c r="M3813" s="10"/>
      <c r="N3813" s="10"/>
      <c r="O3813" s="10"/>
      <c r="P3813" s="10"/>
      <c r="Q3813" s="10"/>
      <c r="R3813" s="10"/>
      <c r="S3813" s="10"/>
      <c r="T3813" s="10"/>
      <c r="U3813" s="10"/>
      <c r="V3813" s="10"/>
      <c r="W3813" s="10"/>
      <c r="X3813" s="10"/>
      <c r="Y3813" s="10"/>
      <c r="Z3813" s="10"/>
      <c r="AA3813" s="10"/>
      <c r="AB3813" s="10"/>
      <c r="AC3813" s="10"/>
      <c r="AD3813" s="10"/>
      <c r="AE3813" s="10"/>
      <c r="AF3813" s="10"/>
    </row>
    <row r="3814">
      <c r="A3814" s="7"/>
      <c r="B3814" s="26">
        <v>282.0</v>
      </c>
      <c r="C3814" s="27">
        <v>4.0</v>
      </c>
      <c r="D3814" s="8" t="s">
        <v>4956</v>
      </c>
      <c r="E3814" s="7">
        <v>0.0</v>
      </c>
      <c r="F3814" s="7"/>
      <c r="G3814" s="7" t="s">
        <v>313</v>
      </c>
      <c r="H3814" s="7" t="s">
        <v>312</v>
      </c>
      <c r="I3814" s="10"/>
      <c r="J3814" s="11"/>
      <c r="K3814" s="16" t="s">
        <v>4957</v>
      </c>
      <c r="L3814" s="12"/>
      <c r="M3814" s="10"/>
      <c r="N3814" s="10"/>
      <c r="O3814" s="10"/>
      <c r="P3814" s="10"/>
      <c r="Q3814" s="10"/>
      <c r="R3814" s="10"/>
      <c r="S3814" s="10"/>
      <c r="T3814" s="10"/>
      <c r="U3814" s="10"/>
      <c r="V3814" s="10"/>
      <c r="W3814" s="10"/>
      <c r="X3814" s="10"/>
      <c r="Y3814" s="10"/>
      <c r="Z3814" s="10"/>
      <c r="AA3814" s="10"/>
      <c r="AB3814" s="10"/>
      <c r="AC3814" s="10"/>
      <c r="AD3814" s="10"/>
      <c r="AE3814" s="10"/>
      <c r="AF3814" s="10"/>
    </row>
    <row r="3815">
      <c r="A3815" s="7"/>
      <c r="B3815" s="26">
        <v>282.0</v>
      </c>
      <c r="C3815" s="27">
        <v>5.0</v>
      </c>
      <c r="D3815" s="8" t="s">
        <v>4958</v>
      </c>
      <c r="E3815" s="7">
        <v>0.0</v>
      </c>
      <c r="F3815" s="7"/>
      <c r="G3815" s="7" t="s">
        <v>313</v>
      </c>
      <c r="H3815" s="7" t="s">
        <v>312</v>
      </c>
      <c r="I3815" s="10"/>
      <c r="J3815" s="11"/>
      <c r="K3815" s="12"/>
      <c r="L3815" s="12"/>
      <c r="M3815" s="10"/>
      <c r="N3815" s="10"/>
      <c r="O3815" s="10"/>
      <c r="P3815" s="10"/>
      <c r="Q3815" s="10"/>
      <c r="R3815" s="10"/>
      <c r="S3815" s="10"/>
      <c r="T3815" s="10"/>
      <c r="U3815" s="10"/>
      <c r="V3815" s="10"/>
      <c r="W3815" s="10"/>
      <c r="X3815" s="10"/>
      <c r="Y3815" s="10"/>
      <c r="Z3815" s="10"/>
      <c r="AA3815" s="10"/>
      <c r="AB3815" s="10"/>
      <c r="AC3815" s="10"/>
      <c r="AD3815" s="10"/>
      <c r="AE3815" s="10"/>
      <c r="AF3815" s="10"/>
    </row>
    <row r="3816">
      <c r="A3816" s="7"/>
      <c r="B3816" s="26">
        <v>282.0</v>
      </c>
      <c r="C3816" s="27">
        <v>6.0</v>
      </c>
      <c r="D3816" s="8" t="s">
        <v>4959</v>
      </c>
      <c r="E3816" s="7">
        <v>0.0</v>
      </c>
      <c r="F3816" s="7"/>
      <c r="G3816" s="7" t="s">
        <v>313</v>
      </c>
      <c r="H3816" s="7" t="s">
        <v>312</v>
      </c>
      <c r="I3816" s="10"/>
      <c r="J3816" s="11"/>
      <c r="K3816" s="12"/>
      <c r="L3816" s="12"/>
      <c r="M3816" s="10"/>
      <c r="N3816" s="10"/>
      <c r="O3816" s="10"/>
      <c r="P3816" s="10"/>
      <c r="Q3816" s="10"/>
      <c r="R3816" s="10"/>
      <c r="S3816" s="10"/>
      <c r="T3816" s="10"/>
      <c r="U3816" s="10"/>
      <c r="V3816" s="10"/>
      <c r="W3816" s="10"/>
      <c r="X3816" s="10"/>
      <c r="Y3816" s="10"/>
      <c r="Z3816" s="10"/>
      <c r="AA3816" s="10"/>
      <c r="AB3816" s="10"/>
      <c r="AC3816" s="10"/>
      <c r="AD3816" s="10"/>
      <c r="AE3816" s="10"/>
      <c r="AF3816" s="10"/>
    </row>
    <row r="3817">
      <c r="A3817" s="7"/>
      <c r="B3817" s="26">
        <v>282.0</v>
      </c>
      <c r="C3817" s="27">
        <v>7.0</v>
      </c>
      <c r="D3817" s="8" t="s">
        <v>4960</v>
      </c>
      <c r="E3817" s="7">
        <v>0.0</v>
      </c>
      <c r="F3817" s="7"/>
      <c r="G3817" s="7" t="s">
        <v>313</v>
      </c>
      <c r="H3817" s="7" t="s">
        <v>312</v>
      </c>
      <c r="I3817" s="10"/>
      <c r="J3817" s="11"/>
      <c r="K3817" s="12"/>
      <c r="L3817" s="12"/>
      <c r="M3817" s="10"/>
      <c r="N3817" s="10"/>
      <c r="O3817" s="10"/>
      <c r="P3817" s="10"/>
      <c r="Q3817" s="10"/>
      <c r="R3817" s="10"/>
      <c r="S3817" s="10"/>
      <c r="T3817" s="10"/>
      <c r="U3817" s="10"/>
      <c r="V3817" s="10"/>
      <c r="W3817" s="10"/>
      <c r="X3817" s="10"/>
      <c r="Y3817" s="10"/>
      <c r="Z3817" s="10"/>
      <c r="AA3817" s="10"/>
      <c r="AB3817" s="10"/>
      <c r="AC3817" s="10"/>
      <c r="AD3817" s="10"/>
      <c r="AE3817" s="10"/>
      <c r="AF3817" s="10"/>
    </row>
    <row r="3818">
      <c r="A3818" s="7"/>
      <c r="B3818" s="26">
        <v>282.0</v>
      </c>
      <c r="C3818" s="27">
        <v>8.0</v>
      </c>
      <c r="D3818" s="8" t="s">
        <v>4961</v>
      </c>
      <c r="E3818" s="7">
        <v>0.0</v>
      </c>
      <c r="F3818" s="7"/>
      <c r="G3818" s="7" t="s">
        <v>313</v>
      </c>
      <c r="H3818" s="7" t="s">
        <v>312</v>
      </c>
      <c r="I3818" s="10"/>
      <c r="J3818" s="11"/>
      <c r="K3818" s="12"/>
      <c r="L3818" s="12"/>
      <c r="M3818" s="10"/>
      <c r="N3818" s="10"/>
      <c r="O3818" s="10"/>
      <c r="P3818" s="10"/>
      <c r="Q3818" s="10"/>
      <c r="R3818" s="10"/>
      <c r="S3818" s="10"/>
      <c r="T3818" s="10"/>
      <c r="U3818" s="10"/>
      <c r="V3818" s="10"/>
      <c r="W3818" s="10"/>
      <c r="X3818" s="10"/>
      <c r="Y3818" s="10"/>
      <c r="Z3818" s="10"/>
      <c r="AA3818" s="10"/>
      <c r="AB3818" s="10"/>
      <c r="AC3818" s="10"/>
      <c r="AD3818" s="10"/>
      <c r="AE3818" s="10"/>
      <c r="AF3818" s="10"/>
    </row>
    <row r="3819">
      <c r="A3819" s="7"/>
      <c r="B3819" s="26">
        <v>282.0</v>
      </c>
      <c r="C3819" s="27">
        <v>9.0</v>
      </c>
      <c r="D3819" s="8" t="s">
        <v>4962</v>
      </c>
      <c r="E3819" s="7">
        <v>0.0</v>
      </c>
      <c r="F3819" s="7"/>
      <c r="G3819" s="7" t="s">
        <v>313</v>
      </c>
      <c r="H3819" s="7" t="s">
        <v>312</v>
      </c>
      <c r="I3819" s="10"/>
      <c r="J3819" s="11"/>
      <c r="K3819" s="12"/>
      <c r="L3819" s="12"/>
      <c r="M3819" s="10"/>
      <c r="N3819" s="10"/>
      <c r="O3819" s="10"/>
      <c r="P3819" s="10"/>
      <c r="Q3819" s="10"/>
      <c r="R3819" s="10"/>
      <c r="S3819" s="10"/>
      <c r="T3819" s="10"/>
      <c r="U3819" s="10"/>
      <c r="V3819" s="10"/>
      <c r="W3819" s="10"/>
      <c r="X3819" s="10"/>
      <c r="Y3819" s="10"/>
      <c r="Z3819" s="10"/>
      <c r="AA3819" s="10"/>
      <c r="AB3819" s="10"/>
      <c r="AC3819" s="10"/>
      <c r="AD3819" s="10"/>
      <c r="AE3819" s="10"/>
      <c r="AF3819" s="10"/>
    </row>
    <row r="3820">
      <c r="A3820" s="7"/>
      <c r="B3820" s="26">
        <v>282.0</v>
      </c>
      <c r="C3820" s="27">
        <v>10.0</v>
      </c>
      <c r="D3820" s="8" t="s">
        <v>4963</v>
      </c>
      <c r="E3820" s="7">
        <v>0.0</v>
      </c>
      <c r="F3820" s="7"/>
      <c r="G3820" s="7" t="s">
        <v>313</v>
      </c>
      <c r="H3820" s="7" t="s">
        <v>312</v>
      </c>
      <c r="I3820" s="10"/>
      <c r="K3820" s="16" t="s">
        <v>4957</v>
      </c>
      <c r="L3820" s="12"/>
      <c r="M3820" s="10"/>
      <c r="N3820" s="10"/>
      <c r="O3820" s="10"/>
      <c r="P3820" s="10"/>
      <c r="Q3820" s="10"/>
      <c r="R3820" s="10"/>
      <c r="S3820" s="10"/>
      <c r="T3820" s="10"/>
      <c r="U3820" s="10"/>
      <c r="V3820" s="10"/>
      <c r="W3820" s="10"/>
      <c r="X3820" s="10"/>
      <c r="Y3820" s="10"/>
      <c r="Z3820" s="10"/>
      <c r="AA3820" s="10"/>
      <c r="AB3820" s="10"/>
      <c r="AC3820" s="10"/>
      <c r="AD3820" s="10"/>
      <c r="AE3820" s="10"/>
      <c r="AF3820" s="10"/>
    </row>
    <row r="3821">
      <c r="A3821" s="7"/>
      <c r="B3821" s="26">
        <v>282.0</v>
      </c>
      <c r="C3821" s="27">
        <v>11.0</v>
      </c>
      <c r="D3821" s="8" t="s">
        <v>4964</v>
      </c>
      <c r="E3821" s="7">
        <v>0.0</v>
      </c>
      <c r="F3821" s="7"/>
      <c r="G3821" s="7" t="s">
        <v>313</v>
      </c>
      <c r="H3821" s="7" t="s">
        <v>312</v>
      </c>
      <c r="I3821" s="10"/>
      <c r="J3821" s="11"/>
      <c r="K3821" s="12"/>
      <c r="L3821" s="12"/>
      <c r="M3821" s="10"/>
      <c r="N3821" s="10"/>
      <c r="O3821" s="10"/>
      <c r="P3821" s="10"/>
      <c r="Q3821" s="10"/>
      <c r="R3821" s="10"/>
      <c r="S3821" s="10"/>
      <c r="T3821" s="10"/>
      <c r="U3821" s="10"/>
      <c r="V3821" s="10"/>
      <c r="W3821" s="10"/>
      <c r="X3821" s="10"/>
      <c r="Y3821" s="10"/>
      <c r="Z3821" s="10"/>
      <c r="AA3821" s="10"/>
      <c r="AB3821" s="10"/>
      <c r="AC3821" s="10"/>
      <c r="AD3821" s="10"/>
      <c r="AE3821" s="10"/>
      <c r="AF3821" s="10"/>
    </row>
    <row r="3822">
      <c r="A3822" s="7"/>
      <c r="B3822" s="26">
        <v>282.0</v>
      </c>
      <c r="C3822" s="27">
        <v>12.0</v>
      </c>
      <c r="D3822" s="8" t="s">
        <v>4965</v>
      </c>
      <c r="E3822" s="7">
        <v>0.0</v>
      </c>
      <c r="F3822" s="7"/>
      <c r="G3822" s="7" t="s">
        <v>313</v>
      </c>
      <c r="H3822" s="7" t="s">
        <v>312</v>
      </c>
      <c r="I3822" s="10"/>
      <c r="J3822" s="11"/>
      <c r="K3822" s="12"/>
      <c r="L3822" s="12"/>
      <c r="M3822" s="10"/>
      <c r="N3822" s="10"/>
      <c r="O3822" s="10"/>
      <c r="P3822" s="10"/>
      <c r="Q3822" s="10"/>
      <c r="R3822" s="10"/>
      <c r="S3822" s="10"/>
      <c r="T3822" s="10"/>
      <c r="U3822" s="10"/>
      <c r="V3822" s="10"/>
      <c r="W3822" s="10"/>
      <c r="X3822" s="10"/>
      <c r="Y3822" s="10"/>
      <c r="Z3822" s="10"/>
      <c r="AA3822" s="10"/>
      <c r="AB3822" s="10"/>
      <c r="AC3822" s="10"/>
      <c r="AD3822" s="10"/>
      <c r="AE3822" s="10"/>
      <c r="AF3822" s="10"/>
    </row>
    <row r="3823">
      <c r="A3823" s="7"/>
      <c r="B3823" s="26">
        <v>282.0</v>
      </c>
      <c r="C3823" s="27">
        <v>13.0</v>
      </c>
      <c r="D3823" s="8" t="s">
        <v>4966</v>
      </c>
      <c r="E3823" s="7">
        <v>0.0</v>
      </c>
      <c r="F3823" s="7"/>
      <c r="G3823" s="7" t="s">
        <v>313</v>
      </c>
      <c r="H3823" s="7" t="s">
        <v>312</v>
      </c>
      <c r="I3823" s="10"/>
      <c r="J3823" s="11"/>
      <c r="K3823" s="12"/>
      <c r="L3823" s="12"/>
      <c r="M3823" s="10"/>
      <c r="N3823" s="10"/>
      <c r="O3823" s="10"/>
      <c r="P3823" s="10"/>
      <c r="Q3823" s="10"/>
      <c r="R3823" s="10"/>
      <c r="S3823" s="10"/>
      <c r="T3823" s="10"/>
      <c r="U3823" s="10"/>
      <c r="V3823" s="10"/>
      <c r="W3823" s="10"/>
      <c r="X3823" s="10"/>
      <c r="Y3823" s="10"/>
      <c r="Z3823" s="10"/>
      <c r="AA3823" s="10"/>
      <c r="AB3823" s="10"/>
      <c r="AC3823" s="10"/>
      <c r="AD3823" s="10"/>
      <c r="AE3823" s="10"/>
      <c r="AF3823" s="10"/>
    </row>
    <row r="3824">
      <c r="A3824" s="7"/>
      <c r="B3824" s="26">
        <v>282.0</v>
      </c>
      <c r="C3824" s="27">
        <v>14.0</v>
      </c>
      <c r="D3824" s="8" t="s">
        <v>4967</v>
      </c>
      <c r="E3824" s="7">
        <v>0.0</v>
      </c>
      <c r="F3824" s="7"/>
      <c r="G3824" s="7" t="s">
        <v>313</v>
      </c>
      <c r="H3824" s="7" t="s">
        <v>312</v>
      </c>
      <c r="I3824" s="10"/>
      <c r="J3824" s="11"/>
      <c r="K3824" s="12"/>
      <c r="L3824" s="12"/>
      <c r="M3824" s="10"/>
      <c r="N3824" s="10"/>
      <c r="O3824" s="10"/>
      <c r="P3824" s="10"/>
      <c r="Q3824" s="10"/>
      <c r="R3824" s="10"/>
      <c r="S3824" s="10"/>
      <c r="T3824" s="10"/>
      <c r="U3824" s="10"/>
      <c r="V3824" s="10"/>
      <c r="W3824" s="10"/>
      <c r="X3824" s="10"/>
      <c r="Y3824" s="10"/>
      <c r="Z3824" s="10"/>
      <c r="AA3824" s="10"/>
      <c r="AB3824" s="10"/>
      <c r="AC3824" s="10"/>
      <c r="AD3824" s="10"/>
      <c r="AE3824" s="10"/>
      <c r="AF3824" s="10"/>
    </row>
    <row r="3825">
      <c r="A3825" s="7"/>
      <c r="B3825" s="26">
        <v>282.0</v>
      </c>
      <c r="C3825" s="27">
        <v>15.0</v>
      </c>
      <c r="D3825" s="8" t="s">
        <v>4968</v>
      </c>
      <c r="E3825" s="7">
        <v>3.0</v>
      </c>
      <c r="F3825" s="7" t="s">
        <v>320</v>
      </c>
      <c r="G3825" s="7" t="s">
        <v>313</v>
      </c>
      <c r="H3825" s="7" t="s">
        <v>312</v>
      </c>
      <c r="I3825" s="7" t="s">
        <v>4428</v>
      </c>
      <c r="J3825" s="43" t="s">
        <v>4969</v>
      </c>
      <c r="K3825" s="16" t="s">
        <v>4957</v>
      </c>
      <c r="L3825" s="12"/>
      <c r="M3825" s="10"/>
      <c r="N3825" s="10"/>
      <c r="O3825" s="10"/>
      <c r="P3825" s="10"/>
      <c r="Q3825" s="10"/>
      <c r="R3825" s="10"/>
      <c r="S3825" s="10"/>
      <c r="T3825" s="10"/>
      <c r="U3825" s="10"/>
      <c r="V3825" s="10"/>
      <c r="W3825" s="10"/>
      <c r="X3825" s="10"/>
      <c r="Y3825" s="10"/>
      <c r="Z3825" s="10"/>
      <c r="AA3825" s="10"/>
      <c r="AB3825" s="10"/>
      <c r="AC3825" s="10"/>
      <c r="AD3825" s="10"/>
      <c r="AE3825" s="10"/>
      <c r="AF3825" s="10"/>
    </row>
    <row r="3826">
      <c r="A3826" s="7"/>
      <c r="B3826" s="26">
        <v>282.0</v>
      </c>
      <c r="C3826" s="27">
        <v>16.0</v>
      </c>
      <c r="D3826" s="8" t="s">
        <v>4970</v>
      </c>
      <c r="E3826" s="7">
        <v>3.0</v>
      </c>
      <c r="F3826" s="7" t="s">
        <v>320</v>
      </c>
      <c r="G3826" s="7" t="s">
        <v>313</v>
      </c>
      <c r="H3826" s="7" t="s">
        <v>312</v>
      </c>
      <c r="I3826" s="10"/>
      <c r="J3826" s="9" t="s">
        <v>4971</v>
      </c>
      <c r="K3826" s="12"/>
      <c r="L3826" s="12"/>
      <c r="M3826" s="10"/>
      <c r="N3826" s="10"/>
      <c r="O3826" s="10"/>
      <c r="P3826" s="10"/>
      <c r="Q3826" s="10"/>
      <c r="R3826" s="10"/>
      <c r="S3826" s="10"/>
      <c r="T3826" s="10"/>
      <c r="U3826" s="10"/>
      <c r="V3826" s="10"/>
      <c r="W3826" s="10"/>
      <c r="X3826" s="10"/>
      <c r="Y3826" s="10"/>
      <c r="Z3826" s="10"/>
      <c r="AA3826" s="10"/>
      <c r="AB3826" s="10"/>
      <c r="AC3826" s="10"/>
      <c r="AD3826" s="10"/>
      <c r="AE3826" s="10"/>
      <c r="AF3826" s="10"/>
    </row>
    <row r="3827">
      <c r="A3827" s="7"/>
      <c r="B3827" s="26">
        <v>282.0</v>
      </c>
      <c r="C3827" s="27">
        <v>17.0</v>
      </c>
      <c r="D3827" s="8" t="s">
        <v>4972</v>
      </c>
      <c r="E3827" s="7">
        <v>0.0</v>
      </c>
      <c r="F3827" s="7"/>
      <c r="G3827" s="7" t="s">
        <v>313</v>
      </c>
      <c r="H3827" s="7" t="s">
        <v>312</v>
      </c>
      <c r="I3827" s="7" t="s">
        <v>4428</v>
      </c>
      <c r="J3827" s="43" t="s">
        <v>4973</v>
      </c>
      <c r="K3827" s="12"/>
      <c r="L3827" s="12"/>
      <c r="M3827" s="10"/>
      <c r="N3827" s="10"/>
      <c r="O3827" s="10"/>
      <c r="P3827" s="10"/>
      <c r="Q3827" s="10"/>
      <c r="R3827" s="10"/>
      <c r="S3827" s="10"/>
      <c r="T3827" s="10"/>
      <c r="U3827" s="10"/>
      <c r="V3827" s="10"/>
      <c r="W3827" s="10"/>
      <c r="X3827" s="10"/>
      <c r="Y3827" s="10"/>
      <c r="Z3827" s="10"/>
      <c r="AA3827" s="10"/>
      <c r="AB3827" s="10"/>
      <c r="AC3827" s="10"/>
      <c r="AD3827" s="10"/>
      <c r="AE3827" s="10"/>
      <c r="AF3827" s="10"/>
    </row>
    <row r="3828">
      <c r="A3828" s="7"/>
      <c r="B3828" s="26">
        <v>282.0</v>
      </c>
      <c r="C3828" s="27">
        <v>18.0</v>
      </c>
      <c r="D3828" s="8" t="s">
        <v>4974</v>
      </c>
      <c r="E3828" s="7">
        <v>0.0</v>
      </c>
      <c r="F3828" s="7"/>
      <c r="G3828" s="7" t="s">
        <v>313</v>
      </c>
      <c r="H3828" s="7" t="s">
        <v>312</v>
      </c>
      <c r="I3828" s="10"/>
      <c r="J3828" s="11"/>
      <c r="K3828" s="12"/>
      <c r="L3828" s="12"/>
      <c r="M3828" s="10"/>
      <c r="N3828" s="10"/>
      <c r="O3828" s="10"/>
      <c r="P3828" s="10"/>
      <c r="Q3828" s="10"/>
      <c r="R3828" s="10"/>
      <c r="S3828" s="10"/>
      <c r="T3828" s="10"/>
      <c r="U3828" s="10"/>
      <c r="V3828" s="10"/>
      <c r="W3828" s="10"/>
      <c r="X3828" s="10"/>
      <c r="Y3828" s="10"/>
      <c r="Z3828" s="10"/>
      <c r="AA3828" s="10"/>
      <c r="AB3828" s="10"/>
      <c r="AC3828" s="10"/>
      <c r="AD3828" s="10"/>
      <c r="AE3828" s="10"/>
      <c r="AF3828" s="10"/>
    </row>
    <row r="3829">
      <c r="A3829" s="7"/>
      <c r="B3829" s="26">
        <v>282.0</v>
      </c>
      <c r="C3829" s="27">
        <v>19.0</v>
      </c>
      <c r="D3829" s="8" t="s">
        <v>4975</v>
      </c>
      <c r="E3829" s="7">
        <v>3.0</v>
      </c>
      <c r="F3829" s="7" t="s">
        <v>320</v>
      </c>
      <c r="G3829" s="7" t="s">
        <v>313</v>
      </c>
      <c r="H3829" s="7" t="s">
        <v>312</v>
      </c>
      <c r="I3829" s="7" t="s">
        <v>4428</v>
      </c>
      <c r="J3829" s="9" t="s">
        <v>4976</v>
      </c>
      <c r="K3829" s="12"/>
      <c r="L3829" s="12"/>
      <c r="M3829" s="10"/>
      <c r="N3829" s="10"/>
      <c r="O3829" s="10"/>
      <c r="P3829" s="10"/>
      <c r="Q3829" s="10"/>
      <c r="R3829" s="10"/>
      <c r="S3829" s="10"/>
      <c r="T3829" s="10"/>
      <c r="U3829" s="10"/>
      <c r="V3829" s="10"/>
      <c r="W3829" s="10"/>
      <c r="X3829" s="10"/>
      <c r="Y3829" s="10"/>
      <c r="Z3829" s="10"/>
      <c r="AA3829" s="10"/>
      <c r="AB3829" s="10"/>
      <c r="AC3829" s="10"/>
      <c r="AD3829" s="10"/>
      <c r="AE3829" s="10"/>
      <c r="AF3829" s="10"/>
    </row>
    <row r="3830">
      <c r="A3830" s="7"/>
      <c r="B3830" s="26">
        <v>282.0</v>
      </c>
      <c r="C3830" s="27">
        <v>20.0</v>
      </c>
      <c r="D3830" s="8" t="s">
        <v>4977</v>
      </c>
      <c r="E3830" s="7">
        <v>3.0</v>
      </c>
      <c r="F3830" s="7" t="s">
        <v>320</v>
      </c>
      <c r="G3830" s="7" t="s">
        <v>313</v>
      </c>
      <c r="H3830" s="7" t="s">
        <v>312</v>
      </c>
      <c r="I3830" s="7" t="s">
        <v>4428</v>
      </c>
      <c r="J3830" s="9" t="s">
        <v>4978</v>
      </c>
      <c r="K3830" s="12"/>
      <c r="L3830" s="12"/>
      <c r="M3830" s="10"/>
      <c r="N3830" s="10"/>
      <c r="O3830" s="10"/>
      <c r="P3830" s="10"/>
      <c r="Q3830" s="10"/>
      <c r="R3830" s="10"/>
      <c r="S3830" s="10"/>
      <c r="T3830" s="10"/>
      <c r="U3830" s="10"/>
      <c r="V3830" s="10"/>
      <c r="W3830" s="10"/>
      <c r="X3830" s="10"/>
      <c r="Y3830" s="10"/>
      <c r="Z3830" s="10"/>
      <c r="AA3830" s="10"/>
      <c r="AB3830" s="10"/>
      <c r="AC3830" s="10"/>
      <c r="AD3830" s="10"/>
      <c r="AE3830" s="10"/>
      <c r="AF3830" s="10"/>
    </row>
    <row r="3831">
      <c r="A3831" s="7"/>
      <c r="B3831" s="26">
        <v>282.0</v>
      </c>
      <c r="C3831" s="27">
        <v>21.0</v>
      </c>
      <c r="D3831" s="8" t="s">
        <v>4979</v>
      </c>
      <c r="E3831" s="7">
        <v>0.0</v>
      </c>
      <c r="F3831" s="7"/>
      <c r="G3831" s="7" t="s">
        <v>313</v>
      </c>
      <c r="H3831" s="7" t="s">
        <v>312</v>
      </c>
      <c r="I3831" s="10"/>
      <c r="J3831" s="11"/>
      <c r="K3831" s="12"/>
      <c r="L3831" s="12"/>
      <c r="M3831" s="10"/>
      <c r="N3831" s="10"/>
      <c r="O3831" s="10"/>
      <c r="P3831" s="10"/>
      <c r="Q3831" s="10"/>
      <c r="R3831" s="10"/>
      <c r="S3831" s="10"/>
      <c r="T3831" s="10"/>
      <c r="U3831" s="10"/>
      <c r="V3831" s="10"/>
      <c r="W3831" s="10"/>
      <c r="X3831" s="10"/>
      <c r="Y3831" s="10"/>
      <c r="Z3831" s="10"/>
      <c r="AA3831" s="10"/>
      <c r="AB3831" s="10"/>
      <c r="AC3831" s="10"/>
      <c r="AD3831" s="10"/>
      <c r="AE3831" s="10"/>
      <c r="AF3831" s="10"/>
    </row>
    <row r="3832">
      <c r="A3832" s="7"/>
      <c r="B3832" s="26">
        <v>282.0</v>
      </c>
      <c r="C3832" s="27">
        <v>22.0</v>
      </c>
      <c r="D3832" s="8" t="s">
        <v>4980</v>
      </c>
      <c r="E3832" s="7">
        <v>0.0</v>
      </c>
      <c r="F3832" s="7"/>
      <c r="G3832" s="7" t="s">
        <v>313</v>
      </c>
      <c r="H3832" s="7" t="s">
        <v>312</v>
      </c>
      <c r="I3832" s="10"/>
      <c r="J3832" s="11"/>
      <c r="K3832" s="12"/>
      <c r="L3832" s="12"/>
      <c r="M3832" s="10"/>
      <c r="N3832" s="10"/>
      <c r="O3832" s="10"/>
      <c r="P3832" s="10"/>
      <c r="Q3832" s="10"/>
      <c r="R3832" s="10"/>
      <c r="S3832" s="10"/>
      <c r="T3832" s="10"/>
      <c r="U3832" s="10"/>
      <c r="V3832" s="10"/>
      <c r="W3832" s="10"/>
      <c r="X3832" s="10"/>
      <c r="Y3832" s="10"/>
      <c r="Z3832" s="10"/>
      <c r="AA3832" s="10"/>
      <c r="AB3832" s="10"/>
      <c r="AC3832" s="10"/>
      <c r="AD3832" s="10"/>
      <c r="AE3832" s="10"/>
      <c r="AF3832" s="10"/>
    </row>
    <row r="3833">
      <c r="A3833" s="7"/>
      <c r="B3833" s="26">
        <v>282.0</v>
      </c>
      <c r="C3833" s="27">
        <v>23.0</v>
      </c>
      <c r="D3833" s="8" t="s">
        <v>4981</v>
      </c>
      <c r="E3833" s="7">
        <v>0.0</v>
      </c>
      <c r="F3833" s="7"/>
      <c r="G3833" s="7" t="s">
        <v>313</v>
      </c>
      <c r="H3833" s="7" t="s">
        <v>312</v>
      </c>
      <c r="I3833" s="7"/>
      <c r="J3833" s="16"/>
      <c r="K3833" s="12"/>
      <c r="L3833" s="12"/>
      <c r="M3833" s="10"/>
      <c r="N3833" s="10"/>
      <c r="O3833" s="10"/>
      <c r="P3833" s="10"/>
      <c r="Q3833" s="10"/>
      <c r="R3833" s="10"/>
      <c r="S3833" s="10"/>
      <c r="T3833" s="10"/>
      <c r="U3833" s="10"/>
      <c r="V3833" s="10"/>
      <c r="W3833" s="10"/>
      <c r="X3833" s="10"/>
      <c r="Y3833" s="10"/>
      <c r="Z3833" s="10"/>
      <c r="AA3833" s="10"/>
      <c r="AB3833" s="10"/>
      <c r="AC3833" s="10"/>
      <c r="AD3833" s="10"/>
      <c r="AE3833" s="10"/>
      <c r="AF3833" s="10"/>
    </row>
    <row r="3834">
      <c r="A3834" s="7"/>
      <c r="B3834" s="26">
        <v>282.0</v>
      </c>
      <c r="C3834" s="27">
        <v>24.0</v>
      </c>
      <c r="D3834" s="8" t="s">
        <v>4982</v>
      </c>
      <c r="E3834" s="7">
        <v>0.0</v>
      </c>
      <c r="F3834" s="7"/>
      <c r="G3834" s="7" t="s">
        <v>313</v>
      </c>
      <c r="H3834" s="7" t="s">
        <v>312</v>
      </c>
      <c r="I3834" s="10"/>
      <c r="J3834" s="11"/>
      <c r="K3834" s="12"/>
      <c r="L3834" s="12"/>
      <c r="M3834" s="10"/>
      <c r="N3834" s="10"/>
      <c r="O3834" s="10"/>
      <c r="P3834" s="10"/>
      <c r="Q3834" s="10"/>
      <c r="R3834" s="10"/>
      <c r="S3834" s="10"/>
      <c r="T3834" s="10"/>
      <c r="U3834" s="10"/>
      <c r="V3834" s="10"/>
      <c r="W3834" s="10"/>
      <c r="X3834" s="10"/>
      <c r="Y3834" s="10"/>
      <c r="Z3834" s="10"/>
      <c r="AA3834" s="10"/>
      <c r="AB3834" s="10"/>
      <c r="AC3834" s="10"/>
      <c r="AD3834" s="10"/>
      <c r="AE3834" s="10"/>
      <c r="AF3834" s="10"/>
    </row>
    <row r="3835">
      <c r="A3835" s="7"/>
      <c r="B3835" s="26">
        <v>282.0</v>
      </c>
      <c r="C3835" s="27">
        <v>25.0</v>
      </c>
      <c r="D3835" s="8" t="s">
        <v>4983</v>
      </c>
      <c r="E3835" s="7">
        <v>3.0</v>
      </c>
      <c r="F3835" s="7" t="s">
        <v>320</v>
      </c>
      <c r="G3835" s="7" t="s">
        <v>313</v>
      </c>
      <c r="H3835" s="7" t="s">
        <v>312</v>
      </c>
      <c r="I3835" s="7" t="s">
        <v>4428</v>
      </c>
      <c r="J3835" s="9" t="s">
        <v>4984</v>
      </c>
      <c r="K3835" s="12"/>
      <c r="L3835" s="12"/>
      <c r="M3835" s="10"/>
      <c r="N3835" s="10"/>
      <c r="O3835" s="10"/>
      <c r="P3835" s="10"/>
      <c r="Q3835" s="10"/>
      <c r="R3835" s="10"/>
      <c r="S3835" s="10"/>
      <c r="T3835" s="10"/>
      <c r="U3835" s="10"/>
      <c r="V3835" s="10"/>
      <c r="W3835" s="10"/>
      <c r="X3835" s="10"/>
      <c r="Y3835" s="10"/>
      <c r="Z3835" s="10"/>
      <c r="AA3835" s="10"/>
      <c r="AB3835" s="10"/>
      <c r="AC3835" s="10"/>
      <c r="AD3835" s="10"/>
      <c r="AE3835" s="10"/>
      <c r="AF3835" s="10"/>
    </row>
    <row r="3836">
      <c r="A3836" s="7"/>
      <c r="B3836" s="26">
        <v>282.0</v>
      </c>
      <c r="C3836" s="27">
        <v>26.0</v>
      </c>
      <c r="D3836" s="8" t="s">
        <v>4985</v>
      </c>
      <c r="E3836" s="7">
        <v>0.0</v>
      </c>
      <c r="F3836" s="7"/>
      <c r="G3836" s="7" t="s">
        <v>313</v>
      </c>
      <c r="H3836" s="7" t="s">
        <v>312</v>
      </c>
      <c r="I3836" s="10"/>
      <c r="J3836" s="11"/>
      <c r="K3836" s="12"/>
      <c r="L3836" s="12"/>
      <c r="M3836" s="10"/>
      <c r="N3836" s="10"/>
      <c r="O3836" s="10"/>
      <c r="P3836" s="10"/>
      <c r="Q3836" s="10"/>
      <c r="R3836" s="10"/>
      <c r="S3836" s="10"/>
      <c r="T3836" s="10"/>
      <c r="U3836" s="10"/>
      <c r="V3836" s="10"/>
      <c r="W3836" s="10"/>
      <c r="X3836" s="10"/>
      <c r="Y3836" s="10"/>
      <c r="Z3836" s="10"/>
      <c r="AA3836" s="10"/>
      <c r="AB3836" s="10"/>
      <c r="AC3836" s="10"/>
      <c r="AD3836" s="10"/>
      <c r="AE3836" s="10"/>
      <c r="AF3836" s="10"/>
    </row>
    <row r="3837">
      <c r="A3837" s="7"/>
      <c r="B3837" s="26">
        <v>282.0</v>
      </c>
      <c r="C3837" s="27">
        <v>27.0</v>
      </c>
      <c r="D3837" s="8" t="s">
        <v>4986</v>
      </c>
      <c r="E3837" s="7">
        <v>3.0</v>
      </c>
      <c r="F3837" s="7" t="s">
        <v>320</v>
      </c>
      <c r="G3837" s="7" t="s">
        <v>313</v>
      </c>
      <c r="H3837" s="7" t="s">
        <v>312</v>
      </c>
      <c r="I3837" s="7" t="s">
        <v>320</v>
      </c>
      <c r="J3837" s="9" t="s">
        <v>4987</v>
      </c>
      <c r="K3837" s="12"/>
      <c r="L3837" s="12"/>
      <c r="M3837" s="10"/>
      <c r="N3837" s="10"/>
      <c r="O3837" s="10"/>
      <c r="P3837" s="10"/>
      <c r="Q3837" s="10"/>
      <c r="R3837" s="10"/>
      <c r="S3837" s="10"/>
      <c r="T3837" s="10"/>
      <c r="U3837" s="10"/>
      <c r="V3837" s="10"/>
      <c r="W3837" s="10"/>
      <c r="X3837" s="10"/>
      <c r="Y3837" s="10"/>
      <c r="Z3837" s="10"/>
      <c r="AA3837" s="10"/>
      <c r="AB3837" s="10"/>
      <c r="AC3837" s="10"/>
      <c r="AD3837" s="10"/>
      <c r="AE3837" s="10"/>
      <c r="AF3837" s="10"/>
    </row>
    <row r="3838">
      <c r="A3838" s="7"/>
      <c r="B3838" s="26">
        <v>282.0</v>
      </c>
      <c r="C3838" s="27">
        <v>28.0</v>
      </c>
      <c r="D3838" s="8" t="s">
        <v>4988</v>
      </c>
      <c r="E3838" s="7">
        <v>0.0</v>
      </c>
      <c r="F3838" s="7"/>
      <c r="G3838" s="7" t="s">
        <v>313</v>
      </c>
      <c r="H3838" s="7" t="s">
        <v>312</v>
      </c>
      <c r="I3838" s="7" t="s">
        <v>366</v>
      </c>
      <c r="J3838" s="9" t="s">
        <v>4989</v>
      </c>
      <c r="K3838" s="20" t="s">
        <v>2764</v>
      </c>
      <c r="L3838" s="12"/>
      <c r="M3838" s="10"/>
      <c r="N3838" s="10"/>
      <c r="O3838" s="10"/>
      <c r="P3838" s="10"/>
      <c r="Q3838" s="10"/>
      <c r="R3838" s="10"/>
      <c r="S3838" s="10"/>
      <c r="T3838" s="10"/>
      <c r="U3838" s="10"/>
      <c r="V3838" s="10"/>
      <c r="W3838" s="10"/>
      <c r="X3838" s="10"/>
      <c r="Y3838" s="10"/>
      <c r="Z3838" s="10"/>
      <c r="AA3838" s="10"/>
      <c r="AB3838" s="10"/>
      <c r="AC3838" s="10"/>
      <c r="AD3838" s="10"/>
      <c r="AE3838" s="10"/>
      <c r="AF3838" s="10"/>
    </row>
    <row r="3839">
      <c r="A3839" s="10"/>
      <c r="B3839" s="12"/>
      <c r="C3839" s="12"/>
      <c r="D3839" s="12"/>
      <c r="E3839" s="10"/>
      <c r="F3839" s="10"/>
      <c r="G3839" s="10"/>
      <c r="H3839" s="10"/>
      <c r="I3839" s="10"/>
      <c r="J3839" s="11"/>
      <c r="K3839" s="12"/>
      <c r="L3839" s="12"/>
      <c r="M3839" s="10"/>
      <c r="N3839" s="10"/>
      <c r="O3839" s="10"/>
      <c r="P3839" s="10"/>
      <c r="Q3839" s="10"/>
      <c r="R3839" s="10"/>
      <c r="S3839" s="10"/>
      <c r="T3839" s="10"/>
      <c r="U3839" s="10"/>
      <c r="V3839" s="10"/>
      <c r="W3839" s="10"/>
      <c r="X3839" s="10"/>
      <c r="Y3839" s="10"/>
      <c r="Z3839" s="10"/>
      <c r="AA3839" s="10"/>
      <c r="AB3839" s="10"/>
      <c r="AC3839" s="10"/>
      <c r="AD3839" s="10"/>
      <c r="AE3839" s="10"/>
      <c r="AF3839" s="10"/>
    </row>
    <row r="3840">
      <c r="A3840" s="7"/>
      <c r="B3840" s="8">
        <v>283.0</v>
      </c>
      <c r="C3840" s="8">
        <v>1.0</v>
      </c>
      <c r="D3840" s="8" t="s">
        <v>4990</v>
      </c>
      <c r="E3840" s="7">
        <v>2.0</v>
      </c>
      <c r="F3840" s="7" t="s">
        <v>320</v>
      </c>
      <c r="G3840" s="7" t="s">
        <v>313</v>
      </c>
      <c r="H3840" s="7" t="s">
        <v>312</v>
      </c>
      <c r="I3840" s="7" t="s">
        <v>320</v>
      </c>
      <c r="J3840" s="9" t="s">
        <v>4991</v>
      </c>
      <c r="K3840" s="8" t="s">
        <v>4992</v>
      </c>
      <c r="L3840" s="12"/>
      <c r="M3840" s="10"/>
      <c r="N3840" s="10"/>
      <c r="O3840" s="10"/>
      <c r="P3840" s="10"/>
      <c r="Q3840" s="10"/>
      <c r="R3840" s="10"/>
      <c r="S3840" s="10"/>
      <c r="T3840" s="10"/>
      <c r="U3840" s="10"/>
      <c r="V3840" s="10"/>
      <c r="W3840" s="10"/>
      <c r="X3840" s="10"/>
      <c r="Y3840" s="10"/>
      <c r="Z3840" s="10"/>
      <c r="AA3840" s="10"/>
      <c r="AB3840" s="10"/>
      <c r="AC3840" s="10"/>
      <c r="AD3840" s="10"/>
      <c r="AE3840" s="10"/>
      <c r="AF3840" s="10"/>
    </row>
    <row r="3841">
      <c r="A3841" s="10"/>
      <c r="B3841" s="12"/>
      <c r="C3841" s="12"/>
      <c r="D3841" s="12"/>
      <c r="E3841" s="10"/>
      <c r="F3841" s="10"/>
      <c r="G3841" s="10"/>
      <c r="H3841" s="10"/>
      <c r="I3841" s="10"/>
      <c r="J3841" s="11"/>
      <c r="K3841" s="12"/>
      <c r="L3841" s="12"/>
      <c r="M3841" s="10"/>
      <c r="N3841" s="10"/>
      <c r="O3841" s="10"/>
      <c r="P3841" s="10"/>
      <c r="Q3841" s="10"/>
      <c r="R3841" s="10"/>
      <c r="S3841" s="10"/>
      <c r="T3841" s="10"/>
      <c r="U3841" s="10"/>
      <c r="V3841" s="10"/>
      <c r="W3841" s="10"/>
      <c r="X3841" s="10"/>
      <c r="Y3841" s="10"/>
      <c r="Z3841" s="10"/>
      <c r="AA3841" s="10"/>
      <c r="AB3841" s="10"/>
      <c r="AC3841" s="10"/>
      <c r="AD3841" s="10"/>
      <c r="AE3841" s="10"/>
      <c r="AF3841" s="10"/>
    </row>
    <row r="3842">
      <c r="A3842" s="7"/>
      <c r="B3842" s="8">
        <v>284.0</v>
      </c>
      <c r="C3842" s="8">
        <v>1.0</v>
      </c>
      <c r="D3842" s="8" t="s">
        <v>4993</v>
      </c>
      <c r="E3842" s="7">
        <v>3.0</v>
      </c>
      <c r="F3842" s="7"/>
      <c r="G3842" s="7" t="s">
        <v>313</v>
      </c>
      <c r="H3842" s="7" t="s">
        <v>312</v>
      </c>
      <c r="I3842" s="10"/>
      <c r="J3842" s="9" t="s">
        <v>4994</v>
      </c>
      <c r="K3842" s="12"/>
      <c r="L3842" s="12"/>
      <c r="M3842" s="10"/>
      <c r="N3842" s="10"/>
      <c r="O3842" s="10"/>
      <c r="P3842" s="10"/>
      <c r="Q3842" s="10"/>
      <c r="R3842" s="10"/>
      <c r="S3842" s="10"/>
      <c r="T3842" s="10"/>
      <c r="U3842" s="10"/>
      <c r="V3842" s="10"/>
      <c r="W3842" s="10"/>
      <c r="X3842" s="10"/>
      <c r="Y3842" s="10"/>
      <c r="Z3842" s="10"/>
      <c r="AA3842" s="10"/>
      <c r="AB3842" s="10"/>
      <c r="AC3842" s="10"/>
      <c r="AD3842" s="10"/>
      <c r="AE3842" s="10"/>
      <c r="AF3842" s="10"/>
    </row>
    <row r="3843">
      <c r="A3843" s="10"/>
      <c r="B3843" s="12"/>
      <c r="C3843" s="12"/>
      <c r="D3843" s="12"/>
      <c r="E3843" s="10"/>
      <c r="F3843" s="10"/>
      <c r="G3843" s="10"/>
      <c r="H3843" s="10"/>
      <c r="I3843" s="10"/>
      <c r="J3843" s="11"/>
      <c r="K3843" s="12"/>
      <c r="L3843" s="12"/>
      <c r="M3843" s="10"/>
      <c r="N3843" s="10"/>
      <c r="O3843" s="10"/>
      <c r="P3843" s="10"/>
      <c r="Q3843" s="10"/>
      <c r="R3843" s="10"/>
      <c r="S3843" s="10"/>
      <c r="T3843" s="10"/>
      <c r="U3843" s="10"/>
      <c r="V3843" s="10"/>
      <c r="W3843" s="10"/>
      <c r="X3843" s="10"/>
      <c r="Y3843" s="10"/>
      <c r="Z3843" s="10"/>
      <c r="AA3843" s="10"/>
      <c r="AB3843" s="10"/>
      <c r="AC3843" s="10"/>
      <c r="AD3843" s="10"/>
      <c r="AE3843" s="10"/>
      <c r="AF3843" s="10"/>
    </row>
    <row r="3844">
      <c r="A3844" s="7"/>
      <c r="B3844" s="26">
        <v>285.0</v>
      </c>
      <c r="C3844" s="27">
        <v>1.0</v>
      </c>
      <c r="D3844" s="8" t="s">
        <v>4995</v>
      </c>
      <c r="E3844" s="7">
        <v>0.0</v>
      </c>
      <c r="F3844" s="7"/>
      <c r="G3844" s="7" t="s">
        <v>313</v>
      </c>
      <c r="H3844" s="7" t="s">
        <v>312</v>
      </c>
      <c r="I3844" s="10"/>
      <c r="J3844" s="9" t="s">
        <v>4996</v>
      </c>
      <c r="K3844" s="12"/>
      <c r="L3844" s="12"/>
      <c r="M3844" s="10"/>
      <c r="N3844" s="10"/>
      <c r="O3844" s="10"/>
      <c r="P3844" s="10"/>
      <c r="Q3844" s="10"/>
      <c r="R3844" s="10"/>
      <c r="S3844" s="10"/>
      <c r="T3844" s="10"/>
      <c r="U3844" s="10"/>
      <c r="V3844" s="10"/>
      <c r="W3844" s="10"/>
      <c r="X3844" s="10"/>
      <c r="Y3844" s="10"/>
      <c r="Z3844" s="10"/>
      <c r="AA3844" s="10"/>
      <c r="AB3844" s="10"/>
      <c r="AC3844" s="10"/>
      <c r="AD3844" s="10"/>
      <c r="AE3844" s="10"/>
      <c r="AF3844" s="10"/>
    </row>
    <row r="3845">
      <c r="A3845" s="7"/>
      <c r="B3845" s="26">
        <v>285.0</v>
      </c>
      <c r="C3845" s="27">
        <v>2.0</v>
      </c>
      <c r="D3845" s="8" t="s">
        <v>4997</v>
      </c>
      <c r="E3845" s="7">
        <v>0.0</v>
      </c>
      <c r="F3845" s="7"/>
      <c r="G3845" s="7" t="s">
        <v>313</v>
      </c>
      <c r="H3845" s="7" t="s">
        <v>312</v>
      </c>
      <c r="I3845" s="10"/>
      <c r="J3845" s="24"/>
      <c r="K3845" s="12"/>
      <c r="L3845" s="12"/>
      <c r="M3845" s="10"/>
      <c r="N3845" s="10"/>
      <c r="O3845" s="10"/>
      <c r="P3845" s="10"/>
      <c r="Q3845" s="10"/>
      <c r="R3845" s="10"/>
      <c r="S3845" s="10"/>
      <c r="T3845" s="10"/>
      <c r="U3845" s="10"/>
      <c r="V3845" s="10"/>
      <c r="W3845" s="10"/>
      <c r="X3845" s="10"/>
      <c r="Y3845" s="10"/>
      <c r="Z3845" s="10"/>
      <c r="AA3845" s="10"/>
      <c r="AB3845" s="10"/>
      <c r="AC3845" s="10"/>
      <c r="AD3845" s="10"/>
      <c r="AE3845" s="10"/>
      <c r="AF3845" s="10"/>
    </row>
    <row r="3846">
      <c r="A3846" s="7"/>
      <c r="B3846" s="26">
        <v>285.0</v>
      </c>
      <c r="C3846" s="27">
        <v>3.0</v>
      </c>
      <c r="D3846" s="8" t="s">
        <v>4998</v>
      </c>
      <c r="E3846" s="7">
        <v>3.0</v>
      </c>
      <c r="F3846" s="7" t="s">
        <v>320</v>
      </c>
      <c r="G3846" s="7" t="s">
        <v>313</v>
      </c>
      <c r="H3846" s="7" t="s">
        <v>312</v>
      </c>
      <c r="I3846" s="7" t="s">
        <v>320</v>
      </c>
      <c r="J3846" s="9" t="s">
        <v>4999</v>
      </c>
      <c r="K3846" s="12"/>
      <c r="L3846" s="12"/>
      <c r="M3846" s="10"/>
      <c r="N3846" s="10"/>
      <c r="O3846" s="10"/>
      <c r="P3846" s="10"/>
      <c r="Q3846" s="10"/>
      <c r="R3846" s="10"/>
      <c r="S3846" s="10"/>
      <c r="T3846" s="10"/>
      <c r="U3846" s="10"/>
      <c r="V3846" s="10"/>
      <c r="W3846" s="10"/>
      <c r="X3846" s="10"/>
      <c r="Y3846" s="10"/>
      <c r="Z3846" s="10"/>
      <c r="AA3846" s="10"/>
      <c r="AB3846" s="10"/>
      <c r="AC3846" s="10"/>
      <c r="AD3846" s="10"/>
      <c r="AE3846" s="10"/>
      <c r="AF3846" s="10"/>
    </row>
    <row r="3847">
      <c r="A3847" s="7"/>
      <c r="B3847" s="26">
        <v>285.0</v>
      </c>
      <c r="C3847" s="27">
        <v>4.0</v>
      </c>
      <c r="D3847" s="8" t="s">
        <v>5000</v>
      </c>
      <c r="E3847" s="7">
        <v>0.0</v>
      </c>
      <c r="F3847" s="7"/>
      <c r="G3847" s="7" t="s">
        <v>313</v>
      </c>
      <c r="H3847" s="7" t="s">
        <v>312</v>
      </c>
      <c r="I3847" s="10"/>
      <c r="J3847" s="11"/>
      <c r="K3847" s="12"/>
      <c r="L3847" s="14" t="s">
        <v>5001</v>
      </c>
      <c r="M3847" s="10"/>
      <c r="N3847" s="10"/>
      <c r="O3847" s="10"/>
      <c r="P3847" s="10"/>
      <c r="Q3847" s="10"/>
      <c r="R3847" s="10"/>
      <c r="S3847" s="10"/>
      <c r="T3847" s="10"/>
      <c r="U3847" s="10"/>
      <c r="V3847" s="10"/>
      <c r="W3847" s="10"/>
      <c r="X3847" s="10"/>
      <c r="Y3847" s="10"/>
      <c r="Z3847" s="10"/>
      <c r="AA3847" s="10"/>
      <c r="AB3847" s="10"/>
      <c r="AC3847" s="10"/>
      <c r="AD3847" s="10"/>
      <c r="AE3847" s="10"/>
      <c r="AF3847" s="10"/>
    </row>
    <row r="3848">
      <c r="A3848" s="7"/>
      <c r="B3848" s="26">
        <v>285.0</v>
      </c>
      <c r="C3848" s="27">
        <v>5.0</v>
      </c>
      <c r="D3848" s="8" t="s">
        <v>5002</v>
      </c>
      <c r="E3848" s="7">
        <v>0.0</v>
      </c>
      <c r="F3848" s="7"/>
      <c r="G3848" s="7" t="s">
        <v>313</v>
      </c>
      <c r="H3848" s="7" t="s">
        <v>312</v>
      </c>
      <c r="I3848" s="10"/>
      <c r="J3848" s="11"/>
      <c r="K3848" s="12"/>
      <c r="L3848" s="12"/>
      <c r="M3848" s="10"/>
      <c r="N3848" s="10"/>
      <c r="O3848" s="10"/>
      <c r="P3848" s="10"/>
      <c r="Q3848" s="10"/>
      <c r="R3848" s="10"/>
      <c r="S3848" s="10"/>
      <c r="T3848" s="10"/>
      <c r="U3848" s="10"/>
      <c r="V3848" s="10"/>
      <c r="W3848" s="10"/>
      <c r="X3848" s="10"/>
      <c r="Y3848" s="10"/>
      <c r="Z3848" s="10"/>
      <c r="AA3848" s="10"/>
      <c r="AB3848" s="10"/>
      <c r="AC3848" s="10"/>
      <c r="AD3848" s="10"/>
      <c r="AE3848" s="10"/>
      <c r="AF3848" s="10"/>
    </row>
    <row r="3849">
      <c r="A3849" s="7"/>
      <c r="B3849" s="26">
        <v>285.0</v>
      </c>
      <c r="C3849" s="27">
        <v>6.0</v>
      </c>
      <c r="D3849" s="8" t="s">
        <v>5003</v>
      </c>
      <c r="E3849" s="7">
        <v>0.0</v>
      </c>
      <c r="F3849" s="7"/>
      <c r="G3849" s="7" t="s">
        <v>313</v>
      </c>
      <c r="H3849" s="7" t="s">
        <v>312</v>
      </c>
      <c r="I3849" s="10"/>
      <c r="J3849" s="11"/>
      <c r="K3849" s="12"/>
      <c r="L3849" s="12"/>
      <c r="M3849" s="10"/>
      <c r="N3849" s="10"/>
      <c r="O3849" s="10"/>
      <c r="P3849" s="10"/>
      <c r="Q3849" s="10"/>
      <c r="R3849" s="10"/>
      <c r="S3849" s="10"/>
      <c r="T3849" s="10"/>
      <c r="U3849" s="10"/>
      <c r="V3849" s="10"/>
      <c r="W3849" s="10"/>
      <c r="X3849" s="10"/>
      <c r="Y3849" s="10"/>
      <c r="Z3849" s="10"/>
      <c r="AA3849" s="10"/>
      <c r="AB3849" s="10"/>
      <c r="AC3849" s="10"/>
      <c r="AD3849" s="10"/>
      <c r="AE3849" s="10"/>
      <c r="AF3849" s="10"/>
    </row>
    <row r="3850">
      <c r="A3850" s="7"/>
      <c r="B3850" s="26">
        <v>285.0</v>
      </c>
      <c r="C3850" s="27">
        <v>7.0</v>
      </c>
      <c r="D3850" s="8" t="s">
        <v>5004</v>
      </c>
      <c r="E3850" s="7">
        <v>0.0</v>
      </c>
      <c r="F3850" s="7"/>
      <c r="G3850" s="7" t="s">
        <v>313</v>
      </c>
      <c r="H3850" s="7" t="s">
        <v>312</v>
      </c>
      <c r="I3850" s="10"/>
      <c r="J3850" s="11"/>
      <c r="K3850" s="12"/>
      <c r="L3850" s="12"/>
      <c r="M3850" s="10"/>
      <c r="N3850" s="10"/>
      <c r="O3850" s="10"/>
      <c r="P3850" s="10"/>
      <c r="Q3850" s="10"/>
      <c r="R3850" s="10"/>
      <c r="S3850" s="10"/>
      <c r="T3850" s="10"/>
      <c r="U3850" s="10"/>
      <c r="V3850" s="10"/>
      <c r="W3850" s="10"/>
      <c r="X3850" s="10"/>
      <c r="Y3850" s="10"/>
      <c r="Z3850" s="10"/>
      <c r="AA3850" s="10"/>
      <c r="AB3850" s="10"/>
      <c r="AC3850" s="10"/>
      <c r="AD3850" s="10"/>
      <c r="AE3850" s="10"/>
      <c r="AF3850" s="10"/>
    </row>
    <row r="3851">
      <c r="A3851" s="7"/>
      <c r="B3851" s="26">
        <v>285.0</v>
      </c>
      <c r="C3851" s="27">
        <v>8.0</v>
      </c>
      <c r="D3851" s="8" t="s">
        <v>5005</v>
      </c>
      <c r="E3851" s="7">
        <v>3.0</v>
      </c>
      <c r="F3851" s="7" t="s">
        <v>320</v>
      </c>
      <c r="G3851" s="7" t="s">
        <v>313</v>
      </c>
      <c r="H3851" s="7" t="s">
        <v>312</v>
      </c>
      <c r="I3851" s="7" t="s">
        <v>320</v>
      </c>
      <c r="J3851" s="16" t="s">
        <v>5006</v>
      </c>
      <c r="K3851" s="12"/>
      <c r="L3851" s="12"/>
      <c r="M3851" s="10"/>
      <c r="N3851" s="10"/>
      <c r="O3851" s="10"/>
      <c r="P3851" s="10"/>
      <c r="Q3851" s="10"/>
      <c r="R3851" s="10"/>
      <c r="S3851" s="10"/>
      <c r="T3851" s="10"/>
      <c r="U3851" s="10"/>
      <c r="V3851" s="10"/>
      <c r="W3851" s="10"/>
      <c r="X3851" s="10"/>
      <c r="Y3851" s="10"/>
      <c r="Z3851" s="10"/>
      <c r="AA3851" s="10"/>
      <c r="AB3851" s="10"/>
      <c r="AC3851" s="10"/>
      <c r="AD3851" s="10"/>
      <c r="AE3851" s="10"/>
      <c r="AF3851" s="10"/>
    </row>
    <row r="3852">
      <c r="A3852" s="7"/>
      <c r="B3852" s="26">
        <v>285.0</v>
      </c>
      <c r="C3852" s="27">
        <v>9.0</v>
      </c>
      <c r="D3852" s="8" t="s">
        <v>5007</v>
      </c>
      <c r="E3852" s="7">
        <v>0.0</v>
      </c>
      <c r="F3852" s="7"/>
      <c r="G3852" s="7" t="s">
        <v>313</v>
      </c>
      <c r="H3852" s="7" t="s">
        <v>312</v>
      </c>
      <c r="I3852" s="10"/>
      <c r="J3852" s="11"/>
      <c r="K3852" s="12"/>
      <c r="L3852" s="14" t="s">
        <v>5001</v>
      </c>
      <c r="M3852" s="10"/>
      <c r="N3852" s="10"/>
      <c r="O3852" s="10"/>
      <c r="P3852" s="10"/>
      <c r="Q3852" s="10"/>
      <c r="R3852" s="10"/>
      <c r="S3852" s="10"/>
      <c r="T3852" s="10"/>
      <c r="U3852" s="10"/>
      <c r="V3852" s="10"/>
      <c r="W3852" s="10"/>
      <c r="X3852" s="10"/>
      <c r="Y3852" s="10"/>
      <c r="Z3852" s="10"/>
      <c r="AA3852" s="10"/>
      <c r="AB3852" s="10"/>
      <c r="AC3852" s="10"/>
      <c r="AD3852" s="10"/>
      <c r="AE3852" s="10"/>
      <c r="AF3852" s="10"/>
    </row>
    <row r="3853">
      <c r="A3853" s="7"/>
      <c r="B3853" s="26">
        <v>285.0</v>
      </c>
      <c r="C3853" s="27">
        <v>10.0</v>
      </c>
      <c r="D3853" s="8" t="s">
        <v>5008</v>
      </c>
      <c r="E3853" s="7">
        <v>0.0</v>
      </c>
      <c r="F3853" s="7"/>
      <c r="G3853" s="7" t="s">
        <v>313</v>
      </c>
      <c r="H3853" s="7" t="s">
        <v>312</v>
      </c>
      <c r="I3853" s="10"/>
      <c r="J3853" s="11"/>
      <c r="K3853" s="12"/>
      <c r="L3853" s="12"/>
      <c r="M3853" s="10"/>
      <c r="N3853" s="10"/>
      <c r="O3853" s="10"/>
      <c r="P3853" s="10"/>
      <c r="Q3853" s="10"/>
      <c r="R3853" s="10"/>
      <c r="S3853" s="10"/>
      <c r="T3853" s="10"/>
      <c r="U3853" s="10"/>
      <c r="V3853" s="10"/>
      <c r="W3853" s="10"/>
      <c r="X3853" s="10"/>
      <c r="Y3853" s="10"/>
      <c r="Z3853" s="10"/>
      <c r="AA3853" s="10"/>
      <c r="AB3853" s="10"/>
      <c r="AC3853" s="10"/>
      <c r="AD3853" s="10"/>
      <c r="AE3853" s="10"/>
      <c r="AF3853" s="10"/>
    </row>
    <row r="3854">
      <c r="A3854" s="7"/>
      <c r="B3854" s="26">
        <v>285.0</v>
      </c>
      <c r="C3854" s="27">
        <v>11.0</v>
      </c>
      <c r="D3854" s="8" t="s">
        <v>5009</v>
      </c>
      <c r="E3854" s="7">
        <v>0.0</v>
      </c>
      <c r="F3854" s="7"/>
      <c r="G3854" s="7" t="s">
        <v>313</v>
      </c>
      <c r="H3854" s="7" t="s">
        <v>312</v>
      </c>
      <c r="I3854" s="10"/>
      <c r="J3854" s="11"/>
      <c r="K3854" s="12"/>
      <c r="L3854" s="12"/>
      <c r="M3854" s="10"/>
      <c r="N3854" s="10"/>
      <c r="O3854" s="10"/>
      <c r="P3854" s="10"/>
      <c r="Q3854" s="10"/>
      <c r="R3854" s="10"/>
      <c r="S3854" s="10"/>
      <c r="T3854" s="10"/>
      <c r="U3854" s="10"/>
      <c r="V3854" s="10"/>
      <c r="W3854" s="10"/>
      <c r="X3854" s="10"/>
      <c r="Y3854" s="10"/>
      <c r="Z3854" s="10"/>
      <c r="AA3854" s="10"/>
      <c r="AB3854" s="10"/>
      <c r="AC3854" s="10"/>
      <c r="AD3854" s="10"/>
      <c r="AE3854" s="10"/>
      <c r="AF3854" s="10"/>
    </row>
    <row r="3855">
      <c r="A3855" s="7"/>
      <c r="B3855" s="26">
        <v>285.0</v>
      </c>
      <c r="C3855" s="27">
        <v>12.0</v>
      </c>
      <c r="D3855" s="8" t="s">
        <v>5010</v>
      </c>
      <c r="E3855" s="7">
        <v>0.0</v>
      </c>
      <c r="F3855" s="7"/>
      <c r="G3855" s="7" t="s">
        <v>313</v>
      </c>
      <c r="H3855" s="7" t="s">
        <v>312</v>
      </c>
      <c r="I3855" s="10"/>
      <c r="J3855" s="11"/>
      <c r="K3855" s="12"/>
      <c r="L3855" s="12"/>
      <c r="M3855" s="10"/>
      <c r="N3855" s="10"/>
      <c r="O3855" s="10"/>
      <c r="P3855" s="10"/>
      <c r="Q3855" s="10"/>
      <c r="R3855" s="10"/>
      <c r="S3855" s="10"/>
      <c r="T3855" s="10"/>
      <c r="U3855" s="10"/>
      <c r="V3855" s="10"/>
      <c r="W3855" s="10"/>
      <c r="X3855" s="10"/>
      <c r="Y3855" s="10"/>
      <c r="Z3855" s="10"/>
      <c r="AA3855" s="10"/>
      <c r="AB3855" s="10"/>
      <c r="AC3855" s="10"/>
      <c r="AD3855" s="10"/>
      <c r="AE3855" s="10"/>
      <c r="AF3855" s="10"/>
    </row>
    <row r="3856">
      <c r="A3856" s="7"/>
      <c r="B3856" s="26">
        <v>285.0</v>
      </c>
      <c r="C3856" s="27">
        <v>13.0</v>
      </c>
      <c r="D3856" s="8" t="s">
        <v>5011</v>
      </c>
      <c r="E3856" s="7">
        <v>0.0</v>
      </c>
      <c r="F3856" s="7"/>
      <c r="G3856" s="7" t="s">
        <v>313</v>
      </c>
      <c r="H3856" s="7" t="s">
        <v>312</v>
      </c>
      <c r="I3856" s="10"/>
      <c r="J3856" s="11"/>
      <c r="K3856" s="12"/>
      <c r="L3856" s="14" t="s">
        <v>5001</v>
      </c>
      <c r="M3856" s="10"/>
      <c r="N3856" s="10"/>
      <c r="O3856" s="10"/>
      <c r="P3856" s="10"/>
      <c r="Q3856" s="10"/>
      <c r="R3856" s="10"/>
      <c r="S3856" s="10"/>
      <c r="T3856" s="10"/>
      <c r="U3856" s="10"/>
      <c r="V3856" s="10"/>
      <c r="W3856" s="10"/>
      <c r="X3856" s="10"/>
      <c r="Y3856" s="10"/>
      <c r="Z3856" s="10"/>
      <c r="AA3856" s="10"/>
      <c r="AB3856" s="10"/>
      <c r="AC3856" s="10"/>
      <c r="AD3856" s="10"/>
      <c r="AE3856" s="10"/>
      <c r="AF3856" s="10"/>
    </row>
    <row r="3857">
      <c r="A3857" s="7"/>
      <c r="B3857" s="26">
        <v>285.0</v>
      </c>
      <c r="C3857" s="27">
        <v>14.0</v>
      </c>
      <c r="D3857" s="8" t="s">
        <v>5012</v>
      </c>
      <c r="E3857" s="7">
        <v>0.0</v>
      </c>
      <c r="F3857" s="7"/>
      <c r="G3857" s="7" t="s">
        <v>313</v>
      </c>
      <c r="H3857" s="7" t="s">
        <v>312</v>
      </c>
      <c r="I3857" s="10"/>
      <c r="J3857" s="11"/>
      <c r="K3857" s="12"/>
      <c r="L3857" s="12"/>
      <c r="M3857" s="10"/>
      <c r="N3857" s="10"/>
      <c r="O3857" s="10"/>
      <c r="P3857" s="10"/>
      <c r="Q3857" s="10"/>
      <c r="R3857" s="10"/>
      <c r="S3857" s="10"/>
      <c r="T3857" s="10"/>
      <c r="U3857" s="10"/>
      <c r="V3857" s="10"/>
      <c r="W3857" s="10"/>
      <c r="X3857" s="10"/>
      <c r="Y3857" s="10"/>
      <c r="Z3857" s="10"/>
      <c r="AA3857" s="10"/>
      <c r="AB3857" s="10"/>
      <c r="AC3857" s="10"/>
      <c r="AD3857" s="10"/>
      <c r="AE3857" s="10"/>
      <c r="AF3857" s="10"/>
    </row>
    <row r="3858">
      <c r="A3858" s="7"/>
      <c r="B3858" s="26">
        <v>285.0</v>
      </c>
      <c r="C3858" s="27">
        <v>15.0</v>
      </c>
      <c r="D3858" s="8" t="s">
        <v>5013</v>
      </c>
      <c r="E3858" s="7">
        <v>0.0</v>
      </c>
      <c r="F3858" s="7"/>
      <c r="G3858" s="7" t="s">
        <v>313</v>
      </c>
      <c r="H3858" s="7" t="s">
        <v>312</v>
      </c>
      <c r="I3858" s="10"/>
      <c r="J3858" s="11"/>
      <c r="K3858" s="12"/>
      <c r="L3858" s="12"/>
      <c r="M3858" s="10"/>
      <c r="N3858" s="10"/>
      <c r="O3858" s="10"/>
      <c r="P3858" s="10"/>
      <c r="Q3858" s="10"/>
      <c r="R3858" s="10"/>
      <c r="S3858" s="10"/>
      <c r="T3858" s="10"/>
      <c r="U3858" s="10"/>
      <c r="V3858" s="10"/>
      <c r="W3858" s="10"/>
      <c r="X3858" s="10"/>
      <c r="Y3858" s="10"/>
      <c r="Z3858" s="10"/>
      <c r="AA3858" s="10"/>
      <c r="AB3858" s="10"/>
      <c r="AC3858" s="10"/>
      <c r="AD3858" s="10"/>
      <c r="AE3858" s="10"/>
      <c r="AF3858" s="10"/>
    </row>
    <row r="3859">
      <c r="A3859" s="7"/>
      <c r="B3859" s="26">
        <v>285.0</v>
      </c>
      <c r="C3859" s="27">
        <v>16.0</v>
      </c>
      <c r="D3859" s="8" t="s">
        <v>5014</v>
      </c>
      <c r="E3859" s="7">
        <v>3.0</v>
      </c>
      <c r="F3859" s="7" t="s">
        <v>320</v>
      </c>
      <c r="G3859" s="7" t="s">
        <v>313</v>
      </c>
      <c r="H3859" s="7" t="s">
        <v>312</v>
      </c>
      <c r="I3859" s="7" t="s">
        <v>4428</v>
      </c>
      <c r="J3859" s="16" t="s">
        <v>5015</v>
      </c>
      <c r="K3859" s="12"/>
      <c r="L3859" s="14" t="s">
        <v>5001</v>
      </c>
      <c r="M3859" s="10"/>
      <c r="N3859" s="10"/>
      <c r="O3859" s="10"/>
      <c r="P3859" s="10"/>
      <c r="Q3859" s="10"/>
      <c r="R3859" s="10"/>
      <c r="S3859" s="10"/>
      <c r="T3859" s="10"/>
      <c r="U3859" s="10"/>
      <c r="V3859" s="10"/>
      <c r="W3859" s="10"/>
      <c r="X3859" s="10"/>
      <c r="Y3859" s="10"/>
      <c r="Z3859" s="10"/>
      <c r="AA3859" s="10"/>
      <c r="AB3859" s="10"/>
      <c r="AC3859" s="10"/>
      <c r="AD3859" s="10"/>
      <c r="AE3859" s="10"/>
      <c r="AF3859" s="10"/>
    </row>
    <row r="3860">
      <c r="A3860" s="7"/>
      <c r="B3860" s="26">
        <v>285.0</v>
      </c>
      <c r="C3860" s="27">
        <v>17.0</v>
      </c>
      <c r="D3860" s="8" t="s">
        <v>5016</v>
      </c>
      <c r="E3860" s="7">
        <v>3.0</v>
      </c>
      <c r="F3860" s="7" t="s">
        <v>320</v>
      </c>
      <c r="G3860" s="7" t="s">
        <v>313</v>
      </c>
      <c r="H3860" s="7" t="s">
        <v>312</v>
      </c>
      <c r="I3860" s="7" t="s">
        <v>366</v>
      </c>
      <c r="J3860" s="16" t="s">
        <v>5017</v>
      </c>
      <c r="K3860" s="12"/>
      <c r="L3860" s="12"/>
      <c r="M3860" s="10"/>
      <c r="N3860" s="10"/>
      <c r="O3860" s="10"/>
      <c r="P3860" s="10"/>
      <c r="Q3860" s="10"/>
      <c r="R3860" s="10"/>
      <c r="S3860" s="10"/>
      <c r="T3860" s="10"/>
      <c r="U3860" s="10"/>
      <c r="V3860" s="10"/>
      <c r="W3860" s="10"/>
      <c r="X3860" s="10"/>
      <c r="Y3860" s="10"/>
      <c r="Z3860" s="10"/>
      <c r="AA3860" s="10"/>
      <c r="AB3860" s="10"/>
      <c r="AC3860" s="10"/>
      <c r="AD3860" s="10"/>
      <c r="AE3860" s="10"/>
      <c r="AF3860" s="10"/>
    </row>
    <row r="3861">
      <c r="A3861" s="7"/>
      <c r="B3861" s="26">
        <v>285.0</v>
      </c>
      <c r="C3861" s="27">
        <v>18.0</v>
      </c>
      <c r="D3861" s="8" t="s">
        <v>5018</v>
      </c>
      <c r="E3861" s="7">
        <v>3.0</v>
      </c>
      <c r="F3861" s="7" t="s">
        <v>320</v>
      </c>
      <c r="G3861" s="7" t="s">
        <v>313</v>
      </c>
      <c r="H3861" s="7" t="s">
        <v>312</v>
      </c>
      <c r="I3861" s="7" t="s">
        <v>366</v>
      </c>
      <c r="J3861" s="16" t="s">
        <v>5019</v>
      </c>
      <c r="K3861" s="12"/>
      <c r="L3861" s="12"/>
      <c r="M3861" s="10"/>
      <c r="N3861" s="10"/>
      <c r="O3861" s="10"/>
      <c r="P3861" s="10"/>
      <c r="Q3861" s="10"/>
      <c r="R3861" s="10"/>
      <c r="S3861" s="10"/>
      <c r="T3861" s="10"/>
      <c r="U3861" s="10"/>
      <c r="V3861" s="10"/>
      <c r="W3861" s="10"/>
      <c r="X3861" s="10"/>
      <c r="Y3861" s="10"/>
      <c r="Z3861" s="10"/>
      <c r="AA3861" s="10"/>
      <c r="AB3861" s="10"/>
      <c r="AC3861" s="10"/>
      <c r="AD3861" s="10"/>
      <c r="AE3861" s="10"/>
      <c r="AF3861" s="10"/>
    </row>
    <row r="3862">
      <c r="A3862" s="7"/>
      <c r="B3862" s="26">
        <v>285.0</v>
      </c>
      <c r="C3862" s="27">
        <v>19.0</v>
      </c>
      <c r="D3862" s="8" t="s">
        <v>5020</v>
      </c>
      <c r="E3862" s="7">
        <v>0.0</v>
      </c>
      <c r="F3862" s="7"/>
      <c r="G3862" s="7" t="s">
        <v>313</v>
      </c>
      <c r="H3862" s="7" t="s">
        <v>312</v>
      </c>
      <c r="I3862" s="10"/>
      <c r="J3862" s="11"/>
      <c r="K3862" s="12"/>
      <c r="L3862" s="14" t="s">
        <v>5001</v>
      </c>
      <c r="M3862" s="10"/>
      <c r="N3862" s="10"/>
      <c r="O3862" s="10"/>
      <c r="P3862" s="10"/>
      <c r="Q3862" s="10"/>
      <c r="R3862" s="10"/>
      <c r="S3862" s="10"/>
      <c r="T3862" s="10"/>
      <c r="U3862" s="10"/>
      <c r="V3862" s="10"/>
      <c r="W3862" s="10"/>
      <c r="X3862" s="10"/>
      <c r="Y3862" s="10"/>
      <c r="Z3862" s="10"/>
      <c r="AA3862" s="10"/>
      <c r="AB3862" s="10"/>
      <c r="AC3862" s="10"/>
      <c r="AD3862" s="10"/>
      <c r="AE3862" s="10"/>
      <c r="AF3862" s="10"/>
    </row>
    <row r="3863">
      <c r="A3863" s="7"/>
      <c r="B3863" s="26">
        <v>285.0</v>
      </c>
      <c r="C3863" s="27">
        <v>20.0</v>
      </c>
      <c r="D3863" s="8" t="s">
        <v>5021</v>
      </c>
      <c r="E3863" s="7">
        <v>0.0</v>
      </c>
      <c r="F3863" s="7"/>
      <c r="G3863" s="7" t="s">
        <v>313</v>
      </c>
      <c r="H3863" s="7" t="s">
        <v>312</v>
      </c>
      <c r="I3863" s="10"/>
      <c r="J3863" s="11"/>
      <c r="K3863" s="12"/>
      <c r="L3863" s="14" t="s">
        <v>5001</v>
      </c>
      <c r="M3863" s="10"/>
      <c r="N3863" s="10"/>
      <c r="O3863" s="10"/>
      <c r="P3863" s="10"/>
      <c r="Q3863" s="10"/>
      <c r="R3863" s="10"/>
      <c r="S3863" s="10"/>
      <c r="T3863" s="10"/>
      <c r="U3863" s="10"/>
      <c r="V3863" s="10"/>
      <c r="W3863" s="10"/>
      <c r="X3863" s="10"/>
      <c r="Y3863" s="10"/>
      <c r="Z3863" s="10"/>
      <c r="AA3863" s="10"/>
      <c r="AB3863" s="10"/>
      <c r="AC3863" s="10"/>
      <c r="AD3863" s="10"/>
      <c r="AE3863" s="10"/>
      <c r="AF3863" s="10"/>
    </row>
    <row r="3864">
      <c r="A3864" s="7"/>
      <c r="B3864" s="26">
        <v>285.0</v>
      </c>
      <c r="C3864" s="27">
        <v>21.0</v>
      </c>
      <c r="D3864" s="8" t="s">
        <v>5022</v>
      </c>
      <c r="E3864" s="7">
        <v>0.0</v>
      </c>
      <c r="F3864" s="7"/>
      <c r="G3864" s="7" t="s">
        <v>313</v>
      </c>
      <c r="H3864" s="7" t="s">
        <v>312</v>
      </c>
      <c r="I3864" s="10"/>
      <c r="J3864" s="11"/>
      <c r="K3864" s="12"/>
      <c r="L3864" s="12"/>
      <c r="M3864" s="10"/>
      <c r="N3864" s="10"/>
      <c r="O3864" s="10"/>
      <c r="P3864" s="10"/>
      <c r="Q3864" s="10"/>
      <c r="R3864" s="10"/>
      <c r="S3864" s="10"/>
      <c r="T3864" s="10"/>
      <c r="U3864" s="10"/>
      <c r="V3864" s="10"/>
      <c r="W3864" s="10"/>
      <c r="X3864" s="10"/>
      <c r="Y3864" s="10"/>
      <c r="Z3864" s="10"/>
      <c r="AA3864" s="10"/>
      <c r="AB3864" s="10"/>
      <c r="AC3864" s="10"/>
      <c r="AD3864" s="10"/>
      <c r="AE3864" s="10"/>
      <c r="AF3864" s="10"/>
    </row>
    <row r="3865">
      <c r="A3865" s="10"/>
      <c r="B3865" s="12"/>
      <c r="C3865" s="12"/>
      <c r="D3865" s="12"/>
      <c r="E3865" s="10"/>
      <c r="F3865" s="10"/>
      <c r="G3865" s="10"/>
      <c r="H3865" s="10"/>
      <c r="I3865" s="10"/>
      <c r="J3865" s="11"/>
      <c r="K3865" s="12"/>
      <c r="L3865" s="12"/>
      <c r="M3865" s="10"/>
      <c r="N3865" s="10"/>
      <c r="O3865" s="10"/>
      <c r="P3865" s="10"/>
      <c r="Q3865" s="10"/>
      <c r="R3865" s="10"/>
      <c r="S3865" s="10"/>
      <c r="T3865" s="10"/>
      <c r="U3865" s="10"/>
      <c r="V3865" s="10"/>
      <c r="W3865" s="10"/>
      <c r="X3865" s="10"/>
      <c r="Y3865" s="10"/>
      <c r="Z3865" s="10"/>
      <c r="AA3865" s="10"/>
      <c r="AB3865" s="10"/>
      <c r="AC3865" s="10"/>
      <c r="AD3865" s="10"/>
      <c r="AE3865" s="10"/>
      <c r="AF3865" s="10"/>
    </row>
    <row r="3866">
      <c r="A3866" s="7"/>
      <c r="B3866" s="26">
        <v>286.0</v>
      </c>
      <c r="C3866" s="27">
        <v>1.0</v>
      </c>
      <c r="D3866" s="8" t="s">
        <v>5023</v>
      </c>
      <c r="E3866" s="7">
        <v>0.0</v>
      </c>
      <c r="F3866" s="7"/>
      <c r="G3866" s="7" t="s">
        <v>313</v>
      </c>
      <c r="H3866" s="7" t="s">
        <v>312</v>
      </c>
      <c r="I3866" s="10"/>
      <c r="J3866" s="9" t="s">
        <v>5024</v>
      </c>
      <c r="K3866" s="12"/>
      <c r="L3866" s="12"/>
      <c r="M3866" s="10"/>
      <c r="N3866" s="10"/>
      <c r="O3866" s="10"/>
      <c r="P3866" s="10"/>
      <c r="Q3866" s="10"/>
      <c r="R3866" s="10"/>
      <c r="S3866" s="10"/>
      <c r="T3866" s="10"/>
      <c r="U3866" s="10"/>
      <c r="V3866" s="10"/>
      <c r="W3866" s="10"/>
      <c r="X3866" s="10"/>
      <c r="Y3866" s="10"/>
      <c r="Z3866" s="10"/>
      <c r="AA3866" s="10"/>
      <c r="AB3866" s="10"/>
      <c r="AC3866" s="10"/>
      <c r="AD3866" s="10"/>
      <c r="AE3866" s="10"/>
      <c r="AF3866" s="10"/>
    </row>
    <row r="3867">
      <c r="A3867" s="7"/>
      <c r="B3867" s="26">
        <v>286.0</v>
      </c>
      <c r="C3867" s="27">
        <v>2.0</v>
      </c>
      <c r="D3867" s="8" t="s">
        <v>5025</v>
      </c>
      <c r="E3867" s="7">
        <v>0.0</v>
      </c>
      <c r="F3867" s="7"/>
      <c r="G3867" s="7" t="s">
        <v>313</v>
      </c>
      <c r="H3867" s="7" t="s">
        <v>312</v>
      </c>
      <c r="I3867" s="10"/>
      <c r="J3867" s="11"/>
      <c r="K3867" s="12"/>
      <c r="L3867" s="12"/>
      <c r="M3867" s="10"/>
      <c r="N3867" s="10"/>
      <c r="O3867" s="10"/>
      <c r="P3867" s="10"/>
      <c r="Q3867" s="10"/>
      <c r="R3867" s="10"/>
      <c r="S3867" s="10"/>
      <c r="T3867" s="10"/>
      <c r="U3867" s="10"/>
      <c r="V3867" s="10"/>
      <c r="W3867" s="10"/>
      <c r="X3867" s="10"/>
      <c r="Y3867" s="10"/>
      <c r="Z3867" s="10"/>
      <c r="AA3867" s="10"/>
      <c r="AB3867" s="10"/>
      <c r="AC3867" s="10"/>
      <c r="AD3867" s="10"/>
      <c r="AE3867" s="10"/>
      <c r="AF3867" s="10"/>
    </row>
    <row r="3868">
      <c r="A3868" s="7"/>
      <c r="B3868" s="26">
        <v>286.0</v>
      </c>
      <c r="C3868" s="27">
        <v>3.0</v>
      </c>
      <c r="D3868" s="8" t="s">
        <v>5026</v>
      </c>
      <c r="E3868" s="7">
        <v>0.0</v>
      </c>
      <c r="F3868" s="7"/>
      <c r="G3868" s="7" t="s">
        <v>313</v>
      </c>
      <c r="H3868" s="7" t="s">
        <v>312</v>
      </c>
      <c r="I3868" s="10"/>
      <c r="J3868" s="11"/>
      <c r="K3868" s="12"/>
      <c r="L3868" s="12"/>
      <c r="M3868" s="10"/>
      <c r="N3868" s="10"/>
      <c r="O3868" s="10"/>
      <c r="P3868" s="10"/>
      <c r="Q3868" s="10"/>
      <c r="R3868" s="10"/>
      <c r="S3868" s="10"/>
      <c r="T3868" s="10"/>
      <c r="U3868" s="10"/>
      <c r="V3868" s="10"/>
      <c r="W3868" s="10"/>
      <c r="X3868" s="10"/>
      <c r="Y3868" s="10"/>
      <c r="Z3868" s="10"/>
      <c r="AA3868" s="10"/>
      <c r="AB3868" s="10"/>
      <c r="AC3868" s="10"/>
      <c r="AD3868" s="10"/>
      <c r="AE3868" s="10"/>
      <c r="AF3868" s="10"/>
    </row>
    <row r="3869">
      <c r="A3869" s="7"/>
      <c r="B3869" s="26">
        <v>286.0</v>
      </c>
      <c r="C3869" s="27">
        <v>4.0</v>
      </c>
      <c r="D3869" s="8" t="s">
        <v>5027</v>
      </c>
      <c r="E3869" s="7">
        <v>0.0</v>
      </c>
      <c r="F3869" s="7"/>
      <c r="G3869" s="7" t="s">
        <v>313</v>
      </c>
      <c r="H3869" s="7" t="s">
        <v>312</v>
      </c>
      <c r="I3869" s="10"/>
      <c r="J3869" s="11"/>
      <c r="K3869" s="12"/>
      <c r="L3869" s="12"/>
      <c r="M3869" s="10"/>
      <c r="N3869" s="10"/>
      <c r="O3869" s="10"/>
      <c r="P3869" s="10"/>
      <c r="Q3869" s="10"/>
      <c r="R3869" s="10"/>
      <c r="S3869" s="10"/>
      <c r="T3869" s="10"/>
      <c r="U3869" s="10"/>
      <c r="V3869" s="10"/>
      <c r="W3869" s="10"/>
      <c r="X3869" s="10"/>
      <c r="Y3869" s="10"/>
      <c r="Z3869" s="10"/>
      <c r="AA3869" s="10"/>
      <c r="AB3869" s="10"/>
      <c r="AC3869" s="10"/>
      <c r="AD3869" s="10"/>
      <c r="AE3869" s="10"/>
      <c r="AF3869" s="10"/>
    </row>
    <row r="3870">
      <c r="A3870" s="7"/>
      <c r="B3870" s="26">
        <v>286.0</v>
      </c>
      <c r="C3870" s="27">
        <v>5.0</v>
      </c>
      <c r="D3870" s="8" t="s">
        <v>5028</v>
      </c>
      <c r="E3870" s="7">
        <v>0.0</v>
      </c>
      <c r="F3870" s="7"/>
      <c r="G3870" s="7" t="s">
        <v>313</v>
      </c>
      <c r="H3870" s="7" t="s">
        <v>312</v>
      </c>
      <c r="I3870" s="10"/>
      <c r="J3870" s="11"/>
      <c r="K3870" s="12"/>
      <c r="L3870" s="12"/>
      <c r="M3870" s="10"/>
      <c r="N3870" s="10"/>
      <c r="O3870" s="10"/>
      <c r="P3870" s="10"/>
      <c r="Q3870" s="10"/>
      <c r="R3870" s="10"/>
      <c r="S3870" s="10"/>
      <c r="T3870" s="10"/>
      <c r="U3870" s="10"/>
      <c r="V3870" s="10"/>
      <c r="W3870" s="10"/>
      <c r="X3870" s="10"/>
      <c r="Y3870" s="10"/>
      <c r="Z3870" s="10"/>
      <c r="AA3870" s="10"/>
      <c r="AB3870" s="10"/>
      <c r="AC3870" s="10"/>
      <c r="AD3870" s="10"/>
      <c r="AE3870" s="10"/>
      <c r="AF3870" s="10"/>
    </row>
    <row r="3871">
      <c r="A3871" s="7"/>
      <c r="B3871" s="26">
        <v>286.0</v>
      </c>
      <c r="C3871" s="27">
        <v>6.0</v>
      </c>
      <c r="D3871" s="8" t="s">
        <v>5029</v>
      </c>
      <c r="E3871" s="7">
        <v>0.0</v>
      </c>
      <c r="F3871" s="7"/>
      <c r="G3871" s="7" t="s">
        <v>313</v>
      </c>
      <c r="H3871" s="7" t="s">
        <v>312</v>
      </c>
      <c r="I3871" s="10"/>
      <c r="J3871" s="11"/>
      <c r="K3871" s="12"/>
      <c r="L3871" s="12"/>
      <c r="M3871" s="10"/>
      <c r="N3871" s="10"/>
      <c r="O3871" s="10"/>
      <c r="P3871" s="10"/>
      <c r="Q3871" s="10"/>
      <c r="R3871" s="10"/>
      <c r="S3871" s="10"/>
      <c r="T3871" s="10"/>
      <c r="U3871" s="10"/>
      <c r="V3871" s="10"/>
      <c r="W3871" s="10"/>
      <c r="X3871" s="10"/>
      <c r="Y3871" s="10"/>
      <c r="Z3871" s="10"/>
      <c r="AA3871" s="10"/>
      <c r="AB3871" s="10"/>
      <c r="AC3871" s="10"/>
      <c r="AD3871" s="10"/>
      <c r="AE3871" s="10"/>
      <c r="AF3871" s="10"/>
    </row>
    <row r="3872">
      <c r="A3872" s="7"/>
      <c r="B3872" s="26">
        <v>286.0</v>
      </c>
      <c r="C3872" s="27">
        <v>7.0</v>
      </c>
      <c r="D3872" s="8" t="s">
        <v>5030</v>
      </c>
      <c r="E3872" s="7">
        <v>0.0</v>
      </c>
      <c r="F3872" s="7"/>
      <c r="G3872" s="7" t="s">
        <v>313</v>
      </c>
      <c r="H3872" s="7" t="s">
        <v>312</v>
      </c>
      <c r="I3872" s="10"/>
      <c r="J3872" s="11"/>
      <c r="K3872" s="12"/>
      <c r="L3872" s="12"/>
      <c r="M3872" s="10"/>
      <c r="N3872" s="10"/>
      <c r="O3872" s="10"/>
      <c r="P3872" s="10"/>
      <c r="Q3872" s="10"/>
      <c r="R3872" s="10"/>
      <c r="S3872" s="10"/>
      <c r="T3872" s="10"/>
      <c r="U3872" s="10"/>
      <c r="V3872" s="10"/>
      <c r="W3872" s="10"/>
      <c r="X3872" s="10"/>
      <c r="Y3872" s="10"/>
      <c r="Z3872" s="10"/>
      <c r="AA3872" s="10"/>
      <c r="AB3872" s="10"/>
      <c r="AC3872" s="10"/>
      <c r="AD3872" s="10"/>
      <c r="AE3872" s="10"/>
      <c r="AF3872" s="10"/>
    </row>
    <row r="3873">
      <c r="A3873" s="7"/>
      <c r="B3873" s="26">
        <v>286.0</v>
      </c>
      <c r="C3873" s="27">
        <v>8.0</v>
      </c>
      <c r="D3873" s="8" t="s">
        <v>5031</v>
      </c>
      <c r="E3873" s="7">
        <v>0.0</v>
      </c>
      <c r="F3873" s="7"/>
      <c r="G3873" s="7" t="s">
        <v>313</v>
      </c>
      <c r="H3873" s="7" t="s">
        <v>312</v>
      </c>
      <c r="I3873" s="10"/>
      <c r="J3873" s="11"/>
      <c r="K3873" s="12"/>
      <c r="L3873" s="12"/>
      <c r="M3873" s="10"/>
      <c r="N3873" s="10"/>
      <c r="O3873" s="10"/>
      <c r="P3873" s="10"/>
      <c r="Q3873" s="10"/>
      <c r="R3873" s="10"/>
      <c r="S3873" s="10"/>
      <c r="T3873" s="10"/>
      <c r="U3873" s="10"/>
      <c r="V3873" s="10"/>
      <c r="W3873" s="10"/>
      <c r="X3873" s="10"/>
      <c r="Y3873" s="10"/>
      <c r="Z3873" s="10"/>
      <c r="AA3873" s="10"/>
      <c r="AB3873" s="10"/>
      <c r="AC3873" s="10"/>
      <c r="AD3873" s="10"/>
      <c r="AE3873" s="10"/>
      <c r="AF3873" s="10"/>
    </row>
    <row r="3874">
      <c r="A3874" s="7"/>
      <c r="B3874" s="26">
        <v>286.0</v>
      </c>
      <c r="C3874" s="27">
        <v>9.0</v>
      </c>
      <c r="D3874" s="8" t="s">
        <v>5032</v>
      </c>
      <c r="E3874" s="7">
        <v>3.0</v>
      </c>
      <c r="F3874" s="7"/>
      <c r="G3874" s="7" t="s">
        <v>313</v>
      </c>
      <c r="H3874" s="7" t="s">
        <v>312</v>
      </c>
      <c r="I3874" s="7" t="s">
        <v>320</v>
      </c>
      <c r="J3874" s="16" t="s">
        <v>4952</v>
      </c>
      <c r="K3874" s="12"/>
      <c r="L3874" s="12"/>
      <c r="M3874" s="10"/>
      <c r="N3874" s="10"/>
      <c r="O3874" s="10"/>
      <c r="P3874" s="10"/>
      <c r="Q3874" s="10"/>
      <c r="R3874" s="10"/>
      <c r="S3874" s="10"/>
      <c r="T3874" s="10"/>
      <c r="U3874" s="10"/>
      <c r="V3874" s="10"/>
      <c r="W3874" s="10"/>
      <c r="X3874" s="10"/>
      <c r="Y3874" s="10"/>
      <c r="Z3874" s="10"/>
      <c r="AA3874" s="10"/>
      <c r="AB3874" s="10"/>
      <c r="AC3874" s="10"/>
      <c r="AD3874" s="10"/>
      <c r="AE3874" s="10"/>
      <c r="AF3874" s="10"/>
    </row>
    <row r="3875">
      <c r="A3875" s="7"/>
      <c r="B3875" s="26">
        <v>286.0</v>
      </c>
      <c r="C3875" s="27">
        <v>10.0</v>
      </c>
      <c r="D3875" s="8" t="s">
        <v>5033</v>
      </c>
      <c r="E3875" s="7">
        <v>3.0</v>
      </c>
      <c r="F3875" s="7"/>
      <c r="G3875" s="7" t="s">
        <v>313</v>
      </c>
      <c r="H3875" s="7" t="s">
        <v>312</v>
      </c>
      <c r="I3875" s="10"/>
      <c r="J3875" s="11"/>
      <c r="K3875" s="12"/>
      <c r="L3875" s="12"/>
      <c r="M3875" s="10"/>
      <c r="N3875" s="10"/>
      <c r="O3875" s="10"/>
      <c r="P3875" s="10"/>
      <c r="Q3875" s="10"/>
      <c r="R3875" s="10"/>
      <c r="S3875" s="10"/>
      <c r="T3875" s="10"/>
      <c r="U3875" s="10"/>
      <c r="V3875" s="10"/>
      <c r="W3875" s="10"/>
      <c r="X3875" s="10"/>
      <c r="Y3875" s="10"/>
      <c r="Z3875" s="10"/>
      <c r="AA3875" s="10"/>
      <c r="AB3875" s="10"/>
      <c r="AC3875" s="10"/>
      <c r="AD3875" s="10"/>
      <c r="AE3875" s="10"/>
      <c r="AF3875" s="10"/>
    </row>
    <row r="3876">
      <c r="A3876" s="10"/>
      <c r="B3876" s="12"/>
      <c r="C3876" s="12"/>
      <c r="D3876" s="12"/>
      <c r="E3876" s="10"/>
      <c r="F3876" s="10"/>
      <c r="G3876" s="10"/>
      <c r="H3876" s="7"/>
      <c r="I3876" s="10"/>
      <c r="J3876" s="11"/>
      <c r="K3876" s="12"/>
      <c r="L3876" s="12"/>
      <c r="M3876" s="10"/>
      <c r="N3876" s="10"/>
      <c r="O3876" s="10"/>
      <c r="P3876" s="10"/>
      <c r="Q3876" s="10"/>
      <c r="R3876" s="10"/>
      <c r="S3876" s="10"/>
      <c r="T3876" s="10"/>
      <c r="U3876" s="10"/>
      <c r="V3876" s="10"/>
      <c r="W3876" s="10"/>
      <c r="X3876" s="10"/>
      <c r="Y3876" s="10"/>
      <c r="Z3876" s="10"/>
      <c r="AA3876" s="10"/>
      <c r="AB3876" s="10"/>
      <c r="AC3876" s="10"/>
      <c r="AD3876" s="10"/>
      <c r="AE3876" s="10"/>
      <c r="AF3876" s="10"/>
    </row>
    <row r="3877">
      <c r="A3877" s="7"/>
      <c r="B3877" s="26">
        <v>287.0</v>
      </c>
      <c r="C3877" s="27">
        <v>1.0</v>
      </c>
      <c r="D3877" s="8" t="s">
        <v>5034</v>
      </c>
      <c r="E3877" s="7">
        <v>0.0</v>
      </c>
      <c r="F3877" s="7"/>
      <c r="G3877" s="7" t="s">
        <v>313</v>
      </c>
      <c r="H3877" s="7" t="s">
        <v>312</v>
      </c>
      <c r="I3877" s="10"/>
      <c r="J3877" s="9"/>
      <c r="K3877" s="12"/>
      <c r="L3877" s="12"/>
      <c r="M3877" s="10"/>
      <c r="N3877" s="10"/>
      <c r="O3877" s="10"/>
      <c r="P3877" s="10"/>
      <c r="Q3877" s="10"/>
      <c r="R3877" s="10"/>
      <c r="S3877" s="10"/>
      <c r="T3877" s="10"/>
      <c r="U3877" s="10"/>
      <c r="V3877" s="10"/>
      <c r="W3877" s="10"/>
      <c r="X3877" s="10"/>
      <c r="Y3877" s="10"/>
      <c r="Z3877" s="10"/>
      <c r="AA3877" s="10"/>
      <c r="AB3877" s="10"/>
      <c r="AC3877" s="10"/>
      <c r="AD3877" s="10"/>
      <c r="AE3877" s="10"/>
      <c r="AF3877" s="10"/>
    </row>
    <row r="3878">
      <c r="A3878" s="7"/>
      <c r="B3878" s="26">
        <v>287.0</v>
      </c>
      <c r="C3878" s="27">
        <v>2.0</v>
      </c>
      <c r="D3878" s="8" t="s">
        <v>5035</v>
      </c>
      <c r="E3878" s="7">
        <v>3.0</v>
      </c>
      <c r="F3878" s="7" t="s">
        <v>320</v>
      </c>
      <c r="G3878" s="7" t="s">
        <v>313</v>
      </c>
      <c r="H3878" s="7" t="s">
        <v>312</v>
      </c>
      <c r="I3878" s="7" t="s">
        <v>366</v>
      </c>
      <c r="J3878" s="9" t="s">
        <v>5036</v>
      </c>
      <c r="K3878" s="12"/>
      <c r="L3878" s="12"/>
      <c r="M3878" s="10"/>
      <c r="N3878" s="10"/>
      <c r="O3878" s="10"/>
      <c r="P3878" s="10"/>
      <c r="Q3878" s="10"/>
      <c r="R3878" s="10"/>
      <c r="S3878" s="10"/>
      <c r="T3878" s="10"/>
      <c r="U3878" s="10"/>
      <c r="V3878" s="10"/>
      <c r="W3878" s="10"/>
      <c r="X3878" s="10"/>
      <c r="Y3878" s="10"/>
      <c r="Z3878" s="10"/>
      <c r="AA3878" s="10"/>
      <c r="AB3878" s="10"/>
      <c r="AC3878" s="10"/>
      <c r="AD3878" s="10"/>
      <c r="AE3878" s="10"/>
      <c r="AF3878" s="10"/>
    </row>
    <row r="3879">
      <c r="A3879" s="7"/>
      <c r="B3879" s="26">
        <v>287.0</v>
      </c>
      <c r="C3879" s="27">
        <v>3.0</v>
      </c>
      <c r="D3879" s="8" t="s">
        <v>5037</v>
      </c>
      <c r="E3879" s="7">
        <v>3.0</v>
      </c>
      <c r="F3879" s="7" t="s">
        <v>320</v>
      </c>
      <c r="G3879" s="7" t="s">
        <v>313</v>
      </c>
      <c r="H3879" s="7" t="s">
        <v>312</v>
      </c>
      <c r="I3879" s="7" t="s">
        <v>320</v>
      </c>
      <c r="J3879" s="11"/>
      <c r="K3879" s="12"/>
      <c r="L3879" s="12"/>
      <c r="M3879" s="10"/>
      <c r="N3879" s="10"/>
      <c r="O3879" s="10"/>
      <c r="P3879" s="10"/>
      <c r="Q3879" s="10"/>
      <c r="R3879" s="10"/>
      <c r="S3879" s="10"/>
      <c r="T3879" s="10"/>
      <c r="U3879" s="10"/>
      <c r="V3879" s="10"/>
      <c r="W3879" s="10"/>
      <c r="X3879" s="10"/>
      <c r="Y3879" s="10"/>
      <c r="Z3879" s="10"/>
      <c r="AA3879" s="10"/>
      <c r="AB3879" s="10"/>
      <c r="AC3879" s="10"/>
      <c r="AD3879" s="10"/>
      <c r="AE3879" s="10"/>
      <c r="AF3879" s="10"/>
    </row>
    <row r="3880">
      <c r="A3880" s="10"/>
      <c r="B3880" s="12"/>
      <c r="C3880" s="12"/>
      <c r="D3880" s="12"/>
      <c r="E3880" s="10"/>
      <c r="F3880" s="10"/>
      <c r="G3880" s="10"/>
      <c r="H3880" s="10"/>
      <c r="I3880" s="10"/>
      <c r="J3880" s="11"/>
      <c r="K3880" s="12"/>
      <c r="L3880" s="12"/>
      <c r="M3880" s="10"/>
      <c r="N3880" s="10"/>
      <c r="O3880" s="10"/>
      <c r="P3880" s="10"/>
      <c r="Q3880" s="10"/>
      <c r="R3880" s="10"/>
      <c r="S3880" s="10"/>
      <c r="T3880" s="10"/>
      <c r="U3880" s="10"/>
      <c r="V3880" s="10"/>
      <c r="W3880" s="10"/>
      <c r="X3880" s="10"/>
      <c r="Y3880" s="10"/>
      <c r="Z3880" s="10"/>
      <c r="AA3880" s="10"/>
      <c r="AB3880" s="10"/>
      <c r="AC3880" s="10"/>
      <c r="AD3880" s="10"/>
      <c r="AE3880" s="10"/>
      <c r="AF3880" s="10"/>
    </row>
    <row r="3881">
      <c r="A3881" s="7"/>
      <c r="B3881" s="26">
        <v>288.0</v>
      </c>
      <c r="C3881" s="27">
        <v>1.0</v>
      </c>
      <c r="D3881" s="8" t="s">
        <v>5038</v>
      </c>
      <c r="E3881" s="7">
        <v>0.0</v>
      </c>
      <c r="F3881" s="7"/>
      <c r="G3881" s="7" t="s">
        <v>313</v>
      </c>
      <c r="H3881" s="7" t="s">
        <v>312</v>
      </c>
      <c r="I3881" s="10"/>
      <c r="J3881" s="9"/>
      <c r="K3881" s="12"/>
      <c r="L3881" s="12"/>
      <c r="M3881" s="10"/>
      <c r="N3881" s="10"/>
      <c r="O3881" s="10"/>
      <c r="P3881" s="10"/>
      <c r="Q3881" s="10"/>
      <c r="R3881" s="10"/>
      <c r="S3881" s="10"/>
      <c r="T3881" s="10"/>
      <c r="U3881" s="10"/>
      <c r="V3881" s="10"/>
      <c r="W3881" s="10"/>
      <c r="X3881" s="10"/>
      <c r="Y3881" s="10"/>
      <c r="Z3881" s="10"/>
      <c r="AA3881" s="10"/>
      <c r="AB3881" s="10"/>
      <c r="AC3881" s="10"/>
      <c r="AD3881" s="10"/>
      <c r="AE3881" s="10"/>
      <c r="AF3881" s="10"/>
    </row>
    <row r="3882">
      <c r="A3882" s="7"/>
      <c r="B3882" s="26">
        <v>288.0</v>
      </c>
      <c r="C3882" s="27">
        <v>2.0</v>
      </c>
      <c r="D3882" s="8" t="s">
        <v>5039</v>
      </c>
      <c r="E3882" s="7">
        <v>2.0</v>
      </c>
      <c r="F3882" s="7" t="s">
        <v>320</v>
      </c>
      <c r="G3882" s="7" t="s">
        <v>313</v>
      </c>
      <c r="H3882" s="7" t="s">
        <v>312</v>
      </c>
      <c r="I3882" s="7" t="s">
        <v>320</v>
      </c>
      <c r="J3882" s="9" t="s">
        <v>5040</v>
      </c>
      <c r="K3882" s="8" t="s">
        <v>5041</v>
      </c>
      <c r="L3882" s="12"/>
      <c r="M3882" s="10"/>
      <c r="N3882" s="10"/>
      <c r="O3882" s="10"/>
      <c r="P3882" s="10"/>
      <c r="Q3882" s="10"/>
      <c r="R3882" s="10"/>
      <c r="S3882" s="10"/>
      <c r="T3882" s="10"/>
      <c r="U3882" s="10"/>
      <c r="V3882" s="10"/>
      <c r="W3882" s="10"/>
      <c r="X3882" s="10"/>
      <c r="Y3882" s="10"/>
      <c r="Z3882" s="10"/>
      <c r="AA3882" s="10"/>
      <c r="AB3882" s="10"/>
      <c r="AC3882" s="10"/>
      <c r="AD3882" s="10"/>
      <c r="AE3882" s="10"/>
      <c r="AF3882" s="10"/>
    </row>
    <row r="3883">
      <c r="A3883" s="7"/>
      <c r="B3883" s="26">
        <v>288.0</v>
      </c>
      <c r="C3883" s="27">
        <v>3.0</v>
      </c>
      <c r="D3883" s="8" t="s">
        <v>5042</v>
      </c>
      <c r="E3883" s="7">
        <v>2.0</v>
      </c>
      <c r="F3883" s="7" t="s">
        <v>320</v>
      </c>
      <c r="G3883" s="7" t="s">
        <v>313</v>
      </c>
      <c r="H3883" s="7" t="s">
        <v>312</v>
      </c>
      <c r="I3883" s="7" t="s">
        <v>320</v>
      </c>
      <c r="J3883" s="9" t="s">
        <v>5043</v>
      </c>
      <c r="K3883" s="8" t="s">
        <v>5044</v>
      </c>
      <c r="L3883" s="12"/>
      <c r="M3883" s="10"/>
      <c r="N3883" s="10"/>
      <c r="O3883" s="10"/>
      <c r="P3883" s="10"/>
      <c r="Q3883" s="10"/>
      <c r="R3883" s="10"/>
      <c r="S3883" s="10"/>
      <c r="T3883" s="10"/>
      <c r="U3883" s="10"/>
      <c r="V3883" s="10"/>
      <c r="W3883" s="10"/>
      <c r="X3883" s="10"/>
      <c r="Y3883" s="10"/>
      <c r="Z3883" s="10"/>
      <c r="AA3883" s="10"/>
      <c r="AB3883" s="10"/>
      <c r="AC3883" s="10"/>
      <c r="AD3883" s="10"/>
      <c r="AE3883" s="10"/>
      <c r="AF3883" s="10"/>
    </row>
    <row r="3884">
      <c r="A3884" s="10"/>
      <c r="B3884" s="12"/>
      <c r="C3884" s="12"/>
      <c r="D3884" s="12"/>
      <c r="E3884" s="10"/>
      <c r="F3884" s="10"/>
      <c r="G3884" s="10"/>
      <c r="H3884" s="10"/>
      <c r="I3884" s="10"/>
      <c r="J3884" s="11"/>
      <c r="K3884" s="12"/>
      <c r="L3884" s="12"/>
      <c r="M3884" s="10"/>
      <c r="N3884" s="10"/>
      <c r="O3884" s="10"/>
      <c r="P3884" s="10"/>
      <c r="Q3884" s="10"/>
      <c r="R3884" s="10"/>
      <c r="S3884" s="10"/>
      <c r="T3884" s="10"/>
      <c r="U3884" s="10"/>
      <c r="V3884" s="10"/>
      <c r="W3884" s="10"/>
      <c r="X3884" s="10"/>
      <c r="Y3884" s="10"/>
      <c r="Z3884" s="10"/>
      <c r="AA3884" s="10"/>
      <c r="AB3884" s="10"/>
      <c r="AC3884" s="10"/>
      <c r="AD3884" s="10"/>
      <c r="AE3884" s="10"/>
      <c r="AF3884" s="10"/>
    </row>
    <row r="3885">
      <c r="A3885" s="7"/>
      <c r="B3885" s="26">
        <v>289.0</v>
      </c>
      <c r="C3885" s="27">
        <v>1.0</v>
      </c>
      <c r="D3885" s="8" t="s">
        <v>5045</v>
      </c>
      <c r="E3885" s="7">
        <v>3.0</v>
      </c>
      <c r="F3885" s="7"/>
      <c r="G3885" s="7" t="s">
        <v>313</v>
      </c>
      <c r="H3885" s="7" t="s">
        <v>312</v>
      </c>
      <c r="I3885" s="10"/>
      <c r="J3885" s="9" t="s">
        <v>5046</v>
      </c>
      <c r="K3885" s="12"/>
      <c r="L3885" s="14" t="s">
        <v>5047</v>
      </c>
      <c r="M3885" s="10"/>
      <c r="N3885" s="10"/>
      <c r="O3885" s="10"/>
      <c r="P3885" s="10"/>
      <c r="Q3885" s="10"/>
      <c r="R3885" s="10"/>
      <c r="S3885" s="10"/>
      <c r="T3885" s="10"/>
      <c r="U3885" s="10"/>
      <c r="V3885" s="10"/>
      <c r="W3885" s="10"/>
      <c r="X3885" s="10"/>
      <c r="Y3885" s="10"/>
      <c r="Z3885" s="10"/>
      <c r="AA3885" s="10"/>
      <c r="AB3885" s="10"/>
      <c r="AC3885" s="10"/>
      <c r="AD3885" s="10"/>
      <c r="AE3885" s="10"/>
      <c r="AF3885" s="10"/>
    </row>
    <row r="3886">
      <c r="A3886" s="7"/>
      <c r="B3886" s="26">
        <v>289.0</v>
      </c>
      <c r="C3886" s="27">
        <v>2.0</v>
      </c>
      <c r="D3886" s="8" t="s">
        <v>5048</v>
      </c>
      <c r="E3886" s="7">
        <v>3.0</v>
      </c>
      <c r="F3886" s="7"/>
      <c r="G3886" s="7" t="s">
        <v>313</v>
      </c>
      <c r="H3886" s="7" t="s">
        <v>312</v>
      </c>
      <c r="I3886" s="10"/>
      <c r="J3886" s="11"/>
      <c r="K3886" s="12"/>
      <c r="L3886" s="12"/>
      <c r="M3886" s="10"/>
      <c r="N3886" s="10"/>
      <c r="O3886" s="10"/>
      <c r="P3886" s="10"/>
      <c r="Q3886" s="10"/>
      <c r="R3886" s="10"/>
      <c r="S3886" s="10"/>
      <c r="T3886" s="10"/>
      <c r="U3886" s="10"/>
      <c r="V3886" s="10"/>
      <c r="W3886" s="10"/>
      <c r="X3886" s="10"/>
      <c r="Y3886" s="10"/>
      <c r="Z3886" s="10"/>
      <c r="AA3886" s="10"/>
      <c r="AB3886" s="10"/>
      <c r="AC3886" s="10"/>
      <c r="AD3886" s="10"/>
      <c r="AE3886" s="10"/>
      <c r="AF3886" s="10"/>
    </row>
    <row r="3887">
      <c r="A3887" s="7"/>
      <c r="B3887" s="26">
        <v>289.0</v>
      </c>
      <c r="C3887" s="27">
        <v>3.0</v>
      </c>
      <c r="D3887" s="8" t="s">
        <v>5049</v>
      </c>
      <c r="E3887" s="7">
        <v>0.0</v>
      </c>
      <c r="F3887" s="7"/>
      <c r="G3887" s="7" t="s">
        <v>313</v>
      </c>
      <c r="H3887" s="7" t="s">
        <v>312</v>
      </c>
      <c r="I3887" s="10"/>
      <c r="J3887" s="11"/>
      <c r="K3887" s="12"/>
      <c r="L3887" s="12"/>
      <c r="M3887" s="10"/>
      <c r="N3887" s="10"/>
      <c r="O3887" s="10"/>
      <c r="P3887" s="10"/>
      <c r="Q3887" s="10"/>
      <c r="R3887" s="10"/>
      <c r="S3887" s="10"/>
      <c r="T3887" s="10"/>
      <c r="U3887" s="10"/>
      <c r="V3887" s="10"/>
      <c r="W3887" s="10"/>
      <c r="X3887" s="10"/>
      <c r="Y3887" s="10"/>
      <c r="Z3887" s="10"/>
      <c r="AA3887" s="10"/>
      <c r="AB3887" s="10"/>
      <c r="AC3887" s="10"/>
      <c r="AD3887" s="10"/>
      <c r="AE3887" s="10"/>
      <c r="AF3887" s="10"/>
    </row>
    <row r="3888">
      <c r="A3888" s="10"/>
      <c r="B3888" s="12"/>
      <c r="C3888" s="12"/>
      <c r="D3888" s="12"/>
      <c r="E3888" s="10"/>
      <c r="F3888" s="10"/>
      <c r="G3888" s="10"/>
      <c r="H3888" s="10"/>
      <c r="I3888" s="10"/>
      <c r="J3888" s="11"/>
      <c r="K3888" s="12"/>
      <c r="L3888" s="12"/>
      <c r="M3888" s="10"/>
      <c r="N3888" s="10"/>
      <c r="O3888" s="10"/>
      <c r="P3888" s="10"/>
      <c r="Q3888" s="10"/>
      <c r="R3888" s="10"/>
      <c r="S3888" s="10"/>
      <c r="T3888" s="10"/>
      <c r="U3888" s="10"/>
      <c r="V3888" s="10"/>
      <c r="W3888" s="10"/>
      <c r="X3888" s="10"/>
      <c r="Y3888" s="10"/>
      <c r="Z3888" s="10"/>
      <c r="AA3888" s="10"/>
      <c r="AB3888" s="10"/>
      <c r="AC3888" s="10"/>
      <c r="AD3888" s="10"/>
      <c r="AE3888" s="10"/>
      <c r="AF3888" s="10"/>
    </row>
    <row r="3889">
      <c r="A3889" s="7"/>
      <c r="B3889" s="26">
        <v>290.0</v>
      </c>
      <c r="C3889" s="27">
        <v>1.0</v>
      </c>
      <c r="D3889" s="8" t="s">
        <v>5050</v>
      </c>
      <c r="E3889" s="7">
        <v>3.0</v>
      </c>
      <c r="F3889" s="7"/>
      <c r="G3889" s="7" t="s">
        <v>313</v>
      </c>
      <c r="H3889" s="7" t="s">
        <v>312</v>
      </c>
      <c r="I3889" s="10"/>
      <c r="J3889" s="9" t="s">
        <v>5051</v>
      </c>
      <c r="K3889" s="12"/>
      <c r="L3889" s="12"/>
      <c r="M3889" s="10"/>
      <c r="N3889" s="10"/>
      <c r="O3889" s="10"/>
      <c r="P3889" s="10"/>
      <c r="Q3889" s="10"/>
      <c r="R3889" s="10"/>
      <c r="S3889" s="10"/>
      <c r="T3889" s="10"/>
      <c r="U3889" s="10"/>
      <c r="V3889" s="10"/>
      <c r="W3889" s="10"/>
      <c r="X3889" s="10"/>
      <c r="Y3889" s="10"/>
      <c r="Z3889" s="10"/>
      <c r="AA3889" s="10"/>
      <c r="AB3889" s="10"/>
      <c r="AC3889" s="10"/>
      <c r="AD3889" s="10"/>
      <c r="AE3889" s="10"/>
      <c r="AF3889" s="10"/>
    </row>
    <row r="3890">
      <c r="A3890" s="7"/>
      <c r="B3890" s="26">
        <v>290.0</v>
      </c>
      <c r="C3890" s="27">
        <v>2.0</v>
      </c>
      <c r="D3890" s="8" t="s">
        <v>5052</v>
      </c>
      <c r="E3890" s="7">
        <v>2.0</v>
      </c>
      <c r="F3890" s="7" t="s">
        <v>320</v>
      </c>
      <c r="G3890" s="7" t="s">
        <v>313</v>
      </c>
      <c r="H3890" s="7" t="s">
        <v>312</v>
      </c>
      <c r="I3890" s="7" t="s">
        <v>320</v>
      </c>
      <c r="J3890" s="9" t="s">
        <v>5053</v>
      </c>
      <c r="K3890" s="8" t="s">
        <v>5054</v>
      </c>
      <c r="L3890" s="12"/>
      <c r="M3890" s="10"/>
      <c r="N3890" s="10"/>
      <c r="O3890" s="10"/>
      <c r="P3890" s="10"/>
      <c r="Q3890" s="10"/>
      <c r="R3890" s="10"/>
      <c r="S3890" s="10"/>
      <c r="T3890" s="10"/>
      <c r="U3890" s="10"/>
      <c r="V3890" s="10"/>
      <c r="W3890" s="10"/>
      <c r="X3890" s="10"/>
      <c r="Y3890" s="10"/>
      <c r="Z3890" s="10"/>
      <c r="AA3890" s="10"/>
      <c r="AB3890" s="10"/>
      <c r="AC3890" s="10"/>
      <c r="AD3890" s="10"/>
      <c r="AE3890" s="10"/>
      <c r="AF3890" s="10"/>
    </row>
    <row r="3891">
      <c r="A3891" s="7"/>
      <c r="B3891" s="26">
        <v>290.0</v>
      </c>
      <c r="C3891" s="27">
        <v>3.0</v>
      </c>
      <c r="D3891" s="8" t="s">
        <v>5055</v>
      </c>
      <c r="E3891" s="7">
        <v>0.0</v>
      </c>
      <c r="F3891" s="7"/>
      <c r="G3891" s="7" t="s">
        <v>313</v>
      </c>
      <c r="H3891" s="7" t="s">
        <v>312</v>
      </c>
      <c r="I3891" s="10"/>
      <c r="J3891" s="11"/>
      <c r="K3891" s="12"/>
      <c r="L3891" s="12"/>
      <c r="M3891" s="10"/>
      <c r="N3891" s="10"/>
      <c r="O3891" s="10"/>
      <c r="P3891" s="10"/>
      <c r="Q3891" s="10"/>
      <c r="R3891" s="10"/>
      <c r="S3891" s="10"/>
      <c r="T3891" s="10"/>
      <c r="U3891" s="10"/>
      <c r="V3891" s="10"/>
      <c r="W3891" s="10"/>
      <c r="X3891" s="10"/>
      <c r="Y3891" s="10"/>
      <c r="Z3891" s="10"/>
      <c r="AA3891" s="10"/>
      <c r="AB3891" s="10"/>
      <c r="AC3891" s="10"/>
      <c r="AD3891" s="10"/>
      <c r="AE3891" s="10"/>
      <c r="AF3891" s="10"/>
    </row>
    <row r="3892">
      <c r="A3892" s="7"/>
      <c r="B3892" s="26">
        <v>290.0</v>
      </c>
      <c r="C3892" s="27">
        <v>4.0</v>
      </c>
      <c r="D3892" s="8" t="s">
        <v>5056</v>
      </c>
      <c r="E3892" s="7">
        <v>0.0</v>
      </c>
      <c r="F3892" s="7"/>
      <c r="G3892" s="7" t="s">
        <v>313</v>
      </c>
      <c r="H3892" s="7" t="s">
        <v>312</v>
      </c>
      <c r="I3892" s="10"/>
      <c r="J3892" s="11"/>
      <c r="K3892" s="16" t="s">
        <v>5057</v>
      </c>
      <c r="L3892" s="14" t="s">
        <v>5058</v>
      </c>
      <c r="M3892" s="10"/>
      <c r="N3892" s="10"/>
      <c r="O3892" s="10"/>
      <c r="P3892" s="10"/>
      <c r="Q3892" s="10"/>
      <c r="R3892" s="10"/>
      <c r="S3892" s="10"/>
      <c r="T3892" s="10"/>
      <c r="U3892" s="10"/>
      <c r="V3892" s="10"/>
      <c r="W3892" s="10"/>
      <c r="X3892" s="10"/>
      <c r="Y3892" s="10"/>
      <c r="Z3892" s="10"/>
      <c r="AA3892" s="10"/>
      <c r="AB3892" s="10"/>
      <c r="AC3892" s="10"/>
      <c r="AD3892" s="10"/>
      <c r="AE3892" s="10"/>
      <c r="AF3892" s="10"/>
    </row>
    <row r="3893">
      <c r="A3893" s="7"/>
      <c r="B3893" s="26">
        <v>290.0</v>
      </c>
      <c r="C3893" s="27">
        <v>5.0</v>
      </c>
      <c r="D3893" s="8" t="s">
        <v>5059</v>
      </c>
      <c r="E3893" s="7">
        <v>0.0</v>
      </c>
      <c r="F3893" s="7"/>
      <c r="G3893" s="7" t="s">
        <v>313</v>
      </c>
      <c r="H3893" s="7" t="s">
        <v>312</v>
      </c>
      <c r="I3893" s="10"/>
      <c r="J3893" s="11"/>
      <c r="K3893" s="16" t="s">
        <v>5057</v>
      </c>
      <c r="L3893" s="14" t="s">
        <v>5060</v>
      </c>
      <c r="M3893" s="10"/>
      <c r="N3893" s="10"/>
      <c r="O3893" s="10"/>
      <c r="P3893" s="10"/>
      <c r="Q3893" s="10"/>
      <c r="R3893" s="10"/>
      <c r="S3893" s="10"/>
      <c r="T3893" s="10"/>
      <c r="U3893" s="10"/>
      <c r="V3893" s="10"/>
      <c r="W3893" s="10"/>
      <c r="X3893" s="10"/>
      <c r="Y3893" s="10"/>
      <c r="Z3893" s="10"/>
      <c r="AA3893" s="10"/>
      <c r="AB3893" s="10"/>
      <c r="AC3893" s="10"/>
      <c r="AD3893" s="10"/>
      <c r="AE3893" s="10"/>
      <c r="AF3893" s="10"/>
    </row>
    <row r="3894">
      <c r="A3894" s="7"/>
      <c r="B3894" s="26">
        <v>290.0</v>
      </c>
      <c r="C3894" s="27">
        <v>6.0</v>
      </c>
      <c r="D3894" s="8" t="s">
        <v>5061</v>
      </c>
      <c r="E3894" s="7">
        <v>0.0</v>
      </c>
      <c r="F3894" s="7"/>
      <c r="G3894" s="7" t="s">
        <v>313</v>
      </c>
      <c r="H3894" s="7" t="s">
        <v>312</v>
      </c>
      <c r="I3894" s="10"/>
      <c r="J3894" s="11"/>
      <c r="K3894" s="12"/>
      <c r="L3894" s="12"/>
      <c r="M3894" s="10"/>
      <c r="N3894" s="10"/>
      <c r="O3894" s="10"/>
      <c r="P3894" s="10"/>
      <c r="Q3894" s="10"/>
      <c r="R3894" s="10"/>
      <c r="S3894" s="10"/>
      <c r="T3894" s="10"/>
      <c r="U3894" s="10"/>
      <c r="V3894" s="10"/>
      <c r="W3894" s="10"/>
      <c r="X3894" s="10"/>
      <c r="Y3894" s="10"/>
      <c r="Z3894" s="10"/>
      <c r="AA3894" s="10"/>
      <c r="AB3894" s="10"/>
      <c r="AC3894" s="10"/>
      <c r="AD3894" s="10"/>
      <c r="AE3894" s="10"/>
      <c r="AF3894" s="10"/>
    </row>
    <row r="3895">
      <c r="A3895" s="7"/>
      <c r="B3895" s="26">
        <v>290.0</v>
      </c>
      <c r="C3895" s="27">
        <v>7.0</v>
      </c>
      <c r="D3895" s="8" t="s">
        <v>5062</v>
      </c>
      <c r="E3895" s="7">
        <v>0.0</v>
      </c>
      <c r="F3895" s="7"/>
      <c r="G3895" s="7" t="s">
        <v>313</v>
      </c>
      <c r="H3895" s="7" t="s">
        <v>312</v>
      </c>
      <c r="I3895" s="10"/>
      <c r="J3895" s="11"/>
      <c r="K3895" s="12"/>
      <c r="L3895" s="12"/>
      <c r="M3895" s="10"/>
      <c r="N3895" s="10"/>
      <c r="O3895" s="10"/>
      <c r="P3895" s="10"/>
      <c r="Q3895" s="10"/>
      <c r="R3895" s="10"/>
      <c r="S3895" s="10"/>
      <c r="T3895" s="10"/>
      <c r="U3895" s="10"/>
      <c r="V3895" s="10"/>
      <c r="W3895" s="10"/>
      <c r="X3895" s="10"/>
      <c r="Y3895" s="10"/>
      <c r="Z3895" s="10"/>
      <c r="AA3895" s="10"/>
      <c r="AB3895" s="10"/>
      <c r="AC3895" s="10"/>
      <c r="AD3895" s="10"/>
      <c r="AE3895" s="10"/>
      <c r="AF3895" s="10"/>
    </row>
    <row r="3896">
      <c r="A3896" s="7"/>
      <c r="B3896" s="26">
        <v>290.0</v>
      </c>
      <c r="C3896" s="27">
        <v>8.0</v>
      </c>
      <c r="D3896" s="8" t="s">
        <v>5063</v>
      </c>
      <c r="E3896" s="7">
        <v>0.0</v>
      </c>
      <c r="F3896" s="7"/>
      <c r="G3896" s="7" t="s">
        <v>313</v>
      </c>
      <c r="H3896" s="7" t="s">
        <v>312</v>
      </c>
      <c r="I3896" s="10"/>
      <c r="J3896" s="11"/>
      <c r="K3896" s="12"/>
      <c r="L3896" s="12"/>
      <c r="M3896" s="10"/>
      <c r="N3896" s="10"/>
      <c r="O3896" s="10"/>
      <c r="P3896" s="10"/>
      <c r="Q3896" s="10"/>
      <c r="R3896" s="10"/>
      <c r="S3896" s="10"/>
      <c r="T3896" s="10"/>
      <c r="U3896" s="10"/>
      <c r="V3896" s="10"/>
      <c r="W3896" s="10"/>
      <c r="X3896" s="10"/>
      <c r="Y3896" s="10"/>
      <c r="Z3896" s="10"/>
      <c r="AA3896" s="10"/>
      <c r="AB3896" s="10"/>
      <c r="AC3896" s="10"/>
      <c r="AD3896" s="10"/>
      <c r="AE3896" s="10"/>
      <c r="AF3896" s="10"/>
    </row>
    <row r="3897">
      <c r="A3897" s="7"/>
      <c r="B3897" s="26">
        <v>290.0</v>
      </c>
      <c r="C3897" s="27">
        <v>9.0</v>
      </c>
      <c r="D3897" s="8" t="s">
        <v>5064</v>
      </c>
      <c r="E3897" s="7">
        <v>0.0</v>
      </c>
      <c r="F3897" s="7"/>
      <c r="G3897" s="7" t="s">
        <v>313</v>
      </c>
      <c r="H3897" s="7" t="s">
        <v>312</v>
      </c>
      <c r="I3897" s="10"/>
      <c r="J3897" s="11"/>
      <c r="K3897" s="12"/>
      <c r="L3897" s="12"/>
      <c r="M3897" s="10"/>
      <c r="N3897" s="10"/>
      <c r="O3897" s="10"/>
      <c r="P3897" s="10"/>
      <c r="Q3897" s="10"/>
      <c r="R3897" s="10"/>
      <c r="S3897" s="10"/>
      <c r="T3897" s="10"/>
      <c r="U3897" s="10"/>
      <c r="V3897" s="10"/>
      <c r="W3897" s="10"/>
      <c r="X3897" s="10"/>
      <c r="Y3897" s="10"/>
      <c r="Z3897" s="10"/>
      <c r="AA3897" s="10"/>
      <c r="AB3897" s="10"/>
      <c r="AC3897" s="10"/>
      <c r="AD3897" s="10"/>
      <c r="AE3897" s="10"/>
      <c r="AF3897" s="10"/>
    </row>
    <row r="3898">
      <c r="A3898" s="7"/>
      <c r="B3898" s="26">
        <v>290.0</v>
      </c>
      <c r="C3898" s="27">
        <v>10.0</v>
      </c>
      <c r="D3898" s="8" t="s">
        <v>5065</v>
      </c>
      <c r="E3898" s="7">
        <v>0.0</v>
      </c>
      <c r="F3898" s="7"/>
      <c r="G3898" s="7" t="s">
        <v>313</v>
      </c>
      <c r="H3898" s="7" t="s">
        <v>312</v>
      </c>
      <c r="I3898" s="10"/>
      <c r="J3898" s="11"/>
      <c r="K3898" s="12"/>
      <c r="L3898" s="12"/>
      <c r="M3898" s="10"/>
      <c r="N3898" s="10"/>
      <c r="O3898" s="10"/>
      <c r="P3898" s="10"/>
      <c r="Q3898" s="10"/>
      <c r="R3898" s="10"/>
      <c r="S3898" s="10"/>
      <c r="T3898" s="10"/>
      <c r="U3898" s="10"/>
      <c r="V3898" s="10"/>
      <c r="W3898" s="10"/>
      <c r="X3898" s="10"/>
      <c r="Y3898" s="10"/>
      <c r="Z3898" s="10"/>
      <c r="AA3898" s="10"/>
      <c r="AB3898" s="10"/>
      <c r="AC3898" s="10"/>
      <c r="AD3898" s="10"/>
      <c r="AE3898" s="10"/>
      <c r="AF3898" s="10"/>
    </row>
    <row r="3899">
      <c r="A3899" s="7"/>
      <c r="B3899" s="26">
        <v>290.0</v>
      </c>
      <c r="C3899" s="27">
        <v>11.0</v>
      </c>
      <c r="D3899" s="8" t="s">
        <v>5066</v>
      </c>
      <c r="E3899" s="7">
        <v>0.0</v>
      </c>
      <c r="F3899" s="7"/>
      <c r="G3899" s="7" t="s">
        <v>313</v>
      </c>
      <c r="H3899" s="7" t="s">
        <v>312</v>
      </c>
      <c r="I3899" s="10"/>
      <c r="J3899" s="11"/>
      <c r="K3899" s="12"/>
      <c r="L3899" s="14" t="s">
        <v>5058</v>
      </c>
      <c r="M3899" s="10"/>
      <c r="N3899" s="10"/>
      <c r="O3899" s="10"/>
      <c r="P3899" s="10"/>
      <c r="Q3899" s="10"/>
      <c r="R3899" s="10"/>
      <c r="S3899" s="10"/>
      <c r="T3899" s="10"/>
      <c r="U3899" s="10"/>
      <c r="V3899" s="10"/>
      <c r="W3899" s="10"/>
      <c r="X3899" s="10"/>
      <c r="Y3899" s="10"/>
      <c r="Z3899" s="10"/>
      <c r="AA3899" s="10"/>
      <c r="AB3899" s="10"/>
      <c r="AC3899" s="10"/>
      <c r="AD3899" s="10"/>
      <c r="AE3899" s="10"/>
      <c r="AF3899" s="10"/>
    </row>
    <row r="3900">
      <c r="A3900" s="7"/>
      <c r="B3900" s="26">
        <v>290.0</v>
      </c>
      <c r="C3900" s="27">
        <v>12.0</v>
      </c>
      <c r="D3900" s="8" t="s">
        <v>5067</v>
      </c>
      <c r="E3900" s="7">
        <v>0.0</v>
      </c>
      <c r="F3900" s="7"/>
      <c r="G3900" s="7" t="s">
        <v>313</v>
      </c>
      <c r="H3900" s="7" t="s">
        <v>312</v>
      </c>
      <c r="I3900" s="10"/>
      <c r="J3900" s="11"/>
      <c r="K3900" s="12"/>
      <c r="L3900" s="14" t="s">
        <v>5060</v>
      </c>
      <c r="M3900" s="10"/>
      <c r="N3900" s="10"/>
      <c r="O3900" s="10"/>
      <c r="P3900" s="10"/>
      <c r="Q3900" s="10"/>
      <c r="R3900" s="10"/>
      <c r="S3900" s="10"/>
      <c r="T3900" s="10"/>
      <c r="U3900" s="10"/>
      <c r="V3900" s="10"/>
      <c r="W3900" s="10"/>
      <c r="X3900" s="10"/>
      <c r="Y3900" s="10"/>
      <c r="Z3900" s="10"/>
      <c r="AA3900" s="10"/>
      <c r="AB3900" s="10"/>
      <c r="AC3900" s="10"/>
      <c r="AD3900" s="10"/>
      <c r="AE3900" s="10"/>
      <c r="AF3900" s="10"/>
    </row>
    <row r="3901">
      <c r="A3901" s="7"/>
      <c r="B3901" s="26">
        <v>290.0</v>
      </c>
      <c r="C3901" s="27">
        <v>13.0</v>
      </c>
      <c r="D3901" s="8" t="s">
        <v>5068</v>
      </c>
      <c r="E3901" s="7">
        <v>0.0</v>
      </c>
      <c r="F3901" s="7"/>
      <c r="G3901" s="7" t="s">
        <v>313</v>
      </c>
      <c r="H3901" s="7" t="s">
        <v>312</v>
      </c>
      <c r="I3901" s="10"/>
      <c r="J3901" s="11"/>
      <c r="K3901" s="12"/>
      <c r="L3901" s="14" t="s">
        <v>5058</v>
      </c>
      <c r="M3901" s="10"/>
      <c r="N3901" s="10"/>
      <c r="O3901" s="10"/>
      <c r="P3901" s="10"/>
      <c r="Q3901" s="10"/>
      <c r="R3901" s="10"/>
      <c r="S3901" s="10"/>
      <c r="T3901" s="10"/>
      <c r="U3901" s="10"/>
      <c r="V3901" s="10"/>
      <c r="W3901" s="10"/>
      <c r="X3901" s="10"/>
      <c r="Y3901" s="10"/>
      <c r="Z3901" s="10"/>
      <c r="AA3901" s="10"/>
      <c r="AB3901" s="10"/>
      <c r="AC3901" s="10"/>
      <c r="AD3901" s="10"/>
      <c r="AE3901" s="10"/>
      <c r="AF3901" s="10"/>
    </row>
    <row r="3902">
      <c r="A3902" s="7"/>
      <c r="B3902" s="26">
        <v>290.0</v>
      </c>
      <c r="C3902" s="27">
        <v>14.0</v>
      </c>
      <c r="D3902" s="8" t="s">
        <v>5069</v>
      </c>
      <c r="E3902" s="7">
        <v>0.0</v>
      </c>
      <c r="F3902" s="7"/>
      <c r="G3902" s="7" t="s">
        <v>313</v>
      </c>
      <c r="H3902" s="7" t="s">
        <v>312</v>
      </c>
      <c r="I3902" s="10"/>
      <c r="J3902" s="11"/>
      <c r="K3902" s="12"/>
      <c r="L3902" s="14" t="s">
        <v>5060</v>
      </c>
      <c r="M3902" s="10"/>
      <c r="N3902" s="10"/>
      <c r="O3902" s="10"/>
      <c r="P3902" s="10"/>
      <c r="Q3902" s="10"/>
      <c r="R3902" s="10"/>
      <c r="S3902" s="10"/>
      <c r="T3902" s="10"/>
      <c r="U3902" s="10"/>
      <c r="V3902" s="10"/>
      <c r="W3902" s="10"/>
      <c r="X3902" s="10"/>
      <c r="Y3902" s="10"/>
      <c r="Z3902" s="10"/>
      <c r="AA3902" s="10"/>
      <c r="AB3902" s="10"/>
      <c r="AC3902" s="10"/>
      <c r="AD3902" s="10"/>
      <c r="AE3902" s="10"/>
      <c r="AF3902" s="10"/>
    </row>
    <row r="3903">
      <c r="A3903" s="7"/>
      <c r="B3903" s="26">
        <v>290.0</v>
      </c>
      <c r="C3903" s="27">
        <v>15.0</v>
      </c>
      <c r="D3903" s="8" t="s">
        <v>5070</v>
      </c>
      <c r="E3903" s="7">
        <v>0.0</v>
      </c>
      <c r="F3903" s="7"/>
      <c r="G3903" s="7" t="s">
        <v>313</v>
      </c>
      <c r="H3903" s="7" t="s">
        <v>312</v>
      </c>
      <c r="I3903" s="10"/>
      <c r="J3903" s="11"/>
      <c r="K3903" s="12"/>
      <c r="L3903" s="14" t="s">
        <v>5071</v>
      </c>
      <c r="M3903" s="10"/>
      <c r="N3903" s="10"/>
      <c r="O3903" s="10"/>
      <c r="P3903" s="10"/>
      <c r="Q3903" s="10"/>
      <c r="R3903" s="10"/>
      <c r="S3903" s="10"/>
      <c r="T3903" s="10"/>
      <c r="U3903" s="10"/>
      <c r="V3903" s="10"/>
      <c r="W3903" s="10"/>
      <c r="X3903" s="10"/>
      <c r="Y3903" s="10"/>
      <c r="Z3903" s="10"/>
      <c r="AA3903" s="10"/>
      <c r="AB3903" s="10"/>
      <c r="AC3903" s="10"/>
      <c r="AD3903" s="10"/>
      <c r="AE3903" s="10"/>
      <c r="AF3903" s="10"/>
    </row>
    <row r="3904">
      <c r="A3904" s="10"/>
      <c r="B3904" s="12"/>
      <c r="C3904" s="12"/>
      <c r="D3904" s="12"/>
      <c r="E3904" s="10"/>
      <c r="F3904" s="10"/>
      <c r="G3904" s="10"/>
      <c r="H3904" s="10"/>
      <c r="I3904" s="10"/>
      <c r="J3904" s="11"/>
      <c r="K3904" s="12"/>
      <c r="L3904" s="12"/>
      <c r="M3904" s="10"/>
      <c r="N3904" s="10"/>
      <c r="O3904" s="10"/>
      <c r="P3904" s="10"/>
      <c r="Q3904" s="10"/>
      <c r="R3904" s="10"/>
      <c r="S3904" s="10"/>
      <c r="T3904" s="10"/>
      <c r="U3904" s="10"/>
      <c r="V3904" s="10"/>
      <c r="W3904" s="10"/>
      <c r="X3904" s="10"/>
      <c r="Y3904" s="10"/>
      <c r="Z3904" s="10"/>
      <c r="AA3904" s="10"/>
      <c r="AB3904" s="10"/>
      <c r="AC3904" s="10"/>
      <c r="AD3904" s="10"/>
      <c r="AE3904" s="10"/>
      <c r="AF3904" s="10"/>
    </row>
    <row r="3905">
      <c r="A3905" s="7"/>
      <c r="B3905" s="26">
        <v>291.0</v>
      </c>
      <c r="C3905" s="27">
        <v>1.0</v>
      </c>
      <c r="D3905" s="8" t="s">
        <v>5072</v>
      </c>
      <c r="E3905" s="7">
        <v>0.0</v>
      </c>
      <c r="F3905" s="7"/>
      <c r="G3905" s="7" t="s">
        <v>313</v>
      </c>
      <c r="H3905" s="7" t="s">
        <v>312</v>
      </c>
      <c r="I3905" s="10"/>
      <c r="J3905" s="9" t="s">
        <v>5073</v>
      </c>
      <c r="L3905" s="12"/>
      <c r="M3905" s="10"/>
      <c r="N3905" s="10"/>
      <c r="O3905" s="10"/>
      <c r="P3905" s="10"/>
      <c r="Q3905" s="10"/>
      <c r="R3905" s="10"/>
      <c r="S3905" s="10"/>
      <c r="T3905" s="10"/>
      <c r="U3905" s="10"/>
      <c r="V3905" s="10"/>
      <c r="W3905" s="10"/>
      <c r="X3905" s="10"/>
      <c r="Y3905" s="10"/>
      <c r="Z3905" s="10"/>
      <c r="AA3905" s="10"/>
      <c r="AB3905" s="10"/>
      <c r="AC3905" s="10"/>
      <c r="AD3905" s="10"/>
      <c r="AE3905" s="10"/>
      <c r="AF3905" s="10"/>
    </row>
    <row r="3906">
      <c r="A3906" s="7"/>
      <c r="B3906" s="26">
        <v>291.0</v>
      </c>
      <c r="C3906" s="27">
        <v>2.0</v>
      </c>
      <c r="D3906" s="8" t="s">
        <v>5074</v>
      </c>
      <c r="E3906" s="7">
        <v>0.0</v>
      </c>
      <c r="F3906" s="7"/>
      <c r="G3906" s="7" t="s">
        <v>313</v>
      </c>
      <c r="H3906" s="7" t="s">
        <v>312</v>
      </c>
      <c r="I3906" s="10"/>
      <c r="J3906" s="9" t="s">
        <v>5075</v>
      </c>
      <c r="K3906" s="16" t="s">
        <v>5076</v>
      </c>
      <c r="L3906" s="12"/>
      <c r="M3906" s="10"/>
      <c r="N3906" s="10"/>
      <c r="O3906" s="10"/>
      <c r="P3906" s="10"/>
      <c r="Q3906" s="10"/>
      <c r="R3906" s="10"/>
      <c r="S3906" s="10"/>
      <c r="T3906" s="10"/>
      <c r="U3906" s="10"/>
      <c r="V3906" s="10"/>
      <c r="W3906" s="10"/>
      <c r="X3906" s="10"/>
      <c r="Y3906" s="10"/>
      <c r="Z3906" s="10"/>
      <c r="AA3906" s="10"/>
      <c r="AB3906" s="10"/>
      <c r="AC3906" s="10"/>
      <c r="AD3906" s="10"/>
      <c r="AE3906" s="10"/>
      <c r="AF3906" s="10"/>
    </row>
    <row r="3907">
      <c r="A3907" s="7"/>
      <c r="B3907" s="26">
        <v>291.0</v>
      </c>
      <c r="C3907" s="27">
        <v>3.0</v>
      </c>
      <c r="D3907" s="8" t="s">
        <v>5077</v>
      </c>
      <c r="E3907" s="7">
        <v>0.0</v>
      </c>
      <c r="F3907" s="7"/>
      <c r="G3907" s="7" t="s">
        <v>313</v>
      </c>
      <c r="H3907" s="7" t="s">
        <v>312</v>
      </c>
      <c r="I3907" s="10"/>
      <c r="J3907" s="9" t="s">
        <v>5078</v>
      </c>
      <c r="K3907" s="12"/>
      <c r="L3907" s="12"/>
      <c r="M3907" s="10"/>
      <c r="N3907" s="10"/>
      <c r="O3907" s="10"/>
      <c r="P3907" s="10"/>
      <c r="Q3907" s="10"/>
      <c r="R3907" s="10"/>
      <c r="S3907" s="10"/>
      <c r="T3907" s="10"/>
      <c r="U3907" s="10"/>
      <c r="V3907" s="10"/>
      <c r="W3907" s="10"/>
      <c r="X3907" s="10"/>
      <c r="Y3907" s="10"/>
      <c r="Z3907" s="10"/>
      <c r="AA3907" s="10"/>
      <c r="AB3907" s="10"/>
      <c r="AC3907" s="10"/>
      <c r="AD3907" s="10"/>
      <c r="AE3907" s="10"/>
      <c r="AF3907" s="10"/>
    </row>
    <row r="3908">
      <c r="A3908" s="7"/>
      <c r="B3908" s="26">
        <v>291.0</v>
      </c>
      <c r="C3908" s="27">
        <v>4.0</v>
      </c>
      <c r="D3908" s="8" t="s">
        <v>5079</v>
      </c>
      <c r="E3908" s="7">
        <v>0.0</v>
      </c>
      <c r="F3908" s="7"/>
      <c r="G3908" s="7" t="s">
        <v>313</v>
      </c>
      <c r="H3908" s="7" t="s">
        <v>312</v>
      </c>
      <c r="I3908" s="10"/>
      <c r="J3908" s="11"/>
      <c r="K3908" s="12"/>
      <c r="L3908" s="12"/>
      <c r="M3908" s="10"/>
      <c r="N3908" s="10"/>
      <c r="O3908" s="10"/>
      <c r="P3908" s="10"/>
      <c r="Q3908" s="10"/>
      <c r="R3908" s="10"/>
      <c r="S3908" s="10"/>
      <c r="T3908" s="10"/>
      <c r="U3908" s="10"/>
      <c r="V3908" s="10"/>
      <c r="W3908" s="10"/>
      <c r="X3908" s="10"/>
      <c r="Y3908" s="10"/>
      <c r="Z3908" s="10"/>
      <c r="AA3908" s="10"/>
      <c r="AB3908" s="10"/>
      <c r="AC3908" s="10"/>
      <c r="AD3908" s="10"/>
      <c r="AE3908" s="10"/>
      <c r="AF3908" s="10"/>
    </row>
    <row r="3909">
      <c r="A3909" s="7"/>
      <c r="B3909" s="26">
        <v>291.0</v>
      </c>
      <c r="C3909" s="27">
        <v>5.0</v>
      </c>
      <c r="D3909" s="8" t="s">
        <v>5080</v>
      </c>
      <c r="E3909" s="7">
        <v>0.0</v>
      </c>
      <c r="F3909" s="7"/>
      <c r="G3909" s="7" t="s">
        <v>313</v>
      </c>
      <c r="H3909" s="7" t="s">
        <v>312</v>
      </c>
      <c r="I3909" s="10"/>
      <c r="J3909" s="11"/>
      <c r="K3909" s="12"/>
      <c r="L3909" s="12"/>
      <c r="M3909" s="10"/>
      <c r="N3909" s="10"/>
      <c r="O3909" s="10"/>
      <c r="P3909" s="10"/>
      <c r="Q3909" s="10"/>
      <c r="R3909" s="10"/>
      <c r="S3909" s="10"/>
      <c r="T3909" s="10"/>
      <c r="U3909" s="10"/>
      <c r="V3909" s="10"/>
      <c r="W3909" s="10"/>
      <c r="X3909" s="10"/>
      <c r="Y3909" s="10"/>
      <c r="Z3909" s="10"/>
      <c r="AA3909" s="10"/>
      <c r="AB3909" s="10"/>
      <c r="AC3909" s="10"/>
      <c r="AD3909" s="10"/>
      <c r="AE3909" s="10"/>
      <c r="AF3909" s="10"/>
    </row>
    <row r="3910">
      <c r="A3910" s="7"/>
      <c r="B3910" s="26">
        <v>291.0</v>
      </c>
      <c r="C3910" s="27">
        <v>6.0</v>
      </c>
      <c r="D3910" s="8" t="s">
        <v>5081</v>
      </c>
      <c r="E3910" s="7">
        <v>0.0</v>
      </c>
      <c r="F3910" s="7"/>
      <c r="G3910" s="7" t="s">
        <v>313</v>
      </c>
      <c r="H3910" s="7" t="s">
        <v>312</v>
      </c>
      <c r="I3910" s="10"/>
      <c r="J3910" s="11"/>
      <c r="K3910" s="12"/>
      <c r="L3910" s="12"/>
      <c r="M3910" s="10"/>
      <c r="N3910" s="10"/>
      <c r="O3910" s="10"/>
      <c r="P3910" s="10"/>
      <c r="Q3910" s="10"/>
      <c r="R3910" s="10"/>
      <c r="S3910" s="10"/>
      <c r="T3910" s="10"/>
      <c r="U3910" s="10"/>
      <c r="V3910" s="10"/>
      <c r="W3910" s="10"/>
      <c r="X3910" s="10"/>
      <c r="Y3910" s="10"/>
      <c r="Z3910" s="10"/>
      <c r="AA3910" s="10"/>
      <c r="AB3910" s="10"/>
      <c r="AC3910" s="10"/>
      <c r="AD3910" s="10"/>
      <c r="AE3910" s="10"/>
      <c r="AF3910" s="10"/>
    </row>
    <row r="3911">
      <c r="A3911" s="7"/>
      <c r="B3911" s="26">
        <v>291.0</v>
      </c>
      <c r="C3911" s="27">
        <v>7.0</v>
      </c>
      <c r="D3911" s="8" t="s">
        <v>5082</v>
      </c>
      <c r="E3911" s="7">
        <v>0.0</v>
      </c>
      <c r="F3911" s="7"/>
      <c r="G3911" s="7" t="s">
        <v>313</v>
      </c>
      <c r="H3911" s="7" t="s">
        <v>312</v>
      </c>
      <c r="I3911" s="10"/>
      <c r="J3911" s="11"/>
      <c r="K3911" s="12"/>
      <c r="L3911" s="12"/>
      <c r="M3911" s="10"/>
      <c r="N3911" s="10"/>
      <c r="O3911" s="10"/>
      <c r="P3911" s="10"/>
      <c r="Q3911" s="10"/>
      <c r="R3911" s="10"/>
      <c r="S3911" s="10"/>
      <c r="T3911" s="10"/>
      <c r="U3911" s="10"/>
      <c r="V3911" s="10"/>
      <c r="W3911" s="10"/>
      <c r="X3911" s="10"/>
      <c r="Y3911" s="10"/>
      <c r="Z3911" s="10"/>
      <c r="AA3911" s="10"/>
      <c r="AB3911" s="10"/>
      <c r="AC3911" s="10"/>
      <c r="AD3911" s="10"/>
      <c r="AE3911" s="10"/>
      <c r="AF3911" s="10"/>
    </row>
    <row r="3912">
      <c r="A3912" s="7"/>
      <c r="B3912" s="26">
        <v>291.0</v>
      </c>
      <c r="C3912" s="27">
        <v>8.0</v>
      </c>
      <c r="D3912" s="8" t="s">
        <v>5083</v>
      </c>
      <c r="E3912" s="7">
        <v>0.0</v>
      </c>
      <c r="F3912" s="7"/>
      <c r="G3912" s="7" t="s">
        <v>313</v>
      </c>
      <c r="H3912" s="7" t="s">
        <v>312</v>
      </c>
      <c r="I3912" s="10"/>
      <c r="J3912" s="11"/>
      <c r="K3912" s="12"/>
      <c r="L3912" s="12"/>
      <c r="M3912" s="10"/>
      <c r="N3912" s="10"/>
      <c r="O3912" s="10"/>
      <c r="P3912" s="10"/>
      <c r="Q3912" s="10"/>
      <c r="R3912" s="10"/>
      <c r="S3912" s="10"/>
      <c r="T3912" s="10"/>
      <c r="U3912" s="10"/>
      <c r="V3912" s="10"/>
      <c r="W3912" s="10"/>
      <c r="X3912" s="10"/>
      <c r="Y3912" s="10"/>
      <c r="Z3912" s="10"/>
      <c r="AA3912" s="10"/>
      <c r="AB3912" s="10"/>
      <c r="AC3912" s="10"/>
      <c r="AD3912" s="10"/>
      <c r="AE3912" s="10"/>
      <c r="AF3912" s="10"/>
    </row>
    <row r="3913">
      <c r="A3913" s="7"/>
      <c r="B3913" s="26">
        <v>291.0</v>
      </c>
      <c r="C3913" s="27">
        <v>9.0</v>
      </c>
      <c r="D3913" s="8" t="s">
        <v>5084</v>
      </c>
      <c r="E3913" s="7">
        <v>2.0</v>
      </c>
      <c r="F3913" s="7" t="s">
        <v>320</v>
      </c>
      <c r="G3913" s="7" t="s">
        <v>313</v>
      </c>
      <c r="H3913" s="7" t="s">
        <v>312</v>
      </c>
      <c r="I3913" s="7" t="s">
        <v>4428</v>
      </c>
      <c r="J3913" s="9" t="s">
        <v>5085</v>
      </c>
      <c r="K3913" s="8" t="s">
        <v>5086</v>
      </c>
      <c r="L3913" s="12"/>
      <c r="M3913" s="10"/>
      <c r="N3913" s="10"/>
      <c r="O3913" s="10"/>
      <c r="P3913" s="10"/>
      <c r="Q3913" s="10"/>
      <c r="R3913" s="10"/>
      <c r="S3913" s="10"/>
      <c r="T3913" s="10"/>
      <c r="U3913" s="10"/>
      <c r="V3913" s="10"/>
      <c r="W3913" s="10"/>
      <c r="X3913" s="10"/>
      <c r="Y3913" s="10"/>
      <c r="Z3913" s="10"/>
      <c r="AA3913" s="10"/>
      <c r="AB3913" s="10"/>
      <c r="AC3913" s="10"/>
      <c r="AD3913" s="10"/>
      <c r="AE3913" s="10"/>
      <c r="AF3913" s="10"/>
    </row>
    <row r="3914">
      <c r="A3914" s="7"/>
      <c r="B3914" s="26">
        <v>291.0</v>
      </c>
      <c r="C3914" s="27">
        <v>10.0</v>
      </c>
      <c r="D3914" s="8" t="s">
        <v>5087</v>
      </c>
      <c r="E3914" s="7">
        <v>0.0</v>
      </c>
      <c r="F3914" s="7"/>
      <c r="G3914" s="7" t="s">
        <v>313</v>
      </c>
      <c r="H3914" s="7" t="s">
        <v>312</v>
      </c>
      <c r="I3914" s="10"/>
      <c r="J3914" s="11"/>
      <c r="K3914" s="12"/>
      <c r="L3914" s="12"/>
      <c r="M3914" s="10"/>
      <c r="N3914" s="10"/>
      <c r="O3914" s="10"/>
      <c r="P3914" s="10"/>
      <c r="Q3914" s="10"/>
      <c r="R3914" s="10"/>
      <c r="S3914" s="10"/>
      <c r="T3914" s="10"/>
      <c r="U3914" s="10"/>
      <c r="V3914" s="10"/>
      <c r="W3914" s="10"/>
      <c r="X3914" s="10"/>
      <c r="Y3914" s="10"/>
      <c r="Z3914" s="10"/>
      <c r="AA3914" s="10"/>
      <c r="AB3914" s="10"/>
      <c r="AC3914" s="10"/>
      <c r="AD3914" s="10"/>
      <c r="AE3914" s="10"/>
      <c r="AF3914" s="10"/>
    </row>
    <row r="3915">
      <c r="A3915" s="7"/>
      <c r="B3915" s="26">
        <v>291.0</v>
      </c>
      <c r="C3915" s="27">
        <v>11.0</v>
      </c>
      <c r="D3915" s="8" t="s">
        <v>5088</v>
      </c>
      <c r="E3915" s="7">
        <v>2.0</v>
      </c>
      <c r="F3915" s="7" t="s">
        <v>320</v>
      </c>
      <c r="G3915" s="7" t="s">
        <v>313</v>
      </c>
      <c r="H3915" s="7" t="s">
        <v>312</v>
      </c>
      <c r="I3915" s="7" t="s">
        <v>4428</v>
      </c>
      <c r="J3915" s="9" t="s">
        <v>5089</v>
      </c>
      <c r="K3915" s="8" t="s">
        <v>5090</v>
      </c>
      <c r="L3915" s="12"/>
      <c r="M3915" s="10"/>
      <c r="N3915" s="10"/>
      <c r="O3915" s="10"/>
      <c r="P3915" s="10"/>
      <c r="Q3915" s="10"/>
      <c r="R3915" s="10"/>
      <c r="S3915" s="10"/>
      <c r="T3915" s="10"/>
      <c r="U3915" s="10"/>
      <c r="V3915" s="10"/>
      <c r="W3915" s="10"/>
      <c r="X3915" s="10"/>
      <c r="Y3915" s="10"/>
      <c r="Z3915" s="10"/>
      <c r="AA3915" s="10"/>
      <c r="AB3915" s="10"/>
      <c r="AC3915" s="10"/>
      <c r="AD3915" s="10"/>
      <c r="AE3915" s="10"/>
      <c r="AF3915" s="10"/>
    </row>
    <row r="3916">
      <c r="A3916" s="7"/>
      <c r="B3916" s="26">
        <v>291.0</v>
      </c>
      <c r="C3916" s="27">
        <v>12.0</v>
      </c>
      <c r="D3916" s="8" t="s">
        <v>5091</v>
      </c>
      <c r="E3916" s="7">
        <v>0.0</v>
      </c>
      <c r="F3916" s="7"/>
      <c r="G3916" s="7" t="s">
        <v>313</v>
      </c>
      <c r="H3916" s="7" t="s">
        <v>312</v>
      </c>
      <c r="I3916" s="10"/>
      <c r="J3916" s="11"/>
      <c r="K3916" s="12"/>
      <c r="L3916" s="12"/>
      <c r="M3916" s="10"/>
      <c r="N3916" s="10"/>
      <c r="O3916" s="10"/>
      <c r="P3916" s="10"/>
      <c r="Q3916" s="10"/>
      <c r="R3916" s="10"/>
      <c r="S3916" s="10"/>
      <c r="T3916" s="10"/>
      <c r="U3916" s="10"/>
      <c r="V3916" s="10"/>
      <c r="W3916" s="10"/>
      <c r="X3916" s="10"/>
      <c r="Y3916" s="10"/>
      <c r="Z3916" s="10"/>
      <c r="AA3916" s="10"/>
      <c r="AB3916" s="10"/>
      <c r="AC3916" s="10"/>
      <c r="AD3916" s="10"/>
      <c r="AE3916" s="10"/>
      <c r="AF3916" s="10"/>
    </row>
    <row r="3917">
      <c r="A3917" s="7"/>
      <c r="B3917" s="26">
        <v>291.0</v>
      </c>
      <c r="C3917" s="27">
        <v>13.0</v>
      </c>
      <c r="D3917" s="8" t="s">
        <v>5092</v>
      </c>
      <c r="E3917" s="7">
        <v>0.0</v>
      </c>
      <c r="F3917" s="7"/>
      <c r="G3917" s="7" t="s">
        <v>313</v>
      </c>
      <c r="H3917" s="7" t="s">
        <v>312</v>
      </c>
      <c r="I3917" s="10"/>
      <c r="J3917" s="11"/>
      <c r="K3917" s="12"/>
      <c r="L3917" s="12"/>
      <c r="M3917" s="10"/>
      <c r="N3917" s="10"/>
      <c r="O3917" s="10"/>
      <c r="P3917" s="10"/>
      <c r="Q3917" s="10"/>
      <c r="R3917" s="10"/>
      <c r="S3917" s="10"/>
      <c r="T3917" s="10"/>
      <c r="U3917" s="10"/>
      <c r="V3917" s="10"/>
      <c r="W3917" s="10"/>
      <c r="X3917" s="10"/>
      <c r="Y3917" s="10"/>
      <c r="Z3917" s="10"/>
      <c r="AA3917" s="10"/>
      <c r="AB3917" s="10"/>
      <c r="AC3917" s="10"/>
      <c r="AD3917" s="10"/>
      <c r="AE3917" s="10"/>
      <c r="AF3917" s="10"/>
    </row>
    <row r="3918">
      <c r="A3918" s="7"/>
      <c r="B3918" s="26">
        <v>291.0</v>
      </c>
      <c r="C3918" s="27">
        <v>14.0</v>
      </c>
      <c r="D3918" s="8" t="s">
        <v>5093</v>
      </c>
      <c r="E3918" s="7">
        <v>0.0</v>
      </c>
      <c r="F3918" s="7"/>
      <c r="G3918" s="7" t="s">
        <v>313</v>
      </c>
      <c r="H3918" s="7" t="s">
        <v>312</v>
      </c>
      <c r="I3918" s="10"/>
      <c r="J3918" s="11"/>
      <c r="K3918" s="12"/>
      <c r="L3918" s="12"/>
      <c r="M3918" s="10"/>
      <c r="N3918" s="10"/>
      <c r="O3918" s="10"/>
      <c r="P3918" s="10"/>
      <c r="Q3918" s="10"/>
      <c r="R3918" s="10"/>
      <c r="S3918" s="10"/>
      <c r="T3918" s="10"/>
      <c r="U3918" s="10"/>
      <c r="V3918" s="10"/>
      <c r="W3918" s="10"/>
      <c r="X3918" s="10"/>
      <c r="Y3918" s="10"/>
      <c r="Z3918" s="10"/>
      <c r="AA3918" s="10"/>
      <c r="AB3918" s="10"/>
      <c r="AC3918" s="10"/>
      <c r="AD3918" s="10"/>
      <c r="AE3918" s="10"/>
      <c r="AF3918" s="10"/>
    </row>
    <row r="3919">
      <c r="A3919" s="7"/>
      <c r="B3919" s="26">
        <v>291.0</v>
      </c>
      <c r="C3919" s="27">
        <v>15.0</v>
      </c>
      <c r="D3919" s="8" t="s">
        <v>5094</v>
      </c>
      <c r="E3919" s="7">
        <v>0.0</v>
      </c>
      <c r="F3919" s="7"/>
      <c r="G3919" s="7" t="s">
        <v>313</v>
      </c>
      <c r="H3919" s="7" t="s">
        <v>312</v>
      </c>
      <c r="I3919" s="10"/>
      <c r="J3919" s="11"/>
      <c r="K3919" s="12"/>
      <c r="L3919" s="12"/>
      <c r="M3919" s="10"/>
      <c r="N3919" s="10"/>
      <c r="O3919" s="10"/>
      <c r="P3919" s="10"/>
      <c r="Q3919" s="10"/>
      <c r="R3919" s="10"/>
      <c r="S3919" s="10"/>
      <c r="T3919" s="10"/>
      <c r="U3919" s="10"/>
      <c r="V3919" s="10"/>
      <c r="W3919" s="10"/>
      <c r="X3919" s="10"/>
      <c r="Y3919" s="10"/>
      <c r="Z3919" s="10"/>
      <c r="AA3919" s="10"/>
      <c r="AB3919" s="10"/>
      <c r="AC3919" s="10"/>
      <c r="AD3919" s="10"/>
      <c r="AE3919" s="10"/>
      <c r="AF3919" s="10"/>
    </row>
    <row r="3920">
      <c r="A3920" s="7"/>
      <c r="B3920" s="26">
        <v>291.0</v>
      </c>
      <c r="C3920" s="27">
        <v>16.0</v>
      </c>
      <c r="D3920" s="8" t="s">
        <v>5095</v>
      </c>
      <c r="E3920" s="7">
        <v>2.0</v>
      </c>
      <c r="F3920" s="7" t="s">
        <v>320</v>
      </c>
      <c r="G3920" s="7" t="s">
        <v>313</v>
      </c>
      <c r="H3920" s="7" t="s">
        <v>312</v>
      </c>
      <c r="I3920" s="7" t="s">
        <v>320</v>
      </c>
      <c r="J3920" s="9" t="s">
        <v>5096</v>
      </c>
      <c r="K3920" s="8" t="s">
        <v>5097</v>
      </c>
      <c r="L3920" s="12"/>
      <c r="M3920" s="10"/>
      <c r="N3920" s="10"/>
      <c r="O3920" s="10"/>
      <c r="P3920" s="10"/>
      <c r="Q3920" s="10"/>
      <c r="R3920" s="10"/>
      <c r="S3920" s="10"/>
      <c r="T3920" s="10"/>
      <c r="U3920" s="10"/>
      <c r="V3920" s="10"/>
      <c r="W3920" s="10"/>
      <c r="X3920" s="10"/>
      <c r="Y3920" s="10"/>
      <c r="Z3920" s="10"/>
      <c r="AA3920" s="10"/>
      <c r="AB3920" s="10"/>
      <c r="AC3920" s="10"/>
      <c r="AD3920" s="10"/>
      <c r="AE3920" s="10"/>
      <c r="AF3920" s="10"/>
    </row>
    <row r="3921">
      <c r="A3921" s="7"/>
      <c r="B3921" s="26">
        <v>291.0</v>
      </c>
      <c r="C3921" s="27">
        <v>17.0</v>
      </c>
      <c r="D3921" s="8" t="s">
        <v>5098</v>
      </c>
      <c r="E3921" s="7">
        <v>0.0</v>
      </c>
      <c r="F3921" s="7"/>
      <c r="G3921" s="7" t="s">
        <v>313</v>
      </c>
      <c r="H3921" s="7" t="s">
        <v>312</v>
      </c>
      <c r="I3921" s="10"/>
      <c r="J3921" s="11"/>
      <c r="K3921" s="12"/>
      <c r="L3921" s="12"/>
      <c r="M3921" s="10"/>
      <c r="N3921" s="10"/>
      <c r="O3921" s="10"/>
      <c r="P3921" s="10"/>
      <c r="Q3921" s="10"/>
      <c r="R3921" s="10"/>
      <c r="S3921" s="10"/>
      <c r="T3921" s="10"/>
      <c r="U3921" s="10"/>
      <c r="V3921" s="10"/>
      <c r="W3921" s="10"/>
      <c r="X3921" s="10"/>
      <c r="Y3921" s="10"/>
      <c r="Z3921" s="10"/>
      <c r="AA3921" s="10"/>
      <c r="AB3921" s="10"/>
      <c r="AC3921" s="10"/>
      <c r="AD3921" s="10"/>
      <c r="AE3921" s="10"/>
      <c r="AF3921" s="10"/>
    </row>
    <row r="3922">
      <c r="A3922" s="7"/>
      <c r="B3922" s="26">
        <v>291.0</v>
      </c>
      <c r="C3922" s="27">
        <v>18.0</v>
      </c>
      <c r="D3922" s="8" t="s">
        <v>5099</v>
      </c>
      <c r="E3922" s="7">
        <v>2.0</v>
      </c>
      <c r="F3922" s="7" t="s">
        <v>320</v>
      </c>
      <c r="G3922" s="7" t="s">
        <v>313</v>
      </c>
      <c r="H3922" s="7" t="s">
        <v>312</v>
      </c>
      <c r="I3922" s="7" t="s">
        <v>4428</v>
      </c>
      <c r="J3922" s="9" t="s">
        <v>5100</v>
      </c>
      <c r="K3922" s="8" t="s">
        <v>5101</v>
      </c>
      <c r="L3922" s="12"/>
      <c r="M3922" s="10"/>
      <c r="N3922" s="10"/>
      <c r="O3922" s="10"/>
      <c r="P3922" s="10"/>
      <c r="Q3922" s="10"/>
      <c r="R3922" s="10"/>
      <c r="S3922" s="10"/>
      <c r="T3922" s="10"/>
      <c r="U3922" s="10"/>
      <c r="V3922" s="10"/>
      <c r="W3922" s="10"/>
      <c r="X3922" s="10"/>
      <c r="Y3922" s="10"/>
      <c r="Z3922" s="10"/>
      <c r="AA3922" s="10"/>
      <c r="AB3922" s="10"/>
      <c r="AC3922" s="10"/>
      <c r="AD3922" s="10"/>
      <c r="AE3922" s="10"/>
      <c r="AF3922" s="10"/>
    </row>
    <row r="3923">
      <c r="A3923" s="7"/>
      <c r="B3923" s="26">
        <v>291.0</v>
      </c>
      <c r="C3923" s="27">
        <v>19.0</v>
      </c>
      <c r="D3923" s="8" t="s">
        <v>5102</v>
      </c>
      <c r="E3923" s="7">
        <v>0.0</v>
      </c>
      <c r="F3923" s="7"/>
      <c r="G3923" s="7" t="s">
        <v>313</v>
      </c>
      <c r="H3923" s="7" t="s">
        <v>312</v>
      </c>
      <c r="I3923" s="10"/>
      <c r="J3923" s="9"/>
      <c r="K3923" s="8"/>
      <c r="L3923" s="12"/>
      <c r="M3923" s="10"/>
      <c r="N3923" s="10"/>
      <c r="O3923" s="10"/>
      <c r="P3923" s="10"/>
      <c r="Q3923" s="10"/>
      <c r="R3923" s="10"/>
      <c r="S3923" s="10"/>
      <c r="T3923" s="10"/>
      <c r="U3923" s="10"/>
      <c r="V3923" s="10"/>
      <c r="W3923" s="10"/>
      <c r="X3923" s="10"/>
      <c r="Y3923" s="10"/>
      <c r="Z3923" s="10"/>
      <c r="AA3923" s="10"/>
      <c r="AB3923" s="10"/>
      <c r="AC3923" s="10"/>
      <c r="AD3923" s="10"/>
      <c r="AE3923" s="10"/>
      <c r="AF3923" s="10"/>
    </row>
    <row r="3924">
      <c r="A3924" s="7"/>
      <c r="B3924" s="26">
        <v>291.0</v>
      </c>
      <c r="C3924" s="27">
        <v>20.0</v>
      </c>
      <c r="D3924" s="8" t="s">
        <v>5103</v>
      </c>
      <c r="E3924" s="7">
        <v>0.0</v>
      </c>
      <c r="F3924" s="7"/>
      <c r="G3924" s="7" t="s">
        <v>313</v>
      </c>
      <c r="H3924" s="7" t="s">
        <v>312</v>
      </c>
      <c r="I3924" s="10"/>
      <c r="J3924" s="11"/>
      <c r="K3924" s="12"/>
      <c r="L3924" s="12"/>
      <c r="M3924" s="10"/>
      <c r="N3924" s="10"/>
      <c r="O3924" s="10"/>
      <c r="P3924" s="10"/>
      <c r="Q3924" s="10"/>
      <c r="R3924" s="10"/>
      <c r="S3924" s="10"/>
      <c r="T3924" s="10"/>
      <c r="U3924" s="10"/>
      <c r="V3924" s="10"/>
      <c r="W3924" s="10"/>
      <c r="X3924" s="10"/>
      <c r="Y3924" s="10"/>
      <c r="Z3924" s="10"/>
      <c r="AA3924" s="10"/>
      <c r="AB3924" s="10"/>
      <c r="AC3924" s="10"/>
      <c r="AD3924" s="10"/>
      <c r="AE3924" s="10"/>
      <c r="AF3924" s="10"/>
    </row>
    <row r="3925">
      <c r="A3925" s="7"/>
      <c r="B3925" s="26">
        <v>291.0</v>
      </c>
      <c r="C3925" s="27">
        <v>21.0</v>
      </c>
      <c r="D3925" s="8" t="s">
        <v>5104</v>
      </c>
      <c r="E3925" s="7">
        <v>2.0</v>
      </c>
      <c r="F3925" s="7" t="s">
        <v>320</v>
      </c>
      <c r="G3925" s="7" t="s">
        <v>313</v>
      </c>
      <c r="H3925" s="7" t="s">
        <v>312</v>
      </c>
      <c r="I3925" s="7" t="s">
        <v>4428</v>
      </c>
      <c r="J3925" s="9" t="s">
        <v>5105</v>
      </c>
      <c r="K3925" s="8" t="s">
        <v>5106</v>
      </c>
      <c r="L3925" s="12"/>
      <c r="M3925" s="10"/>
      <c r="N3925" s="10"/>
      <c r="O3925" s="10"/>
      <c r="P3925" s="10"/>
      <c r="Q3925" s="10"/>
      <c r="R3925" s="10"/>
      <c r="S3925" s="10"/>
      <c r="T3925" s="10"/>
      <c r="U3925" s="10"/>
      <c r="V3925" s="10"/>
      <c r="W3925" s="10"/>
      <c r="X3925" s="10"/>
      <c r="Y3925" s="10"/>
      <c r="Z3925" s="10"/>
      <c r="AA3925" s="10"/>
      <c r="AB3925" s="10"/>
      <c r="AC3925" s="10"/>
      <c r="AD3925" s="10"/>
      <c r="AE3925" s="10"/>
      <c r="AF3925" s="10"/>
    </row>
    <row r="3926">
      <c r="A3926" s="7"/>
      <c r="B3926" s="26">
        <v>291.0</v>
      </c>
      <c r="C3926" s="27">
        <v>22.0</v>
      </c>
      <c r="D3926" s="8" t="s">
        <v>5107</v>
      </c>
      <c r="E3926" s="7">
        <v>2.0</v>
      </c>
      <c r="F3926" s="7" t="s">
        <v>320</v>
      </c>
      <c r="G3926" s="7" t="s">
        <v>313</v>
      </c>
      <c r="H3926" s="7" t="s">
        <v>312</v>
      </c>
      <c r="I3926" s="7" t="s">
        <v>4428</v>
      </c>
      <c r="J3926" s="9" t="s">
        <v>5108</v>
      </c>
      <c r="K3926" s="8" t="s">
        <v>5109</v>
      </c>
      <c r="L3926" s="12"/>
      <c r="M3926" s="10"/>
      <c r="N3926" s="10"/>
      <c r="O3926" s="10"/>
      <c r="P3926" s="10"/>
      <c r="Q3926" s="10"/>
      <c r="R3926" s="10"/>
      <c r="S3926" s="10"/>
      <c r="T3926" s="10"/>
      <c r="U3926" s="10"/>
      <c r="V3926" s="10"/>
      <c r="W3926" s="10"/>
      <c r="X3926" s="10"/>
      <c r="Y3926" s="10"/>
      <c r="Z3926" s="10"/>
      <c r="AA3926" s="10"/>
      <c r="AB3926" s="10"/>
      <c r="AC3926" s="10"/>
      <c r="AD3926" s="10"/>
      <c r="AE3926" s="10"/>
      <c r="AF3926" s="10"/>
    </row>
    <row r="3927">
      <c r="A3927" s="7"/>
      <c r="B3927" s="26">
        <v>291.0</v>
      </c>
      <c r="C3927" s="27">
        <v>23.0</v>
      </c>
      <c r="D3927" s="8" t="s">
        <v>5110</v>
      </c>
      <c r="E3927" s="7">
        <v>0.0</v>
      </c>
      <c r="F3927" s="7"/>
      <c r="G3927" s="7" t="s">
        <v>313</v>
      </c>
      <c r="H3927" s="7" t="s">
        <v>312</v>
      </c>
      <c r="I3927" s="10"/>
      <c r="J3927" s="11"/>
      <c r="K3927" s="12"/>
      <c r="L3927" s="12"/>
      <c r="M3927" s="10"/>
      <c r="N3927" s="10"/>
      <c r="O3927" s="10"/>
      <c r="P3927" s="10"/>
      <c r="Q3927" s="10"/>
      <c r="R3927" s="10"/>
      <c r="S3927" s="10"/>
      <c r="T3927" s="10"/>
      <c r="U3927" s="10"/>
      <c r="V3927" s="10"/>
      <c r="W3927" s="10"/>
      <c r="X3927" s="10"/>
      <c r="Y3927" s="10"/>
      <c r="Z3927" s="10"/>
      <c r="AA3927" s="10"/>
      <c r="AB3927" s="10"/>
      <c r="AC3927" s="10"/>
      <c r="AD3927" s="10"/>
      <c r="AE3927" s="10"/>
      <c r="AF3927" s="10"/>
    </row>
    <row r="3928">
      <c r="A3928" s="7"/>
      <c r="B3928" s="26">
        <v>291.0</v>
      </c>
      <c r="C3928" s="27">
        <v>24.0</v>
      </c>
      <c r="D3928" s="8" t="s">
        <v>5111</v>
      </c>
      <c r="E3928" s="7">
        <v>0.0</v>
      </c>
      <c r="F3928" s="7"/>
      <c r="G3928" s="7" t="s">
        <v>313</v>
      </c>
      <c r="H3928" s="7" t="s">
        <v>312</v>
      </c>
      <c r="I3928" s="10"/>
      <c r="J3928" s="11"/>
      <c r="K3928" s="12"/>
      <c r="L3928" s="12"/>
      <c r="M3928" s="10"/>
      <c r="N3928" s="10"/>
      <c r="O3928" s="10"/>
      <c r="P3928" s="10"/>
      <c r="Q3928" s="10"/>
      <c r="R3928" s="10"/>
      <c r="S3928" s="10"/>
      <c r="T3928" s="10"/>
      <c r="U3928" s="10"/>
      <c r="V3928" s="10"/>
      <c r="W3928" s="10"/>
      <c r="X3928" s="10"/>
      <c r="Y3928" s="10"/>
      <c r="Z3928" s="10"/>
      <c r="AA3928" s="10"/>
      <c r="AB3928" s="10"/>
      <c r="AC3928" s="10"/>
      <c r="AD3928" s="10"/>
      <c r="AE3928" s="10"/>
      <c r="AF3928" s="10"/>
    </row>
    <row r="3929">
      <c r="A3929" s="7"/>
      <c r="B3929" s="26">
        <v>291.0</v>
      </c>
      <c r="C3929" s="27">
        <v>25.0</v>
      </c>
      <c r="D3929" s="8" t="s">
        <v>5112</v>
      </c>
      <c r="E3929" s="7">
        <v>0.0</v>
      </c>
      <c r="F3929" s="7"/>
      <c r="G3929" s="7" t="s">
        <v>313</v>
      </c>
      <c r="H3929" s="7" t="s">
        <v>312</v>
      </c>
      <c r="I3929" s="10"/>
      <c r="J3929" s="11"/>
      <c r="K3929" s="12"/>
      <c r="L3929" s="12"/>
      <c r="M3929" s="10"/>
      <c r="N3929" s="10"/>
      <c r="O3929" s="10"/>
      <c r="P3929" s="10"/>
      <c r="Q3929" s="10"/>
      <c r="R3929" s="10"/>
      <c r="S3929" s="10"/>
      <c r="T3929" s="10"/>
      <c r="U3929" s="10"/>
      <c r="V3929" s="10"/>
      <c r="W3929" s="10"/>
      <c r="X3929" s="10"/>
      <c r="Y3929" s="10"/>
      <c r="Z3929" s="10"/>
      <c r="AA3929" s="10"/>
      <c r="AB3929" s="10"/>
      <c r="AC3929" s="10"/>
      <c r="AD3929" s="10"/>
      <c r="AE3929" s="10"/>
      <c r="AF3929" s="10"/>
    </row>
    <row r="3930">
      <c r="A3930" s="7"/>
      <c r="B3930" s="26">
        <v>291.0</v>
      </c>
      <c r="C3930" s="27">
        <v>26.0</v>
      </c>
      <c r="D3930" s="8" t="s">
        <v>5113</v>
      </c>
      <c r="E3930" s="7">
        <v>0.0</v>
      </c>
      <c r="F3930" s="7"/>
      <c r="G3930" s="7" t="s">
        <v>313</v>
      </c>
      <c r="H3930" s="7" t="s">
        <v>312</v>
      </c>
      <c r="I3930" s="10"/>
      <c r="J3930" s="11"/>
      <c r="K3930" s="12"/>
      <c r="L3930" s="12"/>
      <c r="M3930" s="10"/>
      <c r="N3930" s="10"/>
      <c r="O3930" s="10"/>
      <c r="P3930" s="10"/>
      <c r="Q3930" s="10"/>
      <c r="R3930" s="10"/>
      <c r="S3930" s="10"/>
      <c r="T3930" s="10"/>
      <c r="U3930" s="10"/>
      <c r="V3930" s="10"/>
      <c r="W3930" s="10"/>
      <c r="X3930" s="10"/>
      <c r="Y3930" s="10"/>
      <c r="Z3930" s="10"/>
      <c r="AA3930" s="10"/>
      <c r="AB3930" s="10"/>
      <c r="AC3930" s="10"/>
      <c r="AD3930" s="10"/>
      <c r="AE3930" s="10"/>
      <c r="AF3930" s="10"/>
    </row>
    <row r="3931">
      <c r="A3931" s="7"/>
      <c r="B3931" s="26">
        <v>291.0</v>
      </c>
      <c r="C3931" s="27">
        <v>27.0</v>
      </c>
      <c r="D3931" s="8" t="s">
        <v>5114</v>
      </c>
      <c r="E3931" s="7">
        <v>3.0</v>
      </c>
      <c r="F3931" s="7" t="s">
        <v>320</v>
      </c>
      <c r="G3931" s="7" t="s">
        <v>313</v>
      </c>
      <c r="H3931" s="7" t="s">
        <v>312</v>
      </c>
      <c r="I3931" s="7" t="s">
        <v>320</v>
      </c>
      <c r="J3931" s="9" t="s">
        <v>5115</v>
      </c>
      <c r="K3931" s="12"/>
      <c r="L3931" s="12"/>
      <c r="M3931" s="10"/>
      <c r="N3931" s="10"/>
      <c r="O3931" s="10"/>
      <c r="P3931" s="10"/>
      <c r="Q3931" s="10"/>
      <c r="R3931" s="10"/>
      <c r="S3931" s="10"/>
      <c r="T3931" s="10"/>
      <c r="U3931" s="10"/>
      <c r="V3931" s="10"/>
      <c r="W3931" s="10"/>
      <c r="X3931" s="10"/>
      <c r="Y3931" s="10"/>
      <c r="Z3931" s="10"/>
      <c r="AA3931" s="10"/>
      <c r="AB3931" s="10"/>
      <c r="AC3931" s="10"/>
      <c r="AD3931" s="10"/>
      <c r="AE3931" s="10"/>
      <c r="AF3931" s="10"/>
    </row>
    <row r="3932">
      <c r="A3932" s="7"/>
      <c r="B3932" s="26">
        <v>291.0</v>
      </c>
      <c r="C3932" s="27">
        <v>28.0</v>
      </c>
      <c r="D3932" s="8" t="s">
        <v>5116</v>
      </c>
      <c r="E3932" s="7">
        <v>0.0</v>
      </c>
      <c r="F3932" s="7"/>
      <c r="G3932" s="7" t="s">
        <v>313</v>
      </c>
      <c r="H3932" s="7" t="s">
        <v>312</v>
      </c>
      <c r="I3932" s="10"/>
      <c r="J3932" s="11"/>
      <c r="K3932" s="12"/>
      <c r="L3932" s="12"/>
      <c r="M3932" s="10"/>
      <c r="N3932" s="10"/>
      <c r="O3932" s="10"/>
      <c r="P3932" s="10"/>
      <c r="Q3932" s="10"/>
      <c r="R3932" s="10"/>
      <c r="S3932" s="10"/>
      <c r="T3932" s="10"/>
      <c r="U3932" s="10"/>
      <c r="V3932" s="10"/>
      <c r="W3932" s="10"/>
      <c r="X3932" s="10"/>
      <c r="Y3932" s="10"/>
      <c r="Z3932" s="10"/>
      <c r="AA3932" s="10"/>
      <c r="AB3932" s="10"/>
      <c r="AC3932" s="10"/>
      <c r="AD3932" s="10"/>
      <c r="AE3932" s="10"/>
      <c r="AF3932" s="10"/>
    </row>
    <row r="3933">
      <c r="A3933" s="7"/>
      <c r="B3933" s="26">
        <v>291.0</v>
      </c>
      <c r="C3933" s="27">
        <v>29.0</v>
      </c>
      <c r="D3933" s="8" t="s">
        <v>5117</v>
      </c>
      <c r="E3933" s="7">
        <v>0.0</v>
      </c>
      <c r="F3933" s="7"/>
      <c r="G3933" s="7" t="s">
        <v>313</v>
      </c>
      <c r="H3933" s="7" t="s">
        <v>312</v>
      </c>
      <c r="I3933" s="10"/>
      <c r="J3933" s="11"/>
      <c r="K3933" s="12"/>
      <c r="L3933" s="12"/>
      <c r="M3933" s="10"/>
      <c r="N3933" s="10"/>
      <c r="O3933" s="10"/>
      <c r="P3933" s="10"/>
      <c r="Q3933" s="10"/>
      <c r="R3933" s="10"/>
      <c r="S3933" s="10"/>
      <c r="T3933" s="10"/>
      <c r="U3933" s="10"/>
      <c r="V3933" s="10"/>
      <c r="W3933" s="10"/>
      <c r="X3933" s="10"/>
      <c r="Y3933" s="10"/>
      <c r="Z3933" s="10"/>
      <c r="AA3933" s="10"/>
      <c r="AB3933" s="10"/>
      <c r="AC3933" s="10"/>
      <c r="AD3933" s="10"/>
      <c r="AE3933" s="10"/>
      <c r="AF3933" s="10"/>
    </row>
    <row r="3934">
      <c r="A3934" s="7"/>
      <c r="B3934" s="26">
        <v>291.0</v>
      </c>
      <c r="C3934" s="27">
        <v>30.0</v>
      </c>
      <c r="D3934" s="8" t="s">
        <v>5118</v>
      </c>
      <c r="E3934" s="7">
        <v>2.0</v>
      </c>
      <c r="F3934" s="7" t="s">
        <v>320</v>
      </c>
      <c r="G3934" s="7" t="s">
        <v>313</v>
      </c>
      <c r="H3934" s="7" t="s">
        <v>312</v>
      </c>
      <c r="I3934" s="2" t="s">
        <v>366</v>
      </c>
      <c r="J3934" s="9" t="s">
        <v>5119</v>
      </c>
      <c r="K3934" s="8" t="s">
        <v>5120</v>
      </c>
      <c r="L3934" s="12"/>
      <c r="M3934" s="10"/>
      <c r="N3934" s="10"/>
      <c r="O3934" s="10"/>
      <c r="P3934" s="10"/>
      <c r="Q3934" s="10"/>
      <c r="R3934" s="10"/>
      <c r="S3934" s="10"/>
      <c r="T3934" s="10"/>
      <c r="U3934" s="10"/>
      <c r="V3934" s="10"/>
      <c r="W3934" s="10"/>
      <c r="X3934" s="10"/>
      <c r="Y3934" s="10"/>
      <c r="Z3934" s="10"/>
      <c r="AA3934" s="10"/>
      <c r="AB3934" s="10"/>
      <c r="AC3934" s="10"/>
      <c r="AD3934" s="10"/>
      <c r="AE3934" s="10"/>
      <c r="AF3934" s="10"/>
    </row>
    <row r="3935">
      <c r="A3935" s="7"/>
      <c r="B3935" s="26">
        <v>291.0</v>
      </c>
      <c r="C3935" s="27">
        <v>31.0</v>
      </c>
      <c r="D3935" s="8" t="s">
        <v>5121</v>
      </c>
      <c r="E3935" s="7">
        <v>0.0</v>
      </c>
      <c r="F3935" s="7"/>
      <c r="G3935" s="7" t="s">
        <v>313</v>
      </c>
      <c r="H3935" s="7" t="s">
        <v>312</v>
      </c>
      <c r="I3935" s="8"/>
      <c r="J3935" s="9"/>
      <c r="K3935" s="12"/>
      <c r="L3935" s="12"/>
      <c r="M3935" s="10"/>
      <c r="N3935" s="10"/>
      <c r="O3935" s="10"/>
      <c r="P3935" s="10"/>
      <c r="Q3935" s="10"/>
      <c r="R3935" s="10"/>
      <c r="S3935" s="10"/>
      <c r="T3935" s="10"/>
      <c r="U3935" s="10"/>
      <c r="V3935" s="10"/>
      <c r="W3935" s="10"/>
      <c r="X3935" s="10"/>
      <c r="Y3935" s="10"/>
      <c r="Z3935" s="10"/>
      <c r="AA3935" s="10"/>
      <c r="AB3935" s="10"/>
      <c r="AC3935" s="10"/>
      <c r="AD3935" s="10"/>
      <c r="AE3935" s="10"/>
      <c r="AF3935" s="10"/>
    </row>
    <row r="3936">
      <c r="A3936" s="7"/>
      <c r="B3936" s="26">
        <v>291.0</v>
      </c>
      <c r="C3936" s="27">
        <v>32.0</v>
      </c>
      <c r="D3936" s="8" t="s">
        <v>5122</v>
      </c>
      <c r="E3936" s="7">
        <v>0.0</v>
      </c>
      <c r="F3936" s="7"/>
      <c r="G3936" s="7" t="s">
        <v>313</v>
      </c>
      <c r="H3936" s="7" t="s">
        <v>312</v>
      </c>
      <c r="I3936" s="10"/>
      <c r="J3936" s="11"/>
      <c r="K3936" s="12"/>
      <c r="L3936" s="12"/>
      <c r="M3936" s="10"/>
      <c r="N3936" s="10"/>
      <c r="O3936" s="10"/>
      <c r="P3936" s="10"/>
      <c r="Q3936" s="10"/>
      <c r="R3936" s="10"/>
      <c r="S3936" s="10"/>
      <c r="T3936" s="10"/>
      <c r="U3936" s="10"/>
      <c r="V3936" s="10"/>
      <c r="W3936" s="10"/>
      <c r="X3936" s="10"/>
      <c r="Y3936" s="10"/>
      <c r="Z3936" s="10"/>
      <c r="AA3936" s="10"/>
      <c r="AB3936" s="10"/>
      <c r="AC3936" s="10"/>
      <c r="AD3936" s="10"/>
      <c r="AE3936" s="10"/>
      <c r="AF3936" s="10"/>
    </row>
    <row r="3937">
      <c r="A3937" s="7"/>
      <c r="B3937" s="26">
        <v>291.0</v>
      </c>
      <c r="C3937" s="27">
        <v>33.0</v>
      </c>
      <c r="D3937" s="8" t="s">
        <v>5123</v>
      </c>
      <c r="E3937" s="7">
        <v>0.0</v>
      </c>
      <c r="F3937" s="7"/>
      <c r="G3937" s="7" t="s">
        <v>313</v>
      </c>
      <c r="H3937" s="7" t="s">
        <v>312</v>
      </c>
      <c r="I3937" s="10"/>
      <c r="J3937" s="11"/>
      <c r="K3937" s="12"/>
      <c r="L3937" s="12"/>
      <c r="M3937" s="10"/>
      <c r="N3937" s="10"/>
      <c r="O3937" s="10"/>
      <c r="P3937" s="10"/>
      <c r="Q3937" s="10"/>
      <c r="R3937" s="10"/>
      <c r="S3937" s="10"/>
      <c r="T3937" s="10"/>
      <c r="U3937" s="10"/>
      <c r="V3937" s="10"/>
      <c r="W3937" s="10"/>
      <c r="X3937" s="10"/>
      <c r="Y3937" s="10"/>
      <c r="Z3937" s="10"/>
      <c r="AA3937" s="10"/>
      <c r="AB3937" s="10"/>
      <c r="AC3937" s="10"/>
      <c r="AD3937" s="10"/>
      <c r="AE3937" s="10"/>
      <c r="AF3937" s="10"/>
    </row>
    <row r="3938">
      <c r="A3938" s="7"/>
      <c r="B3938" s="26">
        <v>291.0</v>
      </c>
      <c r="C3938" s="27">
        <v>34.0</v>
      </c>
      <c r="D3938" s="8" t="s">
        <v>5124</v>
      </c>
      <c r="E3938" s="7">
        <v>0.0</v>
      </c>
      <c r="F3938" s="7"/>
      <c r="G3938" s="7" t="s">
        <v>313</v>
      </c>
      <c r="H3938" s="7" t="s">
        <v>312</v>
      </c>
      <c r="I3938" s="10"/>
      <c r="J3938" s="11"/>
      <c r="K3938" s="12"/>
      <c r="L3938" s="12"/>
      <c r="M3938" s="10"/>
      <c r="N3938" s="10"/>
      <c r="O3938" s="10"/>
      <c r="P3938" s="10"/>
      <c r="Q3938" s="10"/>
      <c r="R3938" s="10"/>
      <c r="S3938" s="10"/>
      <c r="T3938" s="10"/>
      <c r="U3938" s="10"/>
      <c r="V3938" s="10"/>
      <c r="W3938" s="10"/>
      <c r="X3938" s="10"/>
      <c r="Y3938" s="10"/>
      <c r="Z3938" s="10"/>
      <c r="AA3938" s="10"/>
      <c r="AB3938" s="10"/>
      <c r="AC3938" s="10"/>
      <c r="AD3938" s="10"/>
      <c r="AE3938" s="10"/>
      <c r="AF3938" s="10"/>
    </row>
    <row r="3939">
      <c r="A3939" s="7"/>
      <c r="B3939" s="26">
        <v>291.0</v>
      </c>
      <c r="C3939" s="27">
        <v>35.0</v>
      </c>
      <c r="D3939" s="8" t="s">
        <v>5125</v>
      </c>
      <c r="E3939" s="7">
        <v>0.0</v>
      </c>
      <c r="F3939" s="7"/>
      <c r="G3939" s="7" t="s">
        <v>313</v>
      </c>
      <c r="H3939" s="7" t="s">
        <v>312</v>
      </c>
      <c r="I3939" s="10"/>
      <c r="J3939" s="11"/>
      <c r="K3939" s="12"/>
      <c r="L3939" s="12"/>
      <c r="M3939" s="10"/>
      <c r="N3939" s="10"/>
      <c r="O3939" s="10"/>
      <c r="P3939" s="10"/>
      <c r="Q3939" s="10"/>
      <c r="R3939" s="10"/>
      <c r="S3939" s="10"/>
      <c r="T3939" s="10"/>
      <c r="U3939" s="10"/>
      <c r="V3939" s="10"/>
      <c r="W3939" s="10"/>
      <c r="X3939" s="10"/>
      <c r="Y3939" s="10"/>
      <c r="Z3939" s="10"/>
      <c r="AA3939" s="10"/>
      <c r="AB3939" s="10"/>
      <c r="AC3939" s="10"/>
      <c r="AD3939" s="10"/>
      <c r="AE3939" s="10"/>
      <c r="AF3939" s="10"/>
    </row>
    <row r="3940">
      <c r="A3940" s="7"/>
      <c r="B3940" s="26">
        <v>291.0</v>
      </c>
      <c r="C3940" s="27">
        <v>36.0</v>
      </c>
      <c r="D3940" s="8" t="s">
        <v>5126</v>
      </c>
      <c r="E3940" s="7">
        <v>0.0</v>
      </c>
      <c r="F3940" s="7"/>
      <c r="G3940" s="7" t="s">
        <v>313</v>
      </c>
      <c r="H3940" s="7" t="s">
        <v>312</v>
      </c>
      <c r="I3940" s="10"/>
      <c r="J3940" s="11"/>
      <c r="K3940" s="12"/>
      <c r="L3940" s="12"/>
      <c r="M3940" s="10"/>
      <c r="N3940" s="10"/>
      <c r="O3940" s="10"/>
      <c r="P3940" s="10"/>
      <c r="Q3940" s="10"/>
      <c r="R3940" s="10"/>
      <c r="S3940" s="10"/>
      <c r="T3940" s="10"/>
      <c r="U3940" s="10"/>
      <c r="V3940" s="10"/>
      <c r="W3940" s="10"/>
      <c r="X3940" s="10"/>
      <c r="Y3940" s="10"/>
      <c r="Z3940" s="10"/>
      <c r="AA3940" s="10"/>
      <c r="AB3940" s="10"/>
      <c r="AC3940" s="10"/>
      <c r="AD3940" s="10"/>
      <c r="AE3940" s="10"/>
      <c r="AF3940" s="10"/>
    </row>
    <row r="3941">
      <c r="A3941" s="10"/>
      <c r="B3941" s="12"/>
      <c r="C3941" s="12"/>
      <c r="D3941" s="12"/>
      <c r="E3941" s="10"/>
      <c r="F3941" s="10"/>
      <c r="G3941" s="10"/>
      <c r="H3941" s="10"/>
      <c r="I3941" s="10"/>
      <c r="J3941" s="11"/>
      <c r="K3941" s="12"/>
      <c r="L3941" s="12"/>
      <c r="M3941" s="10"/>
      <c r="N3941" s="10"/>
      <c r="O3941" s="10"/>
      <c r="P3941" s="10"/>
      <c r="Q3941" s="10"/>
      <c r="R3941" s="10"/>
      <c r="S3941" s="10"/>
      <c r="T3941" s="10"/>
      <c r="U3941" s="10"/>
      <c r="V3941" s="10"/>
      <c r="W3941" s="10"/>
      <c r="X3941" s="10"/>
      <c r="Y3941" s="10"/>
      <c r="Z3941" s="10"/>
      <c r="AA3941" s="10"/>
      <c r="AB3941" s="10"/>
      <c r="AC3941" s="10"/>
      <c r="AD3941" s="10"/>
      <c r="AE3941" s="10"/>
      <c r="AF3941" s="10"/>
    </row>
    <row r="3942">
      <c r="A3942" s="7"/>
      <c r="B3942" s="26">
        <v>292.0</v>
      </c>
      <c r="C3942" s="27">
        <v>1.0</v>
      </c>
      <c r="D3942" s="8" t="s">
        <v>5127</v>
      </c>
      <c r="E3942" s="7">
        <v>2.0</v>
      </c>
      <c r="F3942" s="7" t="s">
        <v>320</v>
      </c>
      <c r="G3942" s="7" t="s">
        <v>313</v>
      </c>
      <c r="H3942" s="7" t="s">
        <v>312</v>
      </c>
      <c r="I3942" s="7" t="s">
        <v>320</v>
      </c>
      <c r="J3942" s="9" t="s">
        <v>5128</v>
      </c>
      <c r="K3942" s="8" t="s">
        <v>5129</v>
      </c>
      <c r="L3942" s="12"/>
      <c r="M3942" s="10"/>
      <c r="N3942" s="10"/>
      <c r="O3942" s="10"/>
      <c r="P3942" s="10"/>
      <c r="Q3942" s="10"/>
      <c r="R3942" s="10"/>
      <c r="S3942" s="10"/>
      <c r="T3942" s="10"/>
      <c r="U3942" s="10"/>
      <c r="V3942" s="10"/>
      <c r="W3942" s="10"/>
      <c r="X3942" s="10"/>
      <c r="Y3942" s="10"/>
      <c r="Z3942" s="10"/>
      <c r="AA3942" s="10"/>
      <c r="AB3942" s="10"/>
      <c r="AC3942" s="10"/>
      <c r="AD3942" s="10"/>
      <c r="AE3942" s="10"/>
      <c r="AF3942" s="10"/>
    </row>
    <row r="3943">
      <c r="A3943" s="7"/>
      <c r="B3943" s="26">
        <v>292.0</v>
      </c>
      <c r="C3943" s="27">
        <v>2.0</v>
      </c>
      <c r="D3943" s="8" t="s">
        <v>5130</v>
      </c>
      <c r="E3943" s="7">
        <v>3.0</v>
      </c>
      <c r="F3943" s="7"/>
      <c r="G3943" s="7" t="s">
        <v>313</v>
      </c>
      <c r="H3943" s="7" t="s">
        <v>312</v>
      </c>
      <c r="I3943" s="10"/>
      <c r="J3943" s="9"/>
      <c r="K3943" s="8"/>
      <c r="L3943" s="12"/>
      <c r="M3943" s="10"/>
      <c r="N3943" s="10"/>
      <c r="O3943" s="10"/>
      <c r="P3943" s="10"/>
      <c r="Q3943" s="10"/>
      <c r="R3943" s="10"/>
      <c r="S3943" s="10"/>
      <c r="T3943" s="10"/>
      <c r="U3943" s="10"/>
      <c r="V3943" s="10"/>
      <c r="W3943" s="10"/>
      <c r="X3943" s="10"/>
      <c r="Y3943" s="10"/>
      <c r="Z3943" s="10"/>
      <c r="AA3943" s="10"/>
      <c r="AB3943" s="10"/>
      <c r="AC3943" s="10"/>
      <c r="AD3943" s="10"/>
      <c r="AE3943" s="10"/>
      <c r="AF3943" s="10"/>
    </row>
    <row r="3944">
      <c r="A3944" s="7"/>
      <c r="B3944" s="26">
        <v>292.0</v>
      </c>
      <c r="C3944" s="27">
        <v>3.0</v>
      </c>
      <c r="D3944" s="8" t="s">
        <v>5131</v>
      </c>
      <c r="E3944" s="7">
        <v>0.0</v>
      </c>
      <c r="F3944" s="7"/>
      <c r="G3944" s="7" t="s">
        <v>313</v>
      </c>
      <c r="H3944" s="7" t="s">
        <v>312</v>
      </c>
      <c r="I3944" s="10"/>
      <c r="J3944" s="11"/>
      <c r="K3944" s="12"/>
      <c r="L3944" s="12"/>
      <c r="M3944" s="10"/>
      <c r="N3944" s="10"/>
      <c r="O3944" s="10"/>
      <c r="P3944" s="10"/>
      <c r="Q3944" s="10"/>
      <c r="R3944" s="10"/>
      <c r="S3944" s="10"/>
      <c r="T3944" s="10"/>
      <c r="U3944" s="10"/>
      <c r="V3944" s="10"/>
      <c r="W3944" s="10"/>
      <c r="X3944" s="10"/>
      <c r="Y3944" s="10"/>
      <c r="Z3944" s="10"/>
      <c r="AA3944" s="10"/>
      <c r="AB3944" s="10"/>
      <c r="AC3944" s="10"/>
      <c r="AD3944" s="10"/>
      <c r="AE3944" s="10"/>
      <c r="AF3944" s="10"/>
    </row>
    <row r="3945">
      <c r="A3945" s="7"/>
      <c r="B3945" s="26">
        <v>292.0</v>
      </c>
      <c r="C3945" s="27">
        <v>4.0</v>
      </c>
      <c r="D3945" s="8" t="s">
        <v>5132</v>
      </c>
      <c r="E3945" s="7">
        <v>0.0</v>
      </c>
      <c r="F3945" s="7"/>
      <c r="G3945" s="7" t="s">
        <v>313</v>
      </c>
      <c r="H3945" s="7" t="s">
        <v>312</v>
      </c>
      <c r="I3945" s="10"/>
      <c r="J3945" s="11"/>
      <c r="K3945" s="12"/>
      <c r="L3945" s="12"/>
      <c r="M3945" s="10"/>
      <c r="N3945" s="10"/>
      <c r="O3945" s="10"/>
      <c r="P3945" s="10"/>
      <c r="Q3945" s="10"/>
      <c r="R3945" s="10"/>
      <c r="S3945" s="10"/>
      <c r="T3945" s="10"/>
      <c r="U3945" s="10"/>
      <c r="V3945" s="10"/>
      <c r="W3945" s="10"/>
      <c r="X3945" s="10"/>
      <c r="Y3945" s="10"/>
      <c r="Z3945" s="10"/>
      <c r="AA3945" s="10"/>
      <c r="AB3945" s="10"/>
      <c r="AC3945" s="10"/>
      <c r="AD3945" s="10"/>
      <c r="AE3945" s="10"/>
      <c r="AF3945" s="10"/>
    </row>
    <row r="3946">
      <c r="A3946" s="7"/>
      <c r="B3946" s="26">
        <v>292.0</v>
      </c>
      <c r="C3946" s="27">
        <v>5.0</v>
      </c>
      <c r="D3946" s="8" t="s">
        <v>5133</v>
      </c>
      <c r="E3946" s="7">
        <v>2.0</v>
      </c>
      <c r="F3946" s="7" t="s">
        <v>320</v>
      </c>
      <c r="G3946" s="7" t="s">
        <v>313</v>
      </c>
      <c r="H3946" s="7" t="s">
        <v>312</v>
      </c>
      <c r="I3946" s="7" t="s">
        <v>366</v>
      </c>
      <c r="J3946" s="9" t="s">
        <v>5134</v>
      </c>
      <c r="K3946" s="8" t="s">
        <v>5135</v>
      </c>
      <c r="L3946" s="12"/>
      <c r="M3946" s="10"/>
      <c r="N3946" s="10"/>
      <c r="O3946" s="10"/>
      <c r="P3946" s="10"/>
      <c r="Q3946" s="10"/>
      <c r="R3946" s="10"/>
      <c r="S3946" s="10"/>
      <c r="T3946" s="10"/>
      <c r="U3946" s="10"/>
      <c r="V3946" s="10"/>
      <c r="W3946" s="10"/>
      <c r="X3946" s="10"/>
      <c r="Y3946" s="10"/>
      <c r="Z3946" s="10"/>
      <c r="AA3946" s="10"/>
      <c r="AB3946" s="10"/>
      <c r="AC3946" s="10"/>
      <c r="AD3946" s="10"/>
      <c r="AE3946" s="10"/>
      <c r="AF3946" s="10"/>
    </row>
    <row r="3947">
      <c r="A3947" s="7"/>
      <c r="B3947" s="26">
        <v>292.0</v>
      </c>
      <c r="C3947" s="27">
        <v>6.0</v>
      </c>
      <c r="D3947" s="8" t="s">
        <v>5136</v>
      </c>
      <c r="E3947" s="7">
        <v>0.0</v>
      </c>
      <c r="F3947" s="7"/>
      <c r="G3947" s="7" t="s">
        <v>313</v>
      </c>
      <c r="H3947" s="7" t="s">
        <v>312</v>
      </c>
      <c r="I3947" s="10"/>
      <c r="J3947" s="9"/>
      <c r="K3947" s="8"/>
      <c r="L3947" s="12"/>
      <c r="M3947" s="10"/>
      <c r="N3947" s="10"/>
      <c r="O3947" s="10"/>
      <c r="P3947" s="10"/>
      <c r="Q3947" s="10"/>
      <c r="R3947" s="10"/>
      <c r="S3947" s="10"/>
      <c r="T3947" s="10"/>
      <c r="U3947" s="10"/>
      <c r="V3947" s="10"/>
      <c r="W3947" s="10"/>
      <c r="X3947" s="10"/>
      <c r="Y3947" s="10"/>
      <c r="Z3947" s="10"/>
      <c r="AA3947" s="10"/>
      <c r="AB3947" s="10"/>
      <c r="AC3947" s="10"/>
      <c r="AD3947" s="10"/>
      <c r="AE3947" s="10"/>
      <c r="AF3947" s="10"/>
    </row>
    <row r="3948">
      <c r="A3948" s="7"/>
      <c r="B3948" s="26">
        <v>292.0</v>
      </c>
      <c r="C3948" s="27">
        <v>7.0</v>
      </c>
      <c r="D3948" s="8" t="s">
        <v>5137</v>
      </c>
      <c r="E3948" s="7">
        <v>2.0</v>
      </c>
      <c r="F3948" s="7" t="s">
        <v>320</v>
      </c>
      <c r="G3948" s="7" t="s">
        <v>313</v>
      </c>
      <c r="H3948" s="7" t="s">
        <v>312</v>
      </c>
      <c r="I3948" s="7" t="s">
        <v>4428</v>
      </c>
      <c r="J3948" s="9" t="s">
        <v>5138</v>
      </c>
      <c r="K3948" s="8" t="s">
        <v>5139</v>
      </c>
      <c r="L3948" s="12"/>
      <c r="M3948" s="10"/>
      <c r="N3948" s="10"/>
      <c r="O3948" s="10"/>
      <c r="P3948" s="10"/>
      <c r="Q3948" s="10"/>
      <c r="R3948" s="10"/>
      <c r="S3948" s="10"/>
      <c r="T3948" s="10"/>
      <c r="U3948" s="10"/>
      <c r="V3948" s="10"/>
      <c r="W3948" s="10"/>
      <c r="X3948" s="10"/>
      <c r="Y3948" s="10"/>
      <c r="Z3948" s="10"/>
      <c r="AA3948" s="10"/>
      <c r="AB3948" s="10"/>
      <c r="AC3948" s="10"/>
      <c r="AD3948" s="10"/>
      <c r="AE3948" s="10"/>
      <c r="AF3948" s="10"/>
    </row>
    <row r="3949">
      <c r="A3949" s="7"/>
      <c r="B3949" s="26">
        <v>292.0</v>
      </c>
      <c r="C3949" s="27">
        <v>8.0</v>
      </c>
      <c r="D3949" s="8" t="s">
        <v>5140</v>
      </c>
      <c r="E3949" s="7">
        <v>2.0</v>
      </c>
      <c r="F3949" s="7" t="s">
        <v>320</v>
      </c>
      <c r="G3949" s="7" t="s">
        <v>313</v>
      </c>
      <c r="H3949" s="7" t="s">
        <v>312</v>
      </c>
      <c r="I3949" s="10"/>
      <c r="J3949" s="9" t="s">
        <v>850</v>
      </c>
      <c r="K3949" s="8" t="s">
        <v>5141</v>
      </c>
      <c r="L3949" s="12"/>
      <c r="M3949" s="10"/>
      <c r="N3949" s="10"/>
      <c r="O3949" s="10"/>
      <c r="P3949" s="10"/>
      <c r="Q3949" s="10"/>
      <c r="R3949" s="10"/>
      <c r="S3949" s="10"/>
      <c r="T3949" s="10"/>
      <c r="U3949" s="10"/>
      <c r="V3949" s="10"/>
      <c r="W3949" s="10"/>
      <c r="X3949" s="10"/>
      <c r="Y3949" s="10"/>
      <c r="Z3949" s="10"/>
      <c r="AA3949" s="10"/>
      <c r="AB3949" s="10"/>
      <c r="AC3949" s="10"/>
      <c r="AD3949" s="10"/>
      <c r="AE3949" s="10"/>
      <c r="AF3949" s="10"/>
    </row>
    <row r="3950">
      <c r="A3950" s="7"/>
      <c r="B3950" s="26">
        <v>292.0</v>
      </c>
      <c r="C3950" s="27">
        <v>9.0</v>
      </c>
      <c r="D3950" s="8" t="s">
        <v>5142</v>
      </c>
      <c r="E3950" s="7">
        <v>0.0</v>
      </c>
      <c r="F3950" s="7"/>
      <c r="G3950" s="7" t="s">
        <v>313</v>
      </c>
      <c r="H3950" s="7" t="s">
        <v>312</v>
      </c>
      <c r="I3950" s="10"/>
      <c r="J3950" s="11"/>
      <c r="K3950" s="12"/>
      <c r="L3950" s="12"/>
      <c r="M3950" s="10"/>
      <c r="N3950" s="10"/>
      <c r="O3950" s="10"/>
      <c r="P3950" s="10"/>
      <c r="Q3950" s="10"/>
      <c r="R3950" s="10"/>
      <c r="S3950" s="10"/>
      <c r="T3950" s="10"/>
      <c r="U3950" s="10"/>
      <c r="V3950" s="10"/>
      <c r="W3950" s="10"/>
      <c r="X3950" s="10"/>
      <c r="Y3950" s="10"/>
      <c r="Z3950" s="10"/>
      <c r="AA3950" s="10"/>
      <c r="AB3950" s="10"/>
      <c r="AC3950" s="10"/>
      <c r="AD3950" s="10"/>
      <c r="AE3950" s="10"/>
      <c r="AF3950" s="10"/>
    </row>
    <row r="3951">
      <c r="A3951" s="7"/>
      <c r="B3951" s="26">
        <v>292.0</v>
      </c>
      <c r="C3951" s="27">
        <v>10.0</v>
      </c>
      <c r="D3951" s="8" t="s">
        <v>5143</v>
      </c>
      <c r="E3951" s="7">
        <v>2.0</v>
      </c>
      <c r="F3951" s="7" t="s">
        <v>320</v>
      </c>
      <c r="G3951" s="7" t="s">
        <v>313</v>
      </c>
      <c r="H3951" s="7" t="s">
        <v>312</v>
      </c>
      <c r="I3951" s="7" t="s">
        <v>4428</v>
      </c>
      <c r="J3951" s="9" t="s">
        <v>5144</v>
      </c>
      <c r="K3951" s="8" t="s">
        <v>5145</v>
      </c>
      <c r="L3951" s="12"/>
      <c r="M3951" s="10"/>
      <c r="N3951" s="10"/>
      <c r="O3951" s="10"/>
      <c r="P3951" s="10"/>
      <c r="Q3951" s="10"/>
      <c r="R3951" s="10"/>
      <c r="S3951" s="10"/>
      <c r="T3951" s="10"/>
      <c r="U3951" s="10"/>
      <c r="V3951" s="10"/>
      <c r="W3951" s="10"/>
      <c r="X3951" s="10"/>
      <c r="Y3951" s="10"/>
      <c r="Z3951" s="10"/>
      <c r="AA3951" s="10"/>
      <c r="AB3951" s="10"/>
      <c r="AC3951" s="10"/>
      <c r="AD3951" s="10"/>
      <c r="AE3951" s="10"/>
      <c r="AF3951" s="10"/>
    </row>
    <row r="3952">
      <c r="A3952" s="7"/>
      <c r="B3952" s="26">
        <v>292.0</v>
      </c>
      <c r="C3952" s="27">
        <v>11.0</v>
      </c>
      <c r="D3952" s="8" t="s">
        <v>5146</v>
      </c>
      <c r="E3952" s="7">
        <v>2.0</v>
      </c>
      <c r="F3952" s="7" t="s">
        <v>320</v>
      </c>
      <c r="G3952" s="7" t="s">
        <v>313</v>
      </c>
      <c r="H3952" s="7" t="s">
        <v>312</v>
      </c>
      <c r="I3952" s="7" t="s">
        <v>366</v>
      </c>
      <c r="J3952" s="9" t="s">
        <v>5147</v>
      </c>
      <c r="K3952" s="8" t="s">
        <v>851</v>
      </c>
      <c r="L3952" s="12"/>
      <c r="M3952" s="10"/>
      <c r="N3952" s="10"/>
      <c r="O3952" s="10"/>
      <c r="P3952" s="10"/>
      <c r="Q3952" s="10"/>
      <c r="R3952" s="10"/>
      <c r="S3952" s="10"/>
      <c r="T3952" s="10"/>
      <c r="U3952" s="10"/>
      <c r="V3952" s="10"/>
      <c r="W3952" s="10"/>
      <c r="X3952" s="10"/>
      <c r="Y3952" s="10"/>
      <c r="Z3952" s="10"/>
      <c r="AA3952" s="10"/>
      <c r="AB3952" s="10"/>
      <c r="AC3952" s="10"/>
      <c r="AD3952" s="10"/>
      <c r="AE3952" s="10"/>
      <c r="AF3952" s="10"/>
    </row>
    <row r="3953">
      <c r="A3953" s="7"/>
      <c r="B3953" s="26">
        <v>292.0</v>
      </c>
      <c r="C3953" s="27">
        <v>12.0</v>
      </c>
      <c r="D3953" s="8" t="s">
        <v>5148</v>
      </c>
      <c r="E3953" s="7">
        <v>0.0</v>
      </c>
      <c r="F3953" s="7"/>
      <c r="G3953" s="7" t="s">
        <v>313</v>
      </c>
      <c r="H3953" s="7" t="s">
        <v>312</v>
      </c>
      <c r="I3953" s="10"/>
      <c r="J3953" s="11"/>
      <c r="K3953" s="12"/>
      <c r="L3953" s="12"/>
      <c r="M3953" s="10"/>
      <c r="N3953" s="10"/>
      <c r="O3953" s="10"/>
      <c r="P3953" s="10"/>
      <c r="Q3953" s="10"/>
      <c r="R3953" s="10"/>
      <c r="S3953" s="10"/>
      <c r="T3953" s="10"/>
      <c r="U3953" s="10"/>
      <c r="V3953" s="10"/>
      <c r="W3953" s="10"/>
      <c r="X3953" s="10"/>
      <c r="Y3953" s="10"/>
      <c r="Z3953" s="10"/>
      <c r="AA3953" s="10"/>
      <c r="AB3953" s="10"/>
      <c r="AC3953" s="10"/>
      <c r="AD3953" s="10"/>
      <c r="AE3953" s="10"/>
      <c r="AF3953" s="10"/>
    </row>
    <row r="3954">
      <c r="A3954" s="7"/>
      <c r="B3954" s="26">
        <v>292.0</v>
      </c>
      <c r="C3954" s="27">
        <v>13.0</v>
      </c>
      <c r="D3954" s="8" t="s">
        <v>5149</v>
      </c>
      <c r="E3954" s="7">
        <v>0.0</v>
      </c>
      <c r="F3954" s="7"/>
      <c r="G3954" s="7" t="s">
        <v>313</v>
      </c>
      <c r="H3954" s="7" t="s">
        <v>312</v>
      </c>
      <c r="I3954" s="10"/>
      <c r="J3954" s="11"/>
      <c r="K3954" s="12"/>
      <c r="L3954" s="12"/>
      <c r="M3954" s="10"/>
      <c r="N3954" s="10"/>
      <c r="O3954" s="10"/>
      <c r="P3954" s="10"/>
      <c r="Q3954" s="10"/>
      <c r="R3954" s="10"/>
      <c r="S3954" s="10"/>
      <c r="T3954" s="10"/>
      <c r="U3954" s="10"/>
      <c r="V3954" s="10"/>
      <c r="W3954" s="10"/>
      <c r="X3954" s="10"/>
      <c r="Y3954" s="10"/>
      <c r="Z3954" s="10"/>
      <c r="AA3954" s="10"/>
      <c r="AB3954" s="10"/>
      <c r="AC3954" s="10"/>
      <c r="AD3954" s="10"/>
      <c r="AE3954" s="10"/>
      <c r="AF3954" s="10"/>
    </row>
    <row r="3955">
      <c r="A3955" s="7"/>
      <c r="B3955" s="26">
        <v>292.0</v>
      </c>
      <c r="C3955" s="27">
        <v>14.0</v>
      </c>
      <c r="D3955" s="8" t="s">
        <v>5150</v>
      </c>
      <c r="E3955" s="7">
        <v>2.0</v>
      </c>
      <c r="F3955" s="7" t="s">
        <v>320</v>
      </c>
      <c r="G3955" s="7" t="s">
        <v>313</v>
      </c>
      <c r="H3955" s="7" t="s">
        <v>312</v>
      </c>
      <c r="I3955" s="7" t="s">
        <v>366</v>
      </c>
      <c r="J3955" s="9" t="s">
        <v>5151</v>
      </c>
      <c r="K3955" s="8" t="s">
        <v>5152</v>
      </c>
      <c r="L3955" s="12"/>
      <c r="M3955" s="10"/>
      <c r="N3955" s="10"/>
      <c r="O3955" s="10"/>
      <c r="P3955" s="10"/>
      <c r="Q3955" s="10"/>
      <c r="R3955" s="10"/>
      <c r="S3955" s="10"/>
      <c r="T3955" s="10"/>
      <c r="U3955" s="10"/>
      <c r="V3955" s="10"/>
      <c r="W3955" s="10"/>
      <c r="X3955" s="10"/>
      <c r="Y3955" s="10"/>
      <c r="Z3955" s="10"/>
      <c r="AA3955" s="10"/>
      <c r="AB3955" s="10"/>
      <c r="AC3955" s="10"/>
      <c r="AD3955" s="10"/>
      <c r="AE3955" s="10"/>
      <c r="AF3955" s="10"/>
    </row>
    <row r="3956">
      <c r="A3956" s="7"/>
      <c r="B3956" s="26">
        <v>292.0</v>
      </c>
      <c r="C3956" s="27">
        <v>15.0</v>
      </c>
      <c r="D3956" s="8" t="s">
        <v>5153</v>
      </c>
      <c r="E3956" s="7">
        <v>2.0</v>
      </c>
      <c r="F3956" s="7" t="s">
        <v>320</v>
      </c>
      <c r="G3956" s="7" t="s">
        <v>313</v>
      </c>
      <c r="H3956" s="7" t="s">
        <v>312</v>
      </c>
      <c r="I3956" s="7" t="s">
        <v>366</v>
      </c>
      <c r="J3956" s="9" t="s">
        <v>5154</v>
      </c>
      <c r="K3956" s="8" t="s">
        <v>851</v>
      </c>
      <c r="L3956" s="12"/>
      <c r="M3956" s="10"/>
      <c r="N3956" s="10"/>
      <c r="O3956" s="10"/>
      <c r="P3956" s="10"/>
      <c r="Q3956" s="10"/>
      <c r="R3956" s="10"/>
      <c r="S3956" s="10"/>
      <c r="T3956" s="10"/>
      <c r="U3956" s="10"/>
      <c r="V3956" s="10"/>
      <c r="W3956" s="10"/>
      <c r="X3956" s="10"/>
      <c r="Y3956" s="10"/>
      <c r="Z3956" s="10"/>
      <c r="AA3956" s="10"/>
      <c r="AB3956" s="10"/>
      <c r="AC3956" s="10"/>
      <c r="AD3956" s="10"/>
      <c r="AE3956" s="10"/>
      <c r="AF3956" s="10"/>
    </row>
    <row r="3957">
      <c r="A3957" s="10"/>
      <c r="B3957" s="12"/>
      <c r="C3957" s="12"/>
      <c r="D3957" s="12"/>
      <c r="E3957" s="10"/>
      <c r="F3957" s="10"/>
      <c r="G3957" s="10"/>
      <c r="H3957" s="10"/>
      <c r="I3957" s="10"/>
      <c r="J3957" s="11"/>
      <c r="K3957" s="12"/>
      <c r="L3957" s="12"/>
      <c r="M3957" s="10"/>
      <c r="N3957" s="10"/>
      <c r="O3957" s="10"/>
      <c r="P3957" s="10"/>
      <c r="Q3957" s="10"/>
      <c r="R3957" s="10"/>
      <c r="S3957" s="10"/>
      <c r="T3957" s="10"/>
      <c r="U3957" s="10"/>
      <c r="V3957" s="10"/>
      <c r="W3957" s="10"/>
      <c r="X3957" s="10"/>
      <c r="Y3957" s="10"/>
      <c r="Z3957" s="10"/>
      <c r="AA3957" s="10"/>
      <c r="AB3957" s="10"/>
      <c r="AC3957" s="10"/>
      <c r="AD3957" s="10"/>
      <c r="AE3957" s="10"/>
      <c r="AF3957" s="10"/>
    </row>
    <row r="3958">
      <c r="A3958" s="7"/>
      <c r="B3958" s="26">
        <v>293.0</v>
      </c>
      <c r="C3958" s="27">
        <v>1.0</v>
      </c>
      <c r="D3958" s="8" t="s">
        <v>5155</v>
      </c>
      <c r="E3958" s="7">
        <v>3.0</v>
      </c>
      <c r="F3958" s="7" t="s">
        <v>320</v>
      </c>
      <c r="G3958" s="7" t="s">
        <v>313</v>
      </c>
      <c r="H3958" s="7" t="s">
        <v>312</v>
      </c>
      <c r="I3958" s="7" t="s">
        <v>366</v>
      </c>
      <c r="J3958" s="9" t="s">
        <v>5156</v>
      </c>
      <c r="K3958" s="20" t="s">
        <v>2764</v>
      </c>
      <c r="L3958" s="12"/>
      <c r="M3958" s="10"/>
      <c r="N3958" s="10"/>
      <c r="O3958" s="10"/>
      <c r="P3958" s="10"/>
      <c r="Q3958" s="10"/>
      <c r="R3958" s="10"/>
      <c r="S3958" s="10"/>
      <c r="T3958" s="10"/>
      <c r="U3958" s="10"/>
      <c r="V3958" s="10"/>
      <c r="W3958" s="10"/>
      <c r="X3958" s="10"/>
      <c r="Y3958" s="10"/>
      <c r="Z3958" s="10"/>
      <c r="AA3958" s="10"/>
      <c r="AB3958" s="10"/>
      <c r="AC3958" s="10"/>
      <c r="AD3958" s="10"/>
      <c r="AE3958" s="10"/>
      <c r="AF3958" s="10"/>
    </row>
    <row r="3959">
      <c r="A3959" s="7"/>
      <c r="B3959" s="26">
        <v>293.0</v>
      </c>
      <c r="C3959" s="27">
        <v>2.0</v>
      </c>
      <c r="D3959" s="8" t="s">
        <v>5157</v>
      </c>
      <c r="E3959" s="7">
        <v>3.0</v>
      </c>
      <c r="F3959" s="7" t="s">
        <v>320</v>
      </c>
      <c r="G3959" s="7" t="s">
        <v>313</v>
      </c>
      <c r="H3959" s="7" t="s">
        <v>312</v>
      </c>
      <c r="I3959" s="7" t="s">
        <v>366</v>
      </c>
      <c r="J3959" s="16" t="s">
        <v>5158</v>
      </c>
      <c r="K3959" s="20" t="s">
        <v>2764</v>
      </c>
      <c r="L3959" s="12"/>
      <c r="M3959" s="10"/>
      <c r="N3959" s="10"/>
      <c r="O3959" s="10"/>
      <c r="P3959" s="10"/>
      <c r="Q3959" s="10"/>
      <c r="R3959" s="10"/>
      <c r="S3959" s="10"/>
      <c r="T3959" s="10"/>
      <c r="U3959" s="10"/>
      <c r="V3959" s="10"/>
      <c r="W3959" s="10"/>
      <c r="X3959" s="10"/>
      <c r="Y3959" s="10"/>
      <c r="Z3959" s="10"/>
      <c r="AA3959" s="10"/>
      <c r="AB3959" s="10"/>
      <c r="AC3959" s="10"/>
      <c r="AD3959" s="10"/>
      <c r="AE3959" s="10"/>
      <c r="AF3959" s="10"/>
    </row>
    <row r="3960">
      <c r="A3960" s="7"/>
      <c r="B3960" s="26">
        <v>293.0</v>
      </c>
      <c r="C3960" s="27">
        <v>3.0</v>
      </c>
      <c r="D3960" s="8" t="s">
        <v>5159</v>
      </c>
      <c r="E3960" s="7">
        <v>0.0</v>
      </c>
      <c r="F3960" s="7" t="s">
        <v>320</v>
      </c>
      <c r="G3960" s="7" t="s">
        <v>313</v>
      </c>
      <c r="H3960" s="7" t="s">
        <v>312</v>
      </c>
      <c r="I3960" s="7" t="s">
        <v>320</v>
      </c>
      <c r="J3960" s="16" t="s">
        <v>5160</v>
      </c>
      <c r="K3960" s="12"/>
      <c r="L3960" s="12"/>
      <c r="M3960" s="10"/>
      <c r="N3960" s="10"/>
      <c r="O3960" s="10"/>
      <c r="P3960" s="10"/>
      <c r="Q3960" s="10"/>
      <c r="R3960" s="10"/>
      <c r="S3960" s="10"/>
      <c r="T3960" s="10"/>
      <c r="U3960" s="10"/>
      <c r="V3960" s="10"/>
      <c r="W3960" s="10"/>
      <c r="X3960" s="10"/>
      <c r="Y3960" s="10"/>
      <c r="Z3960" s="10"/>
      <c r="AA3960" s="10"/>
      <c r="AB3960" s="10"/>
      <c r="AC3960" s="10"/>
      <c r="AD3960" s="10"/>
      <c r="AE3960" s="10"/>
      <c r="AF3960" s="10"/>
    </row>
    <row r="3961">
      <c r="A3961" s="7"/>
      <c r="B3961" s="26">
        <v>293.0</v>
      </c>
      <c r="C3961" s="27">
        <v>4.0</v>
      </c>
      <c r="D3961" s="8" t="s">
        <v>5161</v>
      </c>
      <c r="E3961" s="7">
        <v>3.0</v>
      </c>
      <c r="F3961" s="7" t="s">
        <v>320</v>
      </c>
      <c r="G3961" s="7" t="s">
        <v>313</v>
      </c>
      <c r="H3961" s="7" t="s">
        <v>312</v>
      </c>
      <c r="I3961" s="7" t="s">
        <v>4428</v>
      </c>
      <c r="J3961" s="16" t="s">
        <v>5162</v>
      </c>
      <c r="K3961" s="12"/>
      <c r="L3961" s="12"/>
      <c r="M3961" s="10"/>
      <c r="N3961" s="10"/>
      <c r="O3961" s="10"/>
      <c r="P3961" s="10"/>
      <c r="Q3961" s="10"/>
      <c r="R3961" s="10"/>
      <c r="S3961" s="10"/>
      <c r="T3961" s="10"/>
      <c r="U3961" s="10"/>
      <c r="V3961" s="10"/>
      <c r="W3961" s="10"/>
      <c r="X3961" s="10"/>
      <c r="Y3961" s="10"/>
      <c r="Z3961" s="10"/>
      <c r="AA3961" s="10"/>
      <c r="AB3961" s="10"/>
      <c r="AC3961" s="10"/>
      <c r="AD3961" s="10"/>
      <c r="AE3961" s="10"/>
      <c r="AF3961" s="10"/>
    </row>
    <row r="3962">
      <c r="A3962" s="7"/>
      <c r="B3962" s="26">
        <v>293.0</v>
      </c>
      <c r="C3962" s="27">
        <v>5.0</v>
      </c>
      <c r="D3962" s="8" t="s">
        <v>5163</v>
      </c>
      <c r="E3962" s="7">
        <v>0.0</v>
      </c>
      <c r="F3962" s="10"/>
      <c r="G3962" s="7" t="s">
        <v>313</v>
      </c>
      <c r="H3962" s="7" t="s">
        <v>312</v>
      </c>
      <c r="I3962" s="10"/>
      <c r="J3962" s="11"/>
      <c r="K3962" s="12"/>
      <c r="L3962" s="12"/>
      <c r="M3962" s="10"/>
      <c r="N3962" s="10"/>
      <c r="O3962" s="10"/>
      <c r="P3962" s="10"/>
      <c r="Q3962" s="10"/>
      <c r="R3962" s="10"/>
      <c r="S3962" s="10"/>
      <c r="T3962" s="10"/>
      <c r="U3962" s="10"/>
      <c r="V3962" s="10"/>
      <c r="W3962" s="10"/>
      <c r="X3962" s="10"/>
      <c r="Y3962" s="10"/>
      <c r="Z3962" s="10"/>
      <c r="AA3962" s="10"/>
      <c r="AB3962" s="10"/>
      <c r="AC3962" s="10"/>
      <c r="AD3962" s="10"/>
      <c r="AE3962" s="10"/>
      <c r="AF3962" s="10"/>
    </row>
    <row r="3963">
      <c r="A3963" s="7"/>
      <c r="B3963" s="26">
        <v>293.0</v>
      </c>
      <c r="C3963" s="27">
        <v>6.0</v>
      </c>
      <c r="D3963" s="8" t="s">
        <v>5164</v>
      </c>
      <c r="E3963" s="7">
        <v>0.0</v>
      </c>
      <c r="F3963" s="7" t="s">
        <v>320</v>
      </c>
      <c r="G3963" s="7" t="s">
        <v>313</v>
      </c>
      <c r="H3963" s="7" t="s">
        <v>312</v>
      </c>
      <c r="I3963" s="7" t="s">
        <v>366</v>
      </c>
      <c r="J3963" s="9" t="s">
        <v>5165</v>
      </c>
      <c r="K3963" s="12"/>
      <c r="L3963" s="12"/>
      <c r="M3963" s="10"/>
      <c r="N3963" s="10"/>
      <c r="O3963" s="10"/>
      <c r="P3963" s="10"/>
      <c r="Q3963" s="10"/>
      <c r="R3963" s="10"/>
      <c r="S3963" s="10"/>
      <c r="T3963" s="10"/>
      <c r="U3963" s="10"/>
      <c r="V3963" s="10"/>
      <c r="W3963" s="10"/>
      <c r="X3963" s="10"/>
      <c r="Y3963" s="10"/>
      <c r="Z3963" s="10"/>
      <c r="AA3963" s="10"/>
      <c r="AB3963" s="10"/>
      <c r="AC3963" s="10"/>
      <c r="AD3963" s="10"/>
      <c r="AE3963" s="10"/>
      <c r="AF3963" s="10"/>
    </row>
    <row r="3964">
      <c r="A3964" s="7"/>
      <c r="B3964" s="26">
        <v>293.0</v>
      </c>
      <c r="C3964" s="27">
        <v>7.0</v>
      </c>
      <c r="D3964" s="8" t="s">
        <v>5166</v>
      </c>
      <c r="E3964" s="7">
        <v>0.0</v>
      </c>
      <c r="F3964" s="10"/>
      <c r="G3964" s="7" t="s">
        <v>313</v>
      </c>
      <c r="H3964" s="7" t="s">
        <v>312</v>
      </c>
      <c r="I3964" s="10"/>
      <c r="J3964" s="11"/>
      <c r="K3964" s="12"/>
      <c r="L3964" s="12"/>
      <c r="M3964" s="10"/>
      <c r="N3964" s="10"/>
      <c r="O3964" s="10"/>
      <c r="P3964" s="10"/>
      <c r="Q3964" s="10"/>
      <c r="R3964" s="10"/>
      <c r="S3964" s="10"/>
      <c r="T3964" s="10"/>
      <c r="U3964" s="10"/>
      <c r="V3964" s="10"/>
      <c r="W3964" s="10"/>
      <c r="X3964" s="10"/>
      <c r="Y3964" s="10"/>
      <c r="Z3964" s="10"/>
      <c r="AA3964" s="10"/>
      <c r="AB3964" s="10"/>
      <c r="AC3964" s="10"/>
      <c r="AD3964" s="10"/>
      <c r="AE3964" s="10"/>
      <c r="AF3964" s="10"/>
    </row>
    <row r="3965">
      <c r="A3965" s="7"/>
      <c r="B3965" s="26">
        <v>293.0</v>
      </c>
      <c r="C3965" s="27">
        <v>8.0</v>
      </c>
      <c r="D3965" s="8" t="s">
        <v>5167</v>
      </c>
      <c r="E3965" s="7">
        <v>0.0</v>
      </c>
      <c r="F3965" s="7"/>
      <c r="G3965" s="7" t="s">
        <v>313</v>
      </c>
      <c r="H3965" s="7" t="s">
        <v>312</v>
      </c>
      <c r="I3965" s="10"/>
      <c r="J3965" s="11"/>
      <c r="K3965" s="12"/>
      <c r="L3965" s="12"/>
      <c r="M3965" s="10"/>
      <c r="N3965" s="13"/>
      <c r="O3965" s="10"/>
      <c r="P3965" s="10"/>
      <c r="Q3965" s="10"/>
      <c r="R3965" s="10"/>
      <c r="S3965" s="10"/>
      <c r="T3965" s="10"/>
      <c r="U3965" s="10"/>
      <c r="V3965" s="10"/>
      <c r="W3965" s="10"/>
      <c r="X3965" s="10"/>
      <c r="Y3965" s="10"/>
      <c r="Z3965" s="10"/>
      <c r="AA3965" s="10"/>
      <c r="AB3965" s="10"/>
      <c r="AC3965" s="10"/>
      <c r="AD3965" s="10"/>
      <c r="AE3965" s="10"/>
      <c r="AF3965" s="10"/>
    </row>
    <row r="3966">
      <c r="A3966" s="7"/>
      <c r="B3966" s="26">
        <v>293.0</v>
      </c>
      <c r="C3966" s="27">
        <v>9.0</v>
      </c>
      <c r="D3966" s="8" t="s">
        <v>5168</v>
      </c>
      <c r="E3966" s="7">
        <v>0.0</v>
      </c>
      <c r="F3966" s="7"/>
      <c r="G3966" s="7" t="s">
        <v>313</v>
      </c>
      <c r="H3966" s="7" t="s">
        <v>312</v>
      </c>
      <c r="I3966" s="10"/>
      <c r="J3966" s="11"/>
      <c r="K3966" s="12"/>
      <c r="L3966" s="12"/>
      <c r="M3966" s="10"/>
      <c r="N3966" s="7"/>
      <c r="O3966" s="10"/>
      <c r="P3966" s="10"/>
      <c r="Q3966" s="10"/>
      <c r="R3966" s="10"/>
      <c r="S3966" s="10"/>
      <c r="T3966" s="10"/>
      <c r="U3966" s="10"/>
      <c r="V3966" s="10"/>
      <c r="W3966" s="10"/>
      <c r="X3966" s="10"/>
      <c r="Y3966" s="10"/>
      <c r="Z3966" s="10"/>
      <c r="AA3966" s="10"/>
      <c r="AB3966" s="10"/>
      <c r="AC3966" s="10"/>
      <c r="AD3966" s="10"/>
      <c r="AE3966" s="10"/>
      <c r="AF3966" s="10"/>
    </row>
    <row r="3967">
      <c r="A3967" s="7"/>
      <c r="B3967" s="26">
        <v>293.0</v>
      </c>
      <c r="C3967" s="27">
        <v>10.0</v>
      </c>
      <c r="D3967" s="8" t="s">
        <v>5169</v>
      </c>
      <c r="E3967" s="7">
        <v>0.0</v>
      </c>
      <c r="F3967" s="7" t="s">
        <v>320</v>
      </c>
      <c r="G3967" s="7" t="s">
        <v>313</v>
      </c>
      <c r="H3967" s="7" t="s">
        <v>312</v>
      </c>
      <c r="I3967" s="7" t="s">
        <v>366</v>
      </c>
      <c r="J3967" s="9" t="s">
        <v>5170</v>
      </c>
      <c r="K3967" s="12"/>
      <c r="L3967" s="12"/>
      <c r="M3967" s="10"/>
      <c r="N3967" s="7"/>
      <c r="O3967" s="10"/>
      <c r="P3967" s="10"/>
      <c r="Q3967" s="10"/>
      <c r="R3967" s="10"/>
      <c r="S3967" s="10"/>
      <c r="T3967" s="10"/>
      <c r="U3967" s="10"/>
      <c r="V3967" s="10"/>
      <c r="W3967" s="10"/>
      <c r="X3967" s="10"/>
      <c r="Y3967" s="10"/>
      <c r="Z3967" s="10"/>
      <c r="AA3967" s="10"/>
      <c r="AB3967" s="10"/>
      <c r="AC3967" s="10"/>
      <c r="AD3967" s="10"/>
      <c r="AE3967" s="10"/>
      <c r="AF3967" s="10"/>
    </row>
    <row r="3968">
      <c r="A3968" s="10"/>
      <c r="B3968" s="12"/>
      <c r="C3968" s="12"/>
      <c r="D3968" s="12"/>
      <c r="E3968" s="10"/>
      <c r="F3968" s="10"/>
      <c r="G3968" s="10"/>
      <c r="H3968" s="10"/>
      <c r="I3968" s="10"/>
      <c r="J3968" s="11"/>
      <c r="K3968" s="12"/>
      <c r="L3968" s="12"/>
      <c r="M3968" s="10"/>
      <c r="N3968" s="7"/>
      <c r="O3968" s="10"/>
      <c r="P3968" s="10"/>
      <c r="Q3968" s="10"/>
      <c r="R3968" s="10"/>
      <c r="S3968" s="10"/>
      <c r="T3968" s="10"/>
      <c r="U3968" s="10"/>
      <c r="V3968" s="10"/>
      <c r="W3968" s="10"/>
      <c r="X3968" s="10"/>
      <c r="Y3968" s="10"/>
      <c r="Z3968" s="10"/>
      <c r="AA3968" s="10"/>
      <c r="AB3968" s="10"/>
      <c r="AC3968" s="10"/>
      <c r="AD3968" s="10"/>
      <c r="AE3968" s="10"/>
      <c r="AF3968" s="10"/>
    </row>
    <row r="3969">
      <c r="A3969" s="7"/>
      <c r="B3969" s="26">
        <v>294.0</v>
      </c>
      <c r="C3969" s="27">
        <v>1.0</v>
      </c>
      <c r="D3969" s="8" t="s">
        <v>5171</v>
      </c>
      <c r="E3969" s="7">
        <v>3.0</v>
      </c>
      <c r="F3969" s="7"/>
      <c r="G3969" s="7" t="s">
        <v>313</v>
      </c>
      <c r="H3969" s="7" t="s">
        <v>312</v>
      </c>
      <c r="I3969" s="10"/>
      <c r="J3969" s="9" t="s">
        <v>5172</v>
      </c>
      <c r="K3969" s="12"/>
      <c r="L3969" s="12"/>
      <c r="M3969" s="10"/>
      <c r="N3969" s="7"/>
      <c r="O3969" s="10"/>
      <c r="P3969" s="10"/>
      <c r="Q3969" s="10"/>
      <c r="R3969" s="10"/>
      <c r="S3969" s="10"/>
      <c r="T3969" s="10"/>
      <c r="U3969" s="10"/>
      <c r="V3969" s="10"/>
      <c r="W3969" s="10"/>
      <c r="X3969" s="10"/>
      <c r="Y3969" s="10"/>
      <c r="Z3969" s="10"/>
      <c r="AA3969" s="10"/>
      <c r="AB3969" s="10"/>
      <c r="AC3969" s="10"/>
      <c r="AD3969" s="10"/>
      <c r="AE3969" s="10"/>
      <c r="AF3969" s="10"/>
    </row>
    <row r="3970">
      <c r="A3970" s="7"/>
      <c r="B3970" s="26">
        <v>294.0</v>
      </c>
      <c r="C3970" s="27">
        <v>2.0</v>
      </c>
      <c r="D3970" s="8" t="s">
        <v>5173</v>
      </c>
      <c r="E3970" s="7">
        <v>3.0</v>
      </c>
      <c r="F3970" s="7"/>
      <c r="G3970" s="7" t="s">
        <v>313</v>
      </c>
      <c r="H3970" s="7" t="s">
        <v>312</v>
      </c>
      <c r="I3970" s="7" t="s">
        <v>4428</v>
      </c>
      <c r="J3970" s="16" t="s">
        <v>5174</v>
      </c>
      <c r="K3970" s="12"/>
      <c r="L3970" s="12"/>
      <c r="M3970" s="10"/>
      <c r="N3970" s="10"/>
      <c r="O3970" s="10"/>
      <c r="P3970" s="10"/>
      <c r="Q3970" s="10"/>
      <c r="R3970" s="10"/>
      <c r="S3970" s="10"/>
      <c r="T3970" s="10"/>
      <c r="U3970" s="10"/>
      <c r="V3970" s="10"/>
      <c r="W3970" s="10"/>
      <c r="X3970" s="10"/>
      <c r="Y3970" s="10"/>
      <c r="Z3970" s="10"/>
      <c r="AA3970" s="10"/>
      <c r="AB3970" s="10"/>
      <c r="AC3970" s="10"/>
      <c r="AD3970" s="10"/>
      <c r="AE3970" s="10"/>
      <c r="AF3970" s="10"/>
    </row>
    <row r="3971">
      <c r="A3971" s="7"/>
      <c r="B3971" s="26">
        <v>294.0</v>
      </c>
      <c r="C3971" s="27">
        <v>3.0</v>
      </c>
      <c r="D3971" s="8" t="s">
        <v>5175</v>
      </c>
      <c r="E3971" s="7">
        <v>0.0</v>
      </c>
      <c r="F3971" s="10"/>
      <c r="G3971" s="7" t="s">
        <v>313</v>
      </c>
      <c r="H3971" s="7" t="s">
        <v>312</v>
      </c>
      <c r="I3971" s="10"/>
      <c r="J3971" s="11"/>
      <c r="K3971" s="12"/>
      <c r="L3971" s="12"/>
      <c r="M3971" s="10"/>
      <c r="N3971" s="10"/>
      <c r="O3971" s="10"/>
      <c r="P3971" s="10"/>
      <c r="Q3971" s="10"/>
      <c r="R3971" s="10"/>
      <c r="S3971" s="10"/>
      <c r="T3971" s="10"/>
      <c r="U3971" s="10"/>
      <c r="V3971" s="10"/>
      <c r="W3971" s="10"/>
      <c r="X3971" s="10"/>
      <c r="Y3971" s="10"/>
      <c r="Z3971" s="10"/>
      <c r="AA3971" s="10"/>
      <c r="AB3971" s="10"/>
      <c r="AC3971" s="10"/>
      <c r="AD3971" s="10"/>
      <c r="AE3971" s="10"/>
      <c r="AF3971" s="10"/>
    </row>
    <row r="3972">
      <c r="A3972" s="10"/>
      <c r="B3972" s="12"/>
      <c r="C3972" s="12"/>
      <c r="D3972" s="12"/>
      <c r="E3972" s="10"/>
      <c r="F3972" s="10"/>
      <c r="G3972" s="10"/>
      <c r="H3972" s="10"/>
      <c r="I3972" s="10"/>
      <c r="J3972" s="11"/>
      <c r="K3972" s="12"/>
      <c r="L3972" s="12"/>
      <c r="M3972" s="10"/>
      <c r="N3972" s="10"/>
      <c r="O3972" s="10"/>
      <c r="P3972" s="10"/>
      <c r="Q3972" s="10"/>
      <c r="R3972" s="10"/>
      <c r="S3972" s="10"/>
      <c r="T3972" s="10"/>
      <c r="U3972" s="10"/>
      <c r="V3972" s="10"/>
      <c r="W3972" s="10"/>
      <c r="X3972" s="10"/>
      <c r="Y3972" s="10"/>
      <c r="Z3972" s="10"/>
      <c r="AA3972" s="10"/>
      <c r="AB3972" s="10"/>
      <c r="AC3972" s="10"/>
      <c r="AD3972" s="10"/>
      <c r="AE3972" s="10"/>
      <c r="AF3972" s="10"/>
    </row>
    <row r="3973">
      <c r="A3973" s="10"/>
      <c r="B3973" s="12"/>
      <c r="C3973" s="12"/>
      <c r="D3973" s="12"/>
      <c r="E3973" s="10"/>
      <c r="F3973" s="10"/>
      <c r="G3973" s="10"/>
      <c r="H3973" s="10"/>
      <c r="I3973" s="10"/>
      <c r="J3973" s="11"/>
      <c r="K3973" s="12"/>
      <c r="L3973" s="12"/>
      <c r="M3973" s="10"/>
      <c r="N3973" s="10"/>
      <c r="O3973" s="10"/>
      <c r="P3973" s="10"/>
      <c r="Q3973" s="10"/>
      <c r="R3973" s="10"/>
      <c r="S3973" s="10"/>
      <c r="T3973" s="10"/>
      <c r="U3973" s="10"/>
      <c r="V3973" s="10"/>
      <c r="W3973" s="10"/>
      <c r="X3973" s="10"/>
      <c r="Y3973" s="10"/>
      <c r="Z3973" s="10"/>
      <c r="AA3973" s="10"/>
      <c r="AB3973" s="10"/>
      <c r="AC3973" s="10"/>
      <c r="AD3973" s="10"/>
      <c r="AE3973" s="10"/>
      <c r="AF3973" s="10"/>
    </row>
  </sheetData>
  <conditionalFormatting sqref="I2:I3973">
    <cfRule type="containsText" dxfId="0" priority="1" operator="containsText" text="N">
      <formula>NOT(ISERROR(SEARCH(("N"),(I2))))</formula>
    </cfRule>
  </conditionalFormatting>
  <conditionalFormatting sqref="I2:I3973">
    <cfRule type="notContainsBlanks" dxfId="1" priority="2">
      <formula>LEN(TRIM(I2))&gt;0</formula>
    </cfRule>
  </conditionalFormatting>
  <conditionalFormatting sqref="F2:F3973">
    <cfRule type="notContainsBlanks" dxfId="0" priority="3">
      <formula>LEN(TRIM(F2))&gt;0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5"/>
  </cols>
  <sheetData>
    <row r="1">
      <c r="A1" s="44">
        <v>1.0</v>
      </c>
      <c r="B1" s="45" t="s">
        <v>5176</v>
      </c>
    </row>
    <row r="2">
      <c r="A2" s="46" t="s">
        <v>386</v>
      </c>
      <c r="B2" s="44" t="s">
        <v>385</v>
      </c>
    </row>
    <row r="3">
      <c r="A3" s="47" t="s">
        <v>388</v>
      </c>
      <c r="B3" s="44" t="s">
        <v>387</v>
      </c>
    </row>
    <row r="4">
      <c r="B4" s="44" t="s">
        <v>389</v>
      </c>
    </row>
    <row r="5">
      <c r="B5" s="44" t="s">
        <v>390</v>
      </c>
    </row>
    <row r="6">
      <c r="B6" s="44" t="s">
        <v>391</v>
      </c>
    </row>
    <row r="7">
      <c r="B7" s="44" t="s">
        <v>392</v>
      </c>
    </row>
    <row r="8">
      <c r="B8" s="44" t="s">
        <v>393</v>
      </c>
    </row>
    <row r="9">
      <c r="B9" s="44" t="s">
        <v>394</v>
      </c>
    </row>
    <row r="10">
      <c r="B10" s="44" t="s">
        <v>395</v>
      </c>
    </row>
    <row r="11">
      <c r="B11" s="44" t="s">
        <v>396</v>
      </c>
    </row>
    <row r="12">
      <c r="B12" s="44" t="s">
        <v>398</v>
      </c>
    </row>
    <row r="13">
      <c r="B13" s="44" t="s">
        <v>399</v>
      </c>
    </row>
    <row r="14">
      <c r="B14" s="44" t="s">
        <v>400</v>
      </c>
    </row>
    <row r="15">
      <c r="B15" s="44" t="s">
        <v>401</v>
      </c>
    </row>
    <row r="16">
      <c r="B16" s="44" t="s">
        <v>402</v>
      </c>
    </row>
    <row r="17">
      <c r="B17" s="44" t="s">
        <v>403</v>
      </c>
    </row>
    <row r="18">
      <c r="B18" s="44" t="s">
        <v>404</v>
      </c>
    </row>
    <row r="19">
      <c r="B19" s="44" t="s">
        <v>405</v>
      </c>
    </row>
    <row r="20">
      <c r="B20" s="44" t="s">
        <v>406</v>
      </c>
    </row>
    <row r="21">
      <c r="B21" s="44" t="s">
        <v>407</v>
      </c>
    </row>
    <row r="22">
      <c r="B22" s="44" t="s">
        <v>408</v>
      </c>
    </row>
    <row r="23">
      <c r="B23" s="44" t="s">
        <v>409</v>
      </c>
    </row>
    <row r="24">
      <c r="B24" s="44" t="s">
        <v>410</v>
      </c>
    </row>
    <row r="25">
      <c r="B25" s="44" t="s">
        <v>411</v>
      </c>
    </row>
    <row r="26">
      <c r="B26" s="44" t="s">
        <v>412</v>
      </c>
    </row>
    <row r="27">
      <c r="B27" s="44" t="s">
        <v>413</v>
      </c>
    </row>
    <row r="28">
      <c r="B28" s="44" t="s">
        <v>414</v>
      </c>
    </row>
    <row r="29">
      <c r="B29" s="44" t="s">
        <v>415</v>
      </c>
    </row>
    <row r="30">
      <c r="B30" s="44" t="s">
        <v>416</v>
      </c>
    </row>
    <row r="31">
      <c r="B31" s="44" t="s">
        <v>417</v>
      </c>
    </row>
    <row r="32">
      <c r="B32" s="44" t="s">
        <v>418</v>
      </c>
    </row>
    <row r="33">
      <c r="B33" s="44" t="s">
        <v>419</v>
      </c>
    </row>
    <row r="34">
      <c r="B34" s="44" t="s">
        <v>420</v>
      </c>
    </row>
    <row r="35">
      <c r="B35" s="44" t="s">
        <v>421</v>
      </c>
    </row>
    <row r="36">
      <c r="B36" s="44" t="s">
        <v>422</v>
      </c>
    </row>
    <row r="37">
      <c r="B37" s="44" t="s">
        <v>423</v>
      </c>
    </row>
    <row r="38">
      <c r="B38" s="44" t="s">
        <v>424</v>
      </c>
    </row>
    <row r="39">
      <c r="B39" s="44" t="s">
        <v>425</v>
      </c>
    </row>
    <row r="40">
      <c r="B40" s="44" t="s">
        <v>426</v>
      </c>
    </row>
    <row r="41">
      <c r="B41" s="44" t="s">
        <v>427</v>
      </c>
    </row>
    <row r="42">
      <c r="B42" s="44" t="s">
        <v>428</v>
      </c>
    </row>
    <row r="43">
      <c r="B43" s="44" t="s">
        <v>429</v>
      </c>
    </row>
    <row r="44">
      <c r="B44" s="44" t="s">
        <v>430</v>
      </c>
    </row>
    <row r="45">
      <c r="B45" s="44" t="s">
        <v>431</v>
      </c>
    </row>
    <row r="46">
      <c r="B46" s="44" t="s">
        <v>432</v>
      </c>
    </row>
    <row r="47">
      <c r="A47" s="44">
        <v>2.0</v>
      </c>
      <c r="B47" s="45" t="s">
        <v>5177</v>
      </c>
    </row>
    <row r="48">
      <c r="A48" s="47" t="s">
        <v>5178</v>
      </c>
      <c r="B48" s="44" t="s">
        <v>433</v>
      </c>
    </row>
    <row r="49">
      <c r="A49" s="44" t="s">
        <v>5179</v>
      </c>
      <c r="B49" s="44" t="s">
        <v>435</v>
      </c>
    </row>
    <row r="50">
      <c r="B50" s="44" t="s">
        <v>436</v>
      </c>
    </row>
    <row r="51">
      <c r="A51" s="44">
        <v>3.0</v>
      </c>
      <c r="B51" s="45" t="s">
        <v>5180</v>
      </c>
    </row>
    <row r="52">
      <c r="A52" s="44" t="s">
        <v>438</v>
      </c>
      <c r="B52" s="44" t="s">
        <v>437</v>
      </c>
    </row>
    <row r="53">
      <c r="A53" s="44" t="s">
        <v>440</v>
      </c>
      <c r="B53" s="44" t="s">
        <v>439</v>
      </c>
    </row>
    <row r="54">
      <c r="A54" s="47" t="s">
        <v>5181</v>
      </c>
      <c r="B54" s="44" t="s">
        <v>441</v>
      </c>
    </row>
    <row r="55">
      <c r="B55" s="44" t="s">
        <v>442</v>
      </c>
    </row>
    <row r="56">
      <c r="B56" s="44" t="s">
        <v>443</v>
      </c>
    </row>
    <row r="57">
      <c r="B57" s="44" t="s">
        <v>444</v>
      </c>
    </row>
    <row r="58">
      <c r="B58" s="44" t="s">
        <v>445</v>
      </c>
    </row>
    <row r="59">
      <c r="B59" s="44" t="s">
        <v>446</v>
      </c>
    </row>
    <row r="60">
      <c r="B60" s="44" t="s">
        <v>447</v>
      </c>
    </row>
    <row r="61">
      <c r="B61" s="44" t="s">
        <v>448</v>
      </c>
    </row>
    <row r="62">
      <c r="A62" s="44">
        <v>4.0</v>
      </c>
      <c r="B62" s="45" t="s">
        <v>5182</v>
      </c>
    </row>
    <row r="63">
      <c r="A63" s="47" t="s">
        <v>5182</v>
      </c>
      <c r="B63" s="44" t="s">
        <v>449</v>
      </c>
    </row>
    <row r="64">
      <c r="B64" s="44" t="s">
        <v>450</v>
      </c>
    </row>
    <row r="65">
      <c r="B65" s="44" t="s">
        <v>451</v>
      </c>
    </row>
    <row r="66">
      <c r="B66" s="44" t="s">
        <v>452</v>
      </c>
    </row>
    <row r="67">
      <c r="B67" s="44" t="s">
        <v>453</v>
      </c>
    </row>
    <row r="68">
      <c r="B68" s="44" t="s">
        <v>456</v>
      </c>
    </row>
    <row r="69">
      <c r="B69" s="44" t="s">
        <v>458</v>
      </c>
    </row>
    <row r="70">
      <c r="B70" s="44" t="s">
        <v>460</v>
      </c>
    </row>
    <row r="71">
      <c r="B71" s="44" t="s">
        <v>462</v>
      </c>
    </row>
    <row r="72">
      <c r="B72" s="44" t="s">
        <v>464</v>
      </c>
    </row>
    <row r="73">
      <c r="B73" s="44" t="s">
        <v>465</v>
      </c>
    </row>
    <row r="74">
      <c r="B74" s="44" t="s">
        <v>466</v>
      </c>
    </row>
    <row r="75">
      <c r="B75" s="44" t="s">
        <v>467</v>
      </c>
    </row>
    <row r="76">
      <c r="B76" s="44" t="s">
        <v>468</v>
      </c>
    </row>
    <row r="77">
      <c r="B77" s="44" t="s">
        <v>469</v>
      </c>
    </row>
    <row r="78">
      <c r="B78" s="44" t="s">
        <v>471</v>
      </c>
    </row>
    <row r="79">
      <c r="B79" s="44" t="s">
        <v>472</v>
      </c>
    </row>
    <row r="80">
      <c r="B80" s="44" t="s">
        <v>473</v>
      </c>
    </row>
    <row r="81">
      <c r="B81" s="44" t="s">
        <v>475</v>
      </c>
    </row>
    <row r="82">
      <c r="B82" s="44" t="s">
        <v>477</v>
      </c>
    </row>
    <row r="83">
      <c r="B83" s="44" t="s">
        <v>478</v>
      </c>
    </row>
    <row r="84">
      <c r="B84" s="44" t="s">
        <v>479</v>
      </c>
    </row>
    <row r="85">
      <c r="B85" s="44" t="s">
        <v>480</v>
      </c>
    </row>
    <row r="86">
      <c r="B86" s="44" t="s">
        <v>481</v>
      </c>
    </row>
    <row r="87">
      <c r="B87" s="44" t="s">
        <v>482</v>
      </c>
    </row>
    <row r="88">
      <c r="B88" s="44" t="s">
        <v>483</v>
      </c>
    </row>
    <row r="89">
      <c r="B89" s="44" t="s">
        <v>484</v>
      </c>
    </row>
    <row r="90">
      <c r="B90" s="44" t="s">
        <v>485</v>
      </c>
    </row>
    <row r="91">
      <c r="B91" s="44" t="s">
        <v>486</v>
      </c>
    </row>
    <row r="92">
      <c r="B92" s="44" t="s">
        <v>487</v>
      </c>
    </row>
    <row r="93">
      <c r="B93" s="44" t="s">
        <v>488</v>
      </c>
    </row>
    <row r="94">
      <c r="B94" s="44" t="s">
        <v>489</v>
      </c>
    </row>
    <row r="95">
      <c r="B95" s="44" t="s">
        <v>490</v>
      </c>
    </row>
    <row r="96">
      <c r="B96" s="44" t="s">
        <v>491</v>
      </c>
    </row>
    <row r="97">
      <c r="B97" s="44" t="s">
        <v>492</v>
      </c>
    </row>
    <row r="98">
      <c r="B98" s="44" t="s">
        <v>493</v>
      </c>
    </row>
    <row r="99">
      <c r="B99" s="44" t="s">
        <v>494</v>
      </c>
    </row>
    <row r="100">
      <c r="B100" s="44" t="s">
        <v>495</v>
      </c>
    </row>
    <row r="101">
      <c r="B101" s="44" t="s">
        <v>496</v>
      </c>
    </row>
    <row r="102">
      <c r="B102" s="44" t="s">
        <v>497</v>
      </c>
    </row>
    <row r="103">
      <c r="B103" s="44" t="s">
        <v>498</v>
      </c>
    </row>
    <row r="104">
      <c r="B104" s="44" t="s">
        <v>499</v>
      </c>
    </row>
    <row r="105">
      <c r="B105" s="44" t="s">
        <v>500</v>
      </c>
    </row>
    <row r="106">
      <c r="B106" s="44" t="s">
        <v>501</v>
      </c>
    </row>
    <row r="107">
      <c r="B107" s="44" t="s">
        <v>502</v>
      </c>
    </row>
    <row r="108">
      <c r="B108" s="44" t="s">
        <v>503</v>
      </c>
    </row>
    <row r="109">
      <c r="B109" s="44" t="s">
        <v>504</v>
      </c>
    </row>
    <row r="110">
      <c r="B110" s="44" t="s">
        <v>505</v>
      </c>
    </row>
    <row r="111">
      <c r="B111" s="44" t="s">
        <v>507</v>
      </c>
    </row>
    <row r="112">
      <c r="B112" s="44" t="s">
        <v>508</v>
      </c>
    </row>
    <row r="113">
      <c r="B113" s="44" t="s">
        <v>509</v>
      </c>
    </row>
    <row r="114">
      <c r="B114" s="44" t="s">
        <v>510</v>
      </c>
    </row>
    <row r="115">
      <c r="B115" s="44" t="s">
        <v>511</v>
      </c>
    </row>
    <row r="116">
      <c r="B116" s="44" t="s">
        <v>512</v>
      </c>
    </row>
    <row r="117">
      <c r="B117" s="44" t="s">
        <v>513</v>
      </c>
    </row>
    <row r="118">
      <c r="B118" s="44" t="s">
        <v>514</v>
      </c>
    </row>
    <row r="119">
      <c r="B119" s="44" t="s">
        <v>515</v>
      </c>
    </row>
    <row r="120">
      <c r="B120" s="44" t="s">
        <v>517</v>
      </c>
    </row>
    <row r="121">
      <c r="B121" s="44" t="s">
        <v>518</v>
      </c>
    </row>
    <row r="122">
      <c r="B122" s="44" t="s">
        <v>519</v>
      </c>
    </row>
    <row r="123">
      <c r="B123" s="44" t="s">
        <v>520</v>
      </c>
    </row>
    <row r="124">
      <c r="B124" s="44" t="s">
        <v>521</v>
      </c>
    </row>
    <row r="125">
      <c r="B125" s="44" t="s">
        <v>522</v>
      </c>
    </row>
    <row r="126">
      <c r="B126" s="44" t="s">
        <v>523</v>
      </c>
    </row>
    <row r="127">
      <c r="B127" s="44" t="s">
        <v>524</v>
      </c>
    </row>
    <row r="128">
      <c r="B128" s="44" t="s">
        <v>525</v>
      </c>
    </row>
    <row r="129">
      <c r="A129" s="44">
        <v>5.0</v>
      </c>
      <c r="B129" s="45" t="s">
        <v>5183</v>
      </c>
    </row>
    <row r="130">
      <c r="A130" s="46" t="s">
        <v>570</v>
      </c>
      <c r="B130" s="44" t="s">
        <v>569</v>
      </c>
    </row>
    <row r="131">
      <c r="A131" s="46" t="s">
        <v>5184</v>
      </c>
      <c r="B131" s="44" t="s">
        <v>571</v>
      </c>
    </row>
    <row r="132">
      <c r="B132" s="44" t="s">
        <v>573</v>
      </c>
    </row>
    <row r="133">
      <c r="B133" s="44" t="s">
        <v>575</v>
      </c>
    </row>
    <row r="134">
      <c r="B134" s="44" t="s">
        <v>576</v>
      </c>
    </row>
    <row r="135">
      <c r="B135" s="44" t="s">
        <v>577</v>
      </c>
    </row>
    <row r="136">
      <c r="B136" s="44" t="s">
        <v>578</v>
      </c>
    </row>
    <row r="137">
      <c r="B137" s="44" t="s">
        <v>580</v>
      </c>
    </row>
    <row r="138">
      <c r="B138" s="44" t="s">
        <v>581</v>
      </c>
    </row>
    <row r="139">
      <c r="B139" s="44" t="s">
        <v>582</v>
      </c>
    </row>
    <row r="140">
      <c r="B140" s="44" t="s">
        <v>583</v>
      </c>
    </row>
    <row r="141">
      <c r="B141" s="44" t="s">
        <v>585</v>
      </c>
    </row>
    <row r="142">
      <c r="B142" s="44" t="s">
        <v>586</v>
      </c>
    </row>
    <row r="143">
      <c r="B143" s="44" t="s">
        <v>587</v>
      </c>
    </row>
    <row r="144">
      <c r="B144" s="44" t="s">
        <v>588</v>
      </c>
    </row>
    <row r="145">
      <c r="B145" s="44" t="s">
        <v>589</v>
      </c>
    </row>
    <row r="146">
      <c r="B146" s="44" t="s">
        <v>590</v>
      </c>
    </row>
    <row r="147">
      <c r="B147" s="44" t="s">
        <v>591</v>
      </c>
    </row>
    <row r="148">
      <c r="B148" s="44" t="s">
        <v>593</v>
      </c>
    </row>
    <row r="149">
      <c r="B149" s="44" t="s">
        <v>594</v>
      </c>
    </row>
    <row r="150">
      <c r="B150" s="44" t="s">
        <v>595</v>
      </c>
    </row>
    <row r="151">
      <c r="A151" s="44">
        <v>6.0</v>
      </c>
      <c r="B151" s="45" t="s">
        <v>5185</v>
      </c>
    </row>
    <row r="152">
      <c r="A152" s="46" t="s">
        <v>5186</v>
      </c>
      <c r="B152" s="44" t="s">
        <v>597</v>
      </c>
    </row>
    <row r="153">
      <c r="B153" s="44" t="s">
        <v>599</v>
      </c>
    </row>
    <row r="154">
      <c r="B154" s="44" t="s">
        <v>600</v>
      </c>
    </row>
    <row r="155">
      <c r="B155" s="44" t="s">
        <v>601</v>
      </c>
    </row>
    <row r="156">
      <c r="B156" s="44" t="s">
        <v>602</v>
      </c>
    </row>
    <row r="157">
      <c r="B157" s="44" t="s">
        <v>603</v>
      </c>
    </row>
    <row r="158">
      <c r="B158" s="44" t="s">
        <v>605</v>
      </c>
    </row>
    <row r="159">
      <c r="B159" s="44" t="s">
        <v>607</v>
      </c>
    </row>
    <row r="160">
      <c r="B160" s="44" t="s">
        <v>609</v>
      </c>
    </row>
    <row r="161">
      <c r="B161" s="44" t="s">
        <v>611</v>
      </c>
    </row>
    <row r="162">
      <c r="A162" s="44">
        <v>7.0</v>
      </c>
      <c r="B162" s="45" t="s">
        <v>5185</v>
      </c>
    </row>
    <row r="163">
      <c r="A163" s="46" t="s">
        <v>5187</v>
      </c>
      <c r="B163" s="44" t="s">
        <v>612</v>
      </c>
    </row>
    <row r="164">
      <c r="B164" s="44" t="s">
        <v>614</v>
      </c>
    </row>
    <row r="165">
      <c r="B165" s="44" t="s">
        <v>616</v>
      </c>
    </row>
    <row r="166">
      <c r="A166" s="44">
        <v>8.0</v>
      </c>
      <c r="B166" s="45" t="s">
        <v>5188</v>
      </c>
    </row>
    <row r="167">
      <c r="A167" s="46" t="s">
        <v>1114</v>
      </c>
      <c r="B167" s="44" t="s">
        <v>1113</v>
      </c>
    </row>
    <row r="168">
      <c r="B168" s="44" t="s">
        <v>1115</v>
      </c>
    </row>
    <row r="169">
      <c r="B169" s="44" t="s">
        <v>1116</v>
      </c>
    </row>
    <row r="170">
      <c r="B170" s="44" t="s">
        <v>1117</v>
      </c>
    </row>
    <row r="171">
      <c r="B171" s="44" t="s">
        <v>1118</v>
      </c>
    </row>
    <row r="172">
      <c r="B172" s="44" t="s">
        <v>1119</v>
      </c>
    </row>
    <row r="173">
      <c r="A173" s="44">
        <v>9.0</v>
      </c>
      <c r="B173" s="45" t="s">
        <v>5189</v>
      </c>
    </row>
    <row r="174">
      <c r="A174" s="46" t="s">
        <v>1121</v>
      </c>
      <c r="B174" s="44" t="s">
        <v>1120</v>
      </c>
    </row>
    <row r="175">
      <c r="B175" s="44" t="s">
        <v>1122</v>
      </c>
    </row>
    <row r="176">
      <c r="B176" s="44" t="s">
        <v>1123</v>
      </c>
    </row>
    <row r="177">
      <c r="A177" s="44">
        <v>10.0</v>
      </c>
      <c r="B177" s="45" t="s">
        <v>5190</v>
      </c>
    </row>
    <row r="178">
      <c r="A178" s="46" t="s">
        <v>1126</v>
      </c>
      <c r="B178" s="44" t="s">
        <v>1125</v>
      </c>
    </row>
    <row r="179">
      <c r="B179" s="44" t="s">
        <v>1127</v>
      </c>
    </row>
    <row r="180">
      <c r="B180" s="44" t="s">
        <v>1128</v>
      </c>
    </row>
    <row r="181">
      <c r="A181" s="44">
        <v>11.0</v>
      </c>
      <c r="B181" s="45" t="s">
        <v>5191</v>
      </c>
    </row>
    <row r="182">
      <c r="A182" s="48" t="s">
        <v>1136</v>
      </c>
      <c r="B182" s="44" t="s">
        <v>1135</v>
      </c>
    </row>
    <row r="183">
      <c r="B183" s="44" t="s">
        <v>1138</v>
      </c>
    </row>
    <row r="184">
      <c r="B184" s="44" t="s">
        <v>1140</v>
      </c>
    </row>
    <row r="185">
      <c r="B185" s="44" t="s">
        <v>1142</v>
      </c>
    </row>
    <row r="186">
      <c r="B186" s="44" t="s">
        <v>1143</v>
      </c>
    </row>
    <row r="187">
      <c r="B187" s="44" t="s">
        <v>1144</v>
      </c>
    </row>
    <row r="188">
      <c r="A188" s="44">
        <v>12.0</v>
      </c>
      <c r="B188" s="45" t="s">
        <v>5192</v>
      </c>
    </row>
    <row r="189">
      <c r="A189" s="48" t="s">
        <v>1256</v>
      </c>
      <c r="B189" s="44" t="s">
        <v>1255</v>
      </c>
    </row>
    <row r="190">
      <c r="A190" s="48" t="s">
        <v>1259</v>
      </c>
      <c r="B190" s="44" t="s">
        <v>1258</v>
      </c>
    </row>
    <row r="191">
      <c r="B191" s="44" t="s">
        <v>1261</v>
      </c>
    </row>
    <row r="192">
      <c r="B192" s="44" t="s">
        <v>1263</v>
      </c>
    </row>
    <row r="193">
      <c r="B193" s="44" t="s">
        <v>1264</v>
      </c>
    </row>
    <row r="194">
      <c r="B194" s="44" t="s">
        <v>1265</v>
      </c>
    </row>
    <row r="195">
      <c r="A195" s="44">
        <v>13.0</v>
      </c>
      <c r="B195" s="45" t="s">
        <v>5193</v>
      </c>
    </row>
    <row r="196">
      <c r="A196" s="47"/>
      <c r="B196" s="44" t="s">
        <v>1281</v>
      </c>
    </row>
    <row r="197">
      <c r="B197" s="44" t="s">
        <v>1284</v>
      </c>
    </row>
    <row r="198">
      <c r="B198" s="44" t="s">
        <v>1285</v>
      </c>
    </row>
    <row r="199">
      <c r="B199" s="44" t="s">
        <v>1287</v>
      </c>
    </row>
    <row r="200">
      <c r="B200" s="44" t="s">
        <v>1288</v>
      </c>
    </row>
    <row r="201">
      <c r="B201" s="44" t="s">
        <v>1290</v>
      </c>
    </row>
    <row r="202">
      <c r="B202" s="44" t="s">
        <v>1292</v>
      </c>
    </row>
    <row r="203">
      <c r="B203" s="44" t="s">
        <v>1294</v>
      </c>
    </row>
    <row r="204">
      <c r="B204" s="44" t="s">
        <v>1296</v>
      </c>
    </row>
    <row r="205">
      <c r="B205" s="44" t="s">
        <v>1298</v>
      </c>
    </row>
    <row r="206">
      <c r="B206" s="44" t="s">
        <v>1300</v>
      </c>
    </row>
    <row r="207">
      <c r="B207" s="44" t="s">
        <v>1302</v>
      </c>
    </row>
    <row r="208">
      <c r="B208" s="44" t="s">
        <v>1303</v>
      </c>
    </row>
    <row r="209">
      <c r="B209" s="44" t="s">
        <v>1304</v>
      </c>
    </row>
    <row r="210">
      <c r="B210" s="44" t="s">
        <v>1306</v>
      </c>
    </row>
    <row r="211">
      <c r="B211" s="44" t="s">
        <v>1307</v>
      </c>
    </row>
    <row r="212">
      <c r="B212" s="44" t="s">
        <v>1309</v>
      </c>
    </row>
    <row r="213">
      <c r="B213" s="44" t="s">
        <v>1311</v>
      </c>
    </row>
    <row r="214">
      <c r="B214" s="44" t="s">
        <v>1313</v>
      </c>
    </row>
    <row r="215">
      <c r="B215" s="44" t="s">
        <v>1314</v>
      </c>
    </row>
    <row r="216">
      <c r="B216" s="44" t="s">
        <v>1315</v>
      </c>
    </row>
    <row r="217">
      <c r="B217" s="44" t="s">
        <v>1316</v>
      </c>
    </row>
    <row r="218">
      <c r="B218" s="44" t="s">
        <v>1317</v>
      </c>
    </row>
    <row r="219">
      <c r="B219" s="44" t="s">
        <v>1318</v>
      </c>
    </row>
    <row r="220">
      <c r="B220" s="44" t="s">
        <v>1319</v>
      </c>
    </row>
    <row r="221">
      <c r="B221" s="44" t="s">
        <v>1320</v>
      </c>
    </row>
    <row r="222">
      <c r="B222" s="44" t="s">
        <v>1321</v>
      </c>
    </row>
    <row r="223">
      <c r="B223" s="44" t="s">
        <v>1322</v>
      </c>
    </row>
    <row r="224">
      <c r="A224" s="44">
        <v>14.0</v>
      </c>
      <c r="B224" s="45" t="s">
        <v>1324</v>
      </c>
    </row>
    <row r="225">
      <c r="A225" s="46" t="s">
        <v>5194</v>
      </c>
      <c r="B225" s="44" t="s">
        <v>1323</v>
      </c>
    </row>
    <row r="226">
      <c r="A226" s="46" t="s">
        <v>5195</v>
      </c>
      <c r="B226" s="44" t="s">
        <v>1325</v>
      </c>
    </row>
    <row r="227">
      <c r="B227" s="44" t="s">
        <v>1326</v>
      </c>
    </row>
    <row r="228">
      <c r="B228" s="44" t="s">
        <v>1328</v>
      </c>
    </row>
    <row r="229">
      <c r="B229" s="44" t="s">
        <v>1329</v>
      </c>
    </row>
    <row r="230">
      <c r="B230" s="44" t="s">
        <v>1330</v>
      </c>
    </row>
    <row r="231">
      <c r="B231" s="44" t="s">
        <v>1331</v>
      </c>
    </row>
    <row r="232">
      <c r="B232" s="44" t="s">
        <v>1332</v>
      </c>
    </row>
    <row r="233">
      <c r="B233" s="44" t="s">
        <v>1333</v>
      </c>
    </row>
    <row r="234">
      <c r="B234" s="44" t="s">
        <v>1335</v>
      </c>
    </row>
    <row r="235">
      <c r="B235" s="44" t="s">
        <v>1336</v>
      </c>
    </row>
    <row r="236">
      <c r="B236" s="44" t="s">
        <v>1337</v>
      </c>
    </row>
    <row r="237">
      <c r="B237" s="44" t="s">
        <v>1338</v>
      </c>
    </row>
    <row r="238">
      <c r="B238" s="44" t="s">
        <v>1339</v>
      </c>
    </row>
    <row r="239">
      <c r="B239" s="44" t="s">
        <v>1340</v>
      </c>
    </row>
    <row r="240">
      <c r="B240" s="44" t="s">
        <v>1341</v>
      </c>
    </row>
    <row r="241">
      <c r="B241" s="44" t="s">
        <v>1342</v>
      </c>
    </row>
    <row r="242">
      <c r="B242" s="44" t="s">
        <v>1343</v>
      </c>
    </row>
    <row r="243">
      <c r="B243" s="44" t="s">
        <v>1344</v>
      </c>
    </row>
    <row r="244">
      <c r="B244" s="44" t="s">
        <v>1345</v>
      </c>
    </row>
    <row r="245">
      <c r="B245" s="44" t="s">
        <v>1346</v>
      </c>
    </row>
    <row r="246">
      <c r="B246" s="44" t="s">
        <v>1347</v>
      </c>
    </row>
    <row r="247">
      <c r="B247" s="44" t="s">
        <v>1348</v>
      </c>
    </row>
    <row r="248">
      <c r="B248" s="44" t="s">
        <v>1349</v>
      </c>
    </row>
    <row r="249">
      <c r="B249" s="44" t="s">
        <v>1350</v>
      </c>
    </row>
    <row r="250">
      <c r="B250" s="44" t="s">
        <v>1352</v>
      </c>
    </row>
    <row r="251">
      <c r="B251" s="44" t="s">
        <v>1353</v>
      </c>
    </row>
    <row r="252">
      <c r="B252" s="44" t="s">
        <v>1354</v>
      </c>
    </row>
    <row r="253">
      <c r="A253" s="44">
        <v>15.0</v>
      </c>
      <c r="B253" s="45" t="s">
        <v>1356</v>
      </c>
    </row>
    <row r="254">
      <c r="A254" s="47"/>
      <c r="B254" s="44" t="s">
        <v>1355</v>
      </c>
    </row>
    <row r="255">
      <c r="B255" s="44" t="s">
        <v>1358</v>
      </c>
    </row>
    <row r="256">
      <c r="B256" s="44" t="s">
        <v>1359</v>
      </c>
    </row>
    <row r="257">
      <c r="A257" s="44">
        <v>16.0</v>
      </c>
      <c r="B257" s="45" t="s">
        <v>5196</v>
      </c>
    </row>
    <row r="258">
      <c r="A258" s="46" t="s">
        <v>1366</v>
      </c>
      <c r="B258" s="44" t="s">
        <v>1365</v>
      </c>
    </row>
    <row r="259">
      <c r="B259" s="44" t="s">
        <v>1368</v>
      </c>
    </row>
    <row r="260">
      <c r="B260" s="44" t="s">
        <v>1369</v>
      </c>
    </row>
    <row r="261">
      <c r="A261" s="44">
        <v>17.0</v>
      </c>
      <c r="B261" s="45" t="s">
        <v>5197</v>
      </c>
    </row>
    <row r="262">
      <c r="A262" s="46" t="s">
        <v>1509</v>
      </c>
      <c r="B262" s="44" t="s">
        <v>1508</v>
      </c>
    </row>
    <row r="263">
      <c r="B263" s="44" t="s">
        <v>1511</v>
      </c>
    </row>
    <row r="264">
      <c r="B264" s="44" t="s">
        <v>1513</v>
      </c>
    </row>
    <row r="265">
      <c r="B265" s="44" t="s">
        <v>1514</v>
      </c>
    </row>
    <row r="266">
      <c r="B266" s="44" t="s">
        <v>1515</v>
      </c>
    </row>
    <row r="267">
      <c r="B267" s="44" t="s">
        <v>1517</v>
      </c>
    </row>
    <row r="268">
      <c r="B268" s="44" t="s">
        <v>1518</v>
      </c>
    </row>
    <row r="269">
      <c r="B269" s="44" t="s">
        <v>1520</v>
      </c>
    </row>
    <row r="270">
      <c r="B270" s="44" t="s">
        <v>1521</v>
      </c>
    </row>
    <row r="271">
      <c r="B271" s="44" t="s">
        <v>1522</v>
      </c>
    </row>
    <row r="272">
      <c r="B272" s="44" t="s">
        <v>1523</v>
      </c>
    </row>
    <row r="273">
      <c r="B273" s="44" t="s">
        <v>1525</v>
      </c>
    </row>
    <row r="274">
      <c r="B274" s="44" t="s">
        <v>1526</v>
      </c>
    </row>
    <row r="275">
      <c r="B275" s="44" t="s">
        <v>1528</v>
      </c>
    </row>
    <row r="276">
      <c r="B276" s="44" t="s">
        <v>1529</v>
      </c>
    </row>
    <row r="277">
      <c r="A277" s="44">
        <v>18.0</v>
      </c>
      <c r="B277" s="45" t="s">
        <v>5198</v>
      </c>
    </row>
    <row r="278">
      <c r="A278" s="44" t="s">
        <v>2607</v>
      </c>
      <c r="B278" s="44" t="s">
        <v>2601</v>
      </c>
    </row>
    <row r="279">
      <c r="A279" s="44" t="s">
        <v>2610</v>
      </c>
      <c r="B279" s="44" t="s">
        <v>2603</v>
      </c>
    </row>
    <row r="280">
      <c r="A280" s="46" t="s">
        <v>5199</v>
      </c>
      <c r="B280" s="44" t="s">
        <v>2605</v>
      </c>
    </row>
    <row r="281">
      <c r="B281" s="44" t="s">
        <v>2606</v>
      </c>
    </row>
    <row r="282">
      <c r="B282" s="44" t="s">
        <v>2609</v>
      </c>
    </row>
    <row r="283">
      <c r="B283" s="44" t="s">
        <v>2612</v>
      </c>
    </row>
    <row r="284">
      <c r="A284" s="44">
        <v>19.0</v>
      </c>
      <c r="B284" s="45" t="s">
        <v>5200</v>
      </c>
    </row>
    <row r="285">
      <c r="A285" s="44" t="s">
        <v>5201</v>
      </c>
      <c r="B285" s="44" t="s">
        <v>3207</v>
      </c>
    </row>
    <row r="286">
      <c r="A286" s="46" t="s">
        <v>5202</v>
      </c>
      <c r="B286" s="44" t="s">
        <v>3210</v>
      </c>
    </row>
    <row r="287">
      <c r="B287" s="44" t="s">
        <v>3212</v>
      </c>
    </row>
    <row r="288">
      <c r="A288" s="44">
        <v>20.0</v>
      </c>
      <c r="B288" s="45" t="s">
        <v>5203</v>
      </c>
    </row>
    <row r="289">
      <c r="A289" s="47" t="s">
        <v>5204</v>
      </c>
      <c r="B289" s="44" t="s">
        <v>3214</v>
      </c>
    </row>
    <row r="290">
      <c r="A290" s="47" t="s">
        <v>5205</v>
      </c>
      <c r="B290" s="44" t="s">
        <v>3216</v>
      </c>
    </row>
    <row r="291">
      <c r="A291" s="47" t="s">
        <v>5206</v>
      </c>
      <c r="B291" s="44" t="s">
        <v>3219</v>
      </c>
    </row>
    <row r="292">
      <c r="A292" s="47" t="s">
        <v>5207</v>
      </c>
      <c r="B292" s="44" t="s">
        <v>3220</v>
      </c>
    </row>
    <row r="293">
      <c r="A293" s="47" t="s">
        <v>5208</v>
      </c>
      <c r="B293" s="44" t="s">
        <v>3222</v>
      </c>
    </row>
    <row r="294">
      <c r="B294" s="44" t="s">
        <v>3224</v>
      </c>
    </row>
    <row r="295">
      <c r="B295" s="44" t="s">
        <v>3225</v>
      </c>
    </row>
    <row r="296">
      <c r="B296" s="44" t="s">
        <v>3226</v>
      </c>
    </row>
    <row r="297">
      <c r="B297" s="44" t="s">
        <v>3227</v>
      </c>
    </row>
    <row r="298">
      <c r="B298" s="44" t="s">
        <v>3230</v>
      </c>
    </row>
    <row r="299">
      <c r="B299" s="44" t="s">
        <v>3231</v>
      </c>
    </row>
    <row r="300">
      <c r="B300" s="44" t="s">
        <v>3232</v>
      </c>
    </row>
    <row r="301">
      <c r="B301" s="44" t="s">
        <v>3235</v>
      </c>
    </row>
    <row r="302">
      <c r="B302" s="44" t="s">
        <v>3236</v>
      </c>
    </row>
    <row r="303">
      <c r="B303" s="44" t="s">
        <v>3237</v>
      </c>
    </row>
    <row r="304">
      <c r="B304" s="44" t="s">
        <v>3238</v>
      </c>
    </row>
    <row r="305">
      <c r="B305" s="44" t="s">
        <v>3239</v>
      </c>
    </row>
    <row r="306">
      <c r="B306" s="44" t="s">
        <v>3240</v>
      </c>
    </row>
    <row r="307">
      <c r="B307" s="44" t="s">
        <v>3241</v>
      </c>
    </row>
    <row r="308">
      <c r="B308" s="44" t="s">
        <v>3242</v>
      </c>
    </row>
    <row r="309">
      <c r="B309" s="44" t="s">
        <v>3243</v>
      </c>
    </row>
    <row r="310">
      <c r="B310" s="44" t="s">
        <v>3244</v>
      </c>
    </row>
    <row r="311">
      <c r="B311" s="44" t="s">
        <v>3245</v>
      </c>
    </row>
    <row r="312">
      <c r="B312" s="44" t="s">
        <v>3246</v>
      </c>
    </row>
    <row r="313">
      <c r="B313" s="44" t="s">
        <v>3247</v>
      </c>
    </row>
    <row r="314">
      <c r="B314" s="44" t="s">
        <v>3248</v>
      </c>
    </row>
    <row r="315">
      <c r="B315" s="44" t="s">
        <v>3249</v>
      </c>
    </row>
    <row r="316">
      <c r="B316" s="44" t="s">
        <v>3250</v>
      </c>
    </row>
    <row r="317">
      <c r="B317" s="44" t="s">
        <v>3252</v>
      </c>
    </row>
    <row r="318">
      <c r="B318" s="44" t="s">
        <v>3253</v>
      </c>
    </row>
    <row r="319">
      <c r="B319" s="44" t="s">
        <v>3254</v>
      </c>
    </row>
    <row r="320">
      <c r="B320" s="44" t="s">
        <v>3255</v>
      </c>
    </row>
    <row r="321">
      <c r="B321" s="44" t="s">
        <v>3257</v>
      </c>
    </row>
    <row r="322">
      <c r="B322" s="44" t="s">
        <v>3258</v>
      </c>
    </row>
    <row r="323">
      <c r="B323" s="44" t="s">
        <v>3259</v>
      </c>
    </row>
    <row r="324">
      <c r="B324" s="44" t="s">
        <v>3260</v>
      </c>
    </row>
    <row r="325">
      <c r="B325" s="44" t="s">
        <v>3261</v>
      </c>
    </row>
    <row r="326">
      <c r="B326" s="44" t="s">
        <v>3262</v>
      </c>
    </row>
    <row r="327">
      <c r="B327" s="44" t="s">
        <v>3263</v>
      </c>
    </row>
    <row r="328">
      <c r="B328" s="44" t="s">
        <v>3264</v>
      </c>
    </row>
    <row r="329">
      <c r="B329" s="44" t="s">
        <v>3265</v>
      </c>
    </row>
    <row r="330">
      <c r="B330" s="44" t="s">
        <v>3266</v>
      </c>
    </row>
    <row r="331">
      <c r="B331" s="44" t="s">
        <v>3267</v>
      </c>
    </row>
    <row r="332">
      <c r="B332" s="44" t="s">
        <v>3268</v>
      </c>
    </row>
    <row r="333">
      <c r="B333" s="44" t="s">
        <v>3269</v>
      </c>
    </row>
    <row r="334">
      <c r="B334" s="44" t="s">
        <v>3270</v>
      </c>
    </row>
    <row r="335">
      <c r="B335" s="44" t="s">
        <v>3271</v>
      </c>
    </row>
    <row r="336">
      <c r="B336" s="44" t="s">
        <v>3272</v>
      </c>
    </row>
    <row r="337">
      <c r="B337" s="44" t="s">
        <v>3274</v>
      </c>
    </row>
    <row r="338">
      <c r="B338" s="44" t="s">
        <v>3275</v>
      </c>
    </row>
    <row r="339">
      <c r="B339" s="44" t="s">
        <v>3276</v>
      </c>
    </row>
    <row r="340">
      <c r="B340" s="44" t="s">
        <v>3277</v>
      </c>
    </row>
    <row r="341">
      <c r="B341" s="44" t="s">
        <v>3278</v>
      </c>
    </row>
    <row r="342">
      <c r="B342" s="44" t="s">
        <v>3279</v>
      </c>
    </row>
    <row r="343">
      <c r="B343" s="44" t="s">
        <v>3280</v>
      </c>
    </row>
    <row r="344">
      <c r="B344" s="44" t="s">
        <v>3281</v>
      </c>
    </row>
    <row r="345">
      <c r="B345" s="44" t="s">
        <v>3282</v>
      </c>
    </row>
    <row r="346">
      <c r="B346" s="44" t="s">
        <v>3283</v>
      </c>
    </row>
    <row r="347">
      <c r="B347" s="44" t="s">
        <v>3284</v>
      </c>
    </row>
    <row r="348">
      <c r="B348" s="44" t="s">
        <v>3285</v>
      </c>
    </row>
    <row r="349">
      <c r="B349" s="44" t="s">
        <v>3286</v>
      </c>
    </row>
    <row r="350">
      <c r="B350" s="44" t="s">
        <v>3287</v>
      </c>
    </row>
    <row r="351">
      <c r="B351" s="44" t="s">
        <v>3288</v>
      </c>
    </row>
    <row r="352">
      <c r="B352" s="44" t="s">
        <v>3289</v>
      </c>
    </row>
    <row r="353">
      <c r="B353" s="44" t="s">
        <v>3290</v>
      </c>
    </row>
    <row r="354">
      <c r="B354" s="44" t="s">
        <v>3291</v>
      </c>
    </row>
    <row r="355">
      <c r="B355" s="44" t="s">
        <v>3292</v>
      </c>
    </row>
    <row r="356">
      <c r="B356" s="44" t="s">
        <v>3293</v>
      </c>
    </row>
    <row r="357">
      <c r="B357" s="44" t="s">
        <v>3294</v>
      </c>
    </row>
    <row r="358">
      <c r="B358" s="44" t="s">
        <v>3295</v>
      </c>
    </row>
    <row r="359">
      <c r="B359" s="44" t="s">
        <v>3296</v>
      </c>
    </row>
    <row r="360">
      <c r="B360" s="44" t="s">
        <v>3297</v>
      </c>
    </row>
    <row r="361">
      <c r="B361" s="44" t="s">
        <v>3298</v>
      </c>
    </row>
    <row r="362">
      <c r="B362" s="44" t="s">
        <v>3299</v>
      </c>
    </row>
    <row r="363">
      <c r="B363" s="44" t="s">
        <v>3300</v>
      </c>
    </row>
    <row r="364">
      <c r="B364" s="44" t="s">
        <v>3301</v>
      </c>
    </row>
    <row r="365">
      <c r="B365" s="44" t="s">
        <v>3302</v>
      </c>
    </row>
    <row r="366">
      <c r="B366" s="44" t="s">
        <v>3303</v>
      </c>
    </row>
    <row r="367">
      <c r="B367" s="44" t="s">
        <v>3304</v>
      </c>
    </row>
    <row r="368">
      <c r="B368" s="44" t="s">
        <v>3305</v>
      </c>
    </row>
    <row r="369">
      <c r="B369" s="44" t="s">
        <v>3306</v>
      </c>
    </row>
    <row r="370">
      <c r="B370" s="44" t="s">
        <v>3307</v>
      </c>
    </row>
    <row r="371">
      <c r="B371" s="44" t="s">
        <v>3308</v>
      </c>
    </row>
    <row r="372">
      <c r="B372" s="44" t="s">
        <v>3309</v>
      </c>
    </row>
    <row r="373">
      <c r="B373" s="44" t="s">
        <v>3310</v>
      </c>
    </row>
    <row r="374">
      <c r="B374" s="44" t="s">
        <v>3312</v>
      </c>
    </row>
    <row r="375">
      <c r="B375" s="44" t="s">
        <v>3314</v>
      </c>
    </row>
    <row r="376">
      <c r="B376" s="44" t="s">
        <v>3315</v>
      </c>
    </row>
    <row r="377">
      <c r="B377" s="44" t="s">
        <v>3316</v>
      </c>
    </row>
    <row r="378">
      <c r="B378" s="44" t="s">
        <v>3317</v>
      </c>
    </row>
    <row r="379">
      <c r="B379" s="44" t="s">
        <v>3319</v>
      </c>
    </row>
    <row r="380">
      <c r="A380" s="49">
        <v>21.0</v>
      </c>
      <c r="B380" s="50" t="s">
        <v>5209</v>
      </c>
      <c r="C380" s="51"/>
      <c r="D380" s="52"/>
    </row>
    <row r="381">
      <c r="A381" s="52" t="s">
        <v>5210</v>
      </c>
      <c r="B381" s="52" t="s">
        <v>3430</v>
      </c>
      <c r="C381" s="51"/>
      <c r="D381" s="52"/>
    </row>
    <row r="382">
      <c r="A382" s="52" t="s">
        <v>5211</v>
      </c>
      <c r="B382" s="52" t="s">
        <v>3432</v>
      </c>
      <c r="C382" s="51"/>
      <c r="D382" s="52"/>
    </row>
    <row r="383">
      <c r="A383" s="53" t="s">
        <v>5212</v>
      </c>
      <c r="B383" s="52" t="s">
        <v>3435</v>
      </c>
      <c r="C383" s="51"/>
      <c r="D383" s="52"/>
    </row>
    <row r="384">
      <c r="A384" s="53" t="s">
        <v>5213</v>
      </c>
      <c r="B384" s="52" t="s">
        <v>3436</v>
      </c>
      <c r="C384" s="51"/>
      <c r="D384" s="52"/>
    </row>
    <row r="385">
      <c r="B385" s="52" t="s">
        <v>3438</v>
      </c>
      <c r="C385" s="51"/>
      <c r="D385" s="52"/>
      <c r="E385" s="52" t="s">
        <v>5214</v>
      </c>
    </row>
    <row r="386">
      <c r="B386" s="52" t="s">
        <v>3439</v>
      </c>
      <c r="C386" s="51"/>
      <c r="D386" s="52"/>
      <c r="E386" s="52"/>
    </row>
    <row r="387">
      <c r="B387" s="52" t="s">
        <v>3440</v>
      </c>
      <c r="C387" s="51"/>
      <c r="D387" s="52"/>
      <c r="E387" s="52"/>
    </row>
    <row r="388">
      <c r="B388" s="52" t="s">
        <v>3443</v>
      </c>
      <c r="C388" s="51"/>
      <c r="D388" s="52"/>
      <c r="E388" s="52"/>
    </row>
    <row r="389">
      <c r="B389" s="52" t="s">
        <v>3444</v>
      </c>
      <c r="C389" s="51"/>
      <c r="D389" s="52"/>
      <c r="E389" s="52"/>
    </row>
    <row r="390">
      <c r="B390" s="52" t="s">
        <v>3446</v>
      </c>
      <c r="C390" s="51"/>
      <c r="D390" s="52"/>
      <c r="E390" s="52"/>
    </row>
    <row r="391">
      <c r="A391" s="44">
        <v>22.0</v>
      </c>
      <c r="B391" s="45" t="s">
        <v>5215</v>
      </c>
    </row>
    <row r="392">
      <c r="A392" s="46" t="s">
        <v>3465</v>
      </c>
      <c r="B392" s="44" t="s">
        <v>3464</v>
      </c>
    </row>
    <row r="393">
      <c r="A393" s="46" t="s">
        <v>3468</v>
      </c>
      <c r="B393" s="44" t="s">
        <v>3467</v>
      </c>
    </row>
    <row r="394">
      <c r="A394" s="46" t="s">
        <v>3470</v>
      </c>
      <c r="B394" s="44" t="s">
        <v>3469</v>
      </c>
    </row>
    <row r="395">
      <c r="B395" s="44" t="s">
        <v>3471</v>
      </c>
    </row>
    <row r="396">
      <c r="B396" s="44" t="s">
        <v>3474</v>
      </c>
    </row>
    <row r="397">
      <c r="B397" s="44" t="s">
        <v>3475</v>
      </c>
    </row>
    <row r="398">
      <c r="B398" s="44" t="s">
        <v>3476</v>
      </c>
    </row>
    <row r="399">
      <c r="B399" s="44" t="s">
        <v>3477</v>
      </c>
    </row>
    <row r="400">
      <c r="B400" s="44" t="s">
        <v>3478</v>
      </c>
    </row>
    <row r="401">
      <c r="B401" s="44" t="s">
        <v>3479</v>
      </c>
    </row>
    <row r="402">
      <c r="B402" s="44" t="s">
        <v>3480</v>
      </c>
    </row>
    <row r="403">
      <c r="B403" s="44" t="s">
        <v>3481</v>
      </c>
    </row>
    <row r="404">
      <c r="B404" s="44" t="s">
        <v>3482</v>
      </c>
    </row>
    <row r="405">
      <c r="B405" s="44" t="s">
        <v>3483</v>
      </c>
    </row>
    <row r="406">
      <c r="B406" s="44" t="s">
        <v>3484</v>
      </c>
    </row>
    <row r="407">
      <c r="A407" s="44">
        <v>23.0</v>
      </c>
      <c r="B407" s="45" t="s">
        <v>5216</v>
      </c>
    </row>
    <row r="408">
      <c r="A408" s="46" t="s">
        <v>3486</v>
      </c>
      <c r="B408" s="44" t="s">
        <v>3485</v>
      </c>
    </row>
    <row r="409">
      <c r="A409" s="46" t="s">
        <v>3488</v>
      </c>
      <c r="B409" s="44" t="s">
        <v>3487</v>
      </c>
    </row>
    <row r="410">
      <c r="A410" s="46" t="s">
        <v>3490</v>
      </c>
      <c r="B410" s="44" t="s">
        <v>3489</v>
      </c>
    </row>
    <row r="411">
      <c r="B411" s="44" t="s">
        <v>3491</v>
      </c>
    </row>
    <row r="412">
      <c r="B412" s="44" t="s">
        <v>3492</v>
      </c>
    </row>
    <row r="413">
      <c r="B413" s="44" t="s">
        <v>3493</v>
      </c>
    </row>
    <row r="414">
      <c r="B414" s="44" t="s">
        <v>3494</v>
      </c>
    </row>
    <row r="415">
      <c r="B415" s="44" t="s">
        <v>3495</v>
      </c>
    </row>
    <row r="416">
      <c r="B416" s="44" t="s">
        <v>3496</v>
      </c>
    </row>
    <row r="417">
      <c r="B417" s="44" t="s">
        <v>3497</v>
      </c>
    </row>
    <row r="418">
      <c r="A418" s="44">
        <v>24.0</v>
      </c>
      <c r="B418" s="45" t="s">
        <v>5217</v>
      </c>
    </row>
    <row r="419">
      <c r="A419" s="46" t="s">
        <v>5218</v>
      </c>
      <c r="B419" s="44" t="s">
        <v>3498</v>
      </c>
    </row>
    <row r="420">
      <c r="B420" s="44" t="s">
        <v>3500</v>
      </c>
    </row>
    <row r="421">
      <c r="B421" s="44" t="s">
        <v>3502</v>
      </c>
    </row>
    <row r="422">
      <c r="B422" s="44" t="s">
        <v>3503</v>
      </c>
    </row>
    <row r="423">
      <c r="B423" s="44" t="s">
        <v>3504</v>
      </c>
    </row>
    <row r="424">
      <c r="B424" s="44" t="s">
        <v>3505</v>
      </c>
    </row>
    <row r="425">
      <c r="A425" s="44">
        <v>25.0</v>
      </c>
      <c r="B425" s="45" t="s">
        <v>5219</v>
      </c>
    </row>
    <row r="426">
      <c r="A426" s="48" t="s">
        <v>3735</v>
      </c>
      <c r="B426" s="44" t="s">
        <v>3734</v>
      </c>
    </row>
    <row r="427">
      <c r="A427" s="48" t="s">
        <v>3738</v>
      </c>
      <c r="B427" s="44" t="s">
        <v>3737</v>
      </c>
    </row>
    <row r="428">
      <c r="A428" s="48" t="s">
        <v>3740</v>
      </c>
      <c r="B428" s="44" t="s">
        <v>3739</v>
      </c>
    </row>
    <row r="429">
      <c r="A429" s="48" t="s">
        <v>3742</v>
      </c>
      <c r="B429" s="44" t="s">
        <v>3741</v>
      </c>
    </row>
    <row r="430">
      <c r="A430" s="48" t="s">
        <v>3744</v>
      </c>
      <c r="B430" s="44" t="s">
        <v>3743</v>
      </c>
    </row>
    <row r="431">
      <c r="B431" s="44" t="s">
        <v>3745</v>
      </c>
    </row>
    <row r="432">
      <c r="B432" s="44" t="s">
        <v>3746</v>
      </c>
    </row>
    <row r="433">
      <c r="B433" s="44" t="s">
        <v>3747</v>
      </c>
    </row>
    <row r="434">
      <c r="B434" s="44" t="s">
        <v>3748</v>
      </c>
    </row>
    <row r="435">
      <c r="B435" s="44" t="s">
        <v>3749</v>
      </c>
    </row>
    <row r="436">
      <c r="B436" s="44" t="s">
        <v>3750</v>
      </c>
    </row>
    <row r="437">
      <c r="B437" s="44" t="s">
        <v>3751</v>
      </c>
    </row>
    <row r="438">
      <c r="B438" s="44" t="s">
        <v>3752</v>
      </c>
    </row>
    <row r="439">
      <c r="B439" s="44" t="s">
        <v>3753</v>
      </c>
    </row>
    <row r="440">
      <c r="B440" s="44" t="s">
        <v>3754</v>
      </c>
    </row>
    <row r="441">
      <c r="B441" s="44" t="s">
        <v>3755</v>
      </c>
    </row>
    <row r="442">
      <c r="B442" s="44" t="s">
        <v>3756</v>
      </c>
    </row>
    <row r="443">
      <c r="B443" s="44" t="s">
        <v>3757</v>
      </c>
    </row>
    <row r="444">
      <c r="B444" s="44" t="s">
        <v>3758</v>
      </c>
    </row>
    <row r="445">
      <c r="B445" s="44" t="s">
        <v>3759</v>
      </c>
    </row>
    <row r="446">
      <c r="B446" s="44" t="s">
        <v>3760</v>
      </c>
    </row>
    <row r="447">
      <c r="B447" s="44" t="s">
        <v>3761</v>
      </c>
    </row>
    <row r="448">
      <c r="B448" s="44" t="s">
        <v>3762</v>
      </c>
    </row>
    <row r="449">
      <c r="B449" s="44" t="s">
        <v>3763</v>
      </c>
    </row>
    <row r="450">
      <c r="B450" s="44" t="s">
        <v>3764</v>
      </c>
    </row>
    <row r="451">
      <c r="B451" s="44" t="s">
        <v>3765</v>
      </c>
    </row>
    <row r="452">
      <c r="B452" s="44" t="s">
        <v>3766</v>
      </c>
    </row>
    <row r="453">
      <c r="B453" s="44" t="s">
        <v>3767</v>
      </c>
    </row>
    <row r="454">
      <c r="A454" s="44">
        <v>26.0</v>
      </c>
      <c r="B454" s="45" t="s">
        <v>5220</v>
      </c>
    </row>
    <row r="455">
      <c r="A455" s="46" t="s">
        <v>5221</v>
      </c>
      <c r="B455" s="44" t="s">
        <v>4002</v>
      </c>
    </row>
    <row r="456">
      <c r="A456" s="46" t="s">
        <v>5222</v>
      </c>
      <c r="B456" s="44" t="s">
        <v>4005</v>
      </c>
    </row>
    <row r="457">
      <c r="B457" s="44" t="s">
        <v>4006</v>
      </c>
    </row>
    <row r="458">
      <c r="B458" s="44" t="s">
        <v>4007</v>
      </c>
    </row>
    <row r="459">
      <c r="B459" s="44" t="s">
        <v>4008</v>
      </c>
    </row>
    <row r="460">
      <c r="B460" s="44" t="s">
        <v>4009</v>
      </c>
    </row>
    <row r="461">
      <c r="B461" s="44" t="s">
        <v>4010</v>
      </c>
    </row>
    <row r="462">
      <c r="B462" s="44" t="s">
        <v>4011</v>
      </c>
    </row>
    <row r="463">
      <c r="B463" s="44" t="s">
        <v>4012</v>
      </c>
    </row>
    <row r="464">
      <c r="B464" s="44" t="s">
        <v>4013</v>
      </c>
    </row>
    <row r="465">
      <c r="B465" s="44" t="s">
        <v>4014</v>
      </c>
    </row>
    <row r="466">
      <c r="B466" s="44" t="s">
        <v>4015</v>
      </c>
    </row>
    <row r="467">
      <c r="B467" s="44" t="s">
        <v>4016</v>
      </c>
    </row>
    <row r="468">
      <c r="B468" s="44" t="s">
        <v>4017</v>
      </c>
    </row>
    <row r="469">
      <c r="B469" s="44" t="s">
        <v>4018</v>
      </c>
    </row>
    <row r="470">
      <c r="B470" s="44" t="s">
        <v>4019</v>
      </c>
    </row>
    <row r="471">
      <c r="B471" s="44" t="s">
        <v>4020</v>
      </c>
    </row>
    <row r="472">
      <c r="B472" s="44" t="s">
        <v>4021</v>
      </c>
    </row>
    <row r="473">
      <c r="B473" s="44" t="s">
        <v>4022</v>
      </c>
    </row>
    <row r="474">
      <c r="B474" s="44" t="s">
        <v>4023</v>
      </c>
    </row>
    <row r="475">
      <c r="B475" s="44" t="s">
        <v>4024</v>
      </c>
    </row>
    <row r="476">
      <c r="B476" s="44" t="s">
        <v>4025</v>
      </c>
    </row>
    <row r="477">
      <c r="B477" s="44" t="s">
        <v>4026</v>
      </c>
    </row>
    <row r="478">
      <c r="B478" s="44" t="s">
        <v>4027</v>
      </c>
    </row>
    <row r="479">
      <c r="B479" s="44" t="s">
        <v>4028</v>
      </c>
    </row>
    <row r="480">
      <c r="B480" s="44" t="s">
        <v>4029</v>
      </c>
    </row>
    <row r="481">
      <c r="B481" s="44" t="s">
        <v>4030</v>
      </c>
    </row>
    <row r="482">
      <c r="B482" s="44" t="s">
        <v>4031</v>
      </c>
    </row>
    <row r="483">
      <c r="A483" s="49">
        <v>27.0</v>
      </c>
      <c r="B483" s="50" t="s">
        <v>5223</v>
      </c>
      <c r="C483" s="51"/>
      <c r="D483" s="52"/>
    </row>
    <row r="484">
      <c r="A484" s="54" t="s">
        <v>5224</v>
      </c>
      <c r="B484" s="52" t="s">
        <v>4100</v>
      </c>
      <c r="C484" s="51"/>
      <c r="D484" s="52"/>
    </row>
    <row r="485">
      <c r="B485" s="52" t="s">
        <v>4103</v>
      </c>
      <c r="C485" s="51"/>
      <c r="D485" s="52"/>
      <c r="E485" s="52"/>
    </row>
    <row r="486">
      <c r="B486" s="52" t="s">
        <v>4104</v>
      </c>
      <c r="C486" s="51"/>
      <c r="D486" s="52"/>
      <c r="E486" s="52"/>
    </row>
    <row r="487">
      <c r="A487" s="44">
        <v>28.0</v>
      </c>
      <c r="B487" s="45" t="s">
        <v>5225</v>
      </c>
    </row>
    <row r="488">
      <c r="A488" s="46" t="s">
        <v>4237</v>
      </c>
      <c r="B488" s="44" t="s">
        <v>4236</v>
      </c>
    </row>
    <row r="489">
      <c r="A489" s="46" t="s">
        <v>4239</v>
      </c>
      <c r="B489" s="44" t="s">
        <v>4238</v>
      </c>
    </row>
    <row r="490">
      <c r="A490" s="46" t="s">
        <v>4241</v>
      </c>
      <c r="B490" s="44" t="s">
        <v>4240</v>
      </c>
    </row>
    <row r="491">
      <c r="A491" s="46" t="s">
        <v>4243</v>
      </c>
      <c r="B491" s="44" t="s">
        <v>4242</v>
      </c>
    </row>
    <row r="492">
      <c r="A492" s="46" t="s">
        <v>4245</v>
      </c>
      <c r="B492" s="44" t="s">
        <v>4244</v>
      </c>
    </row>
    <row r="493">
      <c r="A493" s="46" t="s">
        <v>4247</v>
      </c>
      <c r="B493" s="44" t="s">
        <v>4246</v>
      </c>
    </row>
    <row r="494">
      <c r="A494" s="46" t="s">
        <v>4249</v>
      </c>
      <c r="B494" s="44" t="s">
        <v>4248</v>
      </c>
    </row>
    <row r="495">
      <c r="B495" s="44" t="s">
        <v>4250</v>
      </c>
    </row>
    <row r="496">
      <c r="B496" s="44" t="s">
        <v>4251</v>
      </c>
    </row>
    <row r="497">
      <c r="B497" s="44" t="s">
        <v>4252</v>
      </c>
    </row>
    <row r="498">
      <c r="B498" s="44" t="s">
        <v>4253</v>
      </c>
    </row>
    <row r="499">
      <c r="B499" s="44" t="s">
        <v>4254</v>
      </c>
    </row>
    <row r="500">
      <c r="B500" s="44" t="s">
        <v>4255</v>
      </c>
    </row>
    <row r="501">
      <c r="B501" s="44" t="s">
        <v>4256</v>
      </c>
    </row>
    <row r="502">
      <c r="B502" s="44" t="s">
        <v>4257</v>
      </c>
    </row>
    <row r="503">
      <c r="B503" s="44" t="s">
        <v>4258</v>
      </c>
    </row>
    <row r="504">
      <c r="B504" s="44" t="s">
        <v>4259</v>
      </c>
    </row>
    <row r="505">
      <c r="B505" s="44" t="s">
        <v>4261</v>
      </c>
    </row>
    <row r="506">
      <c r="B506" s="44" t="s">
        <v>4263</v>
      </c>
    </row>
    <row r="507">
      <c r="B507" s="44" t="s">
        <v>4264</v>
      </c>
    </row>
    <row r="508">
      <c r="B508" s="44" t="s">
        <v>4266</v>
      </c>
    </row>
    <row r="509">
      <c r="B509" s="44" t="s">
        <v>4267</v>
      </c>
    </row>
    <row r="510">
      <c r="B510" s="44" t="s">
        <v>4268</v>
      </c>
    </row>
    <row r="511">
      <c r="B511" s="44" t="s">
        <v>4269</v>
      </c>
    </row>
    <row r="512">
      <c r="B512" s="44" t="s">
        <v>4270</v>
      </c>
    </row>
    <row r="513">
      <c r="B513" s="44" t="s">
        <v>4271</v>
      </c>
    </row>
    <row r="514">
      <c r="B514" s="44" t="s">
        <v>4272</v>
      </c>
    </row>
    <row r="515">
      <c r="B515" s="44" t="s">
        <v>4273</v>
      </c>
    </row>
    <row r="516">
      <c r="B516" s="44" t="s">
        <v>4274</v>
      </c>
    </row>
    <row r="517">
      <c r="B517" s="44" t="s">
        <v>4275</v>
      </c>
    </row>
    <row r="518">
      <c r="B518" s="44" t="s">
        <v>4276</v>
      </c>
    </row>
    <row r="519">
      <c r="B519" s="44" t="s">
        <v>4277</v>
      </c>
    </row>
    <row r="520">
      <c r="B520" s="44" t="s">
        <v>4278</v>
      </c>
    </row>
    <row r="521">
      <c r="B521" s="44" t="s">
        <v>4279</v>
      </c>
    </row>
    <row r="522">
      <c r="B522" s="44" t="s">
        <v>4280</v>
      </c>
    </row>
    <row r="523">
      <c r="B523" s="44" t="s">
        <v>4281</v>
      </c>
    </row>
    <row r="524">
      <c r="B524" s="44" t="s">
        <v>4282</v>
      </c>
    </row>
    <row r="525">
      <c r="B525" s="44" t="s">
        <v>4283</v>
      </c>
    </row>
    <row r="526">
      <c r="B526" s="44" t="s">
        <v>4284</v>
      </c>
    </row>
    <row r="527">
      <c r="B527" s="44" t="s">
        <v>4285</v>
      </c>
    </row>
    <row r="528">
      <c r="B528" s="44" t="s">
        <v>4286</v>
      </c>
    </row>
    <row r="529">
      <c r="B529" s="44" t="s">
        <v>4287</v>
      </c>
    </row>
    <row r="530">
      <c r="B530" s="44" t="s">
        <v>4288</v>
      </c>
    </row>
    <row r="531">
      <c r="B531" s="44" t="s">
        <v>4289</v>
      </c>
    </row>
    <row r="532">
      <c r="B532" s="44" t="s">
        <v>4290</v>
      </c>
    </row>
    <row r="533">
      <c r="B533" s="44" t="s">
        <v>4291</v>
      </c>
    </row>
    <row r="534">
      <c r="B534" s="44" t="s">
        <v>4292</v>
      </c>
    </row>
    <row r="535">
      <c r="B535" s="44" t="s">
        <v>4293</v>
      </c>
    </row>
    <row r="536">
      <c r="B536" s="44" t="s">
        <v>4294</v>
      </c>
    </row>
    <row r="537">
      <c r="B537" s="44" t="s">
        <v>4295</v>
      </c>
    </row>
    <row r="538">
      <c r="B538" s="44" t="s">
        <v>4296</v>
      </c>
    </row>
    <row r="539">
      <c r="B539" s="44" t="s">
        <v>4297</v>
      </c>
    </row>
    <row r="540">
      <c r="B540" s="44" t="s">
        <v>4298</v>
      </c>
    </row>
    <row r="541">
      <c r="B541" s="44" t="s">
        <v>4299</v>
      </c>
    </row>
    <row r="542">
      <c r="B542" s="44" t="s">
        <v>4300</v>
      </c>
    </row>
    <row r="543">
      <c r="B543" s="44" t="s">
        <v>4301</v>
      </c>
    </row>
    <row r="544">
      <c r="B544" s="44" t="s">
        <v>4302</v>
      </c>
    </row>
    <row r="545">
      <c r="B545" s="44" t="s">
        <v>4303</v>
      </c>
    </row>
    <row r="546">
      <c r="B546" s="44" t="s">
        <v>4304</v>
      </c>
    </row>
    <row r="547">
      <c r="B547" s="44" t="s">
        <v>4305</v>
      </c>
    </row>
    <row r="548">
      <c r="B548" s="44" t="s">
        <v>4306</v>
      </c>
    </row>
    <row r="549">
      <c r="B549" s="44" t="s">
        <v>4307</v>
      </c>
    </row>
    <row r="550">
      <c r="B550" s="44" t="s">
        <v>4308</v>
      </c>
    </row>
    <row r="551">
      <c r="B551" s="44" t="s">
        <v>4309</v>
      </c>
    </row>
    <row r="552">
      <c r="B552" s="44" t="s">
        <v>4310</v>
      </c>
    </row>
    <row r="553">
      <c r="B553" s="44" t="s">
        <v>4311</v>
      </c>
    </row>
    <row r="554">
      <c r="A554" s="44">
        <v>29.0</v>
      </c>
      <c r="B554" s="45" t="s">
        <v>5226</v>
      </c>
    </row>
    <row r="555">
      <c r="A555" s="46" t="s">
        <v>4347</v>
      </c>
      <c r="B555" s="44" t="s">
        <v>4346</v>
      </c>
    </row>
    <row r="556">
      <c r="B556" s="44" t="s">
        <v>4348</v>
      </c>
    </row>
    <row r="557">
      <c r="B557" s="44" t="s">
        <v>4349</v>
      </c>
    </row>
    <row r="558">
      <c r="B558" s="44" t="s">
        <v>4350</v>
      </c>
    </row>
    <row r="559">
      <c r="B559" s="44" t="s">
        <v>4351</v>
      </c>
    </row>
    <row r="560">
      <c r="B560" s="44" t="s">
        <v>4353</v>
      </c>
    </row>
    <row r="561">
      <c r="A561" s="44">
        <v>30.0</v>
      </c>
      <c r="B561" s="45" t="s">
        <v>5227</v>
      </c>
    </row>
    <row r="562">
      <c r="A562" s="48" t="s">
        <v>5228</v>
      </c>
      <c r="B562" s="44" t="s">
        <v>4395</v>
      </c>
    </row>
    <row r="563">
      <c r="A563" s="48" t="s">
        <v>4398</v>
      </c>
      <c r="B563" s="44" t="s">
        <v>4397</v>
      </c>
    </row>
    <row r="564">
      <c r="A564" s="48" t="s">
        <v>4400</v>
      </c>
      <c r="B564" s="44" t="s">
        <v>4399</v>
      </c>
    </row>
    <row r="565">
      <c r="B565" s="44" t="s">
        <v>4401</v>
      </c>
    </row>
    <row r="566">
      <c r="B566" s="44" t="s">
        <v>4402</v>
      </c>
    </row>
    <row r="567">
      <c r="B567" s="44" t="s">
        <v>4403</v>
      </c>
    </row>
    <row r="568">
      <c r="B568" s="44" t="s">
        <v>4404</v>
      </c>
    </row>
    <row r="569">
      <c r="B569" s="44" t="s">
        <v>4405</v>
      </c>
    </row>
    <row r="570">
      <c r="B570" s="44" t="s">
        <v>4406</v>
      </c>
    </row>
    <row r="571">
      <c r="B571" s="44" t="s">
        <v>4407</v>
      </c>
    </row>
    <row r="572">
      <c r="B572" s="44" t="s">
        <v>4408</v>
      </c>
    </row>
    <row r="573">
      <c r="B573" s="44" t="s">
        <v>4409</v>
      </c>
    </row>
    <row r="574">
      <c r="B574" s="44" t="s">
        <v>4410</v>
      </c>
    </row>
    <row r="575">
      <c r="B575" s="44" t="s">
        <v>4411</v>
      </c>
    </row>
    <row r="576">
      <c r="B576" s="44" t="s">
        <v>4412</v>
      </c>
    </row>
    <row r="577">
      <c r="B577" s="44" t="s">
        <v>4413</v>
      </c>
    </row>
    <row r="578">
      <c r="B578" s="44" t="s">
        <v>4414</v>
      </c>
    </row>
    <row r="579">
      <c r="B579" s="44" t="s">
        <v>4415</v>
      </c>
    </row>
    <row r="580">
      <c r="B580" s="44" t="s">
        <v>4416</v>
      </c>
    </row>
    <row r="581">
      <c r="B581" s="44" t="s">
        <v>4417</v>
      </c>
    </row>
    <row r="582">
      <c r="B582" s="44" t="s">
        <v>4418</v>
      </c>
    </row>
    <row r="583">
      <c r="A583" s="44">
        <v>31.0</v>
      </c>
      <c r="B583" s="45" t="s">
        <v>5229</v>
      </c>
    </row>
    <row r="584">
      <c r="A584" s="46" t="s">
        <v>4505</v>
      </c>
      <c r="B584" s="44" t="s">
        <v>4504</v>
      </c>
    </row>
    <row r="585">
      <c r="A585" s="46" t="s">
        <v>4507</v>
      </c>
      <c r="B585" s="44" t="s">
        <v>4506</v>
      </c>
    </row>
    <row r="586">
      <c r="B586" s="44" t="s">
        <v>4508</v>
      </c>
    </row>
    <row r="587">
      <c r="B587" s="44" t="s">
        <v>4509</v>
      </c>
    </row>
    <row r="588">
      <c r="B588" s="44" t="s">
        <v>4510</v>
      </c>
    </row>
    <row r="589">
      <c r="B589" s="44" t="s">
        <v>4511</v>
      </c>
    </row>
    <row r="590">
      <c r="B590" s="44" t="s">
        <v>4512</v>
      </c>
    </row>
    <row r="591">
      <c r="B591" s="44" t="s">
        <v>4513</v>
      </c>
    </row>
    <row r="592">
      <c r="B592" s="44" t="s">
        <v>4514</v>
      </c>
    </row>
    <row r="593">
      <c r="B593" s="44" t="s">
        <v>4515</v>
      </c>
    </row>
    <row r="594">
      <c r="A594" s="44">
        <v>32.0</v>
      </c>
      <c r="B594" s="45" t="s">
        <v>5230</v>
      </c>
    </row>
    <row r="595">
      <c r="A595" s="46" t="s">
        <v>5231</v>
      </c>
      <c r="B595" s="44" t="s">
        <v>4531</v>
      </c>
    </row>
    <row r="596">
      <c r="A596" s="46" t="s">
        <v>5232</v>
      </c>
      <c r="B596" s="44" t="s">
        <v>4532</v>
      </c>
    </row>
    <row r="597">
      <c r="A597" s="46" t="s">
        <v>5233</v>
      </c>
      <c r="B597" s="44" t="s">
        <v>4534</v>
      </c>
    </row>
    <row r="598">
      <c r="A598" s="46" t="s">
        <v>5234</v>
      </c>
      <c r="B598" s="44" t="s">
        <v>4536</v>
      </c>
    </row>
    <row r="599">
      <c r="A599" s="46" t="s">
        <v>5235</v>
      </c>
      <c r="B599" s="44" t="s">
        <v>4537</v>
      </c>
    </row>
    <row r="600">
      <c r="A600" s="46" t="s">
        <v>5236</v>
      </c>
      <c r="B600" s="44" t="s">
        <v>4539</v>
      </c>
    </row>
    <row r="601">
      <c r="A601" s="46" t="s">
        <v>5237</v>
      </c>
      <c r="B601" s="44" t="s">
        <v>4541</v>
      </c>
    </row>
    <row r="602">
      <c r="A602" s="46" t="s">
        <v>5238</v>
      </c>
      <c r="B602" s="44" t="s">
        <v>4543</v>
      </c>
    </row>
    <row r="603">
      <c r="A603" s="46" t="s">
        <v>5239</v>
      </c>
      <c r="B603" s="44" t="s">
        <v>4545</v>
      </c>
    </row>
    <row r="604">
      <c r="A604" s="46" t="s">
        <v>5240</v>
      </c>
      <c r="B604" s="44" t="s">
        <v>4547</v>
      </c>
    </row>
    <row r="605">
      <c r="A605" s="46" t="s">
        <v>5241</v>
      </c>
      <c r="B605" s="44" t="s">
        <v>4549</v>
      </c>
    </row>
    <row r="606">
      <c r="B606" s="44" t="s">
        <v>4551</v>
      </c>
    </row>
    <row r="607">
      <c r="B607" s="44" t="s">
        <v>4553</v>
      </c>
    </row>
    <row r="608">
      <c r="B608" s="44" t="s">
        <v>4555</v>
      </c>
    </row>
    <row r="609">
      <c r="B609" s="44" t="s">
        <v>4556</v>
      </c>
    </row>
    <row r="610">
      <c r="B610" s="44" t="s">
        <v>4557</v>
      </c>
    </row>
    <row r="611">
      <c r="B611" s="44" t="s">
        <v>4558</v>
      </c>
    </row>
    <row r="612">
      <c r="B612" s="44" t="s">
        <v>4560</v>
      </c>
    </row>
    <row r="613">
      <c r="B613" s="44" t="s">
        <v>4562</v>
      </c>
    </row>
    <row r="614">
      <c r="B614" s="44" t="s">
        <v>4564</v>
      </c>
    </row>
    <row r="615">
      <c r="B615" s="44" t="s">
        <v>4566</v>
      </c>
    </row>
    <row r="616">
      <c r="B616" s="44" t="s">
        <v>4568</v>
      </c>
    </row>
    <row r="617">
      <c r="B617" s="44" t="s">
        <v>4570</v>
      </c>
    </row>
    <row r="618">
      <c r="B618" s="44" t="s">
        <v>4572</v>
      </c>
    </row>
    <row r="619">
      <c r="B619" s="44" t="s">
        <v>4574</v>
      </c>
    </row>
    <row r="620">
      <c r="B620" s="44" t="s">
        <v>4576</v>
      </c>
    </row>
    <row r="621">
      <c r="B621" s="44" t="s">
        <v>4577</v>
      </c>
    </row>
    <row r="622">
      <c r="B622" s="44" t="s">
        <v>4578</v>
      </c>
    </row>
    <row r="623">
      <c r="B623" s="44" t="s">
        <v>4579</v>
      </c>
    </row>
    <row r="624">
      <c r="B624" s="44" t="s">
        <v>4580</v>
      </c>
    </row>
    <row r="625">
      <c r="B625" s="44" t="s">
        <v>4581</v>
      </c>
    </row>
    <row r="626">
      <c r="B626" s="44" t="s">
        <v>4582</v>
      </c>
    </row>
    <row r="627">
      <c r="B627" s="44" t="s">
        <v>4583</v>
      </c>
    </row>
    <row r="628">
      <c r="B628" s="44" t="s">
        <v>4584</v>
      </c>
    </row>
    <row r="629">
      <c r="B629" s="44" t="s">
        <v>4585</v>
      </c>
    </row>
    <row r="630">
      <c r="B630" s="44" t="s">
        <v>4586</v>
      </c>
    </row>
    <row r="631">
      <c r="B631" s="44" t="s">
        <v>4587</v>
      </c>
    </row>
    <row r="632">
      <c r="B632" s="44" t="s">
        <v>4588</v>
      </c>
    </row>
    <row r="633">
      <c r="B633" s="44" t="s">
        <v>4589</v>
      </c>
    </row>
    <row r="634">
      <c r="B634" s="44" t="s">
        <v>4590</v>
      </c>
    </row>
    <row r="635">
      <c r="B635" s="44" t="s">
        <v>4591</v>
      </c>
    </row>
    <row r="636">
      <c r="B636" s="44" t="s">
        <v>4592</v>
      </c>
    </row>
    <row r="637">
      <c r="B637" s="44" t="s">
        <v>4593</v>
      </c>
    </row>
    <row r="638">
      <c r="B638" s="44" t="s">
        <v>4594</v>
      </c>
    </row>
    <row r="639">
      <c r="B639" s="44" t="s">
        <v>4595</v>
      </c>
    </row>
    <row r="640">
      <c r="B640" s="44" t="s">
        <v>4596</v>
      </c>
    </row>
    <row r="641">
      <c r="B641" s="44" t="s">
        <v>4597</v>
      </c>
    </row>
    <row r="642">
      <c r="B642" s="44" t="s">
        <v>4598</v>
      </c>
    </row>
    <row r="643">
      <c r="B643" s="44" t="s">
        <v>4599</v>
      </c>
    </row>
    <row r="644">
      <c r="B644" s="44" t="s">
        <v>4600</v>
      </c>
    </row>
    <row r="645">
      <c r="B645" s="44" t="s">
        <v>4601</v>
      </c>
    </row>
    <row r="646">
      <c r="B646" s="44" t="s">
        <v>4602</v>
      </c>
    </row>
    <row r="647">
      <c r="B647" s="44" t="s">
        <v>4603</v>
      </c>
    </row>
    <row r="648">
      <c r="B648" s="44" t="s">
        <v>4604</v>
      </c>
    </row>
    <row r="649">
      <c r="B649" s="44" t="s">
        <v>4605</v>
      </c>
    </row>
    <row r="650">
      <c r="B650" s="44" t="s">
        <v>4606</v>
      </c>
    </row>
    <row r="651">
      <c r="B651" s="44" t="s">
        <v>4607</v>
      </c>
    </row>
    <row r="652">
      <c r="B652" s="44" t="s">
        <v>4608</v>
      </c>
    </row>
    <row r="653">
      <c r="B653" s="44" t="s">
        <v>4609</v>
      </c>
    </row>
    <row r="654">
      <c r="B654" s="44" t="s">
        <v>4610</v>
      </c>
    </row>
    <row r="655">
      <c r="B655" s="44" t="s">
        <v>4611</v>
      </c>
    </row>
    <row r="656">
      <c r="B656" s="44" t="s">
        <v>4612</v>
      </c>
    </row>
    <row r="657">
      <c r="B657" s="44" t="s">
        <v>4613</v>
      </c>
    </row>
    <row r="658">
      <c r="B658" s="44" t="s">
        <v>4614</v>
      </c>
    </row>
    <row r="659">
      <c r="B659" s="44" t="s">
        <v>4615</v>
      </c>
    </row>
    <row r="660">
      <c r="B660" s="44" t="s">
        <v>4616</v>
      </c>
    </row>
    <row r="661">
      <c r="B661" s="44" t="s">
        <v>4617</v>
      </c>
    </row>
    <row r="662">
      <c r="B662" s="44" t="s">
        <v>4618</v>
      </c>
    </row>
    <row r="663">
      <c r="B663" s="44" t="s">
        <v>4619</v>
      </c>
    </row>
    <row r="664">
      <c r="B664" s="44" t="s">
        <v>4620</v>
      </c>
    </row>
    <row r="665">
      <c r="B665" s="44" t="s">
        <v>4621</v>
      </c>
    </row>
    <row r="666">
      <c r="B666" s="44" t="s">
        <v>4622</v>
      </c>
    </row>
    <row r="667">
      <c r="B667" s="44" t="s">
        <v>4623</v>
      </c>
    </row>
    <row r="668">
      <c r="B668" s="44" t="s">
        <v>4624</v>
      </c>
    </row>
    <row r="669">
      <c r="B669" s="44" t="s">
        <v>4625</v>
      </c>
    </row>
    <row r="670">
      <c r="B670" s="44" t="s">
        <v>4626</v>
      </c>
    </row>
    <row r="671">
      <c r="B671" s="44" t="s">
        <v>4627</v>
      </c>
    </row>
    <row r="672">
      <c r="B672" s="44" t="s">
        <v>4628</v>
      </c>
    </row>
    <row r="673">
      <c r="B673" s="44" t="s">
        <v>4629</v>
      </c>
    </row>
    <row r="674">
      <c r="B674" s="44" t="s">
        <v>4630</v>
      </c>
    </row>
    <row r="675">
      <c r="B675" s="44" t="s">
        <v>4631</v>
      </c>
    </row>
    <row r="676">
      <c r="B676" s="44" t="s">
        <v>4632</v>
      </c>
    </row>
    <row r="677">
      <c r="B677" s="44" t="s">
        <v>4633</v>
      </c>
    </row>
    <row r="678">
      <c r="B678" s="44" t="s">
        <v>4634</v>
      </c>
    </row>
    <row r="679">
      <c r="B679" s="44" t="s">
        <v>4635</v>
      </c>
    </row>
    <row r="680">
      <c r="B680" s="44" t="s">
        <v>4636</v>
      </c>
    </row>
    <row r="681">
      <c r="B681" s="44" t="s">
        <v>4637</v>
      </c>
    </row>
    <row r="682">
      <c r="B682" s="44" t="s">
        <v>4638</v>
      </c>
    </row>
    <row r="683">
      <c r="B683" s="44" t="s">
        <v>4639</v>
      </c>
    </row>
    <row r="684">
      <c r="B684" s="44" t="s">
        <v>4640</v>
      </c>
    </row>
    <row r="685">
      <c r="B685" s="44" t="s">
        <v>4641</v>
      </c>
    </row>
    <row r="686">
      <c r="A686" s="44">
        <v>33.0</v>
      </c>
      <c r="B686" s="45" t="s">
        <v>5242</v>
      </c>
    </row>
    <row r="687">
      <c r="A687" s="46" t="s">
        <v>5243</v>
      </c>
      <c r="B687" s="44" t="s">
        <v>4642</v>
      </c>
    </row>
    <row r="688">
      <c r="B688" s="44" t="s">
        <v>4645</v>
      </c>
    </row>
    <row r="689">
      <c r="B689" s="44" t="s">
        <v>4646</v>
      </c>
    </row>
    <row r="690">
      <c r="B690" s="44" t="s">
        <v>4648</v>
      </c>
    </row>
    <row r="691">
      <c r="B691" s="44" t="s">
        <v>4650</v>
      </c>
    </row>
    <row r="692">
      <c r="B692" s="44" t="s">
        <v>4651</v>
      </c>
    </row>
    <row r="693">
      <c r="B693" s="44" t="s">
        <v>4652</v>
      </c>
    </row>
    <row r="694">
      <c r="B694" s="44" t="s">
        <v>4653</v>
      </c>
    </row>
    <row r="695">
      <c r="B695" s="44" t="s">
        <v>4654</v>
      </c>
    </row>
    <row r="696">
      <c r="B696" s="44" t="s">
        <v>4655</v>
      </c>
    </row>
    <row r="697">
      <c r="B697" s="44" t="s">
        <v>4656</v>
      </c>
    </row>
    <row r="698">
      <c r="B698" s="44" t="s">
        <v>4657</v>
      </c>
    </row>
    <row r="699">
      <c r="B699" s="44" t="s">
        <v>4658</v>
      </c>
    </row>
    <row r="700">
      <c r="B700" s="44" t="s">
        <v>4659</v>
      </c>
    </row>
    <row r="701">
      <c r="B701" s="44" t="s">
        <v>4660</v>
      </c>
    </row>
    <row r="702">
      <c r="B702" s="44" t="s">
        <v>4661</v>
      </c>
    </row>
    <row r="703">
      <c r="B703" s="44" t="s">
        <v>4662</v>
      </c>
    </row>
    <row r="704">
      <c r="B704" s="44" t="s">
        <v>4663</v>
      </c>
    </row>
    <row r="705">
      <c r="B705" s="44" t="s">
        <v>4664</v>
      </c>
    </row>
    <row r="706">
      <c r="B706" s="44" t="s">
        <v>4665</v>
      </c>
    </row>
    <row r="707">
      <c r="B707" s="44" t="s">
        <v>4666</v>
      </c>
    </row>
    <row r="708">
      <c r="A708" s="44">
        <v>34.0</v>
      </c>
      <c r="B708" s="45" t="s">
        <v>5244</v>
      </c>
    </row>
    <row r="709">
      <c r="A709" s="47" t="s">
        <v>4781</v>
      </c>
      <c r="B709" s="44" t="s">
        <v>4780</v>
      </c>
    </row>
    <row r="710">
      <c r="A710" s="47" t="s">
        <v>5245</v>
      </c>
      <c r="B710" s="44" t="s">
        <v>4783</v>
      </c>
    </row>
    <row r="711">
      <c r="B711" s="44" t="s">
        <v>4785</v>
      </c>
    </row>
    <row r="712">
      <c r="B712" s="44" t="s">
        <v>4787</v>
      </c>
    </row>
    <row r="713">
      <c r="B713" s="44" t="s">
        <v>4789</v>
      </c>
    </row>
    <row r="714">
      <c r="B714" s="44" t="s">
        <v>4790</v>
      </c>
    </row>
    <row r="715">
      <c r="B715" s="44" t="s">
        <v>4791</v>
      </c>
    </row>
    <row r="716">
      <c r="B716" s="44" t="s">
        <v>4792</v>
      </c>
    </row>
    <row r="717">
      <c r="B717" s="44" t="s">
        <v>4793</v>
      </c>
    </row>
    <row r="718">
      <c r="B718" s="44" t="s">
        <v>4794</v>
      </c>
    </row>
    <row r="719">
      <c r="B719" s="44" t="s">
        <v>4795</v>
      </c>
    </row>
    <row r="720">
      <c r="B720" s="44" t="s">
        <v>4796</v>
      </c>
    </row>
    <row r="721">
      <c r="B721" s="44" t="s">
        <v>4797</v>
      </c>
    </row>
    <row r="722">
      <c r="B722" s="44" t="s">
        <v>4799</v>
      </c>
    </row>
    <row r="723">
      <c r="B723" s="44" t="s">
        <v>4800</v>
      </c>
    </row>
    <row r="724">
      <c r="A724" s="44">
        <v>35.0</v>
      </c>
      <c r="B724" s="45" t="s">
        <v>5246</v>
      </c>
    </row>
    <row r="725">
      <c r="A725" s="46" t="s">
        <v>5247</v>
      </c>
      <c r="B725" s="44" t="s">
        <v>5050</v>
      </c>
    </row>
    <row r="726">
      <c r="A726" s="47" t="s">
        <v>5248</v>
      </c>
      <c r="B726" s="44" t="s">
        <v>5052</v>
      </c>
    </row>
    <row r="727">
      <c r="B727" s="44" t="s">
        <v>5055</v>
      </c>
    </row>
    <row r="728">
      <c r="B728" s="44" t="s">
        <v>5056</v>
      </c>
    </row>
    <row r="729">
      <c r="B729" s="44" t="s">
        <v>5059</v>
      </c>
    </row>
    <row r="730">
      <c r="B730" s="44" t="s">
        <v>5061</v>
      </c>
    </row>
    <row r="731">
      <c r="B731" s="44" t="s">
        <v>5062</v>
      </c>
    </row>
    <row r="732">
      <c r="B732" s="44" t="s">
        <v>5063</v>
      </c>
    </row>
    <row r="733">
      <c r="B733" s="44" t="s">
        <v>5064</v>
      </c>
    </row>
    <row r="734">
      <c r="B734" s="44" t="s">
        <v>5065</v>
      </c>
    </row>
    <row r="735">
      <c r="B735" s="44" t="s">
        <v>5066</v>
      </c>
    </row>
    <row r="736">
      <c r="B736" s="44" t="s">
        <v>5067</v>
      </c>
    </row>
    <row r="737">
      <c r="B737" s="44" t="s">
        <v>5068</v>
      </c>
    </row>
    <row r="738">
      <c r="B738" s="44" t="s">
        <v>5069</v>
      </c>
    </row>
    <row r="739">
      <c r="B739" s="44" t="s">
        <v>5070</v>
      </c>
    </row>
    <row r="740">
      <c r="A740" s="44">
        <v>36.0</v>
      </c>
      <c r="B740" s="45" t="s">
        <v>5249</v>
      </c>
    </row>
    <row r="741">
      <c r="A741" s="48" t="s">
        <v>5073</v>
      </c>
      <c r="B741" s="44" t="s">
        <v>5072</v>
      </c>
    </row>
    <row r="742">
      <c r="B742" s="44" t="s">
        <v>5074</v>
      </c>
    </row>
    <row r="743">
      <c r="B743" s="44" t="s">
        <v>5077</v>
      </c>
    </row>
    <row r="744">
      <c r="B744" s="44" t="s">
        <v>5079</v>
      </c>
    </row>
    <row r="745">
      <c r="B745" s="44" t="s">
        <v>5080</v>
      </c>
    </row>
    <row r="746">
      <c r="B746" s="44" t="s">
        <v>5081</v>
      </c>
    </row>
    <row r="747">
      <c r="B747" s="44" t="s">
        <v>5082</v>
      </c>
    </row>
    <row r="748">
      <c r="B748" s="44" t="s">
        <v>5083</v>
      </c>
    </row>
    <row r="749">
      <c r="B749" s="44" t="s">
        <v>5084</v>
      </c>
    </row>
    <row r="750">
      <c r="B750" s="44" t="s">
        <v>5087</v>
      </c>
    </row>
    <row r="751">
      <c r="B751" s="44" t="s">
        <v>5088</v>
      </c>
    </row>
    <row r="752">
      <c r="B752" s="44" t="s">
        <v>5091</v>
      </c>
    </row>
    <row r="753">
      <c r="B753" s="44" t="s">
        <v>5092</v>
      </c>
    </row>
    <row r="754">
      <c r="B754" s="44" t="s">
        <v>5093</v>
      </c>
    </row>
    <row r="755">
      <c r="B755" s="44" t="s">
        <v>5094</v>
      </c>
    </row>
    <row r="756">
      <c r="B756" s="44" t="s">
        <v>5095</v>
      </c>
    </row>
    <row r="757">
      <c r="B757" s="44" t="s">
        <v>5098</v>
      </c>
    </row>
    <row r="758">
      <c r="B758" s="44" t="s">
        <v>5099</v>
      </c>
    </row>
    <row r="759">
      <c r="B759" s="44" t="s">
        <v>5102</v>
      </c>
    </row>
    <row r="760">
      <c r="B760" s="44" t="s">
        <v>5103</v>
      </c>
    </row>
    <row r="761">
      <c r="B761" s="44" t="s">
        <v>5104</v>
      </c>
    </row>
    <row r="762">
      <c r="B762" s="44" t="s">
        <v>5107</v>
      </c>
    </row>
    <row r="763">
      <c r="B763" s="44" t="s">
        <v>5110</v>
      </c>
    </row>
    <row r="764">
      <c r="B764" s="44" t="s">
        <v>5111</v>
      </c>
    </row>
    <row r="765">
      <c r="B765" s="44" t="s">
        <v>5112</v>
      </c>
    </row>
    <row r="766">
      <c r="B766" s="44" t="s">
        <v>5113</v>
      </c>
    </row>
    <row r="767">
      <c r="B767" s="44" t="s">
        <v>5114</v>
      </c>
    </row>
    <row r="768">
      <c r="B768" s="44" t="s">
        <v>5116</v>
      </c>
    </row>
    <row r="769">
      <c r="B769" s="44" t="s">
        <v>5117</v>
      </c>
    </row>
    <row r="770">
      <c r="B770" s="44" t="s">
        <v>5118</v>
      </c>
    </row>
    <row r="771">
      <c r="B771" s="44" t="s">
        <v>5121</v>
      </c>
    </row>
    <row r="772">
      <c r="B772" s="44" t="s">
        <v>5122</v>
      </c>
    </row>
    <row r="773">
      <c r="B773" s="44" t="s">
        <v>5123</v>
      </c>
    </row>
    <row r="774">
      <c r="B774" s="44" t="s">
        <v>5124</v>
      </c>
    </row>
    <row r="775">
      <c r="B775" s="44" t="s">
        <v>5125</v>
      </c>
    </row>
    <row r="776">
      <c r="B776" s="44" t="s">
        <v>5126</v>
      </c>
    </row>
    <row r="777">
      <c r="A777" s="44">
        <v>37.0</v>
      </c>
      <c r="B777" s="45" t="s">
        <v>5250</v>
      </c>
    </row>
    <row r="778">
      <c r="A778" s="47" t="s">
        <v>5251</v>
      </c>
      <c r="B778" s="44" t="s">
        <v>5127</v>
      </c>
    </row>
    <row r="779">
      <c r="A779" s="47" t="s">
        <v>5252</v>
      </c>
      <c r="B779" s="44" t="s">
        <v>5130</v>
      </c>
    </row>
    <row r="780">
      <c r="B780" s="44" t="s">
        <v>5131</v>
      </c>
    </row>
    <row r="781">
      <c r="B781" s="44" t="s">
        <v>5132</v>
      </c>
    </row>
    <row r="782">
      <c r="B782" s="44" t="s">
        <v>5133</v>
      </c>
    </row>
    <row r="783">
      <c r="B783" s="44" t="s">
        <v>5136</v>
      </c>
    </row>
    <row r="784">
      <c r="B784" s="44" t="s">
        <v>5137</v>
      </c>
    </row>
    <row r="785">
      <c r="B785" s="44" t="s">
        <v>5140</v>
      </c>
    </row>
    <row r="786">
      <c r="B786" s="44" t="s">
        <v>5142</v>
      </c>
    </row>
    <row r="787">
      <c r="B787" s="44" t="s">
        <v>5143</v>
      </c>
    </row>
    <row r="788">
      <c r="B788" s="44" t="s">
        <v>5146</v>
      </c>
    </row>
    <row r="789">
      <c r="B789" s="44" t="s">
        <v>5148</v>
      </c>
    </row>
    <row r="790">
      <c r="B790" s="44" t="s">
        <v>5149</v>
      </c>
    </row>
    <row r="791">
      <c r="B791" s="44" t="s">
        <v>5150</v>
      </c>
    </row>
    <row r="792">
      <c r="B792" s="44" t="s">
        <v>5153</v>
      </c>
    </row>
    <row r="798">
      <c r="A798" s="47" t="s">
        <v>5193</v>
      </c>
    </row>
    <row r="799">
      <c r="A799" s="47" t="s">
        <v>1324</v>
      </c>
    </row>
    <row r="800">
      <c r="A800" s="47" t="s">
        <v>1356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8.63"/>
    <col customWidth="1" min="2" max="2" width="44.38"/>
    <col customWidth="1" min="3" max="3" width="63.88"/>
    <col customWidth="1" min="4" max="4" width="15.5"/>
  </cols>
  <sheetData>
    <row r="1">
      <c r="A1" s="55" t="s">
        <v>5253</v>
      </c>
      <c r="B1" s="55" t="s">
        <v>5254</v>
      </c>
      <c r="C1" s="55" t="s">
        <v>5255</v>
      </c>
      <c r="D1" s="2" t="s">
        <v>5256</v>
      </c>
      <c r="E1" s="3"/>
      <c r="F1" s="3"/>
      <c r="G1" s="3"/>
      <c r="H1" s="3"/>
      <c r="I1" s="3"/>
      <c r="J1" s="3"/>
      <c r="K1" s="3"/>
      <c r="L1" s="3"/>
      <c r="M1" s="3"/>
      <c r="N1" s="3"/>
      <c r="O1" s="3"/>
      <c r="P1" s="3"/>
      <c r="Q1" s="3"/>
      <c r="R1" s="3"/>
      <c r="S1" s="3"/>
      <c r="T1" s="3"/>
      <c r="U1" s="3"/>
      <c r="V1" s="3"/>
      <c r="W1" s="3"/>
      <c r="X1" s="3"/>
      <c r="Y1" s="3"/>
      <c r="Z1" s="3"/>
    </row>
    <row r="2">
      <c r="A2" s="56" t="s">
        <v>5257</v>
      </c>
      <c r="B2" s="56" t="s">
        <v>5258</v>
      </c>
      <c r="C2" s="56" t="s">
        <v>5259</v>
      </c>
      <c r="D2" s="2" t="s">
        <v>320</v>
      </c>
      <c r="E2" s="3"/>
      <c r="F2" s="3"/>
      <c r="G2" s="3"/>
      <c r="H2" s="3"/>
      <c r="I2" s="3"/>
      <c r="J2" s="3"/>
      <c r="K2" s="3"/>
      <c r="L2" s="3"/>
      <c r="M2" s="3"/>
      <c r="N2" s="3"/>
      <c r="O2" s="3"/>
      <c r="P2" s="3"/>
      <c r="Q2" s="3"/>
      <c r="R2" s="3"/>
      <c r="S2" s="3"/>
      <c r="T2" s="3"/>
      <c r="U2" s="3"/>
      <c r="V2" s="3"/>
      <c r="W2" s="3"/>
      <c r="X2" s="3"/>
      <c r="Y2" s="3"/>
      <c r="Z2" s="3"/>
    </row>
    <row r="3">
      <c r="A3" s="56" t="s">
        <v>5260</v>
      </c>
      <c r="B3" s="56" t="s">
        <v>5258</v>
      </c>
      <c r="C3" s="56" t="s">
        <v>5259</v>
      </c>
      <c r="D3" s="2" t="s">
        <v>320</v>
      </c>
      <c r="E3" s="3"/>
      <c r="F3" s="3"/>
      <c r="G3" s="3"/>
      <c r="H3" s="3"/>
      <c r="I3" s="3"/>
      <c r="J3" s="3"/>
      <c r="K3" s="3"/>
      <c r="L3" s="3"/>
      <c r="M3" s="3"/>
      <c r="N3" s="3"/>
      <c r="O3" s="3"/>
      <c r="P3" s="3"/>
      <c r="Q3" s="3"/>
      <c r="R3" s="3"/>
      <c r="S3" s="3"/>
      <c r="T3" s="3"/>
      <c r="U3" s="3"/>
      <c r="V3" s="3"/>
      <c r="W3" s="3"/>
      <c r="X3" s="3"/>
      <c r="Y3" s="3"/>
      <c r="Z3" s="3"/>
    </row>
    <row r="4">
      <c r="A4" s="56" t="s">
        <v>5261</v>
      </c>
      <c r="B4" s="56" t="s">
        <v>5258</v>
      </c>
      <c r="C4" s="56" t="s">
        <v>5259</v>
      </c>
      <c r="D4" s="2" t="s">
        <v>320</v>
      </c>
      <c r="E4" s="3"/>
      <c r="F4" s="3"/>
      <c r="G4" s="3"/>
      <c r="H4" s="3"/>
      <c r="I4" s="3"/>
      <c r="J4" s="3"/>
      <c r="K4" s="3"/>
      <c r="L4" s="3"/>
      <c r="M4" s="3"/>
      <c r="N4" s="3"/>
      <c r="O4" s="3"/>
      <c r="P4" s="3"/>
      <c r="Q4" s="3"/>
      <c r="R4" s="3"/>
      <c r="S4" s="3"/>
      <c r="T4" s="3"/>
      <c r="U4" s="3"/>
      <c r="V4" s="3"/>
      <c r="W4" s="3"/>
      <c r="X4" s="3"/>
      <c r="Y4" s="3"/>
      <c r="Z4" s="3"/>
    </row>
    <row r="5">
      <c r="A5" s="56" t="s">
        <v>5262</v>
      </c>
      <c r="B5" s="56" t="s">
        <v>5258</v>
      </c>
      <c r="C5" s="56" t="s">
        <v>5259</v>
      </c>
      <c r="D5" s="2" t="s">
        <v>320</v>
      </c>
      <c r="E5" s="3"/>
      <c r="F5" s="3"/>
      <c r="G5" s="3"/>
      <c r="H5" s="3"/>
      <c r="I5" s="3"/>
      <c r="J5" s="3"/>
      <c r="K5" s="3"/>
      <c r="L5" s="3"/>
      <c r="M5" s="3"/>
      <c r="N5" s="3"/>
      <c r="O5" s="3"/>
      <c r="P5" s="3"/>
      <c r="Q5" s="3"/>
      <c r="R5" s="3"/>
      <c r="S5" s="3"/>
      <c r="T5" s="3"/>
      <c r="U5" s="3"/>
      <c r="V5" s="3"/>
      <c r="W5" s="3"/>
      <c r="X5" s="3"/>
      <c r="Y5" s="3"/>
      <c r="Z5" s="3"/>
    </row>
    <row r="6">
      <c r="A6" s="56" t="s">
        <v>5263</v>
      </c>
      <c r="B6" s="56" t="s">
        <v>5258</v>
      </c>
      <c r="C6" s="56" t="s">
        <v>5259</v>
      </c>
      <c r="D6" s="2" t="s">
        <v>320</v>
      </c>
      <c r="E6" s="3"/>
      <c r="F6" s="3"/>
      <c r="G6" s="3"/>
      <c r="H6" s="3"/>
      <c r="I6" s="3"/>
      <c r="J6" s="3"/>
      <c r="K6" s="3"/>
      <c r="L6" s="3"/>
      <c r="M6" s="3"/>
      <c r="N6" s="3"/>
      <c r="O6" s="3"/>
      <c r="P6" s="3"/>
      <c r="Q6" s="3"/>
      <c r="R6" s="3"/>
      <c r="S6" s="3"/>
      <c r="T6" s="3"/>
      <c r="U6" s="3"/>
      <c r="V6" s="3"/>
      <c r="W6" s="3"/>
      <c r="X6" s="3"/>
      <c r="Y6" s="3"/>
      <c r="Z6" s="3"/>
    </row>
    <row r="7">
      <c r="A7" s="56" t="s">
        <v>5264</v>
      </c>
      <c r="B7" s="56" t="s">
        <v>5258</v>
      </c>
      <c r="C7" s="56" t="s">
        <v>5259</v>
      </c>
      <c r="D7" s="2" t="s">
        <v>320</v>
      </c>
      <c r="E7" s="3"/>
      <c r="F7" s="3"/>
      <c r="G7" s="3"/>
      <c r="H7" s="3"/>
      <c r="I7" s="3"/>
      <c r="J7" s="3"/>
      <c r="K7" s="3"/>
      <c r="L7" s="3"/>
      <c r="M7" s="3"/>
      <c r="N7" s="3"/>
      <c r="O7" s="3"/>
      <c r="P7" s="3"/>
      <c r="Q7" s="3"/>
      <c r="R7" s="3"/>
      <c r="S7" s="3"/>
      <c r="T7" s="3"/>
      <c r="U7" s="3"/>
      <c r="V7" s="3"/>
      <c r="W7" s="3"/>
      <c r="X7" s="3"/>
      <c r="Y7" s="3"/>
      <c r="Z7" s="3"/>
    </row>
    <row r="8">
      <c r="A8" s="56" t="s">
        <v>5265</v>
      </c>
      <c r="B8" s="56" t="s">
        <v>5258</v>
      </c>
      <c r="C8" s="56" t="s">
        <v>5259</v>
      </c>
      <c r="D8" s="2" t="s">
        <v>320</v>
      </c>
      <c r="E8" s="3"/>
      <c r="F8" s="3"/>
      <c r="G8" s="3"/>
      <c r="H8" s="3"/>
      <c r="I8" s="3"/>
      <c r="J8" s="3"/>
      <c r="K8" s="3"/>
      <c r="L8" s="3"/>
      <c r="M8" s="3"/>
      <c r="N8" s="3"/>
      <c r="O8" s="3"/>
      <c r="P8" s="3"/>
      <c r="Q8" s="3"/>
      <c r="R8" s="3"/>
      <c r="S8" s="3"/>
      <c r="T8" s="3"/>
      <c r="U8" s="3"/>
      <c r="V8" s="3"/>
      <c r="W8" s="3"/>
      <c r="X8" s="3"/>
      <c r="Y8" s="3"/>
      <c r="Z8" s="3"/>
    </row>
    <row r="9">
      <c r="A9" s="56" t="s">
        <v>5266</v>
      </c>
      <c r="B9" s="56" t="s">
        <v>5258</v>
      </c>
      <c r="C9" s="56" t="s">
        <v>5259</v>
      </c>
      <c r="D9" s="2" t="s">
        <v>320</v>
      </c>
      <c r="E9" s="3"/>
      <c r="F9" s="3"/>
      <c r="G9" s="3"/>
      <c r="H9" s="3"/>
      <c r="I9" s="3"/>
      <c r="J9" s="3"/>
      <c r="K9" s="3"/>
      <c r="L9" s="3"/>
      <c r="M9" s="3"/>
      <c r="N9" s="3"/>
      <c r="O9" s="3"/>
      <c r="P9" s="3"/>
      <c r="Q9" s="3"/>
      <c r="R9" s="3"/>
      <c r="S9" s="3"/>
      <c r="T9" s="3"/>
      <c r="U9" s="3"/>
      <c r="V9" s="3"/>
      <c r="W9" s="3"/>
      <c r="X9" s="3"/>
      <c r="Y9" s="3"/>
      <c r="Z9" s="3"/>
    </row>
    <row r="10">
      <c r="A10" s="56" t="s">
        <v>5267</v>
      </c>
      <c r="B10" s="56" t="s">
        <v>5268</v>
      </c>
      <c r="C10" s="56" t="s">
        <v>5269</v>
      </c>
      <c r="D10" s="2" t="s">
        <v>320</v>
      </c>
      <c r="E10" s="3"/>
      <c r="F10" s="3"/>
      <c r="G10" s="3"/>
      <c r="H10" s="3"/>
      <c r="I10" s="3"/>
      <c r="J10" s="3"/>
      <c r="K10" s="3"/>
      <c r="L10" s="3"/>
      <c r="M10" s="3"/>
      <c r="N10" s="3"/>
      <c r="O10" s="3"/>
      <c r="P10" s="3"/>
      <c r="Q10" s="3"/>
      <c r="R10" s="3"/>
      <c r="S10" s="3"/>
      <c r="T10" s="3"/>
      <c r="U10" s="3"/>
      <c r="V10" s="3"/>
      <c r="W10" s="3"/>
      <c r="X10" s="3"/>
      <c r="Y10" s="3"/>
      <c r="Z10" s="3"/>
    </row>
    <row r="11">
      <c r="A11" s="56" t="s">
        <v>5270</v>
      </c>
      <c r="B11" s="56" t="s">
        <v>5268</v>
      </c>
      <c r="C11" s="57"/>
      <c r="D11" s="2" t="s">
        <v>320</v>
      </c>
      <c r="E11" s="3"/>
      <c r="F11" s="3"/>
      <c r="G11" s="3"/>
      <c r="H11" s="3"/>
      <c r="I11" s="3"/>
      <c r="J11" s="3"/>
      <c r="K11" s="3"/>
      <c r="L11" s="3"/>
      <c r="M11" s="3"/>
      <c r="N11" s="3"/>
      <c r="O11" s="3"/>
      <c r="P11" s="3"/>
      <c r="Q11" s="3"/>
      <c r="R11" s="3"/>
      <c r="S11" s="3"/>
      <c r="T11" s="3"/>
      <c r="U11" s="3"/>
      <c r="V11" s="3"/>
      <c r="W11" s="3"/>
      <c r="X11" s="3"/>
      <c r="Y11" s="3"/>
      <c r="Z11" s="3"/>
    </row>
    <row r="12">
      <c r="A12" s="56" t="s">
        <v>5271</v>
      </c>
      <c r="B12" s="56" t="s">
        <v>5272</v>
      </c>
      <c r="C12" s="57"/>
      <c r="D12" s="2" t="s">
        <v>320</v>
      </c>
      <c r="E12" s="3"/>
      <c r="F12" s="3"/>
      <c r="G12" s="3"/>
      <c r="H12" s="3"/>
      <c r="I12" s="3"/>
      <c r="J12" s="3"/>
      <c r="K12" s="3"/>
      <c r="L12" s="3"/>
      <c r="M12" s="3"/>
      <c r="N12" s="3"/>
      <c r="O12" s="3"/>
      <c r="P12" s="3"/>
      <c r="Q12" s="3"/>
      <c r="R12" s="3"/>
      <c r="S12" s="3"/>
      <c r="T12" s="3"/>
      <c r="U12" s="3"/>
      <c r="V12" s="3"/>
      <c r="W12" s="3"/>
      <c r="X12" s="3"/>
      <c r="Y12" s="3"/>
      <c r="Z12" s="3"/>
    </row>
    <row r="13">
      <c r="A13" s="56" t="s">
        <v>5273</v>
      </c>
      <c r="B13" s="56" t="s">
        <v>5268</v>
      </c>
      <c r="C13" s="57"/>
      <c r="D13" s="2" t="s">
        <v>320</v>
      </c>
      <c r="E13" s="3"/>
      <c r="F13" s="3"/>
      <c r="G13" s="3"/>
      <c r="H13" s="3"/>
      <c r="I13" s="3"/>
      <c r="J13" s="3"/>
      <c r="K13" s="3"/>
      <c r="L13" s="3"/>
      <c r="M13" s="3"/>
      <c r="N13" s="3"/>
      <c r="O13" s="3"/>
      <c r="P13" s="3"/>
      <c r="Q13" s="3"/>
      <c r="R13" s="3"/>
      <c r="S13" s="3"/>
      <c r="T13" s="3"/>
      <c r="U13" s="3"/>
      <c r="V13" s="3"/>
      <c r="W13" s="3"/>
      <c r="X13" s="3"/>
      <c r="Y13" s="3"/>
      <c r="Z13" s="3"/>
    </row>
    <row r="14">
      <c r="A14" s="56" t="s">
        <v>5274</v>
      </c>
      <c r="B14" s="56" t="s">
        <v>5275</v>
      </c>
      <c r="C14" s="57"/>
      <c r="D14" s="2" t="s">
        <v>320</v>
      </c>
      <c r="E14" s="3"/>
      <c r="F14" s="3"/>
      <c r="G14" s="3"/>
      <c r="H14" s="3"/>
      <c r="I14" s="3"/>
      <c r="J14" s="3"/>
      <c r="K14" s="3"/>
      <c r="L14" s="3"/>
      <c r="M14" s="3"/>
      <c r="N14" s="3"/>
      <c r="O14" s="3"/>
      <c r="P14" s="3"/>
      <c r="Q14" s="3"/>
      <c r="R14" s="3"/>
      <c r="S14" s="3"/>
      <c r="T14" s="3"/>
      <c r="U14" s="3"/>
      <c r="V14" s="3"/>
      <c r="W14" s="3"/>
      <c r="X14" s="3"/>
      <c r="Y14" s="3"/>
      <c r="Z14" s="3"/>
    </row>
    <row r="15">
      <c r="A15" s="56" t="s">
        <v>5276</v>
      </c>
      <c r="B15" s="56" t="s">
        <v>5272</v>
      </c>
      <c r="C15" s="57"/>
      <c r="D15" s="2" t="s">
        <v>320</v>
      </c>
      <c r="E15" s="3"/>
      <c r="F15" s="3"/>
      <c r="G15" s="3"/>
      <c r="H15" s="3"/>
      <c r="I15" s="3"/>
      <c r="J15" s="3"/>
      <c r="K15" s="3"/>
      <c r="L15" s="3"/>
      <c r="M15" s="3"/>
      <c r="N15" s="3"/>
      <c r="O15" s="3"/>
      <c r="P15" s="3"/>
      <c r="Q15" s="3"/>
      <c r="R15" s="3"/>
      <c r="S15" s="3"/>
      <c r="T15" s="3"/>
      <c r="U15" s="3"/>
      <c r="V15" s="3"/>
      <c r="W15" s="3"/>
      <c r="X15" s="3"/>
      <c r="Y15" s="3"/>
      <c r="Z15" s="3"/>
    </row>
    <row r="16">
      <c r="A16" s="56" t="s">
        <v>5277</v>
      </c>
      <c r="B16" s="56" t="s">
        <v>5258</v>
      </c>
      <c r="C16" s="56" t="s">
        <v>5278</v>
      </c>
      <c r="D16" s="2" t="s">
        <v>320</v>
      </c>
      <c r="E16" s="3"/>
      <c r="F16" s="3"/>
      <c r="G16" s="3"/>
      <c r="H16" s="3"/>
      <c r="I16" s="3"/>
      <c r="J16" s="3"/>
      <c r="K16" s="3"/>
      <c r="L16" s="3"/>
      <c r="M16" s="3"/>
      <c r="N16" s="3"/>
      <c r="O16" s="3"/>
      <c r="P16" s="3"/>
      <c r="Q16" s="3"/>
      <c r="R16" s="3"/>
      <c r="S16" s="3"/>
      <c r="T16" s="3"/>
      <c r="U16" s="3"/>
      <c r="V16" s="3"/>
      <c r="W16" s="3"/>
      <c r="X16" s="3"/>
      <c r="Y16" s="3"/>
      <c r="Z16" s="3"/>
    </row>
    <row r="17">
      <c r="A17" s="56" t="s">
        <v>5279</v>
      </c>
      <c r="B17" s="56" t="s">
        <v>5258</v>
      </c>
      <c r="C17" s="56" t="s">
        <v>5280</v>
      </c>
      <c r="D17" s="2" t="s">
        <v>320</v>
      </c>
      <c r="E17" s="3"/>
      <c r="F17" s="3"/>
      <c r="G17" s="3"/>
      <c r="H17" s="3"/>
      <c r="I17" s="3"/>
      <c r="J17" s="3"/>
      <c r="K17" s="3"/>
      <c r="L17" s="3"/>
      <c r="M17" s="3"/>
      <c r="N17" s="3"/>
      <c r="O17" s="3"/>
      <c r="P17" s="3"/>
      <c r="Q17" s="3"/>
      <c r="R17" s="3"/>
      <c r="S17" s="3"/>
      <c r="T17" s="3"/>
      <c r="U17" s="3"/>
      <c r="V17" s="3"/>
      <c r="W17" s="3"/>
      <c r="X17" s="3"/>
      <c r="Y17" s="3"/>
      <c r="Z17" s="3"/>
    </row>
    <row r="18">
      <c r="A18" s="56" t="s">
        <v>5281</v>
      </c>
      <c r="B18" s="56" t="s">
        <v>5282</v>
      </c>
      <c r="C18" s="57"/>
      <c r="D18" s="2" t="s">
        <v>320</v>
      </c>
      <c r="E18" s="3"/>
      <c r="F18" s="3"/>
      <c r="G18" s="3"/>
      <c r="H18" s="3"/>
      <c r="I18" s="3"/>
      <c r="J18" s="3"/>
      <c r="K18" s="3"/>
      <c r="L18" s="3"/>
      <c r="M18" s="3"/>
      <c r="N18" s="3"/>
      <c r="O18" s="3"/>
      <c r="P18" s="3"/>
      <c r="Q18" s="3"/>
      <c r="R18" s="3"/>
      <c r="S18" s="3"/>
      <c r="T18" s="3"/>
      <c r="U18" s="3"/>
      <c r="V18" s="3"/>
      <c r="W18" s="3"/>
      <c r="X18" s="3"/>
      <c r="Y18" s="3"/>
      <c r="Z18" s="3"/>
    </row>
    <row r="19">
      <c r="A19" s="56" t="s">
        <v>5283</v>
      </c>
      <c r="B19" s="56" t="s">
        <v>5284</v>
      </c>
      <c r="C19" s="3"/>
      <c r="D19" s="3"/>
      <c r="E19" s="3"/>
      <c r="F19" s="3"/>
      <c r="G19" s="3"/>
      <c r="H19" s="3"/>
      <c r="I19" s="3"/>
      <c r="J19" s="3"/>
      <c r="K19" s="3"/>
      <c r="L19" s="3"/>
      <c r="M19" s="3"/>
      <c r="N19" s="3"/>
      <c r="O19" s="3"/>
      <c r="P19" s="3"/>
      <c r="Q19" s="3"/>
      <c r="R19" s="3"/>
      <c r="S19" s="3"/>
      <c r="T19" s="3"/>
      <c r="U19" s="3"/>
      <c r="V19" s="3"/>
      <c r="W19" s="3"/>
      <c r="X19" s="3"/>
      <c r="Y19" s="3"/>
      <c r="Z19" s="3"/>
    </row>
    <row r="20">
      <c r="A20" s="56" t="s">
        <v>5285</v>
      </c>
      <c r="B20" s="56" t="s">
        <v>5286</v>
      </c>
      <c r="C20" s="56" t="s">
        <v>5287</v>
      </c>
      <c r="D20" s="3"/>
      <c r="E20" s="3"/>
      <c r="F20" s="3"/>
      <c r="G20" s="3"/>
      <c r="H20" s="3"/>
      <c r="I20" s="3"/>
      <c r="J20" s="3"/>
      <c r="K20" s="3"/>
      <c r="L20" s="3"/>
      <c r="M20" s="3"/>
      <c r="N20" s="3"/>
      <c r="O20" s="3"/>
      <c r="P20" s="3"/>
      <c r="Q20" s="3"/>
      <c r="R20" s="3"/>
      <c r="S20" s="3"/>
      <c r="T20" s="3"/>
      <c r="U20" s="3"/>
      <c r="V20" s="3"/>
      <c r="W20" s="3"/>
      <c r="X20" s="3"/>
      <c r="Y20" s="3"/>
      <c r="Z20" s="3"/>
    </row>
    <row r="21">
      <c r="A21" s="56" t="s">
        <v>5288</v>
      </c>
      <c r="B21" s="56" t="s">
        <v>5289</v>
      </c>
      <c r="C21" s="57"/>
      <c r="D21" s="3"/>
      <c r="E21" s="3"/>
      <c r="F21" s="3"/>
      <c r="G21" s="3"/>
      <c r="H21" s="3"/>
      <c r="I21" s="3"/>
      <c r="J21" s="3"/>
      <c r="K21" s="3"/>
      <c r="L21" s="3"/>
      <c r="M21" s="3"/>
      <c r="N21" s="3"/>
      <c r="O21" s="3"/>
      <c r="P21" s="3"/>
      <c r="Q21" s="3"/>
      <c r="R21" s="3"/>
      <c r="S21" s="3"/>
      <c r="T21" s="3"/>
      <c r="U21" s="3"/>
      <c r="V21" s="3"/>
      <c r="W21" s="3"/>
      <c r="X21" s="3"/>
      <c r="Y21" s="3"/>
      <c r="Z21" s="3"/>
    </row>
    <row r="22">
      <c r="A22" s="7" t="s">
        <v>5290</v>
      </c>
      <c r="B22" s="56" t="s">
        <v>5291</v>
      </c>
      <c r="C22" s="56" t="s">
        <v>5292</v>
      </c>
      <c r="D22" s="3"/>
      <c r="E22" s="3"/>
      <c r="F22" s="3"/>
      <c r="G22" s="3"/>
      <c r="H22" s="3"/>
      <c r="I22" s="3"/>
      <c r="J22" s="3"/>
      <c r="K22" s="3"/>
      <c r="L22" s="3"/>
      <c r="M22" s="3"/>
      <c r="N22" s="3"/>
      <c r="O22" s="3"/>
      <c r="P22" s="3"/>
      <c r="Q22" s="3"/>
      <c r="R22" s="3"/>
      <c r="S22" s="3"/>
      <c r="T22" s="3"/>
      <c r="U22" s="3"/>
      <c r="V22" s="3"/>
      <c r="W22" s="3"/>
      <c r="X22" s="3"/>
      <c r="Y22" s="3"/>
      <c r="Z22" s="3"/>
    </row>
    <row r="23">
      <c r="A23" s="56"/>
      <c r="B23" s="57"/>
      <c r="C23" s="57"/>
      <c r="D23" s="3"/>
      <c r="E23" s="3"/>
      <c r="F23" s="3"/>
      <c r="G23" s="3"/>
      <c r="H23" s="3"/>
      <c r="I23" s="3"/>
      <c r="J23" s="3"/>
      <c r="K23" s="3"/>
      <c r="L23" s="3"/>
      <c r="M23" s="3"/>
      <c r="N23" s="3"/>
      <c r="O23" s="3"/>
      <c r="P23" s="3"/>
      <c r="Q23" s="3"/>
      <c r="R23" s="3"/>
      <c r="S23" s="3"/>
      <c r="T23" s="3"/>
      <c r="U23" s="3"/>
      <c r="V23" s="3"/>
      <c r="W23" s="3"/>
      <c r="X23" s="3"/>
      <c r="Y23" s="3"/>
      <c r="Z23" s="3"/>
    </row>
    <row r="24">
      <c r="A24" s="56"/>
      <c r="B24" s="57"/>
      <c r="C24" s="57"/>
      <c r="D24" s="3"/>
      <c r="E24" s="3"/>
      <c r="F24" s="3"/>
      <c r="G24" s="3"/>
      <c r="H24" s="3"/>
      <c r="I24" s="3"/>
      <c r="J24" s="3"/>
      <c r="K24" s="3"/>
      <c r="L24" s="3"/>
      <c r="M24" s="3"/>
      <c r="N24" s="3"/>
      <c r="O24" s="3"/>
      <c r="P24" s="3"/>
      <c r="Q24" s="3"/>
      <c r="R24" s="3"/>
      <c r="S24" s="3"/>
      <c r="T24" s="3"/>
      <c r="U24" s="3"/>
      <c r="V24" s="3"/>
      <c r="W24" s="3"/>
      <c r="X24" s="3"/>
      <c r="Y24" s="3"/>
      <c r="Z24" s="3"/>
    </row>
    <row r="25">
      <c r="A25" s="56"/>
      <c r="B25" s="57"/>
      <c r="C25" s="57"/>
      <c r="D25" s="3"/>
      <c r="E25" s="3"/>
      <c r="F25" s="3"/>
      <c r="G25" s="3"/>
      <c r="H25" s="3"/>
      <c r="I25" s="3"/>
      <c r="J25" s="3"/>
      <c r="K25" s="3"/>
      <c r="L25" s="3"/>
      <c r="M25" s="3"/>
      <c r="N25" s="3"/>
      <c r="O25" s="3"/>
      <c r="P25" s="3"/>
      <c r="Q25" s="3"/>
      <c r="R25" s="3"/>
      <c r="S25" s="3"/>
      <c r="T25" s="3"/>
      <c r="U25" s="3"/>
      <c r="V25" s="3"/>
      <c r="W25" s="3"/>
      <c r="X25" s="3"/>
      <c r="Y25" s="3"/>
      <c r="Z25" s="3"/>
    </row>
    <row r="26">
      <c r="A26" s="56" t="s">
        <v>5293</v>
      </c>
      <c r="B26" s="57"/>
      <c r="C26" s="57"/>
      <c r="D26" s="3"/>
      <c r="E26" s="3"/>
      <c r="F26" s="3"/>
      <c r="G26" s="3"/>
      <c r="H26" s="3"/>
      <c r="I26" s="3"/>
      <c r="J26" s="3"/>
      <c r="K26" s="3"/>
      <c r="L26" s="3"/>
      <c r="M26" s="3"/>
      <c r="N26" s="3"/>
      <c r="O26" s="3"/>
      <c r="P26" s="3"/>
      <c r="Q26" s="3"/>
      <c r="R26" s="3"/>
      <c r="S26" s="3"/>
      <c r="T26" s="3"/>
      <c r="U26" s="3"/>
      <c r="V26" s="3"/>
      <c r="W26" s="3"/>
      <c r="X26" s="3"/>
      <c r="Y26" s="3"/>
      <c r="Z26" s="3"/>
    </row>
    <row r="27">
      <c r="A27" s="57"/>
      <c r="B27" s="57"/>
      <c r="C27" s="57"/>
      <c r="D27" s="3"/>
      <c r="E27" s="3"/>
      <c r="F27" s="3"/>
      <c r="G27" s="3"/>
      <c r="H27" s="3"/>
      <c r="I27" s="3"/>
      <c r="J27" s="3"/>
      <c r="K27" s="3"/>
      <c r="L27" s="3"/>
      <c r="M27" s="3"/>
      <c r="N27" s="3"/>
      <c r="O27" s="3"/>
      <c r="P27" s="3"/>
      <c r="Q27" s="3"/>
      <c r="R27" s="3"/>
      <c r="S27" s="3"/>
      <c r="T27" s="3"/>
      <c r="U27" s="3"/>
      <c r="V27" s="3"/>
      <c r="W27" s="3"/>
      <c r="X27" s="3"/>
      <c r="Y27" s="3"/>
      <c r="Z27" s="3"/>
    </row>
    <row r="28">
      <c r="A28" s="57"/>
      <c r="B28" s="57"/>
      <c r="C28" s="57"/>
      <c r="D28" s="3"/>
      <c r="E28" s="3"/>
      <c r="F28" s="3"/>
      <c r="G28" s="3"/>
      <c r="H28" s="3"/>
      <c r="I28" s="3"/>
      <c r="J28" s="3"/>
      <c r="K28" s="3"/>
      <c r="L28" s="3"/>
      <c r="M28" s="3"/>
      <c r="N28" s="3"/>
      <c r="O28" s="3"/>
      <c r="P28" s="3"/>
      <c r="Q28" s="3"/>
      <c r="R28" s="3"/>
      <c r="S28" s="3"/>
      <c r="T28" s="3"/>
      <c r="U28" s="3"/>
      <c r="V28" s="3"/>
      <c r="W28" s="3"/>
      <c r="X28" s="3"/>
      <c r="Y28" s="3"/>
      <c r="Z28" s="3"/>
    </row>
    <row r="29">
      <c r="A29" s="56" t="s">
        <v>5294</v>
      </c>
      <c r="B29" s="57"/>
      <c r="C29" s="57"/>
      <c r="D29" s="3"/>
      <c r="E29" s="3"/>
      <c r="F29" s="3"/>
      <c r="G29" s="3"/>
      <c r="H29" s="3"/>
      <c r="I29" s="3"/>
      <c r="J29" s="3"/>
      <c r="K29" s="3"/>
      <c r="L29" s="3"/>
      <c r="M29" s="3"/>
      <c r="N29" s="3"/>
      <c r="O29" s="3"/>
      <c r="P29" s="3"/>
      <c r="Q29" s="3"/>
      <c r="R29" s="3"/>
      <c r="S29" s="3"/>
      <c r="T29" s="3"/>
      <c r="U29" s="3"/>
      <c r="V29" s="3"/>
      <c r="W29" s="3"/>
      <c r="X29" s="3"/>
      <c r="Y29" s="3"/>
      <c r="Z29" s="3"/>
    </row>
    <row r="30">
      <c r="A30" s="56" t="s">
        <v>5295</v>
      </c>
      <c r="B30" s="57"/>
      <c r="C30" s="57"/>
      <c r="D30" s="3"/>
      <c r="E30" s="3"/>
      <c r="F30" s="3"/>
      <c r="G30" s="3"/>
      <c r="H30" s="3"/>
      <c r="I30" s="3"/>
      <c r="J30" s="3"/>
      <c r="K30" s="3"/>
      <c r="L30" s="3"/>
      <c r="M30" s="3"/>
      <c r="N30" s="3"/>
      <c r="O30" s="3"/>
      <c r="P30" s="3"/>
      <c r="Q30" s="3"/>
      <c r="R30" s="3"/>
      <c r="S30" s="3"/>
      <c r="T30" s="3"/>
      <c r="U30" s="3"/>
      <c r="V30" s="3"/>
      <c r="W30" s="3"/>
      <c r="X30" s="3"/>
      <c r="Y30" s="3"/>
      <c r="Z30" s="3"/>
    </row>
    <row r="31">
      <c r="A31" s="56" t="s">
        <v>5296</v>
      </c>
      <c r="B31" s="57"/>
      <c r="C31" s="57"/>
      <c r="D31" s="3"/>
      <c r="E31" s="3"/>
      <c r="F31" s="3"/>
      <c r="G31" s="3"/>
      <c r="H31" s="3"/>
      <c r="I31" s="3"/>
      <c r="J31" s="3"/>
      <c r="K31" s="3"/>
      <c r="L31" s="3"/>
      <c r="M31" s="3"/>
      <c r="N31" s="3"/>
      <c r="O31" s="3"/>
      <c r="P31" s="3"/>
      <c r="Q31" s="3"/>
      <c r="R31" s="3"/>
      <c r="S31" s="3"/>
      <c r="T31" s="3"/>
      <c r="U31" s="3"/>
      <c r="V31" s="3"/>
      <c r="W31" s="3"/>
      <c r="X31" s="3"/>
      <c r="Y31" s="3"/>
      <c r="Z31" s="3"/>
    </row>
    <row r="32">
      <c r="A32" s="56" t="s">
        <v>5297</v>
      </c>
      <c r="B32" s="56" t="s">
        <v>5298</v>
      </c>
      <c r="C32" s="57"/>
      <c r="D32" s="3"/>
      <c r="E32" s="3"/>
      <c r="F32" s="3"/>
      <c r="G32" s="3"/>
      <c r="H32" s="3"/>
      <c r="I32" s="3"/>
      <c r="J32" s="3"/>
      <c r="K32" s="3"/>
      <c r="L32" s="3"/>
      <c r="M32" s="3"/>
      <c r="N32" s="3"/>
      <c r="O32" s="3"/>
      <c r="P32" s="3"/>
      <c r="Q32" s="3"/>
      <c r="R32" s="3"/>
      <c r="S32" s="3"/>
      <c r="T32" s="3"/>
      <c r="U32" s="3"/>
      <c r="V32" s="3"/>
      <c r="W32" s="3"/>
      <c r="X32" s="3"/>
      <c r="Y32" s="3"/>
      <c r="Z32" s="3"/>
    </row>
    <row r="33">
      <c r="A33" s="56" t="s">
        <v>5299</v>
      </c>
      <c r="B33" s="57"/>
      <c r="C33" s="57"/>
      <c r="D33" s="3"/>
      <c r="E33" s="3"/>
      <c r="F33" s="3"/>
      <c r="G33" s="3"/>
      <c r="H33" s="3"/>
      <c r="I33" s="3"/>
      <c r="J33" s="3"/>
      <c r="K33" s="3"/>
      <c r="L33" s="3"/>
      <c r="M33" s="3"/>
      <c r="N33" s="3"/>
      <c r="O33" s="3"/>
      <c r="P33" s="3"/>
      <c r="Q33" s="3"/>
      <c r="R33" s="3"/>
      <c r="S33" s="3"/>
      <c r="T33" s="3"/>
      <c r="U33" s="3"/>
      <c r="V33" s="3"/>
      <c r="W33" s="3"/>
      <c r="X33" s="3"/>
      <c r="Y33" s="3"/>
      <c r="Z33" s="3"/>
    </row>
    <row r="34">
      <c r="A34" s="56"/>
      <c r="B34" s="57"/>
      <c r="C34" s="57"/>
      <c r="D34" s="3"/>
      <c r="E34" s="3"/>
      <c r="F34" s="3"/>
      <c r="G34" s="3"/>
      <c r="H34" s="3"/>
      <c r="I34" s="3"/>
      <c r="J34" s="3"/>
      <c r="K34" s="3"/>
      <c r="L34" s="3"/>
      <c r="M34" s="3"/>
      <c r="N34" s="3"/>
      <c r="O34" s="3"/>
      <c r="P34" s="3"/>
      <c r="Q34" s="3"/>
      <c r="R34" s="3"/>
      <c r="S34" s="3"/>
      <c r="T34" s="3"/>
      <c r="U34" s="3"/>
      <c r="V34" s="3"/>
      <c r="W34" s="3"/>
      <c r="X34" s="3"/>
      <c r="Y34" s="3"/>
      <c r="Z34" s="3"/>
    </row>
    <row r="35">
      <c r="A35" s="56"/>
      <c r="B35" s="57"/>
      <c r="C35" s="57"/>
      <c r="D35" s="3"/>
      <c r="E35" s="3"/>
      <c r="F35" s="3"/>
      <c r="G35" s="3"/>
      <c r="H35" s="3"/>
      <c r="I35" s="3"/>
      <c r="J35" s="3"/>
      <c r="K35" s="3"/>
      <c r="L35" s="3"/>
      <c r="M35" s="3"/>
      <c r="N35" s="3"/>
      <c r="O35" s="3"/>
      <c r="P35" s="3"/>
      <c r="Q35" s="3"/>
      <c r="R35" s="3"/>
      <c r="S35" s="3"/>
      <c r="T35" s="3"/>
      <c r="U35" s="3"/>
      <c r="V35" s="3"/>
      <c r="W35" s="3"/>
      <c r="X35" s="3"/>
      <c r="Y35" s="3"/>
      <c r="Z35" s="3"/>
    </row>
    <row r="36">
      <c r="A36" s="56" t="s">
        <v>5300</v>
      </c>
      <c r="B36" s="57"/>
      <c r="C36" s="57"/>
      <c r="D36" s="3"/>
      <c r="E36" s="3"/>
      <c r="F36" s="3"/>
      <c r="G36" s="3"/>
      <c r="H36" s="3"/>
      <c r="I36" s="3"/>
      <c r="J36" s="3"/>
      <c r="K36" s="3"/>
      <c r="L36" s="3"/>
      <c r="M36" s="3"/>
      <c r="N36" s="3"/>
      <c r="O36" s="3"/>
      <c r="P36" s="3"/>
      <c r="Q36" s="3"/>
      <c r="R36" s="3"/>
      <c r="S36" s="3"/>
      <c r="T36" s="3"/>
      <c r="U36" s="3"/>
      <c r="V36" s="3"/>
      <c r="W36" s="3"/>
      <c r="X36" s="3"/>
      <c r="Y36" s="3"/>
      <c r="Z36" s="3"/>
    </row>
    <row r="37">
      <c r="A37" s="56" t="s">
        <v>5301</v>
      </c>
      <c r="B37" s="57"/>
      <c r="C37" s="57"/>
      <c r="D37" s="3"/>
      <c r="E37" s="3"/>
      <c r="F37" s="3"/>
      <c r="G37" s="3"/>
      <c r="H37" s="3"/>
      <c r="I37" s="3"/>
      <c r="J37" s="3"/>
      <c r="K37" s="3"/>
      <c r="L37" s="3"/>
      <c r="M37" s="3"/>
      <c r="N37" s="3"/>
      <c r="O37" s="3"/>
      <c r="P37" s="3"/>
      <c r="Q37" s="3"/>
      <c r="R37" s="3"/>
      <c r="S37" s="3"/>
      <c r="T37" s="3"/>
      <c r="U37" s="3"/>
      <c r="V37" s="3"/>
      <c r="W37" s="3"/>
      <c r="X37" s="3"/>
      <c r="Y37" s="3"/>
      <c r="Z37" s="3"/>
    </row>
    <row r="38">
      <c r="A38" s="57"/>
      <c r="B38" s="57"/>
      <c r="C38" s="57"/>
      <c r="D38" s="3"/>
      <c r="E38" s="3"/>
      <c r="F38" s="3"/>
      <c r="G38" s="3"/>
      <c r="H38" s="3"/>
      <c r="I38" s="3"/>
      <c r="J38" s="3"/>
      <c r="K38" s="3"/>
      <c r="L38" s="3"/>
      <c r="M38" s="3"/>
      <c r="N38" s="3"/>
      <c r="O38" s="3"/>
      <c r="P38" s="3"/>
      <c r="Q38" s="3"/>
      <c r="R38" s="3"/>
      <c r="S38" s="3"/>
      <c r="T38" s="3"/>
      <c r="U38" s="3"/>
      <c r="V38" s="3"/>
      <c r="W38" s="3"/>
      <c r="X38" s="3"/>
      <c r="Y38" s="3"/>
      <c r="Z38" s="3"/>
    </row>
    <row r="39">
      <c r="A39" s="57"/>
      <c r="B39" s="57"/>
      <c r="C39" s="57"/>
      <c r="D39" s="3"/>
      <c r="E39" s="3"/>
      <c r="F39" s="3"/>
      <c r="G39" s="3"/>
      <c r="H39" s="3"/>
      <c r="I39" s="3"/>
      <c r="J39" s="3"/>
      <c r="K39" s="3"/>
      <c r="L39" s="3"/>
      <c r="M39" s="3"/>
      <c r="N39" s="3"/>
      <c r="O39" s="3"/>
      <c r="P39" s="3"/>
      <c r="Q39" s="3"/>
      <c r="R39" s="3"/>
      <c r="S39" s="3"/>
      <c r="T39" s="3"/>
      <c r="U39" s="3"/>
      <c r="V39" s="3"/>
      <c r="W39" s="3"/>
      <c r="X39" s="3"/>
      <c r="Y39" s="3"/>
      <c r="Z39" s="3"/>
    </row>
    <row r="40">
      <c r="A40" s="57"/>
      <c r="B40" s="57"/>
      <c r="C40" s="57"/>
      <c r="D40" s="3"/>
      <c r="E40" s="3"/>
      <c r="F40" s="3"/>
      <c r="G40" s="3"/>
      <c r="H40" s="3"/>
      <c r="I40" s="3"/>
      <c r="J40" s="3"/>
      <c r="K40" s="3"/>
      <c r="L40" s="3"/>
      <c r="M40" s="3"/>
      <c r="N40" s="3"/>
      <c r="O40" s="3"/>
      <c r="P40" s="3"/>
      <c r="Q40" s="3"/>
      <c r="R40" s="3"/>
      <c r="S40" s="3"/>
      <c r="T40" s="3"/>
      <c r="U40" s="3"/>
      <c r="V40" s="3"/>
      <c r="W40" s="3"/>
      <c r="X40" s="3"/>
      <c r="Y40" s="3"/>
      <c r="Z40" s="3"/>
    </row>
    <row r="41">
      <c r="A41" s="57"/>
      <c r="B41" s="57"/>
      <c r="C41" s="57"/>
      <c r="D41" s="3"/>
      <c r="E41" s="3"/>
      <c r="F41" s="3"/>
      <c r="G41" s="3"/>
      <c r="H41" s="3"/>
      <c r="I41" s="3"/>
      <c r="J41" s="3"/>
      <c r="K41" s="3"/>
      <c r="L41" s="3"/>
      <c r="M41" s="3"/>
      <c r="N41" s="3"/>
      <c r="O41" s="3"/>
      <c r="P41" s="3"/>
      <c r="Q41" s="3"/>
      <c r="R41" s="3"/>
      <c r="S41" s="3"/>
      <c r="T41" s="3"/>
      <c r="U41" s="3"/>
      <c r="V41" s="3"/>
      <c r="W41" s="3"/>
      <c r="X41" s="3"/>
      <c r="Y41" s="3"/>
      <c r="Z41" s="3"/>
    </row>
    <row r="42">
      <c r="A42" s="57"/>
      <c r="B42" s="57"/>
      <c r="C42" s="57"/>
      <c r="D42" s="3"/>
      <c r="E42" s="3"/>
      <c r="F42" s="3"/>
      <c r="G42" s="3"/>
      <c r="H42" s="3"/>
      <c r="I42" s="3"/>
      <c r="J42" s="3"/>
      <c r="K42" s="3"/>
      <c r="L42" s="3"/>
      <c r="M42" s="3"/>
      <c r="N42" s="3"/>
      <c r="O42" s="3"/>
      <c r="P42" s="3"/>
      <c r="Q42" s="3"/>
      <c r="R42" s="3"/>
      <c r="S42" s="3"/>
      <c r="T42" s="3"/>
      <c r="U42" s="3"/>
      <c r="V42" s="3"/>
      <c r="W42" s="3"/>
      <c r="X42" s="3"/>
      <c r="Y42" s="3"/>
      <c r="Z42" s="3"/>
    </row>
    <row r="43">
      <c r="A43" s="57"/>
      <c r="B43" s="57"/>
      <c r="C43" s="57"/>
      <c r="D43" s="3"/>
      <c r="E43" s="3"/>
      <c r="F43" s="3"/>
      <c r="G43" s="3"/>
      <c r="H43" s="3"/>
      <c r="I43" s="3"/>
      <c r="J43" s="3"/>
      <c r="K43" s="3"/>
      <c r="L43" s="3"/>
      <c r="M43" s="3"/>
      <c r="N43" s="3"/>
      <c r="O43" s="3"/>
      <c r="P43" s="3"/>
      <c r="Q43" s="3"/>
      <c r="R43" s="3"/>
      <c r="S43" s="3"/>
      <c r="T43" s="3"/>
      <c r="U43" s="3"/>
      <c r="V43" s="3"/>
      <c r="W43" s="3"/>
      <c r="X43" s="3"/>
      <c r="Y43" s="3"/>
      <c r="Z43" s="3"/>
    </row>
    <row r="44">
      <c r="A44" s="57"/>
      <c r="B44" s="57"/>
      <c r="C44" s="57"/>
      <c r="D44" s="3"/>
      <c r="E44" s="3"/>
      <c r="F44" s="3"/>
      <c r="G44" s="3"/>
      <c r="H44" s="3"/>
      <c r="I44" s="3"/>
      <c r="J44" s="3"/>
      <c r="K44" s="3"/>
      <c r="L44" s="3"/>
      <c r="M44" s="3"/>
      <c r="N44" s="3"/>
      <c r="O44" s="3"/>
      <c r="P44" s="3"/>
      <c r="Q44" s="3"/>
      <c r="R44" s="3"/>
      <c r="S44" s="3"/>
      <c r="T44" s="3"/>
      <c r="U44" s="3"/>
      <c r="V44" s="3"/>
      <c r="W44" s="3"/>
      <c r="X44" s="3"/>
      <c r="Y44" s="3"/>
      <c r="Z44" s="3"/>
    </row>
    <row r="45">
      <c r="A45" s="57"/>
      <c r="B45" s="57"/>
      <c r="C45" s="57"/>
      <c r="D45" s="3"/>
      <c r="E45" s="3"/>
      <c r="F45" s="3"/>
      <c r="G45" s="3"/>
      <c r="H45" s="3"/>
      <c r="I45" s="3"/>
      <c r="J45" s="3"/>
      <c r="K45" s="3"/>
      <c r="L45" s="3"/>
      <c r="M45" s="3"/>
      <c r="N45" s="3"/>
      <c r="O45" s="3"/>
      <c r="P45" s="3"/>
      <c r="Q45" s="3"/>
      <c r="R45" s="3"/>
      <c r="S45" s="3"/>
      <c r="T45" s="3"/>
      <c r="U45" s="3"/>
      <c r="V45" s="3"/>
      <c r="W45" s="3"/>
      <c r="X45" s="3"/>
      <c r="Y45" s="3"/>
      <c r="Z45" s="3"/>
    </row>
    <row r="46">
      <c r="A46" s="57"/>
      <c r="B46" s="57"/>
      <c r="C46" s="57"/>
      <c r="D46" s="3"/>
      <c r="E46" s="3"/>
      <c r="F46" s="3"/>
      <c r="G46" s="3"/>
      <c r="H46" s="3"/>
      <c r="I46" s="3"/>
      <c r="J46" s="3"/>
      <c r="K46" s="3"/>
      <c r="L46" s="3"/>
      <c r="M46" s="3"/>
      <c r="N46" s="3"/>
      <c r="O46" s="3"/>
      <c r="P46" s="3"/>
      <c r="Q46" s="3"/>
      <c r="R46" s="3"/>
      <c r="S46" s="3"/>
      <c r="T46" s="3"/>
      <c r="U46" s="3"/>
      <c r="V46" s="3"/>
      <c r="W46" s="3"/>
      <c r="X46" s="3"/>
      <c r="Y46" s="3"/>
      <c r="Z46" s="3"/>
    </row>
    <row r="47">
      <c r="A47" s="57"/>
      <c r="B47" s="57"/>
      <c r="C47" s="57"/>
      <c r="D47" s="3"/>
      <c r="E47" s="3"/>
      <c r="F47" s="3"/>
      <c r="G47" s="3"/>
      <c r="H47" s="3"/>
      <c r="I47" s="3"/>
      <c r="J47" s="3"/>
      <c r="K47" s="3"/>
      <c r="L47" s="3"/>
      <c r="M47" s="3"/>
      <c r="N47" s="3"/>
      <c r="O47" s="3"/>
      <c r="P47" s="3"/>
      <c r="Q47" s="3"/>
      <c r="R47" s="3"/>
      <c r="S47" s="3"/>
      <c r="T47" s="3"/>
      <c r="U47" s="3"/>
      <c r="V47" s="3"/>
      <c r="W47" s="3"/>
      <c r="X47" s="3"/>
      <c r="Y47" s="3"/>
      <c r="Z47" s="3"/>
    </row>
    <row r="48">
      <c r="A48" s="57"/>
      <c r="B48" s="57"/>
      <c r="C48" s="57"/>
      <c r="D48" s="3"/>
      <c r="E48" s="3"/>
      <c r="F48" s="3"/>
      <c r="G48" s="3"/>
      <c r="H48" s="3"/>
      <c r="I48" s="3"/>
      <c r="J48" s="3"/>
      <c r="K48" s="3"/>
      <c r="L48" s="3"/>
      <c r="M48" s="3"/>
      <c r="N48" s="3"/>
      <c r="O48" s="3"/>
      <c r="P48" s="3"/>
      <c r="Q48" s="3"/>
      <c r="R48" s="3"/>
      <c r="S48" s="3"/>
      <c r="T48" s="3"/>
      <c r="U48" s="3"/>
      <c r="V48" s="3"/>
      <c r="W48" s="3"/>
      <c r="X48" s="3"/>
      <c r="Y48" s="3"/>
      <c r="Z48" s="3"/>
    </row>
    <row r="49">
      <c r="A49" s="57"/>
      <c r="B49" s="57"/>
      <c r="C49" s="57"/>
      <c r="D49" s="3"/>
      <c r="E49" s="3"/>
      <c r="F49" s="3"/>
      <c r="G49" s="3"/>
      <c r="H49" s="3"/>
      <c r="I49" s="3"/>
      <c r="J49" s="3"/>
      <c r="K49" s="3"/>
      <c r="L49" s="3"/>
      <c r="M49" s="3"/>
      <c r="N49" s="3"/>
      <c r="O49" s="3"/>
      <c r="P49" s="3"/>
      <c r="Q49" s="3"/>
      <c r="R49" s="3"/>
      <c r="S49" s="3"/>
      <c r="T49" s="3"/>
      <c r="U49" s="3"/>
      <c r="V49" s="3"/>
      <c r="W49" s="3"/>
      <c r="X49" s="3"/>
      <c r="Y49" s="3"/>
      <c r="Z49" s="3"/>
    </row>
    <row r="50">
      <c r="A50" s="57"/>
      <c r="B50" s="57"/>
      <c r="C50" s="57"/>
      <c r="D50" s="3"/>
      <c r="E50" s="3"/>
      <c r="F50" s="3"/>
      <c r="G50" s="3"/>
      <c r="H50" s="3"/>
      <c r="I50" s="3"/>
      <c r="J50" s="3"/>
      <c r="K50" s="3"/>
      <c r="L50" s="3"/>
      <c r="M50" s="3"/>
      <c r="N50" s="3"/>
      <c r="O50" s="3"/>
      <c r="P50" s="3"/>
      <c r="Q50" s="3"/>
      <c r="R50" s="3"/>
      <c r="S50" s="3"/>
      <c r="T50" s="3"/>
      <c r="U50" s="3"/>
      <c r="V50" s="3"/>
      <c r="W50" s="3"/>
      <c r="X50" s="3"/>
      <c r="Y50" s="3"/>
      <c r="Z50" s="3"/>
    </row>
    <row r="51">
      <c r="A51" s="57"/>
      <c r="B51" s="57"/>
      <c r="C51" s="57"/>
      <c r="D51" s="3"/>
      <c r="E51" s="3"/>
      <c r="F51" s="3"/>
      <c r="G51" s="3"/>
      <c r="H51" s="3"/>
      <c r="I51" s="3"/>
      <c r="J51" s="3"/>
      <c r="K51" s="3"/>
      <c r="L51" s="3"/>
      <c r="M51" s="3"/>
      <c r="N51" s="3"/>
      <c r="O51" s="3"/>
      <c r="P51" s="3"/>
      <c r="Q51" s="3"/>
      <c r="R51" s="3"/>
      <c r="S51" s="3"/>
      <c r="T51" s="3"/>
      <c r="U51" s="3"/>
      <c r="V51" s="3"/>
      <c r="W51" s="3"/>
      <c r="X51" s="3"/>
      <c r="Y51" s="3"/>
      <c r="Z51" s="3"/>
    </row>
    <row r="52">
      <c r="A52" s="57"/>
      <c r="B52" s="57"/>
      <c r="C52" s="57"/>
      <c r="D52" s="3"/>
      <c r="E52" s="3"/>
      <c r="F52" s="3"/>
      <c r="G52" s="3"/>
      <c r="H52" s="3"/>
      <c r="I52" s="3"/>
      <c r="J52" s="3"/>
      <c r="K52" s="3"/>
      <c r="L52" s="3"/>
      <c r="M52" s="3"/>
      <c r="N52" s="3"/>
      <c r="O52" s="3"/>
      <c r="P52" s="3"/>
      <c r="Q52" s="3"/>
      <c r="R52" s="3"/>
      <c r="S52" s="3"/>
      <c r="T52" s="3"/>
      <c r="U52" s="3"/>
      <c r="V52" s="3"/>
      <c r="W52" s="3"/>
      <c r="X52" s="3"/>
      <c r="Y52" s="3"/>
      <c r="Z52" s="3"/>
    </row>
    <row r="53">
      <c r="A53" s="57"/>
      <c r="B53" s="57"/>
      <c r="C53" s="57"/>
      <c r="D53" s="3"/>
      <c r="E53" s="3"/>
      <c r="F53" s="3"/>
      <c r="G53" s="3"/>
      <c r="H53" s="3"/>
      <c r="I53" s="3"/>
      <c r="J53" s="3"/>
      <c r="K53" s="3"/>
      <c r="L53" s="3"/>
      <c r="M53" s="3"/>
      <c r="N53" s="3"/>
      <c r="O53" s="3"/>
      <c r="P53" s="3"/>
      <c r="Q53" s="3"/>
      <c r="R53" s="3"/>
      <c r="S53" s="3"/>
      <c r="T53" s="3"/>
      <c r="U53" s="3"/>
      <c r="V53" s="3"/>
      <c r="W53" s="3"/>
      <c r="X53" s="3"/>
      <c r="Y53" s="3"/>
      <c r="Z53" s="3"/>
    </row>
    <row r="54">
      <c r="A54" s="57"/>
      <c r="B54" s="57"/>
      <c r="C54" s="57"/>
      <c r="D54" s="3"/>
      <c r="E54" s="3"/>
      <c r="F54" s="3"/>
      <c r="G54" s="3"/>
      <c r="H54" s="3"/>
      <c r="I54" s="3"/>
      <c r="J54" s="3"/>
      <c r="K54" s="3"/>
      <c r="L54" s="3"/>
      <c r="M54" s="3"/>
      <c r="N54" s="3"/>
      <c r="O54" s="3"/>
      <c r="P54" s="3"/>
      <c r="Q54" s="3"/>
      <c r="R54" s="3"/>
      <c r="S54" s="3"/>
      <c r="T54" s="3"/>
      <c r="U54" s="3"/>
      <c r="V54" s="3"/>
      <c r="W54" s="3"/>
      <c r="X54" s="3"/>
      <c r="Y54" s="3"/>
      <c r="Z54" s="3"/>
    </row>
    <row r="55">
      <c r="A55" s="57"/>
      <c r="B55" s="57"/>
      <c r="C55" s="57"/>
      <c r="D55" s="3"/>
      <c r="E55" s="3"/>
      <c r="F55" s="3"/>
      <c r="G55" s="3"/>
      <c r="H55" s="3"/>
      <c r="I55" s="3"/>
      <c r="J55" s="3"/>
      <c r="K55" s="3"/>
      <c r="L55" s="3"/>
      <c r="M55" s="3"/>
      <c r="N55" s="3"/>
      <c r="O55" s="3"/>
      <c r="P55" s="3"/>
      <c r="Q55" s="3"/>
      <c r="R55" s="3"/>
      <c r="S55" s="3"/>
      <c r="T55" s="3"/>
      <c r="U55" s="3"/>
      <c r="V55" s="3"/>
      <c r="W55" s="3"/>
      <c r="X55" s="3"/>
      <c r="Y55" s="3"/>
      <c r="Z55" s="3"/>
    </row>
    <row r="56">
      <c r="A56" s="57"/>
      <c r="B56" s="57"/>
      <c r="C56" s="57"/>
      <c r="D56" s="3"/>
      <c r="E56" s="3"/>
      <c r="F56" s="3"/>
      <c r="G56" s="3"/>
      <c r="H56" s="3"/>
      <c r="I56" s="3"/>
      <c r="J56" s="3"/>
      <c r="K56" s="3"/>
      <c r="L56" s="3"/>
      <c r="M56" s="3"/>
      <c r="N56" s="3"/>
      <c r="O56" s="3"/>
      <c r="P56" s="3"/>
      <c r="Q56" s="3"/>
      <c r="R56" s="3"/>
      <c r="S56" s="3"/>
      <c r="T56" s="3"/>
      <c r="U56" s="3"/>
      <c r="V56" s="3"/>
      <c r="W56" s="3"/>
      <c r="X56" s="3"/>
      <c r="Y56" s="3"/>
      <c r="Z56" s="3"/>
    </row>
    <row r="57">
      <c r="A57" s="57"/>
      <c r="B57" s="57"/>
      <c r="C57" s="57"/>
      <c r="D57" s="3"/>
      <c r="E57" s="3"/>
      <c r="F57" s="3"/>
      <c r="G57" s="3"/>
      <c r="H57" s="3"/>
      <c r="I57" s="3"/>
      <c r="J57" s="3"/>
      <c r="K57" s="3"/>
      <c r="L57" s="3"/>
      <c r="M57" s="3"/>
      <c r="N57" s="3"/>
      <c r="O57" s="3"/>
      <c r="P57" s="3"/>
      <c r="Q57" s="3"/>
      <c r="R57" s="3"/>
      <c r="S57" s="3"/>
      <c r="T57" s="3"/>
      <c r="U57" s="3"/>
      <c r="V57" s="3"/>
      <c r="W57" s="3"/>
      <c r="X57" s="3"/>
      <c r="Y57" s="3"/>
      <c r="Z57" s="3"/>
    </row>
    <row r="58">
      <c r="A58" s="57"/>
      <c r="B58" s="57"/>
      <c r="C58" s="57"/>
      <c r="D58" s="3"/>
      <c r="E58" s="3"/>
      <c r="F58" s="3"/>
      <c r="G58" s="3"/>
      <c r="H58" s="3"/>
      <c r="I58" s="3"/>
      <c r="J58" s="3"/>
      <c r="K58" s="3"/>
      <c r="L58" s="3"/>
      <c r="M58" s="3"/>
      <c r="N58" s="3"/>
      <c r="O58" s="3"/>
      <c r="P58" s="3"/>
      <c r="Q58" s="3"/>
      <c r="R58" s="3"/>
      <c r="S58" s="3"/>
      <c r="T58" s="3"/>
      <c r="U58" s="3"/>
      <c r="V58" s="3"/>
      <c r="W58" s="3"/>
      <c r="X58" s="3"/>
      <c r="Y58" s="3"/>
      <c r="Z58" s="3"/>
    </row>
    <row r="59">
      <c r="A59" s="57"/>
      <c r="B59" s="57"/>
      <c r="C59" s="57"/>
      <c r="D59" s="3"/>
      <c r="E59" s="3"/>
      <c r="F59" s="3"/>
      <c r="G59" s="3"/>
      <c r="H59" s="3"/>
      <c r="I59" s="3"/>
      <c r="J59" s="3"/>
      <c r="K59" s="3"/>
      <c r="L59" s="3"/>
      <c r="M59" s="3"/>
      <c r="N59" s="3"/>
      <c r="O59" s="3"/>
      <c r="P59" s="3"/>
      <c r="Q59" s="3"/>
      <c r="R59" s="3"/>
      <c r="S59" s="3"/>
      <c r="T59" s="3"/>
      <c r="U59" s="3"/>
      <c r="V59" s="3"/>
      <c r="W59" s="3"/>
      <c r="X59" s="3"/>
      <c r="Y59" s="3"/>
      <c r="Z59" s="3"/>
    </row>
    <row r="60">
      <c r="A60" s="57"/>
      <c r="B60" s="57"/>
      <c r="C60" s="57"/>
      <c r="D60" s="3"/>
      <c r="E60" s="3"/>
      <c r="F60" s="3"/>
      <c r="G60" s="3"/>
      <c r="H60" s="3"/>
      <c r="I60" s="3"/>
      <c r="J60" s="3"/>
      <c r="K60" s="3"/>
      <c r="L60" s="3"/>
      <c r="M60" s="3"/>
      <c r="N60" s="3"/>
      <c r="O60" s="3"/>
      <c r="P60" s="3"/>
      <c r="Q60" s="3"/>
      <c r="R60" s="3"/>
      <c r="S60" s="3"/>
      <c r="T60" s="3"/>
      <c r="U60" s="3"/>
      <c r="V60" s="3"/>
      <c r="W60" s="3"/>
      <c r="X60" s="3"/>
      <c r="Y60" s="3"/>
      <c r="Z60" s="3"/>
    </row>
    <row r="61">
      <c r="A61" s="57"/>
      <c r="B61" s="57"/>
      <c r="C61" s="57"/>
      <c r="D61" s="3"/>
      <c r="E61" s="3"/>
      <c r="F61" s="3"/>
      <c r="G61" s="3"/>
      <c r="H61" s="3"/>
      <c r="I61" s="3"/>
      <c r="J61" s="3"/>
      <c r="K61" s="3"/>
      <c r="L61" s="3"/>
      <c r="M61" s="3"/>
      <c r="N61" s="3"/>
      <c r="O61" s="3"/>
      <c r="P61" s="3"/>
      <c r="Q61" s="3"/>
      <c r="R61" s="3"/>
      <c r="S61" s="3"/>
      <c r="T61" s="3"/>
      <c r="U61" s="3"/>
      <c r="V61" s="3"/>
      <c r="W61" s="3"/>
      <c r="X61" s="3"/>
      <c r="Y61" s="3"/>
      <c r="Z61" s="3"/>
    </row>
    <row r="62">
      <c r="A62" s="57"/>
      <c r="B62" s="57"/>
      <c r="C62" s="57"/>
      <c r="D62" s="3"/>
      <c r="E62" s="3"/>
      <c r="F62" s="3"/>
      <c r="G62" s="3"/>
      <c r="H62" s="3"/>
      <c r="I62" s="3"/>
      <c r="J62" s="3"/>
      <c r="K62" s="3"/>
      <c r="L62" s="3"/>
      <c r="M62" s="3"/>
      <c r="N62" s="3"/>
      <c r="O62" s="3"/>
      <c r="P62" s="3"/>
      <c r="Q62" s="3"/>
      <c r="R62" s="3"/>
      <c r="S62" s="3"/>
      <c r="T62" s="3"/>
      <c r="U62" s="3"/>
      <c r="V62" s="3"/>
      <c r="W62" s="3"/>
      <c r="X62" s="3"/>
      <c r="Y62" s="3"/>
      <c r="Z62" s="3"/>
    </row>
    <row r="63">
      <c r="A63" s="57"/>
      <c r="B63" s="57"/>
      <c r="C63" s="57"/>
      <c r="D63" s="3"/>
      <c r="E63" s="3"/>
      <c r="F63" s="3"/>
      <c r="G63" s="3"/>
      <c r="H63" s="3"/>
      <c r="I63" s="3"/>
      <c r="J63" s="3"/>
      <c r="K63" s="3"/>
      <c r="L63" s="3"/>
      <c r="M63" s="3"/>
      <c r="N63" s="3"/>
      <c r="O63" s="3"/>
      <c r="P63" s="3"/>
      <c r="Q63" s="3"/>
      <c r="R63" s="3"/>
      <c r="S63" s="3"/>
      <c r="T63" s="3"/>
      <c r="U63" s="3"/>
      <c r="V63" s="3"/>
      <c r="W63" s="3"/>
      <c r="X63" s="3"/>
      <c r="Y63" s="3"/>
      <c r="Z63" s="3"/>
    </row>
    <row r="64">
      <c r="A64" s="57"/>
      <c r="B64" s="57"/>
      <c r="C64" s="57"/>
      <c r="D64" s="3"/>
      <c r="E64" s="3"/>
      <c r="F64" s="3"/>
      <c r="G64" s="3"/>
      <c r="H64" s="3"/>
      <c r="I64" s="3"/>
      <c r="J64" s="3"/>
      <c r="K64" s="3"/>
      <c r="L64" s="3"/>
      <c r="M64" s="3"/>
      <c r="N64" s="3"/>
      <c r="O64" s="3"/>
      <c r="P64" s="3"/>
      <c r="Q64" s="3"/>
      <c r="R64" s="3"/>
      <c r="S64" s="3"/>
      <c r="T64" s="3"/>
      <c r="U64" s="3"/>
      <c r="V64" s="3"/>
      <c r="W64" s="3"/>
      <c r="X64" s="3"/>
      <c r="Y64" s="3"/>
      <c r="Z64" s="3"/>
    </row>
    <row r="65">
      <c r="A65" s="57"/>
      <c r="B65" s="57"/>
      <c r="C65" s="57"/>
      <c r="D65" s="3"/>
      <c r="E65" s="3"/>
      <c r="F65" s="3"/>
      <c r="G65" s="3"/>
      <c r="H65" s="3"/>
      <c r="I65" s="3"/>
      <c r="J65" s="3"/>
      <c r="K65" s="3"/>
      <c r="L65" s="3"/>
      <c r="M65" s="3"/>
      <c r="N65" s="3"/>
      <c r="O65" s="3"/>
      <c r="P65" s="3"/>
      <c r="Q65" s="3"/>
      <c r="R65" s="3"/>
      <c r="S65" s="3"/>
      <c r="T65" s="3"/>
      <c r="U65" s="3"/>
      <c r="V65" s="3"/>
      <c r="W65" s="3"/>
      <c r="X65" s="3"/>
      <c r="Y65" s="3"/>
      <c r="Z65" s="3"/>
    </row>
    <row r="66">
      <c r="A66" s="57"/>
      <c r="B66" s="57"/>
      <c r="C66" s="57"/>
      <c r="D66" s="3"/>
      <c r="E66" s="3"/>
      <c r="F66" s="3"/>
      <c r="G66" s="3"/>
      <c r="H66" s="3"/>
      <c r="I66" s="3"/>
      <c r="J66" s="3"/>
      <c r="K66" s="3"/>
      <c r="L66" s="3"/>
      <c r="M66" s="3"/>
      <c r="N66" s="3"/>
      <c r="O66" s="3"/>
      <c r="P66" s="3"/>
      <c r="Q66" s="3"/>
      <c r="R66" s="3"/>
      <c r="S66" s="3"/>
      <c r="T66" s="3"/>
      <c r="U66" s="3"/>
      <c r="V66" s="3"/>
      <c r="W66" s="3"/>
      <c r="X66" s="3"/>
      <c r="Y66" s="3"/>
      <c r="Z66" s="3"/>
    </row>
    <row r="67">
      <c r="A67" s="57"/>
      <c r="B67" s="57"/>
      <c r="C67" s="57"/>
      <c r="D67" s="3"/>
      <c r="E67" s="3"/>
      <c r="F67" s="3"/>
      <c r="G67" s="3"/>
      <c r="H67" s="3"/>
      <c r="I67" s="3"/>
      <c r="J67" s="3"/>
      <c r="K67" s="3"/>
      <c r="L67" s="3"/>
      <c r="M67" s="3"/>
      <c r="N67" s="3"/>
      <c r="O67" s="3"/>
      <c r="P67" s="3"/>
      <c r="Q67" s="3"/>
      <c r="R67" s="3"/>
      <c r="S67" s="3"/>
      <c r="T67" s="3"/>
      <c r="U67" s="3"/>
      <c r="V67" s="3"/>
      <c r="W67" s="3"/>
      <c r="X67" s="3"/>
      <c r="Y67" s="3"/>
      <c r="Z67" s="3"/>
    </row>
    <row r="68">
      <c r="A68" s="57"/>
      <c r="B68" s="57"/>
      <c r="C68" s="57"/>
      <c r="D68" s="3"/>
      <c r="E68" s="3"/>
      <c r="F68" s="3"/>
      <c r="G68" s="3"/>
      <c r="H68" s="3"/>
      <c r="I68" s="3"/>
      <c r="J68" s="3"/>
      <c r="K68" s="3"/>
      <c r="L68" s="3"/>
      <c r="M68" s="3"/>
      <c r="N68" s="3"/>
      <c r="O68" s="3"/>
      <c r="P68" s="3"/>
      <c r="Q68" s="3"/>
      <c r="R68" s="3"/>
      <c r="S68" s="3"/>
      <c r="T68" s="3"/>
      <c r="U68" s="3"/>
      <c r="V68" s="3"/>
      <c r="W68" s="3"/>
      <c r="X68" s="3"/>
      <c r="Y68" s="3"/>
      <c r="Z68" s="3"/>
    </row>
    <row r="69">
      <c r="A69" s="57"/>
      <c r="B69" s="57"/>
      <c r="C69" s="57"/>
      <c r="D69" s="3"/>
      <c r="E69" s="3"/>
      <c r="F69" s="3"/>
      <c r="G69" s="3"/>
      <c r="H69" s="3"/>
      <c r="I69" s="3"/>
      <c r="J69" s="3"/>
      <c r="K69" s="3"/>
      <c r="L69" s="3"/>
      <c r="M69" s="3"/>
      <c r="N69" s="3"/>
      <c r="O69" s="3"/>
      <c r="P69" s="3"/>
      <c r="Q69" s="3"/>
      <c r="R69" s="3"/>
      <c r="S69" s="3"/>
      <c r="T69" s="3"/>
      <c r="U69" s="3"/>
      <c r="V69" s="3"/>
      <c r="W69" s="3"/>
      <c r="X69" s="3"/>
      <c r="Y69" s="3"/>
      <c r="Z69" s="3"/>
    </row>
    <row r="70">
      <c r="A70" s="57"/>
      <c r="B70" s="57"/>
      <c r="C70" s="57"/>
      <c r="D70" s="3"/>
      <c r="E70" s="3"/>
      <c r="F70" s="3"/>
      <c r="G70" s="3"/>
      <c r="H70" s="3"/>
      <c r="I70" s="3"/>
      <c r="J70" s="3"/>
      <c r="K70" s="3"/>
      <c r="L70" s="3"/>
      <c r="M70" s="3"/>
      <c r="N70" s="3"/>
      <c r="O70" s="3"/>
      <c r="P70" s="3"/>
      <c r="Q70" s="3"/>
      <c r="R70" s="3"/>
      <c r="S70" s="3"/>
      <c r="T70" s="3"/>
      <c r="U70" s="3"/>
      <c r="V70" s="3"/>
      <c r="W70" s="3"/>
      <c r="X70" s="3"/>
      <c r="Y70" s="3"/>
      <c r="Z70" s="3"/>
    </row>
    <row r="71">
      <c r="A71" s="57"/>
      <c r="B71" s="57"/>
      <c r="C71" s="57"/>
      <c r="D71" s="3"/>
      <c r="E71" s="3"/>
      <c r="F71" s="3"/>
      <c r="G71" s="3"/>
      <c r="H71" s="3"/>
      <c r="I71" s="3"/>
      <c r="J71" s="3"/>
      <c r="K71" s="3"/>
      <c r="L71" s="3"/>
      <c r="M71" s="3"/>
      <c r="N71" s="3"/>
      <c r="O71" s="3"/>
      <c r="P71" s="3"/>
      <c r="Q71" s="3"/>
      <c r="R71" s="3"/>
      <c r="S71" s="3"/>
      <c r="T71" s="3"/>
      <c r="U71" s="3"/>
      <c r="V71" s="3"/>
      <c r="W71" s="3"/>
      <c r="X71" s="3"/>
      <c r="Y71" s="3"/>
      <c r="Z71" s="3"/>
    </row>
    <row r="72">
      <c r="A72" s="57"/>
      <c r="B72" s="57"/>
      <c r="C72" s="57"/>
      <c r="D72" s="3"/>
      <c r="E72" s="3"/>
      <c r="F72" s="3"/>
      <c r="G72" s="3"/>
      <c r="H72" s="3"/>
      <c r="I72" s="3"/>
      <c r="J72" s="3"/>
      <c r="K72" s="3"/>
      <c r="L72" s="3"/>
      <c r="M72" s="3"/>
      <c r="N72" s="3"/>
      <c r="O72" s="3"/>
      <c r="P72" s="3"/>
      <c r="Q72" s="3"/>
      <c r="R72" s="3"/>
      <c r="S72" s="3"/>
      <c r="T72" s="3"/>
      <c r="U72" s="3"/>
      <c r="V72" s="3"/>
      <c r="W72" s="3"/>
      <c r="X72" s="3"/>
      <c r="Y72" s="3"/>
      <c r="Z72" s="3"/>
    </row>
    <row r="73">
      <c r="A73" s="57"/>
      <c r="B73" s="57"/>
      <c r="C73" s="57"/>
      <c r="D73" s="3"/>
      <c r="E73" s="3"/>
      <c r="F73" s="3"/>
      <c r="G73" s="3"/>
      <c r="H73" s="3"/>
      <c r="I73" s="3"/>
      <c r="J73" s="3"/>
      <c r="K73" s="3"/>
      <c r="L73" s="3"/>
      <c r="M73" s="3"/>
      <c r="N73" s="3"/>
      <c r="O73" s="3"/>
      <c r="P73" s="3"/>
      <c r="Q73" s="3"/>
      <c r="R73" s="3"/>
      <c r="S73" s="3"/>
      <c r="T73" s="3"/>
      <c r="U73" s="3"/>
      <c r="V73" s="3"/>
      <c r="W73" s="3"/>
      <c r="X73" s="3"/>
      <c r="Y73" s="3"/>
      <c r="Z73" s="3"/>
    </row>
    <row r="74">
      <c r="A74" s="57"/>
      <c r="B74" s="57"/>
      <c r="C74" s="57"/>
      <c r="D74" s="3"/>
      <c r="E74" s="3"/>
      <c r="F74" s="3"/>
      <c r="G74" s="3"/>
      <c r="H74" s="3"/>
      <c r="I74" s="3"/>
      <c r="J74" s="3"/>
      <c r="K74" s="3"/>
      <c r="L74" s="3"/>
      <c r="M74" s="3"/>
      <c r="N74" s="3"/>
      <c r="O74" s="3"/>
      <c r="P74" s="3"/>
      <c r="Q74" s="3"/>
      <c r="R74" s="3"/>
      <c r="S74" s="3"/>
      <c r="T74" s="3"/>
      <c r="U74" s="3"/>
      <c r="V74" s="3"/>
      <c r="W74" s="3"/>
      <c r="X74" s="3"/>
      <c r="Y74" s="3"/>
      <c r="Z74" s="3"/>
    </row>
    <row r="75">
      <c r="A75" s="57"/>
      <c r="B75" s="57"/>
      <c r="C75" s="57"/>
      <c r="D75" s="3"/>
      <c r="E75" s="3"/>
      <c r="F75" s="3"/>
      <c r="G75" s="3"/>
      <c r="H75" s="3"/>
      <c r="I75" s="3"/>
      <c r="J75" s="3"/>
      <c r="K75" s="3"/>
      <c r="L75" s="3"/>
      <c r="M75" s="3"/>
      <c r="N75" s="3"/>
      <c r="O75" s="3"/>
      <c r="P75" s="3"/>
      <c r="Q75" s="3"/>
      <c r="R75" s="3"/>
      <c r="S75" s="3"/>
      <c r="T75" s="3"/>
      <c r="U75" s="3"/>
      <c r="V75" s="3"/>
      <c r="W75" s="3"/>
      <c r="X75" s="3"/>
      <c r="Y75" s="3"/>
      <c r="Z75" s="3"/>
    </row>
    <row r="76">
      <c r="A76" s="57"/>
      <c r="B76" s="57"/>
      <c r="C76" s="57"/>
      <c r="D76" s="3"/>
      <c r="E76" s="3"/>
      <c r="F76" s="3"/>
      <c r="G76" s="3"/>
      <c r="H76" s="3"/>
      <c r="I76" s="3"/>
      <c r="J76" s="3"/>
      <c r="K76" s="3"/>
      <c r="L76" s="3"/>
      <c r="M76" s="3"/>
      <c r="N76" s="3"/>
      <c r="O76" s="3"/>
      <c r="P76" s="3"/>
      <c r="Q76" s="3"/>
      <c r="R76" s="3"/>
      <c r="S76" s="3"/>
      <c r="T76" s="3"/>
      <c r="U76" s="3"/>
      <c r="V76" s="3"/>
      <c r="W76" s="3"/>
      <c r="X76" s="3"/>
      <c r="Y76" s="3"/>
      <c r="Z76" s="3"/>
    </row>
    <row r="77">
      <c r="A77" s="57"/>
      <c r="B77" s="57"/>
      <c r="C77" s="57"/>
      <c r="D77" s="3"/>
      <c r="E77" s="3"/>
      <c r="F77" s="3"/>
      <c r="G77" s="3"/>
      <c r="H77" s="3"/>
      <c r="I77" s="3"/>
      <c r="J77" s="3"/>
      <c r="K77" s="3"/>
      <c r="L77" s="3"/>
      <c r="M77" s="3"/>
      <c r="N77" s="3"/>
      <c r="O77" s="3"/>
      <c r="P77" s="3"/>
      <c r="Q77" s="3"/>
      <c r="R77" s="3"/>
      <c r="S77" s="3"/>
      <c r="T77" s="3"/>
      <c r="U77" s="3"/>
      <c r="V77" s="3"/>
      <c r="W77" s="3"/>
      <c r="X77" s="3"/>
      <c r="Y77" s="3"/>
      <c r="Z77" s="3"/>
    </row>
    <row r="78">
      <c r="A78" s="57"/>
      <c r="B78" s="57"/>
      <c r="C78" s="57"/>
      <c r="D78" s="3"/>
      <c r="E78" s="3"/>
      <c r="F78" s="3"/>
      <c r="G78" s="3"/>
      <c r="H78" s="3"/>
      <c r="I78" s="3"/>
      <c r="J78" s="3"/>
      <c r="K78" s="3"/>
      <c r="L78" s="3"/>
      <c r="M78" s="3"/>
      <c r="N78" s="3"/>
      <c r="O78" s="3"/>
      <c r="P78" s="3"/>
      <c r="Q78" s="3"/>
      <c r="R78" s="3"/>
      <c r="S78" s="3"/>
      <c r="T78" s="3"/>
      <c r="U78" s="3"/>
      <c r="V78" s="3"/>
      <c r="W78" s="3"/>
      <c r="X78" s="3"/>
      <c r="Y78" s="3"/>
      <c r="Z78" s="3"/>
    </row>
    <row r="79">
      <c r="A79" s="57"/>
      <c r="B79" s="57"/>
      <c r="C79" s="57"/>
      <c r="D79" s="3"/>
      <c r="E79" s="3"/>
      <c r="F79" s="3"/>
      <c r="G79" s="3"/>
      <c r="H79" s="3"/>
      <c r="I79" s="3"/>
      <c r="J79" s="3"/>
      <c r="K79" s="3"/>
      <c r="L79" s="3"/>
      <c r="M79" s="3"/>
      <c r="N79" s="3"/>
      <c r="O79" s="3"/>
      <c r="P79" s="3"/>
      <c r="Q79" s="3"/>
      <c r="R79" s="3"/>
      <c r="S79" s="3"/>
      <c r="T79" s="3"/>
      <c r="U79" s="3"/>
      <c r="V79" s="3"/>
      <c r="W79" s="3"/>
      <c r="X79" s="3"/>
      <c r="Y79" s="3"/>
      <c r="Z79" s="3"/>
    </row>
    <row r="80">
      <c r="A80" s="57"/>
      <c r="B80" s="57"/>
      <c r="C80" s="57"/>
      <c r="D80" s="3"/>
      <c r="E80" s="3"/>
      <c r="F80" s="3"/>
      <c r="G80" s="3"/>
      <c r="H80" s="3"/>
      <c r="I80" s="3"/>
      <c r="J80" s="3"/>
      <c r="K80" s="3"/>
      <c r="L80" s="3"/>
      <c r="M80" s="3"/>
      <c r="N80" s="3"/>
      <c r="O80" s="3"/>
      <c r="P80" s="3"/>
      <c r="Q80" s="3"/>
      <c r="R80" s="3"/>
      <c r="S80" s="3"/>
      <c r="T80" s="3"/>
      <c r="U80" s="3"/>
      <c r="V80" s="3"/>
      <c r="W80" s="3"/>
      <c r="X80" s="3"/>
      <c r="Y80" s="3"/>
      <c r="Z80" s="3"/>
    </row>
    <row r="81">
      <c r="A81" s="57"/>
      <c r="B81" s="57"/>
      <c r="C81" s="57"/>
      <c r="D81" s="3"/>
      <c r="E81" s="3"/>
      <c r="F81" s="3"/>
      <c r="G81" s="3"/>
      <c r="H81" s="3"/>
      <c r="I81" s="3"/>
      <c r="J81" s="3"/>
      <c r="K81" s="3"/>
      <c r="L81" s="3"/>
      <c r="M81" s="3"/>
      <c r="N81" s="3"/>
      <c r="O81" s="3"/>
      <c r="P81" s="3"/>
      <c r="Q81" s="3"/>
      <c r="R81" s="3"/>
      <c r="S81" s="3"/>
      <c r="T81" s="3"/>
      <c r="U81" s="3"/>
      <c r="V81" s="3"/>
      <c r="W81" s="3"/>
      <c r="X81" s="3"/>
      <c r="Y81" s="3"/>
      <c r="Z81" s="3"/>
    </row>
    <row r="82">
      <c r="A82" s="57"/>
      <c r="B82" s="57"/>
      <c r="C82" s="57"/>
      <c r="D82" s="3"/>
      <c r="E82" s="3"/>
      <c r="F82" s="3"/>
      <c r="G82" s="3"/>
      <c r="H82" s="3"/>
      <c r="I82" s="3"/>
      <c r="J82" s="3"/>
      <c r="K82" s="3"/>
      <c r="L82" s="3"/>
      <c r="M82" s="3"/>
      <c r="N82" s="3"/>
      <c r="O82" s="3"/>
      <c r="P82" s="3"/>
      <c r="Q82" s="3"/>
      <c r="R82" s="3"/>
      <c r="S82" s="3"/>
      <c r="T82" s="3"/>
      <c r="U82" s="3"/>
      <c r="V82" s="3"/>
      <c r="W82" s="3"/>
      <c r="X82" s="3"/>
      <c r="Y82" s="3"/>
      <c r="Z82" s="3"/>
    </row>
    <row r="83">
      <c r="A83" s="57"/>
      <c r="B83" s="57"/>
      <c r="C83" s="57"/>
      <c r="D83" s="3"/>
      <c r="E83" s="3"/>
      <c r="F83" s="3"/>
      <c r="G83" s="3"/>
      <c r="H83" s="3"/>
      <c r="I83" s="3"/>
      <c r="J83" s="3"/>
      <c r="K83" s="3"/>
      <c r="L83" s="3"/>
      <c r="M83" s="3"/>
      <c r="N83" s="3"/>
      <c r="O83" s="3"/>
      <c r="P83" s="3"/>
      <c r="Q83" s="3"/>
      <c r="R83" s="3"/>
      <c r="S83" s="3"/>
      <c r="T83" s="3"/>
      <c r="U83" s="3"/>
      <c r="V83" s="3"/>
      <c r="W83" s="3"/>
      <c r="X83" s="3"/>
      <c r="Y83" s="3"/>
      <c r="Z83" s="3"/>
    </row>
    <row r="84">
      <c r="A84" s="57"/>
      <c r="B84" s="57"/>
      <c r="C84" s="57"/>
      <c r="D84" s="3"/>
      <c r="E84" s="3"/>
      <c r="F84" s="3"/>
      <c r="G84" s="3"/>
      <c r="H84" s="3"/>
      <c r="I84" s="3"/>
      <c r="J84" s="3"/>
      <c r="K84" s="3"/>
      <c r="L84" s="3"/>
      <c r="M84" s="3"/>
      <c r="N84" s="3"/>
      <c r="O84" s="3"/>
      <c r="P84" s="3"/>
      <c r="Q84" s="3"/>
      <c r="R84" s="3"/>
      <c r="S84" s="3"/>
      <c r="T84" s="3"/>
      <c r="U84" s="3"/>
      <c r="V84" s="3"/>
      <c r="W84" s="3"/>
      <c r="X84" s="3"/>
      <c r="Y84" s="3"/>
      <c r="Z84" s="3"/>
    </row>
    <row r="85">
      <c r="A85" s="57"/>
      <c r="B85" s="57"/>
      <c r="C85" s="57"/>
      <c r="D85" s="3"/>
      <c r="E85" s="3"/>
      <c r="F85" s="3"/>
      <c r="G85" s="3"/>
      <c r="H85" s="3"/>
      <c r="I85" s="3"/>
      <c r="J85" s="3"/>
      <c r="K85" s="3"/>
      <c r="L85" s="3"/>
      <c r="M85" s="3"/>
      <c r="N85" s="3"/>
      <c r="O85" s="3"/>
      <c r="P85" s="3"/>
      <c r="Q85" s="3"/>
      <c r="R85" s="3"/>
      <c r="S85" s="3"/>
      <c r="T85" s="3"/>
      <c r="U85" s="3"/>
      <c r="V85" s="3"/>
      <c r="W85" s="3"/>
      <c r="X85" s="3"/>
      <c r="Y85" s="3"/>
      <c r="Z85" s="3"/>
    </row>
    <row r="86">
      <c r="A86" s="57"/>
      <c r="B86" s="57"/>
      <c r="C86" s="57"/>
      <c r="D86" s="3"/>
      <c r="E86" s="3"/>
      <c r="F86" s="3"/>
      <c r="G86" s="3"/>
      <c r="H86" s="3"/>
      <c r="I86" s="3"/>
      <c r="J86" s="3"/>
      <c r="K86" s="3"/>
      <c r="L86" s="3"/>
      <c r="M86" s="3"/>
      <c r="N86" s="3"/>
      <c r="O86" s="3"/>
      <c r="P86" s="3"/>
      <c r="Q86" s="3"/>
      <c r="R86" s="3"/>
      <c r="S86" s="3"/>
      <c r="T86" s="3"/>
      <c r="U86" s="3"/>
      <c r="V86" s="3"/>
      <c r="W86" s="3"/>
      <c r="X86" s="3"/>
      <c r="Y86" s="3"/>
      <c r="Z86" s="3"/>
    </row>
    <row r="87">
      <c r="A87" s="57"/>
      <c r="B87" s="57"/>
      <c r="C87" s="57"/>
      <c r="D87" s="3"/>
      <c r="E87" s="3"/>
      <c r="F87" s="3"/>
      <c r="G87" s="3"/>
      <c r="H87" s="3"/>
      <c r="I87" s="3"/>
      <c r="J87" s="3"/>
      <c r="K87" s="3"/>
      <c r="L87" s="3"/>
      <c r="M87" s="3"/>
      <c r="N87" s="3"/>
      <c r="O87" s="3"/>
      <c r="P87" s="3"/>
      <c r="Q87" s="3"/>
      <c r="R87" s="3"/>
      <c r="S87" s="3"/>
      <c r="T87" s="3"/>
      <c r="U87" s="3"/>
      <c r="V87" s="3"/>
      <c r="W87" s="3"/>
      <c r="X87" s="3"/>
      <c r="Y87" s="3"/>
      <c r="Z87" s="3"/>
    </row>
    <row r="88">
      <c r="A88" s="57"/>
      <c r="B88" s="57"/>
      <c r="C88" s="57"/>
      <c r="D88" s="3"/>
      <c r="E88" s="3"/>
      <c r="F88" s="3"/>
      <c r="G88" s="3"/>
      <c r="H88" s="3"/>
      <c r="I88" s="3"/>
      <c r="J88" s="3"/>
      <c r="K88" s="3"/>
      <c r="L88" s="3"/>
      <c r="M88" s="3"/>
      <c r="N88" s="3"/>
      <c r="O88" s="3"/>
      <c r="P88" s="3"/>
      <c r="Q88" s="3"/>
      <c r="R88" s="3"/>
      <c r="S88" s="3"/>
      <c r="T88" s="3"/>
      <c r="U88" s="3"/>
      <c r="V88" s="3"/>
      <c r="W88" s="3"/>
      <c r="X88" s="3"/>
      <c r="Y88" s="3"/>
      <c r="Z88" s="3"/>
    </row>
    <row r="89">
      <c r="A89" s="57"/>
      <c r="B89" s="57"/>
      <c r="C89" s="57"/>
      <c r="D89" s="3"/>
      <c r="E89" s="3"/>
      <c r="F89" s="3"/>
      <c r="G89" s="3"/>
      <c r="H89" s="3"/>
      <c r="I89" s="3"/>
      <c r="J89" s="3"/>
      <c r="K89" s="3"/>
      <c r="L89" s="3"/>
      <c r="M89" s="3"/>
      <c r="N89" s="3"/>
      <c r="O89" s="3"/>
      <c r="P89" s="3"/>
      <c r="Q89" s="3"/>
      <c r="R89" s="3"/>
      <c r="S89" s="3"/>
      <c r="T89" s="3"/>
      <c r="U89" s="3"/>
      <c r="V89" s="3"/>
      <c r="W89" s="3"/>
      <c r="X89" s="3"/>
      <c r="Y89" s="3"/>
      <c r="Z89" s="3"/>
    </row>
    <row r="90">
      <c r="A90" s="57"/>
      <c r="B90" s="57"/>
      <c r="C90" s="57"/>
      <c r="D90" s="3"/>
      <c r="E90" s="3"/>
      <c r="F90" s="3"/>
      <c r="G90" s="3"/>
      <c r="H90" s="3"/>
      <c r="I90" s="3"/>
      <c r="J90" s="3"/>
      <c r="K90" s="3"/>
      <c r="L90" s="3"/>
      <c r="M90" s="3"/>
      <c r="N90" s="3"/>
      <c r="O90" s="3"/>
      <c r="P90" s="3"/>
      <c r="Q90" s="3"/>
      <c r="R90" s="3"/>
      <c r="S90" s="3"/>
      <c r="T90" s="3"/>
      <c r="U90" s="3"/>
      <c r="V90" s="3"/>
      <c r="W90" s="3"/>
      <c r="X90" s="3"/>
      <c r="Y90" s="3"/>
      <c r="Z90" s="3"/>
    </row>
    <row r="91">
      <c r="A91" s="57"/>
      <c r="B91" s="57"/>
      <c r="C91" s="57"/>
      <c r="D91" s="3"/>
      <c r="E91" s="3"/>
      <c r="F91" s="3"/>
      <c r="G91" s="3"/>
      <c r="H91" s="3"/>
      <c r="I91" s="3"/>
      <c r="J91" s="3"/>
      <c r="K91" s="3"/>
      <c r="L91" s="3"/>
      <c r="M91" s="3"/>
      <c r="N91" s="3"/>
      <c r="O91" s="3"/>
      <c r="P91" s="3"/>
      <c r="Q91" s="3"/>
      <c r="R91" s="3"/>
      <c r="S91" s="3"/>
      <c r="T91" s="3"/>
      <c r="U91" s="3"/>
      <c r="V91" s="3"/>
      <c r="W91" s="3"/>
      <c r="X91" s="3"/>
      <c r="Y91" s="3"/>
      <c r="Z91" s="3"/>
    </row>
    <row r="92">
      <c r="A92" s="57"/>
      <c r="B92" s="57"/>
      <c r="C92" s="57"/>
      <c r="D92" s="3"/>
      <c r="E92" s="3"/>
      <c r="F92" s="3"/>
      <c r="G92" s="3"/>
      <c r="H92" s="3"/>
      <c r="I92" s="3"/>
      <c r="J92" s="3"/>
      <c r="K92" s="3"/>
      <c r="L92" s="3"/>
      <c r="M92" s="3"/>
      <c r="N92" s="3"/>
      <c r="O92" s="3"/>
      <c r="P92" s="3"/>
      <c r="Q92" s="3"/>
      <c r="R92" s="3"/>
      <c r="S92" s="3"/>
      <c r="T92" s="3"/>
      <c r="U92" s="3"/>
      <c r="V92" s="3"/>
      <c r="W92" s="3"/>
      <c r="X92" s="3"/>
      <c r="Y92" s="3"/>
      <c r="Z92" s="3"/>
    </row>
    <row r="93">
      <c r="A93" s="57"/>
      <c r="B93" s="57"/>
      <c r="C93" s="57"/>
      <c r="D93" s="3"/>
      <c r="E93" s="3"/>
      <c r="F93" s="3"/>
      <c r="G93" s="3"/>
      <c r="H93" s="3"/>
      <c r="I93" s="3"/>
      <c r="J93" s="3"/>
      <c r="K93" s="3"/>
      <c r="L93" s="3"/>
      <c r="M93" s="3"/>
      <c r="N93" s="3"/>
      <c r="O93" s="3"/>
      <c r="P93" s="3"/>
      <c r="Q93" s="3"/>
      <c r="R93" s="3"/>
      <c r="S93" s="3"/>
      <c r="T93" s="3"/>
      <c r="U93" s="3"/>
      <c r="V93" s="3"/>
      <c r="W93" s="3"/>
      <c r="X93" s="3"/>
      <c r="Y93" s="3"/>
      <c r="Z93" s="3"/>
    </row>
    <row r="94">
      <c r="A94" s="57"/>
      <c r="B94" s="57"/>
      <c r="C94" s="57"/>
      <c r="D94" s="3"/>
      <c r="E94" s="3"/>
      <c r="F94" s="3"/>
      <c r="G94" s="3"/>
      <c r="H94" s="3"/>
      <c r="I94" s="3"/>
      <c r="J94" s="3"/>
      <c r="K94" s="3"/>
      <c r="L94" s="3"/>
      <c r="M94" s="3"/>
      <c r="N94" s="3"/>
      <c r="O94" s="3"/>
      <c r="P94" s="3"/>
      <c r="Q94" s="3"/>
      <c r="R94" s="3"/>
      <c r="S94" s="3"/>
      <c r="T94" s="3"/>
      <c r="U94" s="3"/>
      <c r="V94" s="3"/>
      <c r="W94" s="3"/>
      <c r="X94" s="3"/>
      <c r="Y94" s="3"/>
      <c r="Z94" s="3"/>
    </row>
    <row r="95">
      <c r="A95" s="57"/>
      <c r="B95" s="57"/>
      <c r="C95" s="57"/>
      <c r="D95" s="3"/>
      <c r="E95" s="3"/>
      <c r="F95" s="3"/>
      <c r="G95" s="3"/>
      <c r="H95" s="3"/>
      <c r="I95" s="3"/>
      <c r="J95" s="3"/>
      <c r="K95" s="3"/>
      <c r="L95" s="3"/>
      <c r="M95" s="3"/>
      <c r="N95" s="3"/>
      <c r="O95" s="3"/>
      <c r="P95" s="3"/>
      <c r="Q95" s="3"/>
      <c r="R95" s="3"/>
      <c r="S95" s="3"/>
      <c r="T95" s="3"/>
      <c r="U95" s="3"/>
      <c r="V95" s="3"/>
      <c r="W95" s="3"/>
      <c r="X95" s="3"/>
      <c r="Y95" s="3"/>
      <c r="Z95" s="3"/>
    </row>
    <row r="96">
      <c r="A96" s="57"/>
      <c r="B96" s="57"/>
      <c r="C96" s="57"/>
      <c r="D96" s="3"/>
      <c r="E96" s="3"/>
      <c r="F96" s="3"/>
      <c r="G96" s="3"/>
      <c r="H96" s="3"/>
      <c r="I96" s="3"/>
      <c r="J96" s="3"/>
      <c r="K96" s="3"/>
      <c r="L96" s="3"/>
      <c r="M96" s="3"/>
      <c r="N96" s="3"/>
      <c r="O96" s="3"/>
      <c r="P96" s="3"/>
      <c r="Q96" s="3"/>
      <c r="R96" s="3"/>
      <c r="S96" s="3"/>
      <c r="T96" s="3"/>
      <c r="U96" s="3"/>
      <c r="V96" s="3"/>
      <c r="W96" s="3"/>
      <c r="X96" s="3"/>
      <c r="Y96" s="3"/>
      <c r="Z96" s="3"/>
    </row>
    <row r="97">
      <c r="A97" s="57"/>
      <c r="B97" s="57"/>
      <c r="C97" s="57"/>
      <c r="D97" s="3"/>
      <c r="E97" s="3"/>
      <c r="F97" s="3"/>
      <c r="G97" s="3"/>
      <c r="H97" s="3"/>
      <c r="I97" s="3"/>
      <c r="J97" s="3"/>
      <c r="K97" s="3"/>
      <c r="L97" s="3"/>
      <c r="M97" s="3"/>
      <c r="N97" s="3"/>
      <c r="O97" s="3"/>
      <c r="P97" s="3"/>
      <c r="Q97" s="3"/>
      <c r="R97" s="3"/>
      <c r="S97" s="3"/>
      <c r="T97" s="3"/>
      <c r="U97" s="3"/>
      <c r="V97" s="3"/>
      <c r="W97" s="3"/>
      <c r="X97" s="3"/>
      <c r="Y97" s="3"/>
      <c r="Z97" s="3"/>
    </row>
    <row r="98">
      <c r="A98" s="57"/>
      <c r="B98" s="57"/>
      <c r="C98" s="57"/>
      <c r="D98" s="3"/>
      <c r="E98" s="3"/>
      <c r="F98" s="3"/>
      <c r="G98" s="3"/>
      <c r="H98" s="3"/>
      <c r="I98" s="3"/>
      <c r="J98" s="3"/>
      <c r="K98" s="3"/>
      <c r="L98" s="3"/>
      <c r="M98" s="3"/>
      <c r="N98" s="3"/>
      <c r="O98" s="3"/>
      <c r="P98" s="3"/>
      <c r="Q98" s="3"/>
      <c r="R98" s="3"/>
      <c r="S98" s="3"/>
      <c r="T98" s="3"/>
      <c r="U98" s="3"/>
      <c r="V98" s="3"/>
      <c r="W98" s="3"/>
      <c r="X98" s="3"/>
      <c r="Y98" s="3"/>
      <c r="Z98" s="3"/>
    </row>
    <row r="99">
      <c r="A99" s="57"/>
      <c r="B99" s="57"/>
      <c r="C99" s="57"/>
      <c r="D99" s="3"/>
      <c r="E99" s="3"/>
      <c r="F99" s="3"/>
      <c r="G99" s="3"/>
      <c r="H99" s="3"/>
      <c r="I99" s="3"/>
      <c r="J99" s="3"/>
      <c r="K99" s="3"/>
      <c r="L99" s="3"/>
      <c r="M99" s="3"/>
      <c r="N99" s="3"/>
      <c r="O99" s="3"/>
      <c r="P99" s="3"/>
      <c r="Q99" s="3"/>
      <c r="R99" s="3"/>
      <c r="S99" s="3"/>
      <c r="T99" s="3"/>
      <c r="U99" s="3"/>
      <c r="V99" s="3"/>
      <c r="W99" s="3"/>
      <c r="X99" s="3"/>
      <c r="Y99" s="3"/>
      <c r="Z99" s="3"/>
    </row>
    <row r="100">
      <c r="A100" s="57"/>
      <c r="B100" s="57"/>
      <c r="C100" s="57"/>
      <c r="D100" s="3"/>
      <c r="E100" s="3"/>
      <c r="F100" s="3"/>
      <c r="G100" s="3"/>
      <c r="H100" s="3"/>
      <c r="I100" s="3"/>
      <c r="J100" s="3"/>
      <c r="K100" s="3"/>
      <c r="L100" s="3"/>
      <c r="M100" s="3"/>
      <c r="N100" s="3"/>
      <c r="O100" s="3"/>
      <c r="P100" s="3"/>
      <c r="Q100" s="3"/>
      <c r="R100" s="3"/>
      <c r="S100" s="3"/>
      <c r="T100" s="3"/>
      <c r="U100" s="3"/>
      <c r="V100" s="3"/>
      <c r="W100" s="3"/>
      <c r="X100" s="3"/>
      <c r="Y100" s="3"/>
      <c r="Z100" s="3"/>
    </row>
    <row r="101">
      <c r="A101" s="57"/>
      <c r="B101" s="57"/>
      <c r="C101" s="57"/>
      <c r="D101" s="3"/>
      <c r="E101" s="3"/>
      <c r="F101" s="3"/>
      <c r="G101" s="3"/>
      <c r="H101" s="3"/>
      <c r="I101" s="3"/>
      <c r="J101" s="3"/>
      <c r="K101" s="3"/>
      <c r="L101" s="3"/>
      <c r="M101" s="3"/>
      <c r="N101" s="3"/>
      <c r="O101" s="3"/>
      <c r="P101" s="3"/>
      <c r="Q101" s="3"/>
      <c r="R101" s="3"/>
      <c r="S101" s="3"/>
      <c r="T101" s="3"/>
      <c r="U101" s="3"/>
      <c r="V101" s="3"/>
      <c r="W101" s="3"/>
      <c r="X101" s="3"/>
      <c r="Y101" s="3"/>
      <c r="Z101" s="3"/>
    </row>
    <row r="102">
      <c r="A102" s="57"/>
      <c r="B102" s="57"/>
      <c r="C102" s="57"/>
      <c r="D102" s="3"/>
      <c r="E102" s="3"/>
      <c r="F102" s="3"/>
      <c r="G102" s="3"/>
      <c r="H102" s="3"/>
      <c r="I102" s="3"/>
      <c r="J102" s="3"/>
      <c r="K102" s="3"/>
      <c r="L102" s="3"/>
      <c r="M102" s="3"/>
      <c r="N102" s="3"/>
      <c r="O102" s="3"/>
      <c r="P102" s="3"/>
      <c r="Q102" s="3"/>
      <c r="R102" s="3"/>
      <c r="S102" s="3"/>
      <c r="T102" s="3"/>
      <c r="U102" s="3"/>
      <c r="V102" s="3"/>
      <c r="W102" s="3"/>
      <c r="X102" s="3"/>
      <c r="Y102" s="3"/>
      <c r="Z102" s="3"/>
    </row>
    <row r="103">
      <c r="A103" s="57"/>
      <c r="B103" s="57"/>
      <c r="C103" s="57"/>
      <c r="D103" s="3"/>
      <c r="E103" s="3"/>
      <c r="F103" s="3"/>
      <c r="G103" s="3"/>
      <c r="H103" s="3"/>
      <c r="I103" s="3"/>
      <c r="J103" s="3"/>
      <c r="K103" s="3"/>
      <c r="L103" s="3"/>
      <c r="M103" s="3"/>
      <c r="N103" s="3"/>
      <c r="O103" s="3"/>
      <c r="P103" s="3"/>
      <c r="Q103" s="3"/>
      <c r="R103" s="3"/>
      <c r="S103" s="3"/>
      <c r="T103" s="3"/>
      <c r="U103" s="3"/>
      <c r="V103" s="3"/>
      <c r="W103" s="3"/>
      <c r="X103" s="3"/>
      <c r="Y103" s="3"/>
      <c r="Z103" s="3"/>
    </row>
    <row r="104">
      <c r="A104" s="57"/>
      <c r="B104" s="57"/>
      <c r="C104" s="57"/>
      <c r="D104" s="3"/>
      <c r="E104" s="3"/>
      <c r="F104" s="3"/>
      <c r="G104" s="3"/>
      <c r="H104" s="3"/>
      <c r="I104" s="3"/>
      <c r="J104" s="3"/>
      <c r="K104" s="3"/>
      <c r="L104" s="3"/>
      <c r="M104" s="3"/>
      <c r="N104" s="3"/>
      <c r="O104" s="3"/>
      <c r="P104" s="3"/>
      <c r="Q104" s="3"/>
      <c r="R104" s="3"/>
      <c r="S104" s="3"/>
      <c r="T104" s="3"/>
      <c r="U104" s="3"/>
      <c r="V104" s="3"/>
      <c r="W104" s="3"/>
      <c r="X104" s="3"/>
      <c r="Y104" s="3"/>
      <c r="Z104" s="3"/>
    </row>
    <row r="105">
      <c r="A105" s="57"/>
      <c r="B105" s="57"/>
      <c r="C105" s="57"/>
      <c r="D105" s="3"/>
      <c r="E105" s="3"/>
      <c r="F105" s="3"/>
      <c r="G105" s="3"/>
      <c r="H105" s="3"/>
      <c r="I105" s="3"/>
      <c r="J105" s="3"/>
      <c r="K105" s="3"/>
      <c r="L105" s="3"/>
      <c r="M105" s="3"/>
      <c r="N105" s="3"/>
      <c r="O105" s="3"/>
      <c r="P105" s="3"/>
      <c r="Q105" s="3"/>
      <c r="R105" s="3"/>
      <c r="S105" s="3"/>
      <c r="T105" s="3"/>
      <c r="U105" s="3"/>
      <c r="V105" s="3"/>
      <c r="W105" s="3"/>
      <c r="X105" s="3"/>
      <c r="Y105" s="3"/>
      <c r="Z105" s="3"/>
    </row>
    <row r="106">
      <c r="A106" s="57"/>
      <c r="B106" s="57"/>
      <c r="C106" s="57"/>
      <c r="D106" s="3"/>
      <c r="E106" s="3"/>
      <c r="F106" s="3"/>
      <c r="G106" s="3"/>
      <c r="H106" s="3"/>
      <c r="I106" s="3"/>
      <c r="J106" s="3"/>
      <c r="K106" s="3"/>
      <c r="L106" s="3"/>
      <c r="M106" s="3"/>
      <c r="N106" s="3"/>
      <c r="O106" s="3"/>
      <c r="P106" s="3"/>
      <c r="Q106" s="3"/>
      <c r="R106" s="3"/>
      <c r="S106" s="3"/>
      <c r="T106" s="3"/>
      <c r="U106" s="3"/>
      <c r="V106" s="3"/>
      <c r="W106" s="3"/>
      <c r="X106" s="3"/>
      <c r="Y106" s="3"/>
      <c r="Z106" s="3"/>
    </row>
    <row r="107">
      <c r="A107" s="57"/>
      <c r="B107" s="57"/>
      <c r="C107" s="57"/>
      <c r="D107" s="3"/>
      <c r="E107" s="3"/>
      <c r="F107" s="3"/>
      <c r="G107" s="3"/>
      <c r="H107" s="3"/>
      <c r="I107" s="3"/>
      <c r="J107" s="3"/>
      <c r="K107" s="3"/>
      <c r="L107" s="3"/>
      <c r="M107" s="3"/>
      <c r="N107" s="3"/>
      <c r="O107" s="3"/>
      <c r="P107" s="3"/>
      <c r="Q107" s="3"/>
      <c r="R107" s="3"/>
      <c r="S107" s="3"/>
      <c r="T107" s="3"/>
      <c r="U107" s="3"/>
      <c r="V107" s="3"/>
      <c r="W107" s="3"/>
      <c r="X107" s="3"/>
      <c r="Y107" s="3"/>
      <c r="Z107" s="3"/>
    </row>
    <row r="108">
      <c r="A108" s="57"/>
      <c r="B108" s="57"/>
      <c r="C108" s="57"/>
      <c r="D108" s="3"/>
      <c r="E108" s="3"/>
      <c r="F108" s="3"/>
      <c r="G108" s="3"/>
      <c r="H108" s="3"/>
      <c r="I108" s="3"/>
      <c r="J108" s="3"/>
      <c r="K108" s="3"/>
      <c r="L108" s="3"/>
      <c r="M108" s="3"/>
      <c r="N108" s="3"/>
      <c r="O108" s="3"/>
      <c r="P108" s="3"/>
      <c r="Q108" s="3"/>
      <c r="R108" s="3"/>
      <c r="S108" s="3"/>
      <c r="T108" s="3"/>
      <c r="U108" s="3"/>
      <c r="V108" s="3"/>
      <c r="W108" s="3"/>
      <c r="X108" s="3"/>
      <c r="Y108" s="3"/>
      <c r="Z108" s="3"/>
    </row>
    <row r="109">
      <c r="A109" s="57"/>
      <c r="B109" s="57"/>
      <c r="C109" s="57"/>
      <c r="D109" s="3"/>
      <c r="E109" s="3"/>
      <c r="F109" s="3"/>
      <c r="G109" s="3"/>
      <c r="H109" s="3"/>
      <c r="I109" s="3"/>
      <c r="J109" s="3"/>
      <c r="K109" s="3"/>
      <c r="L109" s="3"/>
      <c r="M109" s="3"/>
      <c r="N109" s="3"/>
      <c r="O109" s="3"/>
      <c r="P109" s="3"/>
      <c r="Q109" s="3"/>
      <c r="R109" s="3"/>
      <c r="S109" s="3"/>
      <c r="T109" s="3"/>
      <c r="U109" s="3"/>
      <c r="V109" s="3"/>
      <c r="W109" s="3"/>
      <c r="X109" s="3"/>
      <c r="Y109" s="3"/>
      <c r="Z109" s="3"/>
    </row>
    <row r="110">
      <c r="A110" s="57"/>
      <c r="B110" s="57"/>
      <c r="C110" s="57"/>
      <c r="D110" s="3"/>
      <c r="E110" s="3"/>
      <c r="F110" s="3"/>
      <c r="G110" s="3"/>
      <c r="H110" s="3"/>
      <c r="I110" s="3"/>
      <c r="J110" s="3"/>
      <c r="K110" s="3"/>
      <c r="L110" s="3"/>
      <c r="M110" s="3"/>
      <c r="N110" s="3"/>
      <c r="O110" s="3"/>
      <c r="P110" s="3"/>
      <c r="Q110" s="3"/>
      <c r="R110" s="3"/>
      <c r="S110" s="3"/>
      <c r="T110" s="3"/>
      <c r="U110" s="3"/>
      <c r="V110" s="3"/>
      <c r="W110" s="3"/>
      <c r="X110" s="3"/>
      <c r="Y110" s="3"/>
      <c r="Z110" s="3"/>
    </row>
    <row r="111">
      <c r="A111" s="57"/>
      <c r="B111" s="57"/>
      <c r="C111" s="57"/>
      <c r="D111" s="3"/>
      <c r="E111" s="3"/>
      <c r="F111" s="3"/>
      <c r="G111" s="3"/>
      <c r="H111" s="3"/>
      <c r="I111" s="3"/>
      <c r="J111" s="3"/>
      <c r="K111" s="3"/>
      <c r="L111" s="3"/>
      <c r="M111" s="3"/>
      <c r="N111" s="3"/>
      <c r="O111" s="3"/>
      <c r="P111" s="3"/>
      <c r="Q111" s="3"/>
      <c r="R111" s="3"/>
      <c r="S111" s="3"/>
      <c r="T111" s="3"/>
      <c r="U111" s="3"/>
      <c r="V111" s="3"/>
      <c r="W111" s="3"/>
      <c r="X111" s="3"/>
      <c r="Y111" s="3"/>
      <c r="Z111" s="3"/>
    </row>
    <row r="112">
      <c r="A112" s="57"/>
      <c r="B112" s="57"/>
      <c r="C112" s="57"/>
      <c r="D112" s="3"/>
      <c r="E112" s="3"/>
      <c r="F112" s="3"/>
      <c r="G112" s="3"/>
      <c r="H112" s="3"/>
      <c r="I112" s="3"/>
      <c r="J112" s="3"/>
      <c r="K112" s="3"/>
      <c r="L112" s="3"/>
      <c r="M112" s="3"/>
      <c r="N112" s="3"/>
      <c r="O112" s="3"/>
      <c r="P112" s="3"/>
      <c r="Q112" s="3"/>
      <c r="R112" s="3"/>
      <c r="S112" s="3"/>
      <c r="T112" s="3"/>
      <c r="U112" s="3"/>
      <c r="V112" s="3"/>
      <c r="W112" s="3"/>
      <c r="X112" s="3"/>
      <c r="Y112" s="3"/>
      <c r="Z112" s="3"/>
    </row>
    <row r="113">
      <c r="A113" s="57"/>
      <c r="B113" s="57"/>
      <c r="C113" s="57"/>
      <c r="D113" s="3"/>
      <c r="E113" s="3"/>
      <c r="F113" s="3"/>
      <c r="G113" s="3"/>
      <c r="H113" s="3"/>
      <c r="I113" s="3"/>
      <c r="J113" s="3"/>
      <c r="K113" s="3"/>
      <c r="L113" s="3"/>
      <c r="M113" s="3"/>
      <c r="N113" s="3"/>
      <c r="O113" s="3"/>
      <c r="P113" s="3"/>
      <c r="Q113" s="3"/>
      <c r="R113" s="3"/>
      <c r="S113" s="3"/>
      <c r="T113" s="3"/>
      <c r="U113" s="3"/>
      <c r="V113" s="3"/>
      <c r="W113" s="3"/>
      <c r="X113" s="3"/>
      <c r="Y113" s="3"/>
      <c r="Z113" s="3"/>
    </row>
    <row r="114">
      <c r="A114" s="57"/>
      <c r="B114" s="57"/>
      <c r="C114" s="57"/>
      <c r="D114" s="3"/>
      <c r="E114" s="3"/>
      <c r="F114" s="3"/>
      <c r="G114" s="3"/>
      <c r="H114" s="3"/>
      <c r="I114" s="3"/>
      <c r="J114" s="3"/>
      <c r="K114" s="3"/>
      <c r="L114" s="3"/>
      <c r="M114" s="3"/>
      <c r="N114" s="3"/>
      <c r="O114" s="3"/>
      <c r="P114" s="3"/>
      <c r="Q114" s="3"/>
      <c r="R114" s="3"/>
      <c r="S114" s="3"/>
      <c r="T114" s="3"/>
      <c r="U114" s="3"/>
      <c r="V114" s="3"/>
      <c r="W114" s="3"/>
      <c r="X114" s="3"/>
      <c r="Y114" s="3"/>
      <c r="Z114" s="3"/>
    </row>
    <row r="115">
      <c r="A115" s="57"/>
      <c r="B115" s="57"/>
      <c r="C115" s="57"/>
      <c r="D115" s="3"/>
      <c r="E115" s="3"/>
      <c r="F115" s="3"/>
      <c r="G115" s="3"/>
      <c r="H115" s="3"/>
      <c r="I115" s="3"/>
      <c r="J115" s="3"/>
      <c r="K115" s="3"/>
      <c r="L115" s="3"/>
      <c r="M115" s="3"/>
      <c r="N115" s="3"/>
      <c r="O115" s="3"/>
      <c r="P115" s="3"/>
      <c r="Q115" s="3"/>
      <c r="R115" s="3"/>
      <c r="S115" s="3"/>
      <c r="T115" s="3"/>
      <c r="U115" s="3"/>
      <c r="V115" s="3"/>
      <c r="W115" s="3"/>
      <c r="X115" s="3"/>
      <c r="Y115" s="3"/>
      <c r="Z115" s="3"/>
    </row>
    <row r="116">
      <c r="A116" s="57"/>
      <c r="B116" s="57"/>
      <c r="C116" s="57"/>
      <c r="D116" s="3"/>
      <c r="E116" s="3"/>
      <c r="F116" s="3"/>
      <c r="G116" s="3"/>
      <c r="H116" s="3"/>
      <c r="I116" s="3"/>
      <c r="J116" s="3"/>
      <c r="K116" s="3"/>
      <c r="L116" s="3"/>
      <c r="M116" s="3"/>
      <c r="N116" s="3"/>
      <c r="O116" s="3"/>
      <c r="P116" s="3"/>
      <c r="Q116" s="3"/>
      <c r="R116" s="3"/>
      <c r="S116" s="3"/>
      <c r="T116" s="3"/>
      <c r="U116" s="3"/>
      <c r="V116" s="3"/>
      <c r="W116" s="3"/>
      <c r="X116" s="3"/>
      <c r="Y116" s="3"/>
      <c r="Z116" s="3"/>
    </row>
    <row r="117">
      <c r="A117" s="57"/>
      <c r="B117" s="57"/>
      <c r="C117" s="57"/>
      <c r="D117" s="3"/>
      <c r="E117" s="3"/>
      <c r="F117" s="3"/>
      <c r="G117" s="3"/>
      <c r="H117" s="3"/>
      <c r="I117" s="3"/>
      <c r="J117" s="3"/>
      <c r="K117" s="3"/>
      <c r="L117" s="3"/>
      <c r="M117" s="3"/>
      <c r="N117" s="3"/>
      <c r="O117" s="3"/>
      <c r="P117" s="3"/>
      <c r="Q117" s="3"/>
      <c r="R117" s="3"/>
      <c r="S117" s="3"/>
      <c r="T117" s="3"/>
      <c r="U117" s="3"/>
      <c r="V117" s="3"/>
      <c r="W117" s="3"/>
      <c r="X117" s="3"/>
      <c r="Y117" s="3"/>
      <c r="Z117" s="3"/>
    </row>
    <row r="118">
      <c r="A118" s="57"/>
      <c r="B118" s="57"/>
      <c r="C118" s="57"/>
      <c r="D118" s="3"/>
      <c r="E118" s="3"/>
      <c r="F118" s="3"/>
      <c r="G118" s="3"/>
      <c r="H118" s="3"/>
      <c r="I118" s="3"/>
      <c r="J118" s="3"/>
      <c r="K118" s="3"/>
      <c r="L118" s="3"/>
      <c r="M118" s="3"/>
      <c r="N118" s="3"/>
      <c r="O118" s="3"/>
      <c r="P118" s="3"/>
      <c r="Q118" s="3"/>
      <c r="R118" s="3"/>
      <c r="S118" s="3"/>
      <c r="T118" s="3"/>
      <c r="U118" s="3"/>
      <c r="V118" s="3"/>
      <c r="W118" s="3"/>
      <c r="X118" s="3"/>
      <c r="Y118" s="3"/>
      <c r="Z118" s="3"/>
    </row>
    <row r="119">
      <c r="A119" s="57"/>
      <c r="B119" s="57"/>
      <c r="C119" s="57"/>
      <c r="D119" s="3"/>
      <c r="E119" s="3"/>
      <c r="F119" s="3"/>
      <c r="G119" s="3"/>
      <c r="H119" s="3"/>
      <c r="I119" s="3"/>
      <c r="J119" s="3"/>
      <c r="K119" s="3"/>
      <c r="L119" s="3"/>
      <c r="M119" s="3"/>
      <c r="N119" s="3"/>
      <c r="O119" s="3"/>
      <c r="P119" s="3"/>
      <c r="Q119" s="3"/>
      <c r="R119" s="3"/>
      <c r="S119" s="3"/>
      <c r="T119" s="3"/>
      <c r="U119" s="3"/>
      <c r="V119" s="3"/>
      <c r="W119" s="3"/>
      <c r="X119" s="3"/>
      <c r="Y119" s="3"/>
      <c r="Z119" s="3"/>
    </row>
    <row r="120">
      <c r="A120" s="57"/>
      <c r="B120" s="57"/>
      <c r="C120" s="57"/>
      <c r="D120" s="3"/>
      <c r="E120" s="3"/>
      <c r="F120" s="3"/>
      <c r="G120" s="3"/>
      <c r="H120" s="3"/>
      <c r="I120" s="3"/>
      <c r="J120" s="3"/>
      <c r="K120" s="3"/>
      <c r="L120" s="3"/>
      <c r="M120" s="3"/>
      <c r="N120" s="3"/>
      <c r="O120" s="3"/>
      <c r="P120" s="3"/>
      <c r="Q120" s="3"/>
      <c r="R120" s="3"/>
      <c r="S120" s="3"/>
      <c r="T120" s="3"/>
      <c r="U120" s="3"/>
      <c r="V120" s="3"/>
      <c r="W120" s="3"/>
      <c r="X120" s="3"/>
      <c r="Y120" s="3"/>
      <c r="Z120" s="3"/>
    </row>
    <row r="121">
      <c r="A121" s="57"/>
      <c r="B121" s="57"/>
      <c r="C121" s="57"/>
      <c r="D121" s="3"/>
      <c r="E121" s="3"/>
      <c r="F121" s="3"/>
      <c r="G121" s="3"/>
      <c r="H121" s="3"/>
      <c r="I121" s="3"/>
      <c r="J121" s="3"/>
      <c r="K121" s="3"/>
      <c r="L121" s="3"/>
      <c r="M121" s="3"/>
      <c r="N121" s="3"/>
      <c r="O121" s="3"/>
      <c r="P121" s="3"/>
      <c r="Q121" s="3"/>
      <c r="R121" s="3"/>
      <c r="S121" s="3"/>
      <c r="T121" s="3"/>
      <c r="U121" s="3"/>
      <c r="V121" s="3"/>
      <c r="W121" s="3"/>
      <c r="X121" s="3"/>
      <c r="Y121" s="3"/>
      <c r="Z121" s="3"/>
    </row>
    <row r="122">
      <c r="A122" s="57"/>
      <c r="B122" s="57"/>
      <c r="C122" s="57"/>
      <c r="D122" s="3"/>
      <c r="E122" s="3"/>
      <c r="F122" s="3"/>
      <c r="G122" s="3"/>
      <c r="H122" s="3"/>
      <c r="I122" s="3"/>
      <c r="J122" s="3"/>
      <c r="K122" s="3"/>
      <c r="L122" s="3"/>
      <c r="M122" s="3"/>
      <c r="N122" s="3"/>
      <c r="O122" s="3"/>
      <c r="P122" s="3"/>
      <c r="Q122" s="3"/>
      <c r="R122" s="3"/>
      <c r="S122" s="3"/>
      <c r="T122" s="3"/>
      <c r="U122" s="3"/>
      <c r="V122" s="3"/>
      <c r="W122" s="3"/>
      <c r="X122" s="3"/>
      <c r="Y122" s="3"/>
      <c r="Z122" s="3"/>
    </row>
    <row r="123">
      <c r="A123" s="57"/>
      <c r="B123" s="57"/>
      <c r="C123" s="57"/>
      <c r="D123" s="3"/>
      <c r="E123" s="3"/>
      <c r="F123" s="3"/>
      <c r="G123" s="3"/>
      <c r="H123" s="3"/>
      <c r="I123" s="3"/>
      <c r="J123" s="3"/>
      <c r="K123" s="3"/>
      <c r="L123" s="3"/>
      <c r="M123" s="3"/>
      <c r="N123" s="3"/>
      <c r="O123" s="3"/>
      <c r="P123" s="3"/>
      <c r="Q123" s="3"/>
      <c r="R123" s="3"/>
      <c r="S123" s="3"/>
      <c r="T123" s="3"/>
      <c r="U123" s="3"/>
      <c r="V123" s="3"/>
      <c r="W123" s="3"/>
      <c r="X123" s="3"/>
      <c r="Y123" s="3"/>
      <c r="Z123" s="3"/>
    </row>
    <row r="124">
      <c r="A124" s="57"/>
      <c r="B124" s="57"/>
      <c r="C124" s="57"/>
      <c r="D124" s="3"/>
      <c r="E124" s="3"/>
      <c r="F124" s="3"/>
      <c r="G124" s="3"/>
      <c r="H124" s="3"/>
      <c r="I124" s="3"/>
      <c r="J124" s="3"/>
      <c r="K124" s="3"/>
      <c r="L124" s="3"/>
      <c r="M124" s="3"/>
      <c r="N124" s="3"/>
      <c r="O124" s="3"/>
      <c r="P124" s="3"/>
      <c r="Q124" s="3"/>
      <c r="R124" s="3"/>
      <c r="S124" s="3"/>
      <c r="T124" s="3"/>
      <c r="U124" s="3"/>
      <c r="V124" s="3"/>
      <c r="W124" s="3"/>
      <c r="X124" s="3"/>
      <c r="Y124" s="3"/>
      <c r="Z124" s="3"/>
    </row>
    <row r="125">
      <c r="A125" s="57"/>
      <c r="B125" s="57"/>
      <c r="C125" s="57"/>
      <c r="D125" s="3"/>
      <c r="E125" s="3"/>
      <c r="F125" s="3"/>
      <c r="G125" s="3"/>
      <c r="H125" s="3"/>
      <c r="I125" s="3"/>
      <c r="J125" s="3"/>
      <c r="K125" s="3"/>
      <c r="L125" s="3"/>
      <c r="M125" s="3"/>
      <c r="N125" s="3"/>
      <c r="O125" s="3"/>
      <c r="P125" s="3"/>
      <c r="Q125" s="3"/>
      <c r="R125" s="3"/>
      <c r="S125" s="3"/>
      <c r="T125" s="3"/>
      <c r="U125" s="3"/>
      <c r="V125" s="3"/>
      <c r="W125" s="3"/>
      <c r="X125" s="3"/>
      <c r="Y125" s="3"/>
      <c r="Z125" s="3"/>
    </row>
    <row r="126">
      <c r="A126" s="57"/>
      <c r="B126" s="57"/>
      <c r="C126" s="57"/>
      <c r="D126" s="3"/>
      <c r="E126" s="3"/>
      <c r="F126" s="3"/>
      <c r="G126" s="3"/>
      <c r="H126" s="3"/>
      <c r="I126" s="3"/>
      <c r="J126" s="3"/>
      <c r="K126" s="3"/>
      <c r="L126" s="3"/>
      <c r="M126" s="3"/>
      <c r="N126" s="3"/>
      <c r="O126" s="3"/>
      <c r="P126" s="3"/>
      <c r="Q126" s="3"/>
      <c r="R126" s="3"/>
      <c r="S126" s="3"/>
      <c r="T126" s="3"/>
      <c r="U126" s="3"/>
      <c r="V126" s="3"/>
      <c r="W126" s="3"/>
      <c r="X126" s="3"/>
      <c r="Y126" s="3"/>
      <c r="Z126" s="3"/>
    </row>
    <row r="127">
      <c r="A127" s="57"/>
      <c r="B127" s="57"/>
      <c r="C127" s="57"/>
      <c r="D127" s="3"/>
      <c r="E127" s="3"/>
      <c r="F127" s="3"/>
      <c r="G127" s="3"/>
      <c r="H127" s="3"/>
      <c r="I127" s="3"/>
      <c r="J127" s="3"/>
      <c r="K127" s="3"/>
      <c r="L127" s="3"/>
      <c r="M127" s="3"/>
      <c r="N127" s="3"/>
      <c r="O127" s="3"/>
      <c r="P127" s="3"/>
      <c r="Q127" s="3"/>
      <c r="R127" s="3"/>
      <c r="S127" s="3"/>
      <c r="T127" s="3"/>
      <c r="U127" s="3"/>
      <c r="V127" s="3"/>
      <c r="W127" s="3"/>
      <c r="X127" s="3"/>
      <c r="Y127" s="3"/>
      <c r="Z127" s="3"/>
    </row>
    <row r="128">
      <c r="A128" s="57"/>
      <c r="B128" s="57"/>
      <c r="C128" s="57"/>
      <c r="D128" s="3"/>
      <c r="E128" s="3"/>
      <c r="F128" s="3"/>
      <c r="G128" s="3"/>
      <c r="H128" s="3"/>
      <c r="I128" s="3"/>
      <c r="J128" s="3"/>
      <c r="K128" s="3"/>
      <c r="L128" s="3"/>
      <c r="M128" s="3"/>
      <c r="N128" s="3"/>
      <c r="O128" s="3"/>
      <c r="P128" s="3"/>
      <c r="Q128" s="3"/>
      <c r="R128" s="3"/>
      <c r="S128" s="3"/>
      <c r="T128" s="3"/>
      <c r="U128" s="3"/>
      <c r="V128" s="3"/>
      <c r="W128" s="3"/>
      <c r="X128" s="3"/>
      <c r="Y128" s="3"/>
      <c r="Z128" s="3"/>
    </row>
    <row r="129">
      <c r="A129" s="57"/>
      <c r="B129" s="57"/>
      <c r="C129" s="57"/>
      <c r="D129" s="3"/>
      <c r="E129" s="3"/>
      <c r="F129" s="3"/>
      <c r="G129" s="3"/>
      <c r="H129" s="3"/>
      <c r="I129" s="3"/>
      <c r="J129" s="3"/>
      <c r="K129" s="3"/>
      <c r="L129" s="3"/>
      <c r="M129" s="3"/>
      <c r="N129" s="3"/>
      <c r="O129" s="3"/>
      <c r="P129" s="3"/>
      <c r="Q129" s="3"/>
      <c r="R129" s="3"/>
      <c r="S129" s="3"/>
      <c r="T129" s="3"/>
      <c r="U129" s="3"/>
      <c r="V129" s="3"/>
      <c r="W129" s="3"/>
      <c r="X129" s="3"/>
      <c r="Y129" s="3"/>
      <c r="Z129" s="3"/>
    </row>
    <row r="130">
      <c r="A130" s="57"/>
      <c r="B130" s="57"/>
      <c r="C130" s="57"/>
      <c r="D130" s="3"/>
      <c r="E130" s="3"/>
      <c r="F130" s="3"/>
      <c r="G130" s="3"/>
      <c r="H130" s="3"/>
      <c r="I130" s="3"/>
      <c r="J130" s="3"/>
      <c r="K130" s="3"/>
      <c r="L130" s="3"/>
      <c r="M130" s="3"/>
      <c r="N130" s="3"/>
      <c r="O130" s="3"/>
      <c r="P130" s="3"/>
      <c r="Q130" s="3"/>
      <c r="R130" s="3"/>
      <c r="S130" s="3"/>
      <c r="T130" s="3"/>
      <c r="U130" s="3"/>
      <c r="V130" s="3"/>
      <c r="W130" s="3"/>
      <c r="X130" s="3"/>
      <c r="Y130" s="3"/>
      <c r="Z130" s="3"/>
    </row>
    <row r="131">
      <c r="A131" s="57"/>
      <c r="B131" s="57"/>
      <c r="C131" s="57"/>
      <c r="D131" s="3"/>
      <c r="E131" s="3"/>
      <c r="F131" s="3"/>
      <c r="G131" s="3"/>
      <c r="H131" s="3"/>
      <c r="I131" s="3"/>
      <c r="J131" s="3"/>
      <c r="K131" s="3"/>
      <c r="L131" s="3"/>
      <c r="M131" s="3"/>
      <c r="N131" s="3"/>
      <c r="O131" s="3"/>
      <c r="P131" s="3"/>
      <c r="Q131" s="3"/>
      <c r="R131" s="3"/>
      <c r="S131" s="3"/>
      <c r="T131" s="3"/>
      <c r="U131" s="3"/>
      <c r="V131" s="3"/>
      <c r="W131" s="3"/>
      <c r="X131" s="3"/>
      <c r="Y131" s="3"/>
      <c r="Z131" s="3"/>
    </row>
    <row r="132">
      <c r="A132" s="57"/>
      <c r="B132" s="57"/>
      <c r="C132" s="57"/>
      <c r="D132" s="3"/>
      <c r="E132" s="3"/>
      <c r="F132" s="3"/>
      <c r="G132" s="3"/>
      <c r="H132" s="3"/>
      <c r="I132" s="3"/>
      <c r="J132" s="3"/>
      <c r="K132" s="3"/>
      <c r="L132" s="3"/>
      <c r="M132" s="3"/>
      <c r="N132" s="3"/>
      <c r="O132" s="3"/>
      <c r="P132" s="3"/>
      <c r="Q132" s="3"/>
      <c r="R132" s="3"/>
      <c r="S132" s="3"/>
      <c r="T132" s="3"/>
      <c r="U132" s="3"/>
      <c r="V132" s="3"/>
      <c r="W132" s="3"/>
      <c r="X132" s="3"/>
      <c r="Y132" s="3"/>
      <c r="Z132" s="3"/>
    </row>
    <row r="133">
      <c r="A133" s="57"/>
      <c r="B133" s="57"/>
      <c r="C133" s="57"/>
      <c r="D133" s="3"/>
      <c r="E133" s="3"/>
      <c r="F133" s="3"/>
      <c r="G133" s="3"/>
      <c r="H133" s="3"/>
      <c r="I133" s="3"/>
      <c r="J133" s="3"/>
      <c r="K133" s="3"/>
      <c r="L133" s="3"/>
      <c r="M133" s="3"/>
      <c r="N133" s="3"/>
      <c r="O133" s="3"/>
      <c r="P133" s="3"/>
      <c r="Q133" s="3"/>
      <c r="R133" s="3"/>
      <c r="S133" s="3"/>
      <c r="T133" s="3"/>
      <c r="U133" s="3"/>
      <c r="V133" s="3"/>
      <c r="W133" s="3"/>
      <c r="X133" s="3"/>
      <c r="Y133" s="3"/>
      <c r="Z133" s="3"/>
    </row>
    <row r="134">
      <c r="A134" s="57"/>
      <c r="B134" s="57"/>
      <c r="C134" s="57"/>
      <c r="D134" s="3"/>
      <c r="E134" s="3"/>
      <c r="F134" s="3"/>
      <c r="G134" s="3"/>
      <c r="H134" s="3"/>
      <c r="I134" s="3"/>
      <c r="J134" s="3"/>
      <c r="K134" s="3"/>
      <c r="L134" s="3"/>
      <c r="M134" s="3"/>
      <c r="N134" s="3"/>
      <c r="O134" s="3"/>
      <c r="P134" s="3"/>
      <c r="Q134" s="3"/>
      <c r="R134" s="3"/>
      <c r="S134" s="3"/>
      <c r="T134" s="3"/>
      <c r="U134" s="3"/>
      <c r="V134" s="3"/>
      <c r="W134" s="3"/>
      <c r="X134" s="3"/>
      <c r="Y134" s="3"/>
      <c r="Z134" s="3"/>
    </row>
    <row r="135">
      <c r="A135" s="57"/>
      <c r="B135" s="57"/>
      <c r="C135" s="57"/>
      <c r="D135" s="3"/>
      <c r="E135" s="3"/>
      <c r="F135" s="3"/>
      <c r="G135" s="3"/>
      <c r="H135" s="3"/>
      <c r="I135" s="3"/>
      <c r="J135" s="3"/>
      <c r="K135" s="3"/>
      <c r="L135" s="3"/>
      <c r="M135" s="3"/>
      <c r="N135" s="3"/>
      <c r="O135" s="3"/>
      <c r="P135" s="3"/>
      <c r="Q135" s="3"/>
      <c r="R135" s="3"/>
      <c r="S135" s="3"/>
      <c r="T135" s="3"/>
      <c r="U135" s="3"/>
      <c r="V135" s="3"/>
      <c r="W135" s="3"/>
      <c r="X135" s="3"/>
      <c r="Y135" s="3"/>
      <c r="Z135" s="3"/>
    </row>
    <row r="136">
      <c r="A136" s="57"/>
      <c r="B136" s="57"/>
      <c r="C136" s="57"/>
      <c r="D136" s="3"/>
      <c r="E136" s="3"/>
      <c r="F136" s="3"/>
      <c r="G136" s="3"/>
      <c r="H136" s="3"/>
      <c r="I136" s="3"/>
      <c r="J136" s="3"/>
      <c r="K136" s="3"/>
      <c r="L136" s="3"/>
      <c r="M136" s="3"/>
      <c r="N136" s="3"/>
      <c r="O136" s="3"/>
      <c r="P136" s="3"/>
      <c r="Q136" s="3"/>
      <c r="R136" s="3"/>
      <c r="S136" s="3"/>
      <c r="T136" s="3"/>
      <c r="U136" s="3"/>
      <c r="V136" s="3"/>
      <c r="W136" s="3"/>
      <c r="X136" s="3"/>
      <c r="Y136" s="3"/>
      <c r="Z136" s="3"/>
    </row>
    <row r="137">
      <c r="A137" s="57"/>
      <c r="B137" s="57"/>
      <c r="C137" s="57"/>
      <c r="D137" s="3"/>
      <c r="E137" s="3"/>
      <c r="F137" s="3"/>
      <c r="G137" s="3"/>
      <c r="H137" s="3"/>
      <c r="I137" s="3"/>
      <c r="J137" s="3"/>
      <c r="K137" s="3"/>
      <c r="L137" s="3"/>
      <c r="M137" s="3"/>
      <c r="N137" s="3"/>
      <c r="O137" s="3"/>
      <c r="P137" s="3"/>
      <c r="Q137" s="3"/>
      <c r="R137" s="3"/>
      <c r="S137" s="3"/>
      <c r="T137" s="3"/>
      <c r="U137" s="3"/>
      <c r="V137" s="3"/>
      <c r="W137" s="3"/>
      <c r="X137" s="3"/>
      <c r="Y137" s="3"/>
      <c r="Z137" s="3"/>
    </row>
    <row r="138">
      <c r="A138" s="57"/>
      <c r="B138" s="57"/>
      <c r="C138" s="57"/>
      <c r="D138" s="3"/>
      <c r="E138" s="3"/>
      <c r="F138" s="3"/>
      <c r="G138" s="3"/>
      <c r="H138" s="3"/>
      <c r="I138" s="3"/>
      <c r="J138" s="3"/>
      <c r="K138" s="3"/>
      <c r="L138" s="3"/>
      <c r="M138" s="3"/>
      <c r="N138" s="3"/>
      <c r="O138" s="3"/>
      <c r="P138" s="3"/>
      <c r="Q138" s="3"/>
      <c r="R138" s="3"/>
      <c r="S138" s="3"/>
      <c r="T138" s="3"/>
      <c r="U138" s="3"/>
      <c r="V138" s="3"/>
      <c r="W138" s="3"/>
      <c r="X138" s="3"/>
      <c r="Y138" s="3"/>
      <c r="Z138" s="3"/>
    </row>
    <row r="139">
      <c r="A139" s="57"/>
      <c r="B139" s="57"/>
      <c r="C139" s="57"/>
      <c r="D139" s="3"/>
      <c r="E139" s="3"/>
      <c r="F139" s="3"/>
      <c r="G139" s="3"/>
      <c r="H139" s="3"/>
      <c r="I139" s="3"/>
      <c r="J139" s="3"/>
      <c r="K139" s="3"/>
      <c r="L139" s="3"/>
      <c r="M139" s="3"/>
      <c r="N139" s="3"/>
      <c r="O139" s="3"/>
      <c r="P139" s="3"/>
      <c r="Q139" s="3"/>
      <c r="R139" s="3"/>
      <c r="S139" s="3"/>
      <c r="T139" s="3"/>
      <c r="U139" s="3"/>
      <c r="V139" s="3"/>
      <c r="W139" s="3"/>
      <c r="X139" s="3"/>
      <c r="Y139" s="3"/>
      <c r="Z139" s="3"/>
    </row>
    <row r="140">
      <c r="A140" s="57"/>
      <c r="B140" s="57"/>
      <c r="C140" s="57"/>
      <c r="D140" s="3"/>
      <c r="E140" s="3"/>
      <c r="F140" s="3"/>
      <c r="G140" s="3"/>
      <c r="H140" s="3"/>
      <c r="I140" s="3"/>
      <c r="J140" s="3"/>
      <c r="K140" s="3"/>
      <c r="L140" s="3"/>
      <c r="M140" s="3"/>
      <c r="N140" s="3"/>
      <c r="O140" s="3"/>
      <c r="P140" s="3"/>
      <c r="Q140" s="3"/>
      <c r="R140" s="3"/>
      <c r="S140" s="3"/>
      <c r="T140" s="3"/>
      <c r="U140" s="3"/>
      <c r="V140" s="3"/>
      <c r="W140" s="3"/>
      <c r="X140" s="3"/>
      <c r="Y140" s="3"/>
      <c r="Z140" s="3"/>
    </row>
    <row r="141">
      <c r="A141" s="57"/>
      <c r="B141" s="57"/>
      <c r="C141" s="57"/>
      <c r="D141" s="3"/>
      <c r="E141" s="3"/>
      <c r="F141" s="3"/>
      <c r="G141" s="3"/>
      <c r="H141" s="3"/>
      <c r="I141" s="3"/>
      <c r="J141" s="3"/>
      <c r="K141" s="3"/>
      <c r="L141" s="3"/>
      <c r="M141" s="3"/>
      <c r="N141" s="3"/>
      <c r="O141" s="3"/>
      <c r="P141" s="3"/>
      <c r="Q141" s="3"/>
      <c r="R141" s="3"/>
      <c r="S141" s="3"/>
      <c r="T141" s="3"/>
      <c r="U141" s="3"/>
      <c r="V141" s="3"/>
      <c r="W141" s="3"/>
      <c r="X141" s="3"/>
      <c r="Y141" s="3"/>
      <c r="Z141" s="3"/>
    </row>
    <row r="142">
      <c r="A142" s="57"/>
      <c r="B142" s="57"/>
      <c r="C142" s="57"/>
      <c r="D142" s="3"/>
      <c r="E142" s="3"/>
      <c r="F142" s="3"/>
      <c r="G142" s="3"/>
      <c r="H142" s="3"/>
      <c r="I142" s="3"/>
      <c r="J142" s="3"/>
      <c r="K142" s="3"/>
      <c r="L142" s="3"/>
      <c r="M142" s="3"/>
      <c r="N142" s="3"/>
      <c r="O142" s="3"/>
      <c r="P142" s="3"/>
      <c r="Q142" s="3"/>
      <c r="R142" s="3"/>
      <c r="S142" s="3"/>
      <c r="T142" s="3"/>
      <c r="U142" s="3"/>
      <c r="V142" s="3"/>
      <c r="W142" s="3"/>
      <c r="X142" s="3"/>
      <c r="Y142" s="3"/>
      <c r="Z142" s="3"/>
    </row>
    <row r="143">
      <c r="A143" s="57"/>
      <c r="B143" s="57"/>
      <c r="C143" s="57"/>
      <c r="D143" s="3"/>
      <c r="E143" s="3"/>
      <c r="F143" s="3"/>
      <c r="G143" s="3"/>
      <c r="H143" s="3"/>
      <c r="I143" s="3"/>
      <c r="J143" s="3"/>
      <c r="K143" s="3"/>
      <c r="L143" s="3"/>
      <c r="M143" s="3"/>
      <c r="N143" s="3"/>
      <c r="O143" s="3"/>
      <c r="P143" s="3"/>
      <c r="Q143" s="3"/>
      <c r="R143" s="3"/>
      <c r="S143" s="3"/>
      <c r="T143" s="3"/>
      <c r="U143" s="3"/>
      <c r="V143" s="3"/>
      <c r="W143" s="3"/>
      <c r="X143" s="3"/>
      <c r="Y143" s="3"/>
      <c r="Z143" s="3"/>
    </row>
    <row r="144">
      <c r="A144" s="57"/>
      <c r="B144" s="57"/>
      <c r="C144" s="57"/>
      <c r="D144" s="3"/>
      <c r="E144" s="3"/>
      <c r="F144" s="3"/>
      <c r="G144" s="3"/>
      <c r="H144" s="3"/>
      <c r="I144" s="3"/>
      <c r="J144" s="3"/>
      <c r="K144" s="3"/>
      <c r="L144" s="3"/>
      <c r="M144" s="3"/>
      <c r="N144" s="3"/>
      <c r="O144" s="3"/>
      <c r="P144" s="3"/>
      <c r="Q144" s="3"/>
      <c r="R144" s="3"/>
      <c r="S144" s="3"/>
      <c r="T144" s="3"/>
      <c r="U144" s="3"/>
      <c r="V144" s="3"/>
      <c r="W144" s="3"/>
      <c r="X144" s="3"/>
      <c r="Y144" s="3"/>
      <c r="Z144" s="3"/>
    </row>
    <row r="145">
      <c r="A145" s="57"/>
      <c r="B145" s="57"/>
      <c r="C145" s="57"/>
      <c r="D145" s="3"/>
      <c r="E145" s="3"/>
      <c r="F145" s="3"/>
      <c r="G145" s="3"/>
      <c r="H145" s="3"/>
      <c r="I145" s="3"/>
      <c r="J145" s="3"/>
      <c r="K145" s="3"/>
      <c r="L145" s="3"/>
      <c r="M145" s="3"/>
      <c r="N145" s="3"/>
      <c r="O145" s="3"/>
      <c r="P145" s="3"/>
      <c r="Q145" s="3"/>
      <c r="R145" s="3"/>
      <c r="S145" s="3"/>
      <c r="T145" s="3"/>
      <c r="U145" s="3"/>
      <c r="V145" s="3"/>
      <c r="W145" s="3"/>
      <c r="X145" s="3"/>
      <c r="Y145" s="3"/>
      <c r="Z145" s="3"/>
    </row>
    <row r="146">
      <c r="A146" s="57"/>
      <c r="B146" s="57"/>
      <c r="C146" s="57"/>
      <c r="D146" s="3"/>
      <c r="E146" s="3"/>
      <c r="F146" s="3"/>
      <c r="G146" s="3"/>
      <c r="H146" s="3"/>
      <c r="I146" s="3"/>
      <c r="J146" s="3"/>
      <c r="K146" s="3"/>
      <c r="L146" s="3"/>
      <c r="M146" s="3"/>
      <c r="N146" s="3"/>
      <c r="O146" s="3"/>
      <c r="P146" s="3"/>
      <c r="Q146" s="3"/>
      <c r="R146" s="3"/>
      <c r="S146" s="3"/>
      <c r="T146" s="3"/>
      <c r="U146" s="3"/>
      <c r="V146" s="3"/>
      <c r="W146" s="3"/>
      <c r="X146" s="3"/>
      <c r="Y146" s="3"/>
      <c r="Z146" s="3"/>
    </row>
    <row r="147">
      <c r="A147" s="57"/>
      <c r="B147" s="57"/>
      <c r="C147" s="57"/>
      <c r="D147" s="3"/>
      <c r="E147" s="3"/>
      <c r="F147" s="3"/>
      <c r="G147" s="3"/>
      <c r="H147" s="3"/>
      <c r="I147" s="3"/>
      <c r="J147" s="3"/>
      <c r="K147" s="3"/>
      <c r="L147" s="3"/>
      <c r="M147" s="3"/>
      <c r="N147" s="3"/>
      <c r="O147" s="3"/>
      <c r="P147" s="3"/>
      <c r="Q147" s="3"/>
      <c r="R147" s="3"/>
      <c r="S147" s="3"/>
      <c r="T147" s="3"/>
      <c r="U147" s="3"/>
      <c r="V147" s="3"/>
      <c r="W147" s="3"/>
      <c r="X147" s="3"/>
      <c r="Y147" s="3"/>
      <c r="Z147" s="3"/>
    </row>
    <row r="148">
      <c r="A148" s="57"/>
      <c r="B148" s="57"/>
      <c r="C148" s="57"/>
      <c r="D148" s="3"/>
      <c r="E148" s="3"/>
      <c r="F148" s="3"/>
      <c r="G148" s="3"/>
      <c r="H148" s="3"/>
      <c r="I148" s="3"/>
      <c r="J148" s="3"/>
      <c r="K148" s="3"/>
      <c r="L148" s="3"/>
      <c r="M148" s="3"/>
      <c r="N148" s="3"/>
      <c r="O148" s="3"/>
      <c r="P148" s="3"/>
      <c r="Q148" s="3"/>
      <c r="R148" s="3"/>
      <c r="S148" s="3"/>
      <c r="T148" s="3"/>
      <c r="U148" s="3"/>
      <c r="V148" s="3"/>
      <c r="W148" s="3"/>
      <c r="X148" s="3"/>
      <c r="Y148" s="3"/>
      <c r="Z148" s="3"/>
    </row>
    <row r="149">
      <c r="A149" s="57"/>
      <c r="B149" s="57"/>
      <c r="C149" s="57"/>
      <c r="D149" s="3"/>
      <c r="E149" s="3"/>
      <c r="F149" s="3"/>
      <c r="G149" s="3"/>
      <c r="H149" s="3"/>
      <c r="I149" s="3"/>
      <c r="J149" s="3"/>
      <c r="K149" s="3"/>
      <c r="L149" s="3"/>
      <c r="M149" s="3"/>
      <c r="N149" s="3"/>
      <c r="O149" s="3"/>
      <c r="P149" s="3"/>
      <c r="Q149" s="3"/>
      <c r="R149" s="3"/>
      <c r="S149" s="3"/>
      <c r="T149" s="3"/>
      <c r="U149" s="3"/>
      <c r="V149" s="3"/>
      <c r="W149" s="3"/>
      <c r="X149" s="3"/>
      <c r="Y149" s="3"/>
      <c r="Z149" s="3"/>
    </row>
    <row r="150">
      <c r="A150" s="57"/>
      <c r="B150" s="57"/>
      <c r="C150" s="57"/>
      <c r="D150" s="3"/>
      <c r="E150" s="3"/>
      <c r="F150" s="3"/>
      <c r="G150" s="3"/>
      <c r="H150" s="3"/>
      <c r="I150" s="3"/>
      <c r="J150" s="3"/>
      <c r="K150" s="3"/>
      <c r="L150" s="3"/>
      <c r="M150" s="3"/>
      <c r="N150" s="3"/>
      <c r="O150" s="3"/>
      <c r="P150" s="3"/>
      <c r="Q150" s="3"/>
      <c r="R150" s="3"/>
      <c r="S150" s="3"/>
      <c r="T150" s="3"/>
      <c r="U150" s="3"/>
      <c r="V150" s="3"/>
      <c r="W150" s="3"/>
      <c r="X150" s="3"/>
      <c r="Y150" s="3"/>
      <c r="Z150" s="3"/>
    </row>
    <row r="151">
      <c r="A151" s="57"/>
      <c r="B151" s="57"/>
      <c r="C151" s="57"/>
      <c r="D151" s="3"/>
      <c r="E151" s="3"/>
      <c r="F151" s="3"/>
      <c r="G151" s="3"/>
      <c r="H151" s="3"/>
      <c r="I151" s="3"/>
      <c r="J151" s="3"/>
      <c r="K151" s="3"/>
      <c r="L151" s="3"/>
      <c r="M151" s="3"/>
      <c r="N151" s="3"/>
      <c r="O151" s="3"/>
      <c r="P151" s="3"/>
      <c r="Q151" s="3"/>
      <c r="R151" s="3"/>
      <c r="S151" s="3"/>
      <c r="T151" s="3"/>
      <c r="U151" s="3"/>
      <c r="V151" s="3"/>
      <c r="W151" s="3"/>
      <c r="X151" s="3"/>
      <c r="Y151" s="3"/>
      <c r="Z151" s="3"/>
    </row>
    <row r="152">
      <c r="A152" s="57"/>
      <c r="B152" s="57"/>
      <c r="C152" s="57"/>
      <c r="D152" s="3"/>
      <c r="E152" s="3"/>
      <c r="F152" s="3"/>
      <c r="G152" s="3"/>
      <c r="H152" s="3"/>
      <c r="I152" s="3"/>
      <c r="J152" s="3"/>
      <c r="K152" s="3"/>
      <c r="L152" s="3"/>
      <c r="M152" s="3"/>
      <c r="N152" s="3"/>
      <c r="O152" s="3"/>
      <c r="P152" s="3"/>
      <c r="Q152" s="3"/>
      <c r="R152" s="3"/>
      <c r="S152" s="3"/>
      <c r="T152" s="3"/>
      <c r="U152" s="3"/>
      <c r="V152" s="3"/>
      <c r="W152" s="3"/>
      <c r="X152" s="3"/>
      <c r="Y152" s="3"/>
      <c r="Z152" s="3"/>
    </row>
    <row r="153">
      <c r="A153" s="57"/>
      <c r="B153" s="57"/>
      <c r="C153" s="57"/>
      <c r="D153" s="3"/>
      <c r="E153" s="3"/>
      <c r="F153" s="3"/>
      <c r="G153" s="3"/>
      <c r="H153" s="3"/>
      <c r="I153" s="3"/>
      <c r="J153" s="3"/>
      <c r="K153" s="3"/>
      <c r="L153" s="3"/>
      <c r="M153" s="3"/>
      <c r="N153" s="3"/>
      <c r="O153" s="3"/>
      <c r="P153" s="3"/>
      <c r="Q153" s="3"/>
      <c r="R153" s="3"/>
      <c r="S153" s="3"/>
      <c r="T153" s="3"/>
      <c r="U153" s="3"/>
      <c r="V153" s="3"/>
      <c r="W153" s="3"/>
      <c r="X153" s="3"/>
      <c r="Y153" s="3"/>
      <c r="Z153" s="3"/>
    </row>
    <row r="154">
      <c r="A154" s="57"/>
      <c r="B154" s="57"/>
      <c r="C154" s="57"/>
      <c r="D154" s="3"/>
      <c r="E154" s="3"/>
      <c r="F154" s="3"/>
      <c r="G154" s="3"/>
      <c r="H154" s="3"/>
      <c r="I154" s="3"/>
      <c r="J154" s="3"/>
      <c r="K154" s="3"/>
      <c r="L154" s="3"/>
      <c r="M154" s="3"/>
      <c r="N154" s="3"/>
      <c r="O154" s="3"/>
      <c r="P154" s="3"/>
      <c r="Q154" s="3"/>
      <c r="R154" s="3"/>
      <c r="S154" s="3"/>
      <c r="T154" s="3"/>
      <c r="U154" s="3"/>
      <c r="V154" s="3"/>
      <c r="W154" s="3"/>
      <c r="X154" s="3"/>
      <c r="Y154" s="3"/>
      <c r="Z154" s="3"/>
    </row>
    <row r="155">
      <c r="A155" s="57"/>
      <c r="B155" s="57"/>
      <c r="C155" s="57"/>
      <c r="D155" s="3"/>
      <c r="E155" s="3"/>
      <c r="F155" s="3"/>
      <c r="G155" s="3"/>
      <c r="H155" s="3"/>
      <c r="I155" s="3"/>
      <c r="J155" s="3"/>
      <c r="K155" s="3"/>
      <c r="L155" s="3"/>
      <c r="M155" s="3"/>
      <c r="N155" s="3"/>
      <c r="O155" s="3"/>
      <c r="P155" s="3"/>
      <c r="Q155" s="3"/>
      <c r="R155" s="3"/>
      <c r="S155" s="3"/>
      <c r="T155" s="3"/>
      <c r="U155" s="3"/>
      <c r="V155" s="3"/>
      <c r="W155" s="3"/>
      <c r="X155" s="3"/>
      <c r="Y155" s="3"/>
      <c r="Z155" s="3"/>
    </row>
    <row r="156">
      <c r="A156" s="57"/>
      <c r="B156" s="57"/>
      <c r="C156" s="57"/>
      <c r="D156" s="3"/>
      <c r="E156" s="3"/>
      <c r="F156" s="3"/>
      <c r="G156" s="3"/>
      <c r="H156" s="3"/>
      <c r="I156" s="3"/>
      <c r="J156" s="3"/>
      <c r="K156" s="3"/>
      <c r="L156" s="3"/>
      <c r="M156" s="3"/>
      <c r="N156" s="3"/>
      <c r="O156" s="3"/>
      <c r="P156" s="3"/>
      <c r="Q156" s="3"/>
      <c r="R156" s="3"/>
      <c r="S156" s="3"/>
      <c r="T156" s="3"/>
      <c r="U156" s="3"/>
      <c r="V156" s="3"/>
      <c r="W156" s="3"/>
      <c r="X156" s="3"/>
      <c r="Y156" s="3"/>
      <c r="Z156" s="3"/>
    </row>
    <row r="157">
      <c r="A157" s="57"/>
      <c r="B157" s="57"/>
      <c r="C157" s="57"/>
      <c r="D157" s="3"/>
      <c r="E157" s="3"/>
      <c r="F157" s="3"/>
      <c r="G157" s="3"/>
      <c r="H157" s="3"/>
      <c r="I157" s="3"/>
      <c r="J157" s="3"/>
      <c r="K157" s="3"/>
      <c r="L157" s="3"/>
      <c r="M157" s="3"/>
      <c r="N157" s="3"/>
      <c r="O157" s="3"/>
      <c r="P157" s="3"/>
      <c r="Q157" s="3"/>
      <c r="R157" s="3"/>
      <c r="S157" s="3"/>
      <c r="T157" s="3"/>
      <c r="U157" s="3"/>
      <c r="V157" s="3"/>
      <c r="W157" s="3"/>
      <c r="X157" s="3"/>
      <c r="Y157" s="3"/>
      <c r="Z157" s="3"/>
    </row>
    <row r="158">
      <c r="A158" s="57"/>
      <c r="B158" s="57"/>
      <c r="C158" s="57"/>
      <c r="D158" s="3"/>
      <c r="E158" s="3"/>
      <c r="F158" s="3"/>
      <c r="G158" s="3"/>
      <c r="H158" s="3"/>
      <c r="I158" s="3"/>
      <c r="J158" s="3"/>
      <c r="K158" s="3"/>
      <c r="L158" s="3"/>
      <c r="M158" s="3"/>
      <c r="N158" s="3"/>
      <c r="O158" s="3"/>
      <c r="P158" s="3"/>
      <c r="Q158" s="3"/>
      <c r="R158" s="3"/>
      <c r="S158" s="3"/>
      <c r="T158" s="3"/>
      <c r="U158" s="3"/>
      <c r="V158" s="3"/>
      <c r="W158" s="3"/>
      <c r="X158" s="3"/>
      <c r="Y158" s="3"/>
      <c r="Z158" s="3"/>
    </row>
    <row r="159">
      <c r="A159" s="57"/>
      <c r="B159" s="57"/>
      <c r="C159" s="57"/>
      <c r="D159" s="3"/>
      <c r="E159" s="3"/>
      <c r="F159" s="3"/>
      <c r="G159" s="3"/>
      <c r="H159" s="3"/>
      <c r="I159" s="3"/>
      <c r="J159" s="3"/>
      <c r="K159" s="3"/>
      <c r="L159" s="3"/>
      <c r="M159" s="3"/>
      <c r="N159" s="3"/>
      <c r="O159" s="3"/>
      <c r="P159" s="3"/>
      <c r="Q159" s="3"/>
      <c r="R159" s="3"/>
      <c r="S159" s="3"/>
      <c r="T159" s="3"/>
      <c r="U159" s="3"/>
      <c r="V159" s="3"/>
      <c r="W159" s="3"/>
      <c r="X159" s="3"/>
      <c r="Y159" s="3"/>
      <c r="Z159" s="3"/>
    </row>
    <row r="160">
      <c r="A160" s="57"/>
      <c r="B160" s="57"/>
      <c r="C160" s="57"/>
      <c r="D160" s="3"/>
      <c r="E160" s="3"/>
      <c r="F160" s="3"/>
      <c r="G160" s="3"/>
      <c r="H160" s="3"/>
      <c r="I160" s="3"/>
      <c r="J160" s="3"/>
      <c r="K160" s="3"/>
      <c r="L160" s="3"/>
      <c r="M160" s="3"/>
      <c r="N160" s="3"/>
      <c r="O160" s="3"/>
      <c r="P160" s="3"/>
      <c r="Q160" s="3"/>
      <c r="R160" s="3"/>
      <c r="S160" s="3"/>
      <c r="T160" s="3"/>
      <c r="U160" s="3"/>
      <c r="V160" s="3"/>
      <c r="W160" s="3"/>
      <c r="X160" s="3"/>
      <c r="Y160" s="3"/>
      <c r="Z160" s="3"/>
    </row>
    <row r="161">
      <c r="A161" s="57"/>
      <c r="B161" s="57"/>
      <c r="C161" s="57"/>
      <c r="D161" s="3"/>
      <c r="E161" s="3"/>
      <c r="F161" s="3"/>
      <c r="G161" s="3"/>
      <c r="H161" s="3"/>
      <c r="I161" s="3"/>
      <c r="J161" s="3"/>
      <c r="K161" s="3"/>
      <c r="L161" s="3"/>
      <c r="M161" s="3"/>
      <c r="N161" s="3"/>
      <c r="O161" s="3"/>
      <c r="P161" s="3"/>
      <c r="Q161" s="3"/>
      <c r="R161" s="3"/>
      <c r="S161" s="3"/>
      <c r="T161" s="3"/>
      <c r="U161" s="3"/>
      <c r="V161" s="3"/>
      <c r="W161" s="3"/>
      <c r="X161" s="3"/>
      <c r="Y161" s="3"/>
      <c r="Z161" s="3"/>
    </row>
    <row r="162">
      <c r="A162" s="57"/>
      <c r="B162" s="57"/>
      <c r="C162" s="57"/>
      <c r="D162" s="3"/>
      <c r="E162" s="3"/>
      <c r="F162" s="3"/>
      <c r="G162" s="3"/>
      <c r="H162" s="3"/>
      <c r="I162" s="3"/>
      <c r="J162" s="3"/>
      <c r="K162" s="3"/>
      <c r="L162" s="3"/>
      <c r="M162" s="3"/>
      <c r="N162" s="3"/>
      <c r="O162" s="3"/>
      <c r="P162" s="3"/>
      <c r="Q162" s="3"/>
      <c r="R162" s="3"/>
      <c r="S162" s="3"/>
      <c r="T162" s="3"/>
      <c r="U162" s="3"/>
      <c r="V162" s="3"/>
      <c r="W162" s="3"/>
      <c r="X162" s="3"/>
      <c r="Y162" s="3"/>
      <c r="Z162" s="3"/>
    </row>
    <row r="163">
      <c r="A163" s="57"/>
      <c r="B163" s="57"/>
      <c r="C163" s="57"/>
      <c r="D163" s="3"/>
      <c r="E163" s="3"/>
      <c r="F163" s="3"/>
      <c r="G163" s="3"/>
      <c r="H163" s="3"/>
      <c r="I163" s="3"/>
      <c r="J163" s="3"/>
      <c r="K163" s="3"/>
      <c r="L163" s="3"/>
      <c r="M163" s="3"/>
      <c r="N163" s="3"/>
      <c r="O163" s="3"/>
      <c r="P163" s="3"/>
      <c r="Q163" s="3"/>
      <c r="R163" s="3"/>
      <c r="S163" s="3"/>
      <c r="T163" s="3"/>
      <c r="U163" s="3"/>
      <c r="V163" s="3"/>
      <c r="W163" s="3"/>
      <c r="X163" s="3"/>
      <c r="Y163" s="3"/>
      <c r="Z163" s="3"/>
    </row>
    <row r="164">
      <c r="A164" s="57"/>
      <c r="B164" s="57"/>
      <c r="C164" s="57"/>
      <c r="D164" s="3"/>
      <c r="E164" s="3"/>
      <c r="F164" s="3"/>
      <c r="G164" s="3"/>
      <c r="H164" s="3"/>
      <c r="I164" s="3"/>
      <c r="J164" s="3"/>
      <c r="K164" s="3"/>
      <c r="L164" s="3"/>
      <c r="M164" s="3"/>
      <c r="N164" s="3"/>
      <c r="O164" s="3"/>
      <c r="P164" s="3"/>
      <c r="Q164" s="3"/>
      <c r="R164" s="3"/>
      <c r="S164" s="3"/>
      <c r="T164" s="3"/>
      <c r="U164" s="3"/>
      <c r="V164" s="3"/>
      <c r="W164" s="3"/>
      <c r="X164" s="3"/>
      <c r="Y164" s="3"/>
      <c r="Z164" s="3"/>
    </row>
    <row r="165">
      <c r="A165" s="57"/>
      <c r="B165" s="57"/>
      <c r="C165" s="57"/>
      <c r="D165" s="3"/>
      <c r="E165" s="3"/>
      <c r="F165" s="3"/>
      <c r="G165" s="3"/>
      <c r="H165" s="3"/>
      <c r="I165" s="3"/>
      <c r="J165" s="3"/>
      <c r="K165" s="3"/>
      <c r="L165" s="3"/>
      <c r="M165" s="3"/>
      <c r="N165" s="3"/>
      <c r="O165" s="3"/>
      <c r="P165" s="3"/>
      <c r="Q165" s="3"/>
      <c r="R165" s="3"/>
      <c r="S165" s="3"/>
      <c r="T165" s="3"/>
      <c r="U165" s="3"/>
      <c r="V165" s="3"/>
      <c r="W165" s="3"/>
      <c r="X165" s="3"/>
      <c r="Y165" s="3"/>
      <c r="Z165" s="3"/>
    </row>
    <row r="166">
      <c r="A166" s="57"/>
      <c r="B166" s="57"/>
      <c r="C166" s="57"/>
      <c r="D166" s="3"/>
      <c r="E166" s="3"/>
      <c r="F166" s="3"/>
      <c r="G166" s="3"/>
      <c r="H166" s="3"/>
      <c r="I166" s="3"/>
      <c r="J166" s="3"/>
      <c r="K166" s="3"/>
      <c r="L166" s="3"/>
      <c r="M166" s="3"/>
      <c r="N166" s="3"/>
      <c r="O166" s="3"/>
      <c r="P166" s="3"/>
      <c r="Q166" s="3"/>
      <c r="R166" s="3"/>
      <c r="S166" s="3"/>
      <c r="T166" s="3"/>
      <c r="U166" s="3"/>
      <c r="V166" s="3"/>
      <c r="W166" s="3"/>
      <c r="X166" s="3"/>
      <c r="Y166" s="3"/>
      <c r="Z166" s="3"/>
    </row>
    <row r="167">
      <c r="A167" s="57"/>
      <c r="B167" s="57"/>
      <c r="C167" s="57"/>
      <c r="D167" s="3"/>
      <c r="E167" s="3"/>
      <c r="F167" s="3"/>
      <c r="G167" s="3"/>
      <c r="H167" s="3"/>
      <c r="I167" s="3"/>
      <c r="J167" s="3"/>
      <c r="K167" s="3"/>
      <c r="L167" s="3"/>
      <c r="M167" s="3"/>
      <c r="N167" s="3"/>
      <c r="O167" s="3"/>
      <c r="P167" s="3"/>
      <c r="Q167" s="3"/>
      <c r="R167" s="3"/>
      <c r="S167" s="3"/>
      <c r="T167" s="3"/>
      <c r="U167" s="3"/>
      <c r="V167" s="3"/>
      <c r="W167" s="3"/>
      <c r="X167" s="3"/>
      <c r="Y167" s="3"/>
      <c r="Z167" s="3"/>
    </row>
    <row r="168">
      <c r="A168" s="57"/>
      <c r="B168" s="57"/>
      <c r="C168" s="57"/>
      <c r="D168" s="3"/>
      <c r="E168" s="3"/>
      <c r="F168" s="3"/>
      <c r="G168" s="3"/>
      <c r="H168" s="3"/>
      <c r="I168" s="3"/>
      <c r="J168" s="3"/>
      <c r="K168" s="3"/>
      <c r="L168" s="3"/>
      <c r="M168" s="3"/>
      <c r="N168" s="3"/>
      <c r="O168" s="3"/>
      <c r="P168" s="3"/>
      <c r="Q168" s="3"/>
      <c r="R168" s="3"/>
      <c r="S168" s="3"/>
      <c r="T168" s="3"/>
      <c r="U168" s="3"/>
      <c r="V168" s="3"/>
      <c r="W168" s="3"/>
      <c r="X168" s="3"/>
      <c r="Y168" s="3"/>
      <c r="Z168" s="3"/>
    </row>
    <row r="169">
      <c r="A169" s="57"/>
      <c r="B169" s="57"/>
      <c r="C169" s="57"/>
      <c r="D169" s="3"/>
      <c r="E169" s="3"/>
      <c r="F169" s="3"/>
      <c r="G169" s="3"/>
      <c r="H169" s="3"/>
      <c r="I169" s="3"/>
      <c r="J169" s="3"/>
      <c r="K169" s="3"/>
      <c r="L169" s="3"/>
      <c r="M169" s="3"/>
      <c r="N169" s="3"/>
      <c r="O169" s="3"/>
      <c r="P169" s="3"/>
      <c r="Q169" s="3"/>
      <c r="R169" s="3"/>
      <c r="S169" s="3"/>
      <c r="T169" s="3"/>
      <c r="U169" s="3"/>
      <c r="V169" s="3"/>
      <c r="W169" s="3"/>
      <c r="X169" s="3"/>
      <c r="Y169" s="3"/>
      <c r="Z169" s="3"/>
    </row>
    <row r="170">
      <c r="A170" s="57"/>
      <c r="B170" s="57"/>
      <c r="C170" s="57"/>
      <c r="D170" s="3"/>
      <c r="E170" s="3"/>
      <c r="F170" s="3"/>
      <c r="G170" s="3"/>
      <c r="H170" s="3"/>
      <c r="I170" s="3"/>
      <c r="J170" s="3"/>
      <c r="K170" s="3"/>
      <c r="L170" s="3"/>
      <c r="M170" s="3"/>
      <c r="N170" s="3"/>
      <c r="O170" s="3"/>
      <c r="P170" s="3"/>
      <c r="Q170" s="3"/>
      <c r="R170" s="3"/>
      <c r="S170" s="3"/>
      <c r="T170" s="3"/>
      <c r="U170" s="3"/>
      <c r="V170" s="3"/>
      <c r="W170" s="3"/>
      <c r="X170" s="3"/>
      <c r="Y170" s="3"/>
      <c r="Z170" s="3"/>
    </row>
    <row r="171">
      <c r="A171" s="57"/>
      <c r="B171" s="57"/>
      <c r="C171" s="57"/>
      <c r="D171" s="3"/>
      <c r="E171" s="3"/>
      <c r="F171" s="3"/>
      <c r="G171" s="3"/>
      <c r="H171" s="3"/>
      <c r="I171" s="3"/>
      <c r="J171" s="3"/>
      <c r="K171" s="3"/>
      <c r="L171" s="3"/>
      <c r="M171" s="3"/>
      <c r="N171" s="3"/>
      <c r="O171" s="3"/>
      <c r="P171" s="3"/>
      <c r="Q171" s="3"/>
      <c r="R171" s="3"/>
      <c r="S171" s="3"/>
      <c r="T171" s="3"/>
      <c r="U171" s="3"/>
      <c r="V171" s="3"/>
      <c r="W171" s="3"/>
      <c r="X171" s="3"/>
      <c r="Y171" s="3"/>
      <c r="Z171" s="3"/>
    </row>
    <row r="172">
      <c r="A172" s="57"/>
      <c r="B172" s="57"/>
      <c r="C172" s="57"/>
      <c r="D172" s="3"/>
      <c r="E172" s="3"/>
      <c r="F172" s="3"/>
      <c r="G172" s="3"/>
      <c r="H172" s="3"/>
      <c r="I172" s="3"/>
      <c r="J172" s="3"/>
      <c r="K172" s="3"/>
      <c r="L172" s="3"/>
      <c r="M172" s="3"/>
      <c r="N172" s="3"/>
      <c r="O172" s="3"/>
      <c r="P172" s="3"/>
      <c r="Q172" s="3"/>
      <c r="R172" s="3"/>
      <c r="S172" s="3"/>
      <c r="T172" s="3"/>
      <c r="U172" s="3"/>
      <c r="V172" s="3"/>
      <c r="W172" s="3"/>
      <c r="X172" s="3"/>
      <c r="Y172" s="3"/>
      <c r="Z172" s="3"/>
    </row>
    <row r="173">
      <c r="A173" s="57"/>
      <c r="B173" s="57"/>
      <c r="C173" s="57"/>
      <c r="D173" s="3"/>
      <c r="E173" s="3"/>
      <c r="F173" s="3"/>
      <c r="G173" s="3"/>
      <c r="H173" s="3"/>
      <c r="I173" s="3"/>
      <c r="J173" s="3"/>
      <c r="K173" s="3"/>
      <c r="L173" s="3"/>
      <c r="M173" s="3"/>
      <c r="N173" s="3"/>
      <c r="O173" s="3"/>
      <c r="P173" s="3"/>
      <c r="Q173" s="3"/>
      <c r="R173" s="3"/>
      <c r="S173" s="3"/>
      <c r="T173" s="3"/>
      <c r="U173" s="3"/>
      <c r="V173" s="3"/>
      <c r="W173" s="3"/>
      <c r="X173" s="3"/>
      <c r="Y173" s="3"/>
      <c r="Z173" s="3"/>
    </row>
    <row r="174">
      <c r="A174" s="57"/>
      <c r="B174" s="57"/>
      <c r="C174" s="57"/>
      <c r="D174" s="3"/>
      <c r="E174" s="3"/>
      <c r="F174" s="3"/>
      <c r="G174" s="3"/>
      <c r="H174" s="3"/>
      <c r="I174" s="3"/>
      <c r="J174" s="3"/>
      <c r="K174" s="3"/>
      <c r="L174" s="3"/>
      <c r="M174" s="3"/>
      <c r="N174" s="3"/>
      <c r="O174" s="3"/>
      <c r="P174" s="3"/>
      <c r="Q174" s="3"/>
      <c r="R174" s="3"/>
      <c r="S174" s="3"/>
      <c r="T174" s="3"/>
      <c r="U174" s="3"/>
      <c r="V174" s="3"/>
      <c r="W174" s="3"/>
      <c r="X174" s="3"/>
      <c r="Y174" s="3"/>
      <c r="Z174" s="3"/>
    </row>
    <row r="175">
      <c r="A175" s="57"/>
      <c r="B175" s="57"/>
      <c r="C175" s="57"/>
      <c r="D175" s="3"/>
      <c r="E175" s="3"/>
      <c r="F175" s="3"/>
      <c r="G175" s="3"/>
      <c r="H175" s="3"/>
      <c r="I175" s="3"/>
      <c r="J175" s="3"/>
      <c r="K175" s="3"/>
      <c r="L175" s="3"/>
      <c r="M175" s="3"/>
      <c r="N175" s="3"/>
      <c r="O175" s="3"/>
      <c r="P175" s="3"/>
      <c r="Q175" s="3"/>
      <c r="R175" s="3"/>
      <c r="S175" s="3"/>
      <c r="T175" s="3"/>
      <c r="U175" s="3"/>
      <c r="V175" s="3"/>
      <c r="W175" s="3"/>
      <c r="X175" s="3"/>
      <c r="Y175" s="3"/>
      <c r="Z175" s="3"/>
    </row>
    <row r="176">
      <c r="A176" s="57"/>
      <c r="B176" s="57"/>
      <c r="C176" s="57"/>
      <c r="D176" s="3"/>
      <c r="E176" s="3"/>
      <c r="F176" s="3"/>
      <c r="G176" s="3"/>
      <c r="H176" s="3"/>
      <c r="I176" s="3"/>
      <c r="J176" s="3"/>
      <c r="K176" s="3"/>
      <c r="L176" s="3"/>
      <c r="M176" s="3"/>
      <c r="N176" s="3"/>
      <c r="O176" s="3"/>
      <c r="P176" s="3"/>
      <c r="Q176" s="3"/>
      <c r="R176" s="3"/>
      <c r="S176" s="3"/>
      <c r="T176" s="3"/>
      <c r="U176" s="3"/>
      <c r="V176" s="3"/>
      <c r="W176" s="3"/>
      <c r="X176" s="3"/>
      <c r="Y176" s="3"/>
      <c r="Z176" s="3"/>
    </row>
    <row r="177">
      <c r="A177" s="57"/>
      <c r="B177" s="57"/>
      <c r="C177" s="57"/>
      <c r="D177" s="3"/>
      <c r="E177" s="3"/>
      <c r="F177" s="3"/>
      <c r="G177" s="3"/>
      <c r="H177" s="3"/>
      <c r="I177" s="3"/>
      <c r="J177" s="3"/>
      <c r="K177" s="3"/>
      <c r="L177" s="3"/>
      <c r="M177" s="3"/>
      <c r="N177" s="3"/>
      <c r="O177" s="3"/>
      <c r="P177" s="3"/>
      <c r="Q177" s="3"/>
      <c r="R177" s="3"/>
      <c r="S177" s="3"/>
      <c r="T177" s="3"/>
      <c r="U177" s="3"/>
      <c r="V177" s="3"/>
      <c r="W177" s="3"/>
      <c r="X177" s="3"/>
      <c r="Y177" s="3"/>
      <c r="Z177" s="3"/>
    </row>
    <row r="178">
      <c r="A178" s="57"/>
      <c r="B178" s="57"/>
      <c r="C178" s="57"/>
      <c r="D178" s="3"/>
      <c r="E178" s="3"/>
      <c r="F178" s="3"/>
      <c r="G178" s="3"/>
      <c r="H178" s="3"/>
      <c r="I178" s="3"/>
      <c r="J178" s="3"/>
      <c r="K178" s="3"/>
      <c r="L178" s="3"/>
      <c r="M178" s="3"/>
      <c r="N178" s="3"/>
      <c r="O178" s="3"/>
      <c r="P178" s="3"/>
      <c r="Q178" s="3"/>
      <c r="R178" s="3"/>
      <c r="S178" s="3"/>
      <c r="T178" s="3"/>
      <c r="U178" s="3"/>
      <c r="V178" s="3"/>
      <c r="W178" s="3"/>
      <c r="X178" s="3"/>
      <c r="Y178" s="3"/>
      <c r="Z178" s="3"/>
    </row>
    <row r="179">
      <c r="A179" s="57"/>
      <c r="B179" s="57"/>
      <c r="C179" s="57"/>
      <c r="D179" s="3"/>
      <c r="E179" s="3"/>
      <c r="F179" s="3"/>
      <c r="G179" s="3"/>
      <c r="H179" s="3"/>
      <c r="I179" s="3"/>
      <c r="J179" s="3"/>
      <c r="K179" s="3"/>
      <c r="L179" s="3"/>
      <c r="M179" s="3"/>
      <c r="N179" s="3"/>
      <c r="O179" s="3"/>
      <c r="P179" s="3"/>
      <c r="Q179" s="3"/>
      <c r="R179" s="3"/>
      <c r="S179" s="3"/>
      <c r="T179" s="3"/>
      <c r="U179" s="3"/>
      <c r="V179" s="3"/>
      <c r="W179" s="3"/>
      <c r="X179" s="3"/>
      <c r="Y179" s="3"/>
      <c r="Z179" s="3"/>
    </row>
    <row r="180">
      <c r="A180" s="57"/>
      <c r="B180" s="57"/>
      <c r="C180" s="57"/>
      <c r="D180" s="3"/>
      <c r="E180" s="3"/>
      <c r="F180" s="3"/>
      <c r="G180" s="3"/>
      <c r="H180" s="3"/>
      <c r="I180" s="3"/>
      <c r="J180" s="3"/>
      <c r="K180" s="3"/>
      <c r="L180" s="3"/>
      <c r="M180" s="3"/>
      <c r="N180" s="3"/>
      <c r="O180" s="3"/>
      <c r="P180" s="3"/>
      <c r="Q180" s="3"/>
      <c r="R180" s="3"/>
      <c r="S180" s="3"/>
      <c r="T180" s="3"/>
      <c r="U180" s="3"/>
      <c r="V180" s="3"/>
      <c r="W180" s="3"/>
      <c r="X180" s="3"/>
      <c r="Y180" s="3"/>
      <c r="Z180" s="3"/>
    </row>
    <row r="181">
      <c r="A181" s="57"/>
      <c r="B181" s="57"/>
      <c r="C181" s="57"/>
      <c r="D181" s="3"/>
      <c r="E181" s="3"/>
      <c r="F181" s="3"/>
      <c r="G181" s="3"/>
      <c r="H181" s="3"/>
      <c r="I181" s="3"/>
      <c r="J181" s="3"/>
      <c r="K181" s="3"/>
      <c r="L181" s="3"/>
      <c r="M181" s="3"/>
      <c r="N181" s="3"/>
      <c r="O181" s="3"/>
      <c r="P181" s="3"/>
      <c r="Q181" s="3"/>
      <c r="R181" s="3"/>
      <c r="S181" s="3"/>
      <c r="T181" s="3"/>
      <c r="U181" s="3"/>
      <c r="V181" s="3"/>
      <c r="W181" s="3"/>
      <c r="X181" s="3"/>
      <c r="Y181" s="3"/>
      <c r="Z181" s="3"/>
    </row>
    <row r="182">
      <c r="A182" s="57"/>
      <c r="B182" s="57"/>
      <c r="C182" s="57"/>
      <c r="D182" s="3"/>
      <c r="E182" s="3"/>
      <c r="F182" s="3"/>
      <c r="G182" s="3"/>
      <c r="H182" s="3"/>
      <c r="I182" s="3"/>
      <c r="J182" s="3"/>
      <c r="K182" s="3"/>
      <c r="L182" s="3"/>
      <c r="M182" s="3"/>
      <c r="N182" s="3"/>
      <c r="O182" s="3"/>
      <c r="P182" s="3"/>
      <c r="Q182" s="3"/>
      <c r="R182" s="3"/>
      <c r="S182" s="3"/>
      <c r="T182" s="3"/>
      <c r="U182" s="3"/>
      <c r="V182" s="3"/>
      <c r="W182" s="3"/>
      <c r="X182" s="3"/>
      <c r="Y182" s="3"/>
      <c r="Z182" s="3"/>
    </row>
    <row r="183">
      <c r="A183" s="57"/>
      <c r="B183" s="57"/>
      <c r="C183" s="57"/>
      <c r="D183" s="3"/>
      <c r="E183" s="3"/>
      <c r="F183" s="3"/>
      <c r="G183" s="3"/>
      <c r="H183" s="3"/>
      <c r="I183" s="3"/>
      <c r="J183" s="3"/>
      <c r="K183" s="3"/>
      <c r="L183" s="3"/>
      <c r="M183" s="3"/>
      <c r="N183" s="3"/>
      <c r="O183" s="3"/>
      <c r="P183" s="3"/>
      <c r="Q183" s="3"/>
      <c r="R183" s="3"/>
      <c r="S183" s="3"/>
      <c r="T183" s="3"/>
      <c r="U183" s="3"/>
      <c r="V183" s="3"/>
      <c r="W183" s="3"/>
      <c r="X183" s="3"/>
      <c r="Y183" s="3"/>
      <c r="Z183" s="3"/>
    </row>
    <row r="184">
      <c r="A184" s="57"/>
      <c r="B184" s="57"/>
      <c r="C184" s="57"/>
      <c r="D184" s="3"/>
      <c r="E184" s="3"/>
      <c r="F184" s="3"/>
      <c r="G184" s="3"/>
      <c r="H184" s="3"/>
      <c r="I184" s="3"/>
      <c r="J184" s="3"/>
      <c r="K184" s="3"/>
      <c r="L184" s="3"/>
      <c r="M184" s="3"/>
      <c r="N184" s="3"/>
      <c r="O184" s="3"/>
      <c r="P184" s="3"/>
      <c r="Q184" s="3"/>
      <c r="R184" s="3"/>
      <c r="S184" s="3"/>
      <c r="T184" s="3"/>
      <c r="U184" s="3"/>
      <c r="V184" s="3"/>
      <c r="W184" s="3"/>
      <c r="X184" s="3"/>
      <c r="Y184" s="3"/>
      <c r="Z184" s="3"/>
    </row>
    <row r="185">
      <c r="A185" s="57"/>
      <c r="B185" s="57"/>
      <c r="C185" s="57"/>
      <c r="D185" s="3"/>
      <c r="E185" s="3"/>
      <c r="F185" s="3"/>
      <c r="G185" s="3"/>
      <c r="H185" s="3"/>
      <c r="I185" s="3"/>
      <c r="J185" s="3"/>
      <c r="K185" s="3"/>
      <c r="L185" s="3"/>
      <c r="M185" s="3"/>
      <c r="N185" s="3"/>
      <c r="O185" s="3"/>
      <c r="P185" s="3"/>
      <c r="Q185" s="3"/>
      <c r="R185" s="3"/>
      <c r="S185" s="3"/>
      <c r="T185" s="3"/>
      <c r="U185" s="3"/>
      <c r="V185" s="3"/>
      <c r="W185" s="3"/>
      <c r="X185" s="3"/>
      <c r="Y185" s="3"/>
      <c r="Z185" s="3"/>
    </row>
    <row r="186">
      <c r="A186" s="57"/>
      <c r="B186" s="57"/>
      <c r="C186" s="57"/>
      <c r="D186" s="3"/>
      <c r="E186" s="3"/>
      <c r="F186" s="3"/>
      <c r="G186" s="3"/>
      <c r="H186" s="3"/>
      <c r="I186" s="3"/>
      <c r="J186" s="3"/>
      <c r="K186" s="3"/>
      <c r="L186" s="3"/>
      <c r="M186" s="3"/>
      <c r="N186" s="3"/>
      <c r="O186" s="3"/>
      <c r="P186" s="3"/>
      <c r="Q186" s="3"/>
      <c r="R186" s="3"/>
      <c r="S186" s="3"/>
      <c r="T186" s="3"/>
      <c r="U186" s="3"/>
      <c r="V186" s="3"/>
      <c r="W186" s="3"/>
      <c r="X186" s="3"/>
      <c r="Y186" s="3"/>
      <c r="Z186" s="3"/>
    </row>
    <row r="187">
      <c r="A187" s="57"/>
      <c r="B187" s="57"/>
      <c r="C187" s="57"/>
      <c r="D187" s="3"/>
      <c r="E187" s="3"/>
      <c r="F187" s="3"/>
      <c r="G187" s="3"/>
      <c r="H187" s="3"/>
      <c r="I187" s="3"/>
      <c r="J187" s="3"/>
      <c r="K187" s="3"/>
      <c r="L187" s="3"/>
      <c r="M187" s="3"/>
      <c r="N187" s="3"/>
      <c r="O187" s="3"/>
      <c r="P187" s="3"/>
      <c r="Q187" s="3"/>
      <c r="R187" s="3"/>
      <c r="S187" s="3"/>
      <c r="T187" s="3"/>
      <c r="U187" s="3"/>
      <c r="V187" s="3"/>
      <c r="W187" s="3"/>
      <c r="X187" s="3"/>
      <c r="Y187" s="3"/>
      <c r="Z187" s="3"/>
    </row>
    <row r="188">
      <c r="A188" s="57"/>
      <c r="B188" s="57"/>
      <c r="C188" s="57"/>
      <c r="D188" s="3"/>
      <c r="E188" s="3"/>
      <c r="F188" s="3"/>
      <c r="G188" s="3"/>
      <c r="H188" s="3"/>
      <c r="I188" s="3"/>
      <c r="J188" s="3"/>
      <c r="K188" s="3"/>
      <c r="L188" s="3"/>
      <c r="M188" s="3"/>
      <c r="N188" s="3"/>
      <c r="O188" s="3"/>
      <c r="P188" s="3"/>
      <c r="Q188" s="3"/>
      <c r="R188" s="3"/>
      <c r="S188" s="3"/>
      <c r="T188" s="3"/>
      <c r="U188" s="3"/>
      <c r="V188" s="3"/>
      <c r="W188" s="3"/>
      <c r="X188" s="3"/>
      <c r="Y188" s="3"/>
      <c r="Z188" s="3"/>
    </row>
    <row r="189">
      <c r="A189" s="57"/>
      <c r="B189" s="57"/>
      <c r="C189" s="57"/>
      <c r="D189" s="3"/>
      <c r="E189" s="3"/>
      <c r="F189" s="3"/>
      <c r="G189" s="3"/>
      <c r="H189" s="3"/>
      <c r="I189" s="3"/>
      <c r="J189" s="3"/>
      <c r="K189" s="3"/>
      <c r="L189" s="3"/>
      <c r="M189" s="3"/>
      <c r="N189" s="3"/>
      <c r="O189" s="3"/>
      <c r="P189" s="3"/>
      <c r="Q189" s="3"/>
      <c r="R189" s="3"/>
      <c r="S189" s="3"/>
      <c r="T189" s="3"/>
      <c r="U189" s="3"/>
      <c r="V189" s="3"/>
      <c r="W189" s="3"/>
      <c r="X189" s="3"/>
      <c r="Y189" s="3"/>
      <c r="Z189" s="3"/>
    </row>
    <row r="190">
      <c r="A190" s="57"/>
      <c r="B190" s="57"/>
      <c r="C190" s="57"/>
      <c r="D190" s="3"/>
      <c r="E190" s="3"/>
      <c r="F190" s="3"/>
      <c r="G190" s="3"/>
      <c r="H190" s="3"/>
      <c r="I190" s="3"/>
      <c r="J190" s="3"/>
      <c r="K190" s="3"/>
      <c r="L190" s="3"/>
      <c r="M190" s="3"/>
      <c r="N190" s="3"/>
      <c r="O190" s="3"/>
      <c r="P190" s="3"/>
      <c r="Q190" s="3"/>
      <c r="R190" s="3"/>
      <c r="S190" s="3"/>
      <c r="T190" s="3"/>
      <c r="U190" s="3"/>
      <c r="V190" s="3"/>
      <c r="W190" s="3"/>
      <c r="X190" s="3"/>
      <c r="Y190" s="3"/>
      <c r="Z190" s="3"/>
    </row>
    <row r="191">
      <c r="A191" s="57"/>
      <c r="B191" s="57"/>
      <c r="C191" s="57"/>
      <c r="D191" s="3"/>
      <c r="E191" s="3"/>
      <c r="F191" s="3"/>
      <c r="G191" s="3"/>
      <c r="H191" s="3"/>
      <c r="I191" s="3"/>
      <c r="J191" s="3"/>
      <c r="K191" s="3"/>
      <c r="L191" s="3"/>
      <c r="M191" s="3"/>
      <c r="N191" s="3"/>
      <c r="O191" s="3"/>
      <c r="P191" s="3"/>
      <c r="Q191" s="3"/>
      <c r="R191" s="3"/>
      <c r="S191" s="3"/>
      <c r="T191" s="3"/>
      <c r="U191" s="3"/>
      <c r="V191" s="3"/>
      <c r="W191" s="3"/>
      <c r="X191" s="3"/>
      <c r="Y191" s="3"/>
      <c r="Z191" s="3"/>
    </row>
    <row r="192">
      <c r="A192" s="57"/>
      <c r="B192" s="57"/>
      <c r="C192" s="57"/>
      <c r="D192" s="3"/>
      <c r="E192" s="3"/>
      <c r="F192" s="3"/>
      <c r="G192" s="3"/>
      <c r="H192" s="3"/>
      <c r="I192" s="3"/>
      <c r="J192" s="3"/>
      <c r="K192" s="3"/>
      <c r="L192" s="3"/>
      <c r="M192" s="3"/>
      <c r="N192" s="3"/>
      <c r="O192" s="3"/>
      <c r="P192" s="3"/>
      <c r="Q192" s="3"/>
      <c r="R192" s="3"/>
      <c r="S192" s="3"/>
      <c r="T192" s="3"/>
      <c r="U192" s="3"/>
      <c r="V192" s="3"/>
      <c r="W192" s="3"/>
      <c r="X192" s="3"/>
      <c r="Y192" s="3"/>
      <c r="Z192" s="3"/>
    </row>
    <row r="193">
      <c r="A193" s="57"/>
      <c r="B193" s="57"/>
      <c r="C193" s="57"/>
      <c r="D193" s="3"/>
      <c r="E193" s="3"/>
      <c r="F193" s="3"/>
      <c r="G193" s="3"/>
      <c r="H193" s="3"/>
      <c r="I193" s="3"/>
      <c r="J193" s="3"/>
      <c r="K193" s="3"/>
      <c r="L193" s="3"/>
      <c r="M193" s="3"/>
      <c r="N193" s="3"/>
      <c r="O193" s="3"/>
      <c r="P193" s="3"/>
      <c r="Q193" s="3"/>
      <c r="R193" s="3"/>
      <c r="S193" s="3"/>
      <c r="T193" s="3"/>
      <c r="U193" s="3"/>
      <c r="V193" s="3"/>
      <c r="W193" s="3"/>
      <c r="X193" s="3"/>
      <c r="Y193" s="3"/>
      <c r="Z193" s="3"/>
    </row>
    <row r="194">
      <c r="A194" s="57"/>
      <c r="B194" s="57"/>
      <c r="C194" s="57"/>
      <c r="D194" s="3"/>
      <c r="E194" s="3"/>
      <c r="F194" s="3"/>
      <c r="G194" s="3"/>
      <c r="H194" s="3"/>
      <c r="I194" s="3"/>
      <c r="J194" s="3"/>
      <c r="K194" s="3"/>
      <c r="L194" s="3"/>
      <c r="M194" s="3"/>
      <c r="N194" s="3"/>
      <c r="O194" s="3"/>
      <c r="P194" s="3"/>
      <c r="Q194" s="3"/>
      <c r="R194" s="3"/>
      <c r="S194" s="3"/>
      <c r="T194" s="3"/>
      <c r="U194" s="3"/>
      <c r="V194" s="3"/>
      <c r="W194" s="3"/>
      <c r="X194" s="3"/>
      <c r="Y194" s="3"/>
      <c r="Z194" s="3"/>
    </row>
    <row r="195">
      <c r="A195" s="57"/>
      <c r="B195" s="57"/>
      <c r="C195" s="57"/>
      <c r="D195" s="3"/>
      <c r="E195" s="3"/>
      <c r="F195" s="3"/>
      <c r="G195" s="3"/>
      <c r="H195" s="3"/>
      <c r="I195" s="3"/>
      <c r="J195" s="3"/>
      <c r="K195" s="3"/>
      <c r="L195" s="3"/>
      <c r="M195" s="3"/>
      <c r="N195" s="3"/>
      <c r="O195" s="3"/>
      <c r="P195" s="3"/>
      <c r="Q195" s="3"/>
      <c r="R195" s="3"/>
      <c r="S195" s="3"/>
      <c r="T195" s="3"/>
      <c r="U195" s="3"/>
      <c r="V195" s="3"/>
      <c r="W195" s="3"/>
      <c r="X195" s="3"/>
      <c r="Y195" s="3"/>
      <c r="Z195" s="3"/>
    </row>
    <row r="196">
      <c r="A196" s="57"/>
      <c r="B196" s="57"/>
      <c r="C196" s="57"/>
      <c r="D196" s="3"/>
      <c r="E196" s="3"/>
      <c r="F196" s="3"/>
      <c r="G196" s="3"/>
      <c r="H196" s="3"/>
      <c r="I196" s="3"/>
      <c r="J196" s="3"/>
      <c r="K196" s="3"/>
      <c r="L196" s="3"/>
      <c r="M196" s="3"/>
      <c r="N196" s="3"/>
      <c r="O196" s="3"/>
      <c r="P196" s="3"/>
      <c r="Q196" s="3"/>
      <c r="R196" s="3"/>
      <c r="S196" s="3"/>
      <c r="T196" s="3"/>
      <c r="U196" s="3"/>
      <c r="V196" s="3"/>
      <c r="W196" s="3"/>
      <c r="X196" s="3"/>
      <c r="Y196" s="3"/>
      <c r="Z196" s="3"/>
    </row>
    <row r="197">
      <c r="A197" s="57"/>
      <c r="B197" s="57"/>
      <c r="C197" s="57"/>
      <c r="D197" s="3"/>
      <c r="E197" s="3"/>
      <c r="F197" s="3"/>
      <c r="G197" s="3"/>
      <c r="H197" s="3"/>
      <c r="I197" s="3"/>
      <c r="J197" s="3"/>
      <c r="K197" s="3"/>
      <c r="L197" s="3"/>
      <c r="M197" s="3"/>
      <c r="N197" s="3"/>
      <c r="O197" s="3"/>
      <c r="P197" s="3"/>
      <c r="Q197" s="3"/>
      <c r="R197" s="3"/>
      <c r="S197" s="3"/>
      <c r="T197" s="3"/>
      <c r="U197" s="3"/>
      <c r="V197" s="3"/>
      <c r="W197" s="3"/>
      <c r="X197" s="3"/>
      <c r="Y197" s="3"/>
      <c r="Z197" s="3"/>
    </row>
    <row r="198">
      <c r="A198" s="57"/>
      <c r="B198" s="57"/>
      <c r="C198" s="57"/>
      <c r="D198" s="3"/>
      <c r="E198" s="3"/>
      <c r="F198" s="3"/>
      <c r="G198" s="3"/>
      <c r="H198" s="3"/>
      <c r="I198" s="3"/>
      <c r="J198" s="3"/>
      <c r="K198" s="3"/>
      <c r="L198" s="3"/>
      <c r="M198" s="3"/>
      <c r="N198" s="3"/>
      <c r="O198" s="3"/>
      <c r="P198" s="3"/>
      <c r="Q198" s="3"/>
      <c r="R198" s="3"/>
      <c r="S198" s="3"/>
      <c r="T198" s="3"/>
      <c r="U198" s="3"/>
      <c r="V198" s="3"/>
      <c r="W198" s="3"/>
      <c r="X198" s="3"/>
      <c r="Y198" s="3"/>
      <c r="Z198" s="3"/>
    </row>
    <row r="199">
      <c r="A199" s="57"/>
      <c r="B199" s="57"/>
      <c r="C199" s="57"/>
      <c r="D199" s="3"/>
      <c r="E199" s="3"/>
      <c r="F199" s="3"/>
      <c r="G199" s="3"/>
      <c r="H199" s="3"/>
      <c r="I199" s="3"/>
      <c r="J199" s="3"/>
      <c r="K199" s="3"/>
      <c r="L199" s="3"/>
      <c r="M199" s="3"/>
      <c r="N199" s="3"/>
      <c r="O199" s="3"/>
      <c r="P199" s="3"/>
      <c r="Q199" s="3"/>
      <c r="R199" s="3"/>
      <c r="S199" s="3"/>
      <c r="T199" s="3"/>
      <c r="U199" s="3"/>
      <c r="V199" s="3"/>
      <c r="W199" s="3"/>
      <c r="X199" s="3"/>
      <c r="Y199" s="3"/>
      <c r="Z199" s="3"/>
    </row>
    <row r="200">
      <c r="A200" s="57"/>
      <c r="B200" s="57"/>
      <c r="C200" s="57"/>
      <c r="D200" s="3"/>
      <c r="E200" s="3"/>
      <c r="F200" s="3"/>
      <c r="G200" s="3"/>
      <c r="H200" s="3"/>
      <c r="I200" s="3"/>
      <c r="J200" s="3"/>
      <c r="K200" s="3"/>
      <c r="L200" s="3"/>
      <c r="M200" s="3"/>
      <c r="N200" s="3"/>
      <c r="O200" s="3"/>
      <c r="P200" s="3"/>
      <c r="Q200" s="3"/>
      <c r="R200" s="3"/>
      <c r="S200" s="3"/>
      <c r="T200" s="3"/>
      <c r="U200" s="3"/>
      <c r="V200" s="3"/>
      <c r="W200" s="3"/>
      <c r="X200" s="3"/>
      <c r="Y200" s="3"/>
      <c r="Z200" s="3"/>
    </row>
    <row r="201">
      <c r="A201" s="57"/>
      <c r="B201" s="57"/>
      <c r="C201" s="57"/>
      <c r="D201" s="3"/>
      <c r="E201" s="3"/>
      <c r="F201" s="3"/>
      <c r="G201" s="3"/>
      <c r="H201" s="3"/>
      <c r="I201" s="3"/>
      <c r="J201" s="3"/>
      <c r="K201" s="3"/>
      <c r="L201" s="3"/>
      <c r="M201" s="3"/>
      <c r="N201" s="3"/>
      <c r="O201" s="3"/>
      <c r="P201" s="3"/>
      <c r="Q201" s="3"/>
      <c r="R201" s="3"/>
      <c r="S201" s="3"/>
      <c r="T201" s="3"/>
      <c r="U201" s="3"/>
      <c r="V201" s="3"/>
      <c r="W201" s="3"/>
      <c r="X201" s="3"/>
      <c r="Y201" s="3"/>
      <c r="Z201" s="3"/>
    </row>
    <row r="202">
      <c r="A202" s="57"/>
      <c r="B202" s="57"/>
      <c r="C202" s="57"/>
      <c r="D202" s="3"/>
      <c r="E202" s="3"/>
      <c r="F202" s="3"/>
      <c r="G202" s="3"/>
      <c r="H202" s="3"/>
      <c r="I202" s="3"/>
      <c r="J202" s="3"/>
      <c r="K202" s="3"/>
      <c r="L202" s="3"/>
      <c r="M202" s="3"/>
      <c r="N202" s="3"/>
      <c r="O202" s="3"/>
      <c r="P202" s="3"/>
      <c r="Q202" s="3"/>
      <c r="R202" s="3"/>
      <c r="S202" s="3"/>
      <c r="T202" s="3"/>
      <c r="U202" s="3"/>
      <c r="V202" s="3"/>
      <c r="W202" s="3"/>
      <c r="X202" s="3"/>
      <c r="Y202" s="3"/>
      <c r="Z202" s="3"/>
    </row>
    <row r="203">
      <c r="A203" s="57"/>
      <c r="B203" s="57"/>
      <c r="C203" s="57"/>
      <c r="D203" s="3"/>
      <c r="E203" s="3"/>
      <c r="F203" s="3"/>
      <c r="G203" s="3"/>
      <c r="H203" s="3"/>
      <c r="I203" s="3"/>
      <c r="J203" s="3"/>
      <c r="K203" s="3"/>
      <c r="L203" s="3"/>
      <c r="M203" s="3"/>
      <c r="N203" s="3"/>
      <c r="O203" s="3"/>
      <c r="P203" s="3"/>
      <c r="Q203" s="3"/>
      <c r="R203" s="3"/>
      <c r="S203" s="3"/>
      <c r="T203" s="3"/>
      <c r="U203" s="3"/>
      <c r="V203" s="3"/>
      <c r="W203" s="3"/>
      <c r="X203" s="3"/>
      <c r="Y203" s="3"/>
      <c r="Z203" s="3"/>
    </row>
    <row r="204">
      <c r="A204" s="57"/>
      <c r="B204" s="57"/>
      <c r="C204" s="57"/>
      <c r="D204" s="3"/>
      <c r="E204" s="3"/>
      <c r="F204" s="3"/>
      <c r="G204" s="3"/>
      <c r="H204" s="3"/>
      <c r="I204" s="3"/>
      <c r="J204" s="3"/>
      <c r="K204" s="3"/>
      <c r="L204" s="3"/>
      <c r="M204" s="3"/>
      <c r="N204" s="3"/>
      <c r="O204" s="3"/>
      <c r="P204" s="3"/>
      <c r="Q204" s="3"/>
      <c r="R204" s="3"/>
      <c r="S204" s="3"/>
      <c r="T204" s="3"/>
      <c r="U204" s="3"/>
      <c r="V204" s="3"/>
      <c r="W204" s="3"/>
      <c r="X204" s="3"/>
      <c r="Y204" s="3"/>
      <c r="Z204" s="3"/>
    </row>
    <row r="205">
      <c r="A205" s="57"/>
      <c r="B205" s="57"/>
      <c r="C205" s="57"/>
      <c r="D205" s="3"/>
      <c r="E205" s="3"/>
      <c r="F205" s="3"/>
      <c r="G205" s="3"/>
      <c r="H205" s="3"/>
      <c r="I205" s="3"/>
      <c r="J205" s="3"/>
      <c r="K205" s="3"/>
      <c r="L205" s="3"/>
      <c r="M205" s="3"/>
      <c r="N205" s="3"/>
      <c r="O205" s="3"/>
      <c r="P205" s="3"/>
      <c r="Q205" s="3"/>
      <c r="R205" s="3"/>
      <c r="S205" s="3"/>
      <c r="T205" s="3"/>
      <c r="U205" s="3"/>
      <c r="V205" s="3"/>
      <c r="W205" s="3"/>
      <c r="X205" s="3"/>
      <c r="Y205" s="3"/>
      <c r="Z205" s="3"/>
    </row>
    <row r="206">
      <c r="A206" s="57"/>
      <c r="B206" s="57"/>
      <c r="C206" s="57"/>
      <c r="D206" s="3"/>
      <c r="E206" s="3"/>
      <c r="F206" s="3"/>
      <c r="G206" s="3"/>
      <c r="H206" s="3"/>
      <c r="I206" s="3"/>
      <c r="J206" s="3"/>
      <c r="K206" s="3"/>
      <c r="L206" s="3"/>
      <c r="M206" s="3"/>
      <c r="N206" s="3"/>
      <c r="O206" s="3"/>
      <c r="P206" s="3"/>
      <c r="Q206" s="3"/>
      <c r="R206" s="3"/>
      <c r="S206" s="3"/>
      <c r="T206" s="3"/>
      <c r="U206" s="3"/>
      <c r="V206" s="3"/>
      <c r="W206" s="3"/>
      <c r="X206" s="3"/>
      <c r="Y206" s="3"/>
      <c r="Z206" s="3"/>
    </row>
    <row r="207">
      <c r="A207" s="57"/>
      <c r="B207" s="57"/>
      <c r="C207" s="57"/>
      <c r="D207" s="3"/>
      <c r="E207" s="3"/>
      <c r="F207" s="3"/>
      <c r="G207" s="3"/>
      <c r="H207" s="3"/>
      <c r="I207" s="3"/>
      <c r="J207" s="3"/>
      <c r="K207" s="3"/>
      <c r="L207" s="3"/>
      <c r="M207" s="3"/>
      <c r="N207" s="3"/>
      <c r="O207" s="3"/>
      <c r="P207" s="3"/>
      <c r="Q207" s="3"/>
      <c r="R207" s="3"/>
      <c r="S207" s="3"/>
      <c r="T207" s="3"/>
      <c r="U207" s="3"/>
      <c r="V207" s="3"/>
      <c r="W207" s="3"/>
      <c r="X207" s="3"/>
      <c r="Y207" s="3"/>
      <c r="Z207" s="3"/>
    </row>
    <row r="208">
      <c r="A208" s="57"/>
      <c r="B208" s="57"/>
      <c r="C208" s="57"/>
      <c r="D208" s="3"/>
      <c r="E208" s="3"/>
      <c r="F208" s="3"/>
      <c r="G208" s="3"/>
      <c r="H208" s="3"/>
      <c r="I208" s="3"/>
      <c r="J208" s="3"/>
      <c r="K208" s="3"/>
      <c r="L208" s="3"/>
      <c r="M208" s="3"/>
      <c r="N208" s="3"/>
      <c r="O208" s="3"/>
      <c r="P208" s="3"/>
      <c r="Q208" s="3"/>
      <c r="R208" s="3"/>
      <c r="S208" s="3"/>
      <c r="T208" s="3"/>
      <c r="U208" s="3"/>
      <c r="V208" s="3"/>
      <c r="W208" s="3"/>
      <c r="X208" s="3"/>
      <c r="Y208" s="3"/>
      <c r="Z208" s="3"/>
    </row>
    <row r="209">
      <c r="A209" s="57"/>
      <c r="B209" s="57"/>
      <c r="C209" s="57"/>
      <c r="D209" s="3"/>
      <c r="E209" s="3"/>
      <c r="F209" s="3"/>
      <c r="G209" s="3"/>
      <c r="H209" s="3"/>
      <c r="I209" s="3"/>
      <c r="J209" s="3"/>
      <c r="K209" s="3"/>
      <c r="L209" s="3"/>
      <c r="M209" s="3"/>
      <c r="N209" s="3"/>
      <c r="O209" s="3"/>
      <c r="P209" s="3"/>
      <c r="Q209" s="3"/>
      <c r="R209" s="3"/>
      <c r="S209" s="3"/>
      <c r="T209" s="3"/>
      <c r="U209" s="3"/>
      <c r="V209" s="3"/>
      <c r="W209" s="3"/>
      <c r="X209" s="3"/>
      <c r="Y209" s="3"/>
      <c r="Z209" s="3"/>
    </row>
    <row r="210">
      <c r="A210" s="57"/>
      <c r="B210" s="57"/>
      <c r="C210" s="57"/>
      <c r="D210" s="3"/>
      <c r="E210" s="3"/>
      <c r="F210" s="3"/>
      <c r="G210" s="3"/>
      <c r="H210" s="3"/>
      <c r="I210" s="3"/>
      <c r="J210" s="3"/>
      <c r="K210" s="3"/>
      <c r="L210" s="3"/>
      <c r="M210" s="3"/>
      <c r="N210" s="3"/>
      <c r="O210" s="3"/>
      <c r="P210" s="3"/>
      <c r="Q210" s="3"/>
      <c r="R210" s="3"/>
      <c r="S210" s="3"/>
      <c r="T210" s="3"/>
      <c r="U210" s="3"/>
      <c r="V210" s="3"/>
      <c r="W210" s="3"/>
      <c r="X210" s="3"/>
      <c r="Y210" s="3"/>
      <c r="Z210" s="3"/>
    </row>
    <row r="211">
      <c r="A211" s="57"/>
      <c r="B211" s="57"/>
      <c r="C211" s="57"/>
      <c r="D211" s="3"/>
      <c r="E211" s="3"/>
      <c r="F211" s="3"/>
      <c r="G211" s="3"/>
      <c r="H211" s="3"/>
      <c r="I211" s="3"/>
      <c r="J211" s="3"/>
      <c r="K211" s="3"/>
      <c r="L211" s="3"/>
      <c r="M211" s="3"/>
      <c r="N211" s="3"/>
      <c r="O211" s="3"/>
      <c r="P211" s="3"/>
      <c r="Q211" s="3"/>
      <c r="R211" s="3"/>
      <c r="S211" s="3"/>
      <c r="T211" s="3"/>
      <c r="U211" s="3"/>
      <c r="V211" s="3"/>
      <c r="W211" s="3"/>
      <c r="X211" s="3"/>
      <c r="Y211" s="3"/>
      <c r="Z211" s="3"/>
    </row>
    <row r="212">
      <c r="A212" s="57"/>
      <c r="B212" s="57"/>
      <c r="C212" s="57"/>
      <c r="D212" s="3"/>
      <c r="E212" s="3"/>
      <c r="F212" s="3"/>
      <c r="G212" s="3"/>
      <c r="H212" s="3"/>
      <c r="I212" s="3"/>
      <c r="J212" s="3"/>
      <c r="K212" s="3"/>
      <c r="L212" s="3"/>
      <c r="M212" s="3"/>
      <c r="N212" s="3"/>
      <c r="O212" s="3"/>
      <c r="P212" s="3"/>
      <c r="Q212" s="3"/>
      <c r="R212" s="3"/>
      <c r="S212" s="3"/>
      <c r="T212" s="3"/>
      <c r="U212" s="3"/>
      <c r="V212" s="3"/>
      <c r="W212" s="3"/>
      <c r="X212" s="3"/>
      <c r="Y212" s="3"/>
      <c r="Z212" s="3"/>
    </row>
    <row r="213">
      <c r="A213" s="57"/>
      <c r="B213" s="57"/>
      <c r="C213" s="57"/>
      <c r="D213" s="3"/>
      <c r="E213" s="3"/>
      <c r="F213" s="3"/>
      <c r="G213" s="3"/>
      <c r="H213" s="3"/>
      <c r="I213" s="3"/>
      <c r="J213" s="3"/>
      <c r="K213" s="3"/>
      <c r="L213" s="3"/>
      <c r="M213" s="3"/>
      <c r="N213" s="3"/>
      <c r="O213" s="3"/>
      <c r="P213" s="3"/>
      <c r="Q213" s="3"/>
      <c r="R213" s="3"/>
      <c r="S213" s="3"/>
      <c r="T213" s="3"/>
      <c r="U213" s="3"/>
      <c r="V213" s="3"/>
      <c r="W213" s="3"/>
      <c r="X213" s="3"/>
      <c r="Y213" s="3"/>
      <c r="Z213" s="3"/>
    </row>
    <row r="214">
      <c r="A214" s="57"/>
      <c r="B214" s="57"/>
      <c r="C214" s="57"/>
      <c r="D214" s="3"/>
      <c r="E214" s="3"/>
      <c r="F214" s="3"/>
      <c r="G214" s="3"/>
      <c r="H214" s="3"/>
      <c r="I214" s="3"/>
      <c r="J214" s="3"/>
      <c r="K214" s="3"/>
      <c r="L214" s="3"/>
      <c r="M214" s="3"/>
      <c r="N214" s="3"/>
      <c r="O214" s="3"/>
      <c r="P214" s="3"/>
      <c r="Q214" s="3"/>
      <c r="R214" s="3"/>
      <c r="S214" s="3"/>
      <c r="T214" s="3"/>
      <c r="U214" s="3"/>
      <c r="V214" s="3"/>
      <c r="W214" s="3"/>
      <c r="X214" s="3"/>
      <c r="Y214" s="3"/>
      <c r="Z214" s="3"/>
    </row>
    <row r="215">
      <c r="A215" s="57"/>
      <c r="B215" s="57"/>
      <c r="C215" s="57"/>
      <c r="D215" s="3"/>
      <c r="E215" s="3"/>
      <c r="F215" s="3"/>
      <c r="G215" s="3"/>
      <c r="H215" s="3"/>
      <c r="I215" s="3"/>
      <c r="J215" s="3"/>
      <c r="K215" s="3"/>
      <c r="L215" s="3"/>
      <c r="M215" s="3"/>
      <c r="N215" s="3"/>
      <c r="O215" s="3"/>
      <c r="P215" s="3"/>
      <c r="Q215" s="3"/>
      <c r="R215" s="3"/>
      <c r="S215" s="3"/>
      <c r="T215" s="3"/>
      <c r="U215" s="3"/>
      <c r="V215" s="3"/>
      <c r="W215" s="3"/>
      <c r="X215" s="3"/>
      <c r="Y215" s="3"/>
      <c r="Z215" s="3"/>
    </row>
    <row r="216">
      <c r="A216" s="57"/>
      <c r="B216" s="57"/>
      <c r="C216" s="57"/>
      <c r="D216" s="3"/>
      <c r="E216" s="3"/>
      <c r="F216" s="3"/>
      <c r="G216" s="3"/>
      <c r="H216" s="3"/>
      <c r="I216" s="3"/>
      <c r="J216" s="3"/>
      <c r="K216" s="3"/>
      <c r="L216" s="3"/>
      <c r="M216" s="3"/>
      <c r="N216" s="3"/>
      <c r="O216" s="3"/>
      <c r="P216" s="3"/>
      <c r="Q216" s="3"/>
      <c r="R216" s="3"/>
      <c r="S216" s="3"/>
      <c r="T216" s="3"/>
      <c r="U216" s="3"/>
      <c r="V216" s="3"/>
      <c r="W216" s="3"/>
      <c r="X216" s="3"/>
      <c r="Y216" s="3"/>
      <c r="Z216" s="3"/>
    </row>
    <row r="217">
      <c r="A217" s="57"/>
      <c r="B217" s="57"/>
      <c r="C217" s="57"/>
      <c r="D217" s="3"/>
      <c r="E217" s="3"/>
      <c r="F217" s="3"/>
      <c r="G217" s="3"/>
      <c r="H217" s="3"/>
      <c r="I217" s="3"/>
      <c r="J217" s="3"/>
      <c r="K217" s="3"/>
      <c r="L217" s="3"/>
      <c r="M217" s="3"/>
      <c r="N217" s="3"/>
      <c r="O217" s="3"/>
      <c r="P217" s="3"/>
      <c r="Q217" s="3"/>
      <c r="R217" s="3"/>
      <c r="S217" s="3"/>
      <c r="T217" s="3"/>
      <c r="U217" s="3"/>
      <c r="V217" s="3"/>
      <c r="W217" s="3"/>
      <c r="X217" s="3"/>
      <c r="Y217" s="3"/>
      <c r="Z217" s="3"/>
    </row>
    <row r="218">
      <c r="A218" s="57"/>
      <c r="B218" s="57"/>
      <c r="C218" s="57"/>
      <c r="D218" s="3"/>
      <c r="E218" s="3"/>
      <c r="F218" s="3"/>
      <c r="G218" s="3"/>
      <c r="H218" s="3"/>
      <c r="I218" s="3"/>
      <c r="J218" s="3"/>
      <c r="K218" s="3"/>
      <c r="L218" s="3"/>
      <c r="M218" s="3"/>
      <c r="N218" s="3"/>
      <c r="O218" s="3"/>
      <c r="P218" s="3"/>
      <c r="Q218" s="3"/>
      <c r="R218" s="3"/>
      <c r="S218" s="3"/>
      <c r="T218" s="3"/>
      <c r="U218" s="3"/>
      <c r="V218" s="3"/>
      <c r="W218" s="3"/>
      <c r="X218" s="3"/>
      <c r="Y218" s="3"/>
      <c r="Z218" s="3"/>
    </row>
    <row r="219">
      <c r="A219" s="57"/>
      <c r="B219" s="57"/>
      <c r="C219" s="57"/>
      <c r="D219" s="3"/>
      <c r="E219" s="3"/>
      <c r="F219" s="3"/>
      <c r="G219" s="3"/>
      <c r="H219" s="3"/>
      <c r="I219" s="3"/>
      <c r="J219" s="3"/>
      <c r="K219" s="3"/>
      <c r="L219" s="3"/>
      <c r="M219" s="3"/>
      <c r="N219" s="3"/>
      <c r="O219" s="3"/>
      <c r="P219" s="3"/>
      <c r="Q219" s="3"/>
      <c r="R219" s="3"/>
      <c r="S219" s="3"/>
      <c r="T219" s="3"/>
      <c r="U219" s="3"/>
      <c r="V219" s="3"/>
      <c r="W219" s="3"/>
      <c r="X219" s="3"/>
      <c r="Y219" s="3"/>
      <c r="Z219" s="3"/>
    </row>
    <row r="220">
      <c r="A220" s="57"/>
      <c r="B220" s="57"/>
      <c r="C220" s="57"/>
      <c r="D220" s="3"/>
      <c r="E220" s="3"/>
      <c r="F220" s="3"/>
      <c r="G220" s="3"/>
      <c r="H220" s="3"/>
      <c r="I220" s="3"/>
      <c r="J220" s="3"/>
      <c r="K220" s="3"/>
      <c r="L220" s="3"/>
      <c r="M220" s="3"/>
      <c r="N220" s="3"/>
      <c r="O220" s="3"/>
      <c r="P220" s="3"/>
      <c r="Q220" s="3"/>
      <c r="R220" s="3"/>
      <c r="S220" s="3"/>
      <c r="T220" s="3"/>
      <c r="U220" s="3"/>
      <c r="V220" s="3"/>
      <c r="W220" s="3"/>
      <c r="X220" s="3"/>
      <c r="Y220" s="3"/>
      <c r="Z220" s="3"/>
    </row>
    <row r="221">
      <c r="A221" s="57"/>
      <c r="B221" s="57"/>
      <c r="C221" s="57"/>
      <c r="D221" s="3"/>
      <c r="E221" s="3"/>
      <c r="F221" s="3"/>
      <c r="G221" s="3"/>
      <c r="H221" s="3"/>
      <c r="I221" s="3"/>
      <c r="J221" s="3"/>
      <c r="K221" s="3"/>
      <c r="L221" s="3"/>
      <c r="M221" s="3"/>
      <c r="N221" s="3"/>
      <c r="O221" s="3"/>
      <c r="P221" s="3"/>
      <c r="Q221" s="3"/>
      <c r="R221" s="3"/>
      <c r="S221" s="3"/>
      <c r="T221" s="3"/>
      <c r="U221" s="3"/>
      <c r="V221" s="3"/>
      <c r="W221" s="3"/>
      <c r="X221" s="3"/>
      <c r="Y221" s="3"/>
      <c r="Z221" s="3"/>
    </row>
    <row r="222">
      <c r="A222" s="57"/>
      <c r="B222" s="57"/>
      <c r="C222" s="57"/>
      <c r="D222" s="3"/>
      <c r="E222" s="3"/>
      <c r="F222" s="3"/>
      <c r="G222" s="3"/>
      <c r="H222" s="3"/>
      <c r="I222" s="3"/>
      <c r="J222" s="3"/>
      <c r="K222" s="3"/>
      <c r="L222" s="3"/>
      <c r="M222" s="3"/>
      <c r="N222" s="3"/>
      <c r="O222" s="3"/>
      <c r="P222" s="3"/>
      <c r="Q222" s="3"/>
      <c r="R222" s="3"/>
      <c r="S222" s="3"/>
      <c r="T222" s="3"/>
      <c r="U222" s="3"/>
      <c r="V222" s="3"/>
      <c r="W222" s="3"/>
      <c r="X222" s="3"/>
      <c r="Y222" s="3"/>
      <c r="Z222" s="3"/>
    </row>
    <row r="223">
      <c r="A223" s="57"/>
      <c r="B223" s="57"/>
      <c r="C223" s="57"/>
      <c r="D223" s="3"/>
      <c r="E223" s="3"/>
      <c r="F223" s="3"/>
      <c r="G223" s="3"/>
      <c r="H223" s="3"/>
      <c r="I223" s="3"/>
      <c r="J223" s="3"/>
      <c r="K223" s="3"/>
      <c r="L223" s="3"/>
      <c r="M223" s="3"/>
      <c r="N223" s="3"/>
      <c r="O223" s="3"/>
      <c r="P223" s="3"/>
      <c r="Q223" s="3"/>
      <c r="R223" s="3"/>
      <c r="S223" s="3"/>
      <c r="T223" s="3"/>
      <c r="U223" s="3"/>
      <c r="V223" s="3"/>
      <c r="W223" s="3"/>
      <c r="X223" s="3"/>
      <c r="Y223" s="3"/>
      <c r="Z223" s="3"/>
    </row>
    <row r="224">
      <c r="A224" s="57"/>
      <c r="B224" s="57"/>
      <c r="C224" s="57"/>
      <c r="D224" s="3"/>
      <c r="E224" s="3"/>
      <c r="F224" s="3"/>
      <c r="G224" s="3"/>
      <c r="H224" s="3"/>
      <c r="I224" s="3"/>
      <c r="J224" s="3"/>
      <c r="K224" s="3"/>
      <c r="L224" s="3"/>
      <c r="M224" s="3"/>
      <c r="N224" s="3"/>
      <c r="O224" s="3"/>
      <c r="P224" s="3"/>
      <c r="Q224" s="3"/>
      <c r="R224" s="3"/>
      <c r="S224" s="3"/>
      <c r="T224" s="3"/>
      <c r="U224" s="3"/>
      <c r="V224" s="3"/>
      <c r="W224" s="3"/>
      <c r="X224" s="3"/>
      <c r="Y224" s="3"/>
      <c r="Z224" s="3"/>
    </row>
    <row r="225">
      <c r="A225" s="57"/>
      <c r="B225" s="57"/>
      <c r="C225" s="57"/>
      <c r="D225" s="3"/>
      <c r="E225" s="3"/>
      <c r="F225" s="3"/>
      <c r="G225" s="3"/>
      <c r="H225" s="3"/>
      <c r="I225" s="3"/>
      <c r="J225" s="3"/>
      <c r="K225" s="3"/>
      <c r="L225" s="3"/>
      <c r="M225" s="3"/>
      <c r="N225" s="3"/>
      <c r="O225" s="3"/>
      <c r="P225" s="3"/>
      <c r="Q225" s="3"/>
      <c r="R225" s="3"/>
      <c r="S225" s="3"/>
      <c r="T225" s="3"/>
      <c r="U225" s="3"/>
      <c r="V225" s="3"/>
      <c r="W225" s="3"/>
      <c r="X225" s="3"/>
      <c r="Y225" s="3"/>
      <c r="Z225" s="3"/>
    </row>
    <row r="226">
      <c r="A226" s="57"/>
      <c r="B226" s="57"/>
      <c r="C226" s="57"/>
      <c r="D226" s="3"/>
      <c r="E226" s="3"/>
      <c r="F226" s="3"/>
      <c r="G226" s="3"/>
      <c r="H226" s="3"/>
      <c r="I226" s="3"/>
      <c r="J226" s="3"/>
      <c r="K226" s="3"/>
      <c r="L226" s="3"/>
      <c r="M226" s="3"/>
      <c r="N226" s="3"/>
      <c r="O226" s="3"/>
      <c r="P226" s="3"/>
      <c r="Q226" s="3"/>
      <c r="R226" s="3"/>
      <c r="S226" s="3"/>
      <c r="T226" s="3"/>
      <c r="U226" s="3"/>
      <c r="V226" s="3"/>
      <c r="W226" s="3"/>
      <c r="X226" s="3"/>
      <c r="Y226" s="3"/>
      <c r="Z226" s="3"/>
    </row>
    <row r="227">
      <c r="A227" s="57"/>
      <c r="B227" s="57"/>
      <c r="C227" s="57"/>
      <c r="D227" s="3"/>
      <c r="E227" s="3"/>
      <c r="F227" s="3"/>
      <c r="G227" s="3"/>
      <c r="H227" s="3"/>
      <c r="I227" s="3"/>
      <c r="J227" s="3"/>
      <c r="K227" s="3"/>
      <c r="L227" s="3"/>
      <c r="M227" s="3"/>
      <c r="N227" s="3"/>
      <c r="O227" s="3"/>
      <c r="P227" s="3"/>
      <c r="Q227" s="3"/>
      <c r="R227" s="3"/>
      <c r="S227" s="3"/>
      <c r="T227" s="3"/>
      <c r="U227" s="3"/>
      <c r="V227" s="3"/>
      <c r="W227" s="3"/>
      <c r="X227" s="3"/>
      <c r="Y227" s="3"/>
      <c r="Z227" s="3"/>
    </row>
    <row r="228">
      <c r="A228" s="57"/>
      <c r="B228" s="57"/>
      <c r="C228" s="57"/>
      <c r="D228" s="3"/>
      <c r="E228" s="3"/>
      <c r="F228" s="3"/>
      <c r="G228" s="3"/>
      <c r="H228" s="3"/>
      <c r="I228" s="3"/>
      <c r="J228" s="3"/>
      <c r="K228" s="3"/>
      <c r="L228" s="3"/>
      <c r="M228" s="3"/>
      <c r="N228" s="3"/>
      <c r="O228" s="3"/>
      <c r="P228" s="3"/>
      <c r="Q228" s="3"/>
      <c r="R228" s="3"/>
      <c r="S228" s="3"/>
      <c r="T228" s="3"/>
      <c r="U228" s="3"/>
      <c r="V228" s="3"/>
      <c r="W228" s="3"/>
      <c r="X228" s="3"/>
      <c r="Y228" s="3"/>
      <c r="Z228" s="3"/>
    </row>
    <row r="229">
      <c r="A229" s="57"/>
      <c r="B229" s="57"/>
      <c r="C229" s="57"/>
      <c r="D229" s="3"/>
      <c r="E229" s="3"/>
      <c r="F229" s="3"/>
      <c r="G229" s="3"/>
      <c r="H229" s="3"/>
      <c r="I229" s="3"/>
      <c r="J229" s="3"/>
      <c r="K229" s="3"/>
      <c r="L229" s="3"/>
      <c r="M229" s="3"/>
      <c r="N229" s="3"/>
      <c r="O229" s="3"/>
      <c r="P229" s="3"/>
      <c r="Q229" s="3"/>
      <c r="R229" s="3"/>
      <c r="S229" s="3"/>
      <c r="T229" s="3"/>
      <c r="U229" s="3"/>
      <c r="V229" s="3"/>
      <c r="W229" s="3"/>
      <c r="X229" s="3"/>
      <c r="Y229" s="3"/>
      <c r="Z229" s="3"/>
    </row>
    <row r="230">
      <c r="A230" s="57"/>
      <c r="B230" s="57"/>
      <c r="C230" s="57"/>
      <c r="D230" s="3"/>
      <c r="E230" s="3"/>
      <c r="F230" s="3"/>
      <c r="G230" s="3"/>
      <c r="H230" s="3"/>
      <c r="I230" s="3"/>
      <c r="J230" s="3"/>
      <c r="K230" s="3"/>
      <c r="L230" s="3"/>
      <c r="M230" s="3"/>
      <c r="N230" s="3"/>
      <c r="O230" s="3"/>
      <c r="P230" s="3"/>
      <c r="Q230" s="3"/>
      <c r="R230" s="3"/>
      <c r="S230" s="3"/>
      <c r="T230" s="3"/>
      <c r="U230" s="3"/>
      <c r="V230" s="3"/>
      <c r="W230" s="3"/>
      <c r="X230" s="3"/>
      <c r="Y230" s="3"/>
      <c r="Z230" s="3"/>
    </row>
    <row r="231">
      <c r="A231" s="57"/>
      <c r="B231" s="57"/>
      <c r="C231" s="57"/>
      <c r="D231" s="3"/>
      <c r="E231" s="3"/>
      <c r="F231" s="3"/>
      <c r="G231" s="3"/>
      <c r="H231" s="3"/>
      <c r="I231" s="3"/>
      <c r="J231" s="3"/>
      <c r="K231" s="3"/>
      <c r="L231" s="3"/>
      <c r="M231" s="3"/>
      <c r="N231" s="3"/>
      <c r="O231" s="3"/>
      <c r="P231" s="3"/>
      <c r="Q231" s="3"/>
      <c r="R231" s="3"/>
      <c r="S231" s="3"/>
      <c r="T231" s="3"/>
      <c r="U231" s="3"/>
      <c r="V231" s="3"/>
      <c r="W231" s="3"/>
      <c r="X231" s="3"/>
      <c r="Y231" s="3"/>
      <c r="Z231" s="3"/>
    </row>
    <row r="232">
      <c r="A232" s="57"/>
      <c r="B232" s="57"/>
      <c r="C232" s="57"/>
      <c r="D232" s="3"/>
      <c r="E232" s="3"/>
      <c r="F232" s="3"/>
      <c r="G232" s="3"/>
      <c r="H232" s="3"/>
      <c r="I232" s="3"/>
      <c r="J232" s="3"/>
      <c r="K232" s="3"/>
      <c r="L232" s="3"/>
      <c r="M232" s="3"/>
      <c r="N232" s="3"/>
      <c r="O232" s="3"/>
      <c r="P232" s="3"/>
      <c r="Q232" s="3"/>
      <c r="R232" s="3"/>
      <c r="S232" s="3"/>
      <c r="T232" s="3"/>
      <c r="U232" s="3"/>
      <c r="V232" s="3"/>
      <c r="W232" s="3"/>
      <c r="X232" s="3"/>
      <c r="Y232" s="3"/>
      <c r="Z232" s="3"/>
    </row>
    <row r="233">
      <c r="A233" s="57"/>
      <c r="B233" s="57"/>
      <c r="C233" s="57"/>
      <c r="D233" s="3"/>
      <c r="E233" s="3"/>
      <c r="F233" s="3"/>
      <c r="G233" s="3"/>
      <c r="H233" s="3"/>
      <c r="I233" s="3"/>
      <c r="J233" s="3"/>
      <c r="K233" s="3"/>
      <c r="L233" s="3"/>
      <c r="M233" s="3"/>
      <c r="N233" s="3"/>
      <c r="O233" s="3"/>
      <c r="P233" s="3"/>
      <c r="Q233" s="3"/>
      <c r="R233" s="3"/>
      <c r="S233" s="3"/>
      <c r="T233" s="3"/>
      <c r="U233" s="3"/>
      <c r="V233" s="3"/>
      <c r="W233" s="3"/>
      <c r="X233" s="3"/>
      <c r="Y233" s="3"/>
      <c r="Z233" s="3"/>
    </row>
    <row r="234">
      <c r="A234" s="57"/>
      <c r="B234" s="57"/>
      <c r="C234" s="57"/>
      <c r="D234" s="3"/>
      <c r="E234" s="3"/>
      <c r="F234" s="3"/>
      <c r="G234" s="3"/>
      <c r="H234" s="3"/>
      <c r="I234" s="3"/>
      <c r="J234" s="3"/>
      <c r="K234" s="3"/>
      <c r="L234" s="3"/>
      <c r="M234" s="3"/>
      <c r="N234" s="3"/>
      <c r="O234" s="3"/>
      <c r="P234" s="3"/>
      <c r="Q234" s="3"/>
      <c r="R234" s="3"/>
      <c r="S234" s="3"/>
      <c r="T234" s="3"/>
      <c r="U234" s="3"/>
      <c r="V234" s="3"/>
      <c r="W234" s="3"/>
      <c r="X234" s="3"/>
      <c r="Y234" s="3"/>
      <c r="Z234" s="3"/>
    </row>
    <row r="235">
      <c r="A235" s="57"/>
      <c r="B235" s="57"/>
      <c r="C235" s="57"/>
      <c r="D235" s="3"/>
      <c r="E235" s="3"/>
      <c r="F235" s="3"/>
      <c r="G235" s="3"/>
      <c r="H235" s="3"/>
      <c r="I235" s="3"/>
      <c r="J235" s="3"/>
      <c r="K235" s="3"/>
      <c r="L235" s="3"/>
      <c r="M235" s="3"/>
      <c r="N235" s="3"/>
      <c r="O235" s="3"/>
      <c r="P235" s="3"/>
      <c r="Q235" s="3"/>
      <c r="R235" s="3"/>
      <c r="S235" s="3"/>
      <c r="T235" s="3"/>
      <c r="U235" s="3"/>
      <c r="V235" s="3"/>
      <c r="W235" s="3"/>
      <c r="X235" s="3"/>
      <c r="Y235" s="3"/>
      <c r="Z235" s="3"/>
    </row>
    <row r="236">
      <c r="A236" s="57"/>
      <c r="B236" s="57"/>
      <c r="C236" s="57"/>
      <c r="D236" s="3"/>
      <c r="E236" s="3"/>
      <c r="F236" s="3"/>
      <c r="G236" s="3"/>
      <c r="H236" s="3"/>
      <c r="I236" s="3"/>
      <c r="J236" s="3"/>
      <c r="K236" s="3"/>
      <c r="L236" s="3"/>
      <c r="M236" s="3"/>
      <c r="N236" s="3"/>
      <c r="O236" s="3"/>
      <c r="P236" s="3"/>
      <c r="Q236" s="3"/>
      <c r="R236" s="3"/>
      <c r="S236" s="3"/>
      <c r="T236" s="3"/>
      <c r="U236" s="3"/>
      <c r="V236" s="3"/>
      <c r="W236" s="3"/>
      <c r="X236" s="3"/>
      <c r="Y236" s="3"/>
      <c r="Z236" s="3"/>
    </row>
    <row r="237">
      <c r="A237" s="57"/>
      <c r="B237" s="57"/>
      <c r="C237" s="57"/>
      <c r="D237" s="3"/>
      <c r="E237" s="3"/>
      <c r="F237" s="3"/>
      <c r="G237" s="3"/>
      <c r="H237" s="3"/>
      <c r="I237" s="3"/>
      <c r="J237" s="3"/>
      <c r="K237" s="3"/>
      <c r="L237" s="3"/>
      <c r="M237" s="3"/>
      <c r="N237" s="3"/>
      <c r="O237" s="3"/>
      <c r="P237" s="3"/>
      <c r="Q237" s="3"/>
      <c r="R237" s="3"/>
      <c r="S237" s="3"/>
      <c r="T237" s="3"/>
      <c r="U237" s="3"/>
      <c r="V237" s="3"/>
      <c r="W237" s="3"/>
      <c r="X237" s="3"/>
      <c r="Y237" s="3"/>
      <c r="Z237" s="3"/>
    </row>
    <row r="238">
      <c r="A238" s="57"/>
      <c r="B238" s="57"/>
      <c r="C238" s="57"/>
      <c r="D238" s="3"/>
      <c r="E238" s="3"/>
      <c r="F238" s="3"/>
      <c r="G238" s="3"/>
      <c r="H238" s="3"/>
      <c r="I238" s="3"/>
      <c r="J238" s="3"/>
      <c r="K238" s="3"/>
      <c r="L238" s="3"/>
      <c r="M238" s="3"/>
      <c r="N238" s="3"/>
      <c r="O238" s="3"/>
      <c r="P238" s="3"/>
      <c r="Q238" s="3"/>
      <c r="R238" s="3"/>
      <c r="S238" s="3"/>
      <c r="T238" s="3"/>
      <c r="U238" s="3"/>
      <c r="V238" s="3"/>
      <c r="W238" s="3"/>
      <c r="X238" s="3"/>
      <c r="Y238" s="3"/>
      <c r="Z238" s="3"/>
    </row>
    <row r="239">
      <c r="A239" s="57"/>
      <c r="B239" s="57"/>
      <c r="C239" s="57"/>
      <c r="D239" s="3"/>
      <c r="E239" s="3"/>
      <c r="F239" s="3"/>
      <c r="G239" s="3"/>
      <c r="H239" s="3"/>
      <c r="I239" s="3"/>
      <c r="J239" s="3"/>
      <c r="K239" s="3"/>
      <c r="L239" s="3"/>
      <c r="M239" s="3"/>
      <c r="N239" s="3"/>
      <c r="O239" s="3"/>
      <c r="P239" s="3"/>
      <c r="Q239" s="3"/>
      <c r="R239" s="3"/>
      <c r="S239" s="3"/>
      <c r="T239" s="3"/>
      <c r="U239" s="3"/>
      <c r="V239" s="3"/>
      <c r="W239" s="3"/>
      <c r="X239" s="3"/>
      <c r="Y239" s="3"/>
      <c r="Z239" s="3"/>
    </row>
    <row r="240">
      <c r="A240" s="57"/>
      <c r="B240" s="57"/>
      <c r="C240" s="57"/>
      <c r="D240" s="3"/>
      <c r="E240" s="3"/>
      <c r="F240" s="3"/>
      <c r="G240" s="3"/>
      <c r="H240" s="3"/>
      <c r="I240" s="3"/>
      <c r="J240" s="3"/>
      <c r="K240" s="3"/>
      <c r="L240" s="3"/>
      <c r="M240" s="3"/>
      <c r="N240" s="3"/>
      <c r="O240" s="3"/>
      <c r="P240" s="3"/>
      <c r="Q240" s="3"/>
      <c r="R240" s="3"/>
      <c r="S240" s="3"/>
      <c r="T240" s="3"/>
      <c r="U240" s="3"/>
      <c r="V240" s="3"/>
      <c r="W240" s="3"/>
      <c r="X240" s="3"/>
      <c r="Y240" s="3"/>
      <c r="Z240" s="3"/>
    </row>
    <row r="241">
      <c r="A241" s="57"/>
      <c r="B241" s="57"/>
      <c r="C241" s="57"/>
      <c r="D241" s="3"/>
      <c r="E241" s="3"/>
      <c r="F241" s="3"/>
      <c r="G241" s="3"/>
      <c r="H241" s="3"/>
      <c r="I241" s="3"/>
      <c r="J241" s="3"/>
      <c r="K241" s="3"/>
      <c r="L241" s="3"/>
      <c r="M241" s="3"/>
      <c r="N241" s="3"/>
      <c r="O241" s="3"/>
      <c r="P241" s="3"/>
      <c r="Q241" s="3"/>
      <c r="R241" s="3"/>
      <c r="S241" s="3"/>
      <c r="T241" s="3"/>
      <c r="U241" s="3"/>
      <c r="V241" s="3"/>
      <c r="W241" s="3"/>
      <c r="X241" s="3"/>
      <c r="Y241" s="3"/>
      <c r="Z241" s="3"/>
    </row>
    <row r="242">
      <c r="A242" s="57"/>
      <c r="B242" s="57"/>
      <c r="C242" s="57"/>
      <c r="D242" s="3"/>
      <c r="E242" s="3"/>
      <c r="F242" s="3"/>
      <c r="G242" s="3"/>
      <c r="H242" s="3"/>
      <c r="I242" s="3"/>
      <c r="J242" s="3"/>
      <c r="K242" s="3"/>
      <c r="L242" s="3"/>
      <c r="M242" s="3"/>
      <c r="N242" s="3"/>
      <c r="O242" s="3"/>
      <c r="P242" s="3"/>
      <c r="Q242" s="3"/>
      <c r="R242" s="3"/>
      <c r="S242" s="3"/>
      <c r="T242" s="3"/>
      <c r="U242" s="3"/>
      <c r="V242" s="3"/>
      <c r="W242" s="3"/>
      <c r="X242" s="3"/>
      <c r="Y242" s="3"/>
      <c r="Z242" s="3"/>
    </row>
    <row r="243">
      <c r="A243" s="57"/>
      <c r="B243" s="57"/>
      <c r="C243" s="57"/>
      <c r="D243" s="3"/>
      <c r="E243" s="3"/>
      <c r="F243" s="3"/>
      <c r="G243" s="3"/>
      <c r="H243" s="3"/>
      <c r="I243" s="3"/>
      <c r="J243" s="3"/>
      <c r="K243" s="3"/>
      <c r="L243" s="3"/>
      <c r="M243" s="3"/>
      <c r="N243" s="3"/>
      <c r="O243" s="3"/>
      <c r="P243" s="3"/>
      <c r="Q243" s="3"/>
      <c r="R243" s="3"/>
      <c r="S243" s="3"/>
      <c r="T243" s="3"/>
      <c r="U243" s="3"/>
      <c r="V243" s="3"/>
      <c r="W243" s="3"/>
      <c r="X243" s="3"/>
      <c r="Y243" s="3"/>
      <c r="Z243" s="3"/>
    </row>
    <row r="244">
      <c r="A244" s="57"/>
      <c r="B244" s="57"/>
      <c r="C244" s="57"/>
      <c r="D244" s="3"/>
      <c r="E244" s="3"/>
      <c r="F244" s="3"/>
      <c r="G244" s="3"/>
      <c r="H244" s="3"/>
      <c r="I244" s="3"/>
      <c r="J244" s="3"/>
      <c r="K244" s="3"/>
      <c r="L244" s="3"/>
      <c r="M244" s="3"/>
      <c r="N244" s="3"/>
      <c r="O244" s="3"/>
      <c r="P244" s="3"/>
      <c r="Q244" s="3"/>
      <c r="R244" s="3"/>
      <c r="S244" s="3"/>
      <c r="T244" s="3"/>
      <c r="U244" s="3"/>
      <c r="V244" s="3"/>
      <c r="W244" s="3"/>
      <c r="X244" s="3"/>
      <c r="Y244" s="3"/>
      <c r="Z244" s="3"/>
    </row>
    <row r="245">
      <c r="A245" s="57"/>
      <c r="B245" s="57"/>
      <c r="C245" s="57"/>
      <c r="D245" s="3"/>
      <c r="E245" s="3"/>
      <c r="F245" s="3"/>
      <c r="G245" s="3"/>
      <c r="H245" s="3"/>
      <c r="I245" s="3"/>
      <c r="J245" s="3"/>
      <c r="K245" s="3"/>
      <c r="L245" s="3"/>
      <c r="M245" s="3"/>
      <c r="N245" s="3"/>
      <c r="O245" s="3"/>
      <c r="P245" s="3"/>
      <c r="Q245" s="3"/>
      <c r="R245" s="3"/>
      <c r="S245" s="3"/>
      <c r="T245" s="3"/>
      <c r="U245" s="3"/>
      <c r="V245" s="3"/>
      <c r="W245" s="3"/>
      <c r="X245" s="3"/>
      <c r="Y245" s="3"/>
      <c r="Z245" s="3"/>
    </row>
    <row r="246">
      <c r="A246" s="57"/>
      <c r="B246" s="57"/>
      <c r="C246" s="57"/>
      <c r="D246" s="3"/>
      <c r="E246" s="3"/>
      <c r="F246" s="3"/>
      <c r="G246" s="3"/>
      <c r="H246" s="3"/>
      <c r="I246" s="3"/>
      <c r="J246" s="3"/>
      <c r="K246" s="3"/>
      <c r="L246" s="3"/>
      <c r="M246" s="3"/>
      <c r="N246" s="3"/>
      <c r="O246" s="3"/>
      <c r="P246" s="3"/>
      <c r="Q246" s="3"/>
      <c r="R246" s="3"/>
      <c r="S246" s="3"/>
      <c r="T246" s="3"/>
      <c r="U246" s="3"/>
      <c r="V246" s="3"/>
      <c r="W246" s="3"/>
      <c r="X246" s="3"/>
      <c r="Y246" s="3"/>
      <c r="Z246" s="3"/>
    </row>
    <row r="247">
      <c r="A247" s="57"/>
      <c r="B247" s="57"/>
      <c r="C247" s="57"/>
      <c r="D247" s="3"/>
      <c r="E247" s="3"/>
      <c r="F247" s="3"/>
      <c r="G247" s="3"/>
      <c r="H247" s="3"/>
      <c r="I247" s="3"/>
      <c r="J247" s="3"/>
      <c r="K247" s="3"/>
      <c r="L247" s="3"/>
      <c r="M247" s="3"/>
      <c r="N247" s="3"/>
      <c r="O247" s="3"/>
      <c r="P247" s="3"/>
      <c r="Q247" s="3"/>
      <c r="R247" s="3"/>
      <c r="S247" s="3"/>
      <c r="T247" s="3"/>
      <c r="U247" s="3"/>
      <c r="V247" s="3"/>
      <c r="W247" s="3"/>
      <c r="X247" s="3"/>
      <c r="Y247" s="3"/>
      <c r="Z247" s="3"/>
    </row>
    <row r="248">
      <c r="A248" s="57"/>
      <c r="B248" s="57"/>
      <c r="C248" s="57"/>
      <c r="D248" s="3"/>
      <c r="E248" s="3"/>
      <c r="F248" s="3"/>
      <c r="G248" s="3"/>
      <c r="H248" s="3"/>
      <c r="I248" s="3"/>
      <c r="J248" s="3"/>
      <c r="K248" s="3"/>
      <c r="L248" s="3"/>
      <c r="M248" s="3"/>
      <c r="N248" s="3"/>
      <c r="O248" s="3"/>
      <c r="P248" s="3"/>
      <c r="Q248" s="3"/>
      <c r="R248" s="3"/>
      <c r="S248" s="3"/>
      <c r="T248" s="3"/>
      <c r="U248" s="3"/>
      <c r="V248" s="3"/>
      <c r="W248" s="3"/>
      <c r="X248" s="3"/>
      <c r="Y248" s="3"/>
      <c r="Z248" s="3"/>
    </row>
    <row r="249">
      <c r="A249" s="57"/>
      <c r="B249" s="57"/>
      <c r="C249" s="57"/>
      <c r="D249" s="3"/>
      <c r="E249" s="3"/>
      <c r="F249" s="3"/>
      <c r="G249" s="3"/>
      <c r="H249" s="3"/>
      <c r="I249" s="3"/>
      <c r="J249" s="3"/>
      <c r="K249" s="3"/>
      <c r="L249" s="3"/>
      <c r="M249" s="3"/>
      <c r="N249" s="3"/>
      <c r="O249" s="3"/>
      <c r="P249" s="3"/>
      <c r="Q249" s="3"/>
      <c r="R249" s="3"/>
      <c r="S249" s="3"/>
      <c r="T249" s="3"/>
      <c r="U249" s="3"/>
      <c r="V249" s="3"/>
      <c r="W249" s="3"/>
      <c r="X249" s="3"/>
      <c r="Y249" s="3"/>
      <c r="Z249" s="3"/>
    </row>
    <row r="250">
      <c r="A250" s="57"/>
      <c r="B250" s="57"/>
      <c r="C250" s="57"/>
      <c r="D250" s="3"/>
      <c r="E250" s="3"/>
      <c r="F250" s="3"/>
      <c r="G250" s="3"/>
      <c r="H250" s="3"/>
      <c r="I250" s="3"/>
      <c r="J250" s="3"/>
      <c r="K250" s="3"/>
      <c r="L250" s="3"/>
      <c r="M250" s="3"/>
      <c r="N250" s="3"/>
      <c r="O250" s="3"/>
      <c r="P250" s="3"/>
      <c r="Q250" s="3"/>
      <c r="R250" s="3"/>
      <c r="S250" s="3"/>
      <c r="T250" s="3"/>
      <c r="U250" s="3"/>
      <c r="V250" s="3"/>
      <c r="W250" s="3"/>
      <c r="X250" s="3"/>
      <c r="Y250" s="3"/>
      <c r="Z250" s="3"/>
    </row>
    <row r="251">
      <c r="A251" s="57"/>
      <c r="B251" s="57"/>
      <c r="C251" s="57"/>
      <c r="D251" s="3"/>
      <c r="E251" s="3"/>
      <c r="F251" s="3"/>
      <c r="G251" s="3"/>
      <c r="H251" s="3"/>
      <c r="I251" s="3"/>
      <c r="J251" s="3"/>
      <c r="K251" s="3"/>
      <c r="L251" s="3"/>
      <c r="M251" s="3"/>
      <c r="N251" s="3"/>
      <c r="O251" s="3"/>
      <c r="P251" s="3"/>
      <c r="Q251" s="3"/>
      <c r="R251" s="3"/>
      <c r="S251" s="3"/>
      <c r="T251" s="3"/>
      <c r="U251" s="3"/>
      <c r="V251" s="3"/>
      <c r="W251" s="3"/>
      <c r="X251" s="3"/>
      <c r="Y251" s="3"/>
      <c r="Z251" s="3"/>
    </row>
    <row r="252">
      <c r="A252" s="57"/>
      <c r="B252" s="57"/>
      <c r="C252" s="57"/>
      <c r="D252" s="3"/>
      <c r="E252" s="3"/>
      <c r="F252" s="3"/>
      <c r="G252" s="3"/>
      <c r="H252" s="3"/>
      <c r="I252" s="3"/>
      <c r="J252" s="3"/>
      <c r="K252" s="3"/>
      <c r="L252" s="3"/>
      <c r="M252" s="3"/>
      <c r="N252" s="3"/>
      <c r="O252" s="3"/>
      <c r="P252" s="3"/>
      <c r="Q252" s="3"/>
      <c r="R252" s="3"/>
      <c r="S252" s="3"/>
      <c r="T252" s="3"/>
      <c r="U252" s="3"/>
      <c r="V252" s="3"/>
      <c r="W252" s="3"/>
      <c r="X252" s="3"/>
      <c r="Y252" s="3"/>
      <c r="Z252" s="3"/>
    </row>
    <row r="253">
      <c r="A253" s="57"/>
      <c r="B253" s="57"/>
      <c r="C253" s="57"/>
      <c r="D253" s="3"/>
      <c r="E253" s="3"/>
      <c r="F253" s="3"/>
      <c r="G253" s="3"/>
      <c r="H253" s="3"/>
      <c r="I253" s="3"/>
      <c r="J253" s="3"/>
      <c r="K253" s="3"/>
      <c r="L253" s="3"/>
      <c r="M253" s="3"/>
      <c r="N253" s="3"/>
      <c r="O253" s="3"/>
      <c r="P253" s="3"/>
      <c r="Q253" s="3"/>
      <c r="R253" s="3"/>
      <c r="S253" s="3"/>
      <c r="T253" s="3"/>
      <c r="U253" s="3"/>
      <c r="V253" s="3"/>
      <c r="W253" s="3"/>
      <c r="X253" s="3"/>
      <c r="Y253" s="3"/>
      <c r="Z253" s="3"/>
    </row>
    <row r="254">
      <c r="A254" s="57"/>
      <c r="B254" s="57"/>
      <c r="C254" s="57"/>
      <c r="D254" s="3"/>
      <c r="E254" s="3"/>
      <c r="F254" s="3"/>
      <c r="G254" s="3"/>
      <c r="H254" s="3"/>
      <c r="I254" s="3"/>
      <c r="J254" s="3"/>
      <c r="K254" s="3"/>
      <c r="L254" s="3"/>
      <c r="M254" s="3"/>
      <c r="N254" s="3"/>
      <c r="O254" s="3"/>
      <c r="P254" s="3"/>
      <c r="Q254" s="3"/>
      <c r="R254" s="3"/>
      <c r="S254" s="3"/>
      <c r="T254" s="3"/>
      <c r="U254" s="3"/>
      <c r="V254" s="3"/>
      <c r="W254" s="3"/>
      <c r="X254" s="3"/>
      <c r="Y254" s="3"/>
      <c r="Z254" s="3"/>
    </row>
    <row r="255">
      <c r="A255" s="57"/>
      <c r="B255" s="57"/>
      <c r="C255" s="57"/>
      <c r="D255" s="3"/>
      <c r="E255" s="3"/>
      <c r="F255" s="3"/>
      <c r="G255" s="3"/>
      <c r="H255" s="3"/>
      <c r="I255" s="3"/>
      <c r="J255" s="3"/>
      <c r="K255" s="3"/>
      <c r="L255" s="3"/>
      <c r="M255" s="3"/>
      <c r="N255" s="3"/>
      <c r="O255" s="3"/>
      <c r="P255" s="3"/>
      <c r="Q255" s="3"/>
      <c r="R255" s="3"/>
      <c r="S255" s="3"/>
      <c r="T255" s="3"/>
      <c r="U255" s="3"/>
      <c r="V255" s="3"/>
      <c r="W255" s="3"/>
      <c r="X255" s="3"/>
      <c r="Y255" s="3"/>
      <c r="Z255" s="3"/>
    </row>
    <row r="256">
      <c r="A256" s="57"/>
      <c r="B256" s="57"/>
      <c r="C256" s="57"/>
      <c r="D256" s="3"/>
      <c r="E256" s="3"/>
      <c r="F256" s="3"/>
      <c r="G256" s="3"/>
      <c r="H256" s="3"/>
      <c r="I256" s="3"/>
      <c r="J256" s="3"/>
      <c r="K256" s="3"/>
      <c r="L256" s="3"/>
      <c r="M256" s="3"/>
      <c r="N256" s="3"/>
      <c r="O256" s="3"/>
      <c r="P256" s="3"/>
      <c r="Q256" s="3"/>
      <c r="R256" s="3"/>
      <c r="S256" s="3"/>
      <c r="T256" s="3"/>
      <c r="U256" s="3"/>
      <c r="V256" s="3"/>
      <c r="W256" s="3"/>
      <c r="X256" s="3"/>
      <c r="Y256" s="3"/>
      <c r="Z256" s="3"/>
    </row>
    <row r="257">
      <c r="A257" s="57"/>
      <c r="B257" s="57"/>
      <c r="C257" s="57"/>
      <c r="D257" s="3"/>
      <c r="E257" s="3"/>
      <c r="F257" s="3"/>
      <c r="G257" s="3"/>
      <c r="H257" s="3"/>
      <c r="I257" s="3"/>
      <c r="J257" s="3"/>
      <c r="K257" s="3"/>
      <c r="L257" s="3"/>
      <c r="M257" s="3"/>
      <c r="N257" s="3"/>
      <c r="O257" s="3"/>
      <c r="P257" s="3"/>
      <c r="Q257" s="3"/>
      <c r="R257" s="3"/>
      <c r="S257" s="3"/>
      <c r="T257" s="3"/>
      <c r="U257" s="3"/>
      <c r="V257" s="3"/>
      <c r="W257" s="3"/>
      <c r="X257" s="3"/>
      <c r="Y257" s="3"/>
      <c r="Z257" s="3"/>
    </row>
    <row r="258">
      <c r="A258" s="57"/>
      <c r="B258" s="57"/>
      <c r="C258" s="57"/>
      <c r="D258" s="3"/>
      <c r="E258" s="3"/>
      <c r="F258" s="3"/>
      <c r="G258" s="3"/>
      <c r="H258" s="3"/>
      <c r="I258" s="3"/>
      <c r="J258" s="3"/>
      <c r="K258" s="3"/>
      <c r="L258" s="3"/>
      <c r="M258" s="3"/>
      <c r="N258" s="3"/>
      <c r="O258" s="3"/>
      <c r="P258" s="3"/>
      <c r="Q258" s="3"/>
      <c r="R258" s="3"/>
      <c r="S258" s="3"/>
      <c r="T258" s="3"/>
      <c r="U258" s="3"/>
      <c r="V258" s="3"/>
      <c r="W258" s="3"/>
      <c r="X258" s="3"/>
      <c r="Y258" s="3"/>
      <c r="Z258" s="3"/>
    </row>
    <row r="259">
      <c r="A259" s="57"/>
      <c r="B259" s="57"/>
      <c r="C259" s="57"/>
      <c r="D259" s="3"/>
      <c r="E259" s="3"/>
      <c r="F259" s="3"/>
      <c r="G259" s="3"/>
      <c r="H259" s="3"/>
      <c r="I259" s="3"/>
      <c r="J259" s="3"/>
      <c r="K259" s="3"/>
      <c r="L259" s="3"/>
      <c r="M259" s="3"/>
      <c r="N259" s="3"/>
      <c r="O259" s="3"/>
      <c r="P259" s="3"/>
      <c r="Q259" s="3"/>
      <c r="R259" s="3"/>
      <c r="S259" s="3"/>
      <c r="T259" s="3"/>
      <c r="U259" s="3"/>
      <c r="V259" s="3"/>
      <c r="W259" s="3"/>
      <c r="X259" s="3"/>
      <c r="Y259" s="3"/>
      <c r="Z259" s="3"/>
    </row>
    <row r="260">
      <c r="A260" s="57"/>
      <c r="B260" s="57"/>
      <c r="C260" s="57"/>
      <c r="D260" s="3"/>
      <c r="E260" s="3"/>
      <c r="F260" s="3"/>
      <c r="G260" s="3"/>
      <c r="H260" s="3"/>
      <c r="I260" s="3"/>
      <c r="J260" s="3"/>
      <c r="K260" s="3"/>
      <c r="L260" s="3"/>
      <c r="M260" s="3"/>
      <c r="N260" s="3"/>
      <c r="O260" s="3"/>
      <c r="P260" s="3"/>
      <c r="Q260" s="3"/>
      <c r="R260" s="3"/>
      <c r="S260" s="3"/>
      <c r="T260" s="3"/>
      <c r="U260" s="3"/>
      <c r="V260" s="3"/>
      <c r="W260" s="3"/>
      <c r="X260" s="3"/>
      <c r="Y260" s="3"/>
      <c r="Z260" s="3"/>
    </row>
    <row r="261">
      <c r="A261" s="57"/>
      <c r="B261" s="57"/>
      <c r="C261" s="57"/>
      <c r="D261" s="3"/>
      <c r="E261" s="3"/>
      <c r="F261" s="3"/>
      <c r="G261" s="3"/>
      <c r="H261" s="3"/>
      <c r="I261" s="3"/>
      <c r="J261" s="3"/>
      <c r="K261" s="3"/>
      <c r="L261" s="3"/>
      <c r="M261" s="3"/>
      <c r="N261" s="3"/>
      <c r="O261" s="3"/>
      <c r="P261" s="3"/>
      <c r="Q261" s="3"/>
      <c r="R261" s="3"/>
      <c r="S261" s="3"/>
      <c r="T261" s="3"/>
      <c r="U261" s="3"/>
      <c r="V261" s="3"/>
      <c r="W261" s="3"/>
      <c r="X261" s="3"/>
      <c r="Y261" s="3"/>
      <c r="Z261" s="3"/>
    </row>
    <row r="262">
      <c r="A262" s="57"/>
      <c r="B262" s="57"/>
      <c r="C262" s="57"/>
      <c r="D262" s="3"/>
      <c r="E262" s="3"/>
      <c r="F262" s="3"/>
      <c r="G262" s="3"/>
      <c r="H262" s="3"/>
      <c r="I262" s="3"/>
      <c r="J262" s="3"/>
      <c r="K262" s="3"/>
      <c r="L262" s="3"/>
      <c r="M262" s="3"/>
      <c r="N262" s="3"/>
      <c r="O262" s="3"/>
      <c r="P262" s="3"/>
      <c r="Q262" s="3"/>
      <c r="R262" s="3"/>
      <c r="S262" s="3"/>
      <c r="T262" s="3"/>
      <c r="U262" s="3"/>
      <c r="V262" s="3"/>
      <c r="W262" s="3"/>
      <c r="X262" s="3"/>
      <c r="Y262" s="3"/>
      <c r="Z262" s="3"/>
    </row>
    <row r="263">
      <c r="A263" s="57"/>
      <c r="B263" s="57"/>
      <c r="C263" s="57"/>
      <c r="D263" s="3"/>
      <c r="E263" s="3"/>
      <c r="F263" s="3"/>
      <c r="G263" s="3"/>
      <c r="H263" s="3"/>
      <c r="I263" s="3"/>
      <c r="J263" s="3"/>
      <c r="K263" s="3"/>
      <c r="L263" s="3"/>
      <c r="M263" s="3"/>
      <c r="N263" s="3"/>
      <c r="O263" s="3"/>
      <c r="P263" s="3"/>
      <c r="Q263" s="3"/>
      <c r="R263" s="3"/>
      <c r="S263" s="3"/>
      <c r="T263" s="3"/>
      <c r="U263" s="3"/>
      <c r="V263" s="3"/>
      <c r="W263" s="3"/>
      <c r="X263" s="3"/>
      <c r="Y263" s="3"/>
      <c r="Z263" s="3"/>
    </row>
    <row r="264">
      <c r="A264" s="57"/>
      <c r="B264" s="57"/>
      <c r="C264" s="57"/>
      <c r="D264" s="3"/>
      <c r="E264" s="3"/>
      <c r="F264" s="3"/>
      <c r="G264" s="3"/>
      <c r="H264" s="3"/>
      <c r="I264" s="3"/>
      <c r="J264" s="3"/>
      <c r="K264" s="3"/>
      <c r="L264" s="3"/>
      <c r="M264" s="3"/>
      <c r="N264" s="3"/>
      <c r="O264" s="3"/>
      <c r="P264" s="3"/>
      <c r="Q264" s="3"/>
      <c r="R264" s="3"/>
      <c r="S264" s="3"/>
      <c r="T264" s="3"/>
      <c r="U264" s="3"/>
      <c r="V264" s="3"/>
      <c r="W264" s="3"/>
      <c r="X264" s="3"/>
      <c r="Y264" s="3"/>
      <c r="Z264" s="3"/>
    </row>
    <row r="265">
      <c r="A265" s="57"/>
      <c r="B265" s="57"/>
      <c r="C265" s="57"/>
      <c r="D265" s="3"/>
      <c r="E265" s="3"/>
      <c r="F265" s="3"/>
      <c r="G265" s="3"/>
      <c r="H265" s="3"/>
      <c r="I265" s="3"/>
      <c r="J265" s="3"/>
      <c r="K265" s="3"/>
      <c r="L265" s="3"/>
      <c r="M265" s="3"/>
      <c r="N265" s="3"/>
      <c r="O265" s="3"/>
      <c r="P265" s="3"/>
      <c r="Q265" s="3"/>
      <c r="R265" s="3"/>
      <c r="S265" s="3"/>
      <c r="T265" s="3"/>
      <c r="U265" s="3"/>
      <c r="V265" s="3"/>
      <c r="W265" s="3"/>
      <c r="X265" s="3"/>
      <c r="Y265" s="3"/>
      <c r="Z265" s="3"/>
    </row>
    <row r="266">
      <c r="A266" s="57"/>
      <c r="B266" s="57"/>
      <c r="C266" s="57"/>
      <c r="D266" s="3"/>
      <c r="E266" s="3"/>
      <c r="F266" s="3"/>
      <c r="G266" s="3"/>
      <c r="H266" s="3"/>
      <c r="I266" s="3"/>
      <c r="J266" s="3"/>
      <c r="K266" s="3"/>
      <c r="L266" s="3"/>
      <c r="M266" s="3"/>
      <c r="N266" s="3"/>
      <c r="O266" s="3"/>
      <c r="P266" s="3"/>
      <c r="Q266" s="3"/>
      <c r="R266" s="3"/>
      <c r="S266" s="3"/>
      <c r="T266" s="3"/>
      <c r="U266" s="3"/>
      <c r="V266" s="3"/>
      <c r="W266" s="3"/>
      <c r="X266" s="3"/>
      <c r="Y266" s="3"/>
      <c r="Z266" s="3"/>
    </row>
    <row r="267">
      <c r="A267" s="57"/>
      <c r="B267" s="57"/>
      <c r="C267" s="57"/>
      <c r="D267" s="3"/>
      <c r="E267" s="3"/>
      <c r="F267" s="3"/>
      <c r="G267" s="3"/>
      <c r="H267" s="3"/>
      <c r="I267" s="3"/>
      <c r="J267" s="3"/>
      <c r="K267" s="3"/>
      <c r="L267" s="3"/>
      <c r="M267" s="3"/>
      <c r="N267" s="3"/>
      <c r="O267" s="3"/>
      <c r="P267" s="3"/>
      <c r="Q267" s="3"/>
      <c r="R267" s="3"/>
      <c r="S267" s="3"/>
      <c r="T267" s="3"/>
      <c r="U267" s="3"/>
      <c r="V267" s="3"/>
      <c r="W267" s="3"/>
      <c r="X267" s="3"/>
      <c r="Y267" s="3"/>
      <c r="Z267" s="3"/>
    </row>
    <row r="268">
      <c r="A268" s="57"/>
      <c r="B268" s="57"/>
      <c r="C268" s="57"/>
      <c r="D268" s="3"/>
      <c r="E268" s="3"/>
      <c r="F268" s="3"/>
      <c r="G268" s="3"/>
      <c r="H268" s="3"/>
      <c r="I268" s="3"/>
      <c r="J268" s="3"/>
      <c r="K268" s="3"/>
      <c r="L268" s="3"/>
      <c r="M268" s="3"/>
      <c r="N268" s="3"/>
      <c r="O268" s="3"/>
      <c r="P268" s="3"/>
      <c r="Q268" s="3"/>
      <c r="R268" s="3"/>
      <c r="S268" s="3"/>
      <c r="T268" s="3"/>
      <c r="U268" s="3"/>
      <c r="V268" s="3"/>
      <c r="W268" s="3"/>
      <c r="X268" s="3"/>
      <c r="Y268" s="3"/>
      <c r="Z268" s="3"/>
    </row>
    <row r="269">
      <c r="A269" s="57"/>
      <c r="B269" s="57"/>
      <c r="C269" s="57"/>
      <c r="D269" s="3"/>
      <c r="E269" s="3"/>
      <c r="F269" s="3"/>
      <c r="G269" s="3"/>
      <c r="H269" s="3"/>
      <c r="I269" s="3"/>
      <c r="J269" s="3"/>
      <c r="K269" s="3"/>
      <c r="L269" s="3"/>
      <c r="M269" s="3"/>
      <c r="N269" s="3"/>
      <c r="O269" s="3"/>
      <c r="P269" s="3"/>
      <c r="Q269" s="3"/>
      <c r="R269" s="3"/>
      <c r="S269" s="3"/>
      <c r="T269" s="3"/>
      <c r="U269" s="3"/>
      <c r="V269" s="3"/>
      <c r="W269" s="3"/>
      <c r="X269" s="3"/>
      <c r="Y269" s="3"/>
      <c r="Z269" s="3"/>
    </row>
    <row r="270">
      <c r="A270" s="57"/>
      <c r="B270" s="57"/>
      <c r="C270" s="57"/>
      <c r="D270" s="3"/>
      <c r="E270" s="3"/>
      <c r="F270" s="3"/>
      <c r="G270" s="3"/>
      <c r="H270" s="3"/>
      <c r="I270" s="3"/>
      <c r="J270" s="3"/>
      <c r="K270" s="3"/>
      <c r="L270" s="3"/>
      <c r="M270" s="3"/>
      <c r="N270" s="3"/>
      <c r="O270" s="3"/>
      <c r="P270" s="3"/>
      <c r="Q270" s="3"/>
      <c r="R270" s="3"/>
      <c r="S270" s="3"/>
      <c r="T270" s="3"/>
      <c r="U270" s="3"/>
      <c r="V270" s="3"/>
      <c r="W270" s="3"/>
      <c r="X270" s="3"/>
      <c r="Y270" s="3"/>
      <c r="Z270" s="3"/>
    </row>
    <row r="271">
      <c r="A271" s="57"/>
      <c r="B271" s="57"/>
      <c r="C271" s="57"/>
      <c r="D271" s="3"/>
      <c r="E271" s="3"/>
      <c r="F271" s="3"/>
      <c r="G271" s="3"/>
      <c r="H271" s="3"/>
      <c r="I271" s="3"/>
      <c r="J271" s="3"/>
      <c r="K271" s="3"/>
      <c r="L271" s="3"/>
      <c r="M271" s="3"/>
      <c r="N271" s="3"/>
      <c r="O271" s="3"/>
      <c r="P271" s="3"/>
      <c r="Q271" s="3"/>
      <c r="R271" s="3"/>
      <c r="S271" s="3"/>
      <c r="T271" s="3"/>
      <c r="U271" s="3"/>
      <c r="V271" s="3"/>
      <c r="W271" s="3"/>
      <c r="X271" s="3"/>
      <c r="Y271" s="3"/>
      <c r="Z271" s="3"/>
    </row>
    <row r="272">
      <c r="A272" s="57"/>
      <c r="B272" s="57"/>
      <c r="C272" s="57"/>
      <c r="D272" s="3"/>
      <c r="E272" s="3"/>
      <c r="F272" s="3"/>
      <c r="G272" s="3"/>
      <c r="H272" s="3"/>
      <c r="I272" s="3"/>
      <c r="J272" s="3"/>
      <c r="K272" s="3"/>
      <c r="L272" s="3"/>
      <c r="M272" s="3"/>
      <c r="N272" s="3"/>
      <c r="O272" s="3"/>
      <c r="P272" s="3"/>
      <c r="Q272" s="3"/>
      <c r="R272" s="3"/>
      <c r="S272" s="3"/>
      <c r="T272" s="3"/>
      <c r="U272" s="3"/>
      <c r="V272" s="3"/>
      <c r="W272" s="3"/>
      <c r="X272" s="3"/>
      <c r="Y272" s="3"/>
      <c r="Z272" s="3"/>
    </row>
    <row r="273">
      <c r="A273" s="57"/>
      <c r="B273" s="57"/>
      <c r="C273" s="57"/>
      <c r="D273" s="3"/>
      <c r="E273" s="3"/>
      <c r="F273" s="3"/>
      <c r="G273" s="3"/>
      <c r="H273" s="3"/>
      <c r="I273" s="3"/>
      <c r="J273" s="3"/>
      <c r="K273" s="3"/>
      <c r="L273" s="3"/>
      <c r="M273" s="3"/>
      <c r="N273" s="3"/>
      <c r="O273" s="3"/>
      <c r="P273" s="3"/>
      <c r="Q273" s="3"/>
      <c r="R273" s="3"/>
      <c r="S273" s="3"/>
      <c r="T273" s="3"/>
      <c r="U273" s="3"/>
      <c r="V273" s="3"/>
      <c r="W273" s="3"/>
      <c r="X273" s="3"/>
      <c r="Y273" s="3"/>
      <c r="Z273" s="3"/>
    </row>
    <row r="274">
      <c r="A274" s="57"/>
      <c r="B274" s="57"/>
      <c r="C274" s="57"/>
      <c r="D274" s="3"/>
      <c r="E274" s="3"/>
      <c r="F274" s="3"/>
      <c r="G274" s="3"/>
      <c r="H274" s="3"/>
      <c r="I274" s="3"/>
      <c r="J274" s="3"/>
      <c r="K274" s="3"/>
      <c r="L274" s="3"/>
      <c r="M274" s="3"/>
      <c r="N274" s="3"/>
      <c r="O274" s="3"/>
      <c r="P274" s="3"/>
      <c r="Q274" s="3"/>
      <c r="R274" s="3"/>
      <c r="S274" s="3"/>
      <c r="T274" s="3"/>
      <c r="U274" s="3"/>
      <c r="V274" s="3"/>
      <c r="W274" s="3"/>
      <c r="X274" s="3"/>
      <c r="Y274" s="3"/>
      <c r="Z274" s="3"/>
    </row>
    <row r="275">
      <c r="A275" s="57"/>
      <c r="B275" s="57"/>
      <c r="C275" s="57"/>
      <c r="D275" s="3"/>
      <c r="E275" s="3"/>
      <c r="F275" s="3"/>
      <c r="G275" s="3"/>
      <c r="H275" s="3"/>
      <c r="I275" s="3"/>
      <c r="J275" s="3"/>
      <c r="K275" s="3"/>
      <c r="L275" s="3"/>
      <c r="M275" s="3"/>
      <c r="N275" s="3"/>
      <c r="O275" s="3"/>
      <c r="P275" s="3"/>
      <c r="Q275" s="3"/>
      <c r="R275" s="3"/>
      <c r="S275" s="3"/>
      <c r="T275" s="3"/>
      <c r="U275" s="3"/>
      <c r="V275" s="3"/>
      <c r="W275" s="3"/>
      <c r="X275" s="3"/>
      <c r="Y275" s="3"/>
      <c r="Z275" s="3"/>
    </row>
    <row r="276">
      <c r="A276" s="57"/>
      <c r="B276" s="57"/>
      <c r="C276" s="57"/>
      <c r="D276" s="3"/>
      <c r="E276" s="3"/>
      <c r="F276" s="3"/>
      <c r="G276" s="3"/>
      <c r="H276" s="3"/>
      <c r="I276" s="3"/>
      <c r="J276" s="3"/>
      <c r="K276" s="3"/>
      <c r="L276" s="3"/>
      <c r="M276" s="3"/>
      <c r="N276" s="3"/>
      <c r="O276" s="3"/>
      <c r="P276" s="3"/>
      <c r="Q276" s="3"/>
      <c r="R276" s="3"/>
      <c r="S276" s="3"/>
      <c r="T276" s="3"/>
      <c r="U276" s="3"/>
      <c r="V276" s="3"/>
      <c r="W276" s="3"/>
      <c r="X276" s="3"/>
      <c r="Y276" s="3"/>
      <c r="Z276" s="3"/>
    </row>
    <row r="277">
      <c r="A277" s="57"/>
      <c r="B277" s="57"/>
      <c r="C277" s="57"/>
      <c r="D277" s="3"/>
      <c r="E277" s="3"/>
      <c r="F277" s="3"/>
      <c r="G277" s="3"/>
      <c r="H277" s="3"/>
      <c r="I277" s="3"/>
      <c r="J277" s="3"/>
      <c r="K277" s="3"/>
      <c r="L277" s="3"/>
      <c r="M277" s="3"/>
      <c r="N277" s="3"/>
      <c r="O277" s="3"/>
      <c r="P277" s="3"/>
      <c r="Q277" s="3"/>
      <c r="R277" s="3"/>
      <c r="S277" s="3"/>
      <c r="T277" s="3"/>
      <c r="U277" s="3"/>
      <c r="V277" s="3"/>
      <c r="W277" s="3"/>
      <c r="X277" s="3"/>
      <c r="Y277" s="3"/>
      <c r="Z277" s="3"/>
    </row>
    <row r="278">
      <c r="A278" s="57"/>
      <c r="B278" s="57"/>
      <c r="C278" s="57"/>
      <c r="D278" s="3"/>
      <c r="E278" s="3"/>
      <c r="F278" s="3"/>
      <c r="G278" s="3"/>
      <c r="H278" s="3"/>
      <c r="I278" s="3"/>
      <c r="J278" s="3"/>
      <c r="K278" s="3"/>
      <c r="L278" s="3"/>
      <c r="M278" s="3"/>
      <c r="N278" s="3"/>
      <c r="O278" s="3"/>
      <c r="P278" s="3"/>
      <c r="Q278" s="3"/>
      <c r="R278" s="3"/>
      <c r="S278" s="3"/>
      <c r="T278" s="3"/>
      <c r="U278" s="3"/>
      <c r="V278" s="3"/>
      <c r="W278" s="3"/>
      <c r="X278" s="3"/>
      <c r="Y278" s="3"/>
      <c r="Z278" s="3"/>
    </row>
    <row r="279">
      <c r="A279" s="57"/>
      <c r="B279" s="57"/>
      <c r="C279" s="57"/>
      <c r="D279" s="3"/>
      <c r="E279" s="3"/>
      <c r="F279" s="3"/>
      <c r="G279" s="3"/>
      <c r="H279" s="3"/>
      <c r="I279" s="3"/>
      <c r="J279" s="3"/>
      <c r="K279" s="3"/>
      <c r="L279" s="3"/>
      <c r="M279" s="3"/>
      <c r="N279" s="3"/>
      <c r="O279" s="3"/>
      <c r="P279" s="3"/>
      <c r="Q279" s="3"/>
      <c r="R279" s="3"/>
      <c r="S279" s="3"/>
      <c r="T279" s="3"/>
      <c r="U279" s="3"/>
      <c r="V279" s="3"/>
      <c r="W279" s="3"/>
      <c r="X279" s="3"/>
      <c r="Y279" s="3"/>
      <c r="Z279" s="3"/>
    </row>
    <row r="280">
      <c r="A280" s="57"/>
      <c r="B280" s="57"/>
      <c r="C280" s="57"/>
      <c r="D280" s="3"/>
      <c r="E280" s="3"/>
      <c r="F280" s="3"/>
      <c r="G280" s="3"/>
      <c r="H280" s="3"/>
      <c r="I280" s="3"/>
      <c r="J280" s="3"/>
      <c r="K280" s="3"/>
      <c r="L280" s="3"/>
      <c r="M280" s="3"/>
      <c r="N280" s="3"/>
      <c r="O280" s="3"/>
      <c r="P280" s="3"/>
      <c r="Q280" s="3"/>
      <c r="R280" s="3"/>
      <c r="S280" s="3"/>
      <c r="T280" s="3"/>
      <c r="U280" s="3"/>
      <c r="V280" s="3"/>
      <c r="W280" s="3"/>
      <c r="X280" s="3"/>
      <c r="Y280" s="3"/>
      <c r="Z280" s="3"/>
    </row>
    <row r="281">
      <c r="A281" s="57"/>
      <c r="B281" s="57"/>
      <c r="C281" s="57"/>
      <c r="D281" s="3"/>
      <c r="E281" s="3"/>
      <c r="F281" s="3"/>
      <c r="G281" s="3"/>
      <c r="H281" s="3"/>
      <c r="I281" s="3"/>
      <c r="J281" s="3"/>
      <c r="K281" s="3"/>
      <c r="L281" s="3"/>
      <c r="M281" s="3"/>
      <c r="N281" s="3"/>
      <c r="O281" s="3"/>
      <c r="P281" s="3"/>
      <c r="Q281" s="3"/>
      <c r="R281" s="3"/>
      <c r="S281" s="3"/>
      <c r="T281" s="3"/>
      <c r="U281" s="3"/>
      <c r="V281" s="3"/>
      <c r="W281" s="3"/>
      <c r="X281" s="3"/>
      <c r="Y281" s="3"/>
      <c r="Z281" s="3"/>
    </row>
    <row r="282">
      <c r="A282" s="57"/>
      <c r="B282" s="57"/>
      <c r="C282" s="57"/>
      <c r="D282" s="3"/>
      <c r="E282" s="3"/>
      <c r="F282" s="3"/>
      <c r="G282" s="3"/>
      <c r="H282" s="3"/>
      <c r="I282" s="3"/>
      <c r="J282" s="3"/>
      <c r="K282" s="3"/>
      <c r="L282" s="3"/>
      <c r="M282" s="3"/>
      <c r="N282" s="3"/>
      <c r="O282" s="3"/>
      <c r="P282" s="3"/>
      <c r="Q282" s="3"/>
      <c r="R282" s="3"/>
      <c r="S282" s="3"/>
      <c r="T282" s="3"/>
      <c r="U282" s="3"/>
      <c r="V282" s="3"/>
      <c r="W282" s="3"/>
      <c r="X282" s="3"/>
      <c r="Y282" s="3"/>
      <c r="Z282" s="3"/>
    </row>
    <row r="283">
      <c r="A283" s="57"/>
      <c r="B283" s="57"/>
      <c r="C283" s="57"/>
      <c r="D283" s="3"/>
      <c r="E283" s="3"/>
      <c r="F283" s="3"/>
      <c r="G283" s="3"/>
      <c r="H283" s="3"/>
      <c r="I283" s="3"/>
      <c r="J283" s="3"/>
      <c r="K283" s="3"/>
      <c r="L283" s="3"/>
      <c r="M283" s="3"/>
      <c r="N283" s="3"/>
      <c r="O283" s="3"/>
      <c r="P283" s="3"/>
      <c r="Q283" s="3"/>
      <c r="R283" s="3"/>
      <c r="S283" s="3"/>
      <c r="T283" s="3"/>
      <c r="U283" s="3"/>
      <c r="V283" s="3"/>
      <c r="W283" s="3"/>
      <c r="X283" s="3"/>
      <c r="Y283" s="3"/>
      <c r="Z283" s="3"/>
    </row>
    <row r="284">
      <c r="A284" s="57"/>
      <c r="B284" s="57"/>
      <c r="C284" s="57"/>
      <c r="D284" s="3"/>
      <c r="E284" s="3"/>
      <c r="F284" s="3"/>
      <c r="G284" s="3"/>
      <c r="H284" s="3"/>
      <c r="I284" s="3"/>
      <c r="J284" s="3"/>
      <c r="K284" s="3"/>
      <c r="L284" s="3"/>
      <c r="M284" s="3"/>
      <c r="N284" s="3"/>
      <c r="O284" s="3"/>
      <c r="P284" s="3"/>
      <c r="Q284" s="3"/>
      <c r="R284" s="3"/>
      <c r="S284" s="3"/>
      <c r="T284" s="3"/>
      <c r="U284" s="3"/>
      <c r="V284" s="3"/>
      <c r="W284" s="3"/>
      <c r="X284" s="3"/>
      <c r="Y284" s="3"/>
      <c r="Z284" s="3"/>
    </row>
    <row r="285">
      <c r="A285" s="57"/>
      <c r="B285" s="57"/>
      <c r="C285" s="57"/>
      <c r="D285" s="3"/>
      <c r="E285" s="3"/>
      <c r="F285" s="3"/>
      <c r="G285" s="3"/>
      <c r="H285" s="3"/>
      <c r="I285" s="3"/>
      <c r="J285" s="3"/>
      <c r="K285" s="3"/>
      <c r="L285" s="3"/>
      <c r="M285" s="3"/>
      <c r="N285" s="3"/>
      <c r="O285" s="3"/>
      <c r="P285" s="3"/>
      <c r="Q285" s="3"/>
      <c r="R285" s="3"/>
      <c r="S285" s="3"/>
      <c r="T285" s="3"/>
      <c r="U285" s="3"/>
      <c r="V285" s="3"/>
      <c r="W285" s="3"/>
      <c r="X285" s="3"/>
      <c r="Y285" s="3"/>
      <c r="Z285" s="3"/>
    </row>
    <row r="286">
      <c r="A286" s="57"/>
      <c r="B286" s="57"/>
      <c r="C286" s="57"/>
      <c r="D286" s="3"/>
      <c r="E286" s="3"/>
      <c r="F286" s="3"/>
      <c r="G286" s="3"/>
      <c r="H286" s="3"/>
      <c r="I286" s="3"/>
      <c r="J286" s="3"/>
      <c r="K286" s="3"/>
      <c r="L286" s="3"/>
      <c r="M286" s="3"/>
      <c r="N286" s="3"/>
      <c r="O286" s="3"/>
      <c r="P286" s="3"/>
      <c r="Q286" s="3"/>
      <c r="R286" s="3"/>
      <c r="S286" s="3"/>
      <c r="T286" s="3"/>
      <c r="U286" s="3"/>
      <c r="V286" s="3"/>
      <c r="W286" s="3"/>
      <c r="X286" s="3"/>
      <c r="Y286" s="3"/>
      <c r="Z286" s="3"/>
    </row>
    <row r="287">
      <c r="A287" s="57"/>
      <c r="B287" s="57"/>
      <c r="C287" s="57"/>
      <c r="D287" s="3"/>
      <c r="E287" s="3"/>
      <c r="F287" s="3"/>
      <c r="G287" s="3"/>
      <c r="H287" s="3"/>
      <c r="I287" s="3"/>
      <c r="J287" s="3"/>
      <c r="K287" s="3"/>
      <c r="L287" s="3"/>
      <c r="M287" s="3"/>
      <c r="N287" s="3"/>
      <c r="O287" s="3"/>
      <c r="P287" s="3"/>
      <c r="Q287" s="3"/>
      <c r="R287" s="3"/>
      <c r="S287" s="3"/>
      <c r="T287" s="3"/>
      <c r="U287" s="3"/>
      <c r="V287" s="3"/>
      <c r="W287" s="3"/>
      <c r="X287" s="3"/>
      <c r="Y287" s="3"/>
      <c r="Z287" s="3"/>
    </row>
    <row r="288">
      <c r="A288" s="57"/>
      <c r="B288" s="57"/>
      <c r="C288" s="57"/>
      <c r="D288" s="3"/>
      <c r="E288" s="3"/>
      <c r="F288" s="3"/>
      <c r="G288" s="3"/>
      <c r="H288" s="3"/>
      <c r="I288" s="3"/>
      <c r="J288" s="3"/>
      <c r="K288" s="3"/>
      <c r="L288" s="3"/>
      <c r="M288" s="3"/>
      <c r="N288" s="3"/>
      <c r="O288" s="3"/>
      <c r="P288" s="3"/>
      <c r="Q288" s="3"/>
      <c r="R288" s="3"/>
      <c r="S288" s="3"/>
      <c r="T288" s="3"/>
      <c r="U288" s="3"/>
      <c r="V288" s="3"/>
      <c r="W288" s="3"/>
      <c r="X288" s="3"/>
      <c r="Y288" s="3"/>
      <c r="Z288" s="3"/>
    </row>
    <row r="289">
      <c r="A289" s="57"/>
      <c r="B289" s="57"/>
      <c r="C289" s="57"/>
      <c r="D289" s="3"/>
      <c r="E289" s="3"/>
      <c r="F289" s="3"/>
      <c r="G289" s="3"/>
      <c r="H289" s="3"/>
      <c r="I289" s="3"/>
      <c r="J289" s="3"/>
      <c r="K289" s="3"/>
      <c r="L289" s="3"/>
      <c r="M289" s="3"/>
      <c r="N289" s="3"/>
      <c r="O289" s="3"/>
      <c r="P289" s="3"/>
      <c r="Q289" s="3"/>
      <c r="R289" s="3"/>
      <c r="S289" s="3"/>
      <c r="T289" s="3"/>
      <c r="U289" s="3"/>
      <c r="V289" s="3"/>
      <c r="W289" s="3"/>
      <c r="X289" s="3"/>
      <c r="Y289" s="3"/>
      <c r="Z289" s="3"/>
    </row>
    <row r="290">
      <c r="A290" s="57"/>
      <c r="B290" s="57"/>
      <c r="C290" s="57"/>
      <c r="D290" s="3"/>
      <c r="E290" s="3"/>
      <c r="F290" s="3"/>
      <c r="G290" s="3"/>
      <c r="H290" s="3"/>
      <c r="I290" s="3"/>
      <c r="J290" s="3"/>
      <c r="K290" s="3"/>
      <c r="L290" s="3"/>
      <c r="M290" s="3"/>
      <c r="N290" s="3"/>
      <c r="O290" s="3"/>
      <c r="P290" s="3"/>
      <c r="Q290" s="3"/>
      <c r="R290" s="3"/>
      <c r="S290" s="3"/>
      <c r="T290" s="3"/>
      <c r="U290" s="3"/>
      <c r="V290" s="3"/>
      <c r="W290" s="3"/>
      <c r="X290" s="3"/>
      <c r="Y290" s="3"/>
      <c r="Z290" s="3"/>
    </row>
    <row r="291">
      <c r="A291" s="57"/>
      <c r="B291" s="57"/>
      <c r="C291" s="57"/>
      <c r="D291" s="3"/>
      <c r="E291" s="3"/>
      <c r="F291" s="3"/>
      <c r="G291" s="3"/>
      <c r="H291" s="3"/>
      <c r="I291" s="3"/>
      <c r="J291" s="3"/>
      <c r="K291" s="3"/>
      <c r="L291" s="3"/>
      <c r="M291" s="3"/>
      <c r="N291" s="3"/>
      <c r="O291" s="3"/>
      <c r="P291" s="3"/>
      <c r="Q291" s="3"/>
      <c r="R291" s="3"/>
      <c r="S291" s="3"/>
      <c r="T291" s="3"/>
      <c r="U291" s="3"/>
      <c r="V291" s="3"/>
      <c r="W291" s="3"/>
      <c r="X291" s="3"/>
      <c r="Y291" s="3"/>
      <c r="Z291" s="3"/>
    </row>
    <row r="292">
      <c r="A292" s="57"/>
      <c r="B292" s="57"/>
      <c r="C292" s="57"/>
      <c r="D292" s="3"/>
      <c r="E292" s="3"/>
      <c r="F292" s="3"/>
      <c r="G292" s="3"/>
      <c r="H292" s="3"/>
      <c r="I292" s="3"/>
      <c r="J292" s="3"/>
      <c r="K292" s="3"/>
      <c r="L292" s="3"/>
      <c r="M292" s="3"/>
      <c r="N292" s="3"/>
      <c r="O292" s="3"/>
      <c r="P292" s="3"/>
      <c r="Q292" s="3"/>
      <c r="R292" s="3"/>
      <c r="S292" s="3"/>
      <c r="T292" s="3"/>
      <c r="U292" s="3"/>
      <c r="V292" s="3"/>
      <c r="W292" s="3"/>
      <c r="X292" s="3"/>
      <c r="Y292" s="3"/>
      <c r="Z292" s="3"/>
    </row>
    <row r="293">
      <c r="A293" s="57"/>
      <c r="B293" s="57"/>
      <c r="C293" s="57"/>
      <c r="D293" s="3"/>
      <c r="E293" s="3"/>
      <c r="F293" s="3"/>
      <c r="G293" s="3"/>
      <c r="H293" s="3"/>
      <c r="I293" s="3"/>
      <c r="J293" s="3"/>
      <c r="K293" s="3"/>
      <c r="L293" s="3"/>
      <c r="M293" s="3"/>
      <c r="N293" s="3"/>
      <c r="O293" s="3"/>
      <c r="P293" s="3"/>
      <c r="Q293" s="3"/>
      <c r="R293" s="3"/>
      <c r="S293" s="3"/>
      <c r="T293" s="3"/>
      <c r="U293" s="3"/>
      <c r="V293" s="3"/>
      <c r="W293" s="3"/>
      <c r="X293" s="3"/>
      <c r="Y293" s="3"/>
      <c r="Z293" s="3"/>
    </row>
    <row r="294">
      <c r="A294" s="57"/>
      <c r="B294" s="57"/>
      <c r="C294" s="57"/>
      <c r="D294" s="3"/>
      <c r="E294" s="3"/>
      <c r="F294" s="3"/>
      <c r="G294" s="3"/>
      <c r="H294" s="3"/>
      <c r="I294" s="3"/>
      <c r="J294" s="3"/>
      <c r="K294" s="3"/>
      <c r="L294" s="3"/>
      <c r="M294" s="3"/>
      <c r="N294" s="3"/>
      <c r="O294" s="3"/>
      <c r="P294" s="3"/>
      <c r="Q294" s="3"/>
      <c r="R294" s="3"/>
      <c r="S294" s="3"/>
      <c r="T294" s="3"/>
      <c r="U294" s="3"/>
      <c r="V294" s="3"/>
      <c r="W294" s="3"/>
      <c r="X294" s="3"/>
      <c r="Y294" s="3"/>
      <c r="Z294" s="3"/>
    </row>
    <row r="295">
      <c r="A295" s="57"/>
      <c r="B295" s="57"/>
      <c r="C295" s="57"/>
      <c r="D295" s="3"/>
      <c r="E295" s="3"/>
      <c r="F295" s="3"/>
      <c r="G295" s="3"/>
      <c r="H295" s="3"/>
      <c r="I295" s="3"/>
      <c r="J295" s="3"/>
      <c r="K295" s="3"/>
      <c r="L295" s="3"/>
      <c r="M295" s="3"/>
      <c r="N295" s="3"/>
      <c r="O295" s="3"/>
      <c r="P295" s="3"/>
      <c r="Q295" s="3"/>
      <c r="R295" s="3"/>
      <c r="S295" s="3"/>
      <c r="T295" s="3"/>
      <c r="U295" s="3"/>
      <c r="V295" s="3"/>
      <c r="W295" s="3"/>
      <c r="X295" s="3"/>
      <c r="Y295" s="3"/>
      <c r="Z295" s="3"/>
    </row>
    <row r="296">
      <c r="A296" s="57"/>
      <c r="B296" s="57"/>
      <c r="C296" s="57"/>
      <c r="D296" s="3"/>
      <c r="E296" s="3"/>
      <c r="F296" s="3"/>
      <c r="G296" s="3"/>
      <c r="H296" s="3"/>
      <c r="I296" s="3"/>
      <c r="J296" s="3"/>
      <c r="K296" s="3"/>
      <c r="L296" s="3"/>
      <c r="M296" s="3"/>
      <c r="N296" s="3"/>
      <c r="O296" s="3"/>
      <c r="P296" s="3"/>
      <c r="Q296" s="3"/>
      <c r="R296" s="3"/>
      <c r="S296" s="3"/>
      <c r="T296" s="3"/>
      <c r="U296" s="3"/>
      <c r="V296" s="3"/>
      <c r="W296" s="3"/>
      <c r="X296" s="3"/>
      <c r="Y296" s="3"/>
      <c r="Z296" s="3"/>
    </row>
    <row r="297">
      <c r="A297" s="57"/>
      <c r="B297" s="57"/>
      <c r="C297" s="57"/>
      <c r="D297" s="3"/>
      <c r="E297" s="3"/>
      <c r="F297" s="3"/>
      <c r="G297" s="3"/>
      <c r="H297" s="3"/>
      <c r="I297" s="3"/>
      <c r="J297" s="3"/>
      <c r="K297" s="3"/>
      <c r="L297" s="3"/>
      <c r="M297" s="3"/>
      <c r="N297" s="3"/>
      <c r="O297" s="3"/>
      <c r="P297" s="3"/>
      <c r="Q297" s="3"/>
      <c r="R297" s="3"/>
      <c r="S297" s="3"/>
      <c r="T297" s="3"/>
      <c r="U297" s="3"/>
      <c r="V297" s="3"/>
      <c r="W297" s="3"/>
      <c r="X297" s="3"/>
      <c r="Y297" s="3"/>
      <c r="Z297" s="3"/>
    </row>
    <row r="298">
      <c r="A298" s="57"/>
      <c r="B298" s="57"/>
      <c r="C298" s="57"/>
      <c r="D298" s="3"/>
      <c r="E298" s="3"/>
      <c r="F298" s="3"/>
      <c r="G298" s="3"/>
      <c r="H298" s="3"/>
      <c r="I298" s="3"/>
      <c r="J298" s="3"/>
      <c r="K298" s="3"/>
      <c r="L298" s="3"/>
      <c r="M298" s="3"/>
      <c r="N298" s="3"/>
      <c r="O298" s="3"/>
      <c r="P298" s="3"/>
      <c r="Q298" s="3"/>
      <c r="R298" s="3"/>
      <c r="S298" s="3"/>
      <c r="T298" s="3"/>
      <c r="U298" s="3"/>
      <c r="V298" s="3"/>
      <c r="W298" s="3"/>
      <c r="X298" s="3"/>
      <c r="Y298" s="3"/>
      <c r="Z298" s="3"/>
    </row>
    <row r="299">
      <c r="A299" s="57"/>
      <c r="B299" s="57"/>
      <c r="C299" s="57"/>
      <c r="D299" s="3"/>
      <c r="E299" s="3"/>
      <c r="F299" s="3"/>
      <c r="G299" s="3"/>
      <c r="H299" s="3"/>
      <c r="I299" s="3"/>
      <c r="J299" s="3"/>
      <c r="K299" s="3"/>
      <c r="L299" s="3"/>
      <c r="M299" s="3"/>
      <c r="N299" s="3"/>
      <c r="O299" s="3"/>
      <c r="P299" s="3"/>
      <c r="Q299" s="3"/>
      <c r="R299" s="3"/>
      <c r="S299" s="3"/>
      <c r="T299" s="3"/>
      <c r="U299" s="3"/>
      <c r="V299" s="3"/>
      <c r="W299" s="3"/>
      <c r="X299" s="3"/>
      <c r="Y299" s="3"/>
      <c r="Z299" s="3"/>
    </row>
    <row r="300">
      <c r="A300" s="57"/>
      <c r="B300" s="57"/>
      <c r="C300" s="57"/>
      <c r="D300" s="3"/>
      <c r="E300" s="3"/>
      <c r="F300" s="3"/>
      <c r="G300" s="3"/>
      <c r="H300" s="3"/>
      <c r="I300" s="3"/>
      <c r="J300" s="3"/>
      <c r="K300" s="3"/>
      <c r="L300" s="3"/>
      <c r="M300" s="3"/>
      <c r="N300" s="3"/>
      <c r="O300" s="3"/>
      <c r="P300" s="3"/>
      <c r="Q300" s="3"/>
      <c r="R300" s="3"/>
      <c r="S300" s="3"/>
      <c r="T300" s="3"/>
      <c r="U300" s="3"/>
      <c r="V300" s="3"/>
      <c r="W300" s="3"/>
      <c r="X300" s="3"/>
      <c r="Y300" s="3"/>
      <c r="Z300" s="3"/>
    </row>
    <row r="301">
      <c r="A301" s="57"/>
      <c r="B301" s="57"/>
      <c r="C301" s="57"/>
      <c r="D301" s="3"/>
      <c r="E301" s="3"/>
      <c r="F301" s="3"/>
      <c r="G301" s="3"/>
      <c r="H301" s="3"/>
      <c r="I301" s="3"/>
      <c r="J301" s="3"/>
      <c r="K301" s="3"/>
      <c r="L301" s="3"/>
      <c r="M301" s="3"/>
      <c r="N301" s="3"/>
      <c r="O301" s="3"/>
      <c r="P301" s="3"/>
      <c r="Q301" s="3"/>
      <c r="R301" s="3"/>
      <c r="S301" s="3"/>
      <c r="T301" s="3"/>
      <c r="U301" s="3"/>
      <c r="V301" s="3"/>
      <c r="W301" s="3"/>
      <c r="X301" s="3"/>
      <c r="Y301" s="3"/>
      <c r="Z301" s="3"/>
    </row>
    <row r="302">
      <c r="A302" s="57"/>
      <c r="B302" s="57"/>
      <c r="C302" s="57"/>
      <c r="D302" s="3"/>
      <c r="E302" s="3"/>
      <c r="F302" s="3"/>
      <c r="G302" s="3"/>
      <c r="H302" s="3"/>
      <c r="I302" s="3"/>
      <c r="J302" s="3"/>
      <c r="K302" s="3"/>
      <c r="L302" s="3"/>
      <c r="M302" s="3"/>
      <c r="N302" s="3"/>
      <c r="O302" s="3"/>
      <c r="P302" s="3"/>
      <c r="Q302" s="3"/>
      <c r="R302" s="3"/>
      <c r="S302" s="3"/>
      <c r="T302" s="3"/>
      <c r="U302" s="3"/>
      <c r="V302" s="3"/>
      <c r="W302" s="3"/>
      <c r="X302" s="3"/>
      <c r="Y302" s="3"/>
      <c r="Z302" s="3"/>
    </row>
    <row r="303">
      <c r="A303" s="57"/>
      <c r="B303" s="57"/>
      <c r="C303" s="57"/>
      <c r="D303" s="3"/>
      <c r="E303" s="3"/>
      <c r="F303" s="3"/>
      <c r="G303" s="3"/>
      <c r="H303" s="3"/>
      <c r="I303" s="3"/>
      <c r="J303" s="3"/>
      <c r="K303" s="3"/>
      <c r="L303" s="3"/>
      <c r="M303" s="3"/>
      <c r="N303" s="3"/>
      <c r="O303" s="3"/>
      <c r="P303" s="3"/>
      <c r="Q303" s="3"/>
      <c r="R303" s="3"/>
      <c r="S303" s="3"/>
      <c r="T303" s="3"/>
      <c r="U303" s="3"/>
      <c r="V303" s="3"/>
      <c r="W303" s="3"/>
      <c r="X303" s="3"/>
      <c r="Y303" s="3"/>
      <c r="Z303" s="3"/>
    </row>
    <row r="304">
      <c r="A304" s="57"/>
      <c r="B304" s="57"/>
      <c r="C304" s="57"/>
      <c r="D304" s="3"/>
      <c r="E304" s="3"/>
      <c r="F304" s="3"/>
      <c r="G304" s="3"/>
      <c r="H304" s="3"/>
      <c r="I304" s="3"/>
      <c r="J304" s="3"/>
      <c r="K304" s="3"/>
      <c r="L304" s="3"/>
      <c r="M304" s="3"/>
      <c r="N304" s="3"/>
      <c r="O304" s="3"/>
      <c r="P304" s="3"/>
      <c r="Q304" s="3"/>
      <c r="R304" s="3"/>
      <c r="S304" s="3"/>
      <c r="T304" s="3"/>
      <c r="U304" s="3"/>
      <c r="V304" s="3"/>
      <c r="W304" s="3"/>
      <c r="X304" s="3"/>
      <c r="Y304" s="3"/>
      <c r="Z304" s="3"/>
    </row>
    <row r="305">
      <c r="A305" s="57"/>
      <c r="B305" s="57"/>
      <c r="C305" s="57"/>
      <c r="D305" s="3"/>
      <c r="E305" s="3"/>
      <c r="F305" s="3"/>
      <c r="G305" s="3"/>
      <c r="H305" s="3"/>
      <c r="I305" s="3"/>
      <c r="J305" s="3"/>
      <c r="K305" s="3"/>
      <c r="L305" s="3"/>
      <c r="M305" s="3"/>
      <c r="N305" s="3"/>
      <c r="O305" s="3"/>
      <c r="P305" s="3"/>
      <c r="Q305" s="3"/>
      <c r="R305" s="3"/>
      <c r="S305" s="3"/>
      <c r="T305" s="3"/>
      <c r="U305" s="3"/>
      <c r="V305" s="3"/>
      <c r="W305" s="3"/>
      <c r="X305" s="3"/>
      <c r="Y305" s="3"/>
      <c r="Z305" s="3"/>
    </row>
    <row r="306">
      <c r="A306" s="57"/>
      <c r="B306" s="57"/>
      <c r="C306" s="57"/>
      <c r="D306" s="3"/>
      <c r="E306" s="3"/>
      <c r="F306" s="3"/>
      <c r="G306" s="3"/>
      <c r="H306" s="3"/>
      <c r="I306" s="3"/>
      <c r="J306" s="3"/>
      <c r="K306" s="3"/>
      <c r="L306" s="3"/>
      <c r="M306" s="3"/>
      <c r="N306" s="3"/>
      <c r="O306" s="3"/>
      <c r="P306" s="3"/>
      <c r="Q306" s="3"/>
      <c r="R306" s="3"/>
      <c r="S306" s="3"/>
      <c r="T306" s="3"/>
      <c r="U306" s="3"/>
      <c r="V306" s="3"/>
      <c r="W306" s="3"/>
      <c r="X306" s="3"/>
      <c r="Y306" s="3"/>
      <c r="Z306" s="3"/>
    </row>
    <row r="307">
      <c r="A307" s="57"/>
      <c r="B307" s="57"/>
      <c r="C307" s="57"/>
      <c r="D307" s="3"/>
      <c r="E307" s="3"/>
      <c r="F307" s="3"/>
      <c r="G307" s="3"/>
      <c r="H307" s="3"/>
      <c r="I307" s="3"/>
      <c r="J307" s="3"/>
      <c r="K307" s="3"/>
      <c r="L307" s="3"/>
      <c r="M307" s="3"/>
      <c r="N307" s="3"/>
      <c r="O307" s="3"/>
      <c r="P307" s="3"/>
      <c r="Q307" s="3"/>
      <c r="R307" s="3"/>
      <c r="S307" s="3"/>
      <c r="T307" s="3"/>
      <c r="U307" s="3"/>
      <c r="V307" s="3"/>
      <c r="W307" s="3"/>
      <c r="X307" s="3"/>
      <c r="Y307" s="3"/>
      <c r="Z307" s="3"/>
    </row>
    <row r="308">
      <c r="A308" s="57"/>
      <c r="B308" s="57"/>
      <c r="C308" s="57"/>
      <c r="D308" s="3"/>
      <c r="E308" s="3"/>
      <c r="F308" s="3"/>
      <c r="G308" s="3"/>
      <c r="H308" s="3"/>
      <c r="I308" s="3"/>
      <c r="J308" s="3"/>
      <c r="K308" s="3"/>
      <c r="L308" s="3"/>
      <c r="M308" s="3"/>
      <c r="N308" s="3"/>
      <c r="O308" s="3"/>
      <c r="P308" s="3"/>
      <c r="Q308" s="3"/>
      <c r="R308" s="3"/>
      <c r="S308" s="3"/>
      <c r="T308" s="3"/>
      <c r="U308" s="3"/>
      <c r="V308" s="3"/>
      <c r="W308" s="3"/>
      <c r="X308" s="3"/>
      <c r="Y308" s="3"/>
      <c r="Z308" s="3"/>
    </row>
    <row r="309">
      <c r="A309" s="57"/>
      <c r="B309" s="57"/>
      <c r="C309" s="57"/>
      <c r="D309" s="3"/>
      <c r="E309" s="3"/>
      <c r="F309" s="3"/>
      <c r="G309" s="3"/>
      <c r="H309" s="3"/>
      <c r="I309" s="3"/>
      <c r="J309" s="3"/>
      <c r="K309" s="3"/>
      <c r="L309" s="3"/>
      <c r="M309" s="3"/>
      <c r="N309" s="3"/>
      <c r="O309" s="3"/>
      <c r="P309" s="3"/>
      <c r="Q309" s="3"/>
      <c r="R309" s="3"/>
      <c r="S309" s="3"/>
      <c r="T309" s="3"/>
      <c r="U309" s="3"/>
      <c r="V309" s="3"/>
      <c r="W309" s="3"/>
      <c r="X309" s="3"/>
      <c r="Y309" s="3"/>
      <c r="Z309" s="3"/>
    </row>
    <row r="310">
      <c r="A310" s="57"/>
      <c r="B310" s="57"/>
      <c r="C310" s="57"/>
      <c r="D310" s="3"/>
      <c r="E310" s="3"/>
      <c r="F310" s="3"/>
      <c r="G310" s="3"/>
      <c r="H310" s="3"/>
      <c r="I310" s="3"/>
      <c r="J310" s="3"/>
      <c r="K310" s="3"/>
      <c r="L310" s="3"/>
      <c r="M310" s="3"/>
      <c r="N310" s="3"/>
      <c r="O310" s="3"/>
      <c r="P310" s="3"/>
      <c r="Q310" s="3"/>
      <c r="R310" s="3"/>
      <c r="S310" s="3"/>
      <c r="T310" s="3"/>
      <c r="U310" s="3"/>
      <c r="V310" s="3"/>
      <c r="W310" s="3"/>
      <c r="X310" s="3"/>
      <c r="Y310" s="3"/>
      <c r="Z310" s="3"/>
    </row>
    <row r="311">
      <c r="A311" s="57"/>
      <c r="B311" s="57"/>
      <c r="C311" s="57"/>
      <c r="D311" s="3"/>
      <c r="E311" s="3"/>
      <c r="F311" s="3"/>
      <c r="G311" s="3"/>
      <c r="H311" s="3"/>
      <c r="I311" s="3"/>
      <c r="J311" s="3"/>
      <c r="K311" s="3"/>
      <c r="L311" s="3"/>
      <c r="M311" s="3"/>
      <c r="N311" s="3"/>
      <c r="O311" s="3"/>
      <c r="P311" s="3"/>
      <c r="Q311" s="3"/>
      <c r="R311" s="3"/>
      <c r="S311" s="3"/>
      <c r="T311" s="3"/>
      <c r="U311" s="3"/>
      <c r="V311" s="3"/>
      <c r="W311" s="3"/>
      <c r="X311" s="3"/>
      <c r="Y311" s="3"/>
      <c r="Z311" s="3"/>
    </row>
    <row r="312">
      <c r="A312" s="57"/>
      <c r="B312" s="57"/>
      <c r="C312" s="57"/>
      <c r="D312" s="3"/>
      <c r="E312" s="3"/>
      <c r="F312" s="3"/>
      <c r="G312" s="3"/>
      <c r="H312" s="3"/>
      <c r="I312" s="3"/>
      <c r="J312" s="3"/>
      <c r="K312" s="3"/>
      <c r="L312" s="3"/>
      <c r="M312" s="3"/>
      <c r="N312" s="3"/>
      <c r="O312" s="3"/>
      <c r="P312" s="3"/>
      <c r="Q312" s="3"/>
      <c r="R312" s="3"/>
      <c r="S312" s="3"/>
      <c r="T312" s="3"/>
      <c r="U312" s="3"/>
      <c r="V312" s="3"/>
      <c r="W312" s="3"/>
      <c r="X312" s="3"/>
      <c r="Y312" s="3"/>
      <c r="Z312" s="3"/>
    </row>
    <row r="313">
      <c r="A313" s="57"/>
      <c r="B313" s="57"/>
      <c r="C313" s="57"/>
      <c r="D313" s="3"/>
      <c r="E313" s="3"/>
      <c r="F313" s="3"/>
      <c r="G313" s="3"/>
      <c r="H313" s="3"/>
      <c r="I313" s="3"/>
      <c r="J313" s="3"/>
      <c r="K313" s="3"/>
      <c r="L313" s="3"/>
      <c r="M313" s="3"/>
      <c r="N313" s="3"/>
      <c r="O313" s="3"/>
      <c r="P313" s="3"/>
      <c r="Q313" s="3"/>
      <c r="R313" s="3"/>
      <c r="S313" s="3"/>
      <c r="T313" s="3"/>
      <c r="U313" s="3"/>
      <c r="V313" s="3"/>
      <c r="W313" s="3"/>
      <c r="X313" s="3"/>
      <c r="Y313" s="3"/>
      <c r="Z313" s="3"/>
    </row>
    <row r="314">
      <c r="A314" s="57"/>
      <c r="B314" s="57"/>
      <c r="C314" s="57"/>
      <c r="D314" s="3"/>
      <c r="E314" s="3"/>
      <c r="F314" s="3"/>
      <c r="G314" s="3"/>
      <c r="H314" s="3"/>
      <c r="I314" s="3"/>
      <c r="J314" s="3"/>
      <c r="K314" s="3"/>
      <c r="L314" s="3"/>
      <c r="M314" s="3"/>
      <c r="N314" s="3"/>
      <c r="O314" s="3"/>
      <c r="P314" s="3"/>
      <c r="Q314" s="3"/>
      <c r="R314" s="3"/>
      <c r="S314" s="3"/>
      <c r="T314" s="3"/>
      <c r="U314" s="3"/>
      <c r="V314" s="3"/>
      <c r="W314" s="3"/>
      <c r="X314" s="3"/>
      <c r="Y314" s="3"/>
      <c r="Z314" s="3"/>
    </row>
    <row r="315">
      <c r="A315" s="57"/>
      <c r="B315" s="57"/>
      <c r="C315" s="57"/>
      <c r="D315" s="3"/>
      <c r="E315" s="3"/>
      <c r="F315" s="3"/>
      <c r="G315" s="3"/>
      <c r="H315" s="3"/>
      <c r="I315" s="3"/>
      <c r="J315" s="3"/>
      <c r="K315" s="3"/>
      <c r="L315" s="3"/>
      <c r="M315" s="3"/>
      <c r="N315" s="3"/>
      <c r="O315" s="3"/>
      <c r="P315" s="3"/>
      <c r="Q315" s="3"/>
      <c r="R315" s="3"/>
      <c r="S315" s="3"/>
      <c r="T315" s="3"/>
      <c r="U315" s="3"/>
      <c r="V315" s="3"/>
      <c r="W315" s="3"/>
      <c r="X315" s="3"/>
      <c r="Y315" s="3"/>
      <c r="Z315" s="3"/>
    </row>
    <row r="316">
      <c r="A316" s="57"/>
      <c r="B316" s="57"/>
      <c r="C316" s="57"/>
      <c r="D316" s="3"/>
      <c r="E316" s="3"/>
      <c r="F316" s="3"/>
      <c r="G316" s="3"/>
      <c r="H316" s="3"/>
      <c r="I316" s="3"/>
      <c r="J316" s="3"/>
      <c r="K316" s="3"/>
      <c r="L316" s="3"/>
      <c r="M316" s="3"/>
      <c r="N316" s="3"/>
      <c r="O316" s="3"/>
      <c r="P316" s="3"/>
      <c r="Q316" s="3"/>
      <c r="R316" s="3"/>
      <c r="S316" s="3"/>
      <c r="T316" s="3"/>
      <c r="U316" s="3"/>
      <c r="V316" s="3"/>
      <c r="W316" s="3"/>
      <c r="X316" s="3"/>
      <c r="Y316" s="3"/>
      <c r="Z316" s="3"/>
    </row>
    <row r="317">
      <c r="A317" s="57"/>
      <c r="B317" s="57"/>
      <c r="C317" s="57"/>
      <c r="D317" s="3"/>
      <c r="E317" s="3"/>
      <c r="F317" s="3"/>
      <c r="G317" s="3"/>
      <c r="H317" s="3"/>
      <c r="I317" s="3"/>
      <c r="J317" s="3"/>
      <c r="K317" s="3"/>
      <c r="L317" s="3"/>
      <c r="M317" s="3"/>
      <c r="N317" s="3"/>
      <c r="O317" s="3"/>
      <c r="P317" s="3"/>
      <c r="Q317" s="3"/>
      <c r="R317" s="3"/>
      <c r="S317" s="3"/>
      <c r="T317" s="3"/>
      <c r="U317" s="3"/>
      <c r="V317" s="3"/>
      <c r="W317" s="3"/>
      <c r="X317" s="3"/>
      <c r="Y317" s="3"/>
      <c r="Z317" s="3"/>
    </row>
    <row r="318">
      <c r="A318" s="57"/>
      <c r="B318" s="57"/>
      <c r="C318" s="57"/>
      <c r="D318" s="3"/>
      <c r="E318" s="3"/>
      <c r="F318" s="3"/>
      <c r="G318" s="3"/>
      <c r="H318" s="3"/>
      <c r="I318" s="3"/>
      <c r="J318" s="3"/>
      <c r="K318" s="3"/>
      <c r="L318" s="3"/>
      <c r="M318" s="3"/>
      <c r="N318" s="3"/>
      <c r="O318" s="3"/>
      <c r="P318" s="3"/>
      <c r="Q318" s="3"/>
      <c r="R318" s="3"/>
      <c r="S318" s="3"/>
      <c r="T318" s="3"/>
      <c r="U318" s="3"/>
      <c r="V318" s="3"/>
      <c r="W318" s="3"/>
      <c r="X318" s="3"/>
      <c r="Y318" s="3"/>
      <c r="Z318" s="3"/>
    </row>
    <row r="319">
      <c r="A319" s="57"/>
      <c r="B319" s="57"/>
      <c r="C319" s="57"/>
      <c r="D319" s="3"/>
      <c r="E319" s="3"/>
      <c r="F319" s="3"/>
      <c r="G319" s="3"/>
      <c r="H319" s="3"/>
      <c r="I319" s="3"/>
      <c r="J319" s="3"/>
      <c r="K319" s="3"/>
      <c r="L319" s="3"/>
      <c r="M319" s="3"/>
      <c r="N319" s="3"/>
      <c r="O319" s="3"/>
      <c r="P319" s="3"/>
      <c r="Q319" s="3"/>
      <c r="R319" s="3"/>
      <c r="S319" s="3"/>
      <c r="T319" s="3"/>
      <c r="U319" s="3"/>
      <c r="V319" s="3"/>
      <c r="W319" s="3"/>
      <c r="X319" s="3"/>
      <c r="Y319" s="3"/>
      <c r="Z319" s="3"/>
    </row>
    <row r="320">
      <c r="A320" s="57"/>
      <c r="B320" s="57"/>
      <c r="C320" s="57"/>
      <c r="D320" s="3"/>
      <c r="E320" s="3"/>
      <c r="F320" s="3"/>
      <c r="G320" s="3"/>
      <c r="H320" s="3"/>
      <c r="I320" s="3"/>
      <c r="J320" s="3"/>
      <c r="K320" s="3"/>
      <c r="L320" s="3"/>
      <c r="M320" s="3"/>
      <c r="N320" s="3"/>
      <c r="O320" s="3"/>
      <c r="P320" s="3"/>
      <c r="Q320" s="3"/>
      <c r="R320" s="3"/>
      <c r="S320" s="3"/>
      <c r="T320" s="3"/>
      <c r="U320" s="3"/>
      <c r="V320" s="3"/>
      <c r="W320" s="3"/>
      <c r="X320" s="3"/>
      <c r="Y320" s="3"/>
      <c r="Z320" s="3"/>
    </row>
    <row r="321">
      <c r="A321" s="57"/>
      <c r="B321" s="57"/>
      <c r="C321" s="57"/>
      <c r="D321" s="3"/>
      <c r="E321" s="3"/>
      <c r="F321" s="3"/>
      <c r="G321" s="3"/>
      <c r="H321" s="3"/>
      <c r="I321" s="3"/>
      <c r="J321" s="3"/>
      <c r="K321" s="3"/>
      <c r="L321" s="3"/>
      <c r="M321" s="3"/>
      <c r="N321" s="3"/>
      <c r="O321" s="3"/>
      <c r="P321" s="3"/>
      <c r="Q321" s="3"/>
      <c r="R321" s="3"/>
      <c r="S321" s="3"/>
      <c r="T321" s="3"/>
      <c r="U321" s="3"/>
      <c r="V321" s="3"/>
      <c r="W321" s="3"/>
      <c r="X321" s="3"/>
      <c r="Y321" s="3"/>
      <c r="Z321" s="3"/>
    </row>
    <row r="322">
      <c r="A322" s="57"/>
      <c r="B322" s="57"/>
      <c r="C322" s="57"/>
      <c r="D322" s="3"/>
      <c r="E322" s="3"/>
      <c r="F322" s="3"/>
      <c r="G322" s="3"/>
      <c r="H322" s="3"/>
      <c r="I322" s="3"/>
      <c r="J322" s="3"/>
      <c r="K322" s="3"/>
      <c r="L322" s="3"/>
      <c r="M322" s="3"/>
      <c r="N322" s="3"/>
      <c r="O322" s="3"/>
      <c r="P322" s="3"/>
      <c r="Q322" s="3"/>
      <c r="R322" s="3"/>
      <c r="S322" s="3"/>
      <c r="T322" s="3"/>
      <c r="U322" s="3"/>
      <c r="V322" s="3"/>
      <c r="W322" s="3"/>
      <c r="X322" s="3"/>
      <c r="Y322" s="3"/>
      <c r="Z322" s="3"/>
    </row>
    <row r="323">
      <c r="A323" s="57"/>
      <c r="B323" s="57"/>
      <c r="C323" s="57"/>
      <c r="D323" s="3"/>
      <c r="E323" s="3"/>
      <c r="F323" s="3"/>
      <c r="G323" s="3"/>
      <c r="H323" s="3"/>
      <c r="I323" s="3"/>
      <c r="J323" s="3"/>
      <c r="K323" s="3"/>
      <c r="L323" s="3"/>
      <c r="M323" s="3"/>
      <c r="N323" s="3"/>
      <c r="O323" s="3"/>
      <c r="P323" s="3"/>
      <c r="Q323" s="3"/>
      <c r="R323" s="3"/>
      <c r="S323" s="3"/>
      <c r="T323" s="3"/>
      <c r="U323" s="3"/>
      <c r="V323" s="3"/>
      <c r="W323" s="3"/>
      <c r="X323" s="3"/>
      <c r="Y323" s="3"/>
      <c r="Z323" s="3"/>
    </row>
    <row r="324">
      <c r="A324" s="57"/>
      <c r="B324" s="57"/>
      <c r="C324" s="57"/>
      <c r="D324" s="3"/>
      <c r="E324" s="3"/>
      <c r="F324" s="3"/>
      <c r="G324" s="3"/>
      <c r="H324" s="3"/>
      <c r="I324" s="3"/>
      <c r="J324" s="3"/>
      <c r="K324" s="3"/>
      <c r="L324" s="3"/>
      <c r="M324" s="3"/>
      <c r="N324" s="3"/>
      <c r="O324" s="3"/>
      <c r="P324" s="3"/>
      <c r="Q324" s="3"/>
      <c r="R324" s="3"/>
      <c r="S324" s="3"/>
      <c r="T324" s="3"/>
      <c r="U324" s="3"/>
      <c r="V324" s="3"/>
      <c r="W324" s="3"/>
      <c r="X324" s="3"/>
      <c r="Y324" s="3"/>
      <c r="Z324" s="3"/>
    </row>
    <row r="325">
      <c r="A325" s="57"/>
      <c r="B325" s="57"/>
      <c r="C325" s="57"/>
      <c r="D325" s="3"/>
      <c r="E325" s="3"/>
      <c r="F325" s="3"/>
      <c r="G325" s="3"/>
      <c r="H325" s="3"/>
      <c r="I325" s="3"/>
      <c r="J325" s="3"/>
      <c r="K325" s="3"/>
      <c r="L325" s="3"/>
      <c r="M325" s="3"/>
      <c r="N325" s="3"/>
      <c r="O325" s="3"/>
      <c r="P325" s="3"/>
      <c r="Q325" s="3"/>
      <c r="R325" s="3"/>
      <c r="S325" s="3"/>
      <c r="T325" s="3"/>
      <c r="U325" s="3"/>
      <c r="V325" s="3"/>
      <c r="W325" s="3"/>
      <c r="X325" s="3"/>
      <c r="Y325" s="3"/>
      <c r="Z325" s="3"/>
    </row>
    <row r="326">
      <c r="A326" s="57"/>
      <c r="B326" s="57"/>
      <c r="C326" s="57"/>
      <c r="D326" s="3"/>
      <c r="E326" s="3"/>
      <c r="F326" s="3"/>
      <c r="G326" s="3"/>
      <c r="H326" s="3"/>
      <c r="I326" s="3"/>
      <c r="J326" s="3"/>
      <c r="K326" s="3"/>
      <c r="L326" s="3"/>
      <c r="M326" s="3"/>
      <c r="N326" s="3"/>
      <c r="O326" s="3"/>
      <c r="P326" s="3"/>
      <c r="Q326" s="3"/>
      <c r="R326" s="3"/>
      <c r="S326" s="3"/>
      <c r="T326" s="3"/>
      <c r="U326" s="3"/>
      <c r="V326" s="3"/>
      <c r="W326" s="3"/>
      <c r="X326" s="3"/>
      <c r="Y326" s="3"/>
      <c r="Z326" s="3"/>
    </row>
    <row r="327">
      <c r="A327" s="57"/>
      <c r="B327" s="57"/>
      <c r="C327" s="57"/>
      <c r="D327" s="3"/>
      <c r="E327" s="3"/>
      <c r="F327" s="3"/>
      <c r="G327" s="3"/>
      <c r="H327" s="3"/>
      <c r="I327" s="3"/>
      <c r="J327" s="3"/>
      <c r="K327" s="3"/>
      <c r="L327" s="3"/>
      <c r="M327" s="3"/>
      <c r="N327" s="3"/>
      <c r="O327" s="3"/>
      <c r="P327" s="3"/>
      <c r="Q327" s="3"/>
      <c r="R327" s="3"/>
      <c r="S327" s="3"/>
      <c r="T327" s="3"/>
      <c r="U327" s="3"/>
      <c r="V327" s="3"/>
      <c r="W327" s="3"/>
      <c r="X327" s="3"/>
      <c r="Y327" s="3"/>
      <c r="Z327" s="3"/>
    </row>
    <row r="328">
      <c r="A328" s="57"/>
      <c r="B328" s="57"/>
      <c r="C328" s="57"/>
      <c r="D328" s="3"/>
      <c r="E328" s="3"/>
      <c r="F328" s="3"/>
      <c r="G328" s="3"/>
      <c r="H328" s="3"/>
      <c r="I328" s="3"/>
      <c r="J328" s="3"/>
      <c r="K328" s="3"/>
      <c r="L328" s="3"/>
      <c r="M328" s="3"/>
      <c r="N328" s="3"/>
      <c r="O328" s="3"/>
      <c r="P328" s="3"/>
      <c r="Q328" s="3"/>
      <c r="R328" s="3"/>
      <c r="S328" s="3"/>
      <c r="T328" s="3"/>
      <c r="U328" s="3"/>
      <c r="V328" s="3"/>
      <c r="W328" s="3"/>
      <c r="X328" s="3"/>
      <c r="Y328" s="3"/>
      <c r="Z328" s="3"/>
    </row>
    <row r="329">
      <c r="A329" s="57"/>
      <c r="B329" s="57"/>
      <c r="C329" s="57"/>
      <c r="D329" s="3"/>
      <c r="E329" s="3"/>
      <c r="F329" s="3"/>
      <c r="G329" s="3"/>
      <c r="H329" s="3"/>
      <c r="I329" s="3"/>
      <c r="J329" s="3"/>
      <c r="K329" s="3"/>
      <c r="L329" s="3"/>
      <c r="M329" s="3"/>
      <c r="N329" s="3"/>
      <c r="O329" s="3"/>
      <c r="P329" s="3"/>
      <c r="Q329" s="3"/>
      <c r="R329" s="3"/>
      <c r="S329" s="3"/>
      <c r="T329" s="3"/>
      <c r="U329" s="3"/>
      <c r="V329" s="3"/>
      <c r="W329" s="3"/>
      <c r="X329" s="3"/>
      <c r="Y329" s="3"/>
      <c r="Z329" s="3"/>
    </row>
    <row r="330">
      <c r="A330" s="57"/>
      <c r="B330" s="57"/>
      <c r="C330" s="57"/>
      <c r="D330" s="3"/>
      <c r="E330" s="3"/>
      <c r="F330" s="3"/>
      <c r="G330" s="3"/>
      <c r="H330" s="3"/>
      <c r="I330" s="3"/>
      <c r="J330" s="3"/>
      <c r="K330" s="3"/>
      <c r="L330" s="3"/>
      <c r="M330" s="3"/>
      <c r="N330" s="3"/>
      <c r="O330" s="3"/>
      <c r="P330" s="3"/>
      <c r="Q330" s="3"/>
      <c r="R330" s="3"/>
      <c r="S330" s="3"/>
      <c r="T330" s="3"/>
      <c r="U330" s="3"/>
      <c r="V330" s="3"/>
      <c r="W330" s="3"/>
      <c r="X330" s="3"/>
      <c r="Y330" s="3"/>
      <c r="Z330" s="3"/>
    </row>
    <row r="331">
      <c r="A331" s="57"/>
      <c r="B331" s="57"/>
      <c r="C331" s="57"/>
      <c r="D331" s="3"/>
      <c r="E331" s="3"/>
      <c r="F331" s="3"/>
      <c r="G331" s="3"/>
      <c r="H331" s="3"/>
      <c r="I331" s="3"/>
      <c r="J331" s="3"/>
      <c r="K331" s="3"/>
      <c r="L331" s="3"/>
      <c r="M331" s="3"/>
      <c r="N331" s="3"/>
      <c r="O331" s="3"/>
      <c r="P331" s="3"/>
      <c r="Q331" s="3"/>
      <c r="R331" s="3"/>
      <c r="S331" s="3"/>
      <c r="T331" s="3"/>
      <c r="U331" s="3"/>
      <c r="V331" s="3"/>
      <c r="W331" s="3"/>
      <c r="X331" s="3"/>
      <c r="Y331" s="3"/>
      <c r="Z331" s="3"/>
    </row>
    <row r="332">
      <c r="A332" s="57"/>
      <c r="B332" s="57"/>
      <c r="C332" s="57"/>
      <c r="D332" s="3"/>
      <c r="E332" s="3"/>
      <c r="F332" s="3"/>
      <c r="G332" s="3"/>
      <c r="H332" s="3"/>
      <c r="I332" s="3"/>
      <c r="J332" s="3"/>
      <c r="K332" s="3"/>
      <c r="L332" s="3"/>
      <c r="M332" s="3"/>
      <c r="N332" s="3"/>
      <c r="O332" s="3"/>
      <c r="P332" s="3"/>
      <c r="Q332" s="3"/>
      <c r="R332" s="3"/>
      <c r="S332" s="3"/>
      <c r="T332" s="3"/>
      <c r="U332" s="3"/>
      <c r="V332" s="3"/>
      <c r="W332" s="3"/>
      <c r="X332" s="3"/>
      <c r="Y332" s="3"/>
      <c r="Z332" s="3"/>
    </row>
    <row r="333">
      <c r="A333" s="57"/>
      <c r="B333" s="57"/>
      <c r="C333" s="57"/>
      <c r="D333" s="3"/>
      <c r="E333" s="3"/>
      <c r="F333" s="3"/>
      <c r="G333" s="3"/>
      <c r="H333" s="3"/>
      <c r="I333" s="3"/>
      <c r="J333" s="3"/>
      <c r="K333" s="3"/>
      <c r="L333" s="3"/>
      <c r="M333" s="3"/>
      <c r="N333" s="3"/>
      <c r="O333" s="3"/>
      <c r="P333" s="3"/>
      <c r="Q333" s="3"/>
      <c r="R333" s="3"/>
      <c r="S333" s="3"/>
      <c r="T333" s="3"/>
      <c r="U333" s="3"/>
      <c r="V333" s="3"/>
      <c r="W333" s="3"/>
      <c r="X333" s="3"/>
      <c r="Y333" s="3"/>
      <c r="Z333" s="3"/>
    </row>
    <row r="334">
      <c r="A334" s="57"/>
      <c r="B334" s="57"/>
      <c r="C334" s="57"/>
      <c r="D334" s="3"/>
      <c r="E334" s="3"/>
      <c r="F334" s="3"/>
      <c r="G334" s="3"/>
      <c r="H334" s="3"/>
      <c r="I334" s="3"/>
      <c r="J334" s="3"/>
      <c r="K334" s="3"/>
      <c r="L334" s="3"/>
      <c r="M334" s="3"/>
      <c r="N334" s="3"/>
      <c r="O334" s="3"/>
      <c r="P334" s="3"/>
      <c r="Q334" s="3"/>
      <c r="R334" s="3"/>
      <c r="S334" s="3"/>
      <c r="T334" s="3"/>
      <c r="U334" s="3"/>
      <c r="V334" s="3"/>
      <c r="W334" s="3"/>
      <c r="X334" s="3"/>
      <c r="Y334" s="3"/>
      <c r="Z334" s="3"/>
    </row>
    <row r="335">
      <c r="A335" s="57"/>
      <c r="B335" s="57"/>
      <c r="C335" s="57"/>
      <c r="D335" s="3"/>
      <c r="E335" s="3"/>
      <c r="F335" s="3"/>
      <c r="G335" s="3"/>
      <c r="H335" s="3"/>
      <c r="I335" s="3"/>
      <c r="J335" s="3"/>
      <c r="K335" s="3"/>
      <c r="L335" s="3"/>
      <c r="M335" s="3"/>
      <c r="N335" s="3"/>
      <c r="O335" s="3"/>
      <c r="P335" s="3"/>
      <c r="Q335" s="3"/>
      <c r="R335" s="3"/>
      <c r="S335" s="3"/>
      <c r="T335" s="3"/>
      <c r="U335" s="3"/>
      <c r="V335" s="3"/>
      <c r="W335" s="3"/>
      <c r="X335" s="3"/>
      <c r="Y335" s="3"/>
      <c r="Z335" s="3"/>
    </row>
    <row r="336">
      <c r="A336" s="57"/>
      <c r="B336" s="57"/>
      <c r="C336" s="57"/>
      <c r="D336" s="3"/>
      <c r="E336" s="3"/>
      <c r="F336" s="3"/>
      <c r="G336" s="3"/>
      <c r="H336" s="3"/>
      <c r="I336" s="3"/>
      <c r="J336" s="3"/>
      <c r="K336" s="3"/>
      <c r="L336" s="3"/>
      <c r="M336" s="3"/>
      <c r="N336" s="3"/>
      <c r="O336" s="3"/>
      <c r="P336" s="3"/>
      <c r="Q336" s="3"/>
      <c r="R336" s="3"/>
      <c r="S336" s="3"/>
      <c r="T336" s="3"/>
      <c r="U336" s="3"/>
      <c r="V336" s="3"/>
      <c r="W336" s="3"/>
      <c r="X336" s="3"/>
      <c r="Y336" s="3"/>
      <c r="Z336" s="3"/>
    </row>
    <row r="337">
      <c r="A337" s="57"/>
      <c r="B337" s="57"/>
      <c r="C337" s="57"/>
      <c r="D337" s="3"/>
      <c r="E337" s="3"/>
      <c r="F337" s="3"/>
      <c r="G337" s="3"/>
      <c r="H337" s="3"/>
      <c r="I337" s="3"/>
      <c r="J337" s="3"/>
      <c r="K337" s="3"/>
      <c r="L337" s="3"/>
      <c r="M337" s="3"/>
      <c r="N337" s="3"/>
      <c r="O337" s="3"/>
      <c r="P337" s="3"/>
      <c r="Q337" s="3"/>
      <c r="R337" s="3"/>
      <c r="S337" s="3"/>
      <c r="T337" s="3"/>
      <c r="U337" s="3"/>
      <c r="V337" s="3"/>
      <c r="W337" s="3"/>
      <c r="X337" s="3"/>
      <c r="Y337" s="3"/>
      <c r="Z337" s="3"/>
    </row>
    <row r="338">
      <c r="A338" s="57"/>
      <c r="B338" s="57"/>
      <c r="C338" s="57"/>
      <c r="D338" s="3"/>
      <c r="E338" s="3"/>
      <c r="F338" s="3"/>
      <c r="G338" s="3"/>
      <c r="H338" s="3"/>
      <c r="I338" s="3"/>
      <c r="J338" s="3"/>
      <c r="K338" s="3"/>
      <c r="L338" s="3"/>
      <c r="M338" s="3"/>
      <c r="N338" s="3"/>
      <c r="O338" s="3"/>
      <c r="P338" s="3"/>
      <c r="Q338" s="3"/>
      <c r="R338" s="3"/>
      <c r="S338" s="3"/>
      <c r="T338" s="3"/>
      <c r="U338" s="3"/>
      <c r="V338" s="3"/>
      <c r="W338" s="3"/>
      <c r="X338" s="3"/>
      <c r="Y338" s="3"/>
      <c r="Z338" s="3"/>
    </row>
    <row r="339">
      <c r="A339" s="57"/>
      <c r="B339" s="57"/>
      <c r="C339" s="57"/>
      <c r="D339" s="3"/>
      <c r="E339" s="3"/>
      <c r="F339" s="3"/>
      <c r="G339" s="3"/>
      <c r="H339" s="3"/>
      <c r="I339" s="3"/>
      <c r="J339" s="3"/>
      <c r="K339" s="3"/>
      <c r="L339" s="3"/>
      <c r="M339" s="3"/>
      <c r="N339" s="3"/>
      <c r="O339" s="3"/>
      <c r="P339" s="3"/>
      <c r="Q339" s="3"/>
      <c r="R339" s="3"/>
      <c r="S339" s="3"/>
      <c r="T339" s="3"/>
      <c r="U339" s="3"/>
      <c r="V339" s="3"/>
      <c r="W339" s="3"/>
      <c r="X339" s="3"/>
      <c r="Y339" s="3"/>
      <c r="Z339" s="3"/>
    </row>
    <row r="340">
      <c r="A340" s="57"/>
      <c r="B340" s="57"/>
      <c r="C340" s="57"/>
      <c r="D340" s="3"/>
      <c r="E340" s="3"/>
      <c r="F340" s="3"/>
      <c r="G340" s="3"/>
      <c r="H340" s="3"/>
      <c r="I340" s="3"/>
      <c r="J340" s="3"/>
      <c r="K340" s="3"/>
      <c r="L340" s="3"/>
      <c r="M340" s="3"/>
      <c r="N340" s="3"/>
      <c r="O340" s="3"/>
      <c r="P340" s="3"/>
      <c r="Q340" s="3"/>
      <c r="R340" s="3"/>
      <c r="S340" s="3"/>
      <c r="T340" s="3"/>
      <c r="U340" s="3"/>
      <c r="V340" s="3"/>
      <c r="W340" s="3"/>
      <c r="X340" s="3"/>
      <c r="Y340" s="3"/>
      <c r="Z340" s="3"/>
    </row>
    <row r="341">
      <c r="A341" s="57"/>
      <c r="B341" s="57"/>
      <c r="C341" s="57"/>
      <c r="D341" s="3"/>
      <c r="E341" s="3"/>
      <c r="F341" s="3"/>
      <c r="G341" s="3"/>
      <c r="H341" s="3"/>
      <c r="I341" s="3"/>
      <c r="J341" s="3"/>
      <c r="K341" s="3"/>
      <c r="L341" s="3"/>
      <c r="M341" s="3"/>
      <c r="N341" s="3"/>
      <c r="O341" s="3"/>
      <c r="P341" s="3"/>
      <c r="Q341" s="3"/>
      <c r="R341" s="3"/>
      <c r="S341" s="3"/>
      <c r="T341" s="3"/>
      <c r="U341" s="3"/>
      <c r="V341" s="3"/>
      <c r="W341" s="3"/>
      <c r="X341" s="3"/>
      <c r="Y341" s="3"/>
      <c r="Z341" s="3"/>
    </row>
    <row r="342">
      <c r="A342" s="57"/>
      <c r="B342" s="57"/>
      <c r="C342" s="57"/>
      <c r="D342" s="3"/>
      <c r="E342" s="3"/>
      <c r="F342" s="3"/>
      <c r="G342" s="3"/>
      <c r="H342" s="3"/>
      <c r="I342" s="3"/>
      <c r="J342" s="3"/>
      <c r="K342" s="3"/>
      <c r="L342" s="3"/>
      <c r="M342" s="3"/>
      <c r="N342" s="3"/>
      <c r="O342" s="3"/>
      <c r="P342" s="3"/>
      <c r="Q342" s="3"/>
      <c r="R342" s="3"/>
      <c r="S342" s="3"/>
      <c r="T342" s="3"/>
      <c r="U342" s="3"/>
      <c r="V342" s="3"/>
      <c r="W342" s="3"/>
      <c r="X342" s="3"/>
      <c r="Y342" s="3"/>
      <c r="Z342" s="3"/>
    </row>
    <row r="343">
      <c r="A343" s="57"/>
      <c r="B343" s="57"/>
      <c r="C343" s="57"/>
      <c r="D343" s="3"/>
      <c r="E343" s="3"/>
      <c r="F343" s="3"/>
      <c r="G343" s="3"/>
      <c r="H343" s="3"/>
      <c r="I343" s="3"/>
      <c r="J343" s="3"/>
      <c r="K343" s="3"/>
      <c r="L343" s="3"/>
      <c r="M343" s="3"/>
      <c r="N343" s="3"/>
      <c r="O343" s="3"/>
      <c r="P343" s="3"/>
      <c r="Q343" s="3"/>
      <c r="R343" s="3"/>
      <c r="S343" s="3"/>
      <c r="T343" s="3"/>
      <c r="U343" s="3"/>
      <c r="V343" s="3"/>
      <c r="W343" s="3"/>
      <c r="X343" s="3"/>
      <c r="Y343" s="3"/>
      <c r="Z343" s="3"/>
    </row>
    <row r="344">
      <c r="A344" s="57"/>
      <c r="B344" s="57"/>
      <c r="C344" s="57"/>
      <c r="D344" s="3"/>
      <c r="E344" s="3"/>
      <c r="F344" s="3"/>
      <c r="G344" s="3"/>
      <c r="H344" s="3"/>
      <c r="I344" s="3"/>
      <c r="J344" s="3"/>
      <c r="K344" s="3"/>
      <c r="L344" s="3"/>
      <c r="M344" s="3"/>
      <c r="N344" s="3"/>
      <c r="O344" s="3"/>
      <c r="P344" s="3"/>
      <c r="Q344" s="3"/>
      <c r="R344" s="3"/>
      <c r="S344" s="3"/>
      <c r="T344" s="3"/>
      <c r="U344" s="3"/>
      <c r="V344" s="3"/>
      <c r="W344" s="3"/>
      <c r="X344" s="3"/>
      <c r="Y344" s="3"/>
      <c r="Z344" s="3"/>
    </row>
    <row r="345">
      <c r="A345" s="57"/>
      <c r="B345" s="57"/>
      <c r="C345" s="57"/>
      <c r="D345" s="3"/>
      <c r="E345" s="3"/>
      <c r="F345" s="3"/>
      <c r="G345" s="3"/>
      <c r="H345" s="3"/>
      <c r="I345" s="3"/>
      <c r="J345" s="3"/>
      <c r="K345" s="3"/>
      <c r="L345" s="3"/>
      <c r="M345" s="3"/>
      <c r="N345" s="3"/>
      <c r="O345" s="3"/>
      <c r="P345" s="3"/>
      <c r="Q345" s="3"/>
      <c r="R345" s="3"/>
      <c r="S345" s="3"/>
      <c r="T345" s="3"/>
      <c r="U345" s="3"/>
      <c r="V345" s="3"/>
      <c r="W345" s="3"/>
      <c r="X345" s="3"/>
      <c r="Y345" s="3"/>
      <c r="Z345" s="3"/>
    </row>
    <row r="346">
      <c r="A346" s="57"/>
      <c r="B346" s="57"/>
      <c r="C346" s="57"/>
      <c r="D346" s="3"/>
      <c r="E346" s="3"/>
      <c r="F346" s="3"/>
      <c r="G346" s="3"/>
      <c r="H346" s="3"/>
      <c r="I346" s="3"/>
      <c r="J346" s="3"/>
      <c r="K346" s="3"/>
      <c r="L346" s="3"/>
      <c r="M346" s="3"/>
      <c r="N346" s="3"/>
      <c r="O346" s="3"/>
      <c r="P346" s="3"/>
      <c r="Q346" s="3"/>
      <c r="R346" s="3"/>
      <c r="S346" s="3"/>
      <c r="T346" s="3"/>
      <c r="U346" s="3"/>
      <c r="V346" s="3"/>
      <c r="W346" s="3"/>
      <c r="X346" s="3"/>
      <c r="Y346" s="3"/>
      <c r="Z346" s="3"/>
    </row>
    <row r="347">
      <c r="A347" s="57"/>
      <c r="B347" s="57"/>
      <c r="C347" s="57"/>
      <c r="D347" s="3"/>
      <c r="E347" s="3"/>
      <c r="F347" s="3"/>
      <c r="G347" s="3"/>
      <c r="H347" s="3"/>
      <c r="I347" s="3"/>
      <c r="J347" s="3"/>
      <c r="K347" s="3"/>
      <c r="L347" s="3"/>
      <c r="M347" s="3"/>
      <c r="N347" s="3"/>
      <c r="O347" s="3"/>
      <c r="P347" s="3"/>
      <c r="Q347" s="3"/>
      <c r="R347" s="3"/>
      <c r="S347" s="3"/>
      <c r="T347" s="3"/>
      <c r="U347" s="3"/>
      <c r="V347" s="3"/>
      <c r="W347" s="3"/>
      <c r="X347" s="3"/>
      <c r="Y347" s="3"/>
      <c r="Z347" s="3"/>
    </row>
    <row r="348">
      <c r="A348" s="57"/>
      <c r="B348" s="57"/>
      <c r="C348" s="57"/>
      <c r="D348" s="3"/>
      <c r="E348" s="3"/>
      <c r="F348" s="3"/>
      <c r="G348" s="3"/>
      <c r="H348" s="3"/>
      <c r="I348" s="3"/>
      <c r="J348" s="3"/>
      <c r="K348" s="3"/>
      <c r="L348" s="3"/>
      <c r="M348" s="3"/>
      <c r="N348" s="3"/>
      <c r="O348" s="3"/>
      <c r="P348" s="3"/>
      <c r="Q348" s="3"/>
      <c r="R348" s="3"/>
      <c r="S348" s="3"/>
      <c r="T348" s="3"/>
      <c r="U348" s="3"/>
      <c r="V348" s="3"/>
      <c r="W348" s="3"/>
      <c r="X348" s="3"/>
      <c r="Y348" s="3"/>
      <c r="Z348" s="3"/>
    </row>
    <row r="349">
      <c r="A349" s="57"/>
      <c r="B349" s="57"/>
      <c r="C349" s="57"/>
      <c r="D349" s="3"/>
      <c r="E349" s="3"/>
      <c r="F349" s="3"/>
      <c r="G349" s="3"/>
      <c r="H349" s="3"/>
      <c r="I349" s="3"/>
      <c r="J349" s="3"/>
      <c r="K349" s="3"/>
      <c r="L349" s="3"/>
      <c r="M349" s="3"/>
      <c r="N349" s="3"/>
      <c r="O349" s="3"/>
      <c r="P349" s="3"/>
      <c r="Q349" s="3"/>
      <c r="R349" s="3"/>
      <c r="S349" s="3"/>
      <c r="T349" s="3"/>
      <c r="U349" s="3"/>
      <c r="V349" s="3"/>
      <c r="W349" s="3"/>
      <c r="X349" s="3"/>
      <c r="Y349" s="3"/>
      <c r="Z349" s="3"/>
    </row>
    <row r="350">
      <c r="A350" s="57"/>
      <c r="B350" s="57"/>
      <c r="C350" s="57"/>
      <c r="D350" s="3"/>
      <c r="E350" s="3"/>
      <c r="F350" s="3"/>
      <c r="G350" s="3"/>
      <c r="H350" s="3"/>
      <c r="I350" s="3"/>
      <c r="J350" s="3"/>
      <c r="K350" s="3"/>
      <c r="L350" s="3"/>
      <c r="M350" s="3"/>
      <c r="N350" s="3"/>
      <c r="O350" s="3"/>
      <c r="P350" s="3"/>
      <c r="Q350" s="3"/>
      <c r="R350" s="3"/>
      <c r="S350" s="3"/>
      <c r="T350" s="3"/>
      <c r="U350" s="3"/>
      <c r="V350" s="3"/>
      <c r="W350" s="3"/>
      <c r="X350" s="3"/>
      <c r="Y350" s="3"/>
      <c r="Z350" s="3"/>
    </row>
    <row r="351">
      <c r="A351" s="57"/>
      <c r="B351" s="57"/>
      <c r="C351" s="57"/>
      <c r="D351" s="3"/>
      <c r="E351" s="3"/>
      <c r="F351" s="3"/>
      <c r="G351" s="3"/>
      <c r="H351" s="3"/>
      <c r="I351" s="3"/>
      <c r="J351" s="3"/>
      <c r="K351" s="3"/>
      <c r="L351" s="3"/>
      <c r="M351" s="3"/>
      <c r="N351" s="3"/>
      <c r="O351" s="3"/>
      <c r="P351" s="3"/>
      <c r="Q351" s="3"/>
      <c r="R351" s="3"/>
      <c r="S351" s="3"/>
      <c r="T351" s="3"/>
      <c r="U351" s="3"/>
      <c r="V351" s="3"/>
      <c r="W351" s="3"/>
      <c r="X351" s="3"/>
      <c r="Y351" s="3"/>
      <c r="Z351" s="3"/>
    </row>
    <row r="352">
      <c r="A352" s="57"/>
      <c r="B352" s="57"/>
      <c r="C352" s="57"/>
      <c r="D352" s="3"/>
      <c r="E352" s="3"/>
      <c r="F352" s="3"/>
      <c r="G352" s="3"/>
      <c r="H352" s="3"/>
      <c r="I352" s="3"/>
      <c r="J352" s="3"/>
      <c r="K352" s="3"/>
      <c r="L352" s="3"/>
      <c r="M352" s="3"/>
      <c r="N352" s="3"/>
      <c r="O352" s="3"/>
      <c r="P352" s="3"/>
      <c r="Q352" s="3"/>
      <c r="R352" s="3"/>
      <c r="S352" s="3"/>
      <c r="T352" s="3"/>
      <c r="U352" s="3"/>
      <c r="V352" s="3"/>
      <c r="W352" s="3"/>
      <c r="X352" s="3"/>
      <c r="Y352" s="3"/>
      <c r="Z352" s="3"/>
    </row>
    <row r="353">
      <c r="A353" s="57"/>
      <c r="B353" s="57"/>
      <c r="C353" s="57"/>
      <c r="D353" s="3"/>
      <c r="E353" s="3"/>
      <c r="F353" s="3"/>
      <c r="G353" s="3"/>
      <c r="H353" s="3"/>
      <c r="I353" s="3"/>
      <c r="J353" s="3"/>
      <c r="K353" s="3"/>
      <c r="L353" s="3"/>
      <c r="M353" s="3"/>
      <c r="N353" s="3"/>
      <c r="O353" s="3"/>
      <c r="P353" s="3"/>
      <c r="Q353" s="3"/>
      <c r="R353" s="3"/>
      <c r="S353" s="3"/>
      <c r="T353" s="3"/>
      <c r="U353" s="3"/>
      <c r="V353" s="3"/>
      <c r="W353" s="3"/>
      <c r="X353" s="3"/>
      <c r="Y353" s="3"/>
      <c r="Z353" s="3"/>
    </row>
    <row r="354">
      <c r="A354" s="57"/>
      <c r="B354" s="57"/>
      <c r="C354" s="57"/>
      <c r="D354" s="3"/>
      <c r="E354" s="3"/>
      <c r="F354" s="3"/>
      <c r="G354" s="3"/>
      <c r="H354" s="3"/>
      <c r="I354" s="3"/>
      <c r="J354" s="3"/>
      <c r="K354" s="3"/>
      <c r="L354" s="3"/>
      <c r="M354" s="3"/>
      <c r="N354" s="3"/>
      <c r="O354" s="3"/>
      <c r="P354" s="3"/>
      <c r="Q354" s="3"/>
      <c r="R354" s="3"/>
      <c r="S354" s="3"/>
      <c r="T354" s="3"/>
      <c r="U354" s="3"/>
      <c r="V354" s="3"/>
      <c r="W354" s="3"/>
      <c r="X354" s="3"/>
      <c r="Y354" s="3"/>
      <c r="Z354" s="3"/>
    </row>
    <row r="355">
      <c r="A355" s="57"/>
      <c r="B355" s="57"/>
      <c r="C355" s="57"/>
      <c r="D355" s="3"/>
      <c r="E355" s="3"/>
      <c r="F355" s="3"/>
      <c r="G355" s="3"/>
      <c r="H355" s="3"/>
      <c r="I355" s="3"/>
      <c r="J355" s="3"/>
      <c r="K355" s="3"/>
      <c r="L355" s="3"/>
      <c r="M355" s="3"/>
      <c r="N355" s="3"/>
      <c r="O355" s="3"/>
      <c r="P355" s="3"/>
      <c r="Q355" s="3"/>
      <c r="R355" s="3"/>
      <c r="S355" s="3"/>
      <c r="T355" s="3"/>
      <c r="U355" s="3"/>
      <c r="V355" s="3"/>
      <c r="W355" s="3"/>
      <c r="X355" s="3"/>
      <c r="Y355" s="3"/>
      <c r="Z355" s="3"/>
    </row>
    <row r="356">
      <c r="A356" s="57"/>
      <c r="B356" s="57"/>
      <c r="C356" s="57"/>
      <c r="D356" s="3"/>
      <c r="E356" s="3"/>
      <c r="F356" s="3"/>
      <c r="G356" s="3"/>
      <c r="H356" s="3"/>
      <c r="I356" s="3"/>
      <c r="J356" s="3"/>
      <c r="K356" s="3"/>
      <c r="L356" s="3"/>
      <c r="M356" s="3"/>
      <c r="N356" s="3"/>
      <c r="O356" s="3"/>
      <c r="P356" s="3"/>
      <c r="Q356" s="3"/>
      <c r="R356" s="3"/>
      <c r="S356" s="3"/>
      <c r="T356" s="3"/>
      <c r="U356" s="3"/>
      <c r="V356" s="3"/>
      <c r="W356" s="3"/>
      <c r="X356" s="3"/>
      <c r="Y356" s="3"/>
      <c r="Z356" s="3"/>
    </row>
    <row r="357">
      <c r="A357" s="57"/>
      <c r="B357" s="57"/>
      <c r="C357" s="57"/>
      <c r="D357" s="3"/>
      <c r="E357" s="3"/>
      <c r="F357" s="3"/>
      <c r="G357" s="3"/>
      <c r="H357" s="3"/>
      <c r="I357" s="3"/>
      <c r="J357" s="3"/>
      <c r="K357" s="3"/>
      <c r="L357" s="3"/>
      <c r="M357" s="3"/>
      <c r="N357" s="3"/>
      <c r="O357" s="3"/>
      <c r="P357" s="3"/>
      <c r="Q357" s="3"/>
      <c r="R357" s="3"/>
      <c r="S357" s="3"/>
      <c r="T357" s="3"/>
      <c r="U357" s="3"/>
      <c r="V357" s="3"/>
      <c r="W357" s="3"/>
      <c r="X357" s="3"/>
      <c r="Y357" s="3"/>
      <c r="Z357" s="3"/>
    </row>
    <row r="358">
      <c r="A358" s="57"/>
      <c r="B358" s="57"/>
      <c r="C358" s="57"/>
      <c r="D358" s="3"/>
      <c r="E358" s="3"/>
      <c r="F358" s="3"/>
      <c r="G358" s="3"/>
      <c r="H358" s="3"/>
      <c r="I358" s="3"/>
      <c r="J358" s="3"/>
      <c r="K358" s="3"/>
      <c r="L358" s="3"/>
      <c r="M358" s="3"/>
      <c r="N358" s="3"/>
      <c r="O358" s="3"/>
      <c r="P358" s="3"/>
      <c r="Q358" s="3"/>
      <c r="R358" s="3"/>
      <c r="S358" s="3"/>
      <c r="T358" s="3"/>
      <c r="U358" s="3"/>
      <c r="V358" s="3"/>
      <c r="W358" s="3"/>
      <c r="X358" s="3"/>
      <c r="Y358" s="3"/>
      <c r="Z358" s="3"/>
    </row>
    <row r="359">
      <c r="A359" s="57"/>
      <c r="B359" s="57"/>
      <c r="C359" s="57"/>
      <c r="D359" s="3"/>
      <c r="E359" s="3"/>
      <c r="F359" s="3"/>
      <c r="G359" s="3"/>
      <c r="H359" s="3"/>
      <c r="I359" s="3"/>
      <c r="J359" s="3"/>
      <c r="K359" s="3"/>
      <c r="L359" s="3"/>
      <c r="M359" s="3"/>
      <c r="N359" s="3"/>
      <c r="O359" s="3"/>
      <c r="P359" s="3"/>
      <c r="Q359" s="3"/>
      <c r="R359" s="3"/>
      <c r="S359" s="3"/>
      <c r="T359" s="3"/>
      <c r="U359" s="3"/>
      <c r="V359" s="3"/>
      <c r="W359" s="3"/>
      <c r="X359" s="3"/>
      <c r="Y359" s="3"/>
      <c r="Z359" s="3"/>
    </row>
    <row r="360">
      <c r="A360" s="57"/>
      <c r="B360" s="57"/>
      <c r="C360" s="57"/>
      <c r="D360" s="3"/>
      <c r="E360" s="3"/>
      <c r="F360" s="3"/>
      <c r="G360" s="3"/>
      <c r="H360" s="3"/>
      <c r="I360" s="3"/>
      <c r="J360" s="3"/>
      <c r="K360" s="3"/>
      <c r="L360" s="3"/>
      <c r="M360" s="3"/>
      <c r="N360" s="3"/>
      <c r="O360" s="3"/>
      <c r="P360" s="3"/>
      <c r="Q360" s="3"/>
      <c r="R360" s="3"/>
      <c r="S360" s="3"/>
      <c r="T360" s="3"/>
      <c r="U360" s="3"/>
      <c r="V360" s="3"/>
      <c r="W360" s="3"/>
      <c r="X360" s="3"/>
      <c r="Y360" s="3"/>
      <c r="Z360" s="3"/>
    </row>
    <row r="361">
      <c r="A361" s="57"/>
      <c r="B361" s="57"/>
      <c r="C361" s="57"/>
      <c r="D361" s="3"/>
      <c r="E361" s="3"/>
      <c r="F361" s="3"/>
      <c r="G361" s="3"/>
      <c r="H361" s="3"/>
      <c r="I361" s="3"/>
      <c r="J361" s="3"/>
      <c r="K361" s="3"/>
      <c r="L361" s="3"/>
      <c r="M361" s="3"/>
      <c r="N361" s="3"/>
      <c r="O361" s="3"/>
      <c r="P361" s="3"/>
      <c r="Q361" s="3"/>
      <c r="R361" s="3"/>
      <c r="S361" s="3"/>
      <c r="T361" s="3"/>
      <c r="U361" s="3"/>
      <c r="V361" s="3"/>
      <c r="W361" s="3"/>
      <c r="X361" s="3"/>
      <c r="Y361" s="3"/>
      <c r="Z361" s="3"/>
    </row>
    <row r="362">
      <c r="A362" s="57"/>
      <c r="B362" s="57"/>
      <c r="C362" s="57"/>
      <c r="D362" s="3"/>
      <c r="E362" s="3"/>
      <c r="F362" s="3"/>
      <c r="G362" s="3"/>
      <c r="H362" s="3"/>
      <c r="I362" s="3"/>
      <c r="J362" s="3"/>
      <c r="K362" s="3"/>
      <c r="L362" s="3"/>
      <c r="M362" s="3"/>
      <c r="N362" s="3"/>
      <c r="O362" s="3"/>
      <c r="P362" s="3"/>
      <c r="Q362" s="3"/>
      <c r="R362" s="3"/>
      <c r="S362" s="3"/>
      <c r="T362" s="3"/>
      <c r="U362" s="3"/>
      <c r="V362" s="3"/>
      <c r="W362" s="3"/>
      <c r="X362" s="3"/>
      <c r="Y362" s="3"/>
      <c r="Z362" s="3"/>
    </row>
    <row r="363">
      <c r="A363" s="57"/>
      <c r="B363" s="57"/>
      <c r="C363" s="57"/>
      <c r="D363" s="3"/>
      <c r="E363" s="3"/>
      <c r="F363" s="3"/>
      <c r="G363" s="3"/>
      <c r="H363" s="3"/>
      <c r="I363" s="3"/>
      <c r="J363" s="3"/>
      <c r="K363" s="3"/>
      <c r="L363" s="3"/>
      <c r="M363" s="3"/>
      <c r="N363" s="3"/>
      <c r="O363" s="3"/>
      <c r="P363" s="3"/>
      <c r="Q363" s="3"/>
      <c r="R363" s="3"/>
      <c r="S363" s="3"/>
      <c r="T363" s="3"/>
      <c r="U363" s="3"/>
      <c r="V363" s="3"/>
      <c r="W363" s="3"/>
      <c r="X363" s="3"/>
      <c r="Y363" s="3"/>
      <c r="Z363" s="3"/>
    </row>
    <row r="364">
      <c r="A364" s="57"/>
      <c r="B364" s="57"/>
      <c r="C364" s="57"/>
      <c r="D364" s="3"/>
      <c r="E364" s="3"/>
      <c r="F364" s="3"/>
      <c r="G364" s="3"/>
      <c r="H364" s="3"/>
      <c r="I364" s="3"/>
      <c r="J364" s="3"/>
      <c r="K364" s="3"/>
      <c r="L364" s="3"/>
      <c r="M364" s="3"/>
      <c r="N364" s="3"/>
      <c r="O364" s="3"/>
      <c r="P364" s="3"/>
      <c r="Q364" s="3"/>
      <c r="R364" s="3"/>
      <c r="S364" s="3"/>
      <c r="T364" s="3"/>
      <c r="U364" s="3"/>
      <c r="V364" s="3"/>
      <c r="W364" s="3"/>
      <c r="X364" s="3"/>
      <c r="Y364" s="3"/>
      <c r="Z364" s="3"/>
    </row>
    <row r="365">
      <c r="A365" s="57"/>
      <c r="B365" s="57"/>
      <c r="C365" s="57"/>
      <c r="D365" s="3"/>
      <c r="E365" s="3"/>
      <c r="F365" s="3"/>
      <c r="G365" s="3"/>
      <c r="H365" s="3"/>
      <c r="I365" s="3"/>
      <c r="J365" s="3"/>
      <c r="K365" s="3"/>
      <c r="L365" s="3"/>
      <c r="M365" s="3"/>
      <c r="N365" s="3"/>
      <c r="O365" s="3"/>
      <c r="P365" s="3"/>
      <c r="Q365" s="3"/>
      <c r="R365" s="3"/>
      <c r="S365" s="3"/>
      <c r="T365" s="3"/>
      <c r="U365" s="3"/>
      <c r="V365" s="3"/>
      <c r="W365" s="3"/>
      <c r="X365" s="3"/>
      <c r="Y365" s="3"/>
      <c r="Z365" s="3"/>
    </row>
    <row r="366">
      <c r="A366" s="57"/>
      <c r="B366" s="57"/>
      <c r="C366" s="57"/>
      <c r="D366" s="3"/>
      <c r="E366" s="3"/>
      <c r="F366" s="3"/>
      <c r="G366" s="3"/>
      <c r="H366" s="3"/>
      <c r="I366" s="3"/>
      <c r="J366" s="3"/>
      <c r="K366" s="3"/>
      <c r="L366" s="3"/>
      <c r="M366" s="3"/>
      <c r="N366" s="3"/>
      <c r="O366" s="3"/>
      <c r="P366" s="3"/>
      <c r="Q366" s="3"/>
      <c r="R366" s="3"/>
      <c r="S366" s="3"/>
      <c r="T366" s="3"/>
      <c r="U366" s="3"/>
      <c r="V366" s="3"/>
      <c r="W366" s="3"/>
      <c r="X366" s="3"/>
      <c r="Y366" s="3"/>
      <c r="Z366" s="3"/>
    </row>
    <row r="367">
      <c r="A367" s="57"/>
      <c r="B367" s="57"/>
      <c r="C367" s="57"/>
      <c r="D367" s="3"/>
      <c r="E367" s="3"/>
      <c r="F367" s="3"/>
      <c r="G367" s="3"/>
      <c r="H367" s="3"/>
      <c r="I367" s="3"/>
      <c r="J367" s="3"/>
      <c r="K367" s="3"/>
      <c r="L367" s="3"/>
      <c r="M367" s="3"/>
      <c r="N367" s="3"/>
      <c r="O367" s="3"/>
      <c r="P367" s="3"/>
      <c r="Q367" s="3"/>
      <c r="R367" s="3"/>
      <c r="S367" s="3"/>
      <c r="T367" s="3"/>
      <c r="U367" s="3"/>
      <c r="V367" s="3"/>
      <c r="W367" s="3"/>
      <c r="X367" s="3"/>
      <c r="Y367" s="3"/>
      <c r="Z367" s="3"/>
    </row>
    <row r="368">
      <c r="A368" s="57"/>
      <c r="B368" s="57"/>
      <c r="C368" s="57"/>
      <c r="D368" s="3"/>
      <c r="E368" s="3"/>
      <c r="F368" s="3"/>
      <c r="G368" s="3"/>
      <c r="H368" s="3"/>
      <c r="I368" s="3"/>
      <c r="J368" s="3"/>
      <c r="K368" s="3"/>
      <c r="L368" s="3"/>
      <c r="M368" s="3"/>
      <c r="N368" s="3"/>
      <c r="O368" s="3"/>
      <c r="P368" s="3"/>
      <c r="Q368" s="3"/>
      <c r="R368" s="3"/>
      <c r="S368" s="3"/>
      <c r="T368" s="3"/>
      <c r="U368" s="3"/>
      <c r="V368" s="3"/>
      <c r="W368" s="3"/>
      <c r="X368" s="3"/>
      <c r="Y368" s="3"/>
      <c r="Z368" s="3"/>
    </row>
    <row r="369">
      <c r="A369" s="57"/>
      <c r="B369" s="57"/>
      <c r="C369" s="57"/>
      <c r="D369" s="3"/>
      <c r="E369" s="3"/>
      <c r="F369" s="3"/>
      <c r="G369" s="3"/>
      <c r="H369" s="3"/>
      <c r="I369" s="3"/>
      <c r="J369" s="3"/>
      <c r="K369" s="3"/>
      <c r="L369" s="3"/>
      <c r="M369" s="3"/>
      <c r="N369" s="3"/>
      <c r="O369" s="3"/>
      <c r="P369" s="3"/>
      <c r="Q369" s="3"/>
      <c r="R369" s="3"/>
      <c r="S369" s="3"/>
      <c r="T369" s="3"/>
      <c r="U369" s="3"/>
      <c r="V369" s="3"/>
      <c r="W369" s="3"/>
      <c r="X369" s="3"/>
      <c r="Y369" s="3"/>
      <c r="Z369" s="3"/>
    </row>
    <row r="370">
      <c r="A370" s="57"/>
      <c r="B370" s="57"/>
      <c r="C370" s="57"/>
      <c r="D370" s="3"/>
      <c r="E370" s="3"/>
      <c r="F370" s="3"/>
      <c r="G370" s="3"/>
      <c r="H370" s="3"/>
      <c r="I370" s="3"/>
      <c r="J370" s="3"/>
      <c r="K370" s="3"/>
      <c r="L370" s="3"/>
      <c r="M370" s="3"/>
      <c r="N370" s="3"/>
      <c r="O370" s="3"/>
      <c r="P370" s="3"/>
      <c r="Q370" s="3"/>
      <c r="R370" s="3"/>
      <c r="S370" s="3"/>
      <c r="T370" s="3"/>
      <c r="U370" s="3"/>
      <c r="V370" s="3"/>
      <c r="W370" s="3"/>
      <c r="X370" s="3"/>
      <c r="Y370" s="3"/>
      <c r="Z370" s="3"/>
    </row>
    <row r="371">
      <c r="A371" s="57"/>
      <c r="B371" s="57"/>
      <c r="C371" s="57"/>
      <c r="D371" s="3"/>
      <c r="E371" s="3"/>
      <c r="F371" s="3"/>
      <c r="G371" s="3"/>
      <c r="H371" s="3"/>
      <c r="I371" s="3"/>
      <c r="J371" s="3"/>
      <c r="K371" s="3"/>
      <c r="L371" s="3"/>
      <c r="M371" s="3"/>
      <c r="N371" s="3"/>
      <c r="O371" s="3"/>
      <c r="P371" s="3"/>
      <c r="Q371" s="3"/>
      <c r="R371" s="3"/>
      <c r="S371" s="3"/>
      <c r="T371" s="3"/>
      <c r="U371" s="3"/>
      <c r="V371" s="3"/>
      <c r="W371" s="3"/>
      <c r="X371" s="3"/>
      <c r="Y371" s="3"/>
      <c r="Z371" s="3"/>
    </row>
    <row r="372">
      <c r="A372" s="57"/>
      <c r="B372" s="57"/>
      <c r="C372" s="57"/>
      <c r="D372" s="3"/>
      <c r="E372" s="3"/>
      <c r="F372" s="3"/>
      <c r="G372" s="3"/>
      <c r="H372" s="3"/>
      <c r="I372" s="3"/>
      <c r="J372" s="3"/>
      <c r="K372" s="3"/>
      <c r="L372" s="3"/>
      <c r="M372" s="3"/>
      <c r="N372" s="3"/>
      <c r="O372" s="3"/>
      <c r="P372" s="3"/>
      <c r="Q372" s="3"/>
      <c r="R372" s="3"/>
      <c r="S372" s="3"/>
      <c r="T372" s="3"/>
      <c r="U372" s="3"/>
      <c r="V372" s="3"/>
      <c r="W372" s="3"/>
      <c r="X372" s="3"/>
      <c r="Y372" s="3"/>
      <c r="Z372" s="3"/>
    </row>
    <row r="373">
      <c r="A373" s="57"/>
      <c r="B373" s="57"/>
      <c r="C373" s="57"/>
      <c r="D373" s="3"/>
      <c r="E373" s="3"/>
      <c r="F373" s="3"/>
      <c r="G373" s="3"/>
      <c r="H373" s="3"/>
      <c r="I373" s="3"/>
      <c r="J373" s="3"/>
      <c r="K373" s="3"/>
      <c r="L373" s="3"/>
      <c r="M373" s="3"/>
      <c r="N373" s="3"/>
      <c r="O373" s="3"/>
      <c r="P373" s="3"/>
      <c r="Q373" s="3"/>
      <c r="R373" s="3"/>
      <c r="S373" s="3"/>
      <c r="T373" s="3"/>
      <c r="U373" s="3"/>
      <c r="V373" s="3"/>
      <c r="W373" s="3"/>
      <c r="X373" s="3"/>
      <c r="Y373" s="3"/>
      <c r="Z373" s="3"/>
    </row>
    <row r="374">
      <c r="A374" s="57"/>
      <c r="B374" s="57"/>
      <c r="C374" s="57"/>
      <c r="D374" s="3"/>
      <c r="E374" s="3"/>
      <c r="F374" s="3"/>
      <c r="G374" s="3"/>
      <c r="H374" s="3"/>
      <c r="I374" s="3"/>
      <c r="J374" s="3"/>
      <c r="K374" s="3"/>
      <c r="L374" s="3"/>
      <c r="M374" s="3"/>
      <c r="N374" s="3"/>
      <c r="O374" s="3"/>
      <c r="P374" s="3"/>
      <c r="Q374" s="3"/>
      <c r="R374" s="3"/>
      <c r="S374" s="3"/>
      <c r="T374" s="3"/>
      <c r="U374" s="3"/>
      <c r="V374" s="3"/>
      <c r="W374" s="3"/>
      <c r="X374" s="3"/>
      <c r="Y374" s="3"/>
      <c r="Z374" s="3"/>
    </row>
    <row r="375">
      <c r="A375" s="57"/>
      <c r="B375" s="57"/>
      <c r="C375" s="57"/>
      <c r="D375" s="3"/>
      <c r="E375" s="3"/>
      <c r="F375" s="3"/>
      <c r="G375" s="3"/>
      <c r="H375" s="3"/>
      <c r="I375" s="3"/>
      <c r="J375" s="3"/>
      <c r="K375" s="3"/>
      <c r="L375" s="3"/>
      <c r="M375" s="3"/>
      <c r="N375" s="3"/>
      <c r="O375" s="3"/>
      <c r="P375" s="3"/>
      <c r="Q375" s="3"/>
      <c r="R375" s="3"/>
      <c r="S375" s="3"/>
      <c r="T375" s="3"/>
      <c r="U375" s="3"/>
      <c r="V375" s="3"/>
      <c r="W375" s="3"/>
      <c r="X375" s="3"/>
      <c r="Y375" s="3"/>
      <c r="Z375" s="3"/>
    </row>
    <row r="376">
      <c r="A376" s="57"/>
      <c r="B376" s="57"/>
      <c r="C376" s="57"/>
      <c r="D376" s="3"/>
      <c r="E376" s="3"/>
      <c r="F376" s="3"/>
      <c r="G376" s="3"/>
      <c r="H376" s="3"/>
      <c r="I376" s="3"/>
      <c r="J376" s="3"/>
      <c r="K376" s="3"/>
      <c r="L376" s="3"/>
      <c r="M376" s="3"/>
      <c r="N376" s="3"/>
      <c r="O376" s="3"/>
      <c r="P376" s="3"/>
      <c r="Q376" s="3"/>
      <c r="R376" s="3"/>
      <c r="S376" s="3"/>
      <c r="T376" s="3"/>
      <c r="U376" s="3"/>
      <c r="V376" s="3"/>
      <c r="W376" s="3"/>
      <c r="X376" s="3"/>
      <c r="Y376" s="3"/>
      <c r="Z376" s="3"/>
    </row>
    <row r="377">
      <c r="A377" s="57"/>
      <c r="B377" s="57"/>
      <c r="C377" s="57"/>
      <c r="D377" s="3"/>
      <c r="E377" s="3"/>
      <c r="F377" s="3"/>
      <c r="G377" s="3"/>
      <c r="H377" s="3"/>
      <c r="I377" s="3"/>
      <c r="J377" s="3"/>
      <c r="K377" s="3"/>
      <c r="L377" s="3"/>
      <c r="M377" s="3"/>
      <c r="N377" s="3"/>
      <c r="O377" s="3"/>
      <c r="P377" s="3"/>
      <c r="Q377" s="3"/>
      <c r="R377" s="3"/>
      <c r="S377" s="3"/>
      <c r="T377" s="3"/>
      <c r="U377" s="3"/>
      <c r="V377" s="3"/>
      <c r="W377" s="3"/>
      <c r="X377" s="3"/>
      <c r="Y377" s="3"/>
      <c r="Z377" s="3"/>
    </row>
    <row r="378">
      <c r="A378" s="57"/>
      <c r="B378" s="57"/>
      <c r="C378" s="57"/>
      <c r="D378" s="3"/>
      <c r="E378" s="3"/>
      <c r="F378" s="3"/>
      <c r="G378" s="3"/>
      <c r="H378" s="3"/>
      <c r="I378" s="3"/>
      <c r="J378" s="3"/>
      <c r="K378" s="3"/>
      <c r="L378" s="3"/>
      <c r="M378" s="3"/>
      <c r="N378" s="3"/>
      <c r="O378" s="3"/>
      <c r="P378" s="3"/>
      <c r="Q378" s="3"/>
      <c r="R378" s="3"/>
      <c r="S378" s="3"/>
      <c r="T378" s="3"/>
      <c r="U378" s="3"/>
      <c r="V378" s="3"/>
      <c r="W378" s="3"/>
      <c r="X378" s="3"/>
      <c r="Y378" s="3"/>
      <c r="Z378" s="3"/>
    </row>
    <row r="379">
      <c r="A379" s="57"/>
      <c r="B379" s="57"/>
      <c r="C379" s="57"/>
      <c r="D379" s="3"/>
      <c r="E379" s="3"/>
      <c r="F379" s="3"/>
      <c r="G379" s="3"/>
      <c r="H379" s="3"/>
      <c r="I379" s="3"/>
      <c r="J379" s="3"/>
      <c r="K379" s="3"/>
      <c r="L379" s="3"/>
      <c r="M379" s="3"/>
      <c r="N379" s="3"/>
      <c r="O379" s="3"/>
      <c r="P379" s="3"/>
      <c r="Q379" s="3"/>
      <c r="R379" s="3"/>
      <c r="S379" s="3"/>
      <c r="T379" s="3"/>
      <c r="U379" s="3"/>
      <c r="V379" s="3"/>
      <c r="W379" s="3"/>
      <c r="X379" s="3"/>
      <c r="Y379" s="3"/>
      <c r="Z379" s="3"/>
    </row>
    <row r="380">
      <c r="A380" s="57"/>
      <c r="B380" s="57"/>
      <c r="C380" s="57"/>
      <c r="D380" s="3"/>
      <c r="E380" s="3"/>
      <c r="F380" s="3"/>
      <c r="G380" s="3"/>
      <c r="H380" s="3"/>
      <c r="I380" s="3"/>
      <c r="J380" s="3"/>
      <c r="K380" s="3"/>
      <c r="L380" s="3"/>
      <c r="M380" s="3"/>
      <c r="N380" s="3"/>
      <c r="O380" s="3"/>
      <c r="P380" s="3"/>
      <c r="Q380" s="3"/>
      <c r="R380" s="3"/>
      <c r="S380" s="3"/>
      <c r="T380" s="3"/>
      <c r="U380" s="3"/>
      <c r="V380" s="3"/>
      <c r="W380" s="3"/>
      <c r="X380" s="3"/>
      <c r="Y380" s="3"/>
      <c r="Z380" s="3"/>
    </row>
    <row r="381">
      <c r="A381" s="57"/>
      <c r="B381" s="57"/>
      <c r="C381" s="57"/>
      <c r="D381" s="3"/>
      <c r="E381" s="3"/>
      <c r="F381" s="3"/>
      <c r="G381" s="3"/>
      <c r="H381" s="3"/>
      <c r="I381" s="3"/>
      <c r="J381" s="3"/>
      <c r="K381" s="3"/>
      <c r="L381" s="3"/>
      <c r="M381" s="3"/>
      <c r="N381" s="3"/>
      <c r="O381" s="3"/>
      <c r="P381" s="3"/>
      <c r="Q381" s="3"/>
      <c r="R381" s="3"/>
      <c r="S381" s="3"/>
      <c r="T381" s="3"/>
      <c r="U381" s="3"/>
      <c r="V381" s="3"/>
      <c r="W381" s="3"/>
      <c r="X381" s="3"/>
      <c r="Y381" s="3"/>
      <c r="Z381" s="3"/>
    </row>
    <row r="382">
      <c r="A382" s="57"/>
      <c r="B382" s="57"/>
      <c r="C382" s="57"/>
      <c r="D382" s="3"/>
      <c r="E382" s="3"/>
      <c r="F382" s="3"/>
      <c r="G382" s="3"/>
      <c r="H382" s="3"/>
      <c r="I382" s="3"/>
      <c r="J382" s="3"/>
      <c r="K382" s="3"/>
      <c r="L382" s="3"/>
      <c r="M382" s="3"/>
      <c r="N382" s="3"/>
      <c r="O382" s="3"/>
      <c r="P382" s="3"/>
      <c r="Q382" s="3"/>
      <c r="R382" s="3"/>
      <c r="S382" s="3"/>
      <c r="T382" s="3"/>
      <c r="U382" s="3"/>
      <c r="V382" s="3"/>
      <c r="W382" s="3"/>
      <c r="X382" s="3"/>
      <c r="Y382" s="3"/>
      <c r="Z382" s="3"/>
    </row>
    <row r="383">
      <c r="A383" s="57"/>
      <c r="B383" s="57"/>
      <c r="C383" s="57"/>
      <c r="D383" s="3"/>
      <c r="E383" s="3"/>
      <c r="F383" s="3"/>
      <c r="G383" s="3"/>
      <c r="H383" s="3"/>
      <c r="I383" s="3"/>
      <c r="J383" s="3"/>
      <c r="K383" s="3"/>
      <c r="L383" s="3"/>
      <c r="M383" s="3"/>
      <c r="N383" s="3"/>
      <c r="O383" s="3"/>
      <c r="P383" s="3"/>
      <c r="Q383" s="3"/>
      <c r="R383" s="3"/>
      <c r="S383" s="3"/>
      <c r="T383" s="3"/>
      <c r="U383" s="3"/>
      <c r="V383" s="3"/>
      <c r="W383" s="3"/>
      <c r="X383" s="3"/>
      <c r="Y383" s="3"/>
      <c r="Z383" s="3"/>
    </row>
    <row r="384">
      <c r="A384" s="57"/>
      <c r="B384" s="57"/>
      <c r="C384" s="57"/>
      <c r="D384" s="3"/>
      <c r="E384" s="3"/>
      <c r="F384" s="3"/>
      <c r="G384" s="3"/>
      <c r="H384" s="3"/>
      <c r="I384" s="3"/>
      <c r="J384" s="3"/>
      <c r="K384" s="3"/>
      <c r="L384" s="3"/>
      <c r="M384" s="3"/>
      <c r="N384" s="3"/>
      <c r="O384" s="3"/>
      <c r="P384" s="3"/>
      <c r="Q384" s="3"/>
      <c r="R384" s="3"/>
      <c r="S384" s="3"/>
      <c r="T384" s="3"/>
      <c r="U384" s="3"/>
      <c r="V384" s="3"/>
      <c r="W384" s="3"/>
      <c r="X384" s="3"/>
      <c r="Y384" s="3"/>
      <c r="Z384" s="3"/>
    </row>
    <row r="385">
      <c r="A385" s="57"/>
      <c r="B385" s="57"/>
      <c r="C385" s="57"/>
      <c r="D385" s="3"/>
      <c r="E385" s="3"/>
      <c r="F385" s="3"/>
      <c r="G385" s="3"/>
      <c r="H385" s="3"/>
      <c r="I385" s="3"/>
      <c r="J385" s="3"/>
      <c r="K385" s="3"/>
      <c r="L385" s="3"/>
      <c r="M385" s="3"/>
      <c r="N385" s="3"/>
      <c r="O385" s="3"/>
      <c r="P385" s="3"/>
      <c r="Q385" s="3"/>
      <c r="R385" s="3"/>
      <c r="S385" s="3"/>
      <c r="T385" s="3"/>
      <c r="U385" s="3"/>
      <c r="V385" s="3"/>
      <c r="W385" s="3"/>
      <c r="X385" s="3"/>
      <c r="Y385" s="3"/>
      <c r="Z385" s="3"/>
    </row>
    <row r="386">
      <c r="A386" s="57"/>
      <c r="B386" s="57"/>
      <c r="C386" s="57"/>
      <c r="D386" s="3"/>
      <c r="E386" s="3"/>
      <c r="F386" s="3"/>
      <c r="G386" s="3"/>
      <c r="H386" s="3"/>
      <c r="I386" s="3"/>
      <c r="J386" s="3"/>
      <c r="K386" s="3"/>
      <c r="L386" s="3"/>
      <c r="M386" s="3"/>
      <c r="N386" s="3"/>
      <c r="O386" s="3"/>
      <c r="P386" s="3"/>
      <c r="Q386" s="3"/>
      <c r="R386" s="3"/>
      <c r="S386" s="3"/>
      <c r="T386" s="3"/>
      <c r="U386" s="3"/>
      <c r="V386" s="3"/>
      <c r="W386" s="3"/>
      <c r="X386" s="3"/>
      <c r="Y386" s="3"/>
      <c r="Z386" s="3"/>
    </row>
    <row r="387">
      <c r="A387" s="57"/>
      <c r="B387" s="57"/>
      <c r="C387" s="57"/>
      <c r="D387" s="3"/>
      <c r="E387" s="3"/>
      <c r="F387" s="3"/>
      <c r="G387" s="3"/>
      <c r="H387" s="3"/>
      <c r="I387" s="3"/>
      <c r="J387" s="3"/>
      <c r="K387" s="3"/>
      <c r="L387" s="3"/>
      <c r="M387" s="3"/>
      <c r="N387" s="3"/>
      <c r="O387" s="3"/>
      <c r="P387" s="3"/>
      <c r="Q387" s="3"/>
      <c r="R387" s="3"/>
      <c r="S387" s="3"/>
      <c r="T387" s="3"/>
      <c r="U387" s="3"/>
      <c r="V387" s="3"/>
      <c r="W387" s="3"/>
      <c r="X387" s="3"/>
      <c r="Y387" s="3"/>
      <c r="Z387" s="3"/>
    </row>
    <row r="388">
      <c r="A388" s="57"/>
      <c r="B388" s="57"/>
      <c r="C388" s="57"/>
      <c r="D388" s="3"/>
      <c r="E388" s="3"/>
      <c r="F388" s="3"/>
      <c r="G388" s="3"/>
      <c r="H388" s="3"/>
      <c r="I388" s="3"/>
      <c r="J388" s="3"/>
      <c r="K388" s="3"/>
      <c r="L388" s="3"/>
      <c r="M388" s="3"/>
      <c r="N388" s="3"/>
      <c r="O388" s="3"/>
      <c r="P388" s="3"/>
      <c r="Q388" s="3"/>
      <c r="R388" s="3"/>
      <c r="S388" s="3"/>
      <c r="T388" s="3"/>
      <c r="U388" s="3"/>
      <c r="V388" s="3"/>
      <c r="W388" s="3"/>
      <c r="X388" s="3"/>
      <c r="Y388" s="3"/>
      <c r="Z388" s="3"/>
    </row>
    <row r="389">
      <c r="A389" s="57"/>
      <c r="B389" s="57"/>
      <c r="C389" s="57"/>
      <c r="D389" s="3"/>
      <c r="E389" s="3"/>
      <c r="F389" s="3"/>
      <c r="G389" s="3"/>
      <c r="H389" s="3"/>
      <c r="I389" s="3"/>
      <c r="J389" s="3"/>
      <c r="K389" s="3"/>
      <c r="L389" s="3"/>
      <c r="M389" s="3"/>
      <c r="N389" s="3"/>
      <c r="O389" s="3"/>
      <c r="P389" s="3"/>
      <c r="Q389" s="3"/>
      <c r="R389" s="3"/>
      <c r="S389" s="3"/>
      <c r="T389" s="3"/>
      <c r="U389" s="3"/>
      <c r="V389" s="3"/>
      <c r="W389" s="3"/>
      <c r="X389" s="3"/>
      <c r="Y389" s="3"/>
      <c r="Z389" s="3"/>
    </row>
    <row r="390">
      <c r="A390" s="57"/>
      <c r="B390" s="57"/>
      <c r="C390" s="57"/>
      <c r="D390" s="3"/>
      <c r="E390" s="3"/>
      <c r="F390" s="3"/>
      <c r="G390" s="3"/>
      <c r="H390" s="3"/>
      <c r="I390" s="3"/>
      <c r="J390" s="3"/>
      <c r="K390" s="3"/>
      <c r="L390" s="3"/>
      <c r="M390" s="3"/>
      <c r="N390" s="3"/>
      <c r="O390" s="3"/>
      <c r="P390" s="3"/>
      <c r="Q390" s="3"/>
      <c r="R390" s="3"/>
      <c r="S390" s="3"/>
      <c r="T390" s="3"/>
      <c r="U390" s="3"/>
      <c r="V390" s="3"/>
      <c r="W390" s="3"/>
      <c r="X390" s="3"/>
      <c r="Y390" s="3"/>
      <c r="Z390" s="3"/>
    </row>
    <row r="391">
      <c r="A391" s="57"/>
      <c r="B391" s="57"/>
      <c r="C391" s="57"/>
      <c r="D391" s="3"/>
      <c r="E391" s="3"/>
      <c r="F391" s="3"/>
      <c r="G391" s="3"/>
      <c r="H391" s="3"/>
      <c r="I391" s="3"/>
      <c r="J391" s="3"/>
      <c r="K391" s="3"/>
      <c r="L391" s="3"/>
      <c r="M391" s="3"/>
      <c r="N391" s="3"/>
      <c r="O391" s="3"/>
      <c r="P391" s="3"/>
      <c r="Q391" s="3"/>
      <c r="R391" s="3"/>
      <c r="S391" s="3"/>
      <c r="T391" s="3"/>
      <c r="U391" s="3"/>
      <c r="V391" s="3"/>
      <c r="W391" s="3"/>
      <c r="X391" s="3"/>
      <c r="Y391" s="3"/>
      <c r="Z391" s="3"/>
    </row>
    <row r="392">
      <c r="A392" s="57"/>
      <c r="B392" s="57"/>
      <c r="C392" s="57"/>
      <c r="D392" s="3"/>
      <c r="E392" s="3"/>
      <c r="F392" s="3"/>
      <c r="G392" s="3"/>
      <c r="H392" s="3"/>
      <c r="I392" s="3"/>
      <c r="J392" s="3"/>
      <c r="K392" s="3"/>
      <c r="L392" s="3"/>
      <c r="M392" s="3"/>
      <c r="N392" s="3"/>
      <c r="O392" s="3"/>
      <c r="P392" s="3"/>
      <c r="Q392" s="3"/>
      <c r="R392" s="3"/>
      <c r="S392" s="3"/>
      <c r="T392" s="3"/>
      <c r="U392" s="3"/>
      <c r="V392" s="3"/>
      <c r="W392" s="3"/>
      <c r="X392" s="3"/>
      <c r="Y392" s="3"/>
      <c r="Z392" s="3"/>
    </row>
    <row r="393">
      <c r="A393" s="57"/>
      <c r="B393" s="57"/>
      <c r="C393" s="57"/>
      <c r="D393" s="3"/>
      <c r="E393" s="3"/>
      <c r="F393" s="3"/>
      <c r="G393" s="3"/>
      <c r="H393" s="3"/>
      <c r="I393" s="3"/>
      <c r="J393" s="3"/>
      <c r="K393" s="3"/>
      <c r="L393" s="3"/>
      <c r="M393" s="3"/>
      <c r="N393" s="3"/>
      <c r="O393" s="3"/>
      <c r="P393" s="3"/>
      <c r="Q393" s="3"/>
      <c r="R393" s="3"/>
      <c r="S393" s="3"/>
      <c r="T393" s="3"/>
      <c r="U393" s="3"/>
      <c r="V393" s="3"/>
      <c r="W393" s="3"/>
      <c r="X393" s="3"/>
      <c r="Y393" s="3"/>
      <c r="Z393" s="3"/>
    </row>
    <row r="394">
      <c r="A394" s="57"/>
      <c r="B394" s="57"/>
      <c r="C394" s="57"/>
      <c r="D394" s="3"/>
      <c r="E394" s="3"/>
      <c r="F394" s="3"/>
      <c r="G394" s="3"/>
      <c r="H394" s="3"/>
      <c r="I394" s="3"/>
      <c r="J394" s="3"/>
      <c r="K394" s="3"/>
      <c r="L394" s="3"/>
      <c r="M394" s="3"/>
      <c r="N394" s="3"/>
      <c r="O394" s="3"/>
      <c r="P394" s="3"/>
      <c r="Q394" s="3"/>
      <c r="R394" s="3"/>
      <c r="S394" s="3"/>
      <c r="T394" s="3"/>
      <c r="U394" s="3"/>
      <c r="V394" s="3"/>
      <c r="W394" s="3"/>
      <c r="X394" s="3"/>
      <c r="Y394" s="3"/>
      <c r="Z394" s="3"/>
    </row>
    <row r="395">
      <c r="A395" s="57"/>
      <c r="B395" s="57"/>
      <c r="C395" s="57"/>
      <c r="D395" s="3"/>
      <c r="E395" s="3"/>
      <c r="F395" s="3"/>
      <c r="G395" s="3"/>
      <c r="H395" s="3"/>
      <c r="I395" s="3"/>
      <c r="J395" s="3"/>
      <c r="K395" s="3"/>
      <c r="L395" s="3"/>
      <c r="M395" s="3"/>
      <c r="N395" s="3"/>
      <c r="O395" s="3"/>
      <c r="P395" s="3"/>
      <c r="Q395" s="3"/>
      <c r="R395" s="3"/>
      <c r="S395" s="3"/>
      <c r="T395" s="3"/>
      <c r="U395" s="3"/>
      <c r="V395" s="3"/>
      <c r="W395" s="3"/>
      <c r="X395" s="3"/>
      <c r="Y395" s="3"/>
      <c r="Z395" s="3"/>
    </row>
    <row r="396">
      <c r="A396" s="57"/>
      <c r="B396" s="57"/>
      <c r="C396" s="57"/>
      <c r="D396" s="3"/>
      <c r="E396" s="3"/>
      <c r="F396" s="3"/>
      <c r="G396" s="3"/>
      <c r="H396" s="3"/>
      <c r="I396" s="3"/>
      <c r="J396" s="3"/>
      <c r="K396" s="3"/>
      <c r="L396" s="3"/>
      <c r="M396" s="3"/>
      <c r="N396" s="3"/>
      <c r="O396" s="3"/>
      <c r="P396" s="3"/>
      <c r="Q396" s="3"/>
      <c r="R396" s="3"/>
      <c r="S396" s="3"/>
      <c r="T396" s="3"/>
      <c r="U396" s="3"/>
      <c r="V396" s="3"/>
      <c r="W396" s="3"/>
      <c r="X396" s="3"/>
      <c r="Y396" s="3"/>
      <c r="Z396" s="3"/>
    </row>
    <row r="397">
      <c r="A397" s="57"/>
      <c r="B397" s="57"/>
      <c r="C397" s="57"/>
      <c r="D397" s="3"/>
      <c r="E397" s="3"/>
      <c r="F397" s="3"/>
      <c r="G397" s="3"/>
      <c r="H397" s="3"/>
      <c r="I397" s="3"/>
      <c r="J397" s="3"/>
      <c r="K397" s="3"/>
      <c r="L397" s="3"/>
      <c r="M397" s="3"/>
      <c r="N397" s="3"/>
      <c r="O397" s="3"/>
      <c r="P397" s="3"/>
      <c r="Q397" s="3"/>
      <c r="R397" s="3"/>
      <c r="S397" s="3"/>
      <c r="T397" s="3"/>
      <c r="U397" s="3"/>
      <c r="V397" s="3"/>
      <c r="W397" s="3"/>
      <c r="X397" s="3"/>
      <c r="Y397" s="3"/>
      <c r="Z397" s="3"/>
    </row>
    <row r="398">
      <c r="A398" s="57"/>
      <c r="B398" s="57"/>
      <c r="C398" s="57"/>
      <c r="D398" s="3"/>
      <c r="E398" s="3"/>
      <c r="F398" s="3"/>
      <c r="G398" s="3"/>
      <c r="H398" s="3"/>
      <c r="I398" s="3"/>
      <c r="J398" s="3"/>
      <c r="K398" s="3"/>
      <c r="L398" s="3"/>
      <c r="M398" s="3"/>
      <c r="N398" s="3"/>
      <c r="O398" s="3"/>
      <c r="P398" s="3"/>
      <c r="Q398" s="3"/>
      <c r="R398" s="3"/>
      <c r="S398" s="3"/>
      <c r="T398" s="3"/>
      <c r="U398" s="3"/>
      <c r="V398" s="3"/>
      <c r="W398" s="3"/>
      <c r="X398" s="3"/>
      <c r="Y398" s="3"/>
      <c r="Z398" s="3"/>
    </row>
    <row r="399">
      <c r="A399" s="57"/>
      <c r="B399" s="57"/>
      <c r="C399" s="57"/>
      <c r="D399" s="3"/>
      <c r="E399" s="3"/>
      <c r="F399" s="3"/>
      <c r="G399" s="3"/>
      <c r="H399" s="3"/>
      <c r="I399" s="3"/>
      <c r="J399" s="3"/>
      <c r="K399" s="3"/>
      <c r="L399" s="3"/>
      <c r="M399" s="3"/>
      <c r="N399" s="3"/>
      <c r="O399" s="3"/>
      <c r="P399" s="3"/>
      <c r="Q399" s="3"/>
      <c r="R399" s="3"/>
      <c r="S399" s="3"/>
      <c r="T399" s="3"/>
      <c r="U399" s="3"/>
      <c r="V399" s="3"/>
      <c r="W399" s="3"/>
      <c r="X399" s="3"/>
      <c r="Y399" s="3"/>
      <c r="Z399" s="3"/>
    </row>
    <row r="400">
      <c r="A400" s="57"/>
      <c r="B400" s="57"/>
      <c r="C400" s="57"/>
      <c r="D400" s="3"/>
      <c r="E400" s="3"/>
      <c r="F400" s="3"/>
      <c r="G400" s="3"/>
      <c r="H400" s="3"/>
      <c r="I400" s="3"/>
      <c r="J400" s="3"/>
      <c r="K400" s="3"/>
      <c r="L400" s="3"/>
      <c r="M400" s="3"/>
      <c r="N400" s="3"/>
      <c r="O400" s="3"/>
      <c r="P400" s="3"/>
      <c r="Q400" s="3"/>
      <c r="R400" s="3"/>
      <c r="S400" s="3"/>
      <c r="T400" s="3"/>
      <c r="U400" s="3"/>
      <c r="V400" s="3"/>
      <c r="W400" s="3"/>
      <c r="X400" s="3"/>
      <c r="Y400" s="3"/>
      <c r="Z400" s="3"/>
    </row>
    <row r="401">
      <c r="A401" s="57"/>
      <c r="B401" s="57"/>
      <c r="C401" s="57"/>
      <c r="D401" s="3"/>
      <c r="E401" s="3"/>
      <c r="F401" s="3"/>
      <c r="G401" s="3"/>
      <c r="H401" s="3"/>
      <c r="I401" s="3"/>
      <c r="J401" s="3"/>
      <c r="K401" s="3"/>
      <c r="L401" s="3"/>
      <c r="M401" s="3"/>
      <c r="N401" s="3"/>
      <c r="O401" s="3"/>
      <c r="P401" s="3"/>
      <c r="Q401" s="3"/>
      <c r="R401" s="3"/>
      <c r="S401" s="3"/>
      <c r="T401" s="3"/>
      <c r="U401" s="3"/>
      <c r="V401" s="3"/>
      <c r="W401" s="3"/>
      <c r="X401" s="3"/>
      <c r="Y401" s="3"/>
      <c r="Z401" s="3"/>
    </row>
    <row r="402">
      <c r="A402" s="57"/>
      <c r="B402" s="57"/>
      <c r="C402" s="57"/>
      <c r="D402" s="3"/>
      <c r="E402" s="3"/>
      <c r="F402" s="3"/>
      <c r="G402" s="3"/>
      <c r="H402" s="3"/>
      <c r="I402" s="3"/>
      <c r="J402" s="3"/>
      <c r="K402" s="3"/>
      <c r="L402" s="3"/>
      <c r="M402" s="3"/>
      <c r="N402" s="3"/>
      <c r="O402" s="3"/>
      <c r="P402" s="3"/>
      <c r="Q402" s="3"/>
      <c r="R402" s="3"/>
      <c r="S402" s="3"/>
      <c r="T402" s="3"/>
      <c r="U402" s="3"/>
      <c r="V402" s="3"/>
      <c r="W402" s="3"/>
      <c r="X402" s="3"/>
      <c r="Y402" s="3"/>
      <c r="Z402" s="3"/>
    </row>
    <row r="403">
      <c r="A403" s="57"/>
      <c r="B403" s="57"/>
      <c r="C403" s="57"/>
      <c r="D403" s="3"/>
      <c r="E403" s="3"/>
      <c r="F403" s="3"/>
      <c r="G403" s="3"/>
      <c r="H403" s="3"/>
      <c r="I403" s="3"/>
      <c r="J403" s="3"/>
      <c r="K403" s="3"/>
      <c r="L403" s="3"/>
      <c r="M403" s="3"/>
      <c r="N403" s="3"/>
      <c r="O403" s="3"/>
      <c r="P403" s="3"/>
      <c r="Q403" s="3"/>
      <c r="R403" s="3"/>
      <c r="S403" s="3"/>
      <c r="T403" s="3"/>
      <c r="U403" s="3"/>
      <c r="V403" s="3"/>
      <c r="W403" s="3"/>
      <c r="X403" s="3"/>
      <c r="Y403" s="3"/>
      <c r="Z403" s="3"/>
    </row>
    <row r="404">
      <c r="A404" s="57"/>
      <c r="B404" s="57"/>
      <c r="C404" s="57"/>
      <c r="D404" s="3"/>
      <c r="E404" s="3"/>
      <c r="F404" s="3"/>
      <c r="G404" s="3"/>
      <c r="H404" s="3"/>
      <c r="I404" s="3"/>
      <c r="J404" s="3"/>
      <c r="K404" s="3"/>
      <c r="L404" s="3"/>
      <c r="M404" s="3"/>
      <c r="N404" s="3"/>
      <c r="O404" s="3"/>
      <c r="P404" s="3"/>
      <c r="Q404" s="3"/>
      <c r="R404" s="3"/>
      <c r="S404" s="3"/>
      <c r="T404" s="3"/>
      <c r="U404" s="3"/>
      <c r="V404" s="3"/>
      <c r="W404" s="3"/>
      <c r="X404" s="3"/>
      <c r="Y404" s="3"/>
      <c r="Z404" s="3"/>
    </row>
    <row r="405">
      <c r="A405" s="57"/>
      <c r="B405" s="57"/>
      <c r="C405" s="57"/>
      <c r="D405" s="3"/>
      <c r="E405" s="3"/>
      <c r="F405" s="3"/>
      <c r="G405" s="3"/>
      <c r="H405" s="3"/>
      <c r="I405" s="3"/>
      <c r="J405" s="3"/>
      <c r="K405" s="3"/>
      <c r="L405" s="3"/>
      <c r="M405" s="3"/>
      <c r="N405" s="3"/>
      <c r="O405" s="3"/>
      <c r="P405" s="3"/>
      <c r="Q405" s="3"/>
      <c r="R405" s="3"/>
      <c r="S405" s="3"/>
      <c r="T405" s="3"/>
      <c r="U405" s="3"/>
      <c r="V405" s="3"/>
      <c r="W405" s="3"/>
      <c r="X405" s="3"/>
      <c r="Y405" s="3"/>
      <c r="Z405" s="3"/>
    </row>
    <row r="406">
      <c r="A406" s="57"/>
      <c r="B406" s="57"/>
      <c r="C406" s="57"/>
      <c r="D406" s="3"/>
      <c r="E406" s="3"/>
      <c r="F406" s="3"/>
      <c r="G406" s="3"/>
      <c r="H406" s="3"/>
      <c r="I406" s="3"/>
      <c r="J406" s="3"/>
      <c r="K406" s="3"/>
      <c r="L406" s="3"/>
      <c r="M406" s="3"/>
      <c r="N406" s="3"/>
      <c r="O406" s="3"/>
      <c r="P406" s="3"/>
      <c r="Q406" s="3"/>
      <c r="R406" s="3"/>
      <c r="S406" s="3"/>
      <c r="T406" s="3"/>
      <c r="U406" s="3"/>
      <c r="V406" s="3"/>
      <c r="W406" s="3"/>
      <c r="X406" s="3"/>
      <c r="Y406" s="3"/>
      <c r="Z406" s="3"/>
    </row>
    <row r="407">
      <c r="A407" s="57"/>
      <c r="B407" s="57"/>
      <c r="C407" s="57"/>
      <c r="D407" s="3"/>
      <c r="E407" s="3"/>
      <c r="F407" s="3"/>
      <c r="G407" s="3"/>
      <c r="H407" s="3"/>
      <c r="I407" s="3"/>
      <c r="J407" s="3"/>
      <c r="K407" s="3"/>
      <c r="L407" s="3"/>
      <c r="M407" s="3"/>
      <c r="N407" s="3"/>
      <c r="O407" s="3"/>
      <c r="P407" s="3"/>
      <c r="Q407" s="3"/>
      <c r="R407" s="3"/>
      <c r="S407" s="3"/>
      <c r="T407" s="3"/>
      <c r="U407" s="3"/>
      <c r="V407" s="3"/>
      <c r="W407" s="3"/>
      <c r="X407" s="3"/>
      <c r="Y407" s="3"/>
      <c r="Z407" s="3"/>
    </row>
    <row r="408">
      <c r="A408" s="57"/>
      <c r="B408" s="57"/>
      <c r="C408" s="57"/>
      <c r="D408" s="3"/>
      <c r="E408" s="3"/>
      <c r="F408" s="3"/>
      <c r="G408" s="3"/>
      <c r="H408" s="3"/>
      <c r="I408" s="3"/>
      <c r="J408" s="3"/>
      <c r="K408" s="3"/>
      <c r="L408" s="3"/>
      <c r="M408" s="3"/>
      <c r="N408" s="3"/>
      <c r="O408" s="3"/>
      <c r="P408" s="3"/>
      <c r="Q408" s="3"/>
      <c r="R408" s="3"/>
      <c r="S408" s="3"/>
      <c r="T408" s="3"/>
      <c r="U408" s="3"/>
      <c r="V408" s="3"/>
      <c r="W408" s="3"/>
      <c r="X408" s="3"/>
      <c r="Y408" s="3"/>
      <c r="Z408" s="3"/>
    </row>
    <row r="409">
      <c r="A409" s="57"/>
      <c r="B409" s="57"/>
      <c r="C409" s="57"/>
      <c r="D409" s="3"/>
      <c r="E409" s="3"/>
      <c r="F409" s="3"/>
      <c r="G409" s="3"/>
      <c r="H409" s="3"/>
      <c r="I409" s="3"/>
      <c r="J409" s="3"/>
      <c r="K409" s="3"/>
      <c r="L409" s="3"/>
      <c r="M409" s="3"/>
      <c r="N409" s="3"/>
      <c r="O409" s="3"/>
      <c r="P409" s="3"/>
      <c r="Q409" s="3"/>
      <c r="R409" s="3"/>
      <c r="S409" s="3"/>
      <c r="T409" s="3"/>
      <c r="U409" s="3"/>
      <c r="V409" s="3"/>
      <c r="W409" s="3"/>
      <c r="X409" s="3"/>
      <c r="Y409" s="3"/>
      <c r="Z409" s="3"/>
    </row>
    <row r="410">
      <c r="A410" s="57"/>
      <c r="B410" s="57"/>
      <c r="C410" s="57"/>
      <c r="D410" s="3"/>
      <c r="E410" s="3"/>
      <c r="F410" s="3"/>
      <c r="G410" s="3"/>
      <c r="H410" s="3"/>
      <c r="I410" s="3"/>
      <c r="J410" s="3"/>
      <c r="K410" s="3"/>
      <c r="L410" s="3"/>
      <c r="M410" s="3"/>
      <c r="N410" s="3"/>
      <c r="O410" s="3"/>
      <c r="P410" s="3"/>
      <c r="Q410" s="3"/>
      <c r="R410" s="3"/>
      <c r="S410" s="3"/>
      <c r="T410" s="3"/>
      <c r="U410" s="3"/>
      <c r="V410" s="3"/>
      <c r="W410" s="3"/>
      <c r="X410" s="3"/>
      <c r="Y410" s="3"/>
      <c r="Z410" s="3"/>
    </row>
    <row r="411">
      <c r="A411" s="57"/>
      <c r="B411" s="57"/>
      <c r="C411" s="57"/>
      <c r="D411" s="3"/>
      <c r="E411" s="3"/>
      <c r="F411" s="3"/>
      <c r="G411" s="3"/>
      <c r="H411" s="3"/>
      <c r="I411" s="3"/>
      <c r="J411" s="3"/>
      <c r="K411" s="3"/>
      <c r="L411" s="3"/>
      <c r="M411" s="3"/>
      <c r="N411" s="3"/>
      <c r="O411" s="3"/>
      <c r="P411" s="3"/>
      <c r="Q411" s="3"/>
      <c r="R411" s="3"/>
      <c r="S411" s="3"/>
      <c r="T411" s="3"/>
      <c r="U411" s="3"/>
      <c r="V411" s="3"/>
      <c r="W411" s="3"/>
      <c r="X411" s="3"/>
      <c r="Y411" s="3"/>
      <c r="Z411" s="3"/>
    </row>
    <row r="412">
      <c r="A412" s="57"/>
      <c r="B412" s="57"/>
      <c r="C412" s="57"/>
      <c r="D412" s="3"/>
      <c r="E412" s="3"/>
      <c r="F412" s="3"/>
      <c r="G412" s="3"/>
      <c r="H412" s="3"/>
      <c r="I412" s="3"/>
      <c r="J412" s="3"/>
      <c r="K412" s="3"/>
      <c r="L412" s="3"/>
      <c r="M412" s="3"/>
      <c r="N412" s="3"/>
      <c r="O412" s="3"/>
      <c r="P412" s="3"/>
      <c r="Q412" s="3"/>
      <c r="R412" s="3"/>
      <c r="S412" s="3"/>
      <c r="T412" s="3"/>
      <c r="U412" s="3"/>
      <c r="V412" s="3"/>
      <c r="W412" s="3"/>
      <c r="X412" s="3"/>
      <c r="Y412" s="3"/>
      <c r="Z412" s="3"/>
    </row>
    <row r="413">
      <c r="A413" s="57"/>
      <c r="B413" s="57"/>
      <c r="C413" s="57"/>
      <c r="D413" s="3"/>
      <c r="E413" s="3"/>
      <c r="F413" s="3"/>
      <c r="G413" s="3"/>
      <c r="H413" s="3"/>
      <c r="I413" s="3"/>
      <c r="J413" s="3"/>
      <c r="K413" s="3"/>
      <c r="L413" s="3"/>
      <c r="M413" s="3"/>
      <c r="N413" s="3"/>
      <c r="O413" s="3"/>
      <c r="P413" s="3"/>
      <c r="Q413" s="3"/>
      <c r="R413" s="3"/>
      <c r="S413" s="3"/>
      <c r="T413" s="3"/>
      <c r="U413" s="3"/>
      <c r="V413" s="3"/>
      <c r="W413" s="3"/>
      <c r="X413" s="3"/>
      <c r="Y413" s="3"/>
      <c r="Z413" s="3"/>
    </row>
    <row r="414">
      <c r="A414" s="57"/>
      <c r="B414" s="57"/>
      <c r="C414" s="57"/>
      <c r="D414" s="3"/>
      <c r="E414" s="3"/>
      <c r="F414" s="3"/>
      <c r="G414" s="3"/>
      <c r="H414" s="3"/>
      <c r="I414" s="3"/>
      <c r="J414" s="3"/>
      <c r="K414" s="3"/>
      <c r="L414" s="3"/>
      <c r="M414" s="3"/>
      <c r="N414" s="3"/>
      <c r="O414" s="3"/>
      <c r="P414" s="3"/>
      <c r="Q414" s="3"/>
      <c r="R414" s="3"/>
      <c r="S414" s="3"/>
      <c r="T414" s="3"/>
      <c r="U414" s="3"/>
      <c r="V414" s="3"/>
      <c r="W414" s="3"/>
      <c r="X414" s="3"/>
      <c r="Y414" s="3"/>
      <c r="Z414" s="3"/>
    </row>
    <row r="415">
      <c r="A415" s="57"/>
      <c r="B415" s="57"/>
      <c r="C415" s="57"/>
      <c r="D415" s="3"/>
      <c r="E415" s="3"/>
      <c r="F415" s="3"/>
      <c r="G415" s="3"/>
      <c r="H415" s="3"/>
      <c r="I415" s="3"/>
      <c r="J415" s="3"/>
      <c r="K415" s="3"/>
      <c r="L415" s="3"/>
      <c r="M415" s="3"/>
      <c r="N415" s="3"/>
      <c r="O415" s="3"/>
      <c r="P415" s="3"/>
      <c r="Q415" s="3"/>
      <c r="R415" s="3"/>
      <c r="S415" s="3"/>
      <c r="T415" s="3"/>
      <c r="U415" s="3"/>
      <c r="V415" s="3"/>
      <c r="W415" s="3"/>
      <c r="X415" s="3"/>
      <c r="Y415" s="3"/>
      <c r="Z415" s="3"/>
    </row>
    <row r="416">
      <c r="A416" s="57"/>
      <c r="B416" s="57"/>
      <c r="C416" s="57"/>
      <c r="D416" s="3"/>
      <c r="E416" s="3"/>
      <c r="F416" s="3"/>
      <c r="G416" s="3"/>
      <c r="H416" s="3"/>
      <c r="I416" s="3"/>
      <c r="J416" s="3"/>
      <c r="K416" s="3"/>
      <c r="L416" s="3"/>
      <c r="M416" s="3"/>
      <c r="N416" s="3"/>
      <c r="O416" s="3"/>
      <c r="P416" s="3"/>
      <c r="Q416" s="3"/>
      <c r="R416" s="3"/>
      <c r="S416" s="3"/>
      <c r="T416" s="3"/>
      <c r="U416" s="3"/>
      <c r="V416" s="3"/>
      <c r="W416" s="3"/>
      <c r="X416" s="3"/>
      <c r="Y416" s="3"/>
      <c r="Z416" s="3"/>
    </row>
    <row r="417">
      <c r="A417" s="57"/>
      <c r="B417" s="57"/>
      <c r="C417" s="57"/>
      <c r="D417" s="3"/>
      <c r="E417" s="3"/>
      <c r="F417" s="3"/>
      <c r="G417" s="3"/>
      <c r="H417" s="3"/>
      <c r="I417" s="3"/>
      <c r="J417" s="3"/>
      <c r="K417" s="3"/>
      <c r="L417" s="3"/>
      <c r="M417" s="3"/>
      <c r="N417" s="3"/>
      <c r="O417" s="3"/>
      <c r="P417" s="3"/>
      <c r="Q417" s="3"/>
      <c r="R417" s="3"/>
      <c r="S417" s="3"/>
      <c r="T417" s="3"/>
      <c r="U417" s="3"/>
      <c r="V417" s="3"/>
      <c r="W417" s="3"/>
      <c r="X417" s="3"/>
      <c r="Y417" s="3"/>
      <c r="Z417" s="3"/>
    </row>
    <row r="418">
      <c r="A418" s="57"/>
      <c r="B418" s="57"/>
      <c r="C418" s="57"/>
      <c r="D418" s="3"/>
      <c r="E418" s="3"/>
      <c r="F418" s="3"/>
      <c r="G418" s="3"/>
      <c r="H418" s="3"/>
      <c r="I418" s="3"/>
      <c r="J418" s="3"/>
      <c r="K418" s="3"/>
      <c r="L418" s="3"/>
      <c r="M418" s="3"/>
      <c r="N418" s="3"/>
      <c r="O418" s="3"/>
      <c r="P418" s="3"/>
      <c r="Q418" s="3"/>
      <c r="R418" s="3"/>
      <c r="S418" s="3"/>
      <c r="T418" s="3"/>
      <c r="U418" s="3"/>
      <c r="V418" s="3"/>
      <c r="W418" s="3"/>
      <c r="X418" s="3"/>
      <c r="Y418" s="3"/>
      <c r="Z418" s="3"/>
    </row>
    <row r="419">
      <c r="A419" s="57"/>
      <c r="B419" s="57"/>
      <c r="C419" s="57"/>
      <c r="D419" s="3"/>
      <c r="E419" s="3"/>
      <c r="F419" s="3"/>
      <c r="G419" s="3"/>
      <c r="H419" s="3"/>
      <c r="I419" s="3"/>
      <c r="J419" s="3"/>
      <c r="K419" s="3"/>
      <c r="L419" s="3"/>
      <c r="M419" s="3"/>
      <c r="N419" s="3"/>
      <c r="O419" s="3"/>
      <c r="P419" s="3"/>
      <c r="Q419" s="3"/>
      <c r="R419" s="3"/>
      <c r="S419" s="3"/>
      <c r="T419" s="3"/>
      <c r="U419" s="3"/>
      <c r="V419" s="3"/>
      <c r="W419" s="3"/>
      <c r="X419" s="3"/>
      <c r="Y419" s="3"/>
      <c r="Z419" s="3"/>
    </row>
    <row r="420">
      <c r="A420" s="57"/>
      <c r="B420" s="57"/>
      <c r="C420" s="57"/>
      <c r="D420" s="3"/>
      <c r="E420" s="3"/>
      <c r="F420" s="3"/>
      <c r="G420" s="3"/>
      <c r="H420" s="3"/>
      <c r="I420" s="3"/>
      <c r="J420" s="3"/>
      <c r="K420" s="3"/>
      <c r="L420" s="3"/>
      <c r="M420" s="3"/>
      <c r="N420" s="3"/>
      <c r="O420" s="3"/>
      <c r="P420" s="3"/>
      <c r="Q420" s="3"/>
      <c r="R420" s="3"/>
      <c r="S420" s="3"/>
      <c r="T420" s="3"/>
      <c r="U420" s="3"/>
      <c r="V420" s="3"/>
      <c r="W420" s="3"/>
      <c r="X420" s="3"/>
      <c r="Y420" s="3"/>
      <c r="Z420" s="3"/>
    </row>
    <row r="421">
      <c r="A421" s="57"/>
      <c r="B421" s="57"/>
      <c r="C421" s="57"/>
      <c r="D421" s="3"/>
      <c r="E421" s="3"/>
      <c r="F421" s="3"/>
      <c r="G421" s="3"/>
      <c r="H421" s="3"/>
      <c r="I421" s="3"/>
      <c r="J421" s="3"/>
      <c r="K421" s="3"/>
      <c r="L421" s="3"/>
      <c r="M421" s="3"/>
      <c r="N421" s="3"/>
      <c r="O421" s="3"/>
      <c r="P421" s="3"/>
      <c r="Q421" s="3"/>
      <c r="R421" s="3"/>
      <c r="S421" s="3"/>
      <c r="T421" s="3"/>
      <c r="U421" s="3"/>
      <c r="V421" s="3"/>
      <c r="W421" s="3"/>
      <c r="X421" s="3"/>
      <c r="Y421" s="3"/>
      <c r="Z421" s="3"/>
    </row>
    <row r="422">
      <c r="A422" s="57"/>
      <c r="B422" s="57"/>
      <c r="C422" s="57"/>
      <c r="D422" s="3"/>
      <c r="E422" s="3"/>
      <c r="F422" s="3"/>
      <c r="G422" s="3"/>
      <c r="H422" s="3"/>
      <c r="I422" s="3"/>
      <c r="J422" s="3"/>
      <c r="K422" s="3"/>
      <c r="L422" s="3"/>
      <c r="M422" s="3"/>
      <c r="N422" s="3"/>
      <c r="O422" s="3"/>
      <c r="P422" s="3"/>
      <c r="Q422" s="3"/>
      <c r="R422" s="3"/>
      <c r="S422" s="3"/>
      <c r="T422" s="3"/>
      <c r="U422" s="3"/>
      <c r="V422" s="3"/>
      <c r="W422" s="3"/>
      <c r="X422" s="3"/>
      <c r="Y422" s="3"/>
      <c r="Z422" s="3"/>
    </row>
    <row r="423">
      <c r="A423" s="57"/>
      <c r="B423" s="57"/>
      <c r="C423" s="57"/>
      <c r="D423" s="3"/>
      <c r="E423" s="3"/>
      <c r="F423" s="3"/>
      <c r="G423" s="3"/>
      <c r="H423" s="3"/>
      <c r="I423" s="3"/>
      <c r="J423" s="3"/>
      <c r="K423" s="3"/>
      <c r="L423" s="3"/>
      <c r="M423" s="3"/>
      <c r="N423" s="3"/>
      <c r="O423" s="3"/>
      <c r="P423" s="3"/>
      <c r="Q423" s="3"/>
      <c r="R423" s="3"/>
      <c r="S423" s="3"/>
      <c r="T423" s="3"/>
      <c r="U423" s="3"/>
      <c r="V423" s="3"/>
      <c r="W423" s="3"/>
      <c r="X423" s="3"/>
      <c r="Y423" s="3"/>
      <c r="Z423" s="3"/>
    </row>
    <row r="424">
      <c r="A424" s="57"/>
      <c r="B424" s="57"/>
      <c r="C424" s="57"/>
      <c r="D424" s="3"/>
      <c r="E424" s="3"/>
      <c r="F424" s="3"/>
      <c r="G424" s="3"/>
      <c r="H424" s="3"/>
      <c r="I424" s="3"/>
      <c r="J424" s="3"/>
      <c r="K424" s="3"/>
      <c r="L424" s="3"/>
      <c r="M424" s="3"/>
      <c r="N424" s="3"/>
      <c r="O424" s="3"/>
      <c r="P424" s="3"/>
      <c r="Q424" s="3"/>
      <c r="R424" s="3"/>
      <c r="S424" s="3"/>
      <c r="T424" s="3"/>
      <c r="U424" s="3"/>
      <c r="V424" s="3"/>
      <c r="W424" s="3"/>
      <c r="X424" s="3"/>
      <c r="Y424" s="3"/>
      <c r="Z424" s="3"/>
    </row>
    <row r="425">
      <c r="A425" s="57"/>
      <c r="B425" s="57"/>
      <c r="C425" s="57"/>
      <c r="D425" s="3"/>
      <c r="E425" s="3"/>
      <c r="F425" s="3"/>
      <c r="G425" s="3"/>
      <c r="H425" s="3"/>
      <c r="I425" s="3"/>
      <c r="J425" s="3"/>
      <c r="K425" s="3"/>
      <c r="L425" s="3"/>
      <c r="M425" s="3"/>
      <c r="N425" s="3"/>
      <c r="O425" s="3"/>
      <c r="P425" s="3"/>
      <c r="Q425" s="3"/>
      <c r="R425" s="3"/>
      <c r="S425" s="3"/>
      <c r="T425" s="3"/>
      <c r="U425" s="3"/>
      <c r="V425" s="3"/>
      <c r="W425" s="3"/>
      <c r="X425" s="3"/>
      <c r="Y425" s="3"/>
      <c r="Z425" s="3"/>
    </row>
    <row r="426">
      <c r="A426" s="57"/>
      <c r="B426" s="57"/>
      <c r="C426" s="57"/>
      <c r="D426" s="3"/>
      <c r="E426" s="3"/>
      <c r="F426" s="3"/>
      <c r="G426" s="3"/>
      <c r="H426" s="3"/>
      <c r="I426" s="3"/>
      <c r="J426" s="3"/>
      <c r="K426" s="3"/>
      <c r="L426" s="3"/>
      <c r="M426" s="3"/>
      <c r="N426" s="3"/>
      <c r="O426" s="3"/>
      <c r="P426" s="3"/>
      <c r="Q426" s="3"/>
      <c r="R426" s="3"/>
      <c r="S426" s="3"/>
      <c r="T426" s="3"/>
      <c r="U426" s="3"/>
      <c r="V426" s="3"/>
      <c r="W426" s="3"/>
      <c r="X426" s="3"/>
      <c r="Y426" s="3"/>
      <c r="Z426" s="3"/>
    </row>
    <row r="427">
      <c r="A427" s="57"/>
      <c r="B427" s="57"/>
      <c r="C427" s="57"/>
      <c r="D427" s="3"/>
      <c r="E427" s="3"/>
      <c r="F427" s="3"/>
      <c r="G427" s="3"/>
      <c r="H427" s="3"/>
      <c r="I427" s="3"/>
      <c r="J427" s="3"/>
      <c r="K427" s="3"/>
      <c r="L427" s="3"/>
      <c r="M427" s="3"/>
      <c r="N427" s="3"/>
      <c r="O427" s="3"/>
      <c r="P427" s="3"/>
      <c r="Q427" s="3"/>
      <c r="R427" s="3"/>
      <c r="S427" s="3"/>
      <c r="T427" s="3"/>
      <c r="U427" s="3"/>
      <c r="V427" s="3"/>
      <c r="W427" s="3"/>
      <c r="X427" s="3"/>
      <c r="Y427" s="3"/>
      <c r="Z427" s="3"/>
    </row>
    <row r="428">
      <c r="A428" s="57"/>
      <c r="B428" s="57"/>
      <c r="C428" s="57"/>
      <c r="D428" s="3"/>
      <c r="E428" s="3"/>
      <c r="F428" s="3"/>
      <c r="G428" s="3"/>
      <c r="H428" s="3"/>
      <c r="I428" s="3"/>
      <c r="J428" s="3"/>
      <c r="K428" s="3"/>
      <c r="L428" s="3"/>
      <c r="M428" s="3"/>
      <c r="N428" s="3"/>
      <c r="O428" s="3"/>
      <c r="P428" s="3"/>
      <c r="Q428" s="3"/>
      <c r="R428" s="3"/>
      <c r="S428" s="3"/>
      <c r="T428" s="3"/>
      <c r="U428" s="3"/>
      <c r="V428" s="3"/>
      <c r="W428" s="3"/>
      <c r="X428" s="3"/>
      <c r="Y428" s="3"/>
      <c r="Z428" s="3"/>
    </row>
    <row r="429">
      <c r="A429" s="57"/>
      <c r="B429" s="57"/>
      <c r="C429" s="57"/>
      <c r="D429" s="3"/>
      <c r="E429" s="3"/>
      <c r="F429" s="3"/>
      <c r="G429" s="3"/>
      <c r="H429" s="3"/>
      <c r="I429" s="3"/>
      <c r="J429" s="3"/>
      <c r="K429" s="3"/>
      <c r="L429" s="3"/>
      <c r="M429" s="3"/>
      <c r="N429" s="3"/>
      <c r="O429" s="3"/>
      <c r="P429" s="3"/>
      <c r="Q429" s="3"/>
      <c r="R429" s="3"/>
      <c r="S429" s="3"/>
      <c r="T429" s="3"/>
      <c r="U429" s="3"/>
      <c r="V429" s="3"/>
      <c r="W429" s="3"/>
      <c r="X429" s="3"/>
      <c r="Y429" s="3"/>
      <c r="Z429" s="3"/>
    </row>
    <row r="430">
      <c r="A430" s="57"/>
      <c r="B430" s="57"/>
      <c r="C430" s="57"/>
      <c r="D430" s="3"/>
      <c r="E430" s="3"/>
      <c r="F430" s="3"/>
      <c r="G430" s="3"/>
      <c r="H430" s="3"/>
      <c r="I430" s="3"/>
      <c r="J430" s="3"/>
      <c r="K430" s="3"/>
      <c r="L430" s="3"/>
      <c r="M430" s="3"/>
      <c r="N430" s="3"/>
      <c r="O430" s="3"/>
      <c r="P430" s="3"/>
      <c r="Q430" s="3"/>
      <c r="R430" s="3"/>
      <c r="S430" s="3"/>
      <c r="T430" s="3"/>
      <c r="U430" s="3"/>
      <c r="V430" s="3"/>
      <c r="W430" s="3"/>
      <c r="X430" s="3"/>
      <c r="Y430" s="3"/>
      <c r="Z430" s="3"/>
    </row>
    <row r="431">
      <c r="A431" s="57"/>
      <c r="B431" s="57"/>
      <c r="C431" s="57"/>
      <c r="D431" s="3"/>
      <c r="E431" s="3"/>
      <c r="F431" s="3"/>
      <c r="G431" s="3"/>
      <c r="H431" s="3"/>
      <c r="I431" s="3"/>
      <c r="J431" s="3"/>
      <c r="K431" s="3"/>
      <c r="L431" s="3"/>
      <c r="M431" s="3"/>
      <c r="N431" s="3"/>
      <c r="O431" s="3"/>
      <c r="P431" s="3"/>
      <c r="Q431" s="3"/>
      <c r="R431" s="3"/>
      <c r="S431" s="3"/>
      <c r="T431" s="3"/>
      <c r="U431" s="3"/>
      <c r="V431" s="3"/>
      <c r="W431" s="3"/>
      <c r="X431" s="3"/>
      <c r="Y431" s="3"/>
      <c r="Z431" s="3"/>
    </row>
    <row r="432">
      <c r="A432" s="57"/>
      <c r="B432" s="57"/>
      <c r="C432" s="57"/>
      <c r="D432" s="3"/>
      <c r="E432" s="3"/>
      <c r="F432" s="3"/>
      <c r="G432" s="3"/>
      <c r="H432" s="3"/>
      <c r="I432" s="3"/>
      <c r="J432" s="3"/>
      <c r="K432" s="3"/>
      <c r="L432" s="3"/>
      <c r="M432" s="3"/>
      <c r="N432" s="3"/>
      <c r="O432" s="3"/>
      <c r="P432" s="3"/>
      <c r="Q432" s="3"/>
      <c r="R432" s="3"/>
      <c r="S432" s="3"/>
      <c r="T432" s="3"/>
      <c r="U432" s="3"/>
      <c r="V432" s="3"/>
      <c r="W432" s="3"/>
      <c r="X432" s="3"/>
      <c r="Y432" s="3"/>
      <c r="Z432" s="3"/>
    </row>
    <row r="433">
      <c r="A433" s="57"/>
      <c r="B433" s="57"/>
      <c r="C433" s="57"/>
      <c r="D433" s="3"/>
      <c r="E433" s="3"/>
      <c r="F433" s="3"/>
      <c r="G433" s="3"/>
      <c r="H433" s="3"/>
      <c r="I433" s="3"/>
      <c r="J433" s="3"/>
      <c r="K433" s="3"/>
      <c r="L433" s="3"/>
      <c r="M433" s="3"/>
      <c r="N433" s="3"/>
      <c r="O433" s="3"/>
      <c r="P433" s="3"/>
      <c r="Q433" s="3"/>
      <c r="R433" s="3"/>
      <c r="S433" s="3"/>
      <c r="T433" s="3"/>
      <c r="U433" s="3"/>
      <c r="V433" s="3"/>
      <c r="W433" s="3"/>
      <c r="X433" s="3"/>
      <c r="Y433" s="3"/>
      <c r="Z433" s="3"/>
    </row>
    <row r="434">
      <c r="A434" s="57"/>
      <c r="B434" s="57"/>
      <c r="C434" s="57"/>
      <c r="D434" s="3"/>
      <c r="E434" s="3"/>
      <c r="F434" s="3"/>
      <c r="G434" s="3"/>
      <c r="H434" s="3"/>
      <c r="I434" s="3"/>
      <c r="J434" s="3"/>
      <c r="K434" s="3"/>
      <c r="L434" s="3"/>
      <c r="M434" s="3"/>
      <c r="N434" s="3"/>
      <c r="O434" s="3"/>
      <c r="P434" s="3"/>
      <c r="Q434" s="3"/>
      <c r="R434" s="3"/>
      <c r="S434" s="3"/>
      <c r="T434" s="3"/>
      <c r="U434" s="3"/>
      <c r="V434" s="3"/>
      <c r="W434" s="3"/>
      <c r="X434" s="3"/>
      <c r="Y434" s="3"/>
      <c r="Z434" s="3"/>
    </row>
    <row r="435">
      <c r="A435" s="57"/>
      <c r="B435" s="57"/>
      <c r="C435" s="57"/>
      <c r="D435" s="3"/>
      <c r="E435" s="3"/>
      <c r="F435" s="3"/>
      <c r="G435" s="3"/>
      <c r="H435" s="3"/>
      <c r="I435" s="3"/>
      <c r="J435" s="3"/>
      <c r="K435" s="3"/>
      <c r="L435" s="3"/>
      <c r="M435" s="3"/>
      <c r="N435" s="3"/>
      <c r="O435" s="3"/>
      <c r="P435" s="3"/>
      <c r="Q435" s="3"/>
      <c r="R435" s="3"/>
      <c r="S435" s="3"/>
      <c r="T435" s="3"/>
      <c r="U435" s="3"/>
      <c r="V435" s="3"/>
      <c r="W435" s="3"/>
      <c r="X435" s="3"/>
      <c r="Y435" s="3"/>
      <c r="Z435" s="3"/>
    </row>
    <row r="436">
      <c r="A436" s="57"/>
      <c r="B436" s="57"/>
      <c r="C436" s="57"/>
      <c r="D436" s="3"/>
      <c r="E436" s="3"/>
      <c r="F436" s="3"/>
      <c r="G436" s="3"/>
      <c r="H436" s="3"/>
      <c r="I436" s="3"/>
      <c r="J436" s="3"/>
      <c r="K436" s="3"/>
      <c r="L436" s="3"/>
      <c r="M436" s="3"/>
      <c r="N436" s="3"/>
      <c r="O436" s="3"/>
      <c r="P436" s="3"/>
      <c r="Q436" s="3"/>
      <c r="R436" s="3"/>
      <c r="S436" s="3"/>
      <c r="T436" s="3"/>
      <c r="U436" s="3"/>
      <c r="V436" s="3"/>
      <c r="W436" s="3"/>
      <c r="X436" s="3"/>
      <c r="Y436" s="3"/>
      <c r="Z436" s="3"/>
    </row>
    <row r="437">
      <c r="A437" s="57"/>
      <c r="B437" s="57"/>
      <c r="C437" s="57"/>
      <c r="D437" s="3"/>
      <c r="E437" s="3"/>
      <c r="F437" s="3"/>
      <c r="G437" s="3"/>
      <c r="H437" s="3"/>
      <c r="I437" s="3"/>
      <c r="J437" s="3"/>
      <c r="K437" s="3"/>
      <c r="L437" s="3"/>
      <c r="M437" s="3"/>
      <c r="N437" s="3"/>
      <c r="O437" s="3"/>
      <c r="P437" s="3"/>
      <c r="Q437" s="3"/>
      <c r="R437" s="3"/>
      <c r="S437" s="3"/>
      <c r="T437" s="3"/>
      <c r="U437" s="3"/>
      <c r="V437" s="3"/>
      <c r="W437" s="3"/>
      <c r="X437" s="3"/>
      <c r="Y437" s="3"/>
      <c r="Z437" s="3"/>
    </row>
    <row r="438">
      <c r="A438" s="57"/>
      <c r="B438" s="57"/>
      <c r="C438" s="57"/>
      <c r="D438" s="3"/>
      <c r="E438" s="3"/>
      <c r="F438" s="3"/>
      <c r="G438" s="3"/>
      <c r="H438" s="3"/>
      <c r="I438" s="3"/>
      <c r="J438" s="3"/>
      <c r="K438" s="3"/>
      <c r="L438" s="3"/>
      <c r="M438" s="3"/>
      <c r="N438" s="3"/>
      <c r="O438" s="3"/>
      <c r="P438" s="3"/>
      <c r="Q438" s="3"/>
      <c r="R438" s="3"/>
      <c r="S438" s="3"/>
      <c r="T438" s="3"/>
      <c r="U438" s="3"/>
      <c r="V438" s="3"/>
      <c r="W438" s="3"/>
      <c r="X438" s="3"/>
      <c r="Y438" s="3"/>
      <c r="Z438" s="3"/>
    </row>
    <row r="439">
      <c r="A439" s="57"/>
      <c r="B439" s="57"/>
      <c r="C439" s="57"/>
      <c r="D439" s="3"/>
      <c r="E439" s="3"/>
      <c r="F439" s="3"/>
      <c r="G439" s="3"/>
      <c r="H439" s="3"/>
      <c r="I439" s="3"/>
      <c r="J439" s="3"/>
      <c r="K439" s="3"/>
      <c r="L439" s="3"/>
      <c r="M439" s="3"/>
      <c r="N439" s="3"/>
      <c r="O439" s="3"/>
      <c r="P439" s="3"/>
      <c r="Q439" s="3"/>
      <c r="R439" s="3"/>
      <c r="S439" s="3"/>
      <c r="T439" s="3"/>
      <c r="U439" s="3"/>
      <c r="V439" s="3"/>
      <c r="W439" s="3"/>
      <c r="X439" s="3"/>
      <c r="Y439" s="3"/>
      <c r="Z439" s="3"/>
    </row>
    <row r="440">
      <c r="A440" s="57"/>
      <c r="B440" s="57"/>
      <c r="C440" s="57"/>
      <c r="D440" s="3"/>
      <c r="E440" s="3"/>
      <c r="F440" s="3"/>
      <c r="G440" s="3"/>
      <c r="H440" s="3"/>
      <c r="I440" s="3"/>
      <c r="J440" s="3"/>
      <c r="K440" s="3"/>
      <c r="L440" s="3"/>
      <c r="M440" s="3"/>
      <c r="N440" s="3"/>
      <c r="O440" s="3"/>
      <c r="P440" s="3"/>
      <c r="Q440" s="3"/>
      <c r="R440" s="3"/>
      <c r="S440" s="3"/>
      <c r="T440" s="3"/>
      <c r="U440" s="3"/>
      <c r="V440" s="3"/>
      <c r="W440" s="3"/>
      <c r="X440" s="3"/>
      <c r="Y440" s="3"/>
      <c r="Z440" s="3"/>
    </row>
    <row r="441">
      <c r="A441" s="57"/>
      <c r="B441" s="57"/>
      <c r="C441" s="57"/>
      <c r="D441" s="3"/>
      <c r="E441" s="3"/>
      <c r="F441" s="3"/>
      <c r="G441" s="3"/>
      <c r="H441" s="3"/>
      <c r="I441" s="3"/>
      <c r="J441" s="3"/>
      <c r="K441" s="3"/>
      <c r="L441" s="3"/>
      <c r="M441" s="3"/>
      <c r="N441" s="3"/>
      <c r="O441" s="3"/>
      <c r="P441" s="3"/>
      <c r="Q441" s="3"/>
      <c r="R441" s="3"/>
      <c r="S441" s="3"/>
      <c r="T441" s="3"/>
      <c r="U441" s="3"/>
      <c r="V441" s="3"/>
      <c r="W441" s="3"/>
      <c r="X441" s="3"/>
      <c r="Y441" s="3"/>
      <c r="Z441" s="3"/>
    </row>
    <row r="442">
      <c r="A442" s="57"/>
      <c r="B442" s="57"/>
      <c r="C442" s="57"/>
      <c r="D442" s="3"/>
      <c r="E442" s="3"/>
      <c r="F442" s="3"/>
      <c r="G442" s="3"/>
      <c r="H442" s="3"/>
      <c r="I442" s="3"/>
      <c r="J442" s="3"/>
      <c r="K442" s="3"/>
      <c r="L442" s="3"/>
      <c r="M442" s="3"/>
      <c r="N442" s="3"/>
      <c r="O442" s="3"/>
      <c r="P442" s="3"/>
      <c r="Q442" s="3"/>
      <c r="R442" s="3"/>
      <c r="S442" s="3"/>
      <c r="T442" s="3"/>
      <c r="U442" s="3"/>
      <c r="V442" s="3"/>
      <c r="W442" s="3"/>
      <c r="X442" s="3"/>
      <c r="Y442" s="3"/>
      <c r="Z442" s="3"/>
    </row>
    <row r="443">
      <c r="A443" s="57"/>
      <c r="B443" s="57"/>
      <c r="C443" s="57"/>
      <c r="D443" s="3"/>
      <c r="E443" s="3"/>
      <c r="F443" s="3"/>
      <c r="G443" s="3"/>
      <c r="H443" s="3"/>
      <c r="I443" s="3"/>
      <c r="J443" s="3"/>
      <c r="K443" s="3"/>
      <c r="L443" s="3"/>
      <c r="M443" s="3"/>
      <c r="N443" s="3"/>
      <c r="O443" s="3"/>
      <c r="P443" s="3"/>
      <c r="Q443" s="3"/>
      <c r="R443" s="3"/>
      <c r="S443" s="3"/>
      <c r="T443" s="3"/>
      <c r="U443" s="3"/>
      <c r="V443" s="3"/>
      <c r="W443" s="3"/>
      <c r="X443" s="3"/>
      <c r="Y443" s="3"/>
      <c r="Z443" s="3"/>
    </row>
    <row r="444">
      <c r="A444" s="57"/>
      <c r="B444" s="57"/>
      <c r="C444" s="57"/>
      <c r="D444" s="3"/>
      <c r="E444" s="3"/>
      <c r="F444" s="3"/>
      <c r="G444" s="3"/>
      <c r="H444" s="3"/>
      <c r="I444" s="3"/>
      <c r="J444" s="3"/>
      <c r="K444" s="3"/>
      <c r="L444" s="3"/>
      <c r="M444" s="3"/>
      <c r="N444" s="3"/>
      <c r="O444" s="3"/>
      <c r="P444" s="3"/>
      <c r="Q444" s="3"/>
      <c r="R444" s="3"/>
      <c r="S444" s="3"/>
      <c r="T444" s="3"/>
      <c r="U444" s="3"/>
      <c r="V444" s="3"/>
      <c r="W444" s="3"/>
      <c r="X444" s="3"/>
      <c r="Y444" s="3"/>
      <c r="Z444" s="3"/>
    </row>
    <row r="445">
      <c r="A445" s="57"/>
      <c r="B445" s="57"/>
      <c r="C445" s="57"/>
      <c r="D445" s="3"/>
      <c r="E445" s="3"/>
      <c r="F445" s="3"/>
      <c r="G445" s="3"/>
      <c r="H445" s="3"/>
      <c r="I445" s="3"/>
      <c r="J445" s="3"/>
      <c r="K445" s="3"/>
      <c r="L445" s="3"/>
      <c r="M445" s="3"/>
      <c r="N445" s="3"/>
      <c r="O445" s="3"/>
      <c r="P445" s="3"/>
      <c r="Q445" s="3"/>
      <c r="R445" s="3"/>
      <c r="S445" s="3"/>
      <c r="T445" s="3"/>
      <c r="U445" s="3"/>
      <c r="V445" s="3"/>
      <c r="W445" s="3"/>
      <c r="X445" s="3"/>
      <c r="Y445" s="3"/>
      <c r="Z445" s="3"/>
    </row>
    <row r="446">
      <c r="A446" s="57"/>
      <c r="B446" s="57"/>
      <c r="C446" s="57"/>
      <c r="D446" s="3"/>
      <c r="E446" s="3"/>
      <c r="F446" s="3"/>
      <c r="G446" s="3"/>
      <c r="H446" s="3"/>
      <c r="I446" s="3"/>
      <c r="J446" s="3"/>
      <c r="K446" s="3"/>
      <c r="L446" s="3"/>
      <c r="M446" s="3"/>
      <c r="N446" s="3"/>
      <c r="O446" s="3"/>
      <c r="P446" s="3"/>
      <c r="Q446" s="3"/>
      <c r="R446" s="3"/>
      <c r="S446" s="3"/>
      <c r="T446" s="3"/>
      <c r="U446" s="3"/>
      <c r="V446" s="3"/>
      <c r="W446" s="3"/>
      <c r="X446" s="3"/>
      <c r="Y446" s="3"/>
      <c r="Z446" s="3"/>
    </row>
    <row r="447">
      <c r="A447" s="57"/>
      <c r="B447" s="57"/>
      <c r="C447" s="57"/>
      <c r="D447" s="3"/>
      <c r="E447" s="3"/>
      <c r="F447" s="3"/>
      <c r="G447" s="3"/>
      <c r="H447" s="3"/>
      <c r="I447" s="3"/>
      <c r="J447" s="3"/>
      <c r="K447" s="3"/>
      <c r="L447" s="3"/>
      <c r="M447" s="3"/>
      <c r="N447" s="3"/>
      <c r="O447" s="3"/>
      <c r="P447" s="3"/>
      <c r="Q447" s="3"/>
      <c r="R447" s="3"/>
      <c r="S447" s="3"/>
      <c r="T447" s="3"/>
      <c r="U447" s="3"/>
      <c r="V447" s="3"/>
      <c r="W447" s="3"/>
      <c r="X447" s="3"/>
      <c r="Y447" s="3"/>
      <c r="Z447" s="3"/>
    </row>
    <row r="448">
      <c r="A448" s="57"/>
      <c r="B448" s="57"/>
      <c r="C448" s="57"/>
      <c r="D448" s="3"/>
      <c r="E448" s="3"/>
      <c r="F448" s="3"/>
      <c r="G448" s="3"/>
      <c r="H448" s="3"/>
      <c r="I448" s="3"/>
      <c r="J448" s="3"/>
      <c r="K448" s="3"/>
      <c r="L448" s="3"/>
      <c r="M448" s="3"/>
      <c r="N448" s="3"/>
      <c r="O448" s="3"/>
      <c r="P448" s="3"/>
      <c r="Q448" s="3"/>
      <c r="R448" s="3"/>
      <c r="S448" s="3"/>
      <c r="T448" s="3"/>
      <c r="U448" s="3"/>
      <c r="V448" s="3"/>
      <c r="W448" s="3"/>
      <c r="X448" s="3"/>
      <c r="Y448" s="3"/>
      <c r="Z448" s="3"/>
    </row>
    <row r="449">
      <c r="A449" s="57"/>
      <c r="B449" s="57"/>
      <c r="C449" s="57"/>
      <c r="D449" s="3"/>
      <c r="E449" s="3"/>
      <c r="F449" s="3"/>
      <c r="G449" s="3"/>
      <c r="H449" s="3"/>
      <c r="I449" s="3"/>
      <c r="J449" s="3"/>
      <c r="K449" s="3"/>
      <c r="L449" s="3"/>
      <c r="M449" s="3"/>
      <c r="N449" s="3"/>
      <c r="O449" s="3"/>
      <c r="P449" s="3"/>
      <c r="Q449" s="3"/>
      <c r="R449" s="3"/>
      <c r="S449" s="3"/>
      <c r="T449" s="3"/>
      <c r="U449" s="3"/>
      <c r="V449" s="3"/>
      <c r="W449" s="3"/>
      <c r="X449" s="3"/>
      <c r="Y449" s="3"/>
      <c r="Z449" s="3"/>
    </row>
    <row r="450">
      <c r="A450" s="57"/>
      <c r="B450" s="57"/>
      <c r="C450" s="57"/>
      <c r="D450" s="3"/>
      <c r="E450" s="3"/>
      <c r="F450" s="3"/>
      <c r="G450" s="3"/>
      <c r="H450" s="3"/>
      <c r="I450" s="3"/>
      <c r="J450" s="3"/>
      <c r="K450" s="3"/>
      <c r="L450" s="3"/>
      <c r="M450" s="3"/>
      <c r="N450" s="3"/>
      <c r="O450" s="3"/>
      <c r="P450" s="3"/>
      <c r="Q450" s="3"/>
      <c r="R450" s="3"/>
      <c r="S450" s="3"/>
      <c r="T450" s="3"/>
      <c r="U450" s="3"/>
      <c r="V450" s="3"/>
      <c r="W450" s="3"/>
      <c r="X450" s="3"/>
      <c r="Y450" s="3"/>
      <c r="Z450" s="3"/>
    </row>
    <row r="451">
      <c r="A451" s="57"/>
      <c r="B451" s="57"/>
      <c r="C451" s="57"/>
      <c r="D451" s="3"/>
      <c r="E451" s="3"/>
      <c r="F451" s="3"/>
      <c r="G451" s="3"/>
      <c r="H451" s="3"/>
      <c r="I451" s="3"/>
      <c r="J451" s="3"/>
      <c r="K451" s="3"/>
      <c r="L451" s="3"/>
      <c r="M451" s="3"/>
      <c r="N451" s="3"/>
      <c r="O451" s="3"/>
      <c r="P451" s="3"/>
      <c r="Q451" s="3"/>
      <c r="R451" s="3"/>
      <c r="S451" s="3"/>
      <c r="T451" s="3"/>
      <c r="U451" s="3"/>
      <c r="V451" s="3"/>
      <c r="W451" s="3"/>
      <c r="X451" s="3"/>
      <c r="Y451" s="3"/>
      <c r="Z451" s="3"/>
    </row>
    <row r="452">
      <c r="A452" s="57"/>
      <c r="B452" s="57"/>
      <c r="C452" s="57"/>
      <c r="D452" s="3"/>
      <c r="E452" s="3"/>
      <c r="F452" s="3"/>
      <c r="G452" s="3"/>
      <c r="H452" s="3"/>
      <c r="I452" s="3"/>
      <c r="J452" s="3"/>
      <c r="K452" s="3"/>
      <c r="L452" s="3"/>
      <c r="M452" s="3"/>
      <c r="N452" s="3"/>
      <c r="O452" s="3"/>
      <c r="P452" s="3"/>
      <c r="Q452" s="3"/>
      <c r="R452" s="3"/>
      <c r="S452" s="3"/>
      <c r="T452" s="3"/>
      <c r="U452" s="3"/>
      <c r="V452" s="3"/>
      <c r="W452" s="3"/>
      <c r="X452" s="3"/>
      <c r="Y452" s="3"/>
      <c r="Z452" s="3"/>
    </row>
    <row r="453">
      <c r="A453" s="57"/>
      <c r="B453" s="57"/>
      <c r="C453" s="57"/>
      <c r="D453" s="3"/>
      <c r="E453" s="3"/>
      <c r="F453" s="3"/>
      <c r="G453" s="3"/>
      <c r="H453" s="3"/>
      <c r="I453" s="3"/>
      <c r="J453" s="3"/>
      <c r="K453" s="3"/>
      <c r="L453" s="3"/>
      <c r="M453" s="3"/>
      <c r="N453" s="3"/>
      <c r="O453" s="3"/>
      <c r="P453" s="3"/>
      <c r="Q453" s="3"/>
      <c r="R453" s="3"/>
      <c r="S453" s="3"/>
      <c r="T453" s="3"/>
      <c r="U453" s="3"/>
      <c r="V453" s="3"/>
      <c r="W453" s="3"/>
      <c r="X453" s="3"/>
      <c r="Y453" s="3"/>
      <c r="Z453" s="3"/>
    </row>
    <row r="454">
      <c r="A454" s="57"/>
      <c r="B454" s="57"/>
      <c r="C454" s="57"/>
      <c r="D454" s="3"/>
      <c r="E454" s="3"/>
      <c r="F454" s="3"/>
      <c r="G454" s="3"/>
      <c r="H454" s="3"/>
      <c r="I454" s="3"/>
      <c r="J454" s="3"/>
      <c r="K454" s="3"/>
      <c r="L454" s="3"/>
      <c r="M454" s="3"/>
      <c r="N454" s="3"/>
      <c r="O454" s="3"/>
      <c r="P454" s="3"/>
      <c r="Q454" s="3"/>
      <c r="R454" s="3"/>
      <c r="S454" s="3"/>
      <c r="T454" s="3"/>
      <c r="U454" s="3"/>
      <c r="V454" s="3"/>
      <c r="W454" s="3"/>
      <c r="X454" s="3"/>
      <c r="Y454" s="3"/>
      <c r="Z454" s="3"/>
    </row>
    <row r="455">
      <c r="A455" s="57"/>
      <c r="B455" s="57"/>
      <c r="C455" s="57"/>
      <c r="D455" s="3"/>
      <c r="E455" s="3"/>
      <c r="F455" s="3"/>
      <c r="G455" s="3"/>
      <c r="H455" s="3"/>
      <c r="I455" s="3"/>
      <c r="J455" s="3"/>
      <c r="K455" s="3"/>
      <c r="L455" s="3"/>
      <c r="M455" s="3"/>
      <c r="N455" s="3"/>
      <c r="O455" s="3"/>
      <c r="P455" s="3"/>
      <c r="Q455" s="3"/>
      <c r="R455" s="3"/>
      <c r="S455" s="3"/>
      <c r="T455" s="3"/>
      <c r="U455" s="3"/>
      <c r="V455" s="3"/>
      <c r="W455" s="3"/>
      <c r="X455" s="3"/>
      <c r="Y455" s="3"/>
      <c r="Z455" s="3"/>
    </row>
    <row r="456">
      <c r="A456" s="57"/>
      <c r="B456" s="57"/>
      <c r="C456" s="57"/>
      <c r="D456" s="3"/>
      <c r="E456" s="3"/>
      <c r="F456" s="3"/>
      <c r="G456" s="3"/>
      <c r="H456" s="3"/>
      <c r="I456" s="3"/>
      <c r="J456" s="3"/>
      <c r="K456" s="3"/>
      <c r="L456" s="3"/>
      <c r="M456" s="3"/>
      <c r="N456" s="3"/>
      <c r="O456" s="3"/>
      <c r="P456" s="3"/>
      <c r="Q456" s="3"/>
      <c r="R456" s="3"/>
      <c r="S456" s="3"/>
      <c r="T456" s="3"/>
      <c r="U456" s="3"/>
      <c r="V456" s="3"/>
      <c r="W456" s="3"/>
      <c r="X456" s="3"/>
      <c r="Y456" s="3"/>
      <c r="Z456" s="3"/>
    </row>
    <row r="457">
      <c r="A457" s="57"/>
      <c r="B457" s="57"/>
      <c r="C457" s="57"/>
      <c r="D457" s="3"/>
      <c r="E457" s="3"/>
      <c r="F457" s="3"/>
      <c r="G457" s="3"/>
      <c r="H457" s="3"/>
      <c r="I457" s="3"/>
      <c r="J457" s="3"/>
      <c r="K457" s="3"/>
      <c r="L457" s="3"/>
      <c r="M457" s="3"/>
      <c r="N457" s="3"/>
      <c r="O457" s="3"/>
      <c r="P457" s="3"/>
      <c r="Q457" s="3"/>
      <c r="R457" s="3"/>
      <c r="S457" s="3"/>
      <c r="T457" s="3"/>
      <c r="U457" s="3"/>
      <c r="V457" s="3"/>
      <c r="W457" s="3"/>
      <c r="X457" s="3"/>
      <c r="Y457" s="3"/>
      <c r="Z457" s="3"/>
    </row>
    <row r="458">
      <c r="A458" s="57"/>
      <c r="B458" s="57"/>
      <c r="C458" s="57"/>
      <c r="D458" s="3"/>
      <c r="E458" s="3"/>
      <c r="F458" s="3"/>
      <c r="G458" s="3"/>
      <c r="H458" s="3"/>
      <c r="I458" s="3"/>
      <c r="J458" s="3"/>
      <c r="K458" s="3"/>
      <c r="L458" s="3"/>
      <c r="M458" s="3"/>
      <c r="N458" s="3"/>
      <c r="O458" s="3"/>
      <c r="P458" s="3"/>
      <c r="Q458" s="3"/>
      <c r="R458" s="3"/>
      <c r="S458" s="3"/>
      <c r="T458" s="3"/>
      <c r="U458" s="3"/>
      <c r="V458" s="3"/>
      <c r="W458" s="3"/>
      <c r="X458" s="3"/>
      <c r="Y458" s="3"/>
      <c r="Z458" s="3"/>
    </row>
    <row r="459">
      <c r="A459" s="57"/>
      <c r="B459" s="57"/>
      <c r="C459" s="57"/>
      <c r="D459" s="3"/>
      <c r="E459" s="3"/>
      <c r="F459" s="3"/>
      <c r="G459" s="3"/>
      <c r="H459" s="3"/>
      <c r="I459" s="3"/>
      <c r="J459" s="3"/>
      <c r="K459" s="3"/>
      <c r="L459" s="3"/>
      <c r="M459" s="3"/>
      <c r="N459" s="3"/>
      <c r="O459" s="3"/>
      <c r="P459" s="3"/>
      <c r="Q459" s="3"/>
      <c r="R459" s="3"/>
      <c r="S459" s="3"/>
      <c r="T459" s="3"/>
      <c r="U459" s="3"/>
      <c r="V459" s="3"/>
      <c r="W459" s="3"/>
      <c r="X459" s="3"/>
      <c r="Y459" s="3"/>
      <c r="Z459" s="3"/>
    </row>
    <row r="460">
      <c r="A460" s="57"/>
      <c r="B460" s="57"/>
      <c r="C460" s="57"/>
      <c r="D460" s="3"/>
      <c r="E460" s="3"/>
      <c r="F460" s="3"/>
      <c r="G460" s="3"/>
      <c r="H460" s="3"/>
      <c r="I460" s="3"/>
      <c r="J460" s="3"/>
      <c r="K460" s="3"/>
      <c r="L460" s="3"/>
      <c r="M460" s="3"/>
      <c r="N460" s="3"/>
      <c r="O460" s="3"/>
      <c r="P460" s="3"/>
      <c r="Q460" s="3"/>
      <c r="R460" s="3"/>
      <c r="S460" s="3"/>
      <c r="T460" s="3"/>
      <c r="U460" s="3"/>
      <c r="V460" s="3"/>
      <c r="W460" s="3"/>
      <c r="X460" s="3"/>
      <c r="Y460" s="3"/>
      <c r="Z460" s="3"/>
    </row>
    <row r="461">
      <c r="A461" s="57"/>
      <c r="B461" s="57"/>
      <c r="C461" s="57"/>
      <c r="D461" s="3"/>
      <c r="E461" s="3"/>
      <c r="F461" s="3"/>
      <c r="G461" s="3"/>
      <c r="H461" s="3"/>
      <c r="I461" s="3"/>
      <c r="J461" s="3"/>
      <c r="K461" s="3"/>
      <c r="L461" s="3"/>
      <c r="M461" s="3"/>
      <c r="N461" s="3"/>
      <c r="O461" s="3"/>
      <c r="P461" s="3"/>
      <c r="Q461" s="3"/>
      <c r="R461" s="3"/>
      <c r="S461" s="3"/>
      <c r="T461" s="3"/>
      <c r="U461" s="3"/>
      <c r="V461" s="3"/>
      <c r="W461" s="3"/>
      <c r="X461" s="3"/>
      <c r="Y461" s="3"/>
      <c r="Z461" s="3"/>
    </row>
    <row r="462">
      <c r="A462" s="57"/>
      <c r="B462" s="57"/>
      <c r="C462" s="57"/>
      <c r="D462" s="3"/>
      <c r="E462" s="3"/>
      <c r="F462" s="3"/>
      <c r="G462" s="3"/>
      <c r="H462" s="3"/>
      <c r="I462" s="3"/>
      <c r="J462" s="3"/>
      <c r="K462" s="3"/>
      <c r="L462" s="3"/>
      <c r="M462" s="3"/>
      <c r="N462" s="3"/>
      <c r="O462" s="3"/>
      <c r="P462" s="3"/>
      <c r="Q462" s="3"/>
      <c r="R462" s="3"/>
      <c r="S462" s="3"/>
      <c r="T462" s="3"/>
      <c r="U462" s="3"/>
      <c r="V462" s="3"/>
      <c r="W462" s="3"/>
      <c r="X462" s="3"/>
      <c r="Y462" s="3"/>
      <c r="Z462" s="3"/>
    </row>
    <row r="463">
      <c r="A463" s="57"/>
      <c r="B463" s="57"/>
      <c r="C463" s="57"/>
      <c r="D463" s="3"/>
      <c r="E463" s="3"/>
      <c r="F463" s="3"/>
      <c r="G463" s="3"/>
      <c r="H463" s="3"/>
      <c r="I463" s="3"/>
      <c r="J463" s="3"/>
      <c r="K463" s="3"/>
      <c r="L463" s="3"/>
      <c r="M463" s="3"/>
      <c r="N463" s="3"/>
      <c r="O463" s="3"/>
      <c r="P463" s="3"/>
      <c r="Q463" s="3"/>
      <c r="R463" s="3"/>
      <c r="S463" s="3"/>
      <c r="T463" s="3"/>
      <c r="U463" s="3"/>
      <c r="V463" s="3"/>
      <c r="W463" s="3"/>
      <c r="X463" s="3"/>
      <c r="Y463" s="3"/>
      <c r="Z463" s="3"/>
    </row>
    <row r="464">
      <c r="A464" s="57"/>
      <c r="B464" s="57"/>
      <c r="C464" s="57"/>
      <c r="D464" s="3"/>
      <c r="E464" s="3"/>
      <c r="F464" s="3"/>
      <c r="G464" s="3"/>
      <c r="H464" s="3"/>
      <c r="I464" s="3"/>
      <c r="J464" s="3"/>
      <c r="K464" s="3"/>
      <c r="L464" s="3"/>
      <c r="M464" s="3"/>
      <c r="N464" s="3"/>
      <c r="O464" s="3"/>
      <c r="P464" s="3"/>
      <c r="Q464" s="3"/>
      <c r="R464" s="3"/>
      <c r="S464" s="3"/>
      <c r="T464" s="3"/>
      <c r="U464" s="3"/>
      <c r="V464" s="3"/>
      <c r="W464" s="3"/>
      <c r="X464" s="3"/>
      <c r="Y464" s="3"/>
      <c r="Z464" s="3"/>
    </row>
    <row r="465">
      <c r="A465" s="57"/>
      <c r="B465" s="57"/>
      <c r="C465" s="57"/>
      <c r="D465" s="3"/>
      <c r="E465" s="3"/>
      <c r="F465" s="3"/>
      <c r="G465" s="3"/>
      <c r="H465" s="3"/>
      <c r="I465" s="3"/>
      <c r="J465" s="3"/>
      <c r="K465" s="3"/>
      <c r="L465" s="3"/>
      <c r="M465" s="3"/>
      <c r="N465" s="3"/>
      <c r="O465" s="3"/>
      <c r="P465" s="3"/>
      <c r="Q465" s="3"/>
      <c r="R465" s="3"/>
      <c r="S465" s="3"/>
      <c r="T465" s="3"/>
      <c r="U465" s="3"/>
      <c r="V465" s="3"/>
      <c r="W465" s="3"/>
      <c r="X465" s="3"/>
      <c r="Y465" s="3"/>
      <c r="Z465" s="3"/>
    </row>
    <row r="466">
      <c r="A466" s="57"/>
      <c r="B466" s="57"/>
      <c r="C466" s="57"/>
      <c r="D466" s="3"/>
      <c r="E466" s="3"/>
      <c r="F466" s="3"/>
      <c r="G466" s="3"/>
      <c r="H466" s="3"/>
      <c r="I466" s="3"/>
      <c r="J466" s="3"/>
      <c r="K466" s="3"/>
      <c r="L466" s="3"/>
      <c r="M466" s="3"/>
      <c r="N466" s="3"/>
      <c r="O466" s="3"/>
      <c r="P466" s="3"/>
      <c r="Q466" s="3"/>
      <c r="R466" s="3"/>
      <c r="S466" s="3"/>
      <c r="T466" s="3"/>
      <c r="U466" s="3"/>
      <c r="V466" s="3"/>
      <c r="W466" s="3"/>
      <c r="X466" s="3"/>
      <c r="Y466" s="3"/>
      <c r="Z466" s="3"/>
    </row>
    <row r="467">
      <c r="A467" s="57"/>
      <c r="B467" s="57"/>
      <c r="C467" s="57"/>
      <c r="D467" s="3"/>
      <c r="E467" s="3"/>
      <c r="F467" s="3"/>
      <c r="G467" s="3"/>
      <c r="H467" s="3"/>
      <c r="I467" s="3"/>
      <c r="J467" s="3"/>
      <c r="K467" s="3"/>
      <c r="L467" s="3"/>
      <c r="M467" s="3"/>
      <c r="N467" s="3"/>
      <c r="O467" s="3"/>
      <c r="P467" s="3"/>
      <c r="Q467" s="3"/>
      <c r="R467" s="3"/>
      <c r="S467" s="3"/>
      <c r="T467" s="3"/>
      <c r="U467" s="3"/>
      <c r="V467" s="3"/>
      <c r="W467" s="3"/>
      <c r="X467" s="3"/>
      <c r="Y467" s="3"/>
      <c r="Z467" s="3"/>
    </row>
    <row r="468">
      <c r="A468" s="57"/>
      <c r="B468" s="57"/>
      <c r="C468" s="57"/>
      <c r="D468" s="3"/>
      <c r="E468" s="3"/>
      <c r="F468" s="3"/>
      <c r="G468" s="3"/>
      <c r="H468" s="3"/>
      <c r="I468" s="3"/>
      <c r="J468" s="3"/>
      <c r="K468" s="3"/>
      <c r="L468" s="3"/>
      <c r="M468" s="3"/>
      <c r="N468" s="3"/>
      <c r="O468" s="3"/>
      <c r="P468" s="3"/>
      <c r="Q468" s="3"/>
      <c r="R468" s="3"/>
      <c r="S468" s="3"/>
      <c r="T468" s="3"/>
      <c r="U468" s="3"/>
      <c r="V468" s="3"/>
      <c r="W468" s="3"/>
      <c r="X468" s="3"/>
      <c r="Y468" s="3"/>
      <c r="Z468" s="3"/>
    </row>
    <row r="469">
      <c r="A469" s="57"/>
      <c r="B469" s="57"/>
      <c r="C469" s="57"/>
      <c r="D469" s="3"/>
      <c r="E469" s="3"/>
      <c r="F469" s="3"/>
      <c r="G469" s="3"/>
      <c r="H469" s="3"/>
      <c r="I469" s="3"/>
      <c r="J469" s="3"/>
      <c r="K469" s="3"/>
      <c r="L469" s="3"/>
      <c r="M469" s="3"/>
      <c r="N469" s="3"/>
      <c r="O469" s="3"/>
      <c r="P469" s="3"/>
      <c r="Q469" s="3"/>
      <c r="R469" s="3"/>
      <c r="S469" s="3"/>
      <c r="T469" s="3"/>
      <c r="U469" s="3"/>
      <c r="V469" s="3"/>
      <c r="W469" s="3"/>
      <c r="X469" s="3"/>
      <c r="Y469" s="3"/>
      <c r="Z469" s="3"/>
    </row>
    <row r="470">
      <c r="A470" s="57"/>
      <c r="B470" s="57"/>
      <c r="C470" s="57"/>
      <c r="D470" s="3"/>
      <c r="E470" s="3"/>
      <c r="F470" s="3"/>
      <c r="G470" s="3"/>
      <c r="H470" s="3"/>
      <c r="I470" s="3"/>
      <c r="J470" s="3"/>
      <c r="K470" s="3"/>
      <c r="L470" s="3"/>
      <c r="M470" s="3"/>
      <c r="N470" s="3"/>
      <c r="O470" s="3"/>
      <c r="P470" s="3"/>
      <c r="Q470" s="3"/>
      <c r="R470" s="3"/>
      <c r="S470" s="3"/>
      <c r="T470" s="3"/>
      <c r="U470" s="3"/>
      <c r="V470" s="3"/>
      <c r="W470" s="3"/>
      <c r="X470" s="3"/>
      <c r="Y470" s="3"/>
      <c r="Z470" s="3"/>
    </row>
    <row r="471">
      <c r="A471" s="57"/>
      <c r="B471" s="57"/>
      <c r="C471" s="57"/>
      <c r="D471" s="3"/>
      <c r="E471" s="3"/>
      <c r="F471" s="3"/>
      <c r="G471" s="3"/>
      <c r="H471" s="3"/>
      <c r="I471" s="3"/>
      <c r="J471" s="3"/>
      <c r="K471" s="3"/>
      <c r="L471" s="3"/>
      <c r="M471" s="3"/>
      <c r="N471" s="3"/>
      <c r="O471" s="3"/>
      <c r="P471" s="3"/>
      <c r="Q471" s="3"/>
      <c r="R471" s="3"/>
      <c r="S471" s="3"/>
      <c r="T471" s="3"/>
      <c r="U471" s="3"/>
      <c r="V471" s="3"/>
      <c r="W471" s="3"/>
      <c r="X471" s="3"/>
      <c r="Y471" s="3"/>
      <c r="Z471" s="3"/>
    </row>
    <row r="472">
      <c r="A472" s="57"/>
      <c r="B472" s="57"/>
      <c r="C472" s="57"/>
      <c r="D472" s="3"/>
      <c r="E472" s="3"/>
      <c r="F472" s="3"/>
      <c r="G472" s="3"/>
      <c r="H472" s="3"/>
      <c r="I472" s="3"/>
      <c r="J472" s="3"/>
      <c r="K472" s="3"/>
      <c r="L472" s="3"/>
      <c r="M472" s="3"/>
      <c r="N472" s="3"/>
      <c r="O472" s="3"/>
      <c r="P472" s="3"/>
      <c r="Q472" s="3"/>
      <c r="R472" s="3"/>
      <c r="S472" s="3"/>
      <c r="T472" s="3"/>
      <c r="U472" s="3"/>
      <c r="V472" s="3"/>
      <c r="W472" s="3"/>
      <c r="X472" s="3"/>
      <c r="Y472" s="3"/>
      <c r="Z472" s="3"/>
    </row>
    <row r="473">
      <c r="A473" s="57"/>
      <c r="B473" s="57"/>
      <c r="C473" s="57"/>
      <c r="D473" s="3"/>
      <c r="E473" s="3"/>
      <c r="F473" s="3"/>
      <c r="G473" s="3"/>
      <c r="H473" s="3"/>
      <c r="I473" s="3"/>
      <c r="J473" s="3"/>
      <c r="K473" s="3"/>
      <c r="L473" s="3"/>
      <c r="M473" s="3"/>
      <c r="N473" s="3"/>
      <c r="O473" s="3"/>
      <c r="P473" s="3"/>
      <c r="Q473" s="3"/>
      <c r="R473" s="3"/>
      <c r="S473" s="3"/>
      <c r="T473" s="3"/>
      <c r="U473" s="3"/>
      <c r="V473" s="3"/>
      <c r="W473" s="3"/>
      <c r="X473" s="3"/>
      <c r="Y473" s="3"/>
      <c r="Z473" s="3"/>
    </row>
    <row r="474">
      <c r="A474" s="57"/>
      <c r="B474" s="57"/>
      <c r="C474" s="57"/>
      <c r="D474" s="3"/>
      <c r="E474" s="3"/>
      <c r="F474" s="3"/>
      <c r="G474" s="3"/>
      <c r="H474" s="3"/>
      <c r="I474" s="3"/>
      <c r="J474" s="3"/>
      <c r="K474" s="3"/>
      <c r="L474" s="3"/>
      <c r="M474" s="3"/>
      <c r="N474" s="3"/>
      <c r="O474" s="3"/>
      <c r="P474" s="3"/>
      <c r="Q474" s="3"/>
      <c r="R474" s="3"/>
      <c r="S474" s="3"/>
      <c r="T474" s="3"/>
      <c r="U474" s="3"/>
      <c r="V474" s="3"/>
      <c r="W474" s="3"/>
      <c r="X474" s="3"/>
      <c r="Y474" s="3"/>
      <c r="Z474" s="3"/>
    </row>
    <row r="475">
      <c r="A475" s="57"/>
      <c r="B475" s="57"/>
      <c r="C475" s="57"/>
      <c r="D475" s="3"/>
      <c r="E475" s="3"/>
      <c r="F475" s="3"/>
      <c r="G475" s="3"/>
      <c r="H475" s="3"/>
      <c r="I475" s="3"/>
      <c r="J475" s="3"/>
      <c r="K475" s="3"/>
      <c r="L475" s="3"/>
      <c r="M475" s="3"/>
      <c r="N475" s="3"/>
      <c r="O475" s="3"/>
      <c r="P475" s="3"/>
      <c r="Q475" s="3"/>
      <c r="R475" s="3"/>
      <c r="S475" s="3"/>
      <c r="T475" s="3"/>
      <c r="U475" s="3"/>
      <c r="V475" s="3"/>
      <c r="W475" s="3"/>
      <c r="X475" s="3"/>
      <c r="Y475" s="3"/>
      <c r="Z475" s="3"/>
    </row>
    <row r="476">
      <c r="A476" s="57"/>
      <c r="B476" s="57"/>
      <c r="C476" s="57"/>
      <c r="D476" s="3"/>
      <c r="E476" s="3"/>
      <c r="F476" s="3"/>
      <c r="G476" s="3"/>
      <c r="H476" s="3"/>
      <c r="I476" s="3"/>
      <c r="J476" s="3"/>
      <c r="K476" s="3"/>
      <c r="L476" s="3"/>
      <c r="M476" s="3"/>
      <c r="N476" s="3"/>
      <c r="O476" s="3"/>
      <c r="P476" s="3"/>
      <c r="Q476" s="3"/>
      <c r="R476" s="3"/>
      <c r="S476" s="3"/>
      <c r="T476" s="3"/>
      <c r="U476" s="3"/>
      <c r="V476" s="3"/>
      <c r="W476" s="3"/>
      <c r="X476" s="3"/>
      <c r="Y476" s="3"/>
      <c r="Z476" s="3"/>
    </row>
    <row r="477">
      <c r="A477" s="57"/>
      <c r="B477" s="57"/>
      <c r="C477" s="57"/>
      <c r="D477" s="3"/>
      <c r="E477" s="3"/>
      <c r="F477" s="3"/>
      <c r="G477" s="3"/>
      <c r="H477" s="3"/>
      <c r="I477" s="3"/>
      <c r="J477" s="3"/>
      <c r="K477" s="3"/>
      <c r="L477" s="3"/>
      <c r="M477" s="3"/>
      <c r="N477" s="3"/>
      <c r="O477" s="3"/>
      <c r="P477" s="3"/>
      <c r="Q477" s="3"/>
      <c r="R477" s="3"/>
      <c r="S477" s="3"/>
      <c r="T477" s="3"/>
      <c r="U477" s="3"/>
      <c r="V477" s="3"/>
      <c r="W477" s="3"/>
      <c r="X477" s="3"/>
      <c r="Y477" s="3"/>
      <c r="Z477" s="3"/>
    </row>
    <row r="478">
      <c r="A478" s="57"/>
      <c r="B478" s="57"/>
      <c r="C478" s="57"/>
      <c r="D478" s="3"/>
      <c r="E478" s="3"/>
      <c r="F478" s="3"/>
      <c r="G478" s="3"/>
      <c r="H478" s="3"/>
      <c r="I478" s="3"/>
      <c r="J478" s="3"/>
      <c r="K478" s="3"/>
      <c r="L478" s="3"/>
      <c r="M478" s="3"/>
      <c r="N478" s="3"/>
      <c r="O478" s="3"/>
      <c r="P478" s="3"/>
      <c r="Q478" s="3"/>
      <c r="R478" s="3"/>
      <c r="S478" s="3"/>
      <c r="T478" s="3"/>
      <c r="U478" s="3"/>
      <c r="V478" s="3"/>
      <c r="W478" s="3"/>
      <c r="X478" s="3"/>
      <c r="Y478" s="3"/>
      <c r="Z478" s="3"/>
    </row>
    <row r="479">
      <c r="A479" s="57"/>
      <c r="B479" s="57"/>
      <c r="C479" s="57"/>
      <c r="D479" s="3"/>
      <c r="E479" s="3"/>
      <c r="F479" s="3"/>
      <c r="G479" s="3"/>
      <c r="H479" s="3"/>
      <c r="I479" s="3"/>
      <c r="J479" s="3"/>
      <c r="K479" s="3"/>
      <c r="L479" s="3"/>
      <c r="M479" s="3"/>
      <c r="N479" s="3"/>
      <c r="O479" s="3"/>
      <c r="P479" s="3"/>
      <c r="Q479" s="3"/>
      <c r="R479" s="3"/>
      <c r="S479" s="3"/>
      <c r="T479" s="3"/>
      <c r="U479" s="3"/>
      <c r="V479" s="3"/>
      <c r="W479" s="3"/>
      <c r="X479" s="3"/>
      <c r="Y479" s="3"/>
      <c r="Z479" s="3"/>
    </row>
    <row r="480">
      <c r="A480" s="57"/>
      <c r="B480" s="57"/>
      <c r="C480" s="57"/>
      <c r="D480" s="3"/>
      <c r="E480" s="3"/>
      <c r="F480" s="3"/>
      <c r="G480" s="3"/>
      <c r="H480" s="3"/>
      <c r="I480" s="3"/>
      <c r="J480" s="3"/>
      <c r="K480" s="3"/>
      <c r="L480" s="3"/>
      <c r="M480" s="3"/>
      <c r="N480" s="3"/>
      <c r="O480" s="3"/>
      <c r="P480" s="3"/>
      <c r="Q480" s="3"/>
      <c r="R480" s="3"/>
      <c r="S480" s="3"/>
      <c r="T480" s="3"/>
      <c r="U480" s="3"/>
      <c r="V480" s="3"/>
      <c r="W480" s="3"/>
      <c r="X480" s="3"/>
      <c r="Y480" s="3"/>
      <c r="Z480" s="3"/>
    </row>
    <row r="481">
      <c r="A481" s="57"/>
      <c r="B481" s="57"/>
      <c r="C481" s="57"/>
      <c r="D481" s="3"/>
      <c r="E481" s="3"/>
      <c r="F481" s="3"/>
      <c r="G481" s="3"/>
      <c r="H481" s="3"/>
      <c r="I481" s="3"/>
      <c r="J481" s="3"/>
      <c r="K481" s="3"/>
      <c r="L481" s="3"/>
      <c r="M481" s="3"/>
      <c r="N481" s="3"/>
      <c r="O481" s="3"/>
      <c r="P481" s="3"/>
      <c r="Q481" s="3"/>
      <c r="R481" s="3"/>
      <c r="S481" s="3"/>
      <c r="T481" s="3"/>
      <c r="U481" s="3"/>
      <c r="V481" s="3"/>
      <c r="W481" s="3"/>
      <c r="X481" s="3"/>
      <c r="Y481" s="3"/>
      <c r="Z481" s="3"/>
    </row>
    <row r="482">
      <c r="A482" s="57"/>
      <c r="B482" s="57"/>
      <c r="C482" s="57"/>
      <c r="D482" s="3"/>
      <c r="E482" s="3"/>
      <c r="F482" s="3"/>
      <c r="G482" s="3"/>
      <c r="H482" s="3"/>
      <c r="I482" s="3"/>
      <c r="J482" s="3"/>
      <c r="K482" s="3"/>
      <c r="L482" s="3"/>
      <c r="M482" s="3"/>
      <c r="N482" s="3"/>
      <c r="O482" s="3"/>
      <c r="P482" s="3"/>
      <c r="Q482" s="3"/>
      <c r="R482" s="3"/>
      <c r="S482" s="3"/>
      <c r="T482" s="3"/>
      <c r="U482" s="3"/>
      <c r="V482" s="3"/>
      <c r="W482" s="3"/>
      <c r="X482" s="3"/>
      <c r="Y482" s="3"/>
      <c r="Z482" s="3"/>
    </row>
    <row r="483">
      <c r="A483" s="57"/>
      <c r="B483" s="57"/>
      <c r="C483" s="57"/>
      <c r="D483" s="3"/>
      <c r="E483" s="3"/>
      <c r="F483" s="3"/>
      <c r="G483" s="3"/>
      <c r="H483" s="3"/>
      <c r="I483" s="3"/>
      <c r="J483" s="3"/>
      <c r="K483" s="3"/>
      <c r="L483" s="3"/>
      <c r="M483" s="3"/>
      <c r="N483" s="3"/>
      <c r="O483" s="3"/>
      <c r="P483" s="3"/>
      <c r="Q483" s="3"/>
      <c r="R483" s="3"/>
      <c r="S483" s="3"/>
      <c r="T483" s="3"/>
      <c r="U483" s="3"/>
      <c r="V483" s="3"/>
      <c r="W483" s="3"/>
      <c r="X483" s="3"/>
      <c r="Y483" s="3"/>
      <c r="Z483" s="3"/>
    </row>
    <row r="484">
      <c r="A484" s="57"/>
      <c r="B484" s="57"/>
      <c r="C484" s="57"/>
      <c r="D484" s="3"/>
      <c r="E484" s="3"/>
      <c r="F484" s="3"/>
      <c r="G484" s="3"/>
      <c r="H484" s="3"/>
      <c r="I484" s="3"/>
      <c r="J484" s="3"/>
      <c r="K484" s="3"/>
      <c r="L484" s="3"/>
      <c r="M484" s="3"/>
      <c r="N484" s="3"/>
      <c r="O484" s="3"/>
      <c r="P484" s="3"/>
      <c r="Q484" s="3"/>
      <c r="R484" s="3"/>
      <c r="S484" s="3"/>
      <c r="T484" s="3"/>
      <c r="U484" s="3"/>
      <c r="V484" s="3"/>
      <c r="W484" s="3"/>
      <c r="X484" s="3"/>
      <c r="Y484" s="3"/>
      <c r="Z484" s="3"/>
    </row>
    <row r="485">
      <c r="A485" s="57"/>
      <c r="B485" s="57"/>
      <c r="C485" s="57"/>
      <c r="D485" s="3"/>
      <c r="E485" s="3"/>
      <c r="F485" s="3"/>
      <c r="G485" s="3"/>
      <c r="H485" s="3"/>
      <c r="I485" s="3"/>
      <c r="J485" s="3"/>
      <c r="K485" s="3"/>
      <c r="L485" s="3"/>
      <c r="M485" s="3"/>
      <c r="N485" s="3"/>
      <c r="O485" s="3"/>
      <c r="P485" s="3"/>
      <c r="Q485" s="3"/>
      <c r="R485" s="3"/>
      <c r="S485" s="3"/>
      <c r="T485" s="3"/>
      <c r="U485" s="3"/>
      <c r="V485" s="3"/>
      <c r="W485" s="3"/>
      <c r="X485" s="3"/>
      <c r="Y485" s="3"/>
      <c r="Z485" s="3"/>
    </row>
    <row r="486">
      <c r="A486" s="57"/>
      <c r="B486" s="57"/>
      <c r="C486" s="57"/>
      <c r="D486" s="3"/>
      <c r="E486" s="3"/>
      <c r="F486" s="3"/>
      <c r="G486" s="3"/>
      <c r="H486" s="3"/>
      <c r="I486" s="3"/>
      <c r="J486" s="3"/>
      <c r="K486" s="3"/>
      <c r="L486" s="3"/>
      <c r="M486" s="3"/>
      <c r="N486" s="3"/>
      <c r="O486" s="3"/>
      <c r="P486" s="3"/>
      <c r="Q486" s="3"/>
      <c r="R486" s="3"/>
      <c r="S486" s="3"/>
      <c r="T486" s="3"/>
      <c r="U486" s="3"/>
      <c r="V486" s="3"/>
      <c r="W486" s="3"/>
      <c r="X486" s="3"/>
      <c r="Y486" s="3"/>
      <c r="Z486" s="3"/>
    </row>
    <row r="487">
      <c r="A487" s="57"/>
      <c r="B487" s="57"/>
      <c r="C487" s="57"/>
      <c r="D487" s="3"/>
      <c r="E487" s="3"/>
      <c r="F487" s="3"/>
      <c r="G487" s="3"/>
      <c r="H487" s="3"/>
      <c r="I487" s="3"/>
      <c r="J487" s="3"/>
      <c r="K487" s="3"/>
      <c r="L487" s="3"/>
      <c r="M487" s="3"/>
      <c r="N487" s="3"/>
      <c r="O487" s="3"/>
      <c r="P487" s="3"/>
      <c r="Q487" s="3"/>
      <c r="R487" s="3"/>
      <c r="S487" s="3"/>
      <c r="T487" s="3"/>
      <c r="U487" s="3"/>
      <c r="V487" s="3"/>
      <c r="W487" s="3"/>
      <c r="X487" s="3"/>
      <c r="Y487" s="3"/>
      <c r="Z487" s="3"/>
    </row>
    <row r="488">
      <c r="A488" s="57"/>
      <c r="B488" s="57"/>
      <c r="C488" s="57"/>
      <c r="D488" s="3"/>
      <c r="E488" s="3"/>
      <c r="F488" s="3"/>
      <c r="G488" s="3"/>
      <c r="H488" s="3"/>
      <c r="I488" s="3"/>
      <c r="J488" s="3"/>
      <c r="K488" s="3"/>
      <c r="L488" s="3"/>
      <c r="M488" s="3"/>
      <c r="N488" s="3"/>
      <c r="O488" s="3"/>
      <c r="P488" s="3"/>
      <c r="Q488" s="3"/>
      <c r="R488" s="3"/>
      <c r="S488" s="3"/>
      <c r="T488" s="3"/>
      <c r="U488" s="3"/>
      <c r="V488" s="3"/>
      <c r="W488" s="3"/>
      <c r="X488" s="3"/>
      <c r="Y488" s="3"/>
      <c r="Z488" s="3"/>
    </row>
    <row r="489">
      <c r="A489" s="57"/>
      <c r="B489" s="57"/>
      <c r="C489" s="57"/>
      <c r="D489" s="3"/>
      <c r="E489" s="3"/>
      <c r="F489" s="3"/>
      <c r="G489" s="3"/>
      <c r="H489" s="3"/>
      <c r="I489" s="3"/>
      <c r="J489" s="3"/>
      <c r="K489" s="3"/>
      <c r="L489" s="3"/>
      <c r="M489" s="3"/>
      <c r="N489" s="3"/>
      <c r="O489" s="3"/>
      <c r="P489" s="3"/>
      <c r="Q489" s="3"/>
      <c r="R489" s="3"/>
      <c r="S489" s="3"/>
      <c r="T489" s="3"/>
      <c r="U489" s="3"/>
      <c r="V489" s="3"/>
      <c r="W489" s="3"/>
      <c r="X489" s="3"/>
      <c r="Y489" s="3"/>
      <c r="Z489" s="3"/>
    </row>
    <row r="490">
      <c r="A490" s="57"/>
      <c r="B490" s="57"/>
      <c r="C490" s="57"/>
      <c r="D490" s="3"/>
      <c r="E490" s="3"/>
      <c r="F490" s="3"/>
      <c r="G490" s="3"/>
      <c r="H490" s="3"/>
      <c r="I490" s="3"/>
      <c r="J490" s="3"/>
      <c r="K490" s="3"/>
      <c r="L490" s="3"/>
      <c r="M490" s="3"/>
      <c r="N490" s="3"/>
      <c r="O490" s="3"/>
      <c r="P490" s="3"/>
      <c r="Q490" s="3"/>
      <c r="R490" s="3"/>
      <c r="S490" s="3"/>
      <c r="T490" s="3"/>
      <c r="U490" s="3"/>
      <c r="V490" s="3"/>
      <c r="W490" s="3"/>
      <c r="X490" s="3"/>
      <c r="Y490" s="3"/>
      <c r="Z490" s="3"/>
    </row>
    <row r="491">
      <c r="A491" s="57"/>
      <c r="B491" s="57"/>
      <c r="C491" s="57"/>
      <c r="D491" s="3"/>
      <c r="E491" s="3"/>
      <c r="F491" s="3"/>
      <c r="G491" s="3"/>
      <c r="H491" s="3"/>
      <c r="I491" s="3"/>
      <c r="J491" s="3"/>
      <c r="K491" s="3"/>
      <c r="L491" s="3"/>
      <c r="M491" s="3"/>
      <c r="N491" s="3"/>
      <c r="O491" s="3"/>
      <c r="P491" s="3"/>
      <c r="Q491" s="3"/>
      <c r="R491" s="3"/>
      <c r="S491" s="3"/>
      <c r="T491" s="3"/>
      <c r="U491" s="3"/>
      <c r="V491" s="3"/>
      <c r="W491" s="3"/>
      <c r="X491" s="3"/>
      <c r="Y491" s="3"/>
      <c r="Z491" s="3"/>
    </row>
    <row r="492">
      <c r="A492" s="57"/>
      <c r="B492" s="57"/>
      <c r="C492" s="57"/>
      <c r="D492" s="3"/>
      <c r="E492" s="3"/>
      <c r="F492" s="3"/>
      <c r="G492" s="3"/>
      <c r="H492" s="3"/>
      <c r="I492" s="3"/>
      <c r="J492" s="3"/>
      <c r="K492" s="3"/>
      <c r="L492" s="3"/>
      <c r="M492" s="3"/>
      <c r="N492" s="3"/>
      <c r="O492" s="3"/>
      <c r="P492" s="3"/>
      <c r="Q492" s="3"/>
      <c r="R492" s="3"/>
      <c r="S492" s="3"/>
      <c r="T492" s="3"/>
      <c r="U492" s="3"/>
      <c r="V492" s="3"/>
      <c r="W492" s="3"/>
      <c r="X492" s="3"/>
      <c r="Y492" s="3"/>
      <c r="Z492" s="3"/>
    </row>
    <row r="493">
      <c r="A493" s="57"/>
      <c r="B493" s="57"/>
      <c r="C493" s="57"/>
      <c r="D493" s="3"/>
      <c r="E493" s="3"/>
      <c r="F493" s="3"/>
      <c r="G493" s="3"/>
      <c r="H493" s="3"/>
      <c r="I493" s="3"/>
      <c r="J493" s="3"/>
      <c r="K493" s="3"/>
      <c r="L493" s="3"/>
      <c r="M493" s="3"/>
      <c r="N493" s="3"/>
      <c r="O493" s="3"/>
      <c r="P493" s="3"/>
      <c r="Q493" s="3"/>
      <c r="R493" s="3"/>
      <c r="S493" s="3"/>
      <c r="T493" s="3"/>
      <c r="U493" s="3"/>
      <c r="V493" s="3"/>
      <c r="W493" s="3"/>
      <c r="X493" s="3"/>
      <c r="Y493" s="3"/>
      <c r="Z493" s="3"/>
    </row>
    <row r="494">
      <c r="A494" s="57"/>
      <c r="B494" s="57"/>
      <c r="C494" s="57"/>
      <c r="D494" s="3"/>
      <c r="E494" s="3"/>
      <c r="F494" s="3"/>
      <c r="G494" s="3"/>
      <c r="H494" s="3"/>
      <c r="I494" s="3"/>
      <c r="J494" s="3"/>
      <c r="K494" s="3"/>
      <c r="L494" s="3"/>
      <c r="M494" s="3"/>
      <c r="N494" s="3"/>
      <c r="O494" s="3"/>
      <c r="P494" s="3"/>
      <c r="Q494" s="3"/>
      <c r="R494" s="3"/>
      <c r="S494" s="3"/>
      <c r="T494" s="3"/>
      <c r="U494" s="3"/>
      <c r="V494" s="3"/>
      <c r="W494" s="3"/>
      <c r="X494" s="3"/>
      <c r="Y494" s="3"/>
      <c r="Z494" s="3"/>
    </row>
    <row r="495">
      <c r="A495" s="57"/>
      <c r="B495" s="57"/>
      <c r="C495" s="57"/>
      <c r="D495" s="3"/>
      <c r="E495" s="3"/>
      <c r="F495" s="3"/>
      <c r="G495" s="3"/>
      <c r="H495" s="3"/>
      <c r="I495" s="3"/>
      <c r="J495" s="3"/>
      <c r="K495" s="3"/>
      <c r="L495" s="3"/>
      <c r="M495" s="3"/>
      <c r="N495" s="3"/>
      <c r="O495" s="3"/>
      <c r="P495" s="3"/>
      <c r="Q495" s="3"/>
      <c r="R495" s="3"/>
      <c r="S495" s="3"/>
      <c r="T495" s="3"/>
      <c r="U495" s="3"/>
      <c r="V495" s="3"/>
      <c r="W495" s="3"/>
      <c r="X495" s="3"/>
      <c r="Y495" s="3"/>
      <c r="Z495" s="3"/>
    </row>
    <row r="496">
      <c r="A496" s="57"/>
      <c r="B496" s="57"/>
      <c r="C496" s="57"/>
      <c r="D496" s="3"/>
      <c r="E496" s="3"/>
      <c r="F496" s="3"/>
      <c r="G496" s="3"/>
      <c r="H496" s="3"/>
      <c r="I496" s="3"/>
      <c r="J496" s="3"/>
      <c r="K496" s="3"/>
      <c r="L496" s="3"/>
      <c r="M496" s="3"/>
      <c r="N496" s="3"/>
      <c r="O496" s="3"/>
      <c r="P496" s="3"/>
      <c r="Q496" s="3"/>
      <c r="R496" s="3"/>
      <c r="S496" s="3"/>
      <c r="T496" s="3"/>
      <c r="U496" s="3"/>
      <c r="V496" s="3"/>
      <c r="W496" s="3"/>
      <c r="X496" s="3"/>
      <c r="Y496" s="3"/>
      <c r="Z496" s="3"/>
    </row>
    <row r="497">
      <c r="A497" s="57"/>
      <c r="B497" s="57"/>
      <c r="C497" s="57"/>
      <c r="D497" s="3"/>
      <c r="E497" s="3"/>
      <c r="F497" s="3"/>
      <c r="G497" s="3"/>
      <c r="H497" s="3"/>
      <c r="I497" s="3"/>
      <c r="J497" s="3"/>
      <c r="K497" s="3"/>
      <c r="L497" s="3"/>
      <c r="M497" s="3"/>
      <c r="N497" s="3"/>
      <c r="O497" s="3"/>
      <c r="P497" s="3"/>
      <c r="Q497" s="3"/>
      <c r="R497" s="3"/>
      <c r="S497" s="3"/>
      <c r="T497" s="3"/>
      <c r="U497" s="3"/>
      <c r="V497" s="3"/>
      <c r="W497" s="3"/>
      <c r="X497" s="3"/>
      <c r="Y497" s="3"/>
      <c r="Z497" s="3"/>
    </row>
    <row r="498">
      <c r="A498" s="57"/>
      <c r="B498" s="57"/>
      <c r="C498" s="57"/>
      <c r="D498" s="3"/>
      <c r="E498" s="3"/>
      <c r="F498" s="3"/>
      <c r="G498" s="3"/>
      <c r="H498" s="3"/>
      <c r="I498" s="3"/>
      <c r="J498" s="3"/>
      <c r="K498" s="3"/>
      <c r="L498" s="3"/>
      <c r="M498" s="3"/>
      <c r="N498" s="3"/>
      <c r="O498" s="3"/>
      <c r="P498" s="3"/>
      <c r="Q498" s="3"/>
      <c r="R498" s="3"/>
      <c r="S498" s="3"/>
      <c r="T498" s="3"/>
      <c r="U498" s="3"/>
      <c r="V498" s="3"/>
      <c r="W498" s="3"/>
      <c r="X498" s="3"/>
      <c r="Y498" s="3"/>
      <c r="Z498" s="3"/>
    </row>
    <row r="499">
      <c r="A499" s="57"/>
      <c r="B499" s="57"/>
      <c r="C499" s="57"/>
      <c r="D499" s="3"/>
      <c r="E499" s="3"/>
      <c r="F499" s="3"/>
      <c r="G499" s="3"/>
      <c r="H499" s="3"/>
      <c r="I499" s="3"/>
      <c r="J499" s="3"/>
      <c r="K499" s="3"/>
      <c r="L499" s="3"/>
      <c r="M499" s="3"/>
      <c r="N499" s="3"/>
      <c r="O499" s="3"/>
      <c r="P499" s="3"/>
      <c r="Q499" s="3"/>
      <c r="R499" s="3"/>
      <c r="S499" s="3"/>
      <c r="T499" s="3"/>
      <c r="U499" s="3"/>
      <c r="V499" s="3"/>
      <c r="W499" s="3"/>
      <c r="X499" s="3"/>
      <c r="Y499" s="3"/>
      <c r="Z499" s="3"/>
    </row>
    <row r="500">
      <c r="A500" s="57"/>
      <c r="B500" s="57"/>
      <c r="C500" s="57"/>
      <c r="D500" s="3"/>
      <c r="E500" s="3"/>
      <c r="F500" s="3"/>
      <c r="G500" s="3"/>
      <c r="H500" s="3"/>
      <c r="I500" s="3"/>
      <c r="J500" s="3"/>
      <c r="K500" s="3"/>
      <c r="L500" s="3"/>
      <c r="M500" s="3"/>
      <c r="N500" s="3"/>
      <c r="O500" s="3"/>
      <c r="P500" s="3"/>
      <c r="Q500" s="3"/>
      <c r="R500" s="3"/>
      <c r="S500" s="3"/>
      <c r="T500" s="3"/>
      <c r="U500" s="3"/>
      <c r="V500" s="3"/>
      <c r="W500" s="3"/>
      <c r="X500" s="3"/>
      <c r="Y500" s="3"/>
      <c r="Z500" s="3"/>
    </row>
    <row r="501">
      <c r="A501" s="57"/>
      <c r="B501" s="57"/>
      <c r="C501" s="57"/>
      <c r="D501" s="3"/>
      <c r="E501" s="3"/>
      <c r="F501" s="3"/>
      <c r="G501" s="3"/>
      <c r="H501" s="3"/>
      <c r="I501" s="3"/>
      <c r="J501" s="3"/>
      <c r="K501" s="3"/>
      <c r="L501" s="3"/>
      <c r="M501" s="3"/>
      <c r="N501" s="3"/>
      <c r="O501" s="3"/>
      <c r="P501" s="3"/>
      <c r="Q501" s="3"/>
      <c r="R501" s="3"/>
      <c r="S501" s="3"/>
      <c r="T501" s="3"/>
      <c r="U501" s="3"/>
      <c r="V501" s="3"/>
      <c r="W501" s="3"/>
      <c r="X501" s="3"/>
      <c r="Y501" s="3"/>
      <c r="Z501" s="3"/>
    </row>
    <row r="502">
      <c r="A502" s="57"/>
      <c r="B502" s="57"/>
      <c r="C502" s="57"/>
      <c r="D502" s="3"/>
      <c r="E502" s="3"/>
      <c r="F502" s="3"/>
      <c r="G502" s="3"/>
      <c r="H502" s="3"/>
      <c r="I502" s="3"/>
      <c r="J502" s="3"/>
      <c r="K502" s="3"/>
      <c r="L502" s="3"/>
      <c r="M502" s="3"/>
      <c r="N502" s="3"/>
      <c r="O502" s="3"/>
      <c r="P502" s="3"/>
      <c r="Q502" s="3"/>
      <c r="R502" s="3"/>
      <c r="S502" s="3"/>
      <c r="T502" s="3"/>
      <c r="U502" s="3"/>
      <c r="V502" s="3"/>
      <c r="W502" s="3"/>
      <c r="X502" s="3"/>
      <c r="Y502" s="3"/>
      <c r="Z502" s="3"/>
    </row>
    <row r="503">
      <c r="A503" s="57"/>
      <c r="B503" s="57"/>
      <c r="C503" s="57"/>
      <c r="D503" s="3"/>
      <c r="E503" s="3"/>
      <c r="F503" s="3"/>
      <c r="G503" s="3"/>
      <c r="H503" s="3"/>
      <c r="I503" s="3"/>
      <c r="J503" s="3"/>
      <c r="K503" s="3"/>
      <c r="L503" s="3"/>
      <c r="M503" s="3"/>
      <c r="N503" s="3"/>
      <c r="O503" s="3"/>
      <c r="P503" s="3"/>
      <c r="Q503" s="3"/>
      <c r="R503" s="3"/>
      <c r="S503" s="3"/>
      <c r="T503" s="3"/>
      <c r="U503" s="3"/>
      <c r="V503" s="3"/>
      <c r="W503" s="3"/>
      <c r="X503" s="3"/>
      <c r="Y503" s="3"/>
      <c r="Z503" s="3"/>
    </row>
    <row r="504">
      <c r="A504" s="57"/>
      <c r="B504" s="57"/>
      <c r="C504" s="57"/>
      <c r="D504" s="3"/>
      <c r="E504" s="3"/>
      <c r="F504" s="3"/>
      <c r="G504" s="3"/>
      <c r="H504" s="3"/>
      <c r="I504" s="3"/>
      <c r="J504" s="3"/>
      <c r="K504" s="3"/>
      <c r="L504" s="3"/>
      <c r="M504" s="3"/>
      <c r="N504" s="3"/>
      <c r="O504" s="3"/>
      <c r="P504" s="3"/>
      <c r="Q504" s="3"/>
      <c r="R504" s="3"/>
      <c r="S504" s="3"/>
      <c r="T504" s="3"/>
      <c r="U504" s="3"/>
      <c r="V504" s="3"/>
      <c r="W504" s="3"/>
      <c r="X504" s="3"/>
      <c r="Y504" s="3"/>
      <c r="Z504" s="3"/>
    </row>
    <row r="505">
      <c r="A505" s="57"/>
      <c r="B505" s="57"/>
      <c r="C505" s="57"/>
      <c r="D505" s="3"/>
      <c r="E505" s="3"/>
      <c r="F505" s="3"/>
      <c r="G505" s="3"/>
      <c r="H505" s="3"/>
      <c r="I505" s="3"/>
      <c r="J505" s="3"/>
      <c r="K505" s="3"/>
      <c r="L505" s="3"/>
      <c r="M505" s="3"/>
      <c r="N505" s="3"/>
      <c r="O505" s="3"/>
      <c r="P505" s="3"/>
      <c r="Q505" s="3"/>
      <c r="R505" s="3"/>
      <c r="S505" s="3"/>
      <c r="T505" s="3"/>
      <c r="U505" s="3"/>
      <c r="V505" s="3"/>
      <c r="W505" s="3"/>
      <c r="X505" s="3"/>
      <c r="Y505" s="3"/>
      <c r="Z505" s="3"/>
    </row>
    <row r="506">
      <c r="A506" s="57"/>
      <c r="B506" s="57"/>
      <c r="C506" s="57"/>
      <c r="D506" s="3"/>
      <c r="E506" s="3"/>
      <c r="F506" s="3"/>
      <c r="G506" s="3"/>
      <c r="H506" s="3"/>
      <c r="I506" s="3"/>
      <c r="J506" s="3"/>
      <c r="K506" s="3"/>
      <c r="L506" s="3"/>
      <c r="M506" s="3"/>
      <c r="N506" s="3"/>
      <c r="O506" s="3"/>
      <c r="P506" s="3"/>
      <c r="Q506" s="3"/>
      <c r="R506" s="3"/>
      <c r="S506" s="3"/>
      <c r="T506" s="3"/>
      <c r="U506" s="3"/>
      <c r="V506" s="3"/>
      <c r="W506" s="3"/>
      <c r="X506" s="3"/>
      <c r="Y506" s="3"/>
      <c r="Z506" s="3"/>
    </row>
    <row r="507">
      <c r="A507" s="57"/>
      <c r="B507" s="57"/>
      <c r="C507" s="57"/>
      <c r="D507" s="3"/>
      <c r="E507" s="3"/>
      <c r="F507" s="3"/>
      <c r="G507" s="3"/>
      <c r="H507" s="3"/>
      <c r="I507" s="3"/>
      <c r="J507" s="3"/>
      <c r="K507" s="3"/>
      <c r="L507" s="3"/>
      <c r="M507" s="3"/>
      <c r="N507" s="3"/>
      <c r="O507" s="3"/>
      <c r="P507" s="3"/>
      <c r="Q507" s="3"/>
      <c r="R507" s="3"/>
      <c r="S507" s="3"/>
      <c r="T507" s="3"/>
      <c r="U507" s="3"/>
      <c r="V507" s="3"/>
      <c r="W507" s="3"/>
      <c r="X507" s="3"/>
      <c r="Y507" s="3"/>
      <c r="Z507" s="3"/>
    </row>
    <row r="508">
      <c r="A508" s="57"/>
      <c r="B508" s="57"/>
      <c r="C508" s="57"/>
      <c r="D508" s="3"/>
      <c r="E508" s="3"/>
      <c r="F508" s="3"/>
      <c r="G508" s="3"/>
      <c r="H508" s="3"/>
      <c r="I508" s="3"/>
      <c r="J508" s="3"/>
      <c r="K508" s="3"/>
      <c r="L508" s="3"/>
      <c r="M508" s="3"/>
      <c r="N508" s="3"/>
      <c r="O508" s="3"/>
      <c r="P508" s="3"/>
      <c r="Q508" s="3"/>
      <c r="R508" s="3"/>
      <c r="S508" s="3"/>
      <c r="T508" s="3"/>
      <c r="U508" s="3"/>
      <c r="V508" s="3"/>
      <c r="W508" s="3"/>
      <c r="X508" s="3"/>
      <c r="Y508" s="3"/>
      <c r="Z508" s="3"/>
    </row>
    <row r="509">
      <c r="A509" s="57"/>
      <c r="B509" s="57"/>
      <c r="C509" s="57"/>
      <c r="D509" s="3"/>
      <c r="E509" s="3"/>
      <c r="F509" s="3"/>
      <c r="G509" s="3"/>
      <c r="H509" s="3"/>
      <c r="I509" s="3"/>
      <c r="J509" s="3"/>
      <c r="K509" s="3"/>
      <c r="L509" s="3"/>
      <c r="M509" s="3"/>
      <c r="N509" s="3"/>
      <c r="O509" s="3"/>
      <c r="P509" s="3"/>
      <c r="Q509" s="3"/>
      <c r="R509" s="3"/>
      <c r="S509" s="3"/>
      <c r="T509" s="3"/>
      <c r="U509" s="3"/>
      <c r="V509" s="3"/>
      <c r="W509" s="3"/>
      <c r="X509" s="3"/>
      <c r="Y509" s="3"/>
      <c r="Z509" s="3"/>
    </row>
    <row r="510">
      <c r="A510" s="57"/>
      <c r="B510" s="57"/>
      <c r="C510" s="57"/>
      <c r="D510" s="3"/>
      <c r="E510" s="3"/>
      <c r="F510" s="3"/>
      <c r="G510" s="3"/>
      <c r="H510" s="3"/>
      <c r="I510" s="3"/>
      <c r="J510" s="3"/>
      <c r="K510" s="3"/>
      <c r="L510" s="3"/>
      <c r="M510" s="3"/>
      <c r="N510" s="3"/>
      <c r="O510" s="3"/>
      <c r="P510" s="3"/>
      <c r="Q510" s="3"/>
      <c r="R510" s="3"/>
      <c r="S510" s="3"/>
      <c r="T510" s="3"/>
      <c r="U510" s="3"/>
      <c r="V510" s="3"/>
      <c r="W510" s="3"/>
      <c r="X510" s="3"/>
      <c r="Y510" s="3"/>
      <c r="Z510" s="3"/>
    </row>
    <row r="511">
      <c r="A511" s="57"/>
      <c r="B511" s="57"/>
      <c r="C511" s="57"/>
      <c r="D511" s="3"/>
      <c r="E511" s="3"/>
      <c r="F511" s="3"/>
      <c r="G511" s="3"/>
      <c r="H511" s="3"/>
      <c r="I511" s="3"/>
      <c r="J511" s="3"/>
      <c r="K511" s="3"/>
      <c r="L511" s="3"/>
      <c r="M511" s="3"/>
      <c r="N511" s="3"/>
      <c r="O511" s="3"/>
      <c r="P511" s="3"/>
      <c r="Q511" s="3"/>
      <c r="R511" s="3"/>
      <c r="S511" s="3"/>
      <c r="T511" s="3"/>
      <c r="U511" s="3"/>
      <c r="V511" s="3"/>
      <c r="W511" s="3"/>
      <c r="X511" s="3"/>
      <c r="Y511" s="3"/>
      <c r="Z511" s="3"/>
    </row>
    <row r="512">
      <c r="A512" s="57"/>
      <c r="B512" s="57"/>
      <c r="C512" s="57"/>
      <c r="D512" s="3"/>
      <c r="E512" s="3"/>
      <c r="F512" s="3"/>
      <c r="G512" s="3"/>
      <c r="H512" s="3"/>
      <c r="I512" s="3"/>
      <c r="J512" s="3"/>
      <c r="K512" s="3"/>
      <c r="L512" s="3"/>
      <c r="M512" s="3"/>
      <c r="N512" s="3"/>
      <c r="O512" s="3"/>
      <c r="P512" s="3"/>
      <c r="Q512" s="3"/>
      <c r="R512" s="3"/>
      <c r="S512" s="3"/>
      <c r="T512" s="3"/>
      <c r="U512" s="3"/>
      <c r="V512" s="3"/>
      <c r="W512" s="3"/>
      <c r="X512" s="3"/>
      <c r="Y512" s="3"/>
      <c r="Z512" s="3"/>
    </row>
    <row r="513">
      <c r="A513" s="57"/>
      <c r="B513" s="57"/>
      <c r="C513" s="57"/>
      <c r="D513" s="3"/>
      <c r="E513" s="3"/>
      <c r="F513" s="3"/>
      <c r="G513" s="3"/>
      <c r="H513" s="3"/>
      <c r="I513" s="3"/>
      <c r="J513" s="3"/>
      <c r="K513" s="3"/>
      <c r="L513" s="3"/>
      <c r="M513" s="3"/>
      <c r="N513" s="3"/>
      <c r="O513" s="3"/>
      <c r="P513" s="3"/>
      <c r="Q513" s="3"/>
      <c r="R513" s="3"/>
      <c r="S513" s="3"/>
      <c r="T513" s="3"/>
      <c r="U513" s="3"/>
      <c r="V513" s="3"/>
      <c r="W513" s="3"/>
      <c r="X513" s="3"/>
      <c r="Y513" s="3"/>
      <c r="Z513" s="3"/>
    </row>
    <row r="514">
      <c r="A514" s="57"/>
      <c r="B514" s="57"/>
      <c r="C514" s="57"/>
      <c r="D514" s="3"/>
      <c r="E514" s="3"/>
      <c r="F514" s="3"/>
      <c r="G514" s="3"/>
      <c r="H514" s="3"/>
      <c r="I514" s="3"/>
      <c r="J514" s="3"/>
      <c r="K514" s="3"/>
      <c r="L514" s="3"/>
      <c r="M514" s="3"/>
      <c r="N514" s="3"/>
      <c r="O514" s="3"/>
      <c r="P514" s="3"/>
      <c r="Q514" s="3"/>
      <c r="R514" s="3"/>
      <c r="S514" s="3"/>
      <c r="T514" s="3"/>
      <c r="U514" s="3"/>
      <c r="V514" s="3"/>
      <c r="W514" s="3"/>
      <c r="X514" s="3"/>
      <c r="Y514" s="3"/>
      <c r="Z514" s="3"/>
    </row>
    <row r="515">
      <c r="A515" s="57"/>
      <c r="B515" s="57"/>
      <c r="C515" s="57"/>
      <c r="D515" s="3"/>
      <c r="E515" s="3"/>
      <c r="F515" s="3"/>
      <c r="G515" s="3"/>
      <c r="H515" s="3"/>
      <c r="I515" s="3"/>
      <c r="J515" s="3"/>
      <c r="K515" s="3"/>
      <c r="L515" s="3"/>
      <c r="M515" s="3"/>
      <c r="N515" s="3"/>
      <c r="O515" s="3"/>
      <c r="P515" s="3"/>
      <c r="Q515" s="3"/>
      <c r="R515" s="3"/>
      <c r="S515" s="3"/>
      <c r="T515" s="3"/>
      <c r="U515" s="3"/>
      <c r="V515" s="3"/>
      <c r="W515" s="3"/>
      <c r="X515" s="3"/>
      <c r="Y515" s="3"/>
      <c r="Z515" s="3"/>
    </row>
    <row r="516">
      <c r="A516" s="57"/>
      <c r="B516" s="57"/>
      <c r="C516" s="57"/>
      <c r="D516" s="3"/>
      <c r="E516" s="3"/>
      <c r="F516" s="3"/>
      <c r="G516" s="3"/>
      <c r="H516" s="3"/>
      <c r="I516" s="3"/>
      <c r="J516" s="3"/>
      <c r="K516" s="3"/>
      <c r="L516" s="3"/>
      <c r="M516" s="3"/>
      <c r="N516" s="3"/>
      <c r="O516" s="3"/>
      <c r="P516" s="3"/>
      <c r="Q516" s="3"/>
      <c r="R516" s="3"/>
      <c r="S516" s="3"/>
      <c r="T516" s="3"/>
      <c r="U516" s="3"/>
      <c r="V516" s="3"/>
      <c r="W516" s="3"/>
      <c r="X516" s="3"/>
      <c r="Y516" s="3"/>
      <c r="Z516" s="3"/>
    </row>
    <row r="517">
      <c r="A517" s="57"/>
      <c r="B517" s="57"/>
      <c r="C517" s="57"/>
      <c r="D517" s="3"/>
      <c r="E517" s="3"/>
      <c r="F517" s="3"/>
      <c r="G517" s="3"/>
      <c r="H517" s="3"/>
      <c r="I517" s="3"/>
      <c r="J517" s="3"/>
      <c r="K517" s="3"/>
      <c r="L517" s="3"/>
      <c r="M517" s="3"/>
      <c r="N517" s="3"/>
      <c r="O517" s="3"/>
      <c r="P517" s="3"/>
      <c r="Q517" s="3"/>
      <c r="R517" s="3"/>
      <c r="S517" s="3"/>
      <c r="T517" s="3"/>
      <c r="U517" s="3"/>
      <c r="V517" s="3"/>
      <c r="W517" s="3"/>
      <c r="X517" s="3"/>
      <c r="Y517" s="3"/>
      <c r="Z517" s="3"/>
    </row>
    <row r="518">
      <c r="A518" s="57"/>
      <c r="B518" s="57"/>
      <c r="C518" s="57"/>
      <c r="D518" s="3"/>
      <c r="E518" s="3"/>
      <c r="F518" s="3"/>
      <c r="G518" s="3"/>
      <c r="H518" s="3"/>
      <c r="I518" s="3"/>
      <c r="J518" s="3"/>
      <c r="K518" s="3"/>
      <c r="L518" s="3"/>
      <c r="M518" s="3"/>
      <c r="N518" s="3"/>
      <c r="O518" s="3"/>
      <c r="P518" s="3"/>
      <c r="Q518" s="3"/>
      <c r="R518" s="3"/>
      <c r="S518" s="3"/>
      <c r="T518" s="3"/>
      <c r="U518" s="3"/>
      <c r="V518" s="3"/>
      <c r="W518" s="3"/>
      <c r="X518" s="3"/>
      <c r="Y518" s="3"/>
      <c r="Z518" s="3"/>
    </row>
    <row r="519">
      <c r="A519" s="57"/>
      <c r="B519" s="57"/>
      <c r="C519" s="57"/>
      <c r="D519" s="3"/>
      <c r="E519" s="3"/>
      <c r="F519" s="3"/>
      <c r="G519" s="3"/>
      <c r="H519" s="3"/>
      <c r="I519" s="3"/>
      <c r="J519" s="3"/>
      <c r="K519" s="3"/>
      <c r="L519" s="3"/>
      <c r="M519" s="3"/>
      <c r="N519" s="3"/>
      <c r="O519" s="3"/>
      <c r="P519" s="3"/>
      <c r="Q519" s="3"/>
      <c r="R519" s="3"/>
      <c r="S519" s="3"/>
      <c r="T519" s="3"/>
      <c r="U519" s="3"/>
      <c r="V519" s="3"/>
      <c r="W519" s="3"/>
      <c r="X519" s="3"/>
      <c r="Y519" s="3"/>
      <c r="Z519" s="3"/>
    </row>
    <row r="520">
      <c r="A520" s="57"/>
      <c r="B520" s="57"/>
      <c r="C520" s="57"/>
      <c r="D520" s="3"/>
      <c r="E520" s="3"/>
      <c r="F520" s="3"/>
      <c r="G520" s="3"/>
      <c r="H520" s="3"/>
      <c r="I520" s="3"/>
      <c r="J520" s="3"/>
      <c r="K520" s="3"/>
      <c r="L520" s="3"/>
      <c r="M520" s="3"/>
      <c r="N520" s="3"/>
      <c r="O520" s="3"/>
      <c r="P520" s="3"/>
      <c r="Q520" s="3"/>
      <c r="R520" s="3"/>
      <c r="S520" s="3"/>
      <c r="T520" s="3"/>
      <c r="U520" s="3"/>
      <c r="V520" s="3"/>
      <c r="W520" s="3"/>
      <c r="X520" s="3"/>
      <c r="Y520" s="3"/>
      <c r="Z520" s="3"/>
    </row>
    <row r="521">
      <c r="A521" s="57"/>
      <c r="B521" s="57"/>
      <c r="C521" s="57"/>
      <c r="D521" s="3"/>
      <c r="E521" s="3"/>
      <c r="F521" s="3"/>
      <c r="G521" s="3"/>
      <c r="H521" s="3"/>
      <c r="I521" s="3"/>
      <c r="J521" s="3"/>
      <c r="K521" s="3"/>
      <c r="L521" s="3"/>
      <c r="M521" s="3"/>
      <c r="N521" s="3"/>
      <c r="O521" s="3"/>
      <c r="P521" s="3"/>
      <c r="Q521" s="3"/>
      <c r="R521" s="3"/>
      <c r="S521" s="3"/>
      <c r="T521" s="3"/>
      <c r="U521" s="3"/>
      <c r="V521" s="3"/>
      <c r="W521" s="3"/>
      <c r="X521" s="3"/>
      <c r="Y521" s="3"/>
      <c r="Z521" s="3"/>
    </row>
    <row r="522">
      <c r="A522" s="57"/>
      <c r="B522" s="57"/>
      <c r="C522" s="57"/>
      <c r="D522" s="3"/>
      <c r="E522" s="3"/>
      <c r="F522" s="3"/>
      <c r="G522" s="3"/>
      <c r="H522" s="3"/>
      <c r="I522" s="3"/>
      <c r="J522" s="3"/>
      <c r="K522" s="3"/>
      <c r="L522" s="3"/>
      <c r="M522" s="3"/>
      <c r="N522" s="3"/>
      <c r="O522" s="3"/>
      <c r="P522" s="3"/>
      <c r="Q522" s="3"/>
      <c r="R522" s="3"/>
      <c r="S522" s="3"/>
      <c r="T522" s="3"/>
      <c r="U522" s="3"/>
      <c r="V522" s="3"/>
      <c r="W522" s="3"/>
      <c r="X522" s="3"/>
      <c r="Y522" s="3"/>
      <c r="Z522" s="3"/>
    </row>
    <row r="523">
      <c r="A523" s="57"/>
      <c r="B523" s="57"/>
      <c r="C523" s="57"/>
      <c r="D523" s="3"/>
      <c r="E523" s="3"/>
      <c r="F523" s="3"/>
      <c r="G523" s="3"/>
      <c r="H523" s="3"/>
      <c r="I523" s="3"/>
      <c r="J523" s="3"/>
      <c r="K523" s="3"/>
      <c r="L523" s="3"/>
      <c r="M523" s="3"/>
      <c r="N523" s="3"/>
      <c r="O523" s="3"/>
      <c r="P523" s="3"/>
      <c r="Q523" s="3"/>
      <c r="R523" s="3"/>
      <c r="S523" s="3"/>
      <c r="T523" s="3"/>
      <c r="U523" s="3"/>
      <c r="V523" s="3"/>
      <c r="W523" s="3"/>
      <c r="X523" s="3"/>
      <c r="Y523" s="3"/>
      <c r="Z523" s="3"/>
    </row>
    <row r="524">
      <c r="A524" s="57"/>
      <c r="B524" s="57"/>
      <c r="C524" s="57"/>
      <c r="D524" s="3"/>
      <c r="E524" s="3"/>
      <c r="F524" s="3"/>
      <c r="G524" s="3"/>
      <c r="H524" s="3"/>
      <c r="I524" s="3"/>
      <c r="J524" s="3"/>
      <c r="K524" s="3"/>
      <c r="L524" s="3"/>
      <c r="M524" s="3"/>
      <c r="N524" s="3"/>
      <c r="O524" s="3"/>
      <c r="P524" s="3"/>
      <c r="Q524" s="3"/>
      <c r="R524" s="3"/>
      <c r="S524" s="3"/>
      <c r="T524" s="3"/>
      <c r="U524" s="3"/>
      <c r="V524" s="3"/>
      <c r="W524" s="3"/>
      <c r="X524" s="3"/>
      <c r="Y524" s="3"/>
      <c r="Z524" s="3"/>
    </row>
    <row r="525">
      <c r="A525" s="57"/>
      <c r="B525" s="57"/>
      <c r="C525" s="57"/>
      <c r="D525" s="3"/>
      <c r="E525" s="3"/>
      <c r="F525" s="3"/>
      <c r="G525" s="3"/>
      <c r="H525" s="3"/>
      <c r="I525" s="3"/>
      <c r="J525" s="3"/>
      <c r="K525" s="3"/>
      <c r="L525" s="3"/>
      <c r="M525" s="3"/>
      <c r="N525" s="3"/>
      <c r="O525" s="3"/>
      <c r="P525" s="3"/>
      <c r="Q525" s="3"/>
      <c r="R525" s="3"/>
      <c r="S525" s="3"/>
      <c r="T525" s="3"/>
      <c r="U525" s="3"/>
      <c r="V525" s="3"/>
      <c r="W525" s="3"/>
      <c r="X525" s="3"/>
      <c r="Y525" s="3"/>
      <c r="Z525" s="3"/>
    </row>
    <row r="526">
      <c r="A526" s="57"/>
      <c r="B526" s="57"/>
      <c r="C526" s="57"/>
      <c r="D526" s="3"/>
      <c r="E526" s="3"/>
      <c r="F526" s="3"/>
      <c r="G526" s="3"/>
      <c r="H526" s="3"/>
      <c r="I526" s="3"/>
      <c r="J526" s="3"/>
      <c r="K526" s="3"/>
      <c r="L526" s="3"/>
      <c r="M526" s="3"/>
      <c r="N526" s="3"/>
      <c r="O526" s="3"/>
      <c r="P526" s="3"/>
      <c r="Q526" s="3"/>
      <c r="R526" s="3"/>
      <c r="S526" s="3"/>
      <c r="T526" s="3"/>
      <c r="U526" s="3"/>
      <c r="V526" s="3"/>
      <c r="W526" s="3"/>
      <c r="X526" s="3"/>
      <c r="Y526" s="3"/>
      <c r="Z526" s="3"/>
    </row>
    <row r="527">
      <c r="A527" s="57"/>
      <c r="B527" s="57"/>
      <c r="C527" s="57"/>
      <c r="D527" s="3"/>
      <c r="E527" s="3"/>
      <c r="F527" s="3"/>
      <c r="G527" s="3"/>
      <c r="H527" s="3"/>
      <c r="I527" s="3"/>
      <c r="J527" s="3"/>
      <c r="K527" s="3"/>
      <c r="L527" s="3"/>
      <c r="M527" s="3"/>
      <c r="N527" s="3"/>
      <c r="O527" s="3"/>
      <c r="P527" s="3"/>
      <c r="Q527" s="3"/>
      <c r="R527" s="3"/>
      <c r="S527" s="3"/>
      <c r="T527" s="3"/>
      <c r="U527" s="3"/>
      <c r="V527" s="3"/>
      <c r="W527" s="3"/>
      <c r="X527" s="3"/>
      <c r="Y527" s="3"/>
      <c r="Z527" s="3"/>
    </row>
    <row r="528">
      <c r="A528" s="57"/>
      <c r="B528" s="57"/>
      <c r="C528" s="57"/>
      <c r="D528" s="3"/>
      <c r="E528" s="3"/>
      <c r="F528" s="3"/>
      <c r="G528" s="3"/>
      <c r="H528" s="3"/>
      <c r="I528" s="3"/>
      <c r="J528" s="3"/>
      <c r="K528" s="3"/>
      <c r="L528" s="3"/>
      <c r="M528" s="3"/>
      <c r="N528" s="3"/>
      <c r="O528" s="3"/>
      <c r="P528" s="3"/>
      <c r="Q528" s="3"/>
      <c r="R528" s="3"/>
      <c r="S528" s="3"/>
      <c r="T528" s="3"/>
      <c r="U528" s="3"/>
      <c r="V528" s="3"/>
      <c r="W528" s="3"/>
      <c r="X528" s="3"/>
      <c r="Y528" s="3"/>
      <c r="Z528" s="3"/>
    </row>
    <row r="529">
      <c r="A529" s="57"/>
      <c r="B529" s="57"/>
      <c r="C529" s="57"/>
      <c r="D529" s="3"/>
      <c r="E529" s="3"/>
      <c r="F529" s="3"/>
      <c r="G529" s="3"/>
      <c r="H529" s="3"/>
      <c r="I529" s="3"/>
      <c r="J529" s="3"/>
      <c r="K529" s="3"/>
      <c r="L529" s="3"/>
      <c r="M529" s="3"/>
      <c r="N529" s="3"/>
      <c r="O529" s="3"/>
      <c r="P529" s="3"/>
      <c r="Q529" s="3"/>
      <c r="R529" s="3"/>
      <c r="S529" s="3"/>
      <c r="T529" s="3"/>
      <c r="U529" s="3"/>
      <c r="V529" s="3"/>
      <c r="W529" s="3"/>
      <c r="X529" s="3"/>
      <c r="Y529" s="3"/>
      <c r="Z529" s="3"/>
    </row>
    <row r="530">
      <c r="A530" s="57"/>
      <c r="B530" s="57"/>
      <c r="C530" s="57"/>
      <c r="D530" s="3"/>
      <c r="E530" s="3"/>
      <c r="F530" s="3"/>
      <c r="G530" s="3"/>
      <c r="H530" s="3"/>
      <c r="I530" s="3"/>
      <c r="J530" s="3"/>
      <c r="K530" s="3"/>
      <c r="L530" s="3"/>
      <c r="M530" s="3"/>
      <c r="N530" s="3"/>
      <c r="O530" s="3"/>
      <c r="P530" s="3"/>
      <c r="Q530" s="3"/>
      <c r="R530" s="3"/>
      <c r="S530" s="3"/>
      <c r="T530" s="3"/>
      <c r="U530" s="3"/>
      <c r="V530" s="3"/>
      <c r="W530" s="3"/>
      <c r="X530" s="3"/>
      <c r="Y530" s="3"/>
      <c r="Z530" s="3"/>
    </row>
    <row r="531">
      <c r="A531" s="57"/>
      <c r="B531" s="57"/>
      <c r="C531" s="57"/>
      <c r="D531" s="3"/>
      <c r="E531" s="3"/>
      <c r="F531" s="3"/>
      <c r="G531" s="3"/>
      <c r="H531" s="3"/>
      <c r="I531" s="3"/>
      <c r="J531" s="3"/>
      <c r="K531" s="3"/>
      <c r="L531" s="3"/>
      <c r="M531" s="3"/>
      <c r="N531" s="3"/>
      <c r="O531" s="3"/>
      <c r="P531" s="3"/>
      <c r="Q531" s="3"/>
      <c r="R531" s="3"/>
      <c r="S531" s="3"/>
      <c r="T531" s="3"/>
      <c r="U531" s="3"/>
      <c r="V531" s="3"/>
      <c r="W531" s="3"/>
      <c r="X531" s="3"/>
      <c r="Y531" s="3"/>
      <c r="Z531" s="3"/>
    </row>
    <row r="532">
      <c r="A532" s="57"/>
      <c r="B532" s="57"/>
      <c r="C532" s="57"/>
      <c r="D532" s="3"/>
      <c r="E532" s="3"/>
      <c r="F532" s="3"/>
      <c r="G532" s="3"/>
      <c r="H532" s="3"/>
      <c r="I532" s="3"/>
      <c r="J532" s="3"/>
      <c r="K532" s="3"/>
      <c r="L532" s="3"/>
      <c r="M532" s="3"/>
      <c r="N532" s="3"/>
      <c r="O532" s="3"/>
      <c r="P532" s="3"/>
      <c r="Q532" s="3"/>
      <c r="R532" s="3"/>
      <c r="S532" s="3"/>
      <c r="T532" s="3"/>
      <c r="U532" s="3"/>
      <c r="V532" s="3"/>
      <c r="W532" s="3"/>
      <c r="X532" s="3"/>
      <c r="Y532" s="3"/>
      <c r="Z532" s="3"/>
    </row>
    <row r="533">
      <c r="A533" s="57"/>
      <c r="B533" s="57"/>
      <c r="C533" s="57"/>
      <c r="D533" s="3"/>
      <c r="E533" s="3"/>
      <c r="F533" s="3"/>
      <c r="G533" s="3"/>
      <c r="H533" s="3"/>
      <c r="I533" s="3"/>
      <c r="J533" s="3"/>
      <c r="K533" s="3"/>
      <c r="L533" s="3"/>
      <c r="M533" s="3"/>
      <c r="N533" s="3"/>
      <c r="O533" s="3"/>
      <c r="P533" s="3"/>
      <c r="Q533" s="3"/>
      <c r="R533" s="3"/>
      <c r="S533" s="3"/>
      <c r="T533" s="3"/>
      <c r="U533" s="3"/>
      <c r="V533" s="3"/>
      <c r="W533" s="3"/>
      <c r="X533" s="3"/>
      <c r="Y533" s="3"/>
      <c r="Z533" s="3"/>
    </row>
    <row r="534">
      <c r="A534" s="57"/>
      <c r="B534" s="57"/>
      <c r="C534" s="57"/>
      <c r="D534" s="3"/>
      <c r="E534" s="3"/>
      <c r="F534" s="3"/>
      <c r="G534" s="3"/>
      <c r="H534" s="3"/>
      <c r="I534" s="3"/>
      <c r="J534" s="3"/>
      <c r="K534" s="3"/>
      <c r="L534" s="3"/>
      <c r="M534" s="3"/>
      <c r="N534" s="3"/>
      <c r="O534" s="3"/>
      <c r="P534" s="3"/>
      <c r="Q534" s="3"/>
      <c r="R534" s="3"/>
      <c r="S534" s="3"/>
      <c r="T534" s="3"/>
      <c r="U534" s="3"/>
      <c r="V534" s="3"/>
      <c r="W534" s="3"/>
      <c r="X534" s="3"/>
      <c r="Y534" s="3"/>
      <c r="Z534" s="3"/>
    </row>
    <row r="535">
      <c r="A535" s="57"/>
      <c r="B535" s="57"/>
      <c r="C535" s="57"/>
      <c r="D535" s="3"/>
      <c r="E535" s="3"/>
      <c r="F535" s="3"/>
      <c r="G535" s="3"/>
      <c r="H535" s="3"/>
      <c r="I535" s="3"/>
      <c r="J535" s="3"/>
      <c r="K535" s="3"/>
      <c r="L535" s="3"/>
      <c r="M535" s="3"/>
      <c r="N535" s="3"/>
      <c r="O535" s="3"/>
      <c r="P535" s="3"/>
      <c r="Q535" s="3"/>
      <c r="R535" s="3"/>
      <c r="S535" s="3"/>
      <c r="T535" s="3"/>
      <c r="U535" s="3"/>
      <c r="V535" s="3"/>
      <c r="W535" s="3"/>
      <c r="X535" s="3"/>
      <c r="Y535" s="3"/>
      <c r="Z535" s="3"/>
    </row>
    <row r="536">
      <c r="A536" s="57"/>
      <c r="B536" s="57"/>
      <c r="C536" s="57"/>
      <c r="D536" s="3"/>
      <c r="E536" s="3"/>
      <c r="F536" s="3"/>
      <c r="G536" s="3"/>
      <c r="H536" s="3"/>
      <c r="I536" s="3"/>
      <c r="J536" s="3"/>
      <c r="K536" s="3"/>
      <c r="L536" s="3"/>
      <c r="M536" s="3"/>
      <c r="N536" s="3"/>
      <c r="O536" s="3"/>
      <c r="P536" s="3"/>
      <c r="Q536" s="3"/>
      <c r="R536" s="3"/>
      <c r="S536" s="3"/>
      <c r="T536" s="3"/>
      <c r="U536" s="3"/>
      <c r="V536" s="3"/>
      <c r="W536" s="3"/>
      <c r="X536" s="3"/>
      <c r="Y536" s="3"/>
      <c r="Z536" s="3"/>
    </row>
    <row r="537">
      <c r="A537" s="57"/>
      <c r="B537" s="57"/>
      <c r="C537" s="57"/>
      <c r="D537" s="3"/>
      <c r="E537" s="3"/>
      <c r="F537" s="3"/>
      <c r="G537" s="3"/>
      <c r="H537" s="3"/>
      <c r="I537" s="3"/>
      <c r="J537" s="3"/>
      <c r="K537" s="3"/>
      <c r="L537" s="3"/>
      <c r="M537" s="3"/>
      <c r="N537" s="3"/>
      <c r="O537" s="3"/>
      <c r="P537" s="3"/>
      <c r="Q537" s="3"/>
      <c r="R537" s="3"/>
      <c r="S537" s="3"/>
      <c r="T537" s="3"/>
      <c r="U537" s="3"/>
      <c r="V537" s="3"/>
      <c r="W537" s="3"/>
      <c r="X537" s="3"/>
      <c r="Y537" s="3"/>
      <c r="Z537" s="3"/>
    </row>
    <row r="538">
      <c r="A538" s="57"/>
      <c r="B538" s="57"/>
      <c r="C538" s="57"/>
      <c r="D538" s="3"/>
      <c r="E538" s="3"/>
      <c r="F538" s="3"/>
      <c r="G538" s="3"/>
      <c r="H538" s="3"/>
      <c r="I538" s="3"/>
      <c r="J538" s="3"/>
      <c r="K538" s="3"/>
      <c r="L538" s="3"/>
      <c r="M538" s="3"/>
      <c r="N538" s="3"/>
      <c r="O538" s="3"/>
      <c r="P538" s="3"/>
      <c r="Q538" s="3"/>
      <c r="R538" s="3"/>
      <c r="S538" s="3"/>
      <c r="T538" s="3"/>
      <c r="U538" s="3"/>
      <c r="V538" s="3"/>
      <c r="W538" s="3"/>
      <c r="X538" s="3"/>
      <c r="Y538" s="3"/>
      <c r="Z538" s="3"/>
    </row>
    <row r="539">
      <c r="A539" s="57"/>
      <c r="B539" s="57"/>
      <c r="C539" s="57"/>
      <c r="D539" s="3"/>
      <c r="E539" s="3"/>
      <c r="F539" s="3"/>
      <c r="G539" s="3"/>
      <c r="H539" s="3"/>
      <c r="I539" s="3"/>
      <c r="J539" s="3"/>
      <c r="K539" s="3"/>
      <c r="L539" s="3"/>
      <c r="M539" s="3"/>
      <c r="N539" s="3"/>
      <c r="O539" s="3"/>
      <c r="P539" s="3"/>
      <c r="Q539" s="3"/>
      <c r="R539" s="3"/>
      <c r="S539" s="3"/>
      <c r="T539" s="3"/>
      <c r="U539" s="3"/>
      <c r="V539" s="3"/>
      <c r="W539" s="3"/>
      <c r="X539" s="3"/>
      <c r="Y539" s="3"/>
      <c r="Z539" s="3"/>
    </row>
    <row r="540">
      <c r="A540" s="57"/>
      <c r="B540" s="57"/>
      <c r="C540" s="57"/>
      <c r="D540" s="3"/>
      <c r="E540" s="3"/>
      <c r="F540" s="3"/>
      <c r="G540" s="3"/>
      <c r="H540" s="3"/>
      <c r="I540" s="3"/>
      <c r="J540" s="3"/>
      <c r="K540" s="3"/>
      <c r="L540" s="3"/>
      <c r="M540" s="3"/>
      <c r="N540" s="3"/>
      <c r="O540" s="3"/>
      <c r="P540" s="3"/>
      <c r="Q540" s="3"/>
      <c r="R540" s="3"/>
      <c r="S540" s="3"/>
      <c r="T540" s="3"/>
      <c r="U540" s="3"/>
      <c r="V540" s="3"/>
      <c r="W540" s="3"/>
      <c r="X540" s="3"/>
      <c r="Y540" s="3"/>
      <c r="Z540" s="3"/>
    </row>
    <row r="541">
      <c r="A541" s="57"/>
      <c r="B541" s="57"/>
      <c r="C541" s="57"/>
      <c r="D541" s="3"/>
      <c r="E541" s="3"/>
      <c r="F541" s="3"/>
      <c r="G541" s="3"/>
      <c r="H541" s="3"/>
      <c r="I541" s="3"/>
      <c r="J541" s="3"/>
      <c r="K541" s="3"/>
      <c r="L541" s="3"/>
      <c r="M541" s="3"/>
      <c r="N541" s="3"/>
      <c r="O541" s="3"/>
      <c r="P541" s="3"/>
      <c r="Q541" s="3"/>
      <c r="R541" s="3"/>
      <c r="S541" s="3"/>
      <c r="T541" s="3"/>
      <c r="U541" s="3"/>
      <c r="V541" s="3"/>
      <c r="W541" s="3"/>
      <c r="X541" s="3"/>
      <c r="Y541" s="3"/>
      <c r="Z541" s="3"/>
    </row>
    <row r="542">
      <c r="A542" s="57"/>
      <c r="B542" s="57"/>
      <c r="C542" s="57"/>
      <c r="D542" s="3"/>
      <c r="E542" s="3"/>
      <c r="F542" s="3"/>
      <c r="G542" s="3"/>
      <c r="H542" s="3"/>
      <c r="I542" s="3"/>
      <c r="J542" s="3"/>
      <c r="K542" s="3"/>
      <c r="L542" s="3"/>
      <c r="M542" s="3"/>
      <c r="N542" s="3"/>
      <c r="O542" s="3"/>
      <c r="P542" s="3"/>
      <c r="Q542" s="3"/>
      <c r="R542" s="3"/>
      <c r="S542" s="3"/>
      <c r="T542" s="3"/>
      <c r="U542" s="3"/>
      <c r="V542" s="3"/>
      <c r="W542" s="3"/>
      <c r="X542" s="3"/>
      <c r="Y542" s="3"/>
      <c r="Z542" s="3"/>
    </row>
    <row r="543">
      <c r="A543" s="57"/>
      <c r="B543" s="57"/>
      <c r="C543" s="57"/>
      <c r="D543" s="3"/>
      <c r="E543" s="3"/>
      <c r="F543" s="3"/>
      <c r="G543" s="3"/>
      <c r="H543" s="3"/>
      <c r="I543" s="3"/>
      <c r="J543" s="3"/>
      <c r="K543" s="3"/>
      <c r="L543" s="3"/>
      <c r="M543" s="3"/>
      <c r="N543" s="3"/>
      <c r="O543" s="3"/>
      <c r="P543" s="3"/>
      <c r="Q543" s="3"/>
      <c r="R543" s="3"/>
      <c r="S543" s="3"/>
      <c r="T543" s="3"/>
      <c r="U543" s="3"/>
      <c r="V543" s="3"/>
      <c r="W543" s="3"/>
      <c r="X543" s="3"/>
      <c r="Y543" s="3"/>
      <c r="Z543" s="3"/>
    </row>
    <row r="544">
      <c r="A544" s="57"/>
      <c r="B544" s="57"/>
      <c r="C544" s="57"/>
      <c r="D544" s="3"/>
      <c r="E544" s="3"/>
      <c r="F544" s="3"/>
      <c r="G544" s="3"/>
      <c r="H544" s="3"/>
      <c r="I544" s="3"/>
      <c r="J544" s="3"/>
      <c r="K544" s="3"/>
      <c r="L544" s="3"/>
      <c r="M544" s="3"/>
      <c r="N544" s="3"/>
      <c r="O544" s="3"/>
      <c r="P544" s="3"/>
      <c r="Q544" s="3"/>
      <c r="R544" s="3"/>
      <c r="S544" s="3"/>
      <c r="T544" s="3"/>
      <c r="U544" s="3"/>
      <c r="V544" s="3"/>
      <c r="W544" s="3"/>
      <c r="X544" s="3"/>
      <c r="Y544" s="3"/>
      <c r="Z544" s="3"/>
    </row>
    <row r="545">
      <c r="A545" s="57"/>
      <c r="B545" s="57"/>
      <c r="C545" s="57"/>
      <c r="D545" s="3"/>
      <c r="E545" s="3"/>
      <c r="F545" s="3"/>
      <c r="G545" s="3"/>
      <c r="H545" s="3"/>
      <c r="I545" s="3"/>
      <c r="J545" s="3"/>
      <c r="K545" s="3"/>
      <c r="L545" s="3"/>
      <c r="M545" s="3"/>
      <c r="N545" s="3"/>
      <c r="O545" s="3"/>
      <c r="P545" s="3"/>
      <c r="Q545" s="3"/>
      <c r="R545" s="3"/>
      <c r="S545" s="3"/>
      <c r="T545" s="3"/>
      <c r="U545" s="3"/>
      <c r="V545" s="3"/>
      <c r="W545" s="3"/>
      <c r="X545" s="3"/>
      <c r="Y545" s="3"/>
      <c r="Z545" s="3"/>
    </row>
    <row r="546">
      <c r="A546" s="57"/>
      <c r="B546" s="57"/>
      <c r="C546" s="57"/>
      <c r="D546" s="3"/>
      <c r="E546" s="3"/>
      <c r="F546" s="3"/>
      <c r="G546" s="3"/>
      <c r="H546" s="3"/>
      <c r="I546" s="3"/>
      <c r="J546" s="3"/>
      <c r="K546" s="3"/>
      <c r="L546" s="3"/>
      <c r="M546" s="3"/>
      <c r="N546" s="3"/>
      <c r="O546" s="3"/>
      <c r="P546" s="3"/>
      <c r="Q546" s="3"/>
      <c r="R546" s="3"/>
      <c r="S546" s="3"/>
      <c r="T546" s="3"/>
      <c r="U546" s="3"/>
      <c r="V546" s="3"/>
      <c r="W546" s="3"/>
      <c r="X546" s="3"/>
      <c r="Y546" s="3"/>
      <c r="Z546" s="3"/>
    </row>
    <row r="547">
      <c r="A547" s="57"/>
      <c r="B547" s="57"/>
      <c r="C547" s="57"/>
      <c r="D547" s="3"/>
      <c r="E547" s="3"/>
      <c r="F547" s="3"/>
      <c r="G547" s="3"/>
      <c r="H547" s="3"/>
      <c r="I547" s="3"/>
      <c r="J547" s="3"/>
      <c r="K547" s="3"/>
      <c r="L547" s="3"/>
      <c r="M547" s="3"/>
      <c r="N547" s="3"/>
      <c r="O547" s="3"/>
      <c r="P547" s="3"/>
      <c r="Q547" s="3"/>
      <c r="R547" s="3"/>
      <c r="S547" s="3"/>
      <c r="T547" s="3"/>
      <c r="U547" s="3"/>
      <c r="V547" s="3"/>
      <c r="W547" s="3"/>
      <c r="X547" s="3"/>
      <c r="Y547" s="3"/>
      <c r="Z547" s="3"/>
    </row>
    <row r="548">
      <c r="A548" s="57"/>
      <c r="B548" s="57"/>
      <c r="C548" s="57"/>
      <c r="D548" s="3"/>
      <c r="E548" s="3"/>
      <c r="F548" s="3"/>
      <c r="G548" s="3"/>
      <c r="H548" s="3"/>
      <c r="I548" s="3"/>
      <c r="J548" s="3"/>
      <c r="K548" s="3"/>
      <c r="L548" s="3"/>
      <c r="M548" s="3"/>
      <c r="N548" s="3"/>
      <c r="O548" s="3"/>
      <c r="P548" s="3"/>
      <c r="Q548" s="3"/>
      <c r="R548" s="3"/>
      <c r="S548" s="3"/>
      <c r="T548" s="3"/>
      <c r="U548" s="3"/>
      <c r="V548" s="3"/>
      <c r="W548" s="3"/>
      <c r="X548" s="3"/>
      <c r="Y548" s="3"/>
      <c r="Z548" s="3"/>
    </row>
    <row r="549">
      <c r="A549" s="57"/>
      <c r="B549" s="57"/>
      <c r="C549" s="57"/>
      <c r="D549" s="3"/>
      <c r="E549" s="3"/>
      <c r="F549" s="3"/>
      <c r="G549" s="3"/>
      <c r="H549" s="3"/>
      <c r="I549" s="3"/>
      <c r="J549" s="3"/>
      <c r="K549" s="3"/>
      <c r="L549" s="3"/>
      <c r="M549" s="3"/>
      <c r="N549" s="3"/>
      <c r="O549" s="3"/>
      <c r="P549" s="3"/>
      <c r="Q549" s="3"/>
      <c r="R549" s="3"/>
      <c r="S549" s="3"/>
      <c r="T549" s="3"/>
      <c r="U549" s="3"/>
      <c r="V549" s="3"/>
      <c r="W549" s="3"/>
      <c r="X549" s="3"/>
      <c r="Y549" s="3"/>
      <c r="Z549" s="3"/>
    </row>
    <row r="550">
      <c r="A550" s="57"/>
      <c r="B550" s="57"/>
      <c r="C550" s="57"/>
      <c r="D550" s="3"/>
      <c r="E550" s="3"/>
      <c r="F550" s="3"/>
      <c r="G550" s="3"/>
      <c r="H550" s="3"/>
      <c r="I550" s="3"/>
      <c r="J550" s="3"/>
      <c r="K550" s="3"/>
      <c r="L550" s="3"/>
      <c r="M550" s="3"/>
      <c r="N550" s="3"/>
      <c r="O550" s="3"/>
      <c r="P550" s="3"/>
      <c r="Q550" s="3"/>
      <c r="R550" s="3"/>
      <c r="S550" s="3"/>
      <c r="T550" s="3"/>
      <c r="U550" s="3"/>
      <c r="V550" s="3"/>
      <c r="W550" s="3"/>
      <c r="X550" s="3"/>
      <c r="Y550" s="3"/>
      <c r="Z550" s="3"/>
    </row>
    <row r="551">
      <c r="A551" s="57"/>
      <c r="B551" s="57"/>
      <c r="C551" s="57"/>
      <c r="D551" s="3"/>
      <c r="E551" s="3"/>
      <c r="F551" s="3"/>
      <c r="G551" s="3"/>
      <c r="H551" s="3"/>
      <c r="I551" s="3"/>
      <c r="J551" s="3"/>
      <c r="K551" s="3"/>
      <c r="L551" s="3"/>
      <c r="M551" s="3"/>
      <c r="N551" s="3"/>
      <c r="O551" s="3"/>
      <c r="P551" s="3"/>
      <c r="Q551" s="3"/>
      <c r="R551" s="3"/>
      <c r="S551" s="3"/>
      <c r="T551" s="3"/>
      <c r="U551" s="3"/>
      <c r="V551" s="3"/>
      <c r="W551" s="3"/>
      <c r="X551" s="3"/>
      <c r="Y551" s="3"/>
      <c r="Z551" s="3"/>
    </row>
    <row r="552">
      <c r="A552" s="57"/>
      <c r="B552" s="57"/>
      <c r="C552" s="57"/>
      <c r="D552" s="3"/>
      <c r="E552" s="3"/>
      <c r="F552" s="3"/>
      <c r="G552" s="3"/>
      <c r="H552" s="3"/>
      <c r="I552" s="3"/>
      <c r="J552" s="3"/>
      <c r="K552" s="3"/>
      <c r="L552" s="3"/>
      <c r="M552" s="3"/>
      <c r="N552" s="3"/>
      <c r="O552" s="3"/>
      <c r="P552" s="3"/>
      <c r="Q552" s="3"/>
      <c r="R552" s="3"/>
      <c r="S552" s="3"/>
      <c r="T552" s="3"/>
      <c r="U552" s="3"/>
      <c r="V552" s="3"/>
      <c r="W552" s="3"/>
      <c r="X552" s="3"/>
      <c r="Y552" s="3"/>
      <c r="Z552" s="3"/>
    </row>
    <row r="553">
      <c r="A553" s="57"/>
      <c r="B553" s="57"/>
      <c r="C553" s="57"/>
      <c r="D553" s="3"/>
      <c r="E553" s="3"/>
      <c r="F553" s="3"/>
      <c r="G553" s="3"/>
      <c r="H553" s="3"/>
      <c r="I553" s="3"/>
      <c r="J553" s="3"/>
      <c r="K553" s="3"/>
      <c r="L553" s="3"/>
      <c r="M553" s="3"/>
      <c r="N553" s="3"/>
      <c r="O553" s="3"/>
      <c r="P553" s="3"/>
      <c r="Q553" s="3"/>
      <c r="R553" s="3"/>
      <c r="S553" s="3"/>
      <c r="T553" s="3"/>
      <c r="U553" s="3"/>
      <c r="V553" s="3"/>
      <c r="W553" s="3"/>
      <c r="X553" s="3"/>
      <c r="Y553" s="3"/>
      <c r="Z553" s="3"/>
    </row>
    <row r="554">
      <c r="A554" s="57"/>
      <c r="B554" s="57"/>
      <c r="C554" s="57"/>
      <c r="D554" s="3"/>
      <c r="E554" s="3"/>
      <c r="F554" s="3"/>
      <c r="G554" s="3"/>
      <c r="H554" s="3"/>
      <c r="I554" s="3"/>
      <c r="J554" s="3"/>
      <c r="K554" s="3"/>
      <c r="L554" s="3"/>
      <c r="M554" s="3"/>
      <c r="N554" s="3"/>
      <c r="O554" s="3"/>
      <c r="P554" s="3"/>
      <c r="Q554" s="3"/>
      <c r="R554" s="3"/>
      <c r="S554" s="3"/>
      <c r="T554" s="3"/>
      <c r="U554" s="3"/>
      <c r="V554" s="3"/>
      <c r="W554" s="3"/>
      <c r="X554" s="3"/>
      <c r="Y554" s="3"/>
      <c r="Z554" s="3"/>
    </row>
    <row r="555">
      <c r="A555" s="57"/>
      <c r="B555" s="57"/>
      <c r="C555" s="57"/>
      <c r="D555" s="3"/>
      <c r="E555" s="3"/>
      <c r="F555" s="3"/>
      <c r="G555" s="3"/>
      <c r="H555" s="3"/>
      <c r="I555" s="3"/>
      <c r="J555" s="3"/>
      <c r="K555" s="3"/>
      <c r="L555" s="3"/>
      <c r="M555" s="3"/>
      <c r="N555" s="3"/>
      <c r="O555" s="3"/>
      <c r="P555" s="3"/>
      <c r="Q555" s="3"/>
      <c r="R555" s="3"/>
      <c r="S555" s="3"/>
      <c r="T555" s="3"/>
      <c r="U555" s="3"/>
      <c r="V555" s="3"/>
      <c r="W555" s="3"/>
      <c r="X555" s="3"/>
      <c r="Y555" s="3"/>
      <c r="Z555" s="3"/>
    </row>
    <row r="556">
      <c r="A556" s="57"/>
      <c r="B556" s="57"/>
      <c r="C556" s="57"/>
      <c r="D556" s="3"/>
      <c r="E556" s="3"/>
      <c r="F556" s="3"/>
      <c r="G556" s="3"/>
      <c r="H556" s="3"/>
      <c r="I556" s="3"/>
      <c r="J556" s="3"/>
      <c r="K556" s="3"/>
      <c r="L556" s="3"/>
      <c r="M556" s="3"/>
      <c r="N556" s="3"/>
      <c r="O556" s="3"/>
      <c r="P556" s="3"/>
      <c r="Q556" s="3"/>
      <c r="R556" s="3"/>
      <c r="S556" s="3"/>
      <c r="T556" s="3"/>
      <c r="U556" s="3"/>
      <c r="V556" s="3"/>
      <c r="W556" s="3"/>
      <c r="X556" s="3"/>
      <c r="Y556" s="3"/>
      <c r="Z556" s="3"/>
    </row>
    <row r="557">
      <c r="A557" s="57"/>
      <c r="B557" s="57"/>
      <c r="C557" s="57"/>
      <c r="D557" s="3"/>
      <c r="E557" s="3"/>
      <c r="F557" s="3"/>
      <c r="G557" s="3"/>
      <c r="H557" s="3"/>
      <c r="I557" s="3"/>
      <c r="J557" s="3"/>
      <c r="K557" s="3"/>
      <c r="L557" s="3"/>
      <c r="M557" s="3"/>
      <c r="N557" s="3"/>
      <c r="O557" s="3"/>
      <c r="P557" s="3"/>
      <c r="Q557" s="3"/>
      <c r="R557" s="3"/>
      <c r="S557" s="3"/>
      <c r="T557" s="3"/>
      <c r="U557" s="3"/>
      <c r="V557" s="3"/>
      <c r="W557" s="3"/>
      <c r="X557" s="3"/>
      <c r="Y557" s="3"/>
      <c r="Z557" s="3"/>
    </row>
    <row r="558">
      <c r="A558" s="57"/>
      <c r="B558" s="57"/>
      <c r="C558" s="57"/>
      <c r="D558" s="3"/>
      <c r="E558" s="3"/>
      <c r="F558" s="3"/>
      <c r="G558" s="3"/>
      <c r="H558" s="3"/>
      <c r="I558" s="3"/>
      <c r="J558" s="3"/>
      <c r="K558" s="3"/>
      <c r="L558" s="3"/>
      <c r="M558" s="3"/>
      <c r="N558" s="3"/>
      <c r="O558" s="3"/>
      <c r="P558" s="3"/>
      <c r="Q558" s="3"/>
      <c r="R558" s="3"/>
      <c r="S558" s="3"/>
      <c r="T558" s="3"/>
      <c r="U558" s="3"/>
      <c r="V558" s="3"/>
      <c r="W558" s="3"/>
      <c r="X558" s="3"/>
      <c r="Y558" s="3"/>
      <c r="Z558" s="3"/>
    </row>
    <row r="559">
      <c r="A559" s="57"/>
      <c r="B559" s="57"/>
      <c r="C559" s="57"/>
      <c r="D559" s="3"/>
      <c r="E559" s="3"/>
      <c r="F559" s="3"/>
      <c r="G559" s="3"/>
      <c r="H559" s="3"/>
      <c r="I559" s="3"/>
      <c r="J559" s="3"/>
      <c r="K559" s="3"/>
      <c r="L559" s="3"/>
      <c r="M559" s="3"/>
      <c r="N559" s="3"/>
      <c r="O559" s="3"/>
      <c r="P559" s="3"/>
      <c r="Q559" s="3"/>
      <c r="R559" s="3"/>
      <c r="S559" s="3"/>
      <c r="T559" s="3"/>
      <c r="U559" s="3"/>
      <c r="V559" s="3"/>
      <c r="W559" s="3"/>
      <c r="X559" s="3"/>
      <c r="Y559" s="3"/>
      <c r="Z559" s="3"/>
    </row>
    <row r="560">
      <c r="A560" s="57"/>
      <c r="B560" s="57"/>
      <c r="C560" s="57"/>
      <c r="D560" s="3"/>
      <c r="E560" s="3"/>
      <c r="F560" s="3"/>
      <c r="G560" s="3"/>
      <c r="H560" s="3"/>
      <c r="I560" s="3"/>
      <c r="J560" s="3"/>
      <c r="K560" s="3"/>
      <c r="L560" s="3"/>
      <c r="M560" s="3"/>
      <c r="N560" s="3"/>
      <c r="O560" s="3"/>
      <c r="P560" s="3"/>
      <c r="Q560" s="3"/>
      <c r="R560" s="3"/>
      <c r="S560" s="3"/>
      <c r="T560" s="3"/>
      <c r="U560" s="3"/>
      <c r="V560" s="3"/>
      <c r="W560" s="3"/>
      <c r="X560" s="3"/>
      <c r="Y560" s="3"/>
      <c r="Z560" s="3"/>
    </row>
    <row r="561">
      <c r="A561" s="57"/>
      <c r="B561" s="57"/>
      <c r="C561" s="57"/>
      <c r="D561" s="3"/>
      <c r="E561" s="3"/>
      <c r="F561" s="3"/>
      <c r="G561" s="3"/>
      <c r="H561" s="3"/>
      <c r="I561" s="3"/>
      <c r="J561" s="3"/>
      <c r="K561" s="3"/>
      <c r="L561" s="3"/>
      <c r="M561" s="3"/>
      <c r="N561" s="3"/>
      <c r="O561" s="3"/>
      <c r="P561" s="3"/>
      <c r="Q561" s="3"/>
      <c r="R561" s="3"/>
      <c r="S561" s="3"/>
      <c r="T561" s="3"/>
      <c r="U561" s="3"/>
      <c r="V561" s="3"/>
      <c r="W561" s="3"/>
      <c r="X561" s="3"/>
      <c r="Y561" s="3"/>
      <c r="Z561" s="3"/>
    </row>
    <row r="562">
      <c r="A562" s="57"/>
      <c r="B562" s="57"/>
      <c r="C562" s="57"/>
      <c r="D562" s="3"/>
      <c r="E562" s="3"/>
      <c r="F562" s="3"/>
      <c r="G562" s="3"/>
      <c r="H562" s="3"/>
      <c r="I562" s="3"/>
      <c r="J562" s="3"/>
      <c r="K562" s="3"/>
      <c r="L562" s="3"/>
      <c r="M562" s="3"/>
      <c r="N562" s="3"/>
      <c r="O562" s="3"/>
      <c r="P562" s="3"/>
      <c r="Q562" s="3"/>
      <c r="R562" s="3"/>
      <c r="S562" s="3"/>
      <c r="T562" s="3"/>
      <c r="U562" s="3"/>
      <c r="V562" s="3"/>
      <c r="W562" s="3"/>
      <c r="X562" s="3"/>
      <c r="Y562" s="3"/>
      <c r="Z562" s="3"/>
    </row>
    <row r="563">
      <c r="A563" s="57"/>
      <c r="B563" s="57"/>
      <c r="C563" s="57"/>
      <c r="D563" s="3"/>
      <c r="E563" s="3"/>
      <c r="F563" s="3"/>
      <c r="G563" s="3"/>
      <c r="H563" s="3"/>
      <c r="I563" s="3"/>
      <c r="J563" s="3"/>
      <c r="K563" s="3"/>
      <c r="L563" s="3"/>
      <c r="M563" s="3"/>
      <c r="N563" s="3"/>
      <c r="O563" s="3"/>
      <c r="P563" s="3"/>
      <c r="Q563" s="3"/>
      <c r="R563" s="3"/>
      <c r="S563" s="3"/>
      <c r="T563" s="3"/>
      <c r="U563" s="3"/>
      <c r="V563" s="3"/>
      <c r="W563" s="3"/>
      <c r="X563" s="3"/>
      <c r="Y563" s="3"/>
      <c r="Z563" s="3"/>
    </row>
    <row r="564">
      <c r="A564" s="57"/>
      <c r="B564" s="57"/>
      <c r="C564" s="57"/>
      <c r="D564" s="3"/>
      <c r="E564" s="3"/>
      <c r="F564" s="3"/>
      <c r="G564" s="3"/>
      <c r="H564" s="3"/>
      <c r="I564" s="3"/>
      <c r="J564" s="3"/>
      <c r="K564" s="3"/>
      <c r="L564" s="3"/>
      <c r="M564" s="3"/>
      <c r="N564" s="3"/>
      <c r="O564" s="3"/>
      <c r="P564" s="3"/>
      <c r="Q564" s="3"/>
      <c r="R564" s="3"/>
      <c r="S564" s="3"/>
      <c r="T564" s="3"/>
      <c r="U564" s="3"/>
      <c r="V564" s="3"/>
      <c r="W564" s="3"/>
      <c r="X564" s="3"/>
      <c r="Y564" s="3"/>
      <c r="Z564" s="3"/>
    </row>
    <row r="565">
      <c r="A565" s="57"/>
      <c r="B565" s="57"/>
      <c r="C565" s="57"/>
      <c r="D565" s="3"/>
      <c r="E565" s="3"/>
      <c r="F565" s="3"/>
      <c r="G565" s="3"/>
      <c r="H565" s="3"/>
      <c r="I565" s="3"/>
      <c r="J565" s="3"/>
      <c r="K565" s="3"/>
      <c r="L565" s="3"/>
      <c r="M565" s="3"/>
      <c r="N565" s="3"/>
      <c r="O565" s="3"/>
      <c r="P565" s="3"/>
      <c r="Q565" s="3"/>
      <c r="R565" s="3"/>
      <c r="S565" s="3"/>
      <c r="T565" s="3"/>
      <c r="U565" s="3"/>
      <c r="V565" s="3"/>
      <c r="W565" s="3"/>
      <c r="X565" s="3"/>
      <c r="Y565" s="3"/>
      <c r="Z565" s="3"/>
    </row>
    <row r="566">
      <c r="A566" s="57"/>
      <c r="B566" s="57"/>
      <c r="C566" s="57"/>
      <c r="D566" s="3"/>
      <c r="E566" s="3"/>
      <c r="F566" s="3"/>
      <c r="G566" s="3"/>
      <c r="H566" s="3"/>
      <c r="I566" s="3"/>
      <c r="J566" s="3"/>
      <c r="K566" s="3"/>
      <c r="L566" s="3"/>
      <c r="M566" s="3"/>
      <c r="N566" s="3"/>
      <c r="O566" s="3"/>
      <c r="P566" s="3"/>
      <c r="Q566" s="3"/>
      <c r="R566" s="3"/>
      <c r="S566" s="3"/>
      <c r="T566" s="3"/>
      <c r="U566" s="3"/>
      <c r="V566" s="3"/>
      <c r="W566" s="3"/>
      <c r="X566" s="3"/>
      <c r="Y566" s="3"/>
      <c r="Z566" s="3"/>
    </row>
    <row r="567">
      <c r="A567" s="57"/>
      <c r="B567" s="57"/>
      <c r="C567" s="57"/>
      <c r="D567" s="3"/>
      <c r="E567" s="3"/>
      <c r="F567" s="3"/>
      <c r="G567" s="3"/>
      <c r="H567" s="3"/>
      <c r="I567" s="3"/>
      <c r="J567" s="3"/>
      <c r="K567" s="3"/>
      <c r="L567" s="3"/>
      <c r="M567" s="3"/>
      <c r="N567" s="3"/>
      <c r="O567" s="3"/>
      <c r="P567" s="3"/>
      <c r="Q567" s="3"/>
      <c r="R567" s="3"/>
      <c r="S567" s="3"/>
      <c r="T567" s="3"/>
      <c r="U567" s="3"/>
      <c r="V567" s="3"/>
      <c r="W567" s="3"/>
      <c r="X567" s="3"/>
      <c r="Y567" s="3"/>
      <c r="Z567" s="3"/>
    </row>
    <row r="568">
      <c r="A568" s="57"/>
      <c r="B568" s="57"/>
      <c r="C568" s="57"/>
      <c r="D568" s="3"/>
      <c r="E568" s="3"/>
      <c r="F568" s="3"/>
      <c r="G568" s="3"/>
      <c r="H568" s="3"/>
      <c r="I568" s="3"/>
      <c r="J568" s="3"/>
      <c r="K568" s="3"/>
      <c r="L568" s="3"/>
      <c r="M568" s="3"/>
      <c r="N568" s="3"/>
      <c r="O568" s="3"/>
      <c r="P568" s="3"/>
      <c r="Q568" s="3"/>
      <c r="R568" s="3"/>
      <c r="S568" s="3"/>
      <c r="T568" s="3"/>
      <c r="U568" s="3"/>
      <c r="V568" s="3"/>
      <c r="W568" s="3"/>
      <c r="X568" s="3"/>
      <c r="Y568" s="3"/>
      <c r="Z568" s="3"/>
    </row>
    <row r="569">
      <c r="A569" s="57"/>
      <c r="B569" s="57"/>
      <c r="C569" s="57"/>
      <c r="D569" s="3"/>
      <c r="E569" s="3"/>
      <c r="F569" s="3"/>
      <c r="G569" s="3"/>
      <c r="H569" s="3"/>
      <c r="I569" s="3"/>
      <c r="J569" s="3"/>
      <c r="K569" s="3"/>
      <c r="L569" s="3"/>
      <c r="M569" s="3"/>
      <c r="N569" s="3"/>
      <c r="O569" s="3"/>
      <c r="P569" s="3"/>
      <c r="Q569" s="3"/>
      <c r="R569" s="3"/>
      <c r="S569" s="3"/>
      <c r="T569" s="3"/>
      <c r="U569" s="3"/>
      <c r="V569" s="3"/>
      <c r="W569" s="3"/>
      <c r="X569" s="3"/>
      <c r="Y569" s="3"/>
      <c r="Z569" s="3"/>
    </row>
    <row r="570">
      <c r="A570" s="57"/>
      <c r="B570" s="57"/>
      <c r="C570" s="57"/>
      <c r="D570" s="3"/>
      <c r="E570" s="3"/>
      <c r="F570" s="3"/>
      <c r="G570" s="3"/>
      <c r="H570" s="3"/>
      <c r="I570" s="3"/>
      <c r="J570" s="3"/>
      <c r="K570" s="3"/>
      <c r="L570" s="3"/>
      <c r="M570" s="3"/>
      <c r="N570" s="3"/>
      <c r="O570" s="3"/>
      <c r="P570" s="3"/>
      <c r="Q570" s="3"/>
      <c r="R570" s="3"/>
      <c r="S570" s="3"/>
      <c r="T570" s="3"/>
      <c r="U570" s="3"/>
      <c r="V570" s="3"/>
      <c r="W570" s="3"/>
      <c r="X570" s="3"/>
      <c r="Y570" s="3"/>
      <c r="Z570" s="3"/>
    </row>
    <row r="571">
      <c r="A571" s="57"/>
      <c r="B571" s="57"/>
      <c r="C571" s="57"/>
      <c r="D571" s="3"/>
      <c r="E571" s="3"/>
      <c r="F571" s="3"/>
      <c r="G571" s="3"/>
      <c r="H571" s="3"/>
      <c r="I571" s="3"/>
      <c r="J571" s="3"/>
      <c r="K571" s="3"/>
      <c r="L571" s="3"/>
      <c r="M571" s="3"/>
      <c r="N571" s="3"/>
      <c r="O571" s="3"/>
      <c r="P571" s="3"/>
      <c r="Q571" s="3"/>
      <c r="R571" s="3"/>
      <c r="S571" s="3"/>
      <c r="T571" s="3"/>
      <c r="U571" s="3"/>
      <c r="V571" s="3"/>
      <c r="W571" s="3"/>
      <c r="X571" s="3"/>
      <c r="Y571" s="3"/>
      <c r="Z571" s="3"/>
    </row>
    <row r="572">
      <c r="A572" s="57"/>
      <c r="B572" s="57"/>
      <c r="C572" s="57"/>
      <c r="D572" s="3"/>
      <c r="E572" s="3"/>
      <c r="F572" s="3"/>
      <c r="G572" s="3"/>
      <c r="H572" s="3"/>
      <c r="I572" s="3"/>
      <c r="J572" s="3"/>
      <c r="K572" s="3"/>
      <c r="L572" s="3"/>
      <c r="M572" s="3"/>
      <c r="N572" s="3"/>
      <c r="O572" s="3"/>
      <c r="P572" s="3"/>
      <c r="Q572" s="3"/>
      <c r="R572" s="3"/>
      <c r="S572" s="3"/>
      <c r="T572" s="3"/>
      <c r="U572" s="3"/>
      <c r="V572" s="3"/>
      <c r="W572" s="3"/>
      <c r="X572" s="3"/>
      <c r="Y572" s="3"/>
      <c r="Z572" s="3"/>
    </row>
    <row r="573">
      <c r="A573" s="57"/>
      <c r="B573" s="57"/>
      <c r="C573" s="57"/>
      <c r="D573" s="3"/>
      <c r="E573" s="3"/>
      <c r="F573" s="3"/>
      <c r="G573" s="3"/>
      <c r="H573" s="3"/>
      <c r="I573" s="3"/>
      <c r="J573" s="3"/>
      <c r="K573" s="3"/>
      <c r="L573" s="3"/>
      <c r="M573" s="3"/>
      <c r="N573" s="3"/>
      <c r="O573" s="3"/>
      <c r="P573" s="3"/>
      <c r="Q573" s="3"/>
      <c r="R573" s="3"/>
      <c r="S573" s="3"/>
      <c r="T573" s="3"/>
      <c r="U573" s="3"/>
      <c r="V573" s="3"/>
      <c r="W573" s="3"/>
      <c r="X573" s="3"/>
      <c r="Y573" s="3"/>
      <c r="Z573" s="3"/>
    </row>
    <row r="574">
      <c r="A574" s="57"/>
      <c r="B574" s="57"/>
      <c r="C574" s="57"/>
      <c r="D574" s="3"/>
      <c r="E574" s="3"/>
      <c r="F574" s="3"/>
      <c r="G574" s="3"/>
      <c r="H574" s="3"/>
      <c r="I574" s="3"/>
      <c r="J574" s="3"/>
      <c r="K574" s="3"/>
      <c r="L574" s="3"/>
      <c r="M574" s="3"/>
      <c r="N574" s="3"/>
      <c r="O574" s="3"/>
      <c r="P574" s="3"/>
      <c r="Q574" s="3"/>
      <c r="R574" s="3"/>
      <c r="S574" s="3"/>
      <c r="T574" s="3"/>
      <c r="U574" s="3"/>
      <c r="V574" s="3"/>
      <c r="W574" s="3"/>
      <c r="X574" s="3"/>
      <c r="Y574" s="3"/>
      <c r="Z574" s="3"/>
    </row>
    <row r="575">
      <c r="A575" s="57"/>
      <c r="B575" s="57"/>
      <c r="C575" s="57"/>
      <c r="D575" s="3"/>
      <c r="E575" s="3"/>
      <c r="F575" s="3"/>
      <c r="G575" s="3"/>
      <c r="H575" s="3"/>
      <c r="I575" s="3"/>
      <c r="J575" s="3"/>
      <c r="K575" s="3"/>
      <c r="L575" s="3"/>
      <c r="M575" s="3"/>
      <c r="N575" s="3"/>
      <c r="O575" s="3"/>
      <c r="P575" s="3"/>
      <c r="Q575" s="3"/>
      <c r="R575" s="3"/>
      <c r="S575" s="3"/>
      <c r="T575" s="3"/>
      <c r="U575" s="3"/>
      <c r="V575" s="3"/>
      <c r="W575" s="3"/>
      <c r="X575" s="3"/>
      <c r="Y575" s="3"/>
      <c r="Z575" s="3"/>
    </row>
    <row r="576">
      <c r="A576" s="57"/>
      <c r="B576" s="57"/>
      <c r="C576" s="57"/>
      <c r="D576" s="3"/>
      <c r="E576" s="3"/>
      <c r="F576" s="3"/>
      <c r="G576" s="3"/>
      <c r="H576" s="3"/>
      <c r="I576" s="3"/>
      <c r="J576" s="3"/>
      <c r="K576" s="3"/>
      <c r="L576" s="3"/>
      <c r="M576" s="3"/>
      <c r="N576" s="3"/>
      <c r="O576" s="3"/>
      <c r="P576" s="3"/>
      <c r="Q576" s="3"/>
      <c r="R576" s="3"/>
      <c r="S576" s="3"/>
      <c r="T576" s="3"/>
      <c r="U576" s="3"/>
      <c r="V576" s="3"/>
      <c r="W576" s="3"/>
      <c r="X576" s="3"/>
      <c r="Y576" s="3"/>
      <c r="Z576" s="3"/>
    </row>
    <row r="577">
      <c r="A577" s="57"/>
      <c r="B577" s="57"/>
      <c r="C577" s="57"/>
      <c r="D577" s="3"/>
      <c r="E577" s="3"/>
      <c r="F577" s="3"/>
      <c r="G577" s="3"/>
      <c r="H577" s="3"/>
      <c r="I577" s="3"/>
      <c r="J577" s="3"/>
      <c r="K577" s="3"/>
      <c r="L577" s="3"/>
      <c r="M577" s="3"/>
      <c r="N577" s="3"/>
      <c r="O577" s="3"/>
      <c r="P577" s="3"/>
      <c r="Q577" s="3"/>
      <c r="R577" s="3"/>
      <c r="S577" s="3"/>
      <c r="T577" s="3"/>
      <c r="U577" s="3"/>
      <c r="V577" s="3"/>
      <c r="W577" s="3"/>
      <c r="X577" s="3"/>
      <c r="Y577" s="3"/>
      <c r="Z577" s="3"/>
    </row>
    <row r="578">
      <c r="A578" s="57"/>
      <c r="B578" s="57"/>
      <c r="C578" s="57"/>
      <c r="D578" s="3"/>
      <c r="E578" s="3"/>
      <c r="F578" s="3"/>
      <c r="G578" s="3"/>
      <c r="H578" s="3"/>
      <c r="I578" s="3"/>
      <c r="J578" s="3"/>
      <c r="K578" s="3"/>
      <c r="L578" s="3"/>
      <c r="M578" s="3"/>
      <c r="N578" s="3"/>
      <c r="O578" s="3"/>
      <c r="P578" s="3"/>
      <c r="Q578" s="3"/>
      <c r="R578" s="3"/>
      <c r="S578" s="3"/>
      <c r="T578" s="3"/>
      <c r="U578" s="3"/>
      <c r="V578" s="3"/>
      <c r="W578" s="3"/>
      <c r="X578" s="3"/>
      <c r="Y578" s="3"/>
      <c r="Z578" s="3"/>
    </row>
    <row r="579">
      <c r="A579" s="57"/>
      <c r="B579" s="57"/>
      <c r="C579" s="57"/>
      <c r="D579" s="3"/>
      <c r="E579" s="3"/>
      <c r="F579" s="3"/>
      <c r="G579" s="3"/>
      <c r="H579" s="3"/>
      <c r="I579" s="3"/>
      <c r="J579" s="3"/>
      <c r="K579" s="3"/>
      <c r="L579" s="3"/>
      <c r="M579" s="3"/>
      <c r="N579" s="3"/>
      <c r="O579" s="3"/>
      <c r="P579" s="3"/>
      <c r="Q579" s="3"/>
      <c r="R579" s="3"/>
      <c r="S579" s="3"/>
      <c r="T579" s="3"/>
      <c r="U579" s="3"/>
      <c r="V579" s="3"/>
      <c r="W579" s="3"/>
      <c r="X579" s="3"/>
      <c r="Y579" s="3"/>
      <c r="Z579" s="3"/>
    </row>
    <row r="580">
      <c r="A580" s="57"/>
      <c r="B580" s="57"/>
      <c r="C580" s="57"/>
      <c r="D580" s="3"/>
      <c r="E580" s="3"/>
      <c r="F580" s="3"/>
      <c r="G580" s="3"/>
      <c r="H580" s="3"/>
      <c r="I580" s="3"/>
      <c r="J580" s="3"/>
      <c r="K580" s="3"/>
      <c r="L580" s="3"/>
      <c r="M580" s="3"/>
      <c r="N580" s="3"/>
      <c r="O580" s="3"/>
      <c r="P580" s="3"/>
      <c r="Q580" s="3"/>
      <c r="R580" s="3"/>
      <c r="S580" s="3"/>
      <c r="T580" s="3"/>
      <c r="U580" s="3"/>
      <c r="V580" s="3"/>
      <c r="W580" s="3"/>
      <c r="X580" s="3"/>
      <c r="Y580" s="3"/>
      <c r="Z580" s="3"/>
    </row>
    <row r="581">
      <c r="A581" s="57"/>
      <c r="B581" s="57"/>
      <c r="C581" s="57"/>
      <c r="D581" s="3"/>
      <c r="E581" s="3"/>
      <c r="F581" s="3"/>
      <c r="G581" s="3"/>
      <c r="H581" s="3"/>
      <c r="I581" s="3"/>
      <c r="J581" s="3"/>
      <c r="K581" s="3"/>
      <c r="L581" s="3"/>
      <c r="M581" s="3"/>
      <c r="N581" s="3"/>
      <c r="O581" s="3"/>
      <c r="P581" s="3"/>
      <c r="Q581" s="3"/>
      <c r="R581" s="3"/>
      <c r="S581" s="3"/>
      <c r="T581" s="3"/>
      <c r="U581" s="3"/>
      <c r="V581" s="3"/>
      <c r="W581" s="3"/>
      <c r="X581" s="3"/>
      <c r="Y581" s="3"/>
      <c r="Z581" s="3"/>
    </row>
    <row r="582">
      <c r="A582" s="57"/>
      <c r="B582" s="57"/>
      <c r="C582" s="57"/>
      <c r="D582" s="3"/>
      <c r="E582" s="3"/>
      <c r="F582" s="3"/>
      <c r="G582" s="3"/>
      <c r="H582" s="3"/>
      <c r="I582" s="3"/>
      <c r="J582" s="3"/>
      <c r="K582" s="3"/>
      <c r="L582" s="3"/>
      <c r="M582" s="3"/>
      <c r="N582" s="3"/>
      <c r="O582" s="3"/>
      <c r="P582" s="3"/>
      <c r="Q582" s="3"/>
      <c r="R582" s="3"/>
      <c r="S582" s="3"/>
      <c r="T582" s="3"/>
      <c r="U582" s="3"/>
      <c r="V582" s="3"/>
      <c r="W582" s="3"/>
      <c r="X582" s="3"/>
      <c r="Y582" s="3"/>
      <c r="Z582" s="3"/>
    </row>
    <row r="583">
      <c r="A583" s="57"/>
      <c r="B583" s="57"/>
      <c r="C583" s="57"/>
      <c r="D583" s="3"/>
      <c r="E583" s="3"/>
      <c r="F583" s="3"/>
      <c r="G583" s="3"/>
      <c r="H583" s="3"/>
      <c r="I583" s="3"/>
      <c r="J583" s="3"/>
      <c r="K583" s="3"/>
      <c r="L583" s="3"/>
      <c r="M583" s="3"/>
      <c r="N583" s="3"/>
      <c r="O583" s="3"/>
      <c r="P583" s="3"/>
      <c r="Q583" s="3"/>
      <c r="R583" s="3"/>
      <c r="S583" s="3"/>
      <c r="T583" s="3"/>
      <c r="U583" s="3"/>
      <c r="V583" s="3"/>
      <c r="W583" s="3"/>
      <c r="X583" s="3"/>
      <c r="Y583" s="3"/>
      <c r="Z583" s="3"/>
    </row>
    <row r="584">
      <c r="A584" s="57"/>
      <c r="B584" s="57"/>
      <c r="C584" s="57"/>
      <c r="D584" s="3"/>
      <c r="E584" s="3"/>
      <c r="F584" s="3"/>
      <c r="G584" s="3"/>
      <c r="H584" s="3"/>
      <c r="I584" s="3"/>
      <c r="J584" s="3"/>
      <c r="K584" s="3"/>
      <c r="L584" s="3"/>
      <c r="M584" s="3"/>
      <c r="N584" s="3"/>
      <c r="O584" s="3"/>
      <c r="P584" s="3"/>
      <c r="Q584" s="3"/>
      <c r="R584" s="3"/>
      <c r="S584" s="3"/>
      <c r="T584" s="3"/>
      <c r="U584" s="3"/>
      <c r="V584" s="3"/>
      <c r="W584" s="3"/>
      <c r="X584" s="3"/>
      <c r="Y584" s="3"/>
      <c r="Z584" s="3"/>
    </row>
    <row r="585">
      <c r="A585" s="57"/>
      <c r="B585" s="57"/>
      <c r="C585" s="57"/>
      <c r="D585" s="3"/>
      <c r="E585" s="3"/>
      <c r="F585" s="3"/>
      <c r="G585" s="3"/>
      <c r="H585" s="3"/>
      <c r="I585" s="3"/>
      <c r="J585" s="3"/>
      <c r="K585" s="3"/>
      <c r="L585" s="3"/>
      <c r="M585" s="3"/>
      <c r="N585" s="3"/>
      <c r="O585" s="3"/>
      <c r="P585" s="3"/>
      <c r="Q585" s="3"/>
      <c r="R585" s="3"/>
      <c r="S585" s="3"/>
      <c r="T585" s="3"/>
      <c r="U585" s="3"/>
      <c r="V585" s="3"/>
      <c r="W585" s="3"/>
      <c r="X585" s="3"/>
      <c r="Y585" s="3"/>
      <c r="Z585" s="3"/>
    </row>
    <row r="586">
      <c r="A586" s="57"/>
      <c r="B586" s="57"/>
      <c r="C586" s="57"/>
      <c r="D586" s="3"/>
      <c r="E586" s="3"/>
      <c r="F586" s="3"/>
      <c r="G586" s="3"/>
      <c r="H586" s="3"/>
      <c r="I586" s="3"/>
      <c r="J586" s="3"/>
      <c r="K586" s="3"/>
      <c r="L586" s="3"/>
      <c r="M586" s="3"/>
      <c r="N586" s="3"/>
      <c r="O586" s="3"/>
      <c r="P586" s="3"/>
      <c r="Q586" s="3"/>
      <c r="R586" s="3"/>
      <c r="S586" s="3"/>
      <c r="T586" s="3"/>
      <c r="U586" s="3"/>
      <c r="V586" s="3"/>
      <c r="W586" s="3"/>
      <c r="X586" s="3"/>
      <c r="Y586" s="3"/>
      <c r="Z586" s="3"/>
    </row>
    <row r="587">
      <c r="A587" s="57"/>
      <c r="B587" s="57"/>
      <c r="C587" s="57"/>
      <c r="D587" s="3"/>
      <c r="E587" s="3"/>
      <c r="F587" s="3"/>
      <c r="G587" s="3"/>
      <c r="H587" s="3"/>
      <c r="I587" s="3"/>
      <c r="J587" s="3"/>
      <c r="K587" s="3"/>
      <c r="L587" s="3"/>
      <c r="M587" s="3"/>
      <c r="N587" s="3"/>
      <c r="O587" s="3"/>
      <c r="P587" s="3"/>
      <c r="Q587" s="3"/>
      <c r="R587" s="3"/>
      <c r="S587" s="3"/>
      <c r="T587" s="3"/>
      <c r="U587" s="3"/>
      <c r="V587" s="3"/>
      <c r="W587" s="3"/>
      <c r="X587" s="3"/>
      <c r="Y587" s="3"/>
      <c r="Z587" s="3"/>
    </row>
    <row r="588">
      <c r="A588" s="57"/>
      <c r="B588" s="57"/>
      <c r="C588" s="57"/>
      <c r="D588" s="3"/>
      <c r="E588" s="3"/>
      <c r="F588" s="3"/>
      <c r="G588" s="3"/>
      <c r="H588" s="3"/>
      <c r="I588" s="3"/>
      <c r="J588" s="3"/>
      <c r="K588" s="3"/>
      <c r="L588" s="3"/>
      <c r="M588" s="3"/>
      <c r="N588" s="3"/>
      <c r="O588" s="3"/>
      <c r="P588" s="3"/>
      <c r="Q588" s="3"/>
      <c r="R588" s="3"/>
      <c r="S588" s="3"/>
      <c r="T588" s="3"/>
      <c r="U588" s="3"/>
      <c r="V588" s="3"/>
      <c r="W588" s="3"/>
      <c r="X588" s="3"/>
      <c r="Y588" s="3"/>
      <c r="Z588" s="3"/>
    </row>
    <row r="589">
      <c r="A589" s="57"/>
      <c r="B589" s="57"/>
      <c r="C589" s="57"/>
      <c r="D589" s="3"/>
      <c r="E589" s="3"/>
      <c r="F589" s="3"/>
      <c r="G589" s="3"/>
      <c r="H589" s="3"/>
      <c r="I589" s="3"/>
      <c r="J589" s="3"/>
      <c r="K589" s="3"/>
      <c r="L589" s="3"/>
      <c r="M589" s="3"/>
      <c r="N589" s="3"/>
      <c r="O589" s="3"/>
      <c r="P589" s="3"/>
      <c r="Q589" s="3"/>
      <c r="R589" s="3"/>
      <c r="S589" s="3"/>
      <c r="T589" s="3"/>
      <c r="U589" s="3"/>
      <c r="V589" s="3"/>
      <c r="W589" s="3"/>
      <c r="X589" s="3"/>
      <c r="Y589" s="3"/>
      <c r="Z589" s="3"/>
    </row>
    <row r="590">
      <c r="A590" s="57"/>
      <c r="B590" s="57"/>
      <c r="C590" s="57"/>
      <c r="D590" s="3"/>
      <c r="E590" s="3"/>
      <c r="F590" s="3"/>
      <c r="G590" s="3"/>
      <c r="H590" s="3"/>
      <c r="I590" s="3"/>
      <c r="J590" s="3"/>
      <c r="K590" s="3"/>
      <c r="L590" s="3"/>
      <c r="M590" s="3"/>
      <c r="N590" s="3"/>
      <c r="O590" s="3"/>
      <c r="P590" s="3"/>
      <c r="Q590" s="3"/>
      <c r="R590" s="3"/>
      <c r="S590" s="3"/>
      <c r="T590" s="3"/>
      <c r="U590" s="3"/>
      <c r="V590" s="3"/>
      <c r="W590" s="3"/>
      <c r="X590" s="3"/>
      <c r="Y590" s="3"/>
      <c r="Z590" s="3"/>
    </row>
    <row r="591">
      <c r="A591" s="57"/>
      <c r="B591" s="57"/>
      <c r="C591" s="57"/>
      <c r="D591" s="3"/>
      <c r="E591" s="3"/>
      <c r="F591" s="3"/>
      <c r="G591" s="3"/>
      <c r="H591" s="3"/>
      <c r="I591" s="3"/>
      <c r="J591" s="3"/>
      <c r="K591" s="3"/>
      <c r="L591" s="3"/>
      <c r="M591" s="3"/>
      <c r="N591" s="3"/>
      <c r="O591" s="3"/>
      <c r="P591" s="3"/>
      <c r="Q591" s="3"/>
      <c r="R591" s="3"/>
      <c r="S591" s="3"/>
      <c r="T591" s="3"/>
      <c r="U591" s="3"/>
      <c r="V591" s="3"/>
      <c r="W591" s="3"/>
      <c r="X591" s="3"/>
      <c r="Y591" s="3"/>
      <c r="Z591" s="3"/>
    </row>
    <row r="592">
      <c r="A592" s="57"/>
      <c r="B592" s="57"/>
      <c r="C592" s="57"/>
      <c r="D592" s="3"/>
      <c r="E592" s="3"/>
      <c r="F592" s="3"/>
      <c r="G592" s="3"/>
      <c r="H592" s="3"/>
      <c r="I592" s="3"/>
      <c r="J592" s="3"/>
      <c r="K592" s="3"/>
      <c r="L592" s="3"/>
      <c r="M592" s="3"/>
      <c r="N592" s="3"/>
      <c r="O592" s="3"/>
      <c r="P592" s="3"/>
      <c r="Q592" s="3"/>
      <c r="R592" s="3"/>
      <c r="S592" s="3"/>
      <c r="T592" s="3"/>
      <c r="U592" s="3"/>
      <c r="V592" s="3"/>
      <c r="W592" s="3"/>
      <c r="X592" s="3"/>
      <c r="Y592" s="3"/>
      <c r="Z592" s="3"/>
    </row>
    <row r="593">
      <c r="A593" s="57"/>
      <c r="B593" s="57"/>
      <c r="C593" s="57"/>
      <c r="D593" s="3"/>
      <c r="E593" s="3"/>
      <c r="F593" s="3"/>
      <c r="G593" s="3"/>
      <c r="H593" s="3"/>
      <c r="I593" s="3"/>
      <c r="J593" s="3"/>
      <c r="K593" s="3"/>
      <c r="L593" s="3"/>
      <c r="M593" s="3"/>
      <c r="N593" s="3"/>
      <c r="O593" s="3"/>
      <c r="P593" s="3"/>
      <c r="Q593" s="3"/>
      <c r="R593" s="3"/>
      <c r="S593" s="3"/>
      <c r="T593" s="3"/>
      <c r="U593" s="3"/>
      <c r="V593" s="3"/>
      <c r="W593" s="3"/>
      <c r="X593" s="3"/>
      <c r="Y593" s="3"/>
      <c r="Z593" s="3"/>
    </row>
    <row r="594">
      <c r="A594" s="57"/>
      <c r="B594" s="57"/>
      <c r="C594" s="57"/>
      <c r="D594" s="3"/>
      <c r="E594" s="3"/>
      <c r="F594" s="3"/>
      <c r="G594" s="3"/>
      <c r="H594" s="3"/>
      <c r="I594" s="3"/>
      <c r="J594" s="3"/>
      <c r="K594" s="3"/>
      <c r="L594" s="3"/>
      <c r="M594" s="3"/>
      <c r="N594" s="3"/>
      <c r="O594" s="3"/>
      <c r="P594" s="3"/>
      <c r="Q594" s="3"/>
      <c r="R594" s="3"/>
      <c r="S594" s="3"/>
      <c r="T594" s="3"/>
      <c r="U594" s="3"/>
      <c r="V594" s="3"/>
      <c r="W594" s="3"/>
      <c r="X594" s="3"/>
      <c r="Y594" s="3"/>
      <c r="Z594" s="3"/>
    </row>
    <row r="595">
      <c r="A595" s="57"/>
      <c r="B595" s="57"/>
      <c r="C595" s="57"/>
      <c r="D595" s="3"/>
      <c r="E595" s="3"/>
      <c r="F595" s="3"/>
      <c r="G595" s="3"/>
      <c r="H595" s="3"/>
      <c r="I595" s="3"/>
      <c r="J595" s="3"/>
      <c r="K595" s="3"/>
      <c r="L595" s="3"/>
      <c r="M595" s="3"/>
      <c r="N595" s="3"/>
      <c r="O595" s="3"/>
      <c r="P595" s="3"/>
      <c r="Q595" s="3"/>
      <c r="R595" s="3"/>
      <c r="S595" s="3"/>
      <c r="T595" s="3"/>
      <c r="U595" s="3"/>
      <c r="V595" s="3"/>
      <c r="W595" s="3"/>
      <c r="X595" s="3"/>
      <c r="Y595" s="3"/>
      <c r="Z595" s="3"/>
    </row>
    <row r="596">
      <c r="A596" s="57"/>
      <c r="B596" s="57"/>
      <c r="C596" s="57"/>
      <c r="D596" s="3"/>
      <c r="E596" s="3"/>
      <c r="F596" s="3"/>
      <c r="G596" s="3"/>
      <c r="H596" s="3"/>
      <c r="I596" s="3"/>
      <c r="J596" s="3"/>
      <c r="K596" s="3"/>
      <c r="L596" s="3"/>
      <c r="M596" s="3"/>
      <c r="N596" s="3"/>
      <c r="O596" s="3"/>
      <c r="P596" s="3"/>
      <c r="Q596" s="3"/>
      <c r="R596" s="3"/>
      <c r="S596" s="3"/>
      <c r="T596" s="3"/>
      <c r="U596" s="3"/>
      <c r="V596" s="3"/>
      <c r="W596" s="3"/>
      <c r="X596" s="3"/>
      <c r="Y596" s="3"/>
      <c r="Z596" s="3"/>
    </row>
    <row r="597">
      <c r="A597" s="57"/>
      <c r="B597" s="57"/>
      <c r="C597" s="57"/>
      <c r="D597" s="3"/>
      <c r="E597" s="3"/>
      <c r="F597" s="3"/>
      <c r="G597" s="3"/>
      <c r="H597" s="3"/>
      <c r="I597" s="3"/>
      <c r="J597" s="3"/>
      <c r="K597" s="3"/>
      <c r="L597" s="3"/>
      <c r="M597" s="3"/>
      <c r="N597" s="3"/>
      <c r="O597" s="3"/>
      <c r="P597" s="3"/>
      <c r="Q597" s="3"/>
      <c r="R597" s="3"/>
      <c r="S597" s="3"/>
      <c r="T597" s="3"/>
      <c r="U597" s="3"/>
      <c r="V597" s="3"/>
      <c r="W597" s="3"/>
      <c r="X597" s="3"/>
      <c r="Y597" s="3"/>
      <c r="Z597" s="3"/>
    </row>
    <row r="598">
      <c r="A598" s="57"/>
      <c r="B598" s="57"/>
      <c r="C598" s="57"/>
      <c r="D598" s="3"/>
      <c r="E598" s="3"/>
      <c r="F598" s="3"/>
      <c r="G598" s="3"/>
      <c r="H598" s="3"/>
      <c r="I598" s="3"/>
      <c r="J598" s="3"/>
      <c r="K598" s="3"/>
      <c r="L598" s="3"/>
      <c r="M598" s="3"/>
      <c r="N598" s="3"/>
      <c r="O598" s="3"/>
      <c r="P598" s="3"/>
      <c r="Q598" s="3"/>
      <c r="R598" s="3"/>
      <c r="S598" s="3"/>
      <c r="T598" s="3"/>
      <c r="U598" s="3"/>
      <c r="V598" s="3"/>
      <c r="W598" s="3"/>
      <c r="X598" s="3"/>
      <c r="Y598" s="3"/>
      <c r="Z598" s="3"/>
    </row>
    <row r="599">
      <c r="A599" s="57"/>
      <c r="B599" s="57"/>
      <c r="C599" s="57"/>
      <c r="D599" s="3"/>
      <c r="E599" s="3"/>
      <c r="F599" s="3"/>
      <c r="G599" s="3"/>
      <c r="H599" s="3"/>
      <c r="I599" s="3"/>
      <c r="J599" s="3"/>
      <c r="K599" s="3"/>
      <c r="L599" s="3"/>
      <c r="M599" s="3"/>
      <c r="N599" s="3"/>
      <c r="O599" s="3"/>
      <c r="P599" s="3"/>
      <c r="Q599" s="3"/>
      <c r="R599" s="3"/>
      <c r="S599" s="3"/>
      <c r="T599" s="3"/>
      <c r="U599" s="3"/>
      <c r="V599" s="3"/>
      <c r="W599" s="3"/>
      <c r="X599" s="3"/>
      <c r="Y599" s="3"/>
      <c r="Z599" s="3"/>
    </row>
    <row r="600">
      <c r="A600" s="57"/>
      <c r="B600" s="57"/>
      <c r="C600" s="57"/>
      <c r="D600" s="3"/>
      <c r="E600" s="3"/>
      <c r="F600" s="3"/>
      <c r="G600" s="3"/>
      <c r="H600" s="3"/>
      <c r="I600" s="3"/>
      <c r="J600" s="3"/>
      <c r="K600" s="3"/>
      <c r="L600" s="3"/>
      <c r="M600" s="3"/>
      <c r="N600" s="3"/>
      <c r="O600" s="3"/>
      <c r="P600" s="3"/>
      <c r="Q600" s="3"/>
      <c r="R600" s="3"/>
      <c r="S600" s="3"/>
      <c r="T600" s="3"/>
      <c r="U600" s="3"/>
      <c r="V600" s="3"/>
      <c r="W600" s="3"/>
      <c r="X600" s="3"/>
      <c r="Y600" s="3"/>
      <c r="Z600" s="3"/>
    </row>
    <row r="601">
      <c r="A601" s="57"/>
      <c r="B601" s="57"/>
      <c r="C601" s="57"/>
      <c r="D601" s="3"/>
      <c r="E601" s="3"/>
      <c r="F601" s="3"/>
      <c r="G601" s="3"/>
      <c r="H601" s="3"/>
      <c r="I601" s="3"/>
      <c r="J601" s="3"/>
      <c r="K601" s="3"/>
      <c r="L601" s="3"/>
      <c r="M601" s="3"/>
      <c r="N601" s="3"/>
      <c r="O601" s="3"/>
      <c r="P601" s="3"/>
      <c r="Q601" s="3"/>
      <c r="R601" s="3"/>
      <c r="S601" s="3"/>
      <c r="T601" s="3"/>
      <c r="U601" s="3"/>
      <c r="V601" s="3"/>
      <c r="W601" s="3"/>
      <c r="X601" s="3"/>
      <c r="Y601" s="3"/>
      <c r="Z601" s="3"/>
    </row>
    <row r="602">
      <c r="A602" s="57"/>
      <c r="B602" s="57"/>
      <c r="C602" s="57"/>
      <c r="D602" s="3"/>
      <c r="E602" s="3"/>
      <c r="F602" s="3"/>
      <c r="G602" s="3"/>
      <c r="H602" s="3"/>
      <c r="I602" s="3"/>
      <c r="J602" s="3"/>
      <c r="K602" s="3"/>
      <c r="L602" s="3"/>
      <c r="M602" s="3"/>
      <c r="N602" s="3"/>
      <c r="O602" s="3"/>
      <c r="P602" s="3"/>
      <c r="Q602" s="3"/>
      <c r="R602" s="3"/>
      <c r="S602" s="3"/>
      <c r="T602" s="3"/>
      <c r="U602" s="3"/>
      <c r="V602" s="3"/>
      <c r="W602" s="3"/>
      <c r="X602" s="3"/>
      <c r="Y602" s="3"/>
      <c r="Z602" s="3"/>
    </row>
    <row r="603">
      <c r="A603" s="57"/>
      <c r="B603" s="57"/>
      <c r="C603" s="57"/>
      <c r="D603" s="3"/>
      <c r="E603" s="3"/>
      <c r="F603" s="3"/>
      <c r="G603" s="3"/>
      <c r="H603" s="3"/>
      <c r="I603" s="3"/>
      <c r="J603" s="3"/>
      <c r="K603" s="3"/>
      <c r="L603" s="3"/>
      <c r="M603" s="3"/>
      <c r="N603" s="3"/>
      <c r="O603" s="3"/>
      <c r="P603" s="3"/>
      <c r="Q603" s="3"/>
      <c r="R603" s="3"/>
      <c r="S603" s="3"/>
      <c r="T603" s="3"/>
      <c r="U603" s="3"/>
      <c r="V603" s="3"/>
      <c r="W603" s="3"/>
      <c r="X603" s="3"/>
      <c r="Y603" s="3"/>
      <c r="Z603" s="3"/>
    </row>
    <row r="604">
      <c r="A604" s="57"/>
      <c r="B604" s="57"/>
      <c r="C604" s="57"/>
      <c r="D604" s="3"/>
      <c r="E604" s="3"/>
      <c r="F604" s="3"/>
      <c r="G604" s="3"/>
      <c r="H604" s="3"/>
      <c r="I604" s="3"/>
      <c r="J604" s="3"/>
      <c r="K604" s="3"/>
      <c r="L604" s="3"/>
      <c r="M604" s="3"/>
      <c r="N604" s="3"/>
      <c r="O604" s="3"/>
      <c r="P604" s="3"/>
      <c r="Q604" s="3"/>
      <c r="R604" s="3"/>
      <c r="S604" s="3"/>
      <c r="T604" s="3"/>
      <c r="U604" s="3"/>
      <c r="V604" s="3"/>
      <c r="W604" s="3"/>
      <c r="X604" s="3"/>
      <c r="Y604" s="3"/>
      <c r="Z604" s="3"/>
    </row>
    <row r="605">
      <c r="A605" s="57"/>
      <c r="B605" s="57"/>
      <c r="C605" s="57"/>
      <c r="D605" s="3"/>
      <c r="E605" s="3"/>
      <c r="F605" s="3"/>
      <c r="G605" s="3"/>
      <c r="H605" s="3"/>
      <c r="I605" s="3"/>
      <c r="J605" s="3"/>
      <c r="K605" s="3"/>
      <c r="L605" s="3"/>
      <c r="M605" s="3"/>
      <c r="N605" s="3"/>
      <c r="O605" s="3"/>
      <c r="P605" s="3"/>
      <c r="Q605" s="3"/>
      <c r="R605" s="3"/>
      <c r="S605" s="3"/>
      <c r="T605" s="3"/>
      <c r="U605" s="3"/>
      <c r="V605" s="3"/>
      <c r="W605" s="3"/>
      <c r="X605" s="3"/>
      <c r="Y605" s="3"/>
      <c r="Z605" s="3"/>
    </row>
    <row r="606">
      <c r="A606" s="57"/>
      <c r="B606" s="57"/>
      <c r="C606" s="57"/>
      <c r="D606" s="3"/>
      <c r="E606" s="3"/>
      <c r="F606" s="3"/>
      <c r="G606" s="3"/>
      <c r="H606" s="3"/>
      <c r="I606" s="3"/>
      <c r="J606" s="3"/>
      <c r="K606" s="3"/>
      <c r="L606" s="3"/>
      <c r="M606" s="3"/>
      <c r="N606" s="3"/>
      <c r="O606" s="3"/>
      <c r="P606" s="3"/>
      <c r="Q606" s="3"/>
      <c r="R606" s="3"/>
      <c r="S606" s="3"/>
      <c r="T606" s="3"/>
      <c r="U606" s="3"/>
      <c r="V606" s="3"/>
      <c r="W606" s="3"/>
      <c r="X606" s="3"/>
      <c r="Y606" s="3"/>
      <c r="Z606" s="3"/>
    </row>
    <row r="607">
      <c r="A607" s="57"/>
      <c r="B607" s="57"/>
      <c r="C607" s="57"/>
      <c r="D607" s="3"/>
      <c r="E607" s="3"/>
      <c r="F607" s="3"/>
      <c r="G607" s="3"/>
      <c r="H607" s="3"/>
      <c r="I607" s="3"/>
      <c r="J607" s="3"/>
      <c r="K607" s="3"/>
      <c r="L607" s="3"/>
      <c r="M607" s="3"/>
      <c r="N607" s="3"/>
      <c r="O607" s="3"/>
      <c r="P607" s="3"/>
      <c r="Q607" s="3"/>
      <c r="R607" s="3"/>
      <c r="S607" s="3"/>
      <c r="T607" s="3"/>
      <c r="U607" s="3"/>
      <c r="V607" s="3"/>
      <c r="W607" s="3"/>
      <c r="X607" s="3"/>
      <c r="Y607" s="3"/>
      <c r="Z607" s="3"/>
    </row>
    <row r="608">
      <c r="A608" s="57"/>
      <c r="B608" s="57"/>
      <c r="C608" s="57"/>
      <c r="D608" s="3"/>
      <c r="E608" s="3"/>
      <c r="F608" s="3"/>
      <c r="G608" s="3"/>
      <c r="H608" s="3"/>
      <c r="I608" s="3"/>
      <c r="J608" s="3"/>
      <c r="K608" s="3"/>
      <c r="L608" s="3"/>
      <c r="M608" s="3"/>
      <c r="N608" s="3"/>
      <c r="O608" s="3"/>
      <c r="P608" s="3"/>
      <c r="Q608" s="3"/>
      <c r="R608" s="3"/>
      <c r="S608" s="3"/>
      <c r="T608" s="3"/>
      <c r="U608" s="3"/>
      <c r="V608" s="3"/>
      <c r="W608" s="3"/>
      <c r="X608" s="3"/>
      <c r="Y608" s="3"/>
      <c r="Z608" s="3"/>
    </row>
    <row r="609">
      <c r="A609" s="57"/>
      <c r="B609" s="57"/>
      <c r="C609" s="57"/>
      <c r="D609" s="3"/>
      <c r="E609" s="3"/>
      <c r="F609" s="3"/>
      <c r="G609" s="3"/>
      <c r="H609" s="3"/>
      <c r="I609" s="3"/>
      <c r="J609" s="3"/>
      <c r="K609" s="3"/>
      <c r="L609" s="3"/>
      <c r="M609" s="3"/>
      <c r="N609" s="3"/>
      <c r="O609" s="3"/>
      <c r="P609" s="3"/>
      <c r="Q609" s="3"/>
      <c r="R609" s="3"/>
      <c r="S609" s="3"/>
      <c r="T609" s="3"/>
      <c r="U609" s="3"/>
      <c r="V609" s="3"/>
      <c r="W609" s="3"/>
      <c r="X609" s="3"/>
      <c r="Y609" s="3"/>
      <c r="Z609" s="3"/>
    </row>
    <row r="610">
      <c r="A610" s="57"/>
      <c r="B610" s="57"/>
      <c r="C610" s="57"/>
      <c r="D610" s="3"/>
      <c r="E610" s="3"/>
      <c r="F610" s="3"/>
      <c r="G610" s="3"/>
      <c r="H610" s="3"/>
      <c r="I610" s="3"/>
      <c r="J610" s="3"/>
      <c r="K610" s="3"/>
      <c r="L610" s="3"/>
      <c r="M610" s="3"/>
      <c r="N610" s="3"/>
      <c r="O610" s="3"/>
      <c r="P610" s="3"/>
      <c r="Q610" s="3"/>
      <c r="R610" s="3"/>
      <c r="S610" s="3"/>
      <c r="T610" s="3"/>
      <c r="U610" s="3"/>
      <c r="V610" s="3"/>
      <c r="W610" s="3"/>
      <c r="X610" s="3"/>
      <c r="Y610" s="3"/>
      <c r="Z610" s="3"/>
    </row>
    <row r="611">
      <c r="A611" s="57"/>
      <c r="B611" s="57"/>
      <c r="C611" s="57"/>
      <c r="D611" s="3"/>
      <c r="E611" s="3"/>
      <c r="F611" s="3"/>
      <c r="G611" s="3"/>
      <c r="H611" s="3"/>
      <c r="I611" s="3"/>
      <c r="J611" s="3"/>
      <c r="K611" s="3"/>
      <c r="L611" s="3"/>
      <c r="M611" s="3"/>
      <c r="N611" s="3"/>
      <c r="O611" s="3"/>
      <c r="P611" s="3"/>
      <c r="Q611" s="3"/>
      <c r="R611" s="3"/>
      <c r="S611" s="3"/>
      <c r="T611" s="3"/>
      <c r="U611" s="3"/>
      <c r="V611" s="3"/>
      <c r="W611" s="3"/>
      <c r="X611" s="3"/>
      <c r="Y611" s="3"/>
      <c r="Z611" s="3"/>
    </row>
    <row r="612">
      <c r="A612" s="57"/>
      <c r="B612" s="57"/>
      <c r="C612" s="57"/>
      <c r="D612" s="3"/>
      <c r="E612" s="3"/>
      <c r="F612" s="3"/>
      <c r="G612" s="3"/>
      <c r="H612" s="3"/>
      <c r="I612" s="3"/>
      <c r="J612" s="3"/>
      <c r="K612" s="3"/>
      <c r="L612" s="3"/>
      <c r="M612" s="3"/>
      <c r="N612" s="3"/>
      <c r="O612" s="3"/>
      <c r="P612" s="3"/>
      <c r="Q612" s="3"/>
      <c r="R612" s="3"/>
      <c r="S612" s="3"/>
      <c r="T612" s="3"/>
      <c r="U612" s="3"/>
      <c r="V612" s="3"/>
      <c r="W612" s="3"/>
      <c r="X612" s="3"/>
      <c r="Y612" s="3"/>
      <c r="Z612" s="3"/>
    </row>
    <row r="613">
      <c r="A613" s="57"/>
      <c r="B613" s="57"/>
      <c r="C613" s="57"/>
      <c r="D613" s="3"/>
      <c r="E613" s="3"/>
      <c r="F613" s="3"/>
      <c r="G613" s="3"/>
      <c r="H613" s="3"/>
      <c r="I613" s="3"/>
      <c r="J613" s="3"/>
      <c r="K613" s="3"/>
      <c r="L613" s="3"/>
      <c r="M613" s="3"/>
      <c r="N613" s="3"/>
      <c r="O613" s="3"/>
      <c r="P613" s="3"/>
      <c r="Q613" s="3"/>
      <c r="R613" s="3"/>
      <c r="S613" s="3"/>
      <c r="T613" s="3"/>
      <c r="U613" s="3"/>
      <c r="V613" s="3"/>
      <c r="W613" s="3"/>
      <c r="X613" s="3"/>
      <c r="Y613" s="3"/>
      <c r="Z613" s="3"/>
    </row>
    <row r="614">
      <c r="A614" s="57"/>
      <c r="B614" s="57"/>
      <c r="C614" s="57"/>
      <c r="D614" s="3"/>
      <c r="E614" s="3"/>
      <c r="F614" s="3"/>
      <c r="G614" s="3"/>
      <c r="H614" s="3"/>
      <c r="I614" s="3"/>
      <c r="J614" s="3"/>
      <c r="K614" s="3"/>
      <c r="L614" s="3"/>
      <c r="M614" s="3"/>
      <c r="N614" s="3"/>
      <c r="O614" s="3"/>
      <c r="P614" s="3"/>
      <c r="Q614" s="3"/>
      <c r="R614" s="3"/>
      <c r="S614" s="3"/>
      <c r="T614" s="3"/>
      <c r="U614" s="3"/>
      <c r="V614" s="3"/>
      <c r="W614" s="3"/>
      <c r="X614" s="3"/>
      <c r="Y614" s="3"/>
      <c r="Z614" s="3"/>
    </row>
    <row r="615">
      <c r="A615" s="57"/>
      <c r="B615" s="57"/>
      <c r="C615" s="57"/>
      <c r="D615" s="3"/>
      <c r="E615" s="3"/>
      <c r="F615" s="3"/>
      <c r="G615" s="3"/>
      <c r="H615" s="3"/>
      <c r="I615" s="3"/>
      <c r="J615" s="3"/>
      <c r="K615" s="3"/>
      <c r="L615" s="3"/>
      <c r="M615" s="3"/>
      <c r="N615" s="3"/>
      <c r="O615" s="3"/>
      <c r="P615" s="3"/>
      <c r="Q615" s="3"/>
      <c r="R615" s="3"/>
      <c r="S615" s="3"/>
      <c r="T615" s="3"/>
      <c r="U615" s="3"/>
      <c r="V615" s="3"/>
      <c r="W615" s="3"/>
      <c r="X615" s="3"/>
      <c r="Y615" s="3"/>
      <c r="Z615" s="3"/>
    </row>
    <row r="616">
      <c r="A616" s="57"/>
      <c r="B616" s="57"/>
      <c r="C616" s="57"/>
      <c r="D616" s="3"/>
      <c r="E616" s="3"/>
      <c r="F616" s="3"/>
      <c r="G616" s="3"/>
      <c r="H616" s="3"/>
      <c r="I616" s="3"/>
      <c r="J616" s="3"/>
      <c r="K616" s="3"/>
      <c r="L616" s="3"/>
      <c r="M616" s="3"/>
      <c r="N616" s="3"/>
      <c r="O616" s="3"/>
      <c r="P616" s="3"/>
      <c r="Q616" s="3"/>
      <c r="R616" s="3"/>
      <c r="S616" s="3"/>
      <c r="T616" s="3"/>
      <c r="U616" s="3"/>
      <c r="V616" s="3"/>
      <c r="W616" s="3"/>
      <c r="X616" s="3"/>
      <c r="Y616" s="3"/>
      <c r="Z616" s="3"/>
    </row>
    <row r="617">
      <c r="A617" s="57"/>
      <c r="B617" s="57"/>
      <c r="C617" s="57"/>
      <c r="D617" s="3"/>
      <c r="E617" s="3"/>
      <c r="F617" s="3"/>
      <c r="G617" s="3"/>
      <c r="H617" s="3"/>
      <c r="I617" s="3"/>
      <c r="J617" s="3"/>
      <c r="K617" s="3"/>
      <c r="L617" s="3"/>
      <c r="M617" s="3"/>
      <c r="N617" s="3"/>
      <c r="O617" s="3"/>
      <c r="P617" s="3"/>
      <c r="Q617" s="3"/>
      <c r="R617" s="3"/>
      <c r="S617" s="3"/>
      <c r="T617" s="3"/>
      <c r="U617" s="3"/>
      <c r="V617" s="3"/>
      <c r="W617" s="3"/>
      <c r="X617" s="3"/>
      <c r="Y617" s="3"/>
      <c r="Z617" s="3"/>
    </row>
    <row r="618">
      <c r="A618" s="57"/>
      <c r="B618" s="57"/>
      <c r="C618" s="57"/>
      <c r="D618" s="3"/>
      <c r="E618" s="3"/>
      <c r="F618" s="3"/>
      <c r="G618" s="3"/>
      <c r="H618" s="3"/>
      <c r="I618" s="3"/>
      <c r="J618" s="3"/>
      <c r="K618" s="3"/>
      <c r="L618" s="3"/>
      <c r="M618" s="3"/>
      <c r="N618" s="3"/>
      <c r="O618" s="3"/>
      <c r="P618" s="3"/>
      <c r="Q618" s="3"/>
      <c r="R618" s="3"/>
      <c r="S618" s="3"/>
      <c r="T618" s="3"/>
      <c r="U618" s="3"/>
      <c r="V618" s="3"/>
      <c r="W618" s="3"/>
      <c r="X618" s="3"/>
      <c r="Y618" s="3"/>
      <c r="Z618" s="3"/>
    </row>
    <row r="619">
      <c r="A619" s="57"/>
      <c r="B619" s="57"/>
      <c r="C619" s="57"/>
      <c r="D619" s="3"/>
      <c r="E619" s="3"/>
      <c r="F619" s="3"/>
      <c r="G619" s="3"/>
      <c r="H619" s="3"/>
      <c r="I619" s="3"/>
      <c r="J619" s="3"/>
      <c r="K619" s="3"/>
      <c r="L619" s="3"/>
      <c r="M619" s="3"/>
      <c r="N619" s="3"/>
      <c r="O619" s="3"/>
      <c r="P619" s="3"/>
      <c r="Q619" s="3"/>
      <c r="R619" s="3"/>
      <c r="S619" s="3"/>
      <c r="T619" s="3"/>
      <c r="U619" s="3"/>
      <c r="V619" s="3"/>
      <c r="W619" s="3"/>
      <c r="X619" s="3"/>
      <c r="Y619" s="3"/>
      <c r="Z619" s="3"/>
    </row>
    <row r="620">
      <c r="A620" s="57"/>
      <c r="B620" s="57"/>
      <c r="C620" s="57"/>
      <c r="D620" s="3"/>
      <c r="E620" s="3"/>
      <c r="F620" s="3"/>
      <c r="G620" s="3"/>
      <c r="H620" s="3"/>
      <c r="I620" s="3"/>
      <c r="J620" s="3"/>
      <c r="K620" s="3"/>
      <c r="L620" s="3"/>
      <c r="M620" s="3"/>
      <c r="N620" s="3"/>
      <c r="O620" s="3"/>
      <c r="P620" s="3"/>
      <c r="Q620" s="3"/>
      <c r="R620" s="3"/>
      <c r="S620" s="3"/>
      <c r="T620" s="3"/>
      <c r="U620" s="3"/>
      <c r="V620" s="3"/>
      <c r="W620" s="3"/>
      <c r="X620" s="3"/>
      <c r="Y620" s="3"/>
      <c r="Z620" s="3"/>
    </row>
    <row r="621">
      <c r="A621" s="57"/>
      <c r="B621" s="57"/>
      <c r="C621" s="57"/>
      <c r="D621" s="3"/>
      <c r="E621" s="3"/>
      <c r="F621" s="3"/>
      <c r="G621" s="3"/>
      <c r="H621" s="3"/>
      <c r="I621" s="3"/>
      <c r="J621" s="3"/>
      <c r="K621" s="3"/>
      <c r="L621" s="3"/>
      <c r="M621" s="3"/>
      <c r="N621" s="3"/>
      <c r="O621" s="3"/>
      <c r="P621" s="3"/>
      <c r="Q621" s="3"/>
      <c r="R621" s="3"/>
      <c r="S621" s="3"/>
      <c r="T621" s="3"/>
      <c r="U621" s="3"/>
      <c r="V621" s="3"/>
      <c r="W621" s="3"/>
      <c r="X621" s="3"/>
      <c r="Y621" s="3"/>
      <c r="Z621" s="3"/>
    </row>
    <row r="622">
      <c r="A622" s="57"/>
      <c r="B622" s="57"/>
      <c r="C622" s="57"/>
      <c r="D622" s="3"/>
      <c r="E622" s="3"/>
      <c r="F622" s="3"/>
      <c r="G622" s="3"/>
      <c r="H622" s="3"/>
      <c r="I622" s="3"/>
      <c r="J622" s="3"/>
      <c r="K622" s="3"/>
      <c r="L622" s="3"/>
      <c r="M622" s="3"/>
      <c r="N622" s="3"/>
      <c r="O622" s="3"/>
      <c r="P622" s="3"/>
      <c r="Q622" s="3"/>
      <c r="R622" s="3"/>
      <c r="S622" s="3"/>
      <c r="T622" s="3"/>
      <c r="U622" s="3"/>
      <c r="V622" s="3"/>
      <c r="W622" s="3"/>
      <c r="X622" s="3"/>
      <c r="Y622" s="3"/>
      <c r="Z622" s="3"/>
    </row>
    <row r="623">
      <c r="A623" s="57"/>
      <c r="B623" s="57"/>
      <c r="C623" s="57"/>
      <c r="D623" s="3"/>
      <c r="E623" s="3"/>
      <c r="F623" s="3"/>
      <c r="G623" s="3"/>
      <c r="H623" s="3"/>
      <c r="I623" s="3"/>
      <c r="J623" s="3"/>
      <c r="K623" s="3"/>
      <c r="L623" s="3"/>
      <c r="M623" s="3"/>
      <c r="N623" s="3"/>
      <c r="O623" s="3"/>
      <c r="P623" s="3"/>
      <c r="Q623" s="3"/>
      <c r="R623" s="3"/>
      <c r="S623" s="3"/>
      <c r="T623" s="3"/>
      <c r="U623" s="3"/>
      <c r="V623" s="3"/>
      <c r="W623" s="3"/>
      <c r="X623" s="3"/>
      <c r="Y623" s="3"/>
      <c r="Z623" s="3"/>
    </row>
    <row r="624">
      <c r="A624" s="57"/>
      <c r="B624" s="57"/>
      <c r="C624" s="57"/>
      <c r="D624" s="3"/>
      <c r="E624" s="3"/>
      <c r="F624" s="3"/>
      <c r="G624" s="3"/>
      <c r="H624" s="3"/>
      <c r="I624" s="3"/>
      <c r="J624" s="3"/>
      <c r="K624" s="3"/>
      <c r="L624" s="3"/>
      <c r="M624" s="3"/>
      <c r="N624" s="3"/>
      <c r="O624" s="3"/>
      <c r="P624" s="3"/>
      <c r="Q624" s="3"/>
      <c r="R624" s="3"/>
      <c r="S624" s="3"/>
      <c r="T624" s="3"/>
      <c r="U624" s="3"/>
      <c r="V624" s="3"/>
      <c r="W624" s="3"/>
      <c r="X624" s="3"/>
      <c r="Y624" s="3"/>
      <c r="Z624" s="3"/>
    </row>
    <row r="625">
      <c r="A625" s="57"/>
      <c r="B625" s="57"/>
      <c r="C625" s="57"/>
      <c r="D625" s="3"/>
      <c r="E625" s="3"/>
      <c r="F625" s="3"/>
      <c r="G625" s="3"/>
      <c r="H625" s="3"/>
      <c r="I625" s="3"/>
      <c r="J625" s="3"/>
      <c r="K625" s="3"/>
      <c r="L625" s="3"/>
      <c r="M625" s="3"/>
      <c r="N625" s="3"/>
      <c r="O625" s="3"/>
      <c r="P625" s="3"/>
      <c r="Q625" s="3"/>
      <c r="R625" s="3"/>
      <c r="S625" s="3"/>
      <c r="T625" s="3"/>
      <c r="U625" s="3"/>
      <c r="V625" s="3"/>
      <c r="W625" s="3"/>
      <c r="X625" s="3"/>
      <c r="Y625" s="3"/>
      <c r="Z625" s="3"/>
    </row>
    <row r="626">
      <c r="A626" s="57"/>
      <c r="B626" s="57"/>
      <c r="C626" s="57"/>
      <c r="D626" s="3"/>
      <c r="E626" s="3"/>
      <c r="F626" s="3"/>
      <c r="G626" s="3"/>
      <c r="H626" s="3"/>
      <c r="I626" s="3"/>
      <c r="J626" s="3"/>
      <c r="K626" s="3"/>
      <c r="L626" s="3"/>
      <c r="M626" s="3"/>
      <c r="N626" s="3"/>
      <c r="O626" s="3"/>
      <c r="P626" s="3"/>
      <c r="Q626" s="3"/>
      <c r="R626" s="3"/>
      <c r="S626" s="3"/>
      <c r="T626" s="3"/>
      <c r="U626" s="3"/>
      <c r="V626" s="3"/>
      <c r="W626" s="3"/>
      <c r="X626" s="3"/>
      <c r="Y626" s="3"/>
      <c r="Z626" s="3"/>
    </row>
    <row r="627">
      <c r="A627" s="57"/>
      <c r="B627" s="57"/>
      <c r="C627" s="57"/>
      <c r="D627" s="3"/>
      <c r="E627" s="3"/>
      <c r="F627" s="3"/>
      <c r="G627" s="3"/>
      <c r="H627" s="3"/>
      <c r="I627" s="3"/>
      <c r="J627" s="3"/>
      <c r="K627" s="3"/>
      <c r="L627" s="3"/>
      <c r="M627" s="3"/>
      <c r="N627" s="3"/>
      <c r="O627" s="3"/>
      <c r="P627" s="3"/>
      <c r="Q627" s="3"/>
      <c r="R627" s="3"/>
      <c r="S627" s="3"/>
      <c r="T627" s="3"/>
      <c r="U627" s="3"/>
      <c r="V627" s="3"/>
      <c r="W627" s="3"/>
      <c r="X627" s="3"/>
      <c r="Y627" s="3"/>
      <c r="Z627" s="3"/>
    </row>
    <row r="628">
      <c r="A628" s="57"/>
      <c r="B628" s="57"/>
      <c r="C628" s="57"/>
      <c r="D628" s="3"/>
      <c r="E628" s="3"/>
      <c r="F628" s="3"/>
      <c r="G628" s="3"/>
      <c r="H628" s="3"/>
      <c r="I628" s="3"/>
      <c r="J628" s="3"/>
      <c r="K628" s="3"/>
      <c r="L628" s="3"/>
      <c r="M628" s="3"/>
      <c r="N628" s="3"/>
      <c r="O628" s="3"/>
      <c r="P628" s="3"/>
      <c r="Q628" s="3"/>
      <c r="R628" s="3"/>
      <c r="S628" s="3"/>
      <c r="T628" s="3"/>
      <c r="U628" s="3"/>
      <c r="V628" s="3"/>
      <c r="W628" s="3"/>
      <c r="X628" s="3"/>
      <c r="Y628" s="3"/>
      <c r="Z628" s="3"/>
    </row>
    <row r="629">
      <c r="A629" s="57"/>
      <c r="B629" s="57"/>
      <c r="C629" s="57"/>
      <c r="D629" s="3"/>
      <c r="E629" s="3"/>
      <c r="F629" s="3"/>
      <c r="G629" s="3"/>
      <c r="H629" s="3"/>
      <c r="I629" s="3"/>
      <c r="J629" s="3"/>
      <c r="K629" s="3"/>
      <c r="L629" s="3"/>
      <c r="M629" s="3"/>
      <c r="N629" s="3"/>
      <c r="O629" s="3"/>
      <c r="P629" s="3"/>
      <c r="Q629" s="3"/>
      <c r="R629" s="3"/>
      <c r="S629" s="3"/>
      <c r="T629" s="3"/>
      <c r="U629" s="3"/>
      <c r="V629" s="3"/>
      <c r="W629" s="3"/>
      <c r="X629" s="3"/>
      <c r="Y629" s="3"/>
      <c r="Z629" s="3"/>
    </row>
    <row r="630">
      <c r="A630" s="57"/>
      <c r="B630" s="57"/>
      <c r="C630" s="57"/>
      <c r="D630" s="3"/>
      <c r="E630" s="3"/>
      <c r="F630" s="3"/>
      <c r="G630" s="3"/>
      <c r="H630" s="3"/>
      <c r="I630" s="3"/>
      <c r="J630" s="3"/>
      <c r="K630" s="3"/>
      <c r="L630" s="3"/>
      <c r="M630" s="3"/>
      <c r="N630" s="3"/>
      <c r="O630" s="3"/>
      <c r="P630" s="3"/>
      <c r="Q630" s="3"/>
      <c r="R630" s="3"/>
      <c r="S630" s="3"/>
      <c r="T630" s="3"/>
      <c r="U630" s="3"/>
      <c r="V630" s="3"/>
      <c r="W630" s="3"/>
      <c r="X630" s="3"/>
      <c r="Y630" s="3"/>
      <c r="Z630" s="3"/>
    </row>
    <row r="631">
      <c r="A631" s="57"/>
      <c r="B631" s="57"/>
      <c r="C631" s="57"/>
      <c r="D631" s="3"/>
      <c r="E631" s="3"/>
      <c r="F631" s="3"/>
      <c r="G631" s="3"/>
      <c r="H631" s="3"/>
      <c r="I631" s="3"/>
      <c r="J631" s="3"/>
      <c r="K631" s="3"/>
      <c r="L631" s="3"/>
      <c r="M631" s="3"/>
      <c r="N631" s="3"/>
      <c r="O631" s="3"/>
      <c r="P631" s="3"/>
      <c r="Q631" s="3"/>
      <c r="R631" s="3"/>
      <c r="S631" s="3"/>
      <c r="T631" s="3"/>
      <c r="U631" s="3"/>
      <c r="V631" s="3"/>
      <c r="W631" s="3"/>
      <c r="X631" s="3"/>
      <c r="Y631" s="3"/>
      <c r="Z631" s="3"/>
    </row>
    <row r="632">
      <c r="A632" s="57"/>
      <c r="B632" s="57"/>
      <c r="C632" s="57"/>
      <c r="D632" s="3"/>
      <c r="E632" s="3"/>
      <c r="F632" s="3"/>
      <c r="G632" s="3"/>
      <c r="H632" s="3"/>
      <c r="I632" s="3"/>
      <c r="J632" s="3"/>
      <c r="K632" s="3"/>
      <c r="L632" s="3"/>
      <c r="M632" s="3"/>
      <c r="N632" s="3"/>
      <c r="O632" s="3"/>
      <c r="P632" s="3"/>
      <c r="Q632" s="3"/>
      <c r="R632" s="3"/>
      <c r="S632" s="3"/>
      <c r="T632" s="3"/>
      <c r="U632" s="3"/>
      <c r="V632" s="3"/>
      <c r="W632" s="3"/>
      <c r="X632" s="3"/>
      <c r="Y632" s="3"/>
      <c r="Z632" s="3"/>
    </row>
    <row r="633">
      <c r="A633" s="57"/>
      <c r="B633" s="57"/>
      <c r="C633" s="57"/>
      <c r="D633" s="3"/>
      <c r="E633" s="3"/>
      <c r="F633" s="3"/>
      <c r="G633" s="3"/>
      <c r="H633" s="3"/>
      <c r="I633" s="3"/>
      <c r="J633" s="3"/>
      <c r="K633" s="3"/>
      <c r="L633" s="3"/>
      <c r="M633" s="3"/>
      <c r="N633" s="3"/>
      <c r="O633" s="3"/>
      <c r="P633" s="3"/>
      <c r="Q633" s="3"/>
      <c r="R633" s="3"/>
      <c r="S633" s="3"/>
      <c r="T633" s="3"/>
      <c r="U633" s="3"/>
      <c r="V633" s="3"/>
      <c r="W633" s="3"/>
      <c r="X633" s="3"/>
      <c r="Y633" s="3"/>
      <c r="Z633" s="3"/>
    </row>
    <row r="634">
      <c r="A634" s="57"/>
      <c r="B634" s="57"/>
      <c r="C634" s="57"/>
      <c r="D634" s="3"/>
      <c r="E634" s="3"/>
      <c r="F634" s="3"/>
      <c r="G634" s="3"/>
      <c r="H634" s="3"/>
      <c r="I634" s="3"/>
      <c r="J634" s="3"/>
      <c r="K634" s="3"/>
      <c r="L634" s="3"/>
      <c r="M634" s="3"/>
      <c r="N634" s="3"/>
      <c r="O634" s="3"/>
      <c r="P634" s="3"/>
      <c r="Q634" s="3"/>
      <c r="R634" s="3"/>
      <c r="S634" s="3"/>
      <c r="T634" s="3"/>
      <c r="U634" s="3"/>
      <c r="V634" s="3"/>
      <c r="W634" s="3"/>
      <c r="X634" s="3"/>
      <c r="Y634" s="3"/>
      <c r="Z634" s="3"/>
    </row>
    <row r="635">
      <c r="A635" s="57"/>
      <c r="B635" s="57"/>
      <c r="C635" s="57"/>
      <c r="D635" s="3"/>
      <c r="E635" s="3"/>
      <c r="F635" s="3"/>
      <c r="G635" s="3"/>
      <c r="H635" s="3"/>
      <c r="I635" s="3"/>
      <c r="J635" s="3"/>
      <c r="K635" s="3"/>
      <c r="L635" s="3"/>
      <c r="M635" s="3"/>
      <c r="N635" s="3"/>
      <c r="O635" s="3"/>
      <c r="P635" s="3"/>
      <c r="Q635" s="3"/>
      <c r="R635" s="3"/>
      <c r="S635" s="3"/>
      <c r="T635" s="3"/>
      <c r="U635" s="3"/>
      <c r="V635" s="3"/>
      <c r="W635" s="3"/>
      <c r="X635" s="3"/>
      <c r="Y635" s="3"/>
      <c r="Z635" s="3"/>
    </row>
    <row r="636">
      <c r="A636" s="57"/>
      <c r="B636" s="57"/>
      <c r="C636" s="57"/>
      <c r="D636" s="3"/>
      <c r="E636" s="3"/>
      <c r="F636" s="3"/>
      <c r="G636" s="3"/>
      <c r="H636" s="3"/>
      <c r="I636" s="3"/>
      <c r="J636" s="3"/>
      <c r="K636" s="3"/>
      <c r="L636" s="3"/>
      <c r="M636" s="3"/>
      <c r="N636" s="3"/>
      <c r="O636" s="3"/>
      <c r="P636" s="3"/>
      <c r="Q636" s="3"/>
      <c r="R636" s="3"/>
      <c r="S636" s="3"/>
      <c r="T636" s="3"/>
      <c r="U636" s="3"/>
      <c r="V636" s="3"/>
      <c r="W636" s="3"/>
      <c r="X636" s="3"/>
      <c r="Y636" s="3"/>
      <c r="Z636" s="3"/>
    </row>
    <row r="637">
      <c r="A637" s="57"/>
      <c r="B637" s="57"/>
      <c r="C637" s="57"/>
      <c r="D637" s="3"/>
      <c r="E637" s="3"/>
      <c r="F637" s="3"/>
      <c r="G637" s="3"/>
      <c r="H637" s="3"/>
      <c r="I637" s="3"/>
      <c r="J637" s="3"/>
      <c r="K637" s="3"/>
      <c r="L637" s="3"/>
      <c r="M637" s="3"/>
      <c r="N637" s="3"/>
      <c r="O637" s="3"/>
      <c r="P637" s="3"/>
      <c r="Q637" s="3"/>
      <c r="R637" s="3"/>
      <c r="S637" s="3"/>
      <c r="T637" s="3"/>
      <c r="U637" s="3"/>
      <c r="V637" s="3"/>
      <c r="W637" s="3"/>
      <c r="X637" s="3"/>
      <c r="Y637" s="3"/>
      <c r="Z637" s="3"/>
    </row>
    <row r="638">
      <c r="A638" s="57"/>
      <c r="B638" s="57"/>
      <c r="C638" s="57"/>
      <c r="D638" s="3"/>
      <c r="E638" s="3"/>
      <c r="F638" s="3"/>
      <c r="G638" s="3"/>
      <c r="H638" s="3"/>
      <c r="I638" s="3"/>
      <c r="J638" s="3"/>
      <c r="K638" s="3"/>
      <c r="L638" s="3"/>
      <c r="M638" s="3"/>
      <c r="N638" s="3"/>
      <c r="O638" s="3"/>
      <c r="P638" s="3"/>
      <c r="Q638" s="3"/>
      <c r="R638" s="3"/>
      <c r="S638" s="3"/>
      <c r="T638" s="3"/>
      <c r="U638" s="3"/>
      <c r="V638" s="3"/>
      <c r="W638" s="3"/>
      <c r="X638" s="3"/>
      <c r="Y638" s="3"/>
      <c r="Z638" s="3"/>
    </row>
    <row r="639">
      <c r="A639" s="57"/>
      <c r="B639" s="57"/>
      <c r="C639" s="57"/>
      <c r="D639" s="3"/>
      <c r="E639" s="3"/>
      <c r="F639" s="3"/>
      <c r="G639" s="3"/>
      <c r="H639" s="3"/>
      <c r="I639" s="3"/>
      <c r="J639" s="3"/>
      <c r="K639" s="3"/>
      <c r="L639" s="3"/>
      <c r="M639" s="3"/>
      <c r="N639" s="3"/>
      <c r="O639" s="3"/>
      <c r="P639" s="3"/>
      <c r="Q639" s="3"/>
      <c r="R639" s="3"/>
      <c r="S639" s="3"/>
      <c r="T639" s="3"/>
      <c r="U639" s="3"/>
      <c r="V639" s="3"/>
      <c r="W639" s="3"/>
      <c r="X639" s="3"/>
      <c r="Y639" s="3"/>
      <c r="Z639" s="3"/>
    </row>
    <row r="640">
      <c r="A640" s="57"/>
      <c r="B640" s="57"/>
      <c r="C640" s="57"/>
      <c r="D640" s="3"/>
      <c r="E640" s="3"/>
      <c r="F640" s="3"/>
      <c r="G640" s="3"/>
      <c r="H640" s="3"/>
      <c r="I640" s="3"/>
      <c r="J640" s="3"/>
      <c r="K640" s="3"/>
      <c r="L640" s="3"/>
      <c r="M640" s="3"/>
      <c r="N640" s="3"/>
      <c r="O640" s="3"/>
      <c r="P640" s="3"/>
      <c r="Q640" s="3"/>
      <c r="R640" s="3"/>
      <c r="S640" s="3"/>
      <c r="T640" s="3"/>
      <c r="U640" s="3"/>
      <c r="V640" s="3"/>
      <c r="W640" s="3"/>
      <c r="X640" s="3"/>
      <c r="Y640" s="3"/>
      <c r="Z640" s="3"/>
    </row>
    <row r="641">
      <c r="A641" s="57"/>
      <c r="B641" s="57"/>
      <c r="C641" s="57"/>
      <c r="D641" s="3"/>
      <c r="E641" s="3"/>
      <c r="F641" s="3"/>
      <c r="G641" s="3"/>
      <c r="H641" s="3"/>
      <c r="I641" s="3"/>
      <c r="J641" s="3"/>
      <c r="K641" s="3"/>
      <c r="L641" s="3"/>
      <c r="M641" s="3"/>
      <c r="N641" s="3"/>
      <c r="O641" s="3"/>
      <c r="P641" s="3"/>
      <c r="Q641" s="3"/>
      <c r="R641" s="3"/>
      <c r="S641" s="3"/>
      <c r="T641" s="3"/>
      <c r="U641" s="3"/>
      <c r="V641" s="3"/>
      <c r="W641" s="3"/>
      <c r="X641" s="3"/>
      <c r="Y641" s="3"/>
      <c r="Z641" s="3"/>
    </row>
    <row r="642">
      <c r="A642" s="57"/>
      <c r="B642" s="57"/>
      <c r="C642" s="57"/>
      <c r="D642" s="3"/>
      <c r="E642" s="3"/>
      <c r="F642" s="3"/>
      <c r="G642" s="3"/>
      <c r="H642" s="3"/>
      <c r="I642" s="3"/>
      <c r="J642" s="3"/>
      <c r="K642" s="3"/>
      <c r="L642" s="3"/>
      <c r="M642" s="3"/>
      <c r="N642" s="3"/>
      <c r="O642" s="3"/>
      <c r="P642" s="3"/>
      <c r="Q642" s="3"/>
      <c r="R642" s="3"/>
      <c r="S642" s="3"/>
      <c r="T642" s="3"/>
      <c r="U642" s="3"/>
      <c r="V642" s="3"/>
      <c r="W642" s="3"/>
      <c r="X642" s="3"/>
      <c r="Y642" s="3"/>
      <c r="Z642" s="3"/>
    </row>
    <row r="643">
      <c r="A643" s="57"/>
      <c r="B643" s="57"/>
      <c r="C643" s="57"/>
      <c r="D643" s="3"/>
      <c r="E643" s="3"/>
      <c r="F643" s="3"/>
      <c r="G643" s="3"/>
      <c r="H643" s="3"/>
      <c r="I643" s="3"/>
      <c r="J643" s="3"/>
      <c r="K643" s="3"/>
      <c r="L643" s="3"/>
      <c r="M643" s="3"/>
      <c r="N643" s="3"/>
      <c r="O643" s="3"/>
      <c r="P643" s="3"/>
      <c r="Q643" s="3"/>
      <c r="R643" s="3"/>
      <c r="S643" s="3"/>
      <c r="T643" s="3"/>
      <c r="U643" s="3"/>
      <c r="V643" s="3"/>
      <c r="W643" s="3"/>
      <c r="X643" s="3"/>
      <c r="Y643" s="3"/>
      <c r="Z643" s="3"/>
    </row>
    <row r="644">
      <c r="A644" s="57"/>
      <c r="B644" s="57"/>
      <c r="C644" s="57"/>
      <c r="D644" s="3"/>
      <c r="E644" s="3"/>
      <c r="F644" s="3"/>
      <c r="G644" s="3"/>
      <c r="H644" s="3"/>
      <c r="I644" s="3"/>
      <c r="J644" s="3"/>
      <c r="K644" s="3"/>
      <c r="L644" s="3"/>
      <c r="M644" s="3"/>
      <c r="N644" s="3"/>
      <c r="O644" s="3"/>
      <c r="P644" s="3"/>
      <c r="Q644" s="3"/>
      <c r="R644" s="3"/>
      <c r="S644" s="3"/>
      <c r="T644" s="3"/>
      <c r="U644" s="3"/>
      <c r="V644" s="3"/>
      <c r="W644" s="3"/>
      <c r="X644" s="3"/>
      <c r="Y644" s="3"/>
      <c r="Z644" s="3"/>
    </row>
    <row r="645">
      <c r="A645" s="57"/>
      <c r="B645" s="57"/>
      <c r="C645" s="57"/>
      <c r="D645" s="3"/>
      <c r="E645" s="3"/>
      <c r="F645" s="3"/>
      <c r="G645" s="3"/>
      <c r="H645" s="3"/>
      <c r="I645" s="3"/>
      <c r="J645" s="3"/>
      <c r="K645" s="3"/>
      <c r="L645" s="3"/>
      <c r="M645" s="3"/>
      <c r="N645" s="3"/>
      <c r="O645" s="3"/>
      <c r="P645" s="3"/>
      <c r="Q645" s="3"/>
      <c r="R645" s="3"/>
      <c r="S645" s="3"/>
      <c r="T645" s="3"/>
      <c r="U645" s="3"/>
      <c r="V645" s="3"/>
      <c r="W645" s="3"/>
      <c r="X645" s="3"/>
      <c r="Y645" s="3"/>
      <c r="Z645" s="3"/>
    </row>
    <row r="646">
      <c r="A646" s="57"/>
      <c r="B646" s="57"/>
      <c r="C646" s="57"/>
      <c r="D646" s="3"/>
      <c r="E646" s="3"/>
      <c r="F646" s="3"/>
      <c r="G646" s="3"/>
      <c r="H646" s="3"/>
      <c r="I646" s="3"/>
      <c r="J646" s="3"/>
      <c r="K646" s="3"/>
      <c r="L646" s="3"/>
      <c r="M646" s="3"/>
      <c r="N646" s="3"/>
      <c r="O646" s="3"/>
      <c r="P646" s="3"/>
      <c r="Q646" s="3"/>
      <c r="R646" s="3"/>
      <c r="S646" s="3"/>
      <c r="T646" s="3"/>
      <c r="U646" s="3"/>
      <c r="V646" s="3"/>
      <c r="W646" s="3"/>
      <c r="X646" s="3"/>
      <c r="Y646" s="3"/>
      <c r="Z646" s="3"/>
    </row>
    <row r="647">
      <c r="A647" s="57"/>
      <c r="B647" s="57"/>
      <c r="C647" s="57"/>
      <c r="D647" s="3"/>
      <c r="E647" s="3"/>
      <c r="F647" s="3"/>
      <c r="G647" s="3"/>
      <c r="H647" s="3"/>
      <c r="I647" s="3"/>
      <c r="J647" s="3"/>
      <c r="K647" s="3"/>
      <c r="L647" s="3"/>
      <c r="M647" s="3"/>
      <c r="N647" s="3"/>
      <c r="O647" s="3"/>
      <c r="P647" s="3"/>
      <c r="Q647" s="3"/>
      <c r="R647" s="3"/>
      <c r="S647" s="3"/>
      <c r="T647" s="3"/>
      <c r="U647" s="3"/>
      <c r="V647" s="3"/>
      <c r="W647" s="3"/>
      <c r="X647" s="3"/>
      <c r="Y647" s="3"/>
      <c r="Z647" s="3"/>
    </row>
    <row r="648">
      <c r="A648" s="57"/>
      <c r="B648" s="57"/>
      <c r="C648" s="57"/>
      <c r="D648" s="3"/>
      <c r="E648" s="3"/>
      <c r="F648" s="3"/>
      <c r="G648" s="3"/>
      <c r="H648" s="3"/>
      <c r="I648" s="3"/>
      <c r="J648" s="3"/>
      <c r="K648" s="3"/>
      <c r="L648" s="3"/>
      <c r="M648" s="3"/>
      <c r="N648" s="3"/>
      <c r="O648" s="3"/>
      <c r="P648" s="3"/>
      <c r="Q648" s="3"/>
      <c r="R648" s="3"/>
      <c r="S648" s="3"/>
      <c r="T648" s="3"/>
      <c r="U648" s="3"/>
      <c r="V648" s="3"/>
      <c r="W648" s="3"/>
      <c r="X648" s="3"/>
      <c r="Y648" s="3"/>
      <c r="Z648" s="3"/>
    </row>
    <row r="649">
      <c r="A649" s="57"/>
      <c r="B649" s="57"/>
      <c r="C649" s="57"/>
      <c r="D649" s="3"/>
      <c r="E649" s="3"/>
      <c r="F649" s="3"/>
      <c r="G649" s="3"/>
      <c r="H649" s="3"/>
      <c r="I649" s="3"/>
      <c r="J649" s="3"/>
      <c r="K649" s="3"/>
      <c r="L649" s="3"/>
      <c r="M649" s="3"/>
      <c r="N649" s="3"/>
      <c r="O649" s="3"/>
      <c r="P649" s="3"/>
      <c r="Q649" s="3"/>
      <c r="R649" s="3"/>
      <c r="S649" s="3"/>
      <c r="T649" s="3"/>
      <c r="U649" s="3"/>
      <c r="V649" s="3"/>
      <c r="W649" s="3"/>
      <c r="X649" s="3"/>
      <c r="Y649" s="3"/>
      <c r="Z649" s="3"/>
    </row>
    <row r="650">
      <c r="A650" s="57"/>
      <c r="B650" s="57"/>
      <c r="C650" s="57"/>
      <c r="D650" s="3"/>
      <c r="E650" s="3"/>
      <c r="F650" s="3"/>
      <c r="G650" s="3"/>
      <c r="H650" s="3"/>
      <c r="I650" s="3"/>
      <c r="J650" s="3"/>
      <c r="K650" s="3"/>
      <c r="L650" s="3"/>
      <c r="M650" s="3"/>
      <c r="N650" s="3"/>
      <c r="O650" s="3"/>
      <c r="P650" s="3"/>
      <c r="Q650" s="3"/>
      <c r="R650" s="3"/>
      <c r="S650" s="3"/>
      <c r="T650" s="3"/>
      <c r="U650" s="3"/>
      <c r="V650" s="3"/>
      <c r="W650" s="3"/>
      <c r="X650" s="3"/>
      <c r="Y650" s="3"/>
      <c r="Z650" s="3"/>
    </row>
    <row r="651">
      <c r="A651" s="57"/>
      <c r="B651" s="57"/>
      <c r="C651" s="57"/>
      <c r="D651" s="3"/>
      <c r="E651" s="3"/>
      <c r="F651" s="3"/>
      <c r="G651" s="3"/>
      <c r="H651" s="3"/>
      <c r="I651" s="3"/>
      <c r="J651" s="3"/>
      <c r="K651" s="3"/>
      <c r="L651" s="3"/>
      <c r="M651" s="3"/>
      <c r="N651" s="3"/>
      <c r="O651" s="3"/>
      <c r="P651" s="3"/>
      <c r="Q651" s="3"/>
      <c r="R651" s="3"/>
      <c r="S651" s="3"/>
      <c r="T651" s="3"/>
      <c r="U651" s="3"/>
      <c r="V651" s="3"/>
      <c r="W651" s="3"/>
      <c r="X651" s="3"/>
      <c r="Y651" s="3"/>
      <c r="Z651" s="3"/>
    </row>
    <row r="652">
      <c r="A652" s="57"/>
      <c r="B652" s="57"/>
      <c r="C652" s="57"/>
      <c r="D652" s="3"/>
      <c r="E652" s="3"/>
      <c r="F652" s="3"/>
      <c r="G652" s="3"/>
      <c r="H652" s="3"/>
      <c r="I652" s="3"/>
      <c r="J652" s="3"/>
      <c r="K652" s="3"/>
      <c r="L652" s="3"/>
      <c r="M652" s="3"/>
      <c r="N652" s="3"/>
      <c r="O652" s="3"/>
      <c r="P652" s="3"/>
      <c r="Q652" s="3"/>
      <c r="R652" s="3"/>
      <c r="S652" s="3"/>
      <c r="T652" s="3"/>
      <c r="U652" s="3"/>
      <c r="V652" s="3"/>
      <c r="W652" s="3"/>
      <c r="X652" s="3"/>
      <c r="Y652" s="3"/>
      <c r="Z652" s="3"/>
    </row>
    <row r="653">
      <c r="A653" s="57"/>
      <c r="B653" s="57"/>
      <c r="C653" s="57"/>
      <c r="D653" s="3"/>
      <c r="E653" s="3"/>
      <c r="F653" s="3"/>
      <c r="G653" s="3"/>
      <c r="H653" s="3"/>
      <c r="I653" s="3"/>
      <c r="J653" s="3"/>
      <c r="K653" s="3"/>
      <c r="L653" s="3"/>
      <c r="M653" s="3"/>
      <c r="N653" s="3"/>
      <c r="O653" s="3"/>
      <c r="P653" s="3"/>
      <c r="Q653" s="3"/>
      <c r="R653" s="3"/>
      <c r="S653" s="3"/>
      <c r="T653" s="3"/>
      <c r="U653" s="3"/>
      <c r="V653" s="3"/>
      <c r="W653" s="3"/>
      <c r="X653" s="3"/>
      <c r="Y653" s="3"/>
      <c r="Z653" s="3"/>
    </row>
    <row r="654">
      <c r="A654" s="57"/>
      <c r="B654" s="57"/>
      <c r="C654" s="57"/>
      <c r="D654" s="3"/>
      <c r="E654" s="3"/>
      <c r="F654" s="3"/>
      <c r="G654" s="3"/>
      <c r="H654" s="3"/>
      <c r="I654" s="3"/>
      <c r="J654" s="3"/>
      <c r="K654" s="3"/>
      <c r="L654" s="3"/>
      <c r="M654" s="3"/>
      <c r="N654" s="3"/>
      <c r="O654" s="3"/>
      <c r="P654" s="3"/>
      <c r="Q654" s="3"/>
      <c r="R654" s="3"/>
      <c r="S654" s="3"/>
      <c r="T654" s="3"/>
      <c r="U654" s="3"/>
      <c r="V654" s="3"/>
      <c r="W654" s="3"/>
      <c r="X654" s="3"/>
      <c r="Y654" s="3"/>
      <c r="Z654" s="3"/>
    </row>
    <row r="655">
      <c r="A655" s="57"/>
      <c r="B655" s="57"/>
      <c r="C655" s="57"/>
      <c r="D655" s="3"/>
      <c r="E655" s="3"/>
      <c r="F655" s="3"/>
      <c r="G655" s="3"/>
      <c r="H655" s="3"/>
      <c r="I655" s="3"/>
      <c r="J655" s="3"/>
      <c r="K655" s="3"/>
      <c r="L655" s="3"/>
      <c r="M655" s="3"/>
      <c r="N655" s="3"/>
      <c r="O655" s="3"/>
      <c r="P655" s="3"/>
      <c r="Q655" s="3"/>
      <c r="R655" s="3"/>
      <c r="S655" s="3"/>
      <c r="T655" s="3"/>
      <c r="U655" s="3"/>
      <c r="V655" s="3"/>
      <c r="W655" s="3"/>
      <c r="X655" s="3"/>
      <c r="Y655" s="3"/>
      <c r="Z655" s="3"/>
    </row>
    <row r="656">
      <c r="A656" s="57"/>
      <c r="B656" s="57"/>
      <c r="C656" s="57"/>
      <c r="D656" s="3"/>
      <c r="E656" s="3"/>
      <c r="F656" s="3"/>
      <c r="G656" s="3"/>
      <c r="H656" s="3"/>
      <c r="I656" s="3"/>
      <c r="J656" s="3"/>
      <c r="K656" s="3"/>
      <c r="L656" s="3"/>
      <c r="M656" s="3"/>
      <c r="N656" s="3"/>
      <c r="O656" s="3"/>
      <c r="P656" s="3"/>
      <c r="Q656" s="3"/>
      <c r="R656" s="3"/>
      <c r="S656" s="3"/>
      <c r="T656" s="3"/>
      <c r="U656" s="3"/>
      <c r="V656" s="3"/>
      <c r="W656" s="3"/>
      <c r="X656" s="3"/>
      <c r="Y656" s="3"/>
      <c r="Z656" s="3"/>
    </row>
    <row r="657">
      <c r="A657" s="57"/>
      <c r="B657" s="57"/>
      <c r="C657" s="57"/>
      <c r="D657" s="3"/>
      <c r="E657" s="3"/>
      <c r="F657" s="3"/>
      <c r="G657" s="3"/>
      <c r="H657" s="3"/>
      <c r="I657" s="3"/>
      <c r="J657" s="3"/>
      <c r="K657" s="3"/>
      <c r="L657" s="3"/>
      <c r="M657" s="3"/>
      <c r="N657" s="3"/>
      <c r="O657" s="3"/>
      <c r="P657" s="3"/>
      <c r="Q657" s="3"/>
      <c r="R657" s="3"/>
      <c r="S657" s="3"/>
      <c r="T657" s="3"/>
      <c r="U657" s="3"/>
      <c r="V657" s="3"/>
      <c r="W657" s="3"/>
      <c r="X657" s="3"/>
      <c r="Y657" s="3"/>
      <c r="Z657" s="3"/>
    </row>
    <row r="658">
      <c r="A658" s="57"/>
      <c r="B658" s="57"/>
      <c r="C658" s="57"/>
      <c r="D658" s="3"/>
      <c r="E658" s="3"/>
      <c r="F658" s="3"/>
      <c r="G658" s="3"/>
      <c r="H658" s="3"/>
      <c r="I658" s="3"/>
      <c r="J658" s="3"/>
      <c r="K658" s="3"/>
      <c r="L658" s="3"/>
      <c r="M658" s="3"/>
      <c r="N658" s="3"/>
      <c r="O658" s="3"/>
      <c r="P658" s="3"/>
      <c r="Q658" s="3"/>
      <c r="R658" s="3"/>
      <c r="S658" s="3"/>
      <c r="T658" s="3"/>
      <c r="U658" s="3"/>
      <c r="V658" s="3"/>
      <c r="W658" s="3"/>
      <c r="X658" s="3"/>
      <c r="Y658" s="3"/>
      <c r="Z658" s="3"/>
    </row>
    <row r="659">
      <c r="A659" s="57"/>
      <c r="B659" s="57"/>
      <c r="C659" s="57"/>
      <c r="D659" s="3"/>
      <c r="E659" s="3"/>
      <c r="F659" s="3"/>
      <c r="G659" s="3"/>
      <c r="H659" s="3"/>
      <c r="I659" s="3"/>
      <c r="J659" s="3"/>
      <c r="K659" s="3"/>
      <c r="L659" s="3"/>
      <c r="M659" s="3"/>
      <c r="N659" s="3"/>
      <c r="O659" s="3"/>
      <c r="P659" s="3"/>
      <c r="Q659" s="3"/>
      <c r="R659" s="3"/>
      <c r="S659" s="3"/>
      <c r="T659" s="3"/>
      <c r="U659" s="3"/>
      <c r="V659" s="3"/>
      <c r="W659" s="3"/>
      <c r="X659" s="3"/>
      <c r="Y659" s="3"/>
      <c r="Z659" s="3"/>
    </row>
    <row r="660">
      <c r="A660" s="57"/>
      <c r="B660" s="57"/>
      <c r="C660" s="57"/>
      <c r="D660" s="3"/>
      <c r="E660" s="3"/>
      <c r="F660" s="3"/>
      <c r="G660" s="3"/>
      <c r="H660" s="3"/>
      <c r="I660" s="3"/>
      <c r="J660" s="3"/>
      <c r="K660" s="3"/>
      <c r="L660" s="3"/>
      <c r="M660" s="3"/>
      <c r="N660" s="3"/>
      <c r="O660" s="3"/>
      <c r="P660" s="3"/>
      <c r="Q660" s="3"/>
      <c r="R660" s="3"/>
      <c r="S660" s="3"/>
      <c r="T660" s="3"/>
      <c r="U660" s="3"/>
      <c r="V660" s="3"/>
      <c r="W660" s="3"/>
      <c r="X660" s="3"/>
      <c r="Y660" s="3"/>
      <c r="Z660" s="3"/>
    </row>
    <row r="661">
      <c r="A661" s="57"/>
      <c r="B661" s="57"/>
      <c r="C661" s="57"/>
      <c r="D661" s="3"/>
      <c r="E661" s="3"/>
      <c r="F661" s="3"/>
      <c r="G661" s="3"/>
      <c r="H661" s="3"/>
      <c r="I661" s="3"/>
      <c r="J661" s="3"/>
      <c r="K661" s="3"/>
      <c r="L661" s="3"/>
      <c r="M661" s="3"/>
      <c r="N661" s="3"/>
      <c r="O661" s="3"/>
      <c r="P661" s="3"/>
      <c r="Q661" s="3"/>
      <c r="R661" s="3"/>
      <c r="S661" s="3"/>
      <c r="T661" s="3"/>
      <c r="U661" s="3"/>
      <c r="V661" s="3"/>
      <c r="W661" s="3"/>
      <c r="X661" s="3"/>
      <c r="Y661" s="3"/>
      <c r="Z661" s="3"/>
    </row>
    <row r="662">
      <c r="A662" s="57"/>
      <c r="B662" s="57"/>
      <c r="C662" s="57"/>
      <c r="D662" s="3"/>
      <c r="E662" s="3"/>
      <c r="F662" s="3"/>
      <c r="G662" s="3"/>
      <c r="H662" s="3"/>
      <c r="I662" s="3"/>
      <c r="J662" s="3"/>
      <c r="K662" s="3"/>
      <c r="L662" s="3"/>
      <c r="M662" s="3"/>
      <c r="N662" s="3"/>
      <c r="O662" s="3"/>
      <c r="P662" s="3"/>
      <c r="Q662" s="3"/>
      <c r="R662" s="3"/>
      <c r="S662" s="3"/>
      <c r="T662" s="3"/>
      <c r="U662" s="3"/>
      <c r="V662" s="3"/>
      <c r="W662" s="3"/>
      <c r="X662" s="3"/>
      <c r="Y662" s="3"/>
      <c r="Z662" s="3"/>
    </row>
    <row r="663">
      <c r="A663" s="57"/>
      <c r="B663" s="57"/>
      <c r="C663" s="57"/>
      <c r="D663" s="3"/>
      <c r="E663" s="3"/>
      <c r="F663" s="3"/>
      <c r="G663" s="3"/>
      <c r="H663" s="3"/>
      <c r="I663" s="3"/>
      <c r="J663" s="3"/>
      <c r="K663" s="3"/>
      <c r="L663" s="3"/>
      <c r="M663" s="3"/>
      <c r="N663" s="3"/>
      <c r="O663" s="3"/>
      <c r="P663" s="3"/>
      <c r="Q663" s="3"/>
      <c r="R663" s="3"/>
      <c r="S663" s="3"/>
      <c r="T663" s="3"/>
      <c r="U663" s="3"/>
      <c r="V663" s="3"/>
      <c r="W663" s="3"/>
      <c r="X663" s="3"/>
      <c r="Y663" s="3"/>
      <c r="Z663" s="3"/>
    </row>
    <row r="664">
      <c r="A664" s="57"/>
      <c r="B664" s="57"/>
      <c r="C664" s="57"/>
      <c r="D664" s="3"/>
      <c r="E664" s="3"/>
      <c r="F664" s="3"/>
      <c r="G664" s="3"/>
      <c r="H664" s="3"/>
      <c r="I664" s="3"/>
      <c r="J664" s="3"/>
      <c r="K664" s="3"/>
      <c r="L664" s="3"/>
      <c r="M664" s="3"/>
      <c r="N664" s="3"/>
      <c r="O664" s="3"/>
      <c r="P664" s="3"/>
      <c r="Q664" s="3"/>
      <c r="R664" s="3"/>
      <c r="S664" s="3"/>
      <c r="T664" s="3"/>
      <c r="U664" s="3"/>
      <c r="V664" s="3"/>
      <c r="W664" s="3"/>
      <c r="X664" s="3"/>
      <c r="Y664" s="3"/>
      <c r="Z664" s="3"/>
    </row>
    <row r="665">
      <c r="A665" s="57"/>
      <c r="B665" s="57"/>
      <c r="C665" s="57"/>
      <c r="D665" s="3"/>
      <c r="E665" s="3"/>
      <c r="F665" s="3"/>
      <c r="G665" s="3"/>
      <c r="H665" s="3"/>
      <c r="I665" s="3"/>
      <c r="J665" s="3"/>
      <c r="K665" s="3"/>
      <c r="L665" s="3"/>
      <c r="M665" s="3"/>
      <c r="N665" s="3"/>
      <c r="O665" s="3"/>
      <c r="P665" s="3"/>
      <c r="Q665" s="3"/>
      <c r="R665" s="3"/>
      <c r="S665" s="3"/>
      <c r="T665" s="3"/>
      <c r="U665" s="3"/>
      <c r="V665" s="3"/>
      <c r="W665" s="3"/>
      <c r="X665" s="3"/>
      <c r="Y665" s="3"/>
      <c r="Z665" s="3"/>
    </row>
    <row r="666">
      <c r="A666" s="57"/>
      <c r="B666" s="57"/>
      <c r="C666" s="57"/>
      <c r="D666" s="3"/>
      <c r="E666" s="3"/>
      <c r="F666" s="3"/>
      <c r="G666" s="3"/>
      <c r="H666" s="3"/>
      <c r="I666" s="3"/>
      <c r="J666" s="3"/>
      <c r="K666" s="3"/>
      <c r="L666" s="3"/>
      <c r="M666" s="3"/>
      <c r="N666" s="3"/>
      <c r="O666" s="3"/>
      <c r="P666" s="3"/>
      <c r="Q666" s="3"/>
      <c r="R666" s="3"/>
      <c r="S666" s="3"/>
      <c r="T666" s="3"/>
      <c r="U666" s="3"/>
      <c r="V666" s="3"/>
      <c r="W666" s="3"/>
      <c r="X666" s="3"/>
      <c r="Y666" s="3"/>
      <c r="Z666" s="3"/>
    </row>
    <row r="667">
      <c r="A667" s="57"/>
      <c r="B667" s="57"/>
      <c r="C667" s="57"/>
      <c r="D667" s="3"/>
      <c r="E667" s="3"/>
      <c r="F667" s="3"/>
      <c r="G667" s="3"/>
      <c r="H667" s="3"/>
      <c r="I667" s="3"/>
      <c r="J667" s="3"/>
      <c r="K667" s="3"/>
      <c r="L667" s="3"/>
      <c r="M667" s="3"/>
      <c r="N667" s="3"/>
      <c r="O667" s="3"/>
      <c r="P667" s="3"/>
      <c r="Q667" s="3"/>
      <c r="R667" s="3"/>
      <c r="S667" s="3"/>
      <c r="T667" s="3"/>
      <c r="U667" s="3"/>
      <c r="V667" s="3"/>
      <c r="W667" s="3"/>
      <c r="X667" s="3"/>
      <c r="Y667" s="3"/>
      <c r="Z667" s="3"/>
    </row>
    <row r="668">
      <c r="A668" s="57"/>
      <c r="B668" s="57"/>
      <c r="C668" s="57"/>
      <c r="D668" s="3"/>
      <c r="E668" s="3"/>
      <c r="F668" s="3"/>
      <c r="G668" s="3"/>
      <c r="H668" s="3"/>
      <c r="I668" s="3"/>
      <c r="J668" s="3"/>
      <c r="K668" s="3"/>
      <c r="L668" s="3"/>
      <c r="M668" s="3"/>
      <c r="N668" s="3"/>
      <c r="O668" s="3"/>
      <c r="P668" s="3"/>
      <c r="Q668" s="3"/>
      <c r="R668" s="3"/>
      <c r="S668" s="3"/>
      <c r="T668" s="3"/>
      <c r="U668" s="3"/>
      <c r="V668" s="3"/>
      <c r="W668" s="3"/>
      <c r="X668" s="3"/>
      <c r="Y668" s="3"/>
      <c r="Z668" s="3"/>
    </row>
    <row r="669">
      <c r="A669" s="57"/>
      <c r="B669" s="57"/>
      <c r="C669" s="57"/>
      <c r="D669" s="3"/>
      <c r="E669" s="3"/>
      <c r="F669" s="3"/>
      <c r="G669" s="3"/>
      <c r="H669" s="3"/>
      <c r="I669" s="3"/>
      <c r="J669" s="3"/>
      <c r="K669" s="3"/>
      <c r="L669" s="3"/>
      <c r="M669" s="3"/>
      <c r="N669" s="3"/>
      <c r="O669" s="3"/>
      <c r="P669" s="3"/>
      <c r="Q669" s="3"/>
      <c r="R669" s="3"/>
      <c r="S669" s="3"/>
      <c r="T669" s="3"/>
      <c r="U669" s="3"/>
      <c r="V669" s="3"/>
      <c r="W669" s="3"/>
      <c r="X669" s="3"/>
      <c r="Y669" s="3"/>
      <c r="Z669" s="3"/>
    </row>
    <row r="670">
      <c r="A670" s="57"/>
      <c r="B670" s="57"/>
      <c r="C670" s="57"/>
      <c r="D670" s="3"/>
      <c r="E670" s="3"/>
      <c r="F670" s="3"/>
      <c r="G670" s="3"/>
      <c r="H670" s="3"/>
      <c r="I670" s="3"/>
      <c r="J670" s="3"/>
      <c r="K670" s="3"/>
      <c r="L670" s="3"/>
      <c r="M670" s="3"/>
      <c r="N670" s="3"/>
      <c r="O670" s="3"/>
      <c r="P670" s="3"/>
      <c r="Q670" s="3"/>
      <c r="R670" s="3"/>
      <c r="S670" s="3"/>
      <c r="T670" s="3"/>
      <c r="U670" s="3"/>
      <c r="V670" s="3"/>
      <c r="W670" s="3"/>
      <c r="X670" s="3"/>
      <c r="Y670" s="3"/>
      <c r="Z670" s="3"/>
    </row>
    <row r="671">
      <c r="A671" s="57"/>
      <c r="B671" s="57"/>
      <c r="C671" s="57"/>
      <c r="D671" s="3"/>
      <c r="E671" s="3"/>
      <c r="F671" s="3"/>
      <c r="G671" s="3"/>
      <c r="H671" s="3"/>
      <c r="I671" s="3"/>
      <c r="J671" s="3"/>
      <c r="K671" s="3"/>
      <c r="L671" s="3"/>
      <c r="M671" s="3"/>
      <c r="N671" s="3"/>
      <c r="O671" s="3"/>
      <c r="P671" s="3"/>
      <c r="Q671" s="3"/>
      <c r="R671" s="3"/>
      <c r="S671" s="3"/>
      <c r="T671" s="3"/>
      <c r="U671" s="3"/>
      <c r="V671" s="3"/>
      <c r="W671" s="3"/>
      <c r="X671" s="3"/>
      <c r="Y671" s="3"/>
      <c r="Z671" s="3"/>
    </row>
    <row r="672">
      <c r="A672" s="57"/>
      <c r="B672" s="57"/>
      <c r="C672" s="57"/>
      <c r="D672" s="3"/>
      <c r="E672" s="3"/>
      <c r="F672" s="3"/>
      <c r="G672" s="3"/>
      <c r="H672" s="3"/>
      <c r="I672" s="3"/>
      <c r="J672" s="3"/>
      <c r="K672" s="3"/>
      <c r="L672" s="3"/>
      <c r="M672" s="3"/>
      <c r="N672" s="3"/>
      <c r="O672" s="3"/>
      <c r="P672" s="3"/>
      <c r="Q672" s="3"/>
      <c r="R672" s="3"/>
      <c r="S672" s="3"/>
      <c r="T672" s="3"/>
      <c r="U672" s="3"/>
      <c r="V672" s="3"/>
      <c r="W672" s="3"/>
      <c r="X672" s="3"/>
      <c r="Y672" s="3"/>
      <c r="Z672" s="3"/>
    </row>
    <row r="673">
      <c r="A673" s="57"/>
      <c r="B673" s="57"/>
      <c r="C673" s="57"/>
      <c r="D673" s="3"/>
      <c r="E673" s="3"/>
      <c r="F673" s="3"/>
      <c r="G673" s="3"/>
      <c r="H673" s="3"/>
      <c r="I673" s="3"/>
      <c r="J673" s="3"/>
      <c r="K673" s="3"/>
      <c r="L673" s="3"/>
      <c r="M673" s="3"/>
      <c r="N673" s="3"/>
      <c r="O673" s="3"/>
      <c r="P673" s="3"/>
      <c r="Q673" s="3"/>
      <c r="R673" s="3"/>
      <c r="S673" s="3"/>
      <c r="T673" s="3"/>
      <c r="U673" s="3"/>
      <c r="V673" s="3"/>
      <c r="W673" s="3"/>
      <c r="X673" s="3"/>
      <c r="Y673" s="3"/>
      <c r="Z673" s="3"/>
    </row>
    <row r="674">
      <c r="A674" s="57"/>
      <c r="B674" s="57"/>
      <c r="C674" s="57"/>
      <c r="D674" s="3"/>
      <c r="E674" s="3"/>
      <c r="F674" s="3"/>
      <c r="G674" s="3"/>
      <c r="H674" s="3"/>
      <c r="I674" s="3"/>
      <c r="J674" s="3"/>
      <c r="K674" s="3"/>
      <c r="L674" s="3"/>
      <c r="M674" s="3"/>
      <c r="N674" s="3"/>
      <c r="O674" s="3"/>
      <c r="P674" s="3"/>
      <c r="Q674" s="3"/>
      <c r="R674" s="3"/>
      <c r="S674" s="3"/>
      <c r="T674" s="3"/>
      <c r="U674" s="3"/>
      <c r="V674" s="3"/>
      <c r="W674" s="3"/>
      <c r="X674" s="3"/>
      <c r="Y674" s="3"/>
      <c r="Z674" s="3"/>
    </row>
    <row r="675">
      <c r="A675" s="57"/>
      <c r="B675" s="57"/>
      <c r="C675" s="57"/>
      <c r="D675" s="3"/>
      <c r="E675" s="3"/>
      <c r="F675" s="3"/>
      <c r="G675" s="3"/>
      <c r="H675" s="3"/>
      <c r="I675" s="3"/>
      <c r="J675" s="3"/>
      <c r="K675" s="3"/>
      <c r="L675" s="3"/>
      <c r="M675" s="3"/>
      <c r="N675" s="3"/>
      <c r="O675" s="3"/>
      <c r="P675" s="3"/>
      <c r="Q675" s="3"/>
      <c r="R675" s="3"/>
      <c r="S675" s="3"/>
      <c r="T675" s="3"/>
      <c r="U675" s="3"/>
      <c r="V675" s="3"/>
      <c r="W675" s="3"/>
      <c r="X675" s="3"/>
      <c r="Y675" s="3"/>
      <c r="Z675" s="3"/>
    </row>
    <row r="676">
      <c r="A676" s="57"/>
      <c r="B676" s="57"/>
      <c r="C676" s="57"/>
      <c r="D676" s="3"/>
      <c r="E676" s="3"/>
      <c r="F676" s="3"/>
      <c r="G676" s="3"/>
      <c r="H676" s="3"/>
      <c r="I676" s="3"/>
      <c r="J676" s="3"/>
      <c r="K676" s="3"/>
      <c r="L676" s="3"/>
      <c r="M676" s="3"/>
      <c r="N676" s="3"/>
      <c r="O676" s="3"/>
      <c r="P676" s="3"/>
      <c r="Q676" s="3"/>
      <c r="R676" s="3"/>
      <c r="S676" s="3"/>
      <c r="T676" s="3"/>
      <c r="U676" s="3"/>
      <c r="V676" s="3"/>
      <c r="W676" s="3"/>
      <c r="X676" s="3"/>
      <c r="Y676" s="3"/>
      <c r="Z676" s="3"/>
    </row>
    <row r="677">
      <c r="A677" s="57"/>
      <c r="B677" s="57"/>
      <c r="C677" s="57"/>
      <c r="D677" s="3"/>
      <c r="E677" s="3"/>
      <c r="F677" s="3"/>
      <c r="G677" s="3"/>
      <c r="H677" s="3"/>
      <c r="I677" s="3"/>
      <c r="J677" s="3"/>
      <c r="K677" s="3"/>
      <c r="L677" s="3"/>
      <c r="M677" s="3"/>
      <c r="N677" s="3"/>
      <c r="O677" s="3"/>
      <c r="P677" s="3"/>
      <c r="Q677" s="3"/>
      <c r="R677" s="3"/>
      <c r="S677" s="3"/>
      <c r="T677" s="3"/>
      <c r="U677" s="3"/>
      <c r="V677" s="3"/>
      <c r="W677" s="3"/>
      <c r="X677" s="3"/>
      <c r="Y677" s="3"/>
      <c r="Z677" s="3"/>
    </row>
    <row r="678">
      <c r="A678" s="57"/>
      <c r="B678" s="57"/>
      <c r="C678" s="57"/>
      <c r="D678" s="3"/>
      <c r="E678" s="3"/>
      <c r="F678" s="3"/>
      <c r="G678" s="3"/>
      <c r="H678" s="3"/>
      <c r="I678" s="3"/>
      <c r="J678" s="3"/>
      <c r="K678" s="3"/>
      <c r="L678" s="3"/>
      <c r="M678" s="3"/>
      <c r="N678" s="3"/>
      <c r="O678" s="3"/>
      <c r="P678" s="3"/>
      <c r="Q678" s="3"/>
      <c r="R678" s="3"/>
      <c r="S678" s="3"/>
      <c r="T678" s="3"/>
      <c r="U678" s="3"/>
      <c r="V678" s="3"/>
      <c r="W678" s="3"/>
      <c r="X678" s="3"/>
      <c r="Y678" s="3"/>
      <c r="Z678" s="3"/>
    </row>
    <row r="679">
      <c r="A679" s="57"/>
      <c r="B679" s="57"/>
      <c r="C679" s="57"/>
      <c r="D679" s="3"/>
      <c r="E679" s="3"/>
      <c r="F679" s="3"/>
      <c r="G679" s="3"/>
      <c r="H679" s="3"/>
      <c r="I679" s="3"/>
      <c r="J679" s="3"/>
      <c r="K679" s="3"/>
      <c r="L679" s="3"/>
      <c r="M679" s="3"/>
      <c r="N679" s="3"/>
      <c r="O679" s="3"/>
      <c r="P679" s="3"/>
      <c r="Q679" s="3"/>
      <c r="R679" s="3"/>
      <c r="S679" s="3"/>
      <c r="T679" s="3"/>
      <c r="U679" s="3"/>
      <c r="V679" s="3"/>
      <c r="W679" s="3"/>
      <c r="X679" s="3"/>
      <c r="Y679" s="3"/>
      <c r="Z679" s="3"/>
    </row>
    <row r="680">
      <c r="A680" s="57"/>
      <c r="B680" s="57"/>
      <c r="C680" s="57"/>
      <c r="D680" s="3"/>
      <c r="E680" s="3"/>
      <c r="F680" s="3"/>
      <c r="G680" s="3"/>
      <c r="H680" s="3"/>
      <c r="I680" s="3"/>
      <c r="J680" s="3"/>
      <c r="K680" s="3"/>
      <c r="L680" s="3"/>
      <c r="M680" s="3"/>
      <c r="N680" s="3"/>
      <c r="O680" s="3"/>
      <c r="P680" s="3"/>
      <c r="Q680" s="3"/>
      <c r="R680" s="3"/>
      <c r="S680" s="3"/>
      <c r="T680" s="3"/>
      <c r="U680" s="3"/>
      <c r="V680" s="3"/>
      <c r="W680" s="3"/>
      <c r="X680" s="3"/>
      <c r="Y680" s="3"/>
      <c r="Z680" s="3"/>
    </row>
    <row r="681">
      <c r="A681" s="57"/>
      <c r="B681" s="57"/>
      <c r="C681" s="57"/>
      <c r="D681" s="3"/>
      <c r="E681" s="3"/>
      <c r="F681" s="3"/>
      <c r="G681" s="3"/>
      <c r="H681" s="3"/>
      <c r="I681" s="3"/>
      <c r="J681" s="3"/>
      <c r="K681" s="3"/>
      <c r="L681" s="3"/>
      <c r="M681" s="3"/>
      <c r="N681" s="3"/>
      <c r="O681" s="3"/>
      <c r="P681" s="3"/>
      <c r="Q681" s="3"/>
      <c r="R681" s="3"/>
      <c r="S681" s="3"/>
      <c r="T681" s="3"/>
      <c r="U681" s="3"/>
      <c r="V681" s="3"/>
      <c r="W681" s="3"/>
      <c r="X681" s="3"/>
      <c r="Y681" s="3"/>
      <c r="Z681" s="3"/>
    </row>
    <row r="682">
      <c r="A682" s="57"/>
      <c r="B682" s="57"/>
      <c r="C682" s="57"/>
      <c r="D682" s="3"/>
      <c r="E682" s="3"/>
      <c r="F682" s="3"/>
      <c r="G682" s="3"/>
      <c r="H682" s="3"/>
      <c r="I682" s="3"/>
      <c r="J682" s="3"/>
      <c r="K682" s="3"/>
      <c r="L682" s="3"/>
      <c r="M682" s="3"/>
      <c r="N682" s="3"/>
      <c r="O682" s="3"/>
      <c r="P682" s="3"/>
      <c r="Q682" s="3"/>
      <c r="R682" s="3"/>
      <c r="S682" s="3"/>
      <c r="T682" s="3"/>
      <c r="U682" s="3"/>
      <c r="V682" s="3"/>
      <c r="W682" s="3"/>
      <c r="X682" s="3"/>
      <c r="Y682" s="3"/>
      <c r="Z682" s="3"/>
    </row>
    <row r="683">
      <c r="A683" s="57"/>
      <c r="B683" s="57"/>
      <c r="C683" s="57"/>
      <c r="D683" s="3"/>
      <c r="E683" s="3"/>
      <c r="F683" s="3"/>
      <c r="G683" s="3"/>
      <c r="H683" s="3"/>
      <c r="I683" s="3"/>
      <c r="J683" s="3"/>
      <c r="K683" s="3"/>
      <c r="L683" s="3"/>
      <c r="M683" s="3"/>
      <c r="N683" s="3"/>
      <c r="O683" s="3"/>
      <c r="P683" s="3"/>
      <c r="Q683" s="3"/>
      <c r="R683" s="3"/>
      <c r="S683" s="3"/>
      <c r="T683" s="3"/>
      <c r="U683" s="3"/>
      <c r="V683" s="3"/>
      <c r="W683" s="3"/>
      <c r="X683" s="3"/>
      <c r="Y683" s="3"/>
      <c r="Z683" s="3"/>
    </row>
    <row r="684">
      <c r="A684" s="57"/>
      <c r="B684" s="57"/>
      <c r="C684" s="57"/>
      <c r="D684" s="3"/>
      <c r="E684" s="3"/>
      <c r="F684" s="3"/>
      <c r="G684" s="3"/>
      <c r="H684" s="3"/>
      <c r="I684" s="3"/>
      <c r="J684" s="3"/>
      <c r="K684" s="3"/>
      <c r="L684" s="3"/>
      <c r="M684" s="3"/>
      <c r="N684" s="3"/>
      <c r="O684" s="3"/>
      <c r="P684" s="3"/>
      <c r="Q684" s="3"/>
      <c r="R684" s="3"/>
      <c r="S684" s="3"/>
      <c r="T684" s="3"/>
      <c r="U684" s="3"/>
      <c r="V684" s="3"/>
      <c r="W684" s="3"/>
      <c r="X684" s="3"/>
      <c r="Y684" s="3"/>
      <c r="Z684" s="3"/>
    </row>
    <row r="685">
      <c r="A685" s="57"/>
      <c r="B685" s="57"/>
      <c r="C685" s="57"/>
      <c r="D685" s="3"/>
      <c r="E685" s="3"/>
      <c r="F685" s="3"/>
      <c r="G685" s="3"/>
      <c r="H685" s="3"/>
      <c r="I685" s="3"/>
      <c r="J685" s="3"/>
      <c r="K685" s="3"/>
      <c r="L685" s="3"/>
      <c r="M685" s="3"/>
      <c r="N685" s="3"/>
      <c r="O685" s="3"/>
      <c r="P685" s="3"/>
      <c r="Q685" s="3"/>
      <c r="R685" s="3"/>
      <c r="S685" s="3"/>
      <c r="T685" s="3"/>
      <c r="U685" s="3"/>
      <c r="V685" s="3"/>
      <c r="W685" s="3"/>
      <c r="X685" s="3"/>
      <c r="Y685" s="3"/>
      <c r="Z685" s="3"/>
    </row>
    <row r="686">
      <c r="A686" s="57"/>
      <c r="B686" s="57"/>
      <c r="C686" s="57"/>
      <c r="D686" s="3"/>
      <c r="E686" s="3"/>
      <c r="F686" s="3"/>
      <c r="G686" s="3"/>
      <c r="H686" s="3"/>
      <c r="I686" s="3"/>
      <c r="J686" s="3"/>
      <c r="K686" s="3"/>
      <c r="L686" s="3"/>
      <c r="M686" s="3"/>
      <c r="N686" s="3"/>
      <c r="O686" s="3"/>
      <c r="P686" s="3"/>
      <c r="Q686" s="3"/>
      <c r="R686" s="3"/>
      <c r="S686" s="3"/>
      <c r="T686" s="3"/>
      <c r="U686" s="3"/>
      <c r="V686" s="3"/>
      <c r="W686" s="3"/>
      <c r="X686" s="3"/>
      <c r="Y686" s="3"/>
      <c r="Z686" s="3"/>
    </row>
    <row r="687">
      <c r="A687" s="57"/>
      <c r="B687" s="57"/>
      <c r="C687" s="57"/>
      <c r="D687" s="3"/>
      <c r="E687" s="3"/>
      <c r="F687" s="3"/>
      <c r="G687" s="3"/>
      <c r="H687" s="3"/>
      <c r="I687" s="3"/>
      <c r="J687" s="3"/>
      <c r="K687" s="3"/>
      <c r="L687" s="3"/>
      <c r="M687" s="3"/>
      <c r="N687" s="3"/>
      <c r="O687" s="3"/>
      <c r="P687" s="3"/>
      <c r="Q687" s="3"/>
      <c r="R687" s="3"/>
      <c r="S687" s="3"/>
      <c r="T687" s="3"/>
      <c r="U687" s="3"/>
      <c r="V687" s="3"/>
      <c r="W687" s="3"/>
      <c r="X687" s="3"/>
      <c r="Y687" s="3"/>
      <c r="Z687" s="3"/>
    </row>
    <row r="688">
      <c r="A688" s="57"/>
      <c r="B688" s="57"/>
      <c r="C688" s="57"/>
      <c r="D688" s="3"/>
      <c r="E688" s="3"/>
      <c r="F688" s="3"/>
      <c r="G688" s="3"/>
      <c r="H688" s="3"/>
      <c r="I688" s="3"/>
      <c r="J688" s="3"/>
      <c r="K688" s="3"/>
      <c r="L688" s="3"/>
      <c r="M688" s="3"/>
      <c r="N688" s="3"/>
      <c r="O688" s="3"/>
      <c r="P688" s="3"/>
      <c r="Q688" s="3"/>
      <c r="R688" s="3"/>
      <c r="S688" s="3"/>
      <c r="T688" s="3"/>
      <c r="U688" s="3"/>
      <c r="V688" s="3"/>
      <c r="W688" s="3"/>
      <c r="X688" s="3"/>
      <c r="Y688" s="3"/>
      <c r="Z688" s="3"/>
    </row>
    <row r="689">
      <c r="A689" s="57"/>
      <c r="B689" s="57"/>
      <c r="C689" s="57"/>
      <c r="D689" s="3"/>
      <c r="E689" s="3"/>
      <c r="F689" s="3"/>
      <c r="G689" s="3"/>
      <c r="H689" s="3"/>
      <c r="I689" s="3"/>
      <c r="J689" s="3"/>
      <c r="K689" s="3"/>
      <c r="L689" s="3"/>
      <c r="M689" s="3"/>
      <c r="N689" s="3"/>
      <c r="O689" s="3"/>
      <c r="P689" s="3"/>
      <c r="Q689" s="3"/>
      <c r="R689" s="3"/>
      <c r="S689" s="3"/>
      <c r="T689" s="3"/>
      <c r="U689" s="3"/>
      <c r="V689" s="3"/>
      <c r="W689" s="3"/>
      <c r="X689" s="3"/>
      <c r="Y689" s="3"/>
      <c r="Z689" s="3"/>
    </row>
    <row r="690">
      <c r="A690" s="57"/>
      <c r="B690" s="57"/>
      <c r="C690" s="57"/>
      <c r="D690" s="3"/>
      <c r="E690" s="3"/>
      <c r="F690" s="3"/>
      <c r="G690" s="3"/>
      <c r="H690" s="3"/>
      <c r="I690" s="3"/>
      <c r="J690" s="3"/>
      <c r="K690" s="3"/>
      <c r="L690" s="3"/>
      <c r="M690" s="3"/>
      <c r="N690" s="3"/>
      <c r="O690" s="3"/>
      <c r="P690" s="3"/>
      <c r="Q690" s="3"/>
      <c r="R690" s="3"/>
      <c r="S690" s="3"/>
      <c r="T690" s="3"/>
      <c r="U690" s="3"/>
      <c r="V690" s="3"/>
      <c r="W690" s="3"/>
      <c r="X690" s="3"/>
      <c r="Y690" s="3"/>
      <c r="Z690" s="3"/>
    </row>
    <row r="691">
      <c r="A691" s="57"/>
      <c r="B691" s="57"/>
      <c r="C691" s="57"/>
      <c r="D691" s="3"/>
      <c r="E691" s="3"/>
      <c r="F691" s="3"/>
      <c r="G691" s="3"/>
      <c r="H691" s="3"/>
      <c r="I691" s="3"/>
      <c r="J691" s="3"/>
      <c r="K691" s="3"/>
      <c r="L691" s="3"/>
      <c r="M691" s="3"/>
      <c r="N691" s="3"/>
      <c r="O691" s="3"/>
      <c r="P691" s="3"/>
      <c r="Q691" s="3"/>
      <c r="R691" s="3"/>
      <c r="S691" s="3"/>
      <c r="T691" s="3"/>
      <c r="U691" s="3"/>
      <c r="V691" s="3"/>
      <c r="W691" s="3"/>
      <c r="X691" s="3"/>
      <c r="Y691" s="3"/>
      <c r="Z691" s="3"/>
    </row>
    <row r="692">
      <c r="A692" s="57"/>
      <c r="B692" s="57"/>
      <c r="C692" s="57"/>
      <c r="D692" s="3"/>
      <c r="E692" s="3"/>
      <c r="F692" s="3"/>
      <c r="G692" s="3"/>
      <c r="H692" s="3"/>
      <c r="I692" s="3"/>
      <c r="J692" s="3"/>
      <c r="K692" s="3"/>
      <c r="L692" s="3"/>
      <c r="M692" s="3"/>
      <c r="N692" s="3"/>
      <c r="O692" s="3"/>
      <c r="P692" s="3"/>
      <c r="Q692" s="3"/>
      <c r="R692" s="3"/>
      <c r="S692" s="3"/>
      <c r="T692" s="3"/>
      <c r="U692" s="3"/>
      <c r="V692" s="3"/>
      <c r="W692" s="3"/>
      <c r="X692" s="3"/>
      <c r="Y692" s="3"/>
      <c r="Z692" s="3"/>
    </row>
    <row r="693">
      <c r="A693" s="57"/>
      <c r="B693" s="57"/>
      <c r="C693" s="57"/>
      <c r="D693" s="3"/>
      <c r="E693" s="3"/>
      <c r="F693" s="3"/>
      <c r="G693" s="3"/>
      <c r="H693" s="3"/>
      <c r="I693" s="3"/>
      <c r="J693" s="3"/>
      <c r="K693" s="3"/>
      <c r="L693" s="3"/>
      <c r="M693" s="3"/>
      <c r="N693" s="3"/>
      <c r="O693" s="3"/>
      <c r="P693" s="3"/>
      <c r="Q693" s="3"/>
      <c r="R693" s="3"/>
      <c r="S693" s="3"/>
      <c r="T693" s="3"/>
      <c r="U693" s="3"/>
      <c r="V693" s="3"/>
      <c r="W693" s="3"/>
      <c r="X693" s="3"/>
      <c r="Y693" s="3"/>
      <c r="Z693" s="3"/>
    </row>
    <row r="694">
      <c r="A694" s="57"/>
      <c r="B694" s="57"/>
      <c r="C694" s="57"/>
      <c r="D694" s="3"/>
      <c r="E694" s="3"/>
      <c r="F694" s="3"/>
      <c r="G694" s="3"/>
      <c r="H694" s="3"/>
      <c r="I694" s="3"/>
      <c r="J694" s="3"/>
      <c r="K694" s="3"/>
      <c r="L694" s="3"/>
      <c r="M694" s="3"/>
      <c r="N694" s="3"/>
      <c r="O694" s="3"/>
      <c r="P694" s="3"/>
      <c r="Q694" s="3"/>
      <c r="R694" s="3"/>
      <c r="S694" s="3"/>
      <c r="T694" s="3"/>
      <c r="U694" s="3"/>
      <c r="V694" s="3"/>
      <c r="W694" s="3"/>
      <c r="X694" s="3"/>
      <c r="Y694" s="3"/>
      <c r="Z694" s="3"/>
    </row>
    <row r="695">
      <c r="A695" s="57"/>
      <c r="B695" s="57"/>
      <c r="C695" s="57"/>
      <c r="D695" s="3"/>
      <c r="E695" s="3"/>
      <c r="F695" s="3"/>
      <c r="G695" s="3"/>
      <c r="H695" s="3"/>
      <c r="I695" s="3"/>
      <c r="J695" s="3"/>
      <c r="K695" s="3"/>
      <c r="L695" s="3"/>
      <c r="M695" s="3"/>
      <c r="N695" s="3"/>
      <c r="O695" s="3"/>
      <c r="P695" s="3"/>
      <c r="Q695" s="3"/>
      <c r="R695" s="3"/>
      <c r="S695" s="3"/>
      <c r="T695" s="3"/>
      <c r="U695" s="3"/>
      <c r="V695" s="3"/>
      <c r="W695" s="3"/>
      <c r="X695" s="3"/>
      <c r="Y695" s="3"/>
      <c r="Z695" s="3"/>
    </row>
    <row r="696">
      <c r="A696" s="57"/>
      <c r="B696" s="57"/>
      <c r="C696" s="57"/>
      <c r="D696" s="3"/>
      <c r="E696" s="3"/>
      <c r="F696" s="3"/>
      <c r="G696" s="3"/>
      <c r="H696" s="3"/>
      <c r="I696" s="3"/>
      <c r="J696" s="3"/>
      <c r="K696" s="3"/>
      <c r="L696" s="3"/>
      <c r="M696" s="3"/>
      <c r="N696" s="3"/>
      <c r="O696" s="3"/>
      <c r="P696" s="3"/>
      <c r="Q696" s="3"/>
      <c r="R696" s="3"/>
      <c r="S696" s="3"/>
      <c r="T696" s="3"/>
      <c r="U696" s="3"/>
      <c r="V696" s="3"/>
      <c r="W696" s="3"/>
      <c r="X696" s="3"/>
      <c r="Y696" s="3"/>
      <c r="Z696" s="3"/>
    </row>
    <row r="697">
      <c r="A697" s="57"/>
      <c r="B697" s="57"/>
      <c r="C697" s="57"/>
      <c r="D697" s="3"/>
      <c r="E697" s="3"/>
      <c r="F697" s="3"/>
      <c r="G697" s="3"/>
      <c r="H697" s="3"/>
      <c r="I697" s="3"/>
      <c r="J697" s="3"/>
      <c r="K697" s="3"/>
      <c r="L697" s="3"/>
      <c r="M697" s="3"/>
      <c r="N697" s="3"/>
      <c r="O697" s="3"/>
      <c r="P697" s="3"/>
      <c r="Q697" s="3"/>
      <c r="R697" s="3"/>
      <c r="S697" s="3"/>
      <c r="T697" s="3"/>
      <c r="U697" s="3"/>
      <c r="V697" s="3"/>
      <c r="W697" s="3"/>
      <c r="X697" s="3"/>
      <c r="Y697" s="3"/>
      <c r="Z697" s="3"/>
    </row>
    <row r="698">
      <c r="A698" s="57"/>
      <c r="B698" s="57"/>
      <c r="C698" s="57"/>
      <c r="D698" s="3"/>
      <c r="E698" s="3"/>
      <c r="F698" s="3"/>
      <c r="G698" s="3"/>
      <c r="H698" s="3"/>
      <c r="I698" s="3"/>
      <c r="J698" s="3"/>
      <c r="K698" s="3"/>
      <c r="L698" s="3"/>
      <c r="M698" s="3"/>
      <c r="N698" s="3"/>
      <c r="O698" s="3"/>
      <c r="P698" s="3"/>
      <c r="Q698" s="3"/>
      <c r="R698" s="3"/>
      <c r="S698" s="3"/>
      <c r="T698" s="3"/>
      <c r="U698" s="3"/>
      <c r="V698" s="3"/>
      <c r="W698" s="3"/>
      <c r="X698" s="3"/>
      <c r="Y698" s="3"/>
      <c r="Z698" s="3"/>
    </row>
    <row r="699">
      <c r="A699" s="57"/>
      <c r="B699" s="57"/>
      <c r="C699" s="57"/>
      <c r="D699" s="3"/>
      <c r="E699" s="3"/>
      <c r="F699" s="3"/>
      <c r="G699" s="3"/>
      <c r="H699" s="3"/>
      <c r="I699" s="3"/>
      <c r="J699" s="3"/>
      <c r="K699" s="3"/>
      <c r="L699" s="3"/>
      <c r="M699" s="3"/>
      <c r="N699" s="3"/>
      <c r="O699" s="3"/>
      <c r="P699" s="3"/>
      <c r="Q699" s="3"/>
      <c r="R699" s="3"/>
      <c r="S699" s="3"/>
      <c r="T699" s="3"/>
      <c r="U699" s="3"/>
      <c r="V699" s="3"/>
      <c r="W699" s="3"/>
      <c r="X699" s="3"/>
      <c r="Y699" s="3"/>
      <c r="Z699" s="3"/>
    </row>
    <row r="700">
      <c r="A700" s="57"/>
      <c r="B700" s="57"/>
      <c r="C700" s="57"/>
      <c r="D700" s="3"/>
      <c r="E700" s="3"/>
      <c r="F700" s="3"/>
      <c r="G700" s="3"/>
      <c r="H700" s="3"/>
      <c r="I700" s="3"/>
      <c r="J700" s="3"/>
      <c r="K700" s="3"/>
      <c r="L700" s="3"/>
      <c r="M700" s="3"/>
      <c r="N700" s="3"/>
      <c r="O700" s="3"/>
      <c r="P700" s="3"/>
      <c r="Q700" s="3"/>
      <c r="R700" s="3"/>
      <c r="S700" s="3"/>
      <c r="T700" s="3"/>
      <c r="U700" s="3"/>
      <c r="V700" s="3"/>
      <c r="W700" s="3"/>
      <c r="X700" s="3"/>
      <c r="Y700" s="3"/>
      <c r="Z700" s="3"/>
    </row>
    <row r="701">
      <c r="A701" s="57"/>
      <c r="B701" s="57"/>
      <c r="C701" s="57"/>
      <c r="D701" s="3"/>
      <c r="E701" s="3"/>
      <c r="F701" s="3"/>
      <c r="G701" s="3"/>
      <c r="H701" s="3"/>
      <c r="I701" s="3"/>
      <c r="J701" s="3"/>
      <c r="K701" s="3"/>
      <c r="L701" s="3"/>
      <c r="M701" s="3"/>
      <c r="N701" s="3"/>
      <c r="O701" s="3"/>
      <c r="P701" s="3"/>
      <c r="Q701" s="3"/>
      <c r="R701" s="3"/>
      <c r="S701" s="3"/>
      <c r="T701" s="3"/>
      <c r="U701" s="3"/>
      <c r="V701" s="3"/>
      <c r="W701" s="3"/>
      <c r="X701" s="3"/>
      <c r="Y701" s="3"/>
      <c r="Z701" s="3"/>
    </row>
    <row r="702">
      <c r="A702" s="57"/>
      <c r="B702" s="57"/>
      <c r="C702" s="57"/>
      <c r="D702" s="3"/>
      <c r="E702" s="3"/>
      <c r="F702" s="3"/>
      <c r="G702" s="3"/>
      <c r="H702" s="3"/>
      <c r="I702" s="3"/>
      <c r="J702" s="3"/>
      <c r="K702" s="3"/>
      <c r="L702" s="3"/>
      <c r="M702" s="3"/>
      <c r="N702" s="3"/>
      <c r="O702" s="3"/>
      <c r="P702" s="3"/>
      <c r="Q702" s="3"/>
      <c r="R702" s="3"/>
      <c r="S702" s="3"/>
      <c r="T702" s="3"/>
      <c r="U702" s="3"/>
      <c r="V702" s="3"/>
      <c r="W702" s="3"/>
      <c r="X702" s="3"/>
      <c r="Y702" s="3"/>
      <c r="Z702" s="3"/>
    </row>
    <row r="703">
      <c r="A703" s="57"/>
      <c r="B703" s="57"/>
      <c r="C703" s="57"/>
      <c r="D703" s="3"/>
      <c r="E703" s="3"/>
      <c r="F703" s="3"/>
      <c r="G703" s="3"/>
      <c r="H703" s="3"/>
      <c r="I703" s="3"/>
      <c r="J703" s="3"/>
      <c r="K703" s="3"/>
      <c r="L703" s="3"/>
      <c r="M703" s="3"/>
      <c r="N703" s="3"/>
      <c r="O703" s="3"/>
      <c r="P703" s="3"/>
      <c r="Q703" s="3"/>
      <c r="R703" s="3"/>
      <c r="S703" s="3"/>
      <c r="T703" s="3"/>
      <c r="U703" s="3"/>
      <c r="V703" s="3"/>
      <c r="W703" s="3"/>
      <c r="X703" s="3"/>
      <c r="Y703" s="3"/>
      <c r="Z703" s="3"/>
    </row>
    <row r="704">
      <c r="A704" s="57"/>
      <c r="B704" s="57"/>
      <c r="C704" s="57"/>
      <c r="D704" s="3"/>
      <c r="E704" s="3"/>
      <c r="F704" s="3"/>
      <c r="G704" s="3"/>
      <c r="H704" s="3"/>
      <c r="I704" s="3"/>
      <c r="J704" s="3"/>
      <c r="K704" s="3"/>
      <c r="L704" s="3"/>
      <c r="M704" s="3"/>
      <c r="N704" s="3"/>
      <c r="O704" s="3"/>
      <c r="P704" s="3"/>
      <c r="Q704" s="3"/>
      <c r="R704" s="3"/>
      <c r="S704" s="3"/>
      <c r="T704" s="3"/>
      <c r="U704" s="3"/>
      <c r="V704" s="3"/>
      <c r="W704" s="3"/>
      <c r="X704" s="3"/>
      <c r="Y704" s="3"/>
      <c r="Z704" s="3"/>
    </row>
    <row r="705">
      <c r="A705" s="57"/>
      <c r="B705" s="57"/>
      <c r="C705" s="57"/>
      <c r="D705" s="3"/>
      <c r="E705" s="3"/>
      <c r="F705" s="3"/>
      <c r="G705" s="3"/>
      <c r="H705" s="3"/>
      <c r="I705" s="3"/>
      <c r="J705" s="3"/>
      <c r="K705" s="3"/>
      <c r="L705" s="3"/>
      <c r="M705" s="3"/>
      <c r="N705" s="3"/>
      <c r="O705" s="3"/>
      <c r="P705" s="3"/>
      <c r="Q705" s="3"/>
      <c r="R705" s="3"/>
      <c r="S705" s="3"/>
      <c r="T705" s="3"/>
      <c r="U705" s="3"/>
      <c r="V705" s="3"/>
      <c r="W705" s="3"/>
      <c r="X705" s="3"/>
      <c r="Y705" s="3"/>
      <c r="Z705" s="3"/>
    </row>
    <row r="706">
      <c r="A706" s="57"/>
      <c r="B706" s="57"/>
      <c r="C706" s="57"/>
      <c r="D706" s="3"/>
      <c r="E706" s="3"/>
      <c r="F706" s="3"/>
      <c r="G706" s="3"/>
      <c r="H706" s="3"/>
      <c r="I706" s="3"/>
      <c r="J706" s="3"/>
      <c r="K706" s="3"/>
      <c r="L706" s="3"/>
      <c r="M706" s="3"/>
      <c r="N706" s="3"/>
      <c r="O706" s="3"/>
      <c r="P706" s="3"/>
      <c r="Q706" s="3"/>
      <c r="R706" s="3"/>
      <c r="S706" s="3"/>
      <c r="T706" s="3"/>
      <c r="U706" s="3"/>
      <c r="V706" s="3"/>
      <c r="W706" s="3"/>
      <c r="X706" s="3"/>
      <c r="Y706" s="3"/>
      <c r="Z706" s="3"/>
    </row>
    <row r="707">
      <c r="A707" s="57"/>
      <c r="B707" s="57"/>
      <c r="C707" s="57"/>
      <c r="D707" s="3"/>
      <c r="E707" s="3"/>
      <c r="F707" s="3"/>
      <c r="G707" s="3"/>
      <c r="H707" s="3"/>
      <c r="I707" s="3"/>
      <c r="J707" s="3"/>
      <c r="K707" s="3"/>
      <c r="L707" s="3"/>
      <c r="M707" s="3"/>
      <c r="N707" s="3"/>
      <c r="O707" s="3"/>
      <c r="P707" s="3"/>
      <c r="Q707" s="3"/>
      <c r="R707" s="3"/>
      <c r="S707" s="3"/>
      <c r="T707" s="3"/>
      <c r="U707" s="3"/>
      <c r="V707" s="3"/>
      <c r="W707" s="3"/>
      <c r="X707" s="3"/>
      <c r="Y707" s="3"/>
      <c r="Z707" s="3"/>
    </row>
    <row r="708">
      <c r="A708" s="57"/>
      <c r="B708" s="57"/>
      <c r="C708" s="57"/>
      <c r="D708" s="3"/>
      <c r="E708" s="3"/>
      <c r="F708" s="3"/>
      <c r="G708" s="3"/>
      <c r="H708" s="3"/>
      <c r="I708" s="3"/>
      <c r="J708" s="3"/>
      <c r="K708" s="3"/>
      <c r="L708" s="3"/>
      <c r="M708" s="3"/>
      <c r="N708" s="3"/>
      <c r="O708" s="3"/>
      <c r="P708" s="3"/>
      <c r="Q708" s="3"/>
      <c r="R708" s="3"/>
      <c r="S708" s="3"/>
      <c r="T708" s="3"/>
      <c r="U708" s="3"/>
      <c r="V708" s="3"/>
      <c r="W708" s="3"/>
      <c r="X708" s="3"/>
      <c r="Y708" s="3"/>
      <c r="Z708" s="3"/>
    </row>
    <row r="709">
      <c r="A709" s="57"/>
      <c r="B709" s="57"/>
      <c r="C709" s="57"/>
      <c r="D709" s="3"/>
      <c r="E709" s="3"/>
      <c r="F709" s="3"/>
      <c r="G709" s="3"/>
      <c r="H709" s="3"/>
      <c r="I709" s="3"/>
      <c r="J709" s="3"/>
      <c r="K709" s="3"/>
      <c r="L709" s="3"/>
      <c r="M709" s="3"/>
      <c r="N709" s="3"/>
      <c r="O709" s="3"/>
      <c r="P709" s="3"/>
      <c r="Q709" s="3"/>
      <c r="R709" s="3"/>
      <c r="S709" s="3"/>
      <c r="T709" s="3"/>
      <c r="U709" s="3"/>
      <c r="V709" s="3"/>
      <c r="W709" s="3"/>
      <c r="X709" s="3"/>
      <c r="Y709" s="3"/>
      <c r="Z709" s="3"/>
    </row>
    <row r="710">
      <c r="A710" s="57"/>
      <c r="B710" s="57"/>
      <c r="C710" s="57"/>
      <c r="D710" s="3"/>
      <c r="E710" s="3"/>
      <c r="F710" s="3"/>
      <c r="G710" s="3"/>
      <c r="H710" s="3"/>
      <c r="I710" s="3"/>
      <c r="J710" s="3"/>
      <c r="K710" s="3"/>
      <c r="L710" s="3"/>
      <c r="M710" s="3"/>
      <c r="N710" s="3"/>
      <c r="O710" s="3"/>
      <c r="P710" s="3"/>
      <c r="Q710" s="3"/>
      <c r="R710" s="3"/>
      <c r="S710" s="3"/>
      <c r="T710" s="3"/>
      <c r="U710" s="3"/>
      <c r="V710" s="3"/>
      <c r="W710" s="3"/>
      <c r="X710" s="3"/>
      <c r="Y710" s="3"/>
      <c r="Z710" s="3"/>
    </row>
    <row r="711">
      <c r="A711" s="57"/>
      <c r="B711" s="57"/>
      <c r="C711" s="57"/>
      <c r="D711" s="3"/>
      <c r="E711" s="3"/>
      <c r="F711" s="3"/>
      <c r="G711" s="3"/>
      <c r="H711" s="3"/>
      <c r="I711" s="3"/>
      <c r="J711" s="3"/>
      <c r="K711" s="3"/>
      <c r="L711" s="3"/>
      <c r="M711" s="3"/>
      <c r="N711" s="3"/>
      <c r="O711" s="3"/>
      <c r="P711" s="3"/>
      <c r="Q711" s="3"/>
      <c r="R711" s="3"/>
      <c r="S711" s="3"/>
      <c r="T711" s="3"/>
      <c r="U711" s="3"/>
      <c r="V711" s="3"/>
      <c r="W711" s="3"/>
      <c r="X711" s="3"/>
      <c r="Y711" s="3"/>
      <c r="Z711" s="3"/>
    </row>
    <row r="712">
      <c r="A712" s="57"/>
      <c r="B712" s="57"/>
      <c r="C712" s="57"/>
      <c r="D712" s="3"/>
      <c r="E712" s="3"/>
      <c r="F712" s="3"/>
      <c r="G712" s="3"/>
      <c r="H712" s="3"/>
      <c r="I712" s="3"/>
      <c r="J712" s="3"/>
      <c r="K712" s="3"/>
      <c r="L712" s="3"/>
      <c r="M712" s="3"/>
      <c r="N712" s="3"/>
      <c r="O712" s="3"/>
      <c r="P712" s="3"/>
      <c r="Q712" s="3"/>
      <c r="R712" s="3"/>
      <c r="S712" s="3"/>
      <c r="T712" s="3"/>
      <c r="U712" s="3"/>
      <c r="V712" s="3"/>
      <c r="W712" s="3"/>
      <c r="X712" s="3"/>
      <c r="Y712" s="3"/>
      <c r="Z712" s="3"/>
    </row>
    <row r="713">
      <c r="A713" s="57"/>
      <c r="B713" s="57"/>
      <c r="C713" s="57"/>
      <c r="D713" s="3"/>
      <c r="E713" s="3"/>
      <c r="F713" s="3"/>
      <c r="G713" s="3"/>
      <c r="H713" s="3"/>
      <c r="I713" s="3"/>
      <c r="J713" s="3"/>
      <c r="K713" s="3"/>
      <c r="L713" s="3"/>
      <c r="M713" s="3"/>
      <c r="N713" s="3"/>
      <c r="O713" s="3"/>
      <c r="P713" s="3"/>
      <c r="Q713" s="3"/>
      <c r="R713" s="3"/>
      <c r="S713" s="3"/>
      <c r="T713" s="3"/>
      <c r="U713" s="3"/>
      <c r="V713" s="3"/>
      <c r="W713" s="3"/>
      <c r="X713" s="3"/>
      <c r="Y713" s="3"/>
      <c r="Z713" s="3"/>
    </row>
    <row r="714">
      <c r="A714" s="57"/>
      <c r="B714" s="57"/>
      <c r="C714" s="57"/>
      <c r="D714" s="3"/>
      <c r="E714" s="3"/>
      <c r="F714" s="3"/>
      <c r="G714" s="3"/>
      <c r="H714" s="3"/>
      <c r="I714" s="3"/>
      <c r="J714" s="3"/>
      <c r="K714" s="3"/>
      <c r="L714" s="3"/>
      <c r="M714" s="3"/>
      <c r="N714" s="3"/>
      <c r="O714" s="3"/>
      <c r="P714" s="3"/>
      <c r="Q714" s="3"/>
      <c r="R714" s="3"/>
      <c r="S714" s="3"/>
      <c r="T714" s="3"/>
      <c r="U714" s="3"/>
      <c r="V714" s="3"/>
      <c r="W714" s="3"/>
      <c r="X714" s="3"/>
      <c r="Y714" s="3"/>
      <c r="Z714" s="3"/>
    </row>
    <row r="715">
      <c r="A715" s="57"/>
      <c r="B715" s="57"/>
      <c r="C715" s="57"/>
      <c r="D715" s="3"/>
      <c r="E715" s="3"/>
      <c r="F715" s="3"/>
      <c r="G715" s="3"/>
      <c r="H715" s="3"/>
      <c r="I715" s="3"/>
      <c r="J715" s="3"/>
      <c r="K715" s="3"/>
      <c r="L715" s="3"/>
      <c r="M715" s="3"/>
      <c r="N715" s="3"/>
      <c r="O715" s="3"/>
      <c r="P715" s="3"/>
      <c r="Q715" s="3"/>
      <c r="R715" s="3"/>
      <c r="S715" s="3"/>
      <c r="T715" s="3"/>
      <c r="U715" s="3"/>
      <c r="V715" s="3"/>
      <c r="W715" s="3"/>
      <c r="X715" s="3"/>
      <c r="Y715" s="3"/>
      <c r="Z715" s="3"/>
    </row>
    <row r="716">
      <c r="A716" s="57"/>
      <c r="B716" s="57"/>
      <c r="C716" s="57"/>
      <c r="D716" s="3"/>
      <c r="E716" s="3"/>
      <c r="F716" s="3"/>
      <c r="G716" s="3"/>
      <c r="H716" s="3"/>
      <c r="I716" s="3"/>
      <c r="J716" s="3"/>
      <c r="K716" s="3"/>
      <c r="L716" s="3"/>
      <c r="M716" s="3"/>
      <c r="N716" s="3"/>
      <c r="O716" s="3"/>
      <c r="P716" s="3"/>
      <c r="Q716" s="3"/>
      <c r="R716" s="3"/>
      <c r="S716" s="3"/>
      <c r="T716" s="3"/>
      <c r="U716" s="3"/>
      <c r="V716" s="3"/>
      <c r="W716" s="3"/>
      <c r="X716" s="3"/>
      <c r="Y716" s="3"/>
      <c r="Z716" s="3"/>
    </row>
    <row r="717">
      <c r="A717" s="57"/>
      <c r="B717" s="57"/>
      <c r="C717" s="57"/>
      <c r="D717" s="3"/>
      <c r="E717" s="3"/>
      <c r="F717" s="3"/>
      <c r="G717" s="3"/>
      <c r="H717" s="3"/>
      <c r="I717" s="3"/>
      <c r="J717" s="3"/>
      <c r="K717" s="3"/>
      <c r="L717" s="3"/>
      <c r="M717" s="3"/>
      <c r="N717" s="3"/>
      <c r="O717" s="3"/>
      <c r="P717" s="3"/>
      <c r="Q717" s="3"/>
      <c r="R717" s="3"/>
      <c r="S717" s="3"/>
      <c r="T717" s="3"/>
      <c r="U717" s="3"/>
      <c r="V717" s="3"/>
      <c r="W717" s="3"/>
      <c r="X717" s="3"/>
      <c r="Y717" s="3"/>
      <c r="Z717" s="3"/>
    </row>
    <row r="718">
      <c r="A718" s="57"/>
      <c r="B718" s="57"/>
      <c r="C718" s="57"/>
      <c r="D718" s="3"/>
      <c r="E718" s="3"/>
      <c r="F718" s="3"/>
      <c r="G718" s="3"/>
      <c r="H718" s="3"/>
      <c r="I718" s="3"/>
      <c r="J718" s="3"/>
      <c r="K718" s="3"/>
      <c r="L718" s="3"/>
      <c r="M718" s="3"/>
      <c r="N718" s="3"/>
      <c r="O718" s="3"/>
      <c r="P718" s="3"/>
      <c r="Q718" s="3"/>
      <c r="R718" s="3"/>
      <c r="S718" s="3"/>
      <c r="T718" s="3"/>
      <c r="U718" s="3"/>
      <c r="V718" s="3"/>
      <c r="W718" s="3"/>
      <c r="X718" s="3"/>
      <c r="Y718" s="3"/>
      <c r="Z718" s="3"/>
    </row>
    <row r="719">
      <c r="A719" s="57"/>
      <c r="B719" s="57"/>
      <c r="C719" s="57"/>
      <c r="D719" s="3"/>
      <c r="E719" s="3"/>
      <c r="F719" s="3"/>
      <c r="G719" s="3"/>
      <c r="H719" s="3"/>
      <c r="I719" s="3"/>
      <c r="J719" s="3"/>
      <c r="K719" s="3"/>
      <c r="L719" s="3"/>
      <c r="M719" s="3"/>
      <c r="N719" s="3"/>
      <c r="O719" s="3"/>
      <c r="P719" s="3"/>
      <c r="Q719" s="3"/>
      <c r="R719" s="3"/>
      <c r="S719" s="3"/>
      <c r="T719" s="3"/>
      <c r="U719" s="3"/>
      <c r="V719" s="3"/>
      <c r="W719" s="3"/>
      <c r="X719" s="3"/>
      <c r="Y719" s="3"/>
      <c r="Z719" s="3"/>
    </row>
    <row r="720">
      <c r="A720" s="57"/>
      <c r="B720" s="57"/>
      <c r="C720" s="57"/>
      <c r="D720" s="3"/>
      <c r="E720" s="3"/>
      <c r="F720" s="3"/>
      <c r="G720" s="3"/>
      <c r="H720" s="3"/>
      <c r="I720" s="3"/>
      <c r="J720" s="3"/>
      <c r="K720" s="3"/>
      <c r="L720" s="3"/>
      <c r="M720" s="3"/>
      <c r="N720" s="3"/>
      <c r="O720" s="3"/>
      <c r="P720" s="3"/>
      <c r="Q720" s="3"/>
      <c r="R720" s="3"/>
      <c r="S720" s="3"/>
      <c r="T720" s="3"/>
      <c r="U720" s="3"/>
      <c r="V720" s="3"/>
      <c r="W720" s="3"/>
      <c r="X720" s="3"/>
      <c r="Y720" s="3"/>
      <c r="Z720" s="3"/>
    </row>
    <row r="721">
      <c r="A721" s="57"/>
      <c r="B721" s="57"/>
      <c r="C721" s="57"/>
      <c r="D721" s="3"/>
      <c r="E721" s="3"/>
      <c r="F721" s="3"/>
      <c r="G721" s="3"/>
      <c r="H721" s="3"/>
      <c r="I721" s="3"/>
      <c r="J721" s="3"/>
      <c r="K721" s="3"/>
      <c r="L721" s="3"/>
      <c r="M721" s="3"/>
      <c r="N721" s="3"/>
      <c r="O721" s="3"/>
      <c r="P721" s="3"/>
      <c r="Q721" s="3"/>
      <c r="R721" s="3"/>
      <c r="S721" s="3"/>
      <c r="T721" s="3"/>
      <c r="U721" s="3"/>
      <c r="V721" s="3"/>
      <c r="W721" s="3"/>
      <c r="X721" s="3"/>
      <c r="Y721" s="3"/>
      <c r="Z721" s="3"/>
    </row>
    <row r="722">
      <c r="A722" s="57"/>
      <c r="B722" s="57"/>
      <c r="C722" s="57"/>
      <c r="D722" s="3"/>
      <c r="E722" s="3"/>
      <c r="F722" s="3"/>
      <c r="G722" s="3"/>
      <c r="H722" s="3"/>
      <c r="I722" s="3"/>
      <c r="J722" s="3"/>
      <c r="K722" s="3"/>
      <c r="L722" s="3"/>
      <c r="M722" s="3"/>
      <c r="N722" s="3"/>
      <c r="O722" s="3"/>
      <c r="P722" s="3"/>
      <c r="Q722" s="3"/>
      <c r="R722" s="3"/>
      <c r="S722" s="3"/>
      <c r="T722" s="3"/>
      <c r="U722" s="3"/>
      <c r="V722" s="3"/>
      <c r="W722" s="3"/>
      <c r="X722" s="3"/>
      <c r="Y722" s="3"/>
      <c r="Z722" s="3"/>
    </row>
    <row r="723">
      <c r="A723" s="57"/>
      <c r="B723" s="57"/>
      <c r="C723" s="57"/>
      <c r="D723" s="3"/>
      <c r="E723" s="3"/>
      <c r="F723" s="3"/>
      <c r="G723" s="3"/>
      <c r="H723" s="3"/>
      <c r="I723" s="3"/>
      <c r="J723" s="3"/>
      <c r="K723" s="3"/>
      <c r="L723" s="3"/>
      <c r="M723" s="3"/>
      <c r="N723" s="3"/>
      <c r="O723" s="3"/>
      <c r="P723" s="3"/>
      <c r="Q723" s="3"/>
      <c r="R723" s="3"/>
      <c r="S723" s="3"/>
      <c r="T723" s="3"/>
      <c r="U723" s="3"/>
      <c r="V723" s="3"/>
      <c r="W723" s="3"/>
      <c r="X723" s="3"/>
      <c r="Y723" s="3"/>
      <c r="Z723" s="3"/>
    </row>
    <row r="724">
      <c r="A724" s="57"/>
      <c r="B724" s="57"/>
      <c r="C724" s="57"/>
      <c r="D724" s="3"/>
      <c r="E724" s="3"/>
      <c r="F724" s="3"/>
      <c r="G724" s="3"/>
      <c r="H724" s="3"/>
      <c r="I724" s="3"/>
      <c r="J724" s="3"/>
      <c r="K724" s="3"/>
      <c r="L724" s="3"/>
      <c r="M724" s="3"/>
      <c r="N724" s="3"/>
      <c r="O724" s="3"/>
      <c r="P724" s="3"/>
      <c r="Q724" s="3"/>
      <c r="R724" s="3"/>
      <c r="S724" s="3"/>
      <c r="T724" s="3"/>
      <c r="U724" s="3"/>
      <c r="V724" s="3"/>
      <c r="W724" s="3"/>
      <c r="X724" s="3"/>
      <c r="Y724" s="3"/>
      <c r="Z724" s="3"/>
    </row>
    <row r="725">
      <c r="A725" s="57"/>
      <c r="B725" s="57"/>
      <c r="C725" s="57"/>
      <c r="D725" s="3"/>
      <c r="E725" s="3"/>
      <c r="F725" s="3"/>
      <c r="G725" s="3"/>
      <c r="H725" s="3"/>
      <c r="I725" s="3"/>
      <c r="J725" s="3"/>
      <c r="K725" s="3"/>
      <c r="L725" s="3"/>
      <c r="M725" s="3"/>
      <c r="N725" s="3"/>
      <c r="O725" s="3"/>
      <c r="P725" s="3"/>
      <c r="Q725" s="3"/>
      <c r="R725" s="3"/>
      <c r="S725" s="3"/>
      <c r="T725" s="3"/>
      <c r="U725" s="3"/>
      <c r="V725" s="3"/>
      <c r="W725" s="3"/>
      <c r="X725" s="3"/>
      <c r="Y725" s="3"/>
      <c r="Z725" s="3"/>
    </row>
    <row r="726">
      <c r="A726" s="57"/>
      <c r="B726" s="57"/>
      <c r="C726" s="57"/>
      <c r="D726" s="3"/>
      <c r="E726" s="3"/>
      <c r="F726" s="3"/>
      <c r="G726" s="3"/>
      <c r="H726" s="3"/>
      <c r="I726" s="3"/>
      <c r="J726" s="3"/>
      <c r="K726" s="3"/>
      <c r="L726" s="3"/>
      <c r="M726" s="3"/>
      <c r="N726" s="3"/>
      <c r="O726" s="3"/>
      <c r="P726" s="3"/>
      <c r="Q726" s="3"/>
      <c r="R726" s="3"/>
      <c r="S726" s="3"/>
      <c r="T726" s="3"/>
      <c r="U726" s="3"/>
      <c r="V726" s="3"/>
      <c r="W726" s="3"/>
      <c r="X726" s="3"/>
      <c r="Y726" s="3"/>
      <c r="Z726" s="3"/>
    </row>
    <row r="727">
      <c r="A727" s="57"/>
      <c r="B727" s="57"/>
      <c r="C727" s="57"/>
      <c r="D727" s="3"/>
      <c r="E727" s="3"/>
      <c r="F727" s="3"/>
      <c r="G727" s="3"/>
      <c r="H727" s="3"/>
      <c r="I727" s="3"/>
      <c r="J727" s="3"/>
      <c r="K727" s="3"/>
      <c r="L727" s="3"/>
      <c r="M727" s="3"/>
      <c r="N727" s="3"/>
      <c r="O727" s="3"/>
      <c r="P727" s="3"/>
      <c r="Q727" s="3"/>
      <c r="R727" s="3"/>
      <c r="S727" s="3"/>
      <c r="T727" s="3"/>
      <c r="U727" s="3"/>
      <c r="V727" s="3"/>
      <c r="W727" s="3"/>
      <c r="X727" s="3"/>
      <c r="Y727" s="3"/>
      <c r="Z727" s="3"/>
    </row>
    <row r="728">
      <c r="A728" s="57"/>
      <c r="B728" s="57"/>
      <c r="C728" s="57"/>
      <c r="D728" s="3"/>
      <c r="E728" s="3"/>
      <c r="F728" s="3"/>
      <c r="G728" s="3"/>
      <c r="H728" s="3"/>
      <c r="I728" s="3"/>
      <c r="J728" s="3"/>
      <c r="K728" s="3"/>
      <c r="L728" s="3"/>
      <c r="M728" s="3"/>
      <c r="N728" s="3"/>
      <c r="O728" s="3"/>
      <c r="P728" s="3"/>
      <c r="Q728" s="3"/>
      <c r="R728" s="3"/>
      <c r="S728" s="3"/>
      <c r="T728" s="3"/>
      <c r="U728" s="3"/>
      <c r="V728" s="3"/>
      <c r="W728" s="3"/>
      <c r="X728" s="3"/>
      <c r="Y728" s="3"/>
      <c r="Z728" s="3"/>
    </row>
    <row r="729">
      <c r="A729" s="57"/>
      <c r="B729" s="57"/>
      <c r="C729" s="57"/>
      <c r="D729" s="3"/>
      <c r="E729" s="3"/>
      <c r="F729" s="3"/>
      <c r="G729" s="3"/>
      <c r="H729" s="3"/>
      <c r="I729" s="3"/>
      <c r="J729" s="3"/>
      <c r="K729" s="3"/>
      <c r="L729" s="3"/>
      <c r="M729" s="3"/>
      <c r="N729" s="3"/>
      <c r="O729" s="3"/>
      <c r="P729" s="3"/>
      <c r="Q729" s="3"/>
      <c r="R729" s="3"/>
      <c r="S729" s="3"/>
      <c r="T729" s="3"/>
      <c r="U729" s="3"/>
      <c r="V729" s="3"/>
      <c r="W729" s="3"/>
      <c r="X729" s="3"/>
      <c r="Y729" s="3"/>
      <c r="Z729" s="3"/>
    </row>
    <row r="730">
      <c r="A730" s="57"/>
      <c r="B730" s="57"/>
      <c r="C730" s="57"/>
      <c r="D730" s="3"/>
      <c r="E730" s="3"/>
      <c r="F730" s="3"/>
      <c r="G730" s="3"/>
      <c r="H730" s="3"/>
      <c r="I730" s="3"/>
      <c r="J730" s="3"/>
      <c r="K730" s="3"/>
      <c r="L730" s="3"/>
      <c r="M730" s="3"/>
      <c r="N730" s="3"/>
      <c r="O730" s="3"/>
      <c r="P730" s="3"/>
      <c r="Q730" s="3"/>
      <c r="R730" s="3"/>
      <c r="S730" s="3"/>
      <c r="T730" s="3"/>
      <c r="U730" s="3"/>
      <c r="V730" s="3"/>
      <c r="W730" s="3"/>
      <c r="X730" s="3"/>
      <c r="Y730" s="3"/>
      <c r="Z730" s="3"/>
    </row>
    <row r="731">
      <c r="A731" s="57"/>
      <c r="B731" s="57"/>
      <c r="C731" s="57"/>
      <c r="D731" s="3"/>
      <c r="E731" s="3"/>
      <c r="F731" s="3"/>
      <c r="G731" s="3"/>
      <c r="H731" s="3"/>
      <c r="I731" s="3"/>
      <c r="J731" s="3"/>
      <c r="K731" s="3"/>
      <c r="L731" s="3"/>
      <c r="M731" s="3"/>
      <c r="N731" s="3"/>
      <c r="O731" s="3"/>
      <c r="P731" s="3"/>
      <c r="Q731" s="3"/>
      <c r="R731" s="3"/>
      <c r="S731" s="3"/>
      <c r="T731" s="3"/>
      <c r="U731" s="3"/>
      <c r="V731" s="3"/>
      <c r="W731" s="3"/>
      <c r="X731" s="3"/>
      <c r="Y731" s="3"/>
      <c r="Z731" s="3"/>
    </row>
    <row r="732">
      <c r="A732" s="57"/>
      <c r="B732" s="57"/>
      <c r="C732" s="57"/>
      <c r="D732" s="3"/>
      <c r="E732" s="3"/>
      <c r="F732" s="3"/>
      <c r="G732" s="3"/>
      <c r="H732" s="3"/>
      <c r="I732" s="3"/>
      <c r="J732" s="3"/>
      <c r="K732" s="3"/>
      <c r="L732" s="3"/>
      <c r="M732" s="3"/>
      <c r="N732" s="3"/>
      <c r="O732" s="3"/>
      <c r="P732" s="3"/>
      <c r="Q732" s="3"/>
      <c r="R732" s="3"/>
      <c r="S732" s="3"/>
      <c r="T732" s="3"/>
      <c r="U732" s="3"/>
      <c r="V732" s="3"/>
      <c r="W732" s="3"/>
      <c r="X732" s="3"/>
      <c r="Y732" s="3"/>
      <c r="Z732" s="3"/>
    </row>
    <row r="733">
      <c r="A733" s="57"/>
      <c r="B733" s="57"/>
      <c r="C733" s="57"/>
      <c r="D733" s="3"/>
      <c r="E733" s="3"/>
      <c r="F733" s="3"/>
      <c r="G733" s="3"/>
      <c r="H733" s="3"/>
      <c r="I733" s="3"/>
      <c r="J733" s="3"/>
      <c r="K733" s="3"/>
      <c r="L733" s="3"/>
      <c r="M733" s="3"/>
      <c r="N733" s="3"/>
      <c r="O733" s="3"/>
      <c r="P733" s="3"/>
      <c r="Q733" s="3"/>
      <c r="R733" s="3"/>
      <c r="S733" s="3"/>
      <c r="T733" s="3"/>
      <c r="U733" s="3"/>
      <c r="V733" s="3"/>
      <c r="W733" s="3"/>
      <c r="X733" s="3"/>
      <c r="Y733" s="3"/>
      <c r="Z733" s="3"/>
    </row>
    <row r="734">
      <c r="A734" s="57"/>
      <c r="B734" s="57"/>
      <c r="C734" s="57"/>
      <c r="D734" s="3"/>
      <c r="E734" s="3"/>
      <c r="F734" s="3"/>
      <c r="G734" s="3"/>
      <c r="H734" s="3"/>
      <c r="I734" s="3"/>
      <c r="J734" s="3"/>
      <c r="K734" s="3"/>
      <c r="L734" s="3"/>
      <c r="M734" s="3"/>
      <c r="N734" s="3"/>
      <c r="O734" s="3"/>
      <c r="P734" s="3"/>
      <c r="Q734" s="3"/>
      <c r="R734" s="3"/>
      <c r="S734" s="3"/>
      <c r="T734" s="3"/>
      <c r="U734" s="3"/>
      <c r="V734" s="3"/>
      <c r="W734" s="3"/>
      <c r="X734" s="3"/>
      <c r="Y734" s="3"/>
      <c r="Z734" s="3"/>
    </row>
    <row r="735">
      <c r="A735" s="57"/>
      <c r="B735" s="57"/>
      <c r="C735" s="57"/>
      <c r="D735" s="3"/>
      <c r="E735" s="3"/>
      <c r="F735" s="3"/>
      <c r="G735" s="3"/>
      <c r="H735" s="3"/>
      <c r="I735" s="3"/>
      <c r="J735" s="3"/>
      <c r="K735" s="3"/>
      <c r="L735" s="3"/>
      <c r="M735" s="3"/>
      <c r="N735" s="3"/>
      <c r="O735" s="3"/>
      <c r="P735" s="3"/>
      <c r="Q735" s="3"/>
      <c r="R735" s="3"/>
      <c r="S735" s="3"/>
      <c r="T735" s="3"/>
      <c r="U735" s="3"/>
      <c r="V735" s="3"/>
      <c r="W735" s="3"/>
      <c r="X735" s="3"/>
      <c r="Y735" s="3"/>
      <c r="Z735" s="3"/>
    </row>
    <row r="736">
      <c r="A736" s="57"/>
      <c r="B736" s="57"/>
      <c r="C736" s="57"/>
      <c r="D736" s="3"/>
      <c r="E736" s="3"/>
      <c r="F736" s="3"/>
      <c r="G736" s="3"/>
      <c r="H736" s="3"/>
      <c r="I736" s="3"/>
      <c r="J736" s="3"/>
      <c r="K736" s="3"/>
      <c r="L736" s="3"/>
      <c r="M736" s="3"/>
      <c r="N736" s="3"/>
      <c r="O736" s="3"/>
      <c r="P736" s="3"/>
      <c r="Q736" s="3"/>
      <c r="R736" s="3"/>
      <c r="S736" s="3"/>
      <c r="T736" s="3"/>
      <c r="U736" s="3"/>
      <c r="V736" s="3"/>
      <c r="W736" s="3"/>
      <c r="X736" s="3"/>
      <c r="Y736" s="3"/>
      <c r="Z736" s="3"/>
    </row>
    <row r="737">
      <c r="A737" s="57"/>
      <c r="B737" s="57"/>
      <c r="C737" s="57"/>
      <c r="D737" s="3"/>
      <c r="E737" s="3"/>
      <c r="F737" s="3"/>
      <c r="G737" s="3"/>
      <c r="H737" s="3"/>
      <c r="I737" s="3"/>
      <c r="J737" s="3"/>
      <c r="K737" s="3"/>
      <c r="L737" s="3"/>
      <c r="M737" s="3"/>
      <c r="N737" s="3"/>
      <c r="O737" s="3"/>
      <c r="P737" s="3"/>
      <c r="Q737" s="3"/>
      <c r="R737" s="3"/>
      <c r="S737" s="3"/>
      <c r="T737" s="3"/>
      <c r="U737" s="3"/>
      <c r="V737" s="3"/>
      <c r="W737" s="3"/>
      <c r="X737" s="3"/>
      <c r="Y737" s="3"/>
      <c r="Z737" s="3"/>
    </row>
    <row r="738">
      <c r="A738" s="57"/>
      <c r="B738" s="57"/>
      <c r="C738" s="57"/>
      <c r="D738" s="3"/>
      <c r="E738" s="3"/>
      <c r="F738" s="3"/>
      <c r="G738" s="3"/>
      <c r="H738" s="3"/>
      <c r="I738" s="3"/>
      <c r="J738" s="3"/>
      <c r="K738" s="3"/>
      <c r="L738" s="3"/>
      <c r="M738" s="3"/>
      <c r="N738" s="3"/>
      <c r="O738" s="3"/>
      <c r="P738" s="3"/>
      <c r="Q738" s="3"/>
      <c r="R738" s="3"/>
      <c r="S738" s="3"/>
      <c r="T738" s="3"/>
      <c r="U738" s="3"/>
      <c r="V738" s="3"/>
      <c r="W738" s="3"/>
      <c r="X738" s="3"/>
      <c r="Y738" s="3"/>
      <c r="Z738" s="3"/>
    </row>
    <row r="739">
      <c r="A739" s="57"/>
      <c r="B739" s="57"/>
      <c r="C739" s="57"/>
      <c r="D739" s="3"/>
      <c r="E739" s="3"/>
      <c r="F739" s="3"/>
      <c r="G739" s="3"/>
      <c r="H739" s="3"/>
      <c r="I739" s="3"/>
      <c r="J739" s="3"/>
      <c r="K739" s="3"/>
      <c r="L739" s="3"/>
      <c r="M739" s="3"/>
      <c r="N739" s="3"/>
      <c r="O739" s="3"/>
      <c r="P739" s="3"/>
      <c r="Q739" s="3"/>
      <c r="R739" s="3"/>
      <c r="S739" s="3"/>
      <c r="T739" s="3"/>
      <c r="U739" s="3"/>
      <c r="V739" s="3"/>
      <c r="W739" s="3"/>
      <c r="X739" s="3"/>
      <c r="Y739" s="3"/>
      <c r="Z739" s="3"/>
    </row>
    <row r="740">
      <c r="A740" s="57"/>
      <c r="B740" s="57"/>
      <c r="C740" s="57"/>
      <c r="D740" s="3"/>
      <c r="E740" s="3"/>
      <c r="F740" s="3"/>
      <c r="G740" s="3"/>
      <c r="H740" s="3"/>
      <c r="I740" s="3"/>
      <c r="J740" s="3"/>
      <c r="K740" s="3"/>
      <c r="L740" s="3"/>
      <c r="M740" s="3"/>
      <c r="N740" s="3"/>
      <c r="O740" s="3"/>
      <c r="P740" s="3"/>
      <c r="Q740" s="3"/>
      <c r="R740" s="3"/>
      <c r="S740" s="3"/>
      <c r="T740" s="3"/>
      <c r="U740" s="3"/>
      <c r="V740" s="3"/>
      <c r="W740" s="3"/>
      <c r="X740" s="3"/>
      <c r="Y740" s="3"/>
      <c r="Z740" s="3"/>
    </row>
    <row r="741">
      <c r="A741" s="57"/>
      <c r="B741" s="57"/>
      <c r="C741" s="57"/>
      <c r="D741" s="3"/>
      <c r="E741" s="3"/>
      <c r="F741" s="3"/>
      <c r="G741" s="3"/>
      <c r="H741" s="3"/>
      <c r="I741" s="3"/>
      <c r="J741" s="3"/>
      <c r="K741" s="3"/>
      <c r="L741" s="3"/>
      <c r="M741" s="3"/>
      <c r="N741" s="3"/>
      <c r="O741" s="3"/>
      <c r="P741" s="3"/>
      <c r="Q741" s="3"/>
      <c r="R741" s="3"/>
      <c r="S741" s="3"/>
      <c r="T741" s="3"/>
      <c r="U741" s="3"/>
      <c r="V741" s="3"/>
      <c r="W741" s="3"/>
      <c r="X741" s="3"/>
      <c r="Y741" s="3"/>
      <c r="Z741" s="3"/>
    </row>
    <row r="742">
      <c r="A742" s="57"/>
      <c r="B742" s="57"/>
      <c r="C742" s="57"/>
      <c r="D742" s="3"/>
      <c r="E742" s="3"/>
      <c r="F742" s="3"/>
      <c r="G742" s="3"/>
      <c r="H742" s="3"/>
      <c r="I742" s="3"/>
      <c r="J742" s="3"/>
      <c r="K742" s="3"/>
      <c r="L742" s="3"/>
      <c r="M742" s="3"/>
      <c r="N742" s="3"/>
      <c r="O742" s="3"/>
      <c r="P742" s="3"/>
      <c r="Q742" s="3"/>
      <c r="R742" s="3"/>
      <c r="S742" s="3"/>
      <c r="T742" s="3"/>
      <c r="U742" s="3"/>
      <c r="V742" s="3"/>
      <c r="W742" s="3"/>
      <c r="X742" s="3"/>
      <c r="Y742" s="3"/>
      <c r="Z742" s="3"/>
    </row>
    <row r="743">
      <c r="A743" s="57"/>
      <c r="B743" s="57"/>
      <c r="C743" s="57"/>
      <c r="D743" s="3"/>
      <c r="E743" s="3"/>
      <c r="F743" s="3"/>
      <c r="G743" s="3"/>
      <c r="H743" s="3"/>
      <c r="I743" s="3"/>
      <c r="J743" s="3"/>
      <c r="K743" s="3"/>
      <c r="L743" s="3"/>
      <c r="M743" s="3"/>
      <c r="N743" s="3"/>
      <c r="O743" s="3"/>
      <c r="P743" s="3"/>
      <c r="Q743" s="3"/>
      <c r="R743" s="3"/>
      <c r="S743" s="3"/>
      <c r="T743" s="3"/>
      <c r="U743" s="3"/>
      <c r="V743" s="3"/>
      <c r="W743" s="3"/>
      <c r="X743" s="3"/>
      <c r="Y743" s="3"/>
      <c r="Z743" s="3"/>
    </row>
    <row r="744">
      <c r="A744" s="57"/>
      <c r="B744" s="57"/>
      <c r="C744" s="57"/>
      <c r="D744" s="3"/>
      <c r="E744" s="3"/>
      <c r="F744" s="3"/>
      <c r="G744" s="3"/>
      <c r="H744" s="3"/>
      <c r="I744" s="3"/>
      <c r="J744" s="3"/>
      <c r="K744" s="3"/>
      <c r="L744" s="3"/>
      <c r="M744" s="3"/>
      <c r="N744" s="3"/>
      <c r="O744" s="3"/>
      <c r="P744" s="3"/>
      <c r="Q744" s="3"/>
      <c r="R744" s="3"/>
      <c r="S744" s="3"/>
      <c r="T744" s="3"/>
      <c r="U744" s="3"/>
      <c r="V744" s="3"/>
      <c r="W744" s="3"/>
      <c r="X744" s="3"/>
      <c r="Y744" s="3"/>
      <c r="Z744" s="3"/>
    </row>
    <row r="745">
      <c r="A745" s="57"/>
      <c r="B745" s="57"/>
      <c r="C745" s="57"/>
      <c r="D745" s="3"/>
      <c r="E745" s="3"/>
      <c r="F745" s="3"/>
      <c r="G745" s="3"/>
      <c r="H745" s="3"/>
      <c r="I745" s="3"/>
      <c r="J745" s="3"/>
      <c r="K745" s="3"/>
      <c r="L745" s="3"/>
      <c r="M745" s="3"/>
      <c r="N745" s="3"/>
      <c r="O745" s="3"/>
      <c r="P745" s="3"/>
      <c r="Q745" s="3"/>
      <c r="R745" s="3"/>
      <c r="S745" s="3"/>
      <c r="T745" s="3"/>
      <c r="U745" s="3"/>
      <c r="V745" s="3"/>
      <c r="W745" s="3"/>
      <c r="X745" s="3"/>
      <c r="Y745" s="3"/>
      <c r="Z745" s="3"/>
    </row>
    <row r="746">
      <c r="A746" s="57"/>
      <c r="B746" s="57"/>
      <c r="C746" s="57"/>
      <c r="D746" s="3"/>
      <c r="E746" s="3"/>
      <c r="F746" s="3"/>
      <c r="G746" s="3"/>
      <c r="H746" s="3"/>
      <c r="I746" s="3"/>
      <c r="J746" s="3"/>
      <c r="K746" s="3"/>
      <c r="L746" s="3"/>
      <c r="M746" s="3"/>
      <c r="N746" s="3"/>
      <c r="O746" s="3"/>
      <c r="P746" s="3"/>
      <c r="Q746" s="3"/>
      <c r="R746" s="3"/>
      <c r="S746" s="3"/>
      <c r="T746" s="3"/>
      <c r="U746" s="3"/>
      <c r="V746" s="3"/>
      <c r="W746" s="3"/>
      <c r="X746" s="3"/>
      <c r="Y746" s="3"/>
      <c r="Z746" s="3"/>
    </row>
    <row r="747">
      <c r="A747" s="57"/>
      <c r="B747" s="57"/>
      <c r="C747" s="57"/>
      <c r="D747" s="3"/>
      <c r="E747" s="3"/>
      <c r="F747" s="3"/>
      <c r="G747" s="3"/>
      <c r="H747" s="3"/>
      <c r="I747" s="3"/>
      <c r="J747" s="3"/>
      <c r="K747" s="3"/>
      <c r="L747" s="3"/>
      <c r="M747" s="3"/>
      <c r="N747" s="3"/>
      <c r="O747" s="3"/>
      <c r="P747" s="3"/>
      <c r="Q747" s="3"/>
      <c r="R747" s="3"/>
      <c r="S747" s="3"/>
      <c r="T747" s="3"/>
      <c r="U747" s="3"/>
      <c r="V747" s="3"/>
      <c r="W747" s="3"/>
      <c r="X747" s="3"/>
      <c r="Y747" s="3"/>
      <c r="Z747" s="3"/>
    </row>
    <row r="748">
      <c r="A748" s="57"/>
      <c r="B748" s="57"/>
      <c r="C748" s="57"/>
      <c r="D748" s="3"/>
      <c r="E748" s="3"/>
      <c r="F748" s="3"/>
      <c r="G748" s="3"/>
      <c r="H748" s="3"/>
      <c r="I748" s="3"/>
      <c r="J748" s="3"/>
      <c r="K748" s="3"/>
      <c r="L748" s="3"/>
      <c r="M748" s="3"/>
      <c r="N748" s="3"/>
      <c r="O748" s="3"/>
      <c r="P748" s="3"/>
      <c r="Q748" s="3"/>
      <c r="R748" s="3"/>
      <c r="S748" s="3"/>
      <c r="T748" s="3"/>
      <c r="U748" s="3"/>
      <c r="V748" s="3"/>
      <c r="W748" s="3"/>
      <c r="X748" s="3"/>
      <c r="Y748" s="3"/>
      <c r="Z748" s="3"/>
    </row>
    <row r="749">
      <c r="A749" s="57"/>
      <c r="B749" s="57"/>
      <c r="C749" s="57"/>
      <c r="D749" s="3"/>
      <c r="E749" s="3"/>
      <c r="F749" s="3"/>
      <c r="G749" s="3"/>
      <c r="H749" s="3"/>
      <c r="I749" s="3"/>
      <c r="J749" s="3"/>
      <c r="K749" s="3"/>
      <c r="L749" s="3"/>
      <c r="M749" s="3"/>
      <c r="N749" s="3"/>
      <c r="O749" s="3"/>
      <c r="P749" s="3"/>
      <c r="Q749" s="3"/>
      <c r="R749" s="3"/>
      <c r="S749" s="3"/>
      <c r="T749" s="3"/>
      <c r="U749" s="3"/>
      <c r="V749" s="3"/>
      <c r="W749" s="3"/>
      <c r="X749" s="3"/>
      <c r="Y749" s="3"/>
      <c r="Z749" s="3"/>
    </row>
    <row r="750">
      <c r="A750" s="57"/>
      <c r="B750" s="57"/>
      <c r="C750" s="57"/>
      <c r="D750" s="3"/>
      <c r="E750" s="3"/>
      <c r="F750" s="3"/>
      <c r="G750" s="3"/>
      <c r="H750" s="3"/>
      <c r="I750" s="3"/>
      <c r="J750" s="3"/>
      <c r="K750" s="3"/>
      <c r="L750" s="3"/>
      <c r="M750" s="3"/>
      <c r="N750" s="3"/>
      <c r="O750" s="3"/>
      <c r="P750" s="3"/>
      <c r="Q750" s="3"/>
      <c r="R750" s="3"/>
      <c r="S750" s="3"/>
      <c r="T750" s="3"/>
      <c r="U750" s="3"/>
      <c r="V750" s="3"/>
      <c r="W750" s="3"/>
      <c r="X750" s="3"/>
      <c r="Y750" s="3"/>
      <c r="Z750" s="3"/>
    </row>
    <row r="751">
      <c r="A751" s="57"/>
      <c r="B751" s="57"/>
      <c r="C751" s="57"/>
      <c r="D751" s="3"/>
      <c r="E751" s="3"/>
      <c r="F751" s="3"/>
      <c r="G751" s="3"/>
      <c r="H751" s="3"/>
      <c r="I751" s="3"/>
      <c r="J751" s="3"/>
      <c r="K751" s="3"/>
      <c r="L751" s="3"/>
      <c r="M751" s="3"/>
      <c r="N751" s="3"/>
      <c r="O751" s="3"/>
      <c r="P751" s="3"/>
      <c r="Q751" s="3"/>
      <c r="R751" s="3"/>
      <c r="S751" s="3"/>
      <c r="T751" s="3"/>
      <c r="U751" s="3"/>
      <c r="V751" s="3"/>
      <c r="W751" s="3"/>
      <c r="X751" s="3"/>
      <c r="Y751" s="3"/>
      <c r="Z751" s="3"/>
    </row>
    <row r="752">
      <c r="A752" s="57"/>
      <c r="B752" s="57"/>
      <c r="C752" s="57"/>
      <c r="D752" s="3"/>
      <c r="E752" s="3"/>
      <c r="F752" s="3"/>
      <c r="G752" s="3"/>
      <c r="H752" s="3"/>
      <c r="I752" s="3"/>
      <c r="J752" s="3"/>
      <c r="K752" s="3"/>
      <c r="L752" s="3"/>
      <c r="M752" s="3"/>
      <c r="N752" s="3"/>
      <c r="O752" s="3"/>
      <c r="P752" s="3"/>
      <c r="Q752" s="3"/>
      <c r="R752" s="3"/>
      <c r="S752" s="3"/>
      <c r="T752" s="3"/>
      <c r="U752" s="3"/>
      <c r="V752" s="3"/>
      <c r="W752" s="3"/>
      <c r="X752" s="3"/>
      <c r="Y752" s="3"/>
      <c r="Z752" s="3"/>
    </row>
    <row r="753">
      <c r="A753" s="57"/>
      <c r="B753" s="57"/>
      <c r="C753" s="57"/>
      <c r="D753" s="3"/>
      <c r="E753" s="3"/>
      <c r="F753" s="3"/>
      <c r="G753" s="3"/>
      <c r="H753" s="3"/>
      <c r="I753" s="3"/>
      <c r="J753" s="3"/>
      <c r="K753" s="3"/>
      <c r="L753" s="3"/>
      <c r="M753" s="3"/>
      <c r="N753" s="3"/>
      <c r="O753" s="3"/>
      <c r="P753" s="3"/>
      <c r="Q753" s="3"/>
      <c r="R753" s="3"/>
      <c r="S753" s="3"/>
      <c r="T753" s="3"/>
      <c r="U753" s="3"/>
      <c r="V753" s="3"/>
      <c r="W753" s="3"/>
      <c r="X753" s="3"/>
      <c r="Y753" s="3"/>
      <c r="Z753" s="3"/>
    </row>
    <row r="754">
      <c r="A754" s="57"/>
      <c r="B754" s="57"/>
      <c r="C754" s="57"/>
      <c r="D754" s="3"/>
      <c r="E754" s="3"/>
      <c r="F754" s="3"/>
      <c r="G754" s="3"/>
      <c r="H754" s="3"/>
      <c r="I754" s="3"/>
      <c r="J754" s="3"/>
      <c r="K754" s="3"/>
      <c r="L754" s="3"/>
      <c r="M754" s="3"/>
      <c r="N754" s="3"/>
      <c r="O754" s="3"/>
      <c r="P754" s="3"/>
      <c r="Q754" s="3"/>
      <c r="R754" s="3"/>
      <c r="S754" s="3"/>
      <c r="T754" s="3"/>
      <c r="U754" s="3"/>
      <c r="V754" s="3"/>
      <c r="W754" s="3"/>
      <c r="X754" s="3"/>
      <c r="Y754" s="3"/>
      <c r="Z754" s="3"/>
    </row>
    <row r="755">
      <c r="A755" s="57"/>
      <c r="B755" s="57"/>
      <c r="C755" s="57"/>
      <c r="D755" s="3"/>
      <c r="E755" s="3"/>
      <c r="F755" s="3"/>
      <c r="G755" s="3"/>
      <c r="H755" s="3"/>
      <c r="I755" s="3"/>
      <c r="J755" s="3"/>
      <c r="K755" s="3"/>
      <c r="L755" s="3"/>
      <c r="M755" s="3"/>
      <c r="N755" s="3"/>
      <c r="O755" s="3"/>
      <c r="P755" s="3"/>
      <c r="Q755" s="3"/>
      <c r="R755" s="3"/>
      <c r="S755" s="3"/>
      <c r="T755" s="3"/>
      <c r="U755" s="3"/>
      <c r="V755" s="3"/>
      <c r="W755" s="3"/>
      <c r="X755" s="3"/>
      <c r="Y755" s="3"/>
      <c r="Z755" s="3"/>
    </row>
    <row r="756">
      <c r="A756" s="57"/>
      <c r="B756" s="57"/>
      <c r="C756" s="57"/>
      <c r="D756" s="3"/>
      <c r="E756" s="3"/>
      <c r="F756" s="3"/>
      <c r="G756" s="3"/>
      <c r="H756" s="3"/>
      <c r="I756" s="3"/>
      <c r="J756" s="3"/>
      <c r="K756" s="3"/>
      <c r="L756" s="3"/>
      <c r="M756" s="3"/>
      <c r="N756" s="3"/>
      <c r="O756" s="3"/>
      <c r="P756" s="3"/>
      <c r="Q756" s="3"/>
      <c r="R756" s="3"/>
      <c r="S756" s="3"/>
      <c r="T756" s="3"/>
      <c r="U756" s="3"/>
      <c r="V756" s="3"/>
      <c r="W756" s="3"/>
      <c r="X756" s="3"/>
      <c r="Y756" s="3"/>
      <c r="Z756" s="3"/>
    </row>
    <row r="757">
      <c r="A757" s="57"/>
      <c r="B757" s="57"/>
      <c r="C757" s="57"/>
      <c r="D757" s="3"/>
      <c r="E757" s="3"/>
      <c r="F757" s="3"/>
      <c r="G757" s="3"/>
      <c r="H757" s="3"/>
      <c r="I757" s="3"/>
      <c r="J757" s="3"/>
      <c r="K757" s="3"/>
      <c r="L757" s="3"/>
      <c r="M757" s="3"/>
      <c r="N757" s="3"/>
      <c r="O757" s="3"/>
      <c r="P757" s="3"/>
      <c r="Q757" s="3"/>
      <c r="R757" s="3"/>
      <c r="S757" s="3"/>
      <c r="T757" s="3"/>
      <c r="U757" s="3"/>
      <c r="V757" s="3"/>
      <c r="W757" s="3"/>
      <c r="X757" s="3"/>
      <c r="Y757" s="3"/>
      <c r="Z757" s="3"/>
    </row>
    <row r="758">
      <c r="A758" s="57"/>
      <c r="B758" s="57"/>
      <c r="C758" s="57"/>
      <c r="D758" s="3"/>
      <c r="E758" s="3"/>
      <c r="F758" s="3"/>
      <c r="G758" s="3"/>
      <c r="H758" s="3"/>
      <c r="I758" s="3"/>
      <c r="J758" s="3"/>
      <c r="K758" s="3"/>
      <c r="L758" s="3"/>
      <c r="M758" s="3"/>
      <c r="N758" s="3"/>
      <c r="O758" s="3"/>
      <c r="P758" s="3"/>
      <c r="Q758" s="3"/>
      <c r="R758" s="3"/>
      <c r="S758" s="3"/>
      <c r="T758" s="3"/>
      <c r="U758" s="3"/>
      <c r="V758" s="3"/>
      <c r="W758" s="3"/>
      <c r="X758" s="3"/>
      <c r="Y758" s="3"/>
      <c r="Z758" s="3"/>
    </row>
    <row r="759">
      <c r="A759" s="57"/>
      <c r="B759" s="57"/>
      <c r="C759" s="57"/>
      <c r="D759" s="3"/>
      <c r="E759" s="3"/>
      <c r="F759" s="3"/>
      <c r="G759" s="3"/>
      <c r="H759" s="3"/>
      <c r="I759" s="3"/>
      <c r="J759" s="3"/>
      <c r="K759" s="3"/>
      <c r="L759" s="3"/>
      <c r="M759" s="3"/>
      <c r="N759" s="3"/>
      <c r="O759" s="3"/>
      <c r="P759" s="3"/>
      <c r="Q759" s="3"/>
      <c r="R759" s="3"/>
      <c r="S759" s="3"/>
      <c r="T759" s="3"/>
      <c r="U759" s="3"/>
      <c r="V759" s="3"/>
      <c r="W759" s="3"/>
      <c r="X759" s="3"/>
      <c r="Y759" s="3"/>
      <c r="Z759" s="3"/>
    </row>
    <row r="760">
      <c r="A760" s="57"/>
      <c r="B760" s="57"/>
      <c r="C760" s="57"/>
      <c r="D760" s="3"/>
      <c r="E760" s="3"/>
      <c r="F760" s="3"/>
      <c r="G760" s="3"/>
      <c r="H760" s="3"/>
      <c r="I760" s="3"/>
      <c r="J760" s="3"/>
      <c r="K760" s="3"/>
      <c r="L760" s="3"/>
      <c r="M760" s="3"/>
      <c r="N760" s="3"/>
      <c r="O760" s="3"/>
      <c r="P760" s="3"/>
      <c r="Q760" s="3"/>
      <c r="R760" s="3"/>
      <c r="S760" s="3"/>
      <c r="T760" s="3"/>
      <c r="U760" s="3"/>
      <c r="V760" s="3"/>
      <c r="W760" s="3"/>
      <c r="X760" s="3"/>
      <c r="Y760" s="3"/>
      <c r="Z760" s="3"/>
    </row>
    <row r="761">
      <c r="A761" s="57"/>
      <c r="B761" s="57"/>
      <c r="C761" s="57"/>
      <c r="D761" s="3"/>
      <c r="E761" s="3"/>
      <c r="F761" s="3"/>
      <c r="G761" s="3"/>
      <c r="H761" s="3"/>
      <c r="I761" s="3"/>
      <c r="J761" s="3"/>
      <c r="K761" s="3"/>
      <c r="L761" s="3"/>
      <c r="M761" s="3"/>
      <c r="N761" s="3"/>
      <c r="O761" s="3"/>
      <c r="P761" s="3"/>
      <c r="Q761" s="3"/>
      <c r="R761" s="3"/>
      <c r="S761" s="3"/>
      <c r="T761" s="3"/>
      <c r="U761" s="3"/>
      <c r="V761" s="3"/>
      <c r="W761" s="3"/>
      <c r="X761" s="3"/>
      <c r="Y761" s="3"/>
      <c r="Z761" s="3"/>
    </row>
    <row r="762">
      <c r="A762" s="57"/>
      <c r="B762" s="57"/>
      <c r="C762" s="57"/>
      <c r="D762" s="3"/>
      <c r="E762" s="3"/>
      <c r="F762" s="3"/>
      <c r="G762" s="3"/>
      <c r="H762" s="3"/>
      <c r="I762" s="3"/>
      <c r="J762" s="3"/>
      <c r="K762" s="3"/>
      <c r="L762" s="3"/>
      <c r="M762" s="3"/>
      <c r="N762" s="3"/>
      <c r="O762" s="3"/>
      <c r="P762" s="3"/>
      <c r="Q762" s="3"/>
      <c r="R762" s="3"/>
      <c r="S762" s="3"/>
      <c r="T762" s="3"/>
      <c r="U762" s="3"/>
      <c r="V762" s="3"/>
      <c r="W762" s="3"/>
      <c r="X762" s="3"/>
      <c r="Y762" s="3"/>
      <c r="Z762" s="3"/>
    </row>
    <row r="763">
      <c r="A763" s="57"/>
      <c r="B763" s="57"/>
      <c r="C763" s="57"/>
      <c r="D763" s="3"/>
      <c r="E763" s="3"/>
      <c r="F763" s="3"/>
      <c r="G763" s="3"/>
      <c r="H763" s="3"/>
      <c r="I763" s="3"/>
      <c r="J763" s="3"/>
      <c r="K763" s="3"/>
      <c r="L763" s="3"/>
      <c r="M763" s="3"/>
      <c r="N763" s="3"/>
      <c r="O763" s="3"/>
      <c r="P763" s="3"/>
      <c r="Q763" s="3"/>
      <c r="R763" s="3"/>
      <c r="S763" s="3"/>
      <c r="T763" s="3"/>
      <c r="U763" s="3"/>
      <c r="V763" s="3"/>
      <c r="W763" s="3"/>
      <c r="X763" s="3"/>
      <c r="Y763" s="3"/>
      <c r="Z763" s="3"/>
    </row>
    <row r="764">
      <c r="A764" s="57"/>
      <c r="B764" s="57"/>
      <c r="C764" s="57"/>
      <c r="D764" s="3"/>
      <c r="E764" s="3"/>
      <c r="F764" s="3"/>
      <c r="G764" s="3"/>
      <c r="H764" s="3"/>
      <c r="I764" s="3"/>
      <c r="J764" s="3"/>
      <c r="K764" s="3"/>
      <c r="L764" s="3"/>
      <c r="M764" s="3"/>
      <c r="N764" s="3"/>
      <c r="O764" s="3"/>
      <c r="P764" s="3"/>
      <c r="Q764" s="3"/>
      <c r="R764" s="3"/>
      <c r="S764" s="3"/>
      <c r="T764" s="3"/>
      <c r="U764" s="3"/>
      <c r="V764" s="3"/>
      <c r="W764" s="3"/>
      <c r="X764" s="3"/>
      <c r="Y764" s="3"/>
      <c r="Z764" s="3"/>
    </row>
    <row r="765">
      <c r="A765" s="57"/>
      <c r="B765" s="57"/>
      <c r="C765" s="57"/>
      <c r="D765" s="3"/>
      <c r="E765" s="3"/>
      <c r="F765" s="3"/>
      <c r="G765" s="3"/>
      <c r="H765" s="3"/>
      <c r="I765" s="3"/>
      <c r="J765" s="3"/>
      <c r="K765" s="3"/>
      <c r="L765" s="3"/>
      <c r="M765" s="3"/>
      <c r="N765" s="3"/>
      <c r="O765" s="3"/>
      <c r="P765" s="3"/>
      <c r="Q765" s="3"/>
      <c r="R765" s="3"/>
      <c r="S765" s="3"/>
      <c r="T765" s="3"/>
      <c r="U765" s="3"/>
      <c r="V765" s="3"/>
      <c r="W765" s="3"/>
      <c r="X765" s="3"/>
      <c r="Y765" s="3"/>
      <c r="Z765" s="3"/>
    </row>
    <row r="766">
      <c r="A766" s="57"/>
      <c r="B766" s="57"/>
      <c r="C766" s="57"/>
      <c r="D766" s="3"/>
      <c r="E766" s="3"/>
      <c r="F766" s="3"/>
      <c r="G766" s="3"/>
      <c r="H766" s="3"/>
      <c r="I766" s="3"/>
      <c r="J766" s="3"/>
      <c r="K766" s="3"/>
      <c r="L766" s="3"/>
      <c r="M766" s="3"/>
      <c r="N766" s="3"/>
      <c r="O766" s="3"/>
      <c r="P766" s="3"/>
      <c r="Q766" s="3"/>
      <c r="R766" s="3"/>
      <c r="S766" s="3"/>
      <c r="T766" s="3"/>
      <c r="U766" s="3"/>
      <c r="V766" s="3"/>
      <c r="W766" s="3"/>
      <c r="X766" s="3"/>
      <c r="Y766" s="3"/>
      <c r="Z766" s="3"/>
    </row>
    <row r="767">
      <c r="A767" s="57"/>
      <c r="B767" s="57"/>
      <c r="C767" s="57"/>
      <c r="D767" s="3"/>
      <c r="E767" s="3"/>
      <c r="F767" s="3"/>
      <c r="G767" s="3"/>
      <c r="H767" s="3"/>
      <c r="I767" s="3"/>
      <c r="J767" s="3"/>
      <c r="K767" s="3"/>
      <c r="L767" s="3"/>
      <c r="M767" s="3"/>
      <c r="N767" s="3"/>
      <c r="O767" s="3"/>
      <c r="P767" s="3"/>
      <c r="Q767" s="3"/>
      <c r="R767" s="3"/>
      <c r="S767" s="3"/>
      <c r="T767" s="3"/>
      <c r="U767" s="3"/>
      <c r="V767" s="3"/>
      <c r="W767" s="3"/>
      <c r="X767" s="3"/>
      <c r="Y767" s="3"/>
      <c r="Z767" s="3"/>
    </row>
    <row r="768">
      <c r="A768" s="57"/>
      <c r="B768" s="57"/>
      <c r="C768" s="57"/>
      <c r="D768" s="3"/>
      <c r="E768" s="3"/>
      <c r="F768" s="3"/>
      <c r="G768" s="3"/>
      <c r="H768" s="3"/>
      <c r="I768" s="3"/>
      <c r="J768" s="3"/>
      <c r="K768" s="3"/>
      <c r="L768" s="3"/>
      <c r="M768" s="3"/>
      <c r="N768" s="3"/>
      <c r="O768" s="3"/>
      <c r="P768" s="3"/>
      <c r="Q768" s="3"/>
      <c r="R768" s="3"/>
      <c r="S768" s="3"/>
      <c r="T768" s="3"/>
      <c r="U768" s="3"/>
      <c r="V768" s="3"/>
      <c r="W768" s="3"/>
      <c r="X768" s="3"/>
      <c r="Y768" s="3"/>
      <c r="Z768" s="3"/>
    </row>
    <row r="769">
      <c r="A769" s="57"/>
      <c r="B769" s="57"/>
      <c r="C769" s="57"/>
      <c r="D769" s="3"/>
      <c r="E769" s="3"/>
      <c r="F769" s="3"/>
      <c r="G769" s="3"/>
      <c r="H769" s="3"/>
      <c r="I769" s="3"/>
      <c r="J769" s="3"/>
      <c r="K769" s="3"/>
      <c r="L769" s="3"/>
      <c r="M769" s="3"/>
      <c r="N769" s="3"/>
      <c r="O769" s="3"/>
      <c r="P769" s="3"/>
      <c r="Q769" s="3"/>
      <c r="R769" s="3"/>
      <c r="S769" s="3"/>
      <c r="T769" s="3"/>
      <c r="U769" s="3"/>
      <c r="V769" s="3"/>
      <c r="W769" s="3"/>
      <c r="X769" s="3"/>
      <c r="Y769" s="3"/>
      <c r="Z769" s="3"/>
    </row>
    <row r="770">
      <c r="A770" s="57"/>
      <c r="B770" s="57"/>
      <c r="C770" s="57"/>
      <c r="D770" s="3"/>
      <c r="E770" s="3"/>
      <c r="F770" s="3"/>
      <c r="G770" s="3"/>
      <c r="H770" s="3"/>
      <c r="I770" s="3"/>
      <c r="J770" s="3"/>
      <c r="K770" s="3"/>
      <c r="L770" s="3"/>
      <c r="M770" s="3"/>
      <c r="N770" s="3"/>
      <c r="O770" s="3"/>
      <c r="P770" s="3"/>
      <c r="Q770" s="3"/>
      <c r="R770" s="3"/>
      <c r="S770" s="3"/>
      <c r="T770" s="3"/>
      <c r="U770" s="3"/>
      <c r="V770" s="3"/>
      <c r="W770" s="3"/>
      <c r="X770" s="3"/>
      <c r="Y770" s="3"/>
      <c r="Z770" s="3"/>
    </row>
    <row r="771">
      <c r="A771" s="57"/>
      <c r="B771" s="57"/>
      <c r="C771" s="57"/>
      <c r="D771" s="3"/>
      <c r="E771" s="3"/>
      <c r="F771" s="3"/>
      <c r="G771" s="3"/>
      <c r="H771" s="3"/>
      <c r="I771" s="3"/>
      <c r="J771" s="3"/>
      <c r="K771" s="3"/>
      <c r="L771" s="3"/>
      <c r="M771" s="3"/>
      <c r="N771" s="3"/>
      <c r="O771" s="3"/>
      <c r="P771" s="3"/>
      <c r="Q771" s="3"/>
      <c r="R771" s="3"/>
      <c r="S771" s="3"/>
      <c r="T771" s="3"/>
      <c r="U771" s="3"/>
      <c r="V771" s="3"/>
      <c r="W771" s="3"/>
      <c r="X771" s="3"/>
      <c r="Y771" s="3"/>
      <c r="Z771" s="3"/>
    </row>
    <row r="772">
      <c r="A772" s="57"/>
      <c r="B772" s="57"/>
      <c r="C772" s="57"/>
      <c r="D772" s="3"/>
      <c r="E772" s="3"/>
      <c r="F772" s="3"/>
      <c r="G772" s="3"/>
      <c r="H772" s="3"/>
      <c r="I772" s="3"/>
      <c r="J772" s="3"/>
      <c r="K772" s="3"/>
      <c r="L772" s="3"/>
      <c r="M772" s="3"/>
      <c r="N772" s="3"/>
      <c r="O772" s="3"/>
      <c r="P772" s="3"/>
      <c r="Q772" s="3"/>
      <c r="R772" s="3"/>
      <c r="S772" s="3"/>
      <c r="T772" s="3"/>
      <c r="U772" s="3"/>
      <c r="V772" s="3"/>
      <c r="W772" s="3"/>
      <c r="X772" s="3"/>
      <c r="Y772" s="3"/>
      <c r="Z772" s="3"/>
    </row>
    <row r="773">
      <c r="A773" s="57"/>
      <c r="B773" s="57"/>
      <c r="C773" s="57"/>
      <c r="D773" s="3"/>
      <c r="E773" s="3"/>
      <c r="F773" s="3"/>
      <c r="G773" s="3"/>
      <c r="H773" s="3"/>
      <c r="I773" s="3"/>
      <c r="J773" s="3"/>
      <c r="K773" s="3"/>
      <c r="L773" s="3"/>
      <c r="M773" s="3"/>
      <c r="N773" s="3"/>
      <c r="O773" s="3"/>
      <c r="P773" s="3"/>
      <c r="Q773" s="3"/>
      <c r="R773" s="3"/>
      <c r="S773" s="3"/>
      <c r="T773" s="3"/>
      <c r="U773" s="3"/>
      <c r="V773" s="3"/>
      <c r="W773" s="3"/>
      <c r="X773" s="3"/>
      <c r="Y773" s="3"/>
      <c r="Z773" s="3"/>
    </row>
    <row r="774">
      <c r="A774" s="57"/>
      <c r="B774" s="57"/>
      <c r="C774" s="57"/>
      <c r="D774" s="3"/>
      <c r="E774" s="3"/>
      <c r="F774" s="3"/>
      <c r="G774" s="3"/>
      <c r="H774" s="3"/>
      <c r="I774" s="3"/>
      <c r="J774" s="3"/>
      <c r="K774" s="3"/>
      <c r="L774" s="3"/>
      <c r="M774" s="3"/>
      <c r="N774" s="3"/>
      <c r="O774" s="3"/>
      <c r="P774" s="3"/>
      <c r="Q774" s="3"/>
      <c r="R774" s="3"/>
      <c r="S774" s="3"/>
      <c r="T774" s="3"/>
      <c r="U774" s="3"/>
      <c r="V774" s="3"/>
      <c r="W774" s="3"/>
      <c r="X774" s="3"/>
      <c r="Y774" s="3"/>
      <c r="Z774" s="3"/>
    </row>
    <row r="775">
      <c r="A775" s="57"/>
      <c r="B775" s="57"/>
      <c r="C775" s="57"/>
      <c r="D775" s="3"/>
      <c r="E775" s="3"/>
      <c r="F775" s="3"/>
      <c r="G775" s="3"/>
      <c r="H775" s="3"/>
      <c r="I775" s="3"/>
      <c r="J775" s="3"/>
      <c r="K775" s="3"/>
      <c r="L775" s="3"/>
      <c r="M775" s="3"/>
      <c r="N775" s="3"/>
      <c r="O775" s="3"/>
      <c r="P775" s="3"/>
      <c r="Q775" s="3"/>
      <c r="R775" s="3"/>
      <c r="S775" s="3"/>
      <c r="T775" s="3"/>
      <c r="U775" s="3"/>
      <c r="V775" s="3"/>
      <c r="W775" s="3"/>
      <c r="X775" s="3"/>
      <c r="Y775" s="3"/>
      <c r="Z775" s="3"/>
    </row>
    <row r="776">
      <c r="A776" s="57"/>
      <c r="B776" s="57"/>
      <c r="C776" s="57"/>
      <c r="D776" s="3"/>
      <c r="E776" s="3"/>
      <c r="F776" s="3"/>
      <c r="G776" s="3"/>
      <c r="H776" s="3"/>
      <c r="I776" s="3"/>
      <c r="J776" s="3"/>
      <c r="K776" s="3"/>
      <c r="L776" s="3"/>
      <c r="M776" s="3"/>
      <c r="N776" s="3"/>
      <c r="O776" s="3"/>
      <c r="P776" s="3"/>
      <c r="Q776" s="3"/>
      <c r="R776" s="3"/>
      <c r="S776" s="3"/>
      <c r="T776" s="3"/>
      <c r="U776" s="3"/>
      <c r="V776" s="3"/>
      <c r="W776" s="3"/>
      <c r="X776" s="3"/>
      <c r="Y776" s="3"/>
      <c r="Z776" s="3"/>
    </row>
    <row r="777">
      <c r="A777" s="57"/>
      <c r="B777" s="57"/>
      <c r="C777" s="57"/>
      <c r="D777" s="3"/>
      <c r="E777" s="3"/>
      <c r="F777" s="3"/>
      <c r="G777" s="3"/>
      <c r="H777" s="3"/>
      <c r="I777" s="3"/>
      <c r="J777" s="3"/>
      <c r="K777" s="3"/>
      <c r="L777" s="3"/>
      <c r="M777" s="3"/>
      <c r="N777" s="3"/>
      <c r="O777" s="3"/>
      <c r="P777" s="3"/>
      <c r="Q777" s="3"/>
      <c r="R777" s="3"/>
      <c r="S777" s="3"/>
      <c r="T777" s="3"/>
      <c r="U777" s="3"/>
      <c r="V777" s="3"/>
      <c r="W777" s="3"/>
      <c r="X777" s="3"/>
      <c r="Y777" s="3"/>
      <c r="Z777" s="3"/>
    </row>
    <row r="778">
      <c r="A778" s="57"/>
      <c r="B778" s="57"/>
      <c r="C778" s="57"/>
      <c r="D778" s="3"/>
      <c r="E778" s="3"/>
      <c r="F778" s="3"/>
      <c r="G778" s="3"/>
      <c r="H778" s="3"/>
      <c r="I778" s="3"/>
      <c r="J778" s="3"/>
      <c r="K778" s="3"/>
      <c r="L778" s="3"/>
      <c r="M778" s="3"/>
      <c r="N778" s="3"/>
      <c r="O778" s="3"/>
      <c r="P778" s="3"/>
      <c r="Q778" s="3"/>
      <c r="R778" s="3"/>
      <c r="S778" s="3"/>
      <c r="T778" s="3"/>
      <c r="U778" s="3"/>
      <c r="V778" s="3"/>
      <c r="W778" s="3"/>
      <c r="X778" s="3"/>
      <c r="Y778" s="3"/>
      <c r="Z778" s="3"/>
    </row>
    <row r="779">
      <c r="A779" s="57"/>
      <c r="B779" s="57"/>
      <c r="C779" s="57"/>
      <c r="D779" s="3"/>
      <c r="E779" s="3"/>
      <c r="F779" s="3"/>
      <c r="G779" s="3"/>
      <c r="H779" s="3"/>
      <c r="I779" s="3"/>
      <c r="J779" s="3"/>
      <c r="K779" s="3"/>
      <c r="L779" s="3"/>
      <c r="M779" s="3"/>
      <c r="N779" s="3"/>
      <c r="O779" s="3"/>
      <c r="P779" s="3"/>
      <c r="Q779" s="3"/>
      <c r="R779" s="3"/>
      <c r="S779" s="3"/>
      <c r="T779" s="3"/>
      <c r="U779" s="3"/>
      <c r="V779" s="3"/>
      <c r="W779" s="3"/>
      <c r="X779" s="3"/>
      <c r="Y779" s="3"/>
      <c r="Z779" s="3"/>
    </row>
    <row r="780">
      <c r="A780" s="57"/>
      <c r="B780" s="57"/>
      <c r="C780" s="57"/>
      <c r="D780" s="3"/>
      <c r="E780" s="3"/>
      <c r="F780" s="3"/>
      <c r="G780" s="3"/>
      <c r="H780" s="3"/>
      <c r="I780" s="3"/>
      <c r="J780" s="3"/>
      <c r="K780" s="3"/>
      <c r="L780" s="3"/>
      <c r="M780" s="3"/>
      <c r="N780" s="3"/>
      <c r="O780" s="3"/>
      <c r="P780" s="3"/>
      <c r="Q780" s="3"/>
      <c r="R780" s="3"/>
      <c r="S780" s="3"/>
      <c r="T780" s="3"/>
      <c r="U780" s="3"/>
      <c r="V780" s="3"/>
      <c r="W780" s="3"/>
      <c r="X780" s="3"/>
      <c r="Y780" s="3"/>
      <c r="Z780" s="3"/>
    </row>
    <row r="781">
      <c r="A781" s="57"/>
      <c r="B781" s="57"/>
      <c r="C781" s="57"/>
      <c r="D781" s="3"/>
      <c r="E781" s="3"/>
      <c r="F781" s="3"/>
      <c r="G781" s="3"/>
      <c r="H781" s="3"/>
      <c r="I781" s="3"/>
      <c r="J781" s="3"/>
      <c r="K781" s="3"/>
      <c r="L781" s="3"/>
      <c r="M781" s="3"/>
      <c r="N781" s="3"/>
      <c r="O781" s="3"/>
      <c r="P781" s="3"/>
      <c r="Q781" s="3"/>
      <c r="R781" s="3"/>
      <c r="S781" s="3"/>
      <c r="T781" s="3"/>
      <c r="U781" s="3"/>
      <c r="V781" s="3"/>
      <c r="W781" s="3"/>
      <c r="X781" s="3"/>
      <c r="Y781" s="3"/>
      <c r="Z781" s="3"/>
    </row>
    <row r="782">
      <c r="A782" s="57"/>
      <c r="B782" s="57"/>
      <c r="C782" s="57"/>
      <c r="D782" s="3"/>
      <c r="E782" s="3"/>
      <c r="F782" s="3"/>
      <c r="G782" s="3"/>
      <c r="H782" s="3"/>
      <c r="I782" s="3"/>
      <c r="J782" s="3"/>
      <c r="K782" s="3"/>
      <c r="L782" s="3"/>
      <c r="M782" s="3"/>
      <c r="N782" s="3"/>
      <c r="O782" s="3"/>
      <c r="P782" s="3"/>
      <c r="Q782" s="3"/>
      <c r="R782" s="3"/>
      <c r="S782" s="3"/>
      <c r="T782" s="3"/>
      <c r="U782" s="3"/>
      <c r="V782" s="3"/>
      <c r="W782" s="3"/>
      <c r="X782" s="3"/>
      <c r="Y782" s="3"/>
      <c r="Z782" s="3"/>
    </row>
    <row r="783">
      <c r="A783" s="57"/>
      <c r="B783" s="57"/>
      <c r="C783" s="57"/>
      <c r="D783" s="3"/>
      <c r="E783" s="3"/>
      <c r="F783" s="3"/>
      <c r="G783" s="3"/>
      <c r="H783" s="3"/>
      <c r="I783" s="3"/>
      <c r="J783" s="3"/>
      <c r="K783" s="3"/>
      <c r="L783" s="3"/>
      <c r="M783" s="3"/>
      <c r="N783" s="3"/>
      <c r="O783" s="3"/>
      <c r="P783" s="3"/>
      <c r="Q783" s="3"/>
      <c r="R783" s="3"/>
      <c r="S783" s="3"/>
      <c r="T783" s="3"/>
      <c r="U783" s="3"/>
      <c r="V783" s="3"/>
      <c r="W783" s="3"/>
      <c r="X783" s="3"/>
      <c r="Y783" s="3"/>
      <c r="Z783" s="3"/>
    </row>
    <row r="784">
      <c r="A784" s="57"/>
      <c r="B784" s="57"/>
      <c r="C784" s="57"/>
      <c r="D784" s="3"/>
      <c r="E784" s="3"/>
      <c r="F784" s="3"/>
      <c r="G784" s="3"/>
      <c r="H784" s="3"/>
      <c r="I784" s="3"/>
      <c r="J784" s="3"/>
      <c r="K784" s="3"/>
      <c r="L784" s="3"/>
      <c r="M784" s="3"/>
      <c r="N784" s="3"/>
      <c r="O784" s="3"/>
      <c r="P784" s="3"/>
      <c r="Q784" s="3"/>
      <c r="R784" s="3"/>
      <c r="S784" s="3"/>
      <c r="T784" s="3"/>
      <c r="U784" s="3"/>
      <c r="V784" s="3"/>
      <c r="W784" s="3"/>
      <c r="X784" s="3"/>
      <c r="Y784" s="3"/>
      <c r="Z784" s="3"/>
    </row>
    <row r="785">
      <c r="A785" s="57"/>
      <c r="B785" s="57"/>
      <c r="C785" s="57"/>
      <c r="D785" s="3"/>
      <c r="E785" s="3"/>
      <c r="F785" s="3"/>
      <c r="G785" s="3"/>
      <c r="H785" s="3"/>
      <c r="I785" s="3"/>
      <c r="J785" s="3"/>
      <c r="K785" s="3"/>
      <c r="L785" s="3"/>
      <c r="M785" s="3"/>
      <c r="N785" s="3"/>
      <c r="O785" s="3"/>
      <c r="P785" s="3"/>
      <c r="Q785" s="3"/>
      <c r="R785" s="3"/>
      <c r="S785" s="3"/>
      <c r="T785" s="3"/>
      <c r="U785" s="3"/>
      <c r="V785" s="3"/>
      <c r="W785" s="3"/>
      <c r="X785" s="3"/>
      <c r="Y785" s="3"/>
      <c r="Z785" s="3"/>
    </row>
    <row r="786">
      <c r="A786" s="57"/>
      <c r="B786" s="57"/>
      <c r="C786" s="57"/>
      <c r="D786" s="3"/>
      <c r="E786" s="3"/>
      <c r="F786" s="3"/>
      <c r="G786" s="3"/>
      <c r="H786" s="3"/>
      <c r="I786" s="3"/>
      <c r="J786" s="3"/>
      <c r="K786" s="3"/>
      <c r="L786" s="3"/>
      <c r="M786" s="3"/>
      <c r="N786" s="3"/>
      <c r="O786" s="3"/>
      <c r="P786" s="3"/>
      <c r="Q786" s="3"/>
      <c r="R786" s="3"/>
      <c r="S786" s="3"/>
      <c r="T786" s="3"/>
      <c r="U786" s="3"/>
      <c r="V786" s="3"/>
      <c r="W786" s="3"/>
      <c r="X786" s="3"/>
      <c r="Y786" s="3"/>
      <c r="Z786" s="3"/>
    </row>
    <row r="787">
      <c r="A787" s="57"/>
      <c r="B787" s="57"/>
      <c r="C787" s="57"/>
      <c r="D787" s="3"/>
      <c r="E787" s="3"/>
      <c r="F787" s="3"/>
      <c r="G787" s="3"/>
      <c r="H787" s="3"/>
      <c r="I787" s="3"/>
      <c r="J787" s="3"/>
      <c r="K787" s="3"/>
      <c r="L787" s="3"/>
      <c r="M787" s="3"/>
      <c r="N787" s="3"/>
      <c r="O787" s="3"/>
      <c r="P787" s="3"/>
      <c r="Q787" s="3"/>
      <c r="R787" s="3"/>
      <c r="S787" s="3"/>
      <c r="T787" s="3"/>
      <c r="U787" s="3"/>
      <c r="V787" s="3"/>
      <c r="W787" s="3"/>
      <c r="X787" s="3"/>
      <c r="Y787" s="3"/>
      <c r="Z787" s="3"/>
    </row>
    <row r="788">
      <c r="A788" s="57"/>
      <c r="B788" s="57"/>
      <c r="C788" s="57"/>
      <c r="D788" s="3"/>
      <c r="E788" s="3"/>
      <c r="F788" s="3"/>
      <c r="G788" s="3"/>
      <c r="H788" s="3"/>
      <c r="I788" s="3"/>
      <c r="J788" s="3"/>
      <c r="K788" s="3"/>
      <c r="L788" s="3"/>
      <c r="M788" s="3"/>
      <c r="N788" s="3"/>
      <c r="O788" s="3"/>
      <c r="P788" s="3"/>
      <c r="Q788" s="3"/>
      <c r="R788" s="3"/>
      <c r="S788" s="3"/>
      <c r="T788" s="3"/>
      <c r="U788" s="3"/>
      <c r="V788" s="3"/>
      <c r="W788" s="3"/>
      <c r="X788" s="3"/>
      <c r="Y788" s="3"/>
      <c r="Z788" s="3"/>
    </row>
    <row r="789">
      <c r="A789" s="57"/>
      <c r="B789" s="57"/>
      <c r="C789" s="57"/>
      <c r="D789" s="3"/>
      <c r="E789" s="3"/>
      <c r="F789" s="3"/>
      <c r="G789" s="3"/>
      <c r="H789" s="3"/>
      <c r="I789" s="3"/>
      <c r="J789" s="3"/>
      <c r="K789" s="3"/>
      <c r="L789" s="3"/>
      <c r="M789" s="3"/>
      <c r="N789" s="3"/>
      <c r="O789" s="3"/>
      <c r="P789" s="3"/>
      <c r="Q789" s="3"/>
      <c r="R789" s="3"/>
      <c r="S789" s="3"/>
      <c r="T789" s="3"/>
      <c r="U789" s="3"/>
      <c r="V789" s="3"/>
      <c r="W789" s="3"/>
      <c r="X789" s="3"/>
      <c r="Y789" s="3"/>
      <c r="Z789" s="3"/>
    </row>
    <row r="790">
      <c r="A790" s="57"/>
      <c r="B790" s="57"/>
      <c r="C790" s="57"/>
      <c r="D790" s="3"/>
      <c r="E790" s="3"/>
      <c r="F790" s="3"/>
      <c r="G790" s="3"/>
      <c r="H790" s="3"/>
      <c r="I790" s="3"/>
      <c r="J790" s="3"/>
      <c r="K790" s="3"/>
      <c r="L790" s="3"/>
      <c r="M790" s="3"/>
      <c r="N790" s="3"/>
      <c r="O790" s="3"/>
      <c r="P790" s="3"/>
      <c r="Q790" s="3"/>
      <c r="R790" s="3"/>
      <c r="S790" s="3"/>
      <c r="T790" s="3"/>
      <c r="U790" s="3"/>
      <c r="V790" s="3"/>
      <c r="W790" s="3"/>
      <c r="X790" s="3"/>
      <c r="Y790" s="3"/>
      <c r="Z790" s="3"/>
    </row>
    <row r="791">
      <c r="A791" s="57"/>
      <c r="B791" s="57"/>
      <c r="C791" s="57"/>
      <c r="D791" s="3"/>
      <c r="E791" s="3"/>
      <c r="F791" s="3"/>
      <c r="G791" s="3"/>
      <c r="H791" s="3"/>
      <c r="I791" s="3"/>
      <c r="J791" s="3"/>
      <c r="K791" s="3"/>
      <c r="L791" s="3"/>
      <c r="M791" s="3"/>
      <c r="N791" s="3"/>
      <c r="O791" s="3"/>
      <c r="P791" s="3"/>
      <c r="Q791" s="3"/>
      <c r="R791" s="3"/>
      <c r="S791" s="3"/>
      <c r="T791" s="3"/>
      <c r="U791" s="3"/>
      <c r="V791" s="3"/>
      <c r="W791" s="3"/>
      <c r="X791" s="3"/>
      <c r="Y791" s="3"/>
      <c r="Z791" s="3"/>
    </row>
    <row r="792">
      <c r="A792" s="57"/>
      <c r="B792" s="57"/>
      <c r="C792" s="57"/>
      <c r="D792" s="3"/>
      <c r="E792" s="3"/>
      <c r="F792" s="3"/>
      <c r="G792" s="3"/>
      <c r="H792" s="3"/>
      <c r="I792" s="3"/>
      <c r="J792" s="3"/>
      <c r="K792" s="3"/>
      <c r="L792" s="3"/>
      <c r="M792" s="3"/>
      <c r="N792" s="3"/>
      <c r="O792" s="3"/>
      <c r="P792" s="3"/>
      <c r="Q792" s="3"/>
      <c r="R792" s="3"/>
      <c r="S792" s="3"/>
      <c r="T792" s="3"/>
      <c r="U792" s="3"/>
      <c r="V792" s="3"/>
      <c r="W792" s="3"/>
      <c r="X792" s="3"/>
      <c r="Y792" s="3"/>
      <c r="Z792" s="3"/>
    </row>
    <row r="793">
      <c r="A793" s="57"/>
      <c r="B793" s="57"/>
      <c r="C793" s="57"/>
      <c r="D793" s="3"/>
      <c r="E793" s="3"/>
      <c r="F793" s="3"/>
      <c r="G793" s="3"/>
      <c r="H793" s="3"/>
      <c r="I793" s="3"/>
      <c r="J793" s="3"/>
      <c r="K793" s="3"/>
      <c r="L793" s="3"/>
      <c r="M793" s="3"/>
      <c r="N793" s="3"/>
      <c r="O793" s="3"/>
      <c r="P793" s="3"/>
      <c r="Q793" s="3"/>
      <c r="R793" s="3"/>
      <c r="S793" s="3"/>
      <c r="T793" s="3"/>
      <c r="U793" s="3"/>
      <c r="V793" s="3"/>
      <c r="W793" s="3"/>
      <c r="X793" s="3"/>
      <c r="Y793" s="3"/>
      <c r="Z793" s="3"/>
    </row>
    <row r="794">
      <c r="A794" s="57"/>
      <c r="B794" s="57"/>
      <c r="C794" s="57"/>
      <c r="D794" s="3"/>
      <c r="E794" s="3"/>
      <c r="F794" s="3"/>
      <c r="G794" s="3"/>
      <c r="H794" s="3"/>
      <c r="I794" s="3"/>
      <c r="J794" s="3"/>
      <c r="K794" s="3"/>
      <c r="L794" s="3"/>
      <c r="M794" s="3"/>
      <c r="N794" s="3"/>
      <c r="O794" s="3"/>
      <c r="P794" s="3"/>
      <c r="Q794" s="3"/>
      <c r="R794" s="3"/>
      <c r="S794" s="3"/>
      <c r="T794" s="3"/>
      <c r="U794" s="3"/>
      <c r="V794" s="3"/>
      <c r="W794" s="3"/>
      <c r="X794" s="3"/>
      <c r="Y794" s="3"/>
      <c r="Z794" s="3"/>
    </row>
    <row r="795">
      <c r="A795" s="57"/>
      <c r="B795" s="57"/>
      <c r="C795" s="57"/>
      <c r="D795" s="3"/>
      <c r="E795" s="3"/>
      <c r="F795" s="3"/>
      <c r="G795" s="3"/>
      <c r="H795" s="3"/>
      <c r="I795" s="3"/>
      <c r="J795" s="3"/>
      <c r="K795" s="3"/>
      <c r="L795" s="3"/>
      <c r="M795" s="3"/>
      <c r="N795" s="3"/>
      <c r="O795" s="3"/>
      <c r="P795" s="3"/>
      <c r="Q795" s="3"/>
      <c r="R795" s="3"/>
      <c r="S795" s="3"/>
      <c r="T795" s="3"/>
      <c r="U795" s="3"/>
      <c r="V795" s="3"/>
      <c r="W795" s="3"/>
      <c r="X795" s="3"/>
      <c r="Y795" s="3"/>
      <c r="Z795" s="3"/>
    </row>
    <row r="796">
      <c r="A796" s="57"/>
      <c r="B796" s="57"/>
      <c r="C796" s="57"/>
      <c r="D796" s="3"/>
      <c r="E796" s="3"/>
      <c r="F796" s="3"/>
      <c r="G796" s="3"/>
      <c r="H796" s="3"/>
      <c r="I796" s="3"/>
      <c r="J796" s="3"/>
      <c r="K796" s="3"/>
      <c r="L796" s="3"/>
      <c r="M796" s="3"/>
      <c r="N796" s="3"/>
      <c r="O796" s="3"/>
      <c r="P796" s="3"/>
      <c r="Q796" s="3"/>
      <c r="R796" s="3"/>
      <c r="S796" s="3"/>
      <c r="T796" s="3"/>
      <c r="U796" s="3"/>
      <c r="V796" s="3"/>
      <c r="W796" s="3"/>
      <c r="X796" s="3"/>
      <c r="Y796" s="3"/>
      <c r="Z796" s="3"/>
    </row>
    <row r="797">
      <c r="A797" s="57"/>
      <c r="B797" s="57"/>
      <c r="C797" s="57"/>
      <c r="D797" s="3"/>
      <c r="E797" s="3"/>
      <c r="F797" s="3"/>
      <c r="G797" s="3"/>
      <c r="H797" s="3"/>
      <c r="I797" s="3"/>
      <c r="J797" s="3"/>
      <c r="K797" s="3"/>
      <c r="L797" s="3"/>
      <c r="M797" s="3"/>
      <c r="N797" s="3"/>
      <c r="O797" s="3"/>
      <c r="P797" s="3"/>
      <c r="Q797" s="3"/>
      <c r="R797" s="3"/>
      <c r="S797" s="3"/>
      <c r="T797" s="3"/>
      <c r="U797" s="3"/>
      <c r="V797" s="3"/>
      <c r="W797" s="3"/>
      <c r="X797" s="3"/>
      <c r="Y797" s="3"/>
      <c r="Z797" s="3"/>
    </row>
    <row r="798">
      <c r="A798" s="57"/>
      <c r="B798" s="57"/>
      <c r="C798" s="57"/>
      <c r="D798" s="3"/>
      <c r="E798" s="3"/>
      <c r="F798" s="3"/>
      <c r="G798" s="3"/>
      <c r="H798" s="3"/>
      <c r="I798" s="3"/>
      <c r="J798" s="3"/>
      <c r="K798" s="3"/>
      <c r="L798" s="3"/>
      <c r="M798" s="3"/>
      <c r="N798" s="3"/>
      <c r="O798" s="3"/>
      <c r="P798" s="3"/>
      <c r="Q798" s="3"/>
      <c r="R798" s="3"/>
      <c r="S798" s="3"/>
      <c r="T798" s="3"/>
      <c r="U798" s="3"/>
      <c r="V798" s="3"/>
      <c r="W798" s="3"/>
      <c r="X798" s="3"/>
      <c r="Y798" s="3"/>
      <c r="Z798" s="3"/>
    </row>
    <row r="799">
      <c r="A799" s="57"/>
      <c r="B799" s="57"/>
      <c r="C799" s="57"/>
      <c r="D799" s="3"/>
      <c r="E799" s="3"/>
      <c r="F799" s="3"/>
      <c r="G799" s="3"/>
      <c r="H799" s="3"/>
      <c r="I799" s="3"/>
      <c r="J799" s="3"/>
      <c r="K799" s="3"/>
      <c r="L799" s="3"/>
      <c r="M799" s="3"/>
      <c r="N799" s="3"/>
      <c r="O799" s="3"/>
      <c r="P799" s="3"/>
      <c r="Q799" s="3"/>
      <c r="R799" s="3"/>
      <c r="S799" s="3"/>
      <c r="T799" s="3"/>
      <c r="U799" s="3"/>
      <c r="V799" s="3"/>
      <c r="W799" s="3"/>
      <c r="X799" s="3"/>
      <c r="Y799" s="3"/>
      <c r="Z799" s="3"/>
    </row>
    <row r="800">
      <c r="A800" s="57"/>
      <c r="B800" s="57"/>
      <c r="C800" s="57"/>
      <c r="D800" s="3"/>
      <c r="E800" s="3"/>
      <c r="F800" s="3"/>
      <c r="G800" s="3"/>
      <c r="H800" s="3"/>
      <c r="I800" s="3"/>
      <c r="J800" s="3"/>
      <c r="K800" s="3"/>
      <c r="L800" s="3"/>
      <c r="M800" s="3"/>
      <c r="N800" s="3"/>
      <c r="O800" s="3"/>
      <c r="P800" s="3"/>
      <c r="Q800" s="3"/>
      <c r="R800" s="3"/>
      <c r="S800" s="3"/>
      <c r="T800" s="3"/>
      <c r="U800" s="3"/>
      <c r="V800" s="3"/>
      <c r="W800" s="3"/>
      <c r="X800" s="3"/>
      <c r="Y800" s="3"/>
      <c r="Z800" s="3"/>
    </row>
    <row r="801">
      <c r="A801" s="57"/>
      <c r="B801" s="57"/>
      <c r="C801" s="57"/>
      <c r="D801" s="3"/>
      <c r="E801" s="3"/>
      <c r="F801" s="3"/>
      <c r="G801" s="3"/>
      <c r="H801" s="3"/>
      <c r="I801" s="3"/>
      <c r="J801" s="3"/>
      <c r="K801" s="3"/>
      <c r="L801" s="3"/>
      <c r="M801" s="3"/>
      <c r="N801" s="3"/>
      <c r="O801" s="3"/>
      <c r="P801" s="3"/>
      <c r="Q801" s="3"/>
      <c r="R801" s="3"/>
      <c r="S801" s="3"/>
      <c r="T801" s="3"/>
      <c r="U801" s="3"/>
      <c r="V801" s="3"/>
      <c r="W801" s="3"/>
      <c r="X801" s="3"/>
      <c r="Y801" s="3"/>
      <c r="Z801" s="3"/>
    </row>
    <row r="802">
      <c r="A802" s="57"/>
      <c r="B802" s="57"/>
      <c r="C802" s="57"/>
      <c r="D802" s="3"/>
      <c r="E802" s="3"/>
      <c r="F802" s="3"/>
      <c r="G802" s="3"/>
      <c r="H802" s="3"/>
      <c r="I802" s="3"/>
      <c r="J802" s="3"/>
      <c r="K802" s="3"/>
      <c r="L802" s="3"/>
      <c r="M802" s="3"/>
      <c r="N802" s="3"/>
      <c r="O802" s="3"/>
      <c r="P802" s="3"/>
      <c r="Q802" s="3"/>
      <c r="R802" s="3"/>
      <c r="S802" s="3"/>
      <c r="T802" s="3"/>
      <c r="U802" s="3"/>
      <c r="V802" s="3"/>
      <c r="W802" s="3"/>
      <c r="X802" s="3"/>
      <c r="Y802" s="3"/>
      <c r="Z802" s="3"/>
    </row>
    <row r="803">
      <c r="A803" s="57"/>
      <c r="B803" s="57"/>
      <c r="C803" s="57"/>
      <c r="D803" s="3"/>
      <c r="E803" s="3"/>
      <c r="F803" s="3"/>
      <c r="G803" s="3"/>
      <c r="H803" s="3"/>
      <c r="I803" s="3"/>
      <c r="J803" s="3"/>
      <c r="K803" s="3"/>
      <c r="L803" s="3"/>
      <c r="M803" s="3"/>
      <c r="N803" s="3"/>
      <c r="O803" s="3"/>
      <c r="P803" s="3"/>
      <c r="Q803" s="3"/>
      <c r="R803" s="3"/>
      <c r="S803" s="3"/>
      <c r="T803" s="3"/>
      <c r="U803" s="3"/>
      <c r="V803" s="3"/>
      <c r="W803" s="3"/>
      <c r="X803" s="3"/>
      <c r="Y803" s="3"/>
      <c r="Z803" s="3"/>
    </row>
    <row r="804">
      <c r="A804" s="57"/>
      <c r="B804" s="57"/>
      <c r="C804" s="57"/>
      <c r="D804" s="3"/>
      <c r="E804" s="3"/>
      <c r="F804" s="3"/>
      <c r="G804" s="3"/>
      <c r="H804" s="3"/>
      <c r="I804" s="3"/>
      <c r="J804" s="3"/>
      <c r="K804" s="3"/>
      <c r="L804" s="3"/>
      <c r="M804" s="3"/>
      <c r="N804" s="3"/>
      <c r="O804" s="3"/>
      <c r="P804" s="3"/>
      <c r="Q804" s="3"/>
      <c r="R804" s="3"/>
      <c r="S804" s="3"/>
      <c r="T804" s="3"/>
      <c r="U804" s="3"/>
      <c r="V804" s="3"/>
      <c r="W804" s="3"/>
      <c r="X804" s="3"/>
      <c r="Y804" s="3"/>
      <c r="Z804" s="3"/>
    </row>
    <row r="805">
      <c r="A805" s="57"/>
      <c r="B805" s="57"/>
      <c r="C805" s="57"/>
      <c r="D805" s="3"/>
      <c r="E805" s="3"/>
      <c r="F805" s="3"/>
      <c r="G805" s="3"/>
      <c r="H805" s="3"/>
      <c r="I805" s="3"/>
      <c r="J805" s="3"/>
      <c r="K805" s="3"/>
      <c r="L805" s="3"/>
      <c r="M805" s="3"/>
      <c r="N805" s="3"/>
      <c r="O805" s="3"/>
      <c r="P805" s="3"/>
      <c r="Q805" s="3"/>
      <c r="R805" s="3"/>
      <c r="S805" s="3"/>
      <c r="T805" s="3"/>
      <c r="U805" s="3"/>
      <c r="V805" s="3"/>
      <c r="W805" s="3"/>
      <c r="X805" s="3"/>
      <c r="Y805" s="3"/>
      <c r="Z805" s="3"/>
    </row>
    <row r="806">
      <c r="A806" s="57"/>
      <c r="B806" s="57"/>
      <c r="C806" s="57"/>
      <c r="D806" s="3"/>
      <c r="E806" s="3"/>
      <c r="F806" s="3"/>
      <c r="G806" s="3"/>
      <c r="H806" s="3"/>
      <c r="I806" s="3"/>
      <c r="J806" s="3"/>
      <c r="K806" s="3"/>
      <c r="L806" s="3"/>
      <c r="M806" s="3"/>
      <c r="N806" s="3"/>
      <c r="O806" s="3"/>
      <c r="P806" s="3"/>
      <c r="Q806" s="3"/>
      <c r="R806" s="3"/>
      <c r="S806" s="3"/>
      <c r="T806" s="3"/>
      <c r="U806" s="3"/>
      <c r="V806" s="3"/>
      <c r="W806" s="3"/>
      <c r="X806" s="3"/>
      <c r="Y806" s="3"/>
      <c r="Z806" s="3"/>
    </row>
    <row r="807">
      <c r="A807" s="57"/>
      <c r="B807" s="57"/>
      <c r="C807" s="57"/>
      <c r="D807" s="3"/>
      <c r="E807" s="3"/>
      <c r="F807" s="3"/>
      <c r="G807" s="3"/>
      <c r="H807" s="3"/>
      <c r="I807" s="3"/>
      <c r="J807" s="3"/>
      <c r="K807" s="3"/>
      <c r="L807" s="3"/>
      <c r="M807" s="3"/>
      <c r="N807" s="3"/>
      <c r="O807" s="3"/>
      <c r="P807" s="3"/>
      <c r="Q807" s="3"/>
      <c r="R807" s="3"/>
      <c r="S807" s="3"/>
      <c r="T807" s="3"/>
      <c r="U807" s="3"/>
      <c r="V807" s="3"/>
      <c r="W807" s="3"/>
      <c r="X807" s="3"/>
      <c r="Y807" s="3"/>
      <c r="Z807" s="3"/>
    </row>
    <row r="808">
      <c r="A808" s="57"/>
      <c r="B808" s="57"/>
      <c r="C808" s="57"/>
      <c r="D808" s="3"/>
      <c r="E808" s="3"/>
      <c r="F808" s="3"/>
      <c r="G808" s="3"/>
      <c r="H808" s="3"/>
      <c r="I808" s="3"/>
      <c r="J808" s="3"/>
      <c r="K808" s="3"/>
      <c r="L808" s="3"/>
      <c r="M808" s="3"/>
      <c r="N808" s="3"/>
      <c r="O808" s="3"/>
      <c r="P808" s="3"/>
      <c r="Q808" s="3"/>
      <c r="R808" s="3"/>
      <c r="S808" s="3"/>
      <c r="T808" s="3"/>
      <c r="U808" s="3"/>
      <c r="V808" s="3"/>
      <c r="W808" s="3"/>
      <c r="X808" s="3"/>
      <c r="Y808" s="3"/>
      <c r="Z808" s="3"/>
    </row>
    <row r="809">
      <c r="A809" s="57"/>
      <c r="B809" s="57"/>
      <c r="C809" s="57"/>
      <c r="D809" s="3"/>
      <c r="E809" s="3"/>
      <c r="F809" s="3"/>
      <c r="G809" s="3"/>
      <c r="H809" s="3"/>
      <c r="I809" s="3"/>
      <c r="J809" s="3"/>
      <c r="K809" s="3"/>
      <c r="L809" s="3"/>
      <c r="M809" s="3"/>
      <c r="N809" s="3"/>
      <c r="O809" s="3"/>
      <c r="P809" s="3"/>
      <c r="Q809" s="3"/>
      <c r="R809" s="3"/>
      <c r="S809" s="3"/>
      <c r="T809" s="3"/>
      <c r="U809" s="3"/>
      <c r="V809" s="3"/>
      <c r="W809" s="3"/>
      <c r="X809" s="3"/>
      <c r="Y809" s="3"/>
      <c r="Z809" s="3"/>
    </row>
    <row r="810">
      <c r="A810" s="57"/>
      <c r="B810" s="57"/>
      <c r="C810" s="57"/>
      <c r="D810" s="3"/>
      <c r="E810" s="3"/>
      <c r="F810" s="3"/>
      <c r="G810" s="3"/>
      <c r="H810" s="3"/>
      <c r="I810" s="3"/>
      <c r="J810" s="3"/>
      <c r="K810" s="3"/>
      <c r="L810" s="3"/>
      <c r="M810" s="3"/>
      <c r="N810" s="3"/>
      <c r="O810" s="3"/>
      <c r="P810" s="3"/>
      <c r="Q810" s="3"/>
      <c r="R810" s="3"/>
      <c r="S810" s="3"/>
      <c r="T810" s="3"/>
      <c r="U810" s="3"/>
      <c r="V810" s="3"/>
      <c r="W810" s="3"/>
      <c r="X810" s="3"/>
      <c r="Y810" s="3"/>
      <c r="Z810" s="3"/>
    </row>
    <row r="811">
      <c r="A811" s="57"/>
      <c r="B811" s="57"/>
      <c r="C811" s="57"/>
      <c r="D811" s="3"/>
      <c r="E811" s="3"/>
      <c r="F811" s="3"/>
      <c r="G811" s="3"/>
      <c r="H811" s="3"/>
      <c r="I811" s="3"/>
      <c r="J811" s="3"/>
      <c r="K811" s="3"/>
      <c r="L811" s="3"/>
      <c r="M811" s="3"/>
      <c r="N811" s="3"/>
      <c r="O811" s="3"/>
      <c r="P811" s="3"/>
      <c r="Q811" s="3"/>
      <c r="R811" s="3"/>
      <c r="S811" s="3"/>
      <c r="T811" s="3"/>
      <c r="U811" s="3"/>
      <c r="V811" s="3"/>
      <c r="W811" s="3"/>
      <c r="X811" s="3"/>
      <c r="Y811" s="3"/>
      <c r="Z811" s="3"/>
    </row>
    <row r="812">
      <c r="A812" s="57"/>
      <c r="B812" s="57"/>
      <c r="C812" s="57"/>
      <c r="D812" s="3"/>
      <c r="E812" s="3"/>
      <c r="F812" s="3"/>
      <c r="G812" s="3"/>
      <c r="H812" s="3"/>
      <c r="I812" s="3"/>
      <c r="J812" s="3"/>
      <c r="K812" s="3"/>
      <c r="L812" s="3"/>
      <c r="M812" s="3"/>
      <c r="N812" s="3"/>
      <c r="O812" s="3"/>
      <c r="P812" s="3"/>
      <c r="Q812" s="3"/>
      <c r="R812" s="3"/>
      <c r="S812" s="3"/>
      <c r="T812" s="3"/>
      <c r="U812" s="3"/>
      <c r="V812" s="3"/>
      <c r="W812" s="3"/>
      <c r="X812" s="3"/>
      <c r="Y812" s="3"/>
      <c r="Z812" s="3"/>
    </row>
    <row r="813">
      <c r="A813" s="57"/>
      <c r="B813" s="57"/>
      <c r="C813" s="57"/>
      <c r="D813" s="3"/>
      <c r="E813" s="3"/>
      <c r="F813" s="3"/>
      <c r="G813" s="3"/>
      <c r="H813" s="3"/>
      <c r="I813" s="3"/>
      <c r="J813" s="3"/>
      <c r="K813" s="3"/>
      <c r="L813" s="3"/>
      <c r="M813" s="3"/>
      <c r="N813" s="3"/>
      <c r="O813" s="3"/>
      <c r="P813" s="3"/>
      <c r="Q813" s="3"/>
      <c r="R813" s="3"/>
      <c r="S813" s="3"/>
      <c r="T813" s="3"/>
      <c r="U813" s="3"/>
      <c r="V813" s="3"/>
      <c r="W813" s="3"/>
      <c r="X813" s="3"/>
      <c r="Y813" s="3"/>
      <c r="Z813" s="3"/>
    </row>
    <row r="814">
      <c r="A814" s="57"/>
      <c r="B814" s="57"/>
      <c r="C814" s="57"/>
      <c r="D814" s="3"/>
      <c r="E814" s="3"/>
      <c r="F814" s="3"/>
      <c r="G814" s="3"/>
      <c r="H814" s="3"/>
      <c r="I814" s="3"/>
      <c r="J814" s="3"/>
      <c r="K814" s="3"/>
      <c r="L814" s="3"/>
      <c r="M814" s="3"/>
      <c r="N814" s="3"/>
      <c r="O814" s="3"/>
      <c r="P814" s="3"/>
      <c r="Q814" s="3"/>
      <c r="R814" s="3"/>
      <c r="S814" s="3"/>
      <c r="T814" s="3"/>
      <c r="U814" s="3"/>
      <c r="V814" s="3"/>
      <c r="W814" s="3"/>
      <c r="X814" s="3"/>
      <c r="Y814" s="3"/>
      <c r="Z814" s="3"/>
    </row>
    <row r="815">
      <c r="A815" s="57"/>
      <c r="B815" s="57"/>
      <c r="C815" s="57"/>
      <c r="D815" s="3"/>
      <c r="E815" s="3"/>
      <c r="F815" s="3"/>
      <c r="G815" s="3"/>
      <c r="H815" s="3"/>
      <c r="I815" s="3"/>
      <c r="J815" s="3"/>
      <c r="K815" s="3"/>
      <c r="L815" s="3"/>
      <c r="M815" s="3"/>
      <c r="N815" s="3"/>
      <c r="O815" s="3"/>
      <c r="P815" s="3"/>
      <c r="Q815" s="3"/>
      <c r="R815" s="3"/>
      <c r="S815" s="3"/>
      <c r="T815" s="3"/>
      <c r="U815" s="3"/>
      <c r="V815" s="3"/>
      <c r="W815" s="3"/>
      <c r="X815" s="3"/>
      <c r="Y815" s="3"/>
      <c r="Z815" s="3"/>
    </row>
    <row r="816">
      <c r="A816" s="57"/>
      <c r="B816" s="57"/>
      <c r="C816" s="57"/>
      <c r="D816" s="3"/>
      <c r="E816" s="3"/>
      <c r="F816" s="3"/>
      <c r="G816" s="3"/>
      <c r="H816" s="3"/>
      <c r="I816" s="3"/>
      <c r="J816" s="3"/>
      <c r="K816" s="3"/>
      <c r="L816" s="3"/>
      <c r="M816" s="3"/>
      <c r="N816" s="3"/>
      <c r="O816" s="3"/>
      <c r="P816" s="3"/>
      <c r="Q816" s="3"/>
      <c r="R816" s="3"/>
      <c r="S816" s="3"/>
      <c r="T816" s="3"/>
      <c r="U816" s="3"/>
      <c r="V816" s="3"/>
      <c r="W816" s="3"/>
      <c r="X816" s="3"/>
      <c r="Y816" s="3"/>
      <c r="Z816" s="3"/>
    </row>
    <row r="817">
      <c r="A817" s="57"/>
      <c r="B817" s="57"/>
      <c r="C817" s="57"/>
      <c r="D817" s="3"/>
      <c r="E817" s="3"/>
      <c r="F817" s="3"/>
      <c r="G817" s="3"/>
      <c r="H817" s="3"/>
      <c r="I817" s="3"/>
      <c r="J817" s="3"/>
      <c r="K817" s="3"/>
      <c r="L817" s="3"/>
      <c r="M817" s="3"/>
      <c r="N817" s="3"/>
      <c r="O817" s="3"/>
      <c r="P817" s="3"/>
      <c r="Q817" s="3"/>
      <c r="R817" s="3"/>
      <c r="S817" s="3"/>
      <c r="T817" s="3"/>
      <c r="U817" s="3"/>
      <c r="V817" s="3"/>
      <c r="W817" s="3"/>
      <c r="X817" s="3"/>
      <c r="Y817" s="3"/>
      <c r="Z817" s="3"/>
    </row>
    <row r="818">
      <c r="A818" s="57"/>
      <c r="B818" s="57"/>
      <c r="C818" s="57"/>
      <c r="D818" s="3"/>
      <c r="E818" s="3"/>
      <c r="F818" s="3"/>
      <c r="G818" s="3"/>
      <c r="H818" s="3"/>
      <c r="I818" s="3"/>
      <c r="J818" s="3"/>
      <c r="K818" s="3"/>
      <c r="L818" s="3"/>
      <c r="M818" s="3"/>
      <c r="N818" s="3"/>
      <c r="O818" s="3"/>
      <c r="P818" s="3"/>
      <c r="Q818" s="3"/>
      <c r="R818" s="3"/>
      <c r="S818" s="3"/>
      <c r="T818" s="3"/>
      <c r="U818" s="3"/>
      <c r="V818" s="3"/>
      <c r="W818" s="3"/>
      <c r="X818" s="3"/>
      <c r="Y818" s="3"/>
      <c r="Z818" s="3"/>
    </row>
    <row r="819">
      <c r="A819" s="57"/>
      <c r="B819" s="57"/>
      <c r="C819" s="57"/>
      <c r="D819" s="3"/>
      <c r="E819" s="3"/>
      <c r="F819" s="3"/>
      <c r="G819" s="3"/>
      <c r="H819" s="3"/>
      <c r="I819" s="3"/>
      <c r="J819" s="3"/>
      <c r="K819" s="3"/>
      <c r="L819" s="3"/>
      <c r="M819" s="3"/>
      <c r="N819" s="3"/>
      <c r="O819" s="3"/>
      <c r="P819" s="3"/>
      <c r="Q819" s="3"/>
      <c r="R819" s="3"/>
      <c r="S819" s="3"/>
      <c r="T819" s="3"/>
      <c r="U819" s="3"/>
      <c r="V819" s="3"/>
      <c r="W819" s="3"/>
      <c r="X819" s="3"/>
      <c r="Y819" s="3"/>
      <c r="Z819" s="3"/>
    </row>
    <row r="820">
      <c r="A820" s="57"/>
      <c r="B820" s="57"/>
      <c r="C820" s="57"/>
      <c r="D820" s="3"/>
      <c r="E820" s="3"/>
      <c r="F820" s="3"/>
      <c r="G820" s="3"/>
      <c r="H820" s="3"/>
      <c r="I820" s="3"/>
      <c r="J820" s="3"/>
      <c r="K820" s="3"/>
      <c r="L820" s="3"/>
      <c r="M820" s="3"/>
      <c r="N820" s="3"/>
      <c r="O820" s="3"/>
      <c r="P820" s="3"/>
      <c r="Q820" s="3"/>
      <c r="R820" s="3"/>
      <c r="S820" s="3"/>
      <c r="T820" s="3"/>
      <c r="U820" s="3"/>
      <c r="V820" s="3"/>
      <c r="W820" s="3"/>
      <c r="X820" s="3"/>
      <c r="Y820" s="3"/>
      <c r="Z820" s="3"/>
    </row>
    <row r="821">
      <c r="A821" s="57"/>
      <c r="B821" s="57"/>
      <c r="C821" s="57"/>
      <c r="D821" s="3"/>
      <c r="E821" s="3"/>
      <c r="F821" s="3"/>
      <c r="G821" s="3"/>
      <c r="H821" s="3"/>
      <c r="I821" s="3"/>
      <c r="J821" s="3"/>
      <c r="K821" s="3"/>
      <c r="L821" s="3"/>
      <c r="M821" s="3"/>
      <c r="N821" s="3"/>
      <c r="O821" s="3"/>
      <c r="P821" s="3"/>
      <c r="Q821" s="3"/>
      <c r="R821" s="3"/>
      <c r="S821" s="3"/>
      <c r="T821" s="3"/>
      <c r="U821" s="3"/>
      <c r="V821" s="3"/>
      <c r="W821" s="3"/>
      <c r="X821" s="3"/>
      <c r="Y821" s="3"/>
      <c r="Z821" s="3"/>
    </row>
    <row r="822">
      <c r="A822" s="57"/>
      <c r="B822" s="57"/>
      <c r="C822" s="57"/>
      <c r="D822" s="3"/>
      <c r="E822" s="3"/>
      <c r="F822" s="3"/>
      <c r="G822" s="3"/>
      <c r="H822" s="3"/>
      <c r="I822" s="3"/>
      <c r="J822" s="3"/>
      <c r="K822" s="3"/>
      <c r="L822" s="3"/>
      <c r="M822" s="3"/>
      <c r="N822" s="3"/>
      <c r="O822" s="3"/>
      <c r="P822" s="3"/>
      <c r="Q822" s="3"/>
      <c r="R822" s="3"/>
      <c r="S822" s="3"/>
      <c r="T822" s="3"/>
      <c r="U822" s="3"/>
      <c r="V822" s="3"/>
      <c r="W822" s="3"/>
      <c r="X822" s="3"/>
      <c r="Y822" s="3"/>
      <c r="Z822" s="3"/>
    </row>
    <row r="823">
      <c r="A823" s="57"/>
      <c r="B823" s="57"/>
      <c r="C823" s="57"/>
      <c r="D823" s="3"/>
      <c r="E823" s="3"/>
      <c r="F823" s="3"/>
      <c r="G823" s="3"/>
      <c r="H823" s="3"/>
      <c r="I823" s="3"/>
      <c r="J823" s="3"/>
      <c r="K823" s="3"/>
      <c r="L823" s="3"/>
      <c r="M823" s="3"/>
      <c r="N823" s="3"/>
      <c r="O823" s="3"/>
      <c r="P823" s="3"/>
      <c r="Q823" s="3"/>
      <c r="R823" s="3"/>
      <c r="S823" s="3"/>
      <c r="T823" s="3"/>
      <c r="U823" s="3"/>
      <c r="V823" s="3"/>
      <c r="W823" s="3"/>
      <c r="X823" s="3"/>
      <c r="Y823" s="3"/>
      <c r="Z823" s="3"/>
    </row>
    <row r="824">
      <c r="A824" s="57"/>
      <c r="B824" s="57"/>
      <c r="C824" s="57"/>
      <c r="D824" s="3"/>
      <c r="E824" s="3"/>
      <c r="F824" s="3"/>
      <c r="G824" s="3"/>
      <c r="H824" s="3"/>
      <c r="I824" s="3"/>
      <c r="J824" s="3"/>
      <c r="K824" s="3"/>
      <c r="L824" s="3"/>
      <c r="M824" s="3"/>
      <c r="N824" s="3"/>
      <c r="O824" s="3"/>
      <c r="P824" s="3"/>
      <c r="Q824" s="3"/>
      <c r="R824" s="3"/>
      <c r="S824" s="3"/>
      <c r="T824" s="3"/>
      <c r="U824" s="3"/>
      <c r="V824" s="3"/>
      <c r="W824" s="3"/>
      <c r="X824" s="3"/>
      <c r="Y824" s="3"/>
      <c r="Z824" s="3"/>
    </row>
    <row r="825">
      <c r="A825" s="57"/>
      <c r="B825" s="57"/>
      <c r="C825" s="57"/>
      <c r="D825" s="3"/>
      <c r="E825" s="3"/>
      <c r="F825" s="3"/>
      <c r="G825" s="3"/>
      <c r="H825" s="3"/>
      <c r="I825" s="3"/>
      <c r="J825" s="3"/>
      <c r="K825" s="3"/>
      <c r="L825" s="3"/>
      <c r="M825" s="3"/>
      <c r="N825" s="3"/>
      <c r="O825" s="3"/>
      <c r="P825" s="3"/>
      <c r="Q825" s="3"/>
      <c r="R825" s="3"/>
      <c r="S825" s="3"/>
      <c r="T825" s="3"/>
      <c r="U825" s="3"/>
      <c r="V825" s="3"/>
      <c r="W825" s="3"/>
      <c r="X825" s="3"/>
      <c r="Y825" s="3"/>
      <c r="Z825" s="3"/>
    </row>
    <row r="826">
      <c r="A826" s="57"/>
      <c r="B826" s="57"/>
      <c r="C826" s="57"/>
      <c r="D826" s="3"/>
      <c r="E826" s="3"/>
      <c r="F826" s="3"/>
      <c r="G826" s="3"/>
      <c r="H826" s="3"/>
      <c r="I826" s="3"/>
      <c r="J826" s="3"/>
      <c r="K826" s="3"/>
      <c r="L826" s="3"/>
      <c r="M826" s="3"/>
      <c r="N826" s="3"/>
      <c r="O826" s="3"/>
      <c r="P826" s="3"/>
      <c r="Q826" s="3"/>
      <c r="R826" s="3"/>
      <c r="S826" s="3"/>
      <c r="T826" s="3"/>
      <c r="U826" s="3"/>
      <c r="V826" s="3"/>
      <c r="W826" s="3"/>
      <c r="X826" s="3"/>
      <c r="Y826" s="3"/>
      <c r="Z826" s="3"/>
    </row>
    <row r="827">
      <c r="A827" s="57"/>
      <c r="B827" s="57"/>
      <c r="C827" s="57"/>
      <c r="D827" s="3"/>
      <c r="E827" s="3"/>
      <c r="F827" s="3"/>
      <c r="G827" s="3"/>
      <c r="H827" s="3"/>
      <c r="I827" s="3"/>
      <c r="J827" s="3"/>
      <c r="K827" s="3"/>
      <c r="L827" s="3"/>
      <c r="M827" s="3"/>
      <c r="N827" s="3"/>
      <c r="O827" s="3"/>
      <c r="P827" s="3"/>
      <c r="Q827" s="3"/>
      <c r="R827" s="3"/>
      <c r="S827" s="3"/>
      <c r="T827" s="3"/>
      <c r="U827" s="3"/>
      <c r="V827" s="3"/>
      <c r="W827" s="3"/>
      <c r="X827" s="3"/>
      <c r="Y827" s="3"/>
      <c r="Z827" s="3"/>
    </row>
    <row r="828">
      <c r="A828" s="57"/>
      <c r="B828" s="57"/>
      <c r="C828" s="57"/>
      <c r="D828" s="3"/>
      <c r="E828" s="3"/>
      <c r="F828" s="3"/>
      <c r="G828" s="3"/>
      <c r="H828" s="3"/>
      <c r="I828" s="3"/>
      <c r="J828" s="3"/>
      <c r="K828" s="3"/>
      <c r="L828" s="3"/>
      <c r="M828" s="3"/>
      <c r="N828" s="3"/>
      <c r="O828" s="3"/>
      <c r="P828" s="3"/>
      <c r="Q828" s="3"/>
      <c r="R828" s="3"/>
      <c r="S828" s="3"/>
      <c r="T828" s="3"/>
      <c r="U828" s="3"/>
      <c r="V828" s="3"/>
      <c r="W828" s="3"/>
      <c r="X828" s="3"/>
      <c r="Y828" s="3"/>
      <c r="Z828" s="3"/>
    </row>
    <row r="829">
      <c r="A829" s="57"/>
      <c r="B829" s="57"/>
      <c r="C829" s="57"/>
      <c r="D829" s="3"/>
      <c r="E829" s="3"/>
      <c r="F829" s="3"/>
      <c r="G829" s="3"/>
      <c r="H829" s="3"/>
      <c r="I829" s="3"/>
      <c r="J829" s="3"/>
      <c r="K829" s="3"/>
      <c r="L829" s="3"/>
      <c r="M829" s="3"/>
      <c r="N829" s="3"/>
      <c r="O829" s="3"/>
      <c r="P829" s="3"/>
      <c r="Q829" s="3"/>
      <c r="R829" s="3"/>
      <c r="S829" s="3"/>
      <c r="T829" s="3"/>
      <c r="U829" s="3"/>
      <c r="V829" s="3"/>
      <c r="W829" s="3"/>
      <c r="X829" s="3"/>
      <c r="Y829" s="3"/>
      <c r="Z829" s="3"/>
    </row>
    <row r="830">
      <c r="A830" s="57"/>
      <c r="B830" s="57"/>
      <c r="C830" s="57"/>
      <c r="D830" s="3"/>
      <c r="E830" s="3"/>
      <c r="F830" s="3"/>
      <c r="G830" s="3"/>
      <c r="H830" s="3"/>
      <c r="I830" s="3"/>
      <c r="J830" s="3"/>
      <c r="K830" s="3"/>
      <c r="L830" s="3"/>
      <c r="M830" s="3"/>
      <c r="N830" s="3"/>
      <c r="O830" s="3"/>
      <c r="P830" s="3"/>
      <c r="Q830" s="3"/>
      <c r="R830" s="3"/>
      <c r="S830" s="3"/>
      <c r="T830" s="3"/>
      <c r="U830" s="3"/>
      <c r="V830" s="3"/>
      <c r="W830" s="3"/>
      <c r="X830" s="3"/>
      <c r="Y830" s="3"/>
      <c r="Z830" s="3"/>
    </row>
    <row r="831">
      <c r="A831" s="57"/>
      <c r="B831" s="57"/>
      <c r="C831" s="57"/>
      <c r="D831" s="3"/>
      <c r="E831" s="3"/>
      <c r="F831" s="3"/>
      <c r="G831" s="3"/>
      <c r="H831" s="3"/>
      <c r="I831" s="3"/>
      <c r="J831" s="3"/>
      <c r="K831" s="3"/>
      <c r="L831" s="3"/>
      <c r="M831" s="3"/>
      <c r="N831" s="3"/>
      <c r="O831" s="3"/>
      <c r="P831" s="3"/>
      <c r="Q831" s="3"/>
      <c r="R831" s="3"/>
      <c r="S831" s="3"/>
      <c r="T831" s="3"/>
      <c r="U831" s="3"/>
      <c r="V831" s="3"/>
      <c r="W831" s="3"/>
      <c r="X831" s="3"/>
      <c r="Y831" s="3"/>
      <c r="Z831" s="3"/>
    </row>
    <row r="832">
      <c r="A832" s="57"/>
      <c r="B832" s="57"/>
      <c r="C832" s="57"/>
      <c r="D832" s="3"/>
      <c r="E832" s="3"/>
      <c r="F832" s="3"/>
      <c r="G832" s="3"/>
      <c r="H832" s="3"/>
      <c r="I832" s="3"/>
      <c r="J832" s="3"/>
      <c r="K832" s="3"/>
      <c r="L832" s="3"/>
      <c r="M832" s="3"/>
      <c r="N832" s="3"/>
      <c r="O832" s="3"/>
      <c r="P832" s="3"/>
      <c r="Q832" s="3"/>
      <c r="R832" s="3"/>
      <c r="S832" s="3"/>
      <c r="T832" s="3"/>
      <c r="U832" s="3"/>
      <c r="V832" s="3"/>
      <c r="W832" s="3"/>
      <c r="X832" s="3"/>
      <c r="Y832" s="3"/>
      <c r="Z832" s="3"/>
    </row>
    <row r="833">
      <c r="A833" s="57"/>
      <c r="B833" s="57"/>
      <c r="C833" s="57"/>
      <c r="D833" s="3"/>
      <c r="E833" s="3"/>
      <c r="F833" s="3"/>
      <c r="G833" s="3"/>
      <c r="H833" s="3"/>
      <c r="I833" s="3"/>
      <c r="J833" s="3"/>
      <c r="K833" s="3"/>
      <c r="L833" s="3"/>
      <c r="M833" s="3"/>
      <c r="N833" s="3"/>
      <c r="O833" s="3"/>
      <c r="P833" s="3"/>
      <c r="Q833" s="3"/>
      <c r="R833" s="3"/>
      <c r="S833" s="3"/>
      <c r="T833" s="3"/>
      <c r="U833" s="3"/>
      <c r="V833" s="3"/>
      <c r="W833" s="3"/>
      <c r="X833" s="3"/>
      <c r="Y833" s="3"/>
      <c r="Z833" s="3"/>
    </row>
    <row r="834">
      <c r="A834" s="57"/>
      <c r="B834" s="57"/>
      <c r="C834" s="57"/>
      <c r="D834" s="3"/>
      <c r="E834" s="3"/>
      <c r="F834" s="3"/>
      <c r="G834" s="3"/>
      <c r="H834" s="3"/>
      <c r="I834" s="3"/>
      <c r="J834" s="3"/>
      <c r="K834" s="3"/>
      <c r="L834" s="3"/>
      <c r="M834" s="3"/>
      <c r="N834" s="3"/>
      <c r="O834" s="3"/>
      <c r="P834" s="3"/>
      <c r="Q834" s="3"/>
      <c r="R834" s="3"/>
      <c r="S834" s="3"/>
      <c r="T834" s="3"/>
      <c r="U834" s="3"/>
      <c r="V834" s="3"/>
      <c r="W834" s="3"/>
      <c r="X834" s="3"/>
      <c r="Y834" s="3"/>
      <c r="Z834" s="3"/>
    </row>
    <row r="835">
      <c r="A835" s="57"/>
      <c r="B835" s="57"/>
      <c r="C835" s="57"/>
      <c r="D835" s="3"/>
      <c r="E835" s="3"/>
      <c r="F835" s="3"/>
      <c r="G835" s="3"/>
      <c r="H835" s="3"/>
      <c r="I835" s="3"/>
      <c r="J835" s="3"/>
      <c r="K835" s="3"/>
      <c r="L835" s="3"/>
      <c r="M835" s="3"/>
      <c r="N835" s="3"/>
      <c r="O835" s="3"/>
      <c r="P835" s="3"/>
      <c r="Q835" s="3"/>
      <c r="R835" s="3"/>
      <c r="S835" s="3"/>
      <c r="T835" s="3"/>
      <c r="U835" s="3"/>
      <c r="V835" s="3"/>
      <c r="W835" s="3"/>
      <c r="X835" s="3"/>
      <c r="Y835" s="3"/>
      <c r="Z835" s="3"/>
    </row>
    <row r="836">
      <c r="A836" s="57"/>
      <c r="B836" s="57"/>
      <c r="C836" s="57"/>
      <c r="D836" s="3"/>
      <c r="E836" s="3"/>
      <c r="F836" s="3"/>
      <c r="G836" s="3"/>
      <c r="H836" s="3"/>
      <c r="I836" s="3"/>
      <c r="J836" s="3"/>
      <c r="K836" s="3"/>
      <c r="L836" s="3"/>
      <c r="M836" s="3"/>
      <c r="N836" s="3"/>
      <c r="O836" s="3"/>
      <c r="P836" s="3"/>
      <c r="Q836" s="3"/>
      <c r="R836" s="3"/>
      <c r="S836" s="3"/>
      <c r="T836" s="3"/>
      <c r="U836" s="3"/>
      <c r="V836" s="3"/>
      <c r="W836" s="3"/>
      <c r="X836" s="3"/>
      <c r="Y836" s="3"/>
      <c r="Z836" s="3"/>
    </row>
    <row r="837">
      <c r="A837" s="57"/>
      <c r="B837" s="57"/>
      <c r="C837" s="57"/>
      <c r="D837" s="3"/>
      <c r="E837" s="3"/>
      <c r="F837" s="3"/>
      <c r="G837" s="3"/>
      <c r="H837" s="3"/>
      <c r="I837" s="3"/>
      <c r="J837" s="3"/>
      <c r="K837" s="3"/>
      <c r="L837" s="3"/>
      <c r="M837" s="3"/>
      <c r="N837" s="3"/>
      <c r="O837" s="3"/>
      <c r="P837" s="3"/>
      <c r="Q837" s="3"/>
      <c r="R837" s="3"/>
      <c r="S837" s="3"/>
      <c r="T837" s="3"/>
      <c r="U837" s="3"/>
      <c r="V837" s="3"/>
      <c r="W837" s="3"/>
      <c r="X837" s="3"/>
      <c r="Y837" s="3"/>
      <c r="Z837" s="3"/>
    </row>
    <row r="838">
      <c r="A838" s="57"/>
      <c r="B838" s="57"/>
      <c r="C838" s="57"/>
      <c r="D838" s="3"/>
      <c r="E838" s="3"/>
      <c r="F838" s="3"/>
      <c r="G838" s="3"/>
      <c r="H838" s="3"/>
      <c r="I838" s="3"/>
      <c r="J838" s="3"/>
      <c r="K838" s="3"/>
      <c r="L838" s="3"/>
      <c r="M838" s="3"/>
      <c r="N838" s="3"/>
      <c r="O838" s="3"/>
      <c r="P838" s="3"/>
      <c r="Q838" s="3"/>
      <c r="R838" s="3"/>
      <c r="S838" s="3"/>
      <c r="T838" s="3"/>
      <c r="U838" s="3"/>
      <c r="V838" s="3"/>
      <c r="W838" s="3"/>
      <c r="X838" s="3"/>
      <c r="Y838" s="3"/>
      <c r="Z838" s="3"/>
    </row>
    <row r="839">
      <c r="A839" s="57"/>
      <c r="B839" s="57"/>
      <c r="C839" s="57"/>
      <c r="D839" s="3"/>
      <c r="E839" s="3"/>
      <c r="F839" s="3"/>
      <c r="G839" s="3"/>
      <c r="H839" s="3"/>
      <c r="I839" s="3"/>
      <c r="J839" s="3"/>
      <c r="K839" s="3"/>
      <c r="L839" s="3"/>
      <c r="M839" s="3"/>
      <c r="N839" s="3"/>
      <c r="O839" s="3"/>
      <c r="P839" s="3"/>
      <c r="Q839" s="3"/>
      <c r="R839" s="3"/>
      <c r="S839" s="3"/>
      <c r="T839" s="3"/>
      <c r="U839" s="3"/>
      <c r="V839" s="3"/>
      <c r="W839" s="3"/>
      <c r="X839" s="3"/>
      <c r="Y839" s="3"/>
      <c r="Z839" s="3"/>
    </row>
    <row r="840">
      <c r="A840" s="57"/>
      <c r="B840" s="57"/>
      <c r="C840" s="57"/>
      <c r="D840" s="3"/>
      <c r="E840" s="3"/>
      <c r="F840" s="3"/>
      <c r="G840" s="3"/>
      <c r="H840" s="3"/>
      <c r="I840" s="3"/>
      <c r="J840" s="3"/>
      <c r="K840" s="3"/>
      <c r="L840" s="3"/>
      <c r="M840" s="3"/>
      <c r="N840" s="3"/>
      <c r="O840" s="3"/>
      <c r="P840" s="3"/>
      <c r="Q840" s="3"/>
      <c r="R840" s="3"/>
      <c r="S840" s="3"/>
      <c r="T840" s="3"/>
      <c r="U840" s="3"/>
      <c r="V840" s="3"/>
      <c r="W840" s="3"/>
      <c r="X840" s="3"/>
      <c r="Y840" s="3"/>
      <c r="Z840" s="3"/>
    </row>
    <row r="841">
      <c r="A841" s="57"/>
      <c r="B841" s="57"/>
      <c r="C841" s="57"/>
      <c r="D841" s="3"/>
      <c r="E841" s="3"/>
      <c r="F841" s="3"/>
      <c r="G841" s="3"/>
      <c r="H841" s="3"/>
      <c r="I841" s="3"/>
      <c r="J841" s="3"/>
      <c r="K841" s="3"/>
      <c r="L841" s="3"/>
      <c r="M841" s="3"/>
      <c r="N841" s="3"/>
      <c r="O841" s="3"/>
      <c r="P841" s="3"/>
      <c r="Q841" s="3"/>
      <c r="R841" s="3"/>
      <c r="S841" s="3"/>
      <c r="T841" s="3"/>
      <c r="U841" s="3"/>
      <c r="V841" s="3"/>
      <c r="W841" s="3"/>
      <c r="X841" s="3"/>
      <c r="Y841" s="3"/>
      <c r="Z841" s="3"/>
    </row>
    <row r="842">
      <c r="A842" s="57"/>
      <c r="B842" s="57"/>
      <c r="C842" s="57"/>
      <c r="D842" s="3"/>
      <c r="E842" s="3"/>
      <c r="F842" s="3"/>
      <c r="G842" s="3"/>
      <c r="H842" s="3"/>
      <c r="I842" s="3"/>
      <c r="J842" s="3"/>
      <c r="K842" s="3"/>
      <c r="L842" s="3"/>
      <c r="M842" s="3"/>
      <c r="N842" s="3"/>
      <c r="O842" s="3"/>
      <c r="P842" s="3"/>
      <c r="Q842" s="3"/>
      <c r="R842" s="3"/>
      <c r="S842" s="3"/>
      <c r="T842" s="3"/>
      <c r="U842" s="3"/>
      <c r="V842" s="3"/>
      <c r="W842" s="3"/>
      <c r="X842" s="3"/>
      <c r="Y842" s="3"/>
      <c r="Z842" s="3"/>
    </row>
    <row r="843">
      <c r="A843" s="57"/>
      <c r="B843" s="57"/>
      <c r="C843" s="57"/>
      <c r="D843" s="3"/>
      <c r="E843" s="3"/>
      <c r="F843" s="3"/>
      <c r="G843" s="3"/>
      <c r="H843" s="3"/>
      <c r="I843" s="3"/>
      <c r="J843" s="3"/>
      <c r="K843" s="3"/>
      <c r="L843" s="3"/>
      <c r="M843" s="3"/>
      <c r="N843" s="3"/>
      <c r="O843" s="3"/>
      <c r="P843" s="3"/>
      <c r="Q843" s="3"/>
      <c r="R843" s="3"/>
      <c r="S843" s="3"/>
      <c r="T843" s="3"/>
      <c r="U843" s="3"/>
      <c r="V843" s="3"/>
      <c r="W843" s="3"/>
      <c r="X843" s="3"/>
      <c r="Y843" s="3"/>
      <c r="Z843" s="3"/>
    </row>
    <row r="844">
      <c r="A844" s="57"/>
      <c r="B844" s="57"/>
      <c r="C844" s="57"/>
      <c r="D844" s="3"/>
      <c r="E844" s="3"/>
      <c r="F844" s="3"/>
      <c r="G844" s="3"/>
      <c r="H844" s="3"/>
      <c r="I844" s="3"/>
      <c r="J844" s="3"/>
      <c r="K844" s="3"/>
      <c r="L844" s="3"/>
      <c r="M844" s="3"/>
      <c r="N844" s="3"/>
      <c r="O844" s="3"/>
      <c r="P844" s="3"/>
      <c r="Q844" s="3"/>
      <c r="R844" s="3"/>
      <c r="S844" s="3"/>
      <c r="T844" s="3"/>
      <c r="U844" s="3"/>
      <c r="V844" s="3"/>
      <c r="W844" s="3"/>
      <c r="X844" s="3"/>
      <c r="Y844" s="3"/>
      <c r="Z844" s="3"/>
    </row>
    <row r="845">
      <c r="A845" s="57"/>
      <c r="B845" s="57"/>
      <c r="C845" s="57"/>
      <c r="D845" s="3"/>
      <c r="E845" s="3"/>
      <c r="F845" s="3"/>
      <c r="G845" s="3"/>
      <c r="H845" s="3"/>
      <c r="I845" s="3"/>
      <c r="J845" s="3"/>
      <c r="K845" s="3"/>
      <c r="L845" s="3"/>
      <c r="M845" s="3"/>
      <c r="N845" s="3"/>
      <c r="O845" s="3"/>
      <c r="P845" s="3"/>
      <c r="Q845" s="3"/>
      <c r="R845" s="3"/>
      <c r="S845" s="3"/>
      <c r="T845" s="3"/>
      <c r="U845" s="3"/>
      <c r="V845" s="3"/>
      <c r="W845" s="3"/>
      <c r="X845" s="3"/>
      <c r="Y845" s="3"/>
      <c r="Z845" s="3"/>
    </row>
    <row r="846">
      <c r="A846" s="57"/>
      <c r="B846" s="57"/>
      <c r="C846" s="57"/>
      <c r="D846" s="3"/>
      <c r="E846" s="3"/>
      <c r="F846" s="3"/>
      <c r="G846" s="3"/>
      <c r="H846" s="3"/>
      <c r="I846" s="3"/>
      <c r="J846" s="3"/>
      <c r="K846" s="3"/>
      <c r="L846" s="3"/>
      <c r="M846" s="3"/>
      <c r="N846" s="3"/>
      <c r="O846" s="3"/>
      <c r="P846" s="3"/>
      <c r="Q846" s="3"/>
      <c r="R846" s="3"/>
      <c r="S846" s="3"/>
      <c r="T846" s="3"/>
      <c r="U846" s="3"/>
      <c r="V846" s="3"/>
      <c r="W846" s="3"/>
      <c r="X846" s="3"/>
      <c r="Y846" s="3"/>
      <c r="Z846" s="3"/>
    </row>
    <row r="847">
      <c r="A847" s="57"/>
      <c r="B847" s="57"/>
      <c r="C847" s="57"/>
      <c r="D847" s="3"/>
      <c r="E847" s="3"/>
      <c r="F847" s="3"/>
      <c r="G847" s="3"/>
      <c r="H847" s="3"/>
      <c r="I847" s="3"/>
      <c r="J847" s="3"/>
      <c r="K847" s="3"/>
      <c r="L847" s="3"/>
      <c r="M847" s="3"/>
      <c r="N847" s="3"/>
      <c r="O847" s="3"/>
      <c r="P847" s="3"/>
      <c r="Q847" s="3"/>
      <c r="R847" s="3"/>
      <c r="S847" s="3"/>
      <c r="T847" s="3"/>
      <c r="U847" s="3"/>
      <c r="V847" s="3"/>
      <c r="W847" s="3"/>
      <c r="X847" s="3"/>
      <c r="Y847" s="3"/>
      <c r="Z847" s="3"/>
    </row>
    <row r="848">
      <c r="A848" s="57"/>
      <c r="B848" s="57"/>
      <c r="C848" s="57"/>
      <c r="D848" s="3"/>
      <c r="E848" s="3"/>
      <c r="F848" s="3"/>
      <c r="G848" s="3"/>
      <c r="H848" s="3"/>
      <c r="I848" s="3"/>
      <c r="J848" s="3"/>
      <c r="K848" s="3"/>
      <c r="L848" s="3"/>
      <c r="M848" s="3"/>
      <c r="N848" s="3"/>
      <c r="O848" s="3"/>
      <c r="P848" s="3"/>
      <c r="Q848" s="3"/>
      <c r="R848" s="3"/>
      <c r="S848" s="3"/>
      <c r="T848" s="3"/>
      <c r="U848" s="3"/>
      <c r="V848" s="3"/>
      <c r="W848" s="3"/>
      <c r="X848" s="3"/>
      <c r="Y848" s="3"/>
      <c r="Z848" s="3"/>
    </row>
    <row r="849">
      <c r="A849" s="57"/>
      <c r="B849" s="57"/>
      <c r="C849" s="57"/>
      <c r="D849" s="3"/>
      <c r="E849" s="3"/>
      <c r="F849" s="3"/>
      <c r="G849" s="3"/>
      <c r="H849" s="3"/>
      <c r="I849" s="3"/>
      <c r="J849" s="3"/>
      <c r="K849" s="3"/>
      <c r="L849" s="3"/>
      <c r="M849" s="3"/>
      <c r="N849" s="3"/>
      <c r="O849" s="3"/>
      <c r="P849" s="3"/>
      <c r="Q849" s="3"/>
      <c r="R849" s="3"/>
      <c r="S849" s="3"/>
      <c r="T849" s="3"/>
      <c r="U849" s="3"/>
      <c r="V849" s="3"/>
      <c r="W849" s="3"/>
      <c r="X849" s="3"/>
      <c r="Y849" s="3"/>
      <c r="Z849" s="3"/>
    </row>
    <row r="850">
      <c r="A850" s="57"/>
      <c r="B850" s="57"/>
      <c r="C850" s="57"/>
      <c r="D850" s="3"/>
      <c r="E850" s="3"/>
      <c r="F850" s="3"/>
      <c r="G850" s="3"/>
      <c r="H850" s="3"/>
      <c r="I850" s="3"/>
      <c r="J850" s="3"/>
      <c r="K850" s="3"/>
      <c r="L850" s="3"/>
      <c r="M850" s="3"/>
      <c r="N850" s="3"/>
      <c r="O850" s="3"/>
      <c r="P850" s="3"/>
      <c r="Q850" s="3"/>
      <c r="R850" s="3"/>
      <c r="S850" s="3"/>
      <c r="T850" s="3"/>
      <c r="U850" s="3"/>
      <c r="V850" s="3"/>
      <c r="W850" s="3"/>
      <c r="X850" s="3"/>
      <c r="Y850" s="3"/>
      <c r="Z850" s="3"/>
    </row>
    <row r="851">
      <c r="A851" s="57"/>
      <c r="B851" s="57"/>
      <c r="C851" s="57"/>
      <c r="D851" s="3"/>
      <c r="E851" s="3"/>
      <c r="F851" s="3"/>
      <c r="G851" s="3"/>
      <c r="H851" s="3"/>
      <c r="I851" s="3"/>
      <c r="J851" s="3"/>
      <c r="K851" s="3"/>
      <c r="L851" s="3"/>
      <c r="M851" s="3"/>
      <c r="N851" s="3"/>
      <c r="O851" s="3"/>
      <c r="P851" s="3"/>
      <c r="Q851" s="3"/>
      <c r="R851" s="3"/>
      <c r="S851" s="3"/>
      <c r="T851" s="3"/>
      <c r="U851" s="3"/>
      <c r="V851" s="3"/>
      <c r="W851" s="3"/>
      <c r="X851" s="3"/>
      <c r="Y851" s="3"/>
      <c r="Z851" s="3"/>
    </row>
    <row r="852">
      <c r="A852" s="57"/>
      <c r="B852" s="57"/>
      <c r="C852" s="57"/>
      <c r="D852" s="3"/>
      <c r="E852" s="3"/>
      <c r="F852" s="3"/>
      <c r="G852" s="3"/>
      <c r="H852" s="3"/>
      <c r="I852" s="3"/>
      <c r="J852" s="3"/>
      <c r="K852" s="3"/>
      <c r="L852" s="3"/>
      <c r="M852" s="3"/>
      <c r="N852" s="3"/>
      <c r="O852" s="3"/>
      <c r="P852" s="3"/>
      <c r="Q852" s="3"/>
      <c r="R852" s="3"/>
      <c r="S852" s="3"/>
      <c r="T852" s="3"/>
      <c r="U852" s="3"/>
      <c r="V852" s="3"/>
      <c r="W852" s="3"/>
      <c r="X852" s="3"/>
      <c r="Y852" s="3"/>
      <c r="Z852" s="3"/>
    </row>
    <row r="853">
      <c r="A853" s="57"/>
      <c r="B853" s="57"/>
      <c r="C853" s="57"/>
      <c r="D853" s="3"/>
      <c r="E853" s="3"/>
      <c r="F853" s="3"/>
      <c r="G853" s="3"/>
      <c r="H853" s="3"/>
      <c r="I853" s="3"/>
      <c r="J853" s="3"/>
      <c r="K853" s="3"/>
      <c r="L853" s="3"/>
      <c r="M853" s="3"/>
      <c r="N853" s="3"/>
      <c r="O853" s="3"/>
      <c r="P853" s="3"/>
      <c r="Q853" s="3"/>
      <c r="R853" s="3"/>
      <c r="S853" s="3"/>
      <c r="T853" s="3"/>
      <c r="U853" s="3"/>
      <c r="V853" s="3"/>
      <c r="W853" s="3"/>
      <c r="X853" s="3"/>
      <c r="Y853" s="3"/>
      <c r="Z853" s="3"/>
    </row>
    <row r="854">
      <c r="A854" s="57"/>
      <c r="B854" s="57"/>
      <c r="C854" s="57"/>
      <c r="D854" s="3"/>
      <c r="E854" s="3"/>
      <c r="F854" s="3"/>
      <c r="G854" s="3"/>
      <c r="H854" s="3"/>
      <c r="I854" s="3"/>
      <c r="J854" s="3"/>
      <c r="K854" s="3"/>
      <c r="L854" s="3"/>
      <c r="M854" s="3"/>
      <c r="N854" s="3"/>
      <c r="O854" s="3"/>
      <c r="P854" s="3"/>
      <c r="Q854" s="3"/>
      <c r="R854" s="3"/>
      <c r="S854" s="3"/>
      <c r="T854" s="3"/>
      <c r="U854" s="3"/>
      <c r="V854" s="3"/>
      <c r="W854" s="3"/>
      <c r="X854" s="3"/>
      <c r="Y854" s="3"/>
      <c r="Z854" s="3"/>
    </row>
    <row r="855">
      <c r="A855" s="57"/>
      <c r="B855" s="57"/>
      <c r="C855" s="57"/>
      <c r="D855" s="3"/>
      <c r="E855" s="3"/>
      <c r="F855" s="3"/>
      <c r="G855" s="3"/>
      <c r="H855" s="3"/>
      <c r="I855" s="3"/>
      <c r="J855" s="3"/>
      <c r="K855" s="3"/>
      <c r="L855" s="3"/>
      <c r="M855" s="3"/>
      <c r="N855" s="3"/>
      <c r="O855" s="3"/>
      <c r="P855" s="3"/>
      <c r="Q855" s="3"/>
      <c r="R855" s="3"/>
      <c r="S855" s="3"/>
      <c r="T855" s="3"/>
      <c r="U855" s="3"/>
      <c r="V855" s="3"/>
      <c r="W855" s="3"/>
      <c r="X855" s="3"/>
      <c r="Y855" s="3"/>
      <c r="Z855" s="3"/>
    </row>
    <row r="856">
      <c r="A856" s="57"/>
      <c r="B856" s="57"/>
      <c r="C856" s="57"/>
      <c r="D856" s="3"/>
      <c r="E856" s="3"/>
      <c r="F856" s="3"/>
      <c r="G856" s="3"/>
      <c r="H856" s="3"/>
      <c r="I856" s="3"/>
      <c r="J856" s="3"/>
      <c r="K856" s="3"/>
      <c r="L856" s="3"/>
      <c r="M856" s="3"/>
      <c r="N856" s="3"/>
      <c r="O856" s="3"/>
      <c r="P856" s="3"/>
      <c r="Q856" s="3"/>
      <c r="R856" s="3"/>
      <c r="S856" s="3"/>
      <c r="T856" s="3"/>
      <c r="U856" s="3"/>
      <c r="V856" s="3"/>
      <c r="W856" s="3"/>
      <c r="X856" s="3"/>
      <c r="Y856" s="3"/>
      <c r="Z856" s="3"/>
    </row>
    <row r="857">
      <c r="A857" s="57"/>
      <c r="B857" s="57"/>
      <c r="C857" s="57"/>
      <c r="D857" s="3"/>
      <c r="E857" s="3"/>
      <c r="F857" s="3"/>
      <c r="G857" s="3"/>
      <c r="H857" s="3"/>
      <c r="I857" s="3"/>
      <c r="J857" s="3"/>
      <c r="K857" s="3"/>
      <c r="L857" s="3"/>
      <c r="M857" s="3"/>
      <c r="N857" s="3"/>
      <c r="O857" s="3"/>
      <c r="P857" s="3"/>
      <c r="Q857" s="3"/>
      <c r="R857" s="3"/>
      <c r="S857" s="3"/>
      <c r="T857" s="3"/>
      <c r="U857" s="3"/>
      <c r="V857" s="3"/>
      <c r="W857" s="3"/>
      <c r="X857" s="3"/>
      <c r="Y857" s="3"/>
      <c r="Z857" s="3"/>
    </row>
    <row r="858">
      <c r="A858" s="57"/>
      <c r="B858" s="57"/>
      <c r="C858" s="57"/>
      <c r="D858" s="3"/>
      <c r="E858" s="3"/>
      <c r="F858" s="3"/>
      <c r="G858" s="3"/>
      <c r="H858" s="3"/>
      <c r="I858" s="3"/>
      <c r="J858" s="3"/>
      <c r="K858" s="3"/>
      <c r="L858" s="3"/>
      <c r="M858" s="3"/>
      <c r="N858" s="3"/>
      <c r="O858" s="3"/>
      <c r="P858" s="3"/>
      <c r="Q858" s="3"/>
      <c r="R858" s="3"/>
      <c r="S858" s="3"/>
      <c r="T858" s="3"/>
      <c r="U858" s="3"/>
      <c r="V858" s="3"/>
      <c r="W858" s="3"/>
      <c r="X858" s="3"/>
      <c r="Y858" s="3"/>
      <c r="Z858" s="3"/>
    </row>
    <row r="859">
      <c r="A859" s="57"/>
      <c r="B859" s="57"/>
      <c r="C859" s="57"/>
      <c r="D859" s="3"/>
      <c r="E859" s="3"/>
      <c r="F859" s="3"/>
      <c r="G859" s="3"/>
      <c r="H859" s="3"/>
      <c r="I859" s="3"/>
      <c r="J859" s="3"/>
      <c r="K859" s="3"/>
      <c r="L859" s="3"/>
      <c r="M859" s="3"/>
      <c r="N859" s="3"/>
      <c r="O859" s="3"/>
      <c r="P859" s="3"/>
      <c r="Q859" s="3"/>
      <c r="R859" s="3"/>
      <c r="S859" s="3"/>
      <c r="T859" s="3"/>
      <c r="U859" s="3"/>
      <c r="V859" s="3"/>
      <c r="W859" s="3"/>
      <c r="X859" s="3"/>
      <c r="Y859" s="3"/>
      <c r="Z859" s="3"/>
    </row>
    <row r="860">
      <c r="A860" s="57"/>
      <c r="B860" s="57"/>
      <c r="C860" s="57"/>
      <c r="D860" s="3"/>
      <c r="E860" s="3"/>
      <c r="F860" s="3"/>
      <c r="G860" s="3"/>
      <c r="H860" s="3"/>
      <c r="I860" s="3"/>
      <c r="J860" s="3"/>
      <c r="K860" s="3"/>
      <c r="L860" s="3"/>
      <c r="M860" s="3"/>
      <c r="N860" s="3"/>
      <c r="O860" s="3"/>
      <c r="P860" s="3"/>
      <c r="Q860" s="3"/>
      <c r="R860" s="3"/>
      <c r="S860" s="3"/>
      <c r="T860" s="3"/>
      <c r="U860" s="3"/>
      <c r="V860" s="3"/>
      <c r="W860" s="3"/>
      <c r="X860" s="3"/>
      <c r="Y860" s="3"/>
      <c r="Z860" s="3"/>
    </row>
    <row r="861">
      <c r="A861" s="57"/>
      <c r="B861" s="57"/>
      <c r="C861" s="57"/>
      <c r="D861" s="3"/>
      <c r="E861" s="3"/>
      <c r="F861" s="3"/>
      <c r="G861" s="3"/>
      <c r="H861" s="3"/>
      <c r="I861" s="3"/>
      <c r="J861" s="3"/>
      <c r="K861" s="3"/>
      <c r="L861" s="3"/>
      <c r="M861" s="3"/>
      <c r="N861" s="3"/>
      <c r="O861" s="3"/>
      <c r="P861" s="3"/>
      <c r="Q861" s="3"/>
      <c r="R861" s="3"/>
      <c r="S861" s="3"/>
      <c r="T861" s="3"/>
      <c r="U861" s="3"/>
      <c r="V861" s="3"/>
      <c r="W861" s="3"/>
      <c r="X861" s="3"/>
      <c r="Y861" s="3"/>
      <c r="Z861" s="3"/>
    </row>
    <row r="862">
      <c r="A862" s="57"/>
      <c r="B862" s="57"/>
      <c r="C862" s="57"/>
      <c r="D862" s="3"/>
      <c r="E862" s="3"/>
      <c r="F862" s="3"/>
      <c r="G862" s="3"/>
      <c r="H862" s="3"/>
      <c r="I862" s="3"/>
      <c r="J862" s="3"/>
      <c r="K862" s="3"/>
      <c r="L862" s="3"/>
      <c r="M862" s="3"/>
      <c r="N862" s="3"/>
      <c r="O862" s="3"/>
      <c r="P862" s="3"/>
      <c r="Q862" s="3"/>
      <c r="R862" s="3"/>
      <c r="S862" s="3"/>
      <c r="T862" s="3"/>
      <c r="U862" s="3"/>
      <c r="V862" s="3"/>
      <c r="W862" s="3"/>
      <c r="X862" s="3"/>
      <c r="Y862" s="3"/>
      <c r="Z862" s="3"/>
    </row>
    <row r="863">
      <c r="A863" s="57"/>
      <c r="B863" s="57"/>
      <c r="C863" s="57"/>
      <c r="D863" s="3"/>
      <c r="E863" s="3"/>
      <c r="F863" s="3"/>
      <c r="G863" s="3"/>
      <c r="H863" s="3"/>
      <c r="I863" s="3"/>
      <c r="J863" s="3"/>
      <c r="K863" s="3"/>
      <c r="L863" s="3"/>
      <c r="M863" s="3"/>
      <c r="N863" s="3"/>
      <c r="O863" s="3"/>
      <c r="P863" s="3"/>
      <c r="Q863" s="3"/>
      <c r="R863" s="3"/>
      <c r="S863" s="3"/>
      <c r="T863" s="3"/>
      <c r="U863" s="3"/>
      <c r="V863" s="3"/>
      <c r="W863" s="3"/>
      <c r="X863" s="3"/>
      <c r="Y863" s="3"/>
      <c r="Z863" s="3"/>
    </row>
    <row r="864">
      <c r="A864" s="57"/>
      <c r="B864" s="57"/>
      <c r="C864" s="57"/>
      <c r="D864" s="3"/>
      <c r="E864" s="3"/>
      <c r="F864" s="3"/>
      <c r="G864" s="3"/>
      <c r="H864" s="3"/>
      <c r="I864" s="3"/>
      <c r="J864" s="3"/>
      <c r="K864" s="3"/>
      <c r="L864" s="3"/>
      <c r="M864" s="3"/>
      <c r="N864" s="3"/>
      <c r="O864" s="3"/>
      <c r="P864" s="3"/>
      <c r="Q864" s="3"/>
      <c r="R864" s="3"/>
      <c r="S864" s="3"/>
      <c r="T864" s="3"/>
      <c r="U864" s="3"/>
      <c r="V864" s="3"/>
      <c r="W864" s="3"/>
      <c r="X864" s="3"/>
      <c r="Y864" s="3"/>
      <c r="Z864" s="3"/>
    </row>
    <row r="865">
      <c r="A865" s="57"/>
      <c r="B865" s="57"/>
      <c r="C865" s="57"/>
      <c r="D865" s="3"/>
      <c r="E865" s="3"/>
      <c r="F865" s="3"/>
      <c r="G865" s="3"/>
      <c r="H865" s="3"/>
      <c r="I865" s="3"/>
      <c r="J865" s="3"/>
      <c r="K865" s="3"/>
      <c r="L865" s="3"/>
      <c r="M865" s="3"/>
      <c r="N865" s="3"/>
      <c r="O865" s="3"/>
      <c r="P865" s="3"/>
      <c r="Q865" s="3"/>
      <c r="R865" s="3"/>
      <c r="S865" s="3"/>
      <c r="T865" s="3"/>
      <c r="U865" s="3"/>
      <c r="V865" s="3"/>
      <c r="W865" s="3"/>
      <c r="X865" s="3"/>
      <c r="Y865" s="3"/>
      <c r="Z865" s="3"/>
    </row>
    <row r="866">
      <c r="A866" s="57"/>
      <c r="B866" s="57"/>
      <c r="C866" s="57"/>
      <c r="D866" s="3"/>
      <c r="E866" s="3"/>
      <c r="F866" s="3"/>
      <c r="G866" s="3"/>
      <c r="H866" s="3"/>
      <c r="I866" s="3"/>
      <c r="J866" s="3"/>
      <c r="K866" s="3"/>
      <c r="L866" s="3"/>
      <c r="M866" s="3"/>
      <c r="N866" s="3"/>
      <c r="O866" s="3"/>
      <c r="P866" s="3"/>
      <c r="Q866" s="3"/>
      <c r="R866" s="3"/>
      <c r="S866" s="3"/>
      <c r="T866" s="3"/>
      <c r="U866" s="3"/>
      <c r="V866" s="3"/>
      <c r="W866" s="3"/>
      <c r="X866" s="3"/>
      <c r="Y866" s="3"/>
      <c r="Z866" s="3"/>
    </row>
    <row r="867">
      <c r="A867" s="57"/>
      <c r="B867" s="57"/>
      <c r="C867" s="57"/>
      <c r="D867" s="3"/>
      <c r="E867" s="3"/>
      <c r="F867" s="3"/>
      <c r="G867" s="3"/>
      <c r="H867" s="3"/>
      <c r="I867" s="3"/>
      <c r="J867" s="3"/>
      <c r="K867" s="3"/>
      <c r="L867" s="3"/>
      <c r="M867" s="3"/>
      <c r="N867" s="3"/>
      <c r="O867" s="3"/>
      <c r="P867" s="3"/>
      <c r="Q867" s="3"/>
      <c r="R867" s="3"/>
      <c r="S867" s="3"/>
      <c r="T867" s="3"/>
      <c r="U867" s="3"/>
      <c r="V867" s="3"/>
      <c r="W867" s="3"/>
      <c r="X867" s="3"/>
      <c r="Y867" s="3"/>
      <c r="Z867" s="3"/>
    </row>
    <row r="868">
      <c r="A868" s="57"/>
      <c r="B868" s="57"/>
      <c r="C868" s="57"/>
      <c r="D868" s="3"/>
      <c r="E868" s="3"/>
      <c r="F868" s="3"/>
      <c r="G868" s="3"/>
      <c r="H868" s="3"/>
      <c r="I868" s="3"/>
      <c r="J868" s="3"/>
      <c r="K868" s="3"/>
      <c r="L868" s="3"/>
      <c r="M868" s="3"/>
      <c r="N868" s="3"/>
      <c r="O868" s="3"/>
      <c r="P868" s="3"/>
      <c r="Q868" s="3"/>
      <c r="R868" s="3"/>
      <c r="S868" s="3"/>
      <c r="T868" s="3"/>
      <c r="U868" s="3"/>
      <c r="V868" s="3"/>
      <c r="W868" s="3"/>
      <c r="X868" s="3"/>
      <c r="Y868" s="3"/>
      <c r="Z868" s="3"/>
    </row>
    <row r="869">
      <c r="A869" s="57"/>
      <c r="B869" s="57"/>
      <c r="C869" s="57"/>
      <c r="D869" s="3"/>
      <c r="E869" s="3"/>
      <c r="F869" s="3"/>
      <c r="G869" s="3"/>
      <c r="H869" s="3"/>
      <c r="I869" s="3"/>
      <c r="J869" s="3"/>
      <c r="K869" s="3"/>
      <c r="L869" s="3"/>
      <c r="M869" s="3"/>
      <c r="N869" s="3"/>
      <c r="O869" s="3"/>
      <c r="P869" s="3"/>
      <c r="Q869" s="3"/>
      <c r="R869" s="3"/>
      <c r="S869" s="3"/>
      <c r="T869" s="3"/>
      <c r="U869" s="3"/>
      <c r="V869" s="3"/>
      <c r="W869" s="3"/>
      <c r="X869" s="3"/>
      <c r="Y869" s="3"/>
      <c r="Z869" s="3"/>
    </row>
    <row r="870">
      <c r="A870" s="57"/>
      <c r="B870" s="57"/>
      <c r="C870" s="57"/>
      <c r="D870" s="3"/>
      <c r="E870" s="3"/>
      <c r="F870" s="3"/>
      <c r="G870" s="3"/>
      <c r="H870" s="3"/>
      <c r="I870" s="3"/>
      <c r="J870" s="3"/>
      <c r="K870" s="3"/>
      <c r="L870" s="3"/>
      <c r="M870" s="3"/>
      <c r="N870" s="3"/>
      <c r="O870" s="3"/>
      <c r="P870" s="3"/>
      <c r="Q870" s="3"/>
      <c r="R870" s="3"/>
      <c r="S870" s="3"/>
      <c r="T870" s="3"/>
      <c r="U870" s="3"/>
      <c r="V870" s="3"/>
      <c r="W870" s="3"/>
      <c r="X870" s="3"/>
      <c r="Y870" s="3"/>
      <c r="Z870" s="3"/>
    </row>
    <row r="871">
      <c r="A871" s="57"/>
      <c r="B871" s="57"/>
      <c r="C871" s="57"/>
      <c r="D871" s="3"/>
      <c r="E871" s="3"/>
      <c r="F871" s="3"/>
      <c r="G871" s="3"/>
      <c r="H871" s="3"/>
      <c r="I871" s="3"/>
      <c r="J871" s="3"/>
      <c r="K871" s="3"/>
      <c r="L871" s="3"/>
      <c r="M871" s="3"/>
      <c r="N871" s="3"/>
      <c r="O871" s="3"/>
      <c r="P871" s="3"/>
      <c r="Q871" s="3"/>
      <c r="R871" s="3"/>
      <c r="S871" s="3"/>
      <c r="T871" s="3"/>
      <c r="U871" s="3"/>
      <c r="V871" s="3"/>
      <c r="W871" s="3"/>
      <c r="X871" s="3"/>
      <c r="Y871" s="3"/>
      <c r="Z871" s="3"/>
    </row>
    <row r="872">
      <c r="A872" s="57"/>
      <c r="B872" s="57"/>
      <c r="C872" s="57"/>
      <c r="D872" s="3"/>
      <c r="E872" s="3"/>
      <c r="F872" s="3"/>
      <c r="G872" s="3"/>
      <c r="H872" s="3"/>
      <c r="I872" s="3"/>
      <c r="J872" s="3"/>
      <c r="K872" s="3"/>
      <c r="L872" s="3"/>
      <c r="M872" s="3"/>
      <c r="N872" s="3"/>
      <c r="O872" s="3"/>
      <c r="P872" s="3"/>
      <c r="Q872" s="3"/>
      <c r="R872" s="3"/>
      <c r="S872" s="3"/>
      <c r="T872" s="3"/>
      <c r="U872" s="3"/>
      <c r="V872" s="3"/>
      <c r="W872" s="3"/>
      <c r="X872" s="3"/>
      <c r="Y872" s="3"/>
      <c r="Z872" s="3"/>
    </row>
    <row r="873">
      <c r="A873" s="57"/>
      <c r="B873" s="57"/>
      <c r="C873" s="57"/>
      <c r="D873" s="3"/>
      <c r="E873" s="3"/>
      <c r="F873" s="3"/>
      <c r="G873" s="3"/>
      <c r="H873" s="3"/>
      <c r="I873" s="3"/>
      <c r="J873" s="3"/>
      <c r="K873" s="3"/>
      <c r="L873" s="3"/>
      <c r="M873" s="3"/>
      <c r="N873" s="3"/>
      <c r="O873" s="3"/>
      <c r="P873" s="3"/>
      <c r="Q873" s="3"/>
      <c r="R873" s="3"/>
      <c r="S873" s="3"/>
      <c r="T873" s="3"/>
      <c r="U873" s="3"/>
      <c r="V873" s="3"/>
      <c r="W873" s="3"/>
      <c r="X873" s="3"/>
      <c r="Y873" s="3"/>
      <c r="Z873" s="3"/>
    </row>
    <row r="874">
      <c r="A874" s="57"/>
      <c r="B874" s="57"/>
      <c r="C874" s="57"/>
      <c r="D874" s="3"/>
      <c r="E874" s="3"/>
      <c r="F874" s="3"/>
      <c r="G874" s="3"/>
      <c r="H874" s="3"/>
      <c r="I874" s="3"/>
      <c r="J874" s="3"/>
      <c r="K874" s="3"/>
      <c r="L874" s="3"/>
      <c r="M874" s="3"/>
      <c r="N874" s="3"/>
      <c r="O874" s="3"/>
      <c r="P874" s="3"/>
      <c r="Q874" s="3"/>
      <c r="R874" s="3"/>
      <c r="S874" s="3"/>
      <c r="T874" s="3"/>
      <c r="U874" s="3"/>
      <c r="V874" s="3"/>
      <c r="W874" s="3"/>
      <c r="X874" s="3"/>
      <c r="Y874" s="3"/>
      <c r="Z874" s="3"/>
    </row>
    <row r="875">
      <c r="A875" s="57"/>
      <c r="B875" s="57"/>
      <c r="C875" s="57"/>
      <c r="D875" s="3"/>
      <c r="E875" s="3"/>
      <c r="F875" s="3"/>
      <c r="G875" s="3"/>
      <c r="H875" s="3"/>
      <c r="I875" s="3"/>
      <c r="J875" s="3"/>
      <c r="K875" s="3"/>
      <c r="L875" s="3"/>
      <c r="M875" s="3"/>
      <c r="N875" s="3"/>
      <c r="O875" s="3"/>
      <c r="P875" s="3"/>
      <c r="Q875" s="3"/>
      <c r="R875" s="3"/>
      <c r="S875" s="3"/>
      <c r="T875" s="3"/>
      <c r="U875" s="3"/>
      <c r="V875" s="3"/>
      <c r="W875" s="3"/>
      <c r="X875" s="3"/>
      <c r="Y875" s="3"/>
      <c r="Z875" s="3"/>
    </row>
    <row r="876">
      <c r="A876" s="57"/>
      <c r="B876" s="57"/>
      <c r="C876" s="57"/>
      <c r="D876" s="3"/>
      <c r="E876" s="3"/>
      <c r="F876" s="3"/>
      <c r="G876" s="3"/>
      <c r="H876" s="3"/>
      <c r="I876" s="3"/>
      <c r="J876" s="3"/>
      <c r="K876" s="3"/>
      <c r="L876" s="3"/>
      <c r="M876" s="3"/>
      <c r="N876" s="3"/>
      <c r="O876" s="3"/>
      <c r="P876" s="3"/>
      <c r="Q876" s="3"/>
      <c r="R876" s="3"/>
      <c r="S876" s="3"/>
      <c r="T876" s="3"/>
      <c r="U876" s="3"/>
      <c r="V876" s="3"/>
      <c r="W876" s="3"/>
      <c r="X876" s="3"/>
      <c r="Y876" s="3"/>
      <c r="Z876" s="3"/>
    </row>
    <row r="877">
      <c r="A877" s="57"/>
      <c r="B877" s="57"/>
      <c r="C877" s="57"/>
      <c r="D877" s="3"/>
      <c r="E877" s="3"/>
      <c r="F877" s="3"/>
      <c r="G877" s="3"/>
      <c r="H877" s="3"/>
      <c r="I877" s="3"/>
      <c r="J877" s="3"/>
      <c r="K877" s="3"/>
      <c r="L877" s="3"/>
      <c r="M877" s="3"/>
      <c r="N877" s="3"/>
      <c r="O877" s="3"/>
      <c r="P877" s="3"/>
      <c r="Q877" s="3"/>
      <c r="R877" s="3"/>
      <c r="S877" s="3"/>
      <c r="T877" s="3"/>
      <c r="U877" s="3"/>
      <c r="V877" s="3"/>
      <c r="W877" s="3"/>
      <c r="X877" s="3"/>
      <c r="Y877" s="3"/>
      <c r="Z877" s="3"/>
    </row>
    <row r="878">
      <c r="A878" s="57"/>
      <c r="B878" s="57"/>
      <c r="C878" s="57"/>
      <c r="D878" s="3"/>
      <c r="E878" s="3"/>
      <c r="F878" s="3"/>
      <c r="G878" s="3"/>
      <c r="H878" s="3"/>
      <c r="I878" s="3"/>
      <c r="J878" s="3"/>
      <c r="K878" s="3"/>
      <c r="L878" s="3"/>
      <c r="M878" s="3"/>
      <c r="N878" s="3"/>
      <c r="O878" s="3"/>
      <c r="P878" s="3"/>
      <c r="Q878" s="3"/>
      <c r="R878" s="3"/>
      <c r="S878" s="3"/>
      <c r="T878" s="3"/>
      <c r="U878" s="3"/>
      <c r="V878" s="3"/>
      <c r="W878" s="3"/>
      <c r="X878" s="3"/>
      <c r="Y878" s="3"/>
      <c r="Z878" s="3"/>
    </row>
    <row r="879">
      <c r="A879" s="57"/>
      <c r="B879" s="57"/>
      <c r="C879" s="57"/>
      <c r="D879" s="3"/>
      <c r="E879" s="3"/>
      <c r="F879" s="3"/>
      <c r="G879" s="3"/>
      <c r="H879" s="3"/>
      <c r="I879" s="3"/>
      <c r="J879" s="3"/>
      <c r="K879" s="3"/>
      <c r="L879" s="3"/>
      <c r="M879" s="3"/>
      <c r="N879" s="3"/>
      <c r="O879" s="3"/>
      <c r="P879" s="3"/>
      <c r="Q879" s="3"/>
      <c r="R879" s="3"/>
      <c r="S879" s="3"/>
      <c r="T879" s="3"/>
      <c r="U879" s="3"/>
      <c r="V879" s="3"/>
      <c r="W879" s="3"/>
      <c r="X879" s="3"/>
      <c r="Y879" s="3"/>
      <c r="Z879" s="3"/>
    </row>
    <row r="880">
      <c r="A880" s="57"/>
      <c r="B880" s="57"/>
      <c r="C880" s="57"/>
      <c r="D880" s="3"/>
      <c r="E880" s="3"/>
      <c r="F880" s="3"/>
      <c r="G880" s="3"/>
      <c r="H880" s="3"/>
      <c r="I880" s="3"/>
      <c r="J880" s="3"/>
      <c r="K880" s="3"/>
      <c r="L880" s="3"/>
      <c r="M880" s="3"/>
      <c r="N880" s="3"/>
      <c r="O880" s="3"/>
      <c r="P880" s="3"/>
      <c r="Q880" s="3"/>
      <c r="R880" s="3"/>
      <c r="S880" s="3"/>
      <c r="T880" s="3"/>
      <c r="U880" s="3"/>
      <c r="V880" s="3"/>
      <c r="W880" s="3"/>
      <c r="X880" s="3"/>
      <c r="Y880" s="3"/>
      <c r="Z880" s="3"/>
    </row>
    <row r="881">
      <c r="A881" s="57"/>
      <c r="B881" s="57"/>
      <c r="C881" s="57"/>
      <c r="D881" s="3"/>
      <c r="E881" s="3"/>
      <c r="F881" s="3"/>
      <c r="G881" s="3"/>
      <c r="H881" s="3"/>
      <c r="I881" s="3"/>
      <c r="J881" s="3"/>
      <c r="K881" s="3"/>
      <c r="L881" s="3"/>
      <c r="M881" s="3"/>
      <c r="N881" s="3"/>
      <c r="O881" s="3"/>
      <c r="P881" s="3"/>
      <c r="Q881" s="3"/>
      <c r="R881" s="3"/>
      <c r="S881" s="3"/>
      <c r="T881" s="3"/>
      <c r="U881" s="3"/>
      <c r="V881" s="3"/>
      <c r="W881" s="3"/>
      <c r="X881" s="3"/>
      <c r="Y881" s="3"/>
      <c r="Z881" s="3"/>
    </row>
    <row r="882">
      <c r="A882" s="57"/>
      <c r="B882" s="57"/>
      <c r="C882" s="57"/>
      <c r="D882" s="3"/>
      <c r="E882" s="3"/>
      <c r="F882" s="3"/>
      <c r="G882" s="3"/>
      <c r="H882" s="3"/>
      <c r="I882" s="3"/>
      <c r="J882" s="3"/>
      <c r="K882" s="3"/>
      <c r="L882" s="3"/>
      <c r="M882" s="3"/>
      <c r="N882" s="3"/>
      <c r="O882" s="3"/>
      <c r="P882" s="3"/>
      <c r="Q882" s="3"/>
      <c r="R882" s="3"/>
      <c r="S882" s="3"/>
      <c r="T882" s="3"/>
      <c r="U882" s="3"/>
      <c r="V882" s="3"/>
      <c r="W882" s="3"/>
      <c r="X882" s="3"/>
      <c r="Y882" s="3"/>
      <c r="Z882" s="3"/>
    </row>
    <row r="883">
      <c r="A883" s="57"/>
      <c r="B883" s="57"/>
      <c r="C883" s="57"/>
      <c r="D883" s="3"/>
      <c r="E883" s="3"/>
      <c r="F883" s="3"/>
      <c r="G883" s="3"/>
      <c r="H883" s="3"/>
      <c r="I883" s="3"/>
      <c r="J883" s="3"/>
      <c r="K883" s="3"/>
      <c r="L883" s="3"/>
      <c r="M883" s="3"/>
      <c r="N883" s="3"/>
      <c r="O883" s="3"/>
      <c r="P883" s="3"/>
      <c r="Q883" s="3"/>
      <c r="R883" s="3"/>
      <c r="S883" s="3"/>
      <c r="T883" s="3"/>
      <c r="U883" s="3"/>
      <c r="V883" s="3"/>
      <c r="W883" s="3"/>
      <c r="X883" s="3"/>
      <c r="Y883" s="3"/>
      <c r="Z883" s="3"/>
    </row>
    <row r="884">
      <c r="A884" s="57"/>
      <c r="B884" s="57"/>
      <c r="C884" s="57"/>
      <c r="D884" s="3"/>
      <c r="E884" s="3"/>
      <c r="F884" s="3"/>
      <c r="G884" s="3"/>
      <c r="H884" s="3"/>
      <c r="I884" s="3"/>
      <c r="J884" s="3"/>
      <c r="K884" s="3"/>
      <c r="L884" s="3"/>
      <c r="M884" s="3"/>
      <c r="N884" s="3"/>
      <c r="O884" s="3"/>
      <c r="P884" s="3"/>
      <c r="Q884" s="3"/>
      <c r="R884" s="3"/>
      <c r="S884" s="3"/>
      <c r="T884" s="3"/>
      <c r="U884" s="3"/>
      <c r="V884" s="3"/>
      <c r="W884" s="3"/>
      <c r="X884" s="3"/>
      <c r="Y884" s="3"/>
      <c r="Z884" s="3"/>
    </row>
    <row r="885">
      <c r="A885" s="57"/>
      <c r="B885" s="57"/>
      <c r="C885" s="57"/>
      <c r="D885" s="3"/>
      <c r="E885" s="3"/>
      <c r="F885" s="3"/>
      <c r="G885" s="3"/>
      <c r="H885" s="3"/>
      <c r="I885" s="3"/>
      <c r="J885" s="3"/>
      <c r="K885" s="3"/>
      <c r="L885" s="3"/>
      <c r="M885" s="3"/>
      <c r="N885" s="3"/>
      <c r="O885" s="3"/>
      <c r="P885" s="3"/>
      <c r="Q885" s="3"/>
      <c r="R885" s="3"/>
      <c r="S885" s="3"/>
      <c r="T885" s="3"/>
      <c r="U885" s="3"/>
      <c r="V885" s="3"/>
      <c r="W885" s="3"/>
      <c r="X885" s="3"/>
      <c r="Y885" s="3"/>
      <c r="Z885" s="3"/>
    </row>
    <row r="886">
      <c r="A886" s="57"/>
      <c r="B886" s="57"/>
      <c r="C886" s="57"/>
      <c r="D886" s="3"/>
      <c r="E886" s="3"/>
      <c r="F886" s="3"/>
      <c r="G886" s="3"/>
      <c r="H886" s="3"/>
      <c r="I886" s="3"/>
      <c r="J886" s="3"/>
      <c r="K886" s="3"/>
      <c r="L886" s="3"/>
      <c r="M886" s="3"/>
      <c r="N886" s="3"/>
      <c r="O886" s="3"/>
      <c r="P886" s="3"/>
      <c r="Q886" s="3"/>
      <c r="R886" s="3"/>
      <c r="S886" s="3"/>
      <c r="T886" s="3"/>
      <c r="U886" s="3"/>
      <c r="V886" s="3"/>
      <c r="W886" s="3"/>
      <c r="X886" s="3"/>
      <c r="Y886" s="3"/>
      <c r="Z886" s="3"/>
    </row>
    <row r="887">
      <c r="A887" s="57"/>
      <c r="B887" s="57"/>
      <c r="C887" s="57"/>
      <c r="D887" s="3"/>
      <c r="E887" s="3"/>
      <c r="F887" s="3"/>
      <c r="G887" s="3"/>
      <c r="H887" s="3"/>
      <c r="I887" s="3"/>
      <c r="J887" s="3"/>
      <c r="K887" s="3"/>
      <c r="L887" s="3"/>
      <c r="M887" s="3"/>
      <c r="N887" s="3"/>
      <c r="O887" s="3"/>
      <c r="P887" s="3"/>
      <c r="Q887" s="3"/>
      <c r="R887" s="3"/>
      <c r="S887" s="3"/>
      <c r="T887" s="3"/>
      <c r="U887" s="3"/>
      <c r="V887" s="3"/>
      <c r="W887" s="3"/>
      <c r="X887" s="3"/>
      <c r="Y887" s="3"/>
      <c r="Z887" s="3"/>
    </row>
    <row r="888">
      <c r="A888" s="57"/>
      <c r="B888" s="57"/>
      <c r="C888" s="57"/>
      <c r="D888" s="3"/>
      <c r="E888" s="3"/>
      <c r="F888" s="3"/>
      <c r="G888" s="3"/>
      <c r="H888" s="3"/>
      <c r="I888" s="3"/>
      <c r="J888" s="3"/>
      <c r="K888" s="3"/>
      <c r="L888" s="3"/>
      <c r="M888" s="3"/>
      <c r="N888" s="3"/>
      <c r="O888" s="3"/>
      <c r="P888" s="3"/>
      <c r="Q888" s="3"/>
      <c r="R888" s="3"/>
      <c r="S888" s="3"/>
      <c r="T888" s="3"/>
      <c r="U888" s="3"/>
      <c r="V888" s="3"/>
      <c r="W888" s="3"/>
      <c r="X888" s="3"/>
      <c r="Y888" s="3"/>
      <c r="Z888" s="3"/>
    </row>
    <row r="889">
      <c r="A889" s="57"/>
      <c r="B889" s="57"/>
      <c r="C889" s="57"/>
      <c r="D889" s="3"/>
      <c r="E889" s="3"/>
      <c r="F889" s="3"/>
      <c r="G889" s="3"/>
      <c r="H889" s="3"/>
      <c r="I889" s="3"/>
      <c r="J889" s="3"/>
      <c r="K889" s="3"/>
      <c r="L889" s="3"/>
      <c r="M889" s="3"/>
      <c r="N889" s="3"/>
      <c r="O889" s="3"/>
      <c r="P889" s="3"/>
      <c r="Q889" s="3"/>
      <c r="R889" s="3"/>
      <c r="S889" s="3"/>
      <c r="T889" s="3"/>
      <c r="U889" s="3"/>
      <c r="V889" s="3"/>
      <c r="W889" s="3"/>
      <c r="X889" s="3"/>
      <c r="Y889" s="3"/>
      <c r="Z889" s="3"/>
    </row>
    <row r="890">
      <c r="A890" s="57"/>
      <c r="B890" s="57"/>
      <c r="C890" s="57"/>
      <c r="D890" s="3"/>
      <c r="E890" s="3"/>
      <c r="F890" s="3"/>
      <c r="G890" s="3"/>
      <c r="H890" s="3"/>
      <c r="I890" s="3"/>
      <c r="J890" s="3"/>
      <c r="K890" s="3"/>
      <c r="L890" s="3"/>
      <c r="M890" s="3"/>
      <c r="N890" s="3"/>
      <c r="O890" s="3"/>
      <c r="P890" s="3"/>
      <c r="Q890" s="3"/>
      <c r="R890" s="3"/>
      <c r="S890" s="3"/>
      <c r="T890" s="3"/>
      <c r="U890" s="3"/>
      <c r="V890" s="3"/>
      <c r="W890" s="3"/>
      <c r="X890" s="3"/>
      <c r="Y890" s="3"/>
      <c r="Z890" s="3"/>
    </row>
    <row r="891">
      <c r="A891" s="57"/>
      <c r="B891" s="57"/>
      <c r="C891" s="57"/>
      <c r="D891" s="3"/>
      <c r="E891" s="3"/>
      <c r="F891" s="3"/>
      <c r="G891" s="3"/>
      <c r="H891" s="3"/>
      <c r="I891" s="3"/>
      <c r="J891" s="3"/>
      <c r="K891" s="3"/>
      <c r="L891" s="3"/>
      <c r="M891" s="3"/>
      <c r="N891" s="3"/>
      <c r="O891" s="3"/>
      <c r="P891" s="3"/>
      <c r="Q891" s="3"/>
      <c r="R891" s="3"/>
      <c r="S891" s="3"/>
      <c r="T891" s="3"/>
      <c r="U891" s="3"/>
      <c r="V891" s="3"/>
      <c r="W891" s="3"/>
      <c r="X891" s="3"/>
      <c r="Y891" s="3"/>
      <c r="Z891" s="3"/>
    </row>
    <row r="892">
      <c r="A892" s="57"/>
      <c r="B892" s="57"/>
      <c r="C892" s="57"/>
      <c r="D892" s="3"/>
      <c r="E892" s="3"/>
      <c r="F892" s="3"/>
      <c r="G892" s="3"/>
      <c r="H892" s="3"/>
      <c r="I892" s="3"/>
      <c r="J892" s="3"/>
      <c r="K892" s="3"/>
      <c r="L892" s="3"/>
      <c r="M892" s="3"/>
      <c r="N892" s="3"/>
      <c r="O892" s="3"/>
      <c r="P892" s="3"/>
      <c r="Q892" s="3"/>
      <c r="R892" s="3"/>
      <c r="S892" s="3"/>
      <c r="T892" s="3"/>
      <c r="U892" s="3"/>
      <c r="V892" s="3"/>
      <c r="W892" s="3"/>
      <c r="X892" s="3"/>
      <c r="Y892" s="3"/>
      <c r="Z892" s="3"/>
    </row>
    <row r="893">
      <c r="A893" s="57"/>
      <c r="B893" s="57"/>
      <c r="C893" s="57"/>
      <c r="D893" s="3"/>
      <c r="E893" s="3"/>
      <c r="F893" s="3"/>
      <c r="G893" s="3"/>
      <c r="H893" s="3"/>
      <c r="I893" s="3"/>
      <c r="J893" s="3"/>
      <c r="K893" s="3"/>
      <c r="L893" s="3"/>
      <c r="M893" s="3"/>
      <c r="N893" s="3"/>
      <c r="O893" s="3"/>
      <c r="P893" s="3"/>
      <c r="Q893" s="3"/>
      <c r="R893" s="3"/>
      <c r="S893" s="3"/>
      <c r="T893" s="3"/>
      <c r="U893" s="3"/>
      <c r="V893" s="3"/>
      <c r="W893" s="3"/>
      <c r="X893" s="3"/>
      <c r="Y893" s="3"/>
      <c r="Z893" s="3"/>
    </row>
    <row r="894">
      <c r="A894" s="57"/>
      <c r="B894" s="57"/>
      <c r="C894" s="57"/>
      <c r="D894" s="3"/>
      <c r="E894" s="3"/>
      <c r="F894" s="3"/>
      <c r="G894" s="3"/>
      <c r="H894" s="3"/>
      <c r="I894" s="3"/>
      <c r="J894" s="3"/>
      <c r="K894" s="3"/>
      <c r="L894" s="3"/>
      <c r="M894" s="3"/>
      <c r="N894" s="3"/>
      <c r="O894" s="3"/>
      <c r="P894" s="3"/>
      <c r="Q894" s="3"/>
      <c r="R894" s="3"/>
      <c r="S894" s="3"/>
      <c r="T894" s="3"/>
      <c r="U894" s="3"/>
      <c r="V894" s="3"/>
      <c r="W894" s="3"/>
      <c r="X894" s="3"/>
      <c r="Y894" s="3"/>
      <c r="Z894" s="3"/>
    </row>
    <row r="895">
      <c r="A895" s="57"/>
      <c r="B895" s="57"/>
      <c r="C895" s="57"/>
      <c r="D895" s="3"/>
      <c r="E895" s="3"/>
      <c r="F895" s="3"/>
      <c r="G895" s="3"/>
      <c r="H895" s="3"/>
      <c r="I895" s="3"/>
      <c r="J895" s="3"/>
      <c r="K895" s="3"/>
      <c r="L895" s="3"/>
      <c r="M895" s="3"/>
      <c r="N895" s="3"/>
      <c r="O895" s="3"/>
      <c r="P895" s="3"/>
      <c r="Q895" s="3"/>
      <c r="R895" s="3"/>
      <c r="S895" s="3"/>
      <c r="T895" s="3"/>
      <c r="U895" s="3"/>
      <c r="V895" s="3"/>
      <c r="W895" s="3"/>
      <c r="X895" s="3"/>
      <c r="Y895" s="3"/>
      <c r="Z895" s="3"/>
    </row>
    <row r="896">
      <c r="A896" s="57"/>
      <c r="B896" s="57"/>
      <c r="C896" s="57"/>
      <c r="D896" s="3"/>
      <c r="E896" s="3"/>
      <c r="F896" s="3"/>
      <c r="G896" s="3"/>
      <c r="H896" s="3"/>
      <c r="I896" s="3"/>
      <c r="J896" s="3"/>
      <c r="K896" s="3"/>
      <c r="L896" s="3"/>
      <c r="M896" s="3"/>
      <c r="N896" s="3"/>
      <c r="O896" s="3"/>
      <c r="P896" s="3"/>
      <c r="Q896" s="3"/>
      <c r="R896" s="3"/>
      <c r="S896" s="3"/>
      <c r="T896" s="3"/>
      <c r="U896" s="3"/>
      <c r="V896" s="3"/>
      <c r="W896" s="3"/>
      <c r="X896" s="3"/>
      <c r="Y896" s="3"/>
      <c r="Z896" s="3"/>
    </row>
    <row r="897">
      <c r="A897" s="57"/>
      <c r="B897" s="57"/>
      <c r="C897" s="57"/>
      <c r="D897" s="3"/>
      <c r="E897" s="3"/>
      <c r="F897" s="3"/>
      <c r="G897" s="3"/>
      <c r="H897" s="3"/>
      <c r="I897" s="3"/>
      <c r="J897" s="3"/>
      <c r="K897" s="3"/>
      <c r="L897" s="3"/>
      <c r="M897" s="3"/>
      <c r="N897" s="3"/>
      <c r="O897" s="3"/>
      <c r="P897" s="3"/>
      <c r="Q897" s="3"/>
      <c r="R897" s="3"/>
      <c r="S897" s="3"/>
      <c r="T897" s="3"/>
      <c r="U897" s="3"/>
      <c r="V897" s="3"/>
      <c r="W897" s="3"/>
      <c r="X897" s="3"/>
      <c r="Y897" s="3"/>
      <c r="Z897" s="3"/>
    </row>
    <row r="898">
      <c r="A898" s="57"/>
      <c r="B898" s="57"/>
      <c r="C898" s="57"/>
      <c r="D898" s="3"/>
      <c r="E898" s="3"/>
      <c r="F898" s="3"/>
      <c r="G898" s="3"/>
      <c r="H898" s="3"/>
      <c r="I898" s="3"/>
      <c r="J898" s="3"/>
      <c r="K898" s="3"/>
      <c r="L898" s="3"/>
      <c r="M898" s="3"/>
      <c r="N898" s="3"/>
      <c r="O898" s="3"/>
      <c r="P898" s="3"/>
      <c r="Q898" s="3"/>
      <c r="R898" s="3"/>
      <c r="S898" s="3"/>
      <c r="T898" s="3"/>
      <c r="U898" s="3"/>
      <c r="V898" s="3"/>
      <c r="W898" s="3"/>
      <c r="X898" s="3"/>
      <c r="Y898" s="3"/>
      <c r="Z898" s="3"/>
    </row>
    <row r="899">
      <c r="A899" s="57"/>
      <c r="B899" s="57"/>
      <c r="C899" s="57"/>
      <c r="D899" s="3"/>
      <c r="E899" s="3"/>
      <c r="F899" s="3"/>
      <c r="G899" s="3"/>
      <c r="H899" s="3"/>
      <c r="I899" s="3"/>
      <c r="J899" s="3"/>
      <c r="K899" s="3"/>
      <c r="L899" s="3"/>
      <c r="M899" s="3"/>
      <c r="N899" s="3"/>
      <c r="O899" s="3"/>
      <c r="P899" s="3"/>
      <c r="Q899" s="3"/>
      <c r="R899" s="3"/>
      <c r="S899" s="3"/>
      <c r="T899" s="3"/>
      <c r="U899" s="3"/>
      <c r="V899" s="3"/>
      <c r="W899" s="3"/>
      <c r="X899" s="3"/>
      <c r="Y899" s="3"/>
      <c r="Z899" s="3"/>
    </row>
    <row r="900">
      <c r="A900" s="57"/>
      <c r="B900" s="57"/>
      <c r="C900" s="57"/>
      <c r="D900" s="3"/>
      <c r="E900" s="3"/>
      <c r="F900" s="3"/>
      <c r="G900" s="3"/>
      <c r="H900" s="3"/>
      <c r="I900" s="3"/>
      <c r="J900" s="3"/>
      <c r="K900" s="3"/>
      <c r="L900" s="3"/>
      <c r="M900" s="3"/>
      <c r="N900" s="3"/>
      <c r="O900" s="3"/>
      <c r="P900" s="3"/>
      <c r="Q900" s="3"/>
      <c r="R900" s="3"/>
      <c r="S900" s="3"/>
      <c r="T900" s="3"/>
      <c r="U900" s="3"/>
      <c r="V900" s="3"/>
      <c r="W900" s="3"/>
      <c r="X900" s="3"/>
      <c r="Y900" s="3"/>
      <c r="Z900" s="3"/>
    </row>
    <row r="901">
      <c r="A901" s="57"/>
      <c r="B901" s="57"/>
      <c r="C901" s="57"/>
      <c r="D901" s="3"/>
      <c r="E901" s="3"/>
      <c r="F901" s="3"/>
      <c r="G901" s="3"/>
      <c r="H901" s="3"/>
      <c r="I901" s="3"/>
      <c r="J901" s="3"/>
      <c r="K901" s="3"/>
      <c r="L901" s="3"/>
      <c r="M901" s="3"/>
      <c r="N901" s="3"/>
      <c r="O901" s="3"/>
      <c r="P901" s="3"/>
      <c r="Q901" s="3"/>
      <c r="R901" s="3"/>
      <c r="S901" s="3"/>
      <c r="T901" s="3"/>
      <c r="U901" s="3"/>
      <c r="V901" s="3"/>
      <c r="W901" s="3"/>
      <c r="X901" s="3"/>
      <c r="Y901" s="3"/>
      <c r="Z901" s="3"/>
    </row>
    <row r="902">
      <c r="A902" s="57"/>
      <c r="B902" s="57"/>
      <c r="C902" s="57"/>
      <c r="D902" s="3"/>
      <c r="E902" s="3"/>
      <c r="F902" s="3"/>
      <c r="G902" s="3"/>
      <c r="H902" s="3"/>
      <c r="I902" s="3"/>
      <c r="J902" s="3"/>
      <c r="K902" s="3"/>
      <c r="L902" s="3"/>
      <c r="M902" s="3"/>
      <c r="N902" s="3"/>
      <c r="O902" s="3"/>
      <c r="P902" s="3"/>
      <c r="Q902" s="3"/>
      <c r="R902" s="3"/>
      <c r="S902" s="3"/>
      <c r="T902" s="3"/>
      <c r="U902" s="3"/>
      <c r="V902" s="3"/>
      <c r="W902" s="3"/>
      <c r="X902" s="3"/>
      <c r="Y902" s="3"/>
      <c r="Z902" s="3"/>
    </row>
    <row r="903">
      <c r="A903" s="57"/>
      <c r="B903" s="57"/>
      <c r="C903" s="57"/>
      <c r="D903" s="3"/>
      <c r="E903" s="3"/>
      <c r="F903" s="3"/>
      <c r="G903" s="3"/>
      <c r="H903" s="3"/>
      <c r="I903" s="3"/>
      <c r="J903" s="3"/>
      <c r="K903" s="3"/>
      <c r="L903" s="3"/>
      <c r="M903" s="3"/>
      <c r="N903" s="3"/>
      <c r="O903" s="3"/>
      <c r="P903" s="3"/>
      <c r="Q903" s="3"/>
      <c r="R903" s="3"/>
      <c r="S903" s="3"/>
      <c r="T903" s="3"/>
      <c r="U903" s="3"/>
      <c r="V903" s="3"/>
      <c r="W903" s="3"/>
      <c r="X903" s="3"/>
      <c r="Y903" s="3"/>
      <c r="Z903" s="3"/>
    </row>
    <row r="904">
      <c r="A904" s="57"/>
      <c r="B904" s="57"/>
      <c r="C904" s="57"/>
      <c r="D904" s="3"/>
      <c r="E904" s="3"/>
      <c r="F904" s="3"/>
      <c r="G904" s="3"/>
      <c r="H904" s="3"/>
      <c r="I904" s="3"/>
      <c r="J904" s="3"/>
      <c r="K904" s="3"/>
      <c r="L904" s="3"/>
      <c r="M904" s="3"/>
      <c r="N904" s="3"/>
      <c r="O904" s="3"/>
      <c r="P904" s="3"/>
      <c r="Q904" s="3"/>
      <c r="R904" s="3"/>
      <c r="S904" s="3"/>
      <c r="T904" s="3"/>
      <c r="U904" s="3"/>
      <c r="V904" s="3"/>
      <c r="W904" s="3"/>
      <c r="X904" s="3"/>
      <c r="Y904" s="3"/>
      <c r="Z904" s="3"/>
    </row>
    <row r="905">
      <c r="A905" s="57"/>
      <c r="B905" s="57"/>
      <c r="C905" s="57"/>
      <c r="D905" s="3"/>
      <c r="E905" s="3"/>
      <c r="F905" s="3"/>
      <c r="G905" s="3"/>
      <c r="H905" s="3"/>
      <c r="I905" s="3"/>
      <c r="J905" s="3"/>
      <c r="K905" s="3"/>
      <c r="L905" s="3"/>
      <c r="M905" s="3"/>
      <c r="N905" s="3"/>
      <c r="O905" s="3"/>
      <c r="P905" s="3"/>
      <c r="Q905" s="3"/>
      <c r="R905" s="3"/>
      <c r="S905" s="3"/>
      <c r="T905" s="3"/>
      <c r="U905" s="3"/>
      <c r="V905" s="3"/>
      <c r="W905" s="3"/>
      <c r="X905" s="3"/>
      <c r="Y905" s="3"/>
      <c r="Z905" s="3"/>
    </row>
    <row r="906">
      <c r="A906" s="57"/>
      <c r="B906" s="57"/>
      <c r="C906" s="57"/>
      <c r="D906" s="3"/>
      <c r="E906" s="3"/>
      <c r="F906" s="3"/>
      <c r="G906" s="3"/>
      <c r="H906" s="3"/>
      <c r="I906" s="3"/>
      <c r="J906" s="3"/>
      <c r="K906" s="3"/>
      <c r="L906" s="3"/>
      <c r="M906" s="3"/>
      <c r="N906" s="3"/>
      <c r="O906" s="3"/>
      <c r="P906" s="3"/>
      <c r="Q906" s="3"/>
      <c r="R906" s="3"/>
      <c r="S906" s="3"/>
      <c r="T906" s="3"/>
      <c r="U906" s="3"/>
      <c r="V906" s="3"/>
      <c r="W906" s="3"/>
      <c r="X906" s="3"/>
      <c r="Y906" s="3"/>
      <c r="Z906" s="3"/>
    </row>
    <row r="907">
      <c r="A907" s="57"/>
      <c r="B907" s="57"/>
      <c r="C907" s="57"/>
      <c r="D907" s="3"/>
      <c r="E907" s="3"/>
      <c r="F907" s="3"/>
      <c r="G907" s="3"/>
      <c r="H907" s="3"/>
      <c r="I907" s="3"/>
      <c r="J907" s="3"/>
      <c r="K907" s="3"/>
      <c r="L907" s="3"/>
      <c r="M907" s="3"/>
      <c r="N907" s="3"/>
      <c r="O907" s="3"/>
      <c r="P907" s="3"/>
      <c r="Q907" s="3"/>
      <c r="R907" s="3"/>
      <c r="S907" s="3"/>
      <c r="T907" s="3"/>
      <c r="U907" s="3"/>
      <c r="V907" s="3"/>
      <c r="W907" s="3"/>
      <c r="X907" s="3"/>
      <c r="Y907" s="3"/>
      <c r="Z907" s="3"/>
    </row>
    <row r="908">
      <c r="A908" s="57"/>
      <c r="B908" s="57"/>
      <c r="C908" s="57"/>
      <c r="D908" s="3"/>
      <c r="E908" s="3"/>
      <c r="F908" s="3"/>
      <c r="G908" s="3"/>
      <c r="H908" s="3"/>
      <c r="I908" s="3"/>
      <c r="J908" s="3"/>
      <c r="K908" s="3"/>
      <c r="L908" s="3"/>
      <c r="M908" s="3"/>
      <c r="N908" s="3"/>
      <c r="O908" s="3"/>
      <c r="P908" s="3"/>
      <c r="Q908" s="3"/>
      <c r="R908" s="3"/>
      <c r="S908" s="3"/>
      <c r="T908" s="3"/>
      <c r="U908" s="3"/>
      <c r="V908" s="3"/>
      <c r="W908" s="3"/>
      <c r="X908" s="3"/>
      <c r="Y908" s="3"/>
      <c r="Z908" s="3"/>
    </row>
    <row r="909">
      <c r="A909" s="57"/>
      <c r="B909" s="57"/>
      <c r="C909" s="57"/>
      <c r="D909" s="3"/>
      <c r="E909" s="3"/>
      <c r="F909" s="3"/>
      <c r="G909" s="3"/>
      <c r="H909" s="3"/>
      <c r="I909" s="3"/>
      <c r="J909" s="3"/>
      <c r="K909" s="3"/>
      <c r="L909" s="3"/>
      <c r="M909" s="3"/>
      <c r="N909" s="3"/>
      <c r="O909" s="3"/>
      <c r="P909" s="3"/>
      <c r="Q909" s="3"/>
      <c r="R909" s="3"/>
      <c r="S909" s="3"/>
      <c r="T909" s="3"/>
      <c r="U909" s="3"/>
      <c r="V909" s="3"/>
      <c r="W909" s="3"/>
      <c r="X909" s="3"/>
      <c r="Y909" s="3"/>
      <c r="Z909" s="3"/>
    </row>
    <row r="910">
      <c r="A910" s="57"/>
      <c r="B910" s="57"/>
      <c r="C910" s="57"/>
      <c r="D910" s="3"/>
      <c r="E910" s="3"/>
      <c r="F910" s="3"/>
      <c r="G910" s="3"/>
      <c r="H910" s="3"/>
      <c r="I910" s="3"/>
      <c r="J910" s="3"/>
      <c r="K910" s="3"/>
      <c r="L910" s="3"/>
      <c r="M910" s="3"/>
      <c r="N910" s="3"/>
      <c r="O910" s="3"/>
      <c r="P910" s="3"/>
      <c r="Q910" s="3"/>
      <c r="R910" s="3"/>
      <c r="S910" s="3"/>
      <c r="T910" s="3"/>
      <c r="U910" s="3"/>
      <c r="V910" s="3"/>
      <c r="W910" s="3"/>
      <c r="X910" s="3"/>
      <c r="Y910" s="3"/>
      <c r="Z910" s="3"/>
    </row>
    <row r="911">
      <c r="A911" s="57"/>
      <c r="B911" s="57"/>
      <c r="C911" s="57"/>
      <c r="D911" s="3"/>
      <c r="E911" s="3"/>
      <c r="F911" s="3"/>
      <c r="G911" s="3"/>
      <c r="H911" s="3"/>
      <c r="I911" s="3"/>
      <c r="J911" s="3"/>
      <c r="K911" s="3"/>
      <c r="L911" s="3"/>
      <c r="M911" s="3"/>
      <c r="N911" s="3"/>
      <c r="O911" s="3"/>
      <c r="P911" s="3"/>
      <c r="Q911" s="3"/>
      <c r="R911" s="3"/>
      <c r="S911" s="3"/>
      <c r="T911" s="3"/>
      <c r="U911" s="3"/>
      <c r="V911" s="3"/>
      <c r="W911" s="3"/>
      <c r="X911" s="3"/>
      <c r="Y911" s="3"/>
      <c r="Z911" s="3"/>
    </row>
    <row r="912">
      <c r="A912" s="57"/>
      <c r="B912" s="57"/>
      <c r="C912" s="57"/>
      <c r="D912" s="3"/>
      <c r="E912" s="3"/>
      <c r="F912" s="3"/>
      <c r="G912" s="3"/>
      <c r="H912" s="3"/>
      <c r="I912" s="3"/>
      <c r="J912" s="3"/>
      <c r="K912" s="3"/>
      <c r="L912" s="3"/>
      <c r="M912" s="3"/>
      <c r="N912" s="3"/>
      <c r="O912" s="3"/>
      <c r="P912" s="3"/>
      <c r="Q912" s="3"/>
      <c r="R912" s="3"/>
      <c r="S912" s="3"/>
      <c r="T912" s="3"/>
      <c r="U912" s="3"/>
      <c r="V912" s="3"/>
      <c r="W912" s="3"/>
      <c r="X912" s="3"/>
      <c r="Y912" s="3"/>
      <c r="Z912" s="3"/>
    </row>
    <row r="913">
      <c r="A913" s="57"/>
      <c r="B913" s="57"/>
      <c r="C913" s="57"/>
      <c r="D913" s="3"/>
      <c r="E913" s="3"/>
      <c r="F913" s="3"/>
      <c r="G913" s="3"/>
      <c r="H913" s="3"/>
      <c r="I913" s="3"/>
      <c r="J913" s="3"/>
      <c r="K913" s="3"/>
      <c r="L913" s="3"/>
      <c r="M913" s="3"/>
      <c r="N913" s="3"/>
      <c r="O913" s="3"/>
      <c r="P913" s="3"/>
      <c r="Q913" s="3"/>
      <c r="R913" s="3"/>
      <c r="S913" s="3"/>
      <c r="T913" s="3"/>
      <c r="U913" s="3"/>
      <c r="V913" s="3"/>
      <c r="W913" s="3"/>
      <c r="X913" s="3"/>
      <c r="Y913" s="3"/>
      <c r="Z913" s="3"/>
    </row>
    <row r="914">
      <c r="A914" s="57"/>
      <c r="B914" s="57"/>
      <c r="C914" s="57"/>
      <c r="D914" s="3"/>
      <c r="E914" s="3"/>
      <c r="F914" s="3"/>
      <c r="G914" s="3"/>
      <c r="H914" s="3"/>
      <c r="I914" s="3"/>
      <c r="J914" s="3"/>
      <c r="K914" s="3"/>
      <c r="L914" s="3"/>
      <c r="M914" s="3"/>
      <c r="N914" s="3"/>
      <c r="O914" s="3"/>
      <c r="P914" s="3"/>
      <c r="Q914" s="3"/>
      <c r="R914" s="3"/>
      <c r="S914" s="3"/>
      <c r="T914" s="3"/>
      <c r="U914" s="3"/>
      <c r="V914" s="3"/>
      <c r="W914" s="3"/>
      <c r="X914" s="3"/>
      <c r="Y914" s="3"/>
      <c r="Z914" s="3"/>
    </row>
    <row r="915">
      <c r="A915" s="57"/>
      <c r="B915" s="57"/>
      <c r="C915" s="57"/>
      <c r="D915" s="3"/>
      <c r="E915" s="3"/>
      <c r="F915" s="3"/>
      <c r="G915" s="3"/>
      <c r="H915" s="3"/>
      <c r="I915" s="3"/>
      <c r="J915" s="3"/>
      <c r="K915" s="3"/>
      <c r="L915" s="3"/>
      <c r="M915" s="3"/>
      <c r="N915" s="3"/>
      <c r="O915" s="3"/>
      <c r="P915" s="3"/>
      <c r="Q915" s="3"/>
      <c r="R915" s="3"/>
      <c r="S915" s="3"/>
      <c r="T915" s="3"/>
      <c r="U915" s="3"/>
      <c r="V915" s="3"/>
      <c r="W915" s="3"/>
      <c r="X915" s="3"/>
      <c r="Y915" s="3"/>
      <c r="Z915" s="3"/>
    </row>
    <row r="916">
      <c r="A916" s="57"/>
      <c r="B916" s="57"/>
      <c r="C916" s="57"/>
      <c r="D916" s="3"/>
      <c r="E916" s="3"/>
      <c r="F916" s="3"/>
      <c r="G916" s="3"/>
      <c r="H916" s="3"/>
      <c r="I916" s="3"/>
      <c r="J916" s="3"/>
      <c r="K916" s="3"/>
      <c r="L916" s="3"/>
      <c r="M916" s="3"/>
      <c r="N916" s="3"/>
      <c r="O916" s="3"/>
      <c r="P916" s="3"/>
      <c r="Q916" s="3"/>
      <c r="R916" s="3"/>
      <c r="S916" s="3"/>
      <c r="T916" s="3"/>
      <c r="U916" s="3"/>
      <c r="V916" s="3"/>
      <c r="W916" s="3"/>
      <c r="X916" s="3"/>
      <c r="Y916" s="3"/>
      <c r="Z916" s="3"/>
    </row>
    <row r="917">
      <c r="A917" s="57"/>
      <c r="B917" s="57"/>
      <c r="C917" s="57"/>
      <c r="D917" s="3"/>
      <c r="E917" s="3"/>
      <c r="F917" s="3"/>
      <c r="G917" s="3"/>
      <c r="H917" s="3"/>
      <c r="I917" s="3"/>
      <c r="J917" s="3"/>
      <c r="K917" s="3"/>
      <c r="L917" s="3"/>
      <c r="M917" s="3"/>
      <c r="N917" s="3"/>
      <c r="O917" s="3"/>
      <c r="P917" s="3"/>
      <c r="Q917" s="3"/>
      <c r="R917" s="3"/>
      <c r="S917" s="3"/>
      <c r="T917" s="3"/>
      <c r="U917" s="3"/>
      <c r="V917" s="3"/>
      <c r="W917" s="3"/>
      <c r="X917" s="3"/>
      <c r="Y917" s="3"/>
      <c r="Z917" s="3"/>
    </row>
    <row r="918">
      <c r="A918" s="57"/>
      <c r="B918" s="57"/>
      <c r="C918" s="57"/>
      <c r="D918" s="3"/>
      <c r="E918" s="3"/>
      <c r="F918" s="3"/>
      <c r="G918" s="3"/>
      <c r="H918" s="3"/>
      <c r="I918" s="3"/>
      <c r="J918" s="3"/>
      <c r="K918" s="3"/>
      <c r="L918" s="3"/>
      <c r="M918" s="3"/>
      <c r="N918" s="3"/>
      <c r="O918" s="3"/>
      <c r="P918" s="3"/>
      <c r="Q918" s="3"/>
      <c r="R918" s="3"/>
      <c r="S918" s="3"/>
      <c r="T918" s="3"/>
      <c r="U918" s="3"/>
      <c r="V918" s="3"/>
      <c r="W918" s="3"/>
      <c r="X918" s="3"/>
      <c r="Y918" s="3"/>
      <c r="Z918" s="3"/>
    </row>
    <row r="919">
      <c r="A919" s="57"/>
      <c r="B919" s="57"/>
      <c r="C919" s="57"/>
      <c r="D919" s="3"/>
      <c r="E919" s="3"/>
      <c r="F919" s="3"/>
      <c r="G919" s="3"/>
      <c r="H919" s="3"/>
      <c r="I919" s="3"/>
      <c r="J919" s="3"/>
      <c r="K919" s="3"/>
      <c r="L919" s="3"/>
      <c r="M919" s="3"/>
      <c r="N919" s="3"/>
      <c r="O919" s="3"/>
      <c r="P919" s="3"/>
      <c r="Q919" s="3"/>
      <c r="R919" s="3"/>
      <c r="S919" s="3"/>
      <c r="T919" s="3"/>
      <c r="U919" s="3"/>
      <c r="V919" s="3"/>
      <c r="W919" s="3"/>
      <c r="X919" s="3"/>
      <c r="Y919" s="3"/>
      <c r="Z919" s="3"/>
    </row>
    <row r="920">
      <c r="A920" s="57"/>
      <c r="B920" s="57"/>
      <c r="C920" s="57"/>
      <c r="D920" s="3"/>
      <c r="E920" s="3"/>
      <c r="F920" s="3"/>
      <c r="G920" s="3"/>
      <c r="H920" s="3"/>
      <c r="I920" s="3"/>
      <c r="J920" s="3"/>
      <c r="K920" s="3"/>
      <c r="L920" s="3"/>
      <c r="M920" s="3"/>
      <c r="N920" s="3"/>
      <c r="O920" s="3"/>
      <c r="P920" s="3"/>
      <c r="Q920" s="3"/>
      <c r="R920" s="3"/>
      <c r="S920" s="3"/>
      <c r="T920" s="3"/>
      <c r="U920" s="3"/>
      <c r="V920" s="3"/>
      <c r="W920" s="3"/>
      <c r="X920" s="3"/>
      <c r="Y920" s="3"/>
      <c r="Z920" s="3"/>
    </row>
    <row r="921">
      <c r="A921" s="57"/>
      <c r="B921" s="57"/>
      <c r="C921" s="57"/>
      <c r="D921" s="3"/>
      <c r="E921" s="3"/>
      <c r="F921" s="3"/>
      <c r="G921" s="3"/>
      <c r="H921" s="3"/>
      <c r="I921" s="3"/>
      <c r="J921" s="3"/>
      <c r="K921" s="3"/>
      <c r="L921" s="3"/>
      <c r="M921" s="3"/>
      <c r="N921" s="3"/>
      <c r="O921" s="3"/>
      <c r="P921" s="3"/>
      <c r="Q921" s="3"/>
      <c r="R921" s="3"/>
      <c r="S921" s="3"/>
      <c r="T921" s="3"/>
      <c r="U921" s="3"/>
      <c r="V921" s="3"/>
      <c r="W921" s="3"/>
      <c r="X921" s="3"/>
      <c r="Y921" s="3"/>
      <c r="Z921" s="3"/>
    </row>
    <row r="922">
      <c r="A922" s="57"/>
      <c r="B922" s="57"/>
      <c r="C922" s="57"/>
      <c r="D922" s="3"/>
      <c r="E922" s="3"/>
      <c r="F922" s="3"/>
      <c r="G922" s="3"/>
      <c r="H922" s="3"/>
      <c r="I922" s="3"/>
      <c r="J922" s="3"/>
      <c r="K922" s="3"/>
      <c r="L922" s="3"/>
      <c r="M922" s="3"/>
      <c r="N922" s="3"/>
      <c r="O922" s="3"/>
      <c r="P922" s="3"/>
      <c r="Q922" s="3"/>
      <c r="R922" s="3"/>
      <c r="S922" s="3"/>
      <c r="T922" s="3"/>
      <c r="U922" s="3"/>
      <c r="V922" s="3"/>
      <c r="W922" s="3"/>
      <c r="X922" s="3"/>
      <c r="Y922" s="3"/>
      <c r="Z922" s="3"/>
    </row>
    <row r="923">
      <c r="A923" s="57"/>
      <c r="B923" s="57"/>
      <c r="C923" s="57"/>
      <c r="D923" s="3"/>
      <c r="E923" s="3"/>
      <c r="F923" s="3"/>
      <c r="G923" s="3"/>
      <c r="H923" s="3"/>
      <c r="I923" s="3"/>
      <c r="J923" s="3"/>
      <c r="K923" s="3"/>
      <c r="L923" s="3"/>
      <c r="M923" s="3"/>
      <c r="N923" s="3"/>
      <c r="O923" s="3"/>
      <c r="P923" s="3"/>
      <c r="Q923" s="3"/>
      <c r="R923" s="3"/>
      <c r="S923" s="3"/>
      <c r="T923" s="3"/>
      <c r="U923" s="3"/>
      <c r="V923" s="3"/>
      <c r="W923" s="3"/>
      <c r="X923" s="3"/>
      <c r="Y923" s="3"/>
      <c r="Z923" s="3"/>
    </row>
    <row r="924">
      <c r="A924" s="57"/>
      <c r="B924" s="57"/>
      <c r="C924" s="57"/>
      <c r="D924" s="3"/>
      <c r="E924" s="3"/>
      <c r="F924" s="3"/>
      <c r="G924" s="3"/>
      <c r="H924" s="3"/>
      <c r="I924" s="3"/>
      <c r="J924" s="3"/>
      <c r="K924" s="3"/>
      <c r="L924" s="3"/>
      <c r="M924" s="3"/>
      <c r="N924" s="3"/>
      <c r="O924" s="3"/>
      <c r="P924" s="3"/>
      <c r="Q924" s="3"/>
      <c r="R924" s="3"/>
      <c r="S924" s="3"/>
      <c r="T924" s="3"/>
      <c r="U924" s="3"/>
      <c r="V924" s="3"/>
      <c r="W924" s="3"/>
      <c r="X924" s="3"/>
      <c r="Y924" s="3"/>
      <c r="Z924" s="3"/>
    </row>
    <row r="925">
      <c r="A925" s="57"/>
      <c r="B925" s="57"/>
      <c r="C925" s="57"/>
      <c r="D925" s="3"/>
      <c r="E925" s="3"/>
      <c r="F925" s="3"/>
      <c r="G925" s="3"/>
      <c r="H925" s="3"/>
      <c r="I925" s="3"/>
      <c r="J925" s="3"/>
      <c r="K925" s="3"/>
      <c r="L925" s="3"/>
      <c r="M925" s="3"/>
      <c r="N925" s="3"/>
      <c r="O925" s="3"/>
      <c r="P925" s="3"/>
      <c r="Q925" s="3"/>
      <c r="R925" s="3"/>
      <c r="S925" s="3"/>
      <c r="T925" s="3"/>
      <c r="U925" s="3"/>
      <c r="V925" s="3"/>
      <c r="W925" s="3"/>
      <c r="X925" s="3"/>
      <c r="Y925" s="3"/>
      <c r="Z925" s="3"/>
    </row>
    <row r="926">
      <c r="A926" s="57"/>
      <c r="B926" s="57"/>
      <c r="C926" s="57"/>
      <c r="D926" s="3"/>
      <c r="E926" s="3"/>
      <c r="F926" s="3"/>
      <c r="G926" s="3"/>
      <c r="H926" s="3"/>
      <c r="I926" s="3"/>
      <c r="J926" s="3"/>
      <c r="K926" s="3"/>
      <c r="L926" s="3"/>
      <c r="M926" s="3"/>
      <c r="N926" s="3"/>
      <c r="O926" s="3"/>
      <c r="P926" s="3"/>
      <c r="Q926" s="3"/>
      <c r="R926" s="3"/>
      <c r="S926" s="3"/>
      <c r="T926" s="3"/>
      <c r="U926" s="3"/>
      <c r="V926" s="3"/>
      <c r="W926" s="3"/>
      <c r="X926" s="3"/>
      <c r="Y926" s="3"/>
      <c r="Z926" s="3"/>
    </row>
    <row r="927">
      <c r="A927" s="57"/>
      <c r="B927" s="57"/>
      <c r="C927" s="57"/>
      <c r="D927" s="3"/>
      <c r="E927" s="3"/>
      <c r="F927" s="3"/>
      <c r="G927" s="3"/>
      <c r="H927" s="3"/>
      <c r="I927" s="3"/>
      <c r="J927" s="3"/>
      <c r="K927" s="3"/>
      <c r="L927" s="3"/>
      <c r="M927" s="3"/>
      <c r="N927" s="3"/>
      <c r="O927" s="3"/>
      <c r="P927" s="3"/>
      <c r="Q927" s="3"/>
      <c r="R927" s="3"/>
      <c r="S927" s="3"/>
      <c r="T927" s="3"/>
      <c r="U927" s="3"/>
      <c r="V927" s="3"/>
      <c r="W927" s="3"/>
      <c r="X927" s="3"/>
      <c r="Y927" s="3"/>
      <c r="Z927" s="3"/>
    </row>
    <row r="928">
      <c r="A928" s="57"/>
      <c r="B928" s="57"/>
      <c r="C928" s="57"/>
      <c r="D928" s="3"/>
      <c r="E928" s="3"/>
      <c r="F928" s="3"/>
      <c r="G928" s="3"/>
      <c r="H928" s="3"/>
      <c r="I928" s="3"/>
      <c r="J928" s="3"/>
      <c r="K928" s="3"/>
      <c r="L928" s="3"/>
      <c r="M928" s="3"/>
      <c r="N928" s="3"/>
      <c r="O928" s="3"/>
      <c r="P928" s="3"/>
      <c r="Q928" s="3"/>
      <c r="R928" s="3"/>
      <c r="S928" s="3"/>
      <c r="T928" s="3"/>
      <c r="U928" s="3"/>
      <c r="V928" s="3"/>
      <c r="W928" s="3"/>
      <c r="X928" s="3"/>
      <c r="Y928" s="3"/>
      <c r="Z928" s="3"/>
    </row>
    <row r="929">
      <c r="A929" s="57"/>
      <c r="B929" s="57"/>
      <c r="C929" s="57"/>
      <c r="D929" s="3"/>
      <c r="E929" s="3"/>
      <c r="F929" s="3"/>
      <c r="G929" s="3"/>
      <c r="H929" s="3"/>
      <c r="I929" s="3"/>
      <c r="J929" s="3"/>
      <c r="K929" s="3"/>
      <c r="L929" s="3"/>
      <c r="M929" s="3"/>
      <c r="N929" s="3"/>
      <c r="O929" s="3"/>
      <c r="P929" s="3"/>
      <c r="Q929" s="3"/>
      <c r="R929" s="3"/>
      <c r="S929" s="3"/>
      <c r="T929" s="3"/>
      <c r="U929" s="3"/>
      <c r="V929" s="3"/>
      <c r="W929" s="3"/>
      <c r="X929" s="3"/>
      <c r="Y929" s="3"/>
      <c r="Z929" s="3"/>
    </row>
    <row r="930">
      <c r="A930" s="57"/>
      <c r="B930" s="57"/>
      <c r="C930" s="57"/>
      <c r="D930" s="3"/>
      <c r="E930" s="3"/>
      <c r="F930" s="3"/>
      <c r="G930" s="3"/>
      <c r="H930" s="3"/>
      <c r="I930" s="3"/>
      <c r="J930" s="3"/>
      <c r="K930" s="3"/>
      <c r="L930" s="3"/>
      <c r="M930" s="3"/>
      <c r="N930" s="3"/>
      <c r="O930" s="3"/>
      <c r="P930" s="3"/>
      <c r="Q930" s="3"/>
      <c r="R930" s="3"/>
      <c r="S930" s="3"/>
      <c r="T930" s="3"/>
      <c r="U930" s="3"/>
      <c r="V930" s="3"/>
      <c r="W930" s="3"/>
      <c r="X930" s="3"/>
      <c r="Y930" s="3"/>
      <c r="Z930" s="3"/>
    </row>
    <row r="931">
      <c r="A931" s="57"/>
      <c r="B931" s="57"/>
      <c r="C931" s="57"/>
      <c r="D931" s="3"/>
      <c r="E931" s="3"/>
      <c r="F931" s="3"/>
      <c r="G931" s="3"/>
      <c r="H931" s="3"/>
      <c r="I931" s="3"/>
      <c r="J931" s="3"/>
      <c r="K931" s="3"/>
      <c r="L931" s="3"/>
      <c r="M931" s="3"/>
      <c r="N931" s="3"/>
      <c r="O931" s="3"/>
      <c r="P931" s="3"/>
      <c r="Q931" s="3"/>
      <c r="R931" s="3"/>
      <c r="S931" s="3"/>
      <c r="T931" s="3"/>
      <c r="U931" s="3"/>
      <c r="V931" s="3"/>
      <c r="W931" s="3"/>
      <c r="X931" s="3"/>
      <c r="Y931" s="3"/>
      <c r="Z931" s="3"/>
    </row>
    <row r="932">
      <c r="A932" s="57"/>
      <c r="B932" s="57"/>
      <c r="C932" s="57"/>
      <c r="D932" s="3"/>
      <c r="E932" s="3"/>
      <c r="F932" s="3"/>
      <c r="G932" s="3"/>
      <c r="H932" s="3"/>
      <c r="I932" s="3"/>
      <c r="J932" s="3"/>
      <c r="K932" s="3"/>
      <c r="L932" s="3"/>
      <c r="M932" s="3"/>
      <c r="N932" s="3"/>
      <c r="O932" s="3"/>
      <c r="P932" s="3"/>
      <c r="Q932" s="3"/>
      <c r="R932" s="3"/>
      <c r="S932" s="3"/>
      <c r="T932" s="3"/>
      <c r="U932" s="3"/>
      <c r="V932" s="3"/>
      <c r="W932" s="3"/>
      <c r="X932" s="3"/>
      <c r="Y932" s="3"/>
      <c r="Z932" s="3"/>
    </row>
    <row r="933">
      <c r="A933" s="57"/>
      <c r="B933" s="57"/>
      <c r="C933" s="57"/>
      <c r="D933" s="3"/>
      <c r="E933" s="3"/>
      <c r="F933" s="3"/>
      <c r="G933" s="3"/>
      <c r="H933" s="3"/>
      <c r="I933" s="3"/>
      <c r="J933" s="3"/>
      <c r="K933" s="3"/>
      <c r="L933" s="3"/>
      <c r="M933" s="3"/>
      <c r="N933" s="3"/>
      <c r="O933" s="3"/>
      <c r="P933" s="3"/>
      <c r="Q933" s="3"/>
      <c r="R933" s="3"/>
      <c r="S933" s="3"/>
      <c r="T933" s="3"/>
      <c r="U933" s="3"/>
      <c r="V933" s="3"/>
      <c r="W933" s="3"/>
      <c r="X933" s="3"/>
      <c r="Y933" s="3"/>
      <c r="Z933" s="3"/>
    </row>
    <row r="934">
      <c r="A934" s="57"/>
      <c r="B934" s="57"/>
      <c r="C934" s="57"/>
      <c r="D934" s="3"/>
      <c r="E934" s="3"/>
      <c r="F934" s="3"/>
      <c r="G934" s="3"/>
      <c r="H934" s="3"/>
      <c r="I934" s="3"/>
      <c r="J934" s="3"/>
      <c r="K934" s="3"/>
      <c r="L934" s="3"/>
      <c r="M934" s="3"/>
      <c r="N934" s="3"/>
      <c r="O934" s="3"/>
      <c r="P934" s="3"/>
      <c r="Q934" s="3"/>
      <c r="R934" s="3"/>
      <c r="S934" s="3"/>
      <c r="T934" s="3"/>
      <c r="U934" s="3"/>
      <c r="V934" s="3"/>
      <c r="W934" s="3"/>
      <c r="X934" s="3"/>
      <c r="Y934" s="3"/>
      <c r="Z934" s="3"/>
    </row>
    <row r="935">
      <c r="A935" s="57"/>
      <c r="B935" s="57"/>
      <c r="C935" s="57"/>
      <c r="D935" s="3"/>
      <c r="E935" s="3"/>
      <c r="F935" s="3"/>
      <c r="G935" s="3"/>
      <c r="H935" s="3"/>
      <c r="I935" s="3"/>
      <c r="J935" s="3"/>
      <c r="K935" s="3"/>
      <c r="L935" s="3"/>
      <c r="M935" s="3"/>
      <c r="N935" s="3"/>
      <c r="O935" s="3"/>
      <c r="P935" s="3"/>
      <c r="Q935" s="3"/>
      <c r="R935" s="3"/>
      <c r="S935" s="3"/>
      <c r="T935" s="3"/>
      <c r="U935" s="3"/>
      <c r="V935" s="3"/>
      <c r="W935" s="3"/>
      <c r="X935" s="3"/>
      <c r="Y935" s="3"/>
      <c r="Z935" s="3"/>
    </row>
    <row r="936">
      <c r="A936" s="57"/>
      <c r="B936" s="57"/>
      <c r="C936" s="57"/>
      <c r="D936" s="3"/>
      <c r="E936" s="3"/>
      <c r="F936" s="3"/>
      <c r="G936" s="3"/>
      <c r="H936" s="3"/>
      <c r="I936" s="3"/>
      <c r="J936" s="3"/>
      <c r="K936" s="3"/>
      <c r="L936" s="3"/>
      <c r="M936" s="3"/>
      <c r="N936" s="3"/>
      <c r="O936" s="3"/>
      <c r="P936" s="3"/>
      <c r="Q936" s="3"/>
      <c r="R936" s="3"/>
      <c r="S936" s="3"/>
      <c r="T936" s="3"/>
      <c r="U936" s="3"/>
      <c r="V936" s="3"/>
      <c r="W936" s="3"/>
      <c r="X936" s="3"/>
      <c r="Y936" s="3"/>
      <c r="Z936" s="3"/>
    </row>
    <row r="937">
      <c r="A937" s="57"/>
      <c r="B937" s="57"/>
      <c r="C937" s="57"/>
      <c r="D937" s="3"/>
      <c r="E937" s="3"/>
      <c r="F937" s="3"/>
      <c r="G937" s="3"/>
      <c r="H937" s="3"/>
      <c r="I937" s="3"/>
      <c r="J937" s="3"/>
      <c r="K937" s="3"/>
      <c r="L937" s="3"/>
      <c r="M937" s="3"/>
      <c r="N937" s="3"/>
      <c r="O937" s="3"/>
      <c r="P937" s="3"/>
      <c r="Q937" s="3"/>
      <c r="R937" s="3"/>
      <c r="S937" s="3"/>
      <c r="T937" s="3"/>
      <c r="U937" s="3"/>
      <c r="V937" s="3"/>
      <c r="W937" s="3"/>
      <c r="X937" s="3"/>
      <c r="Y937" s="3"/>
      <c r="Z937" s="3"/>
    </row>
    <row r="938">
      <c r="A938" s="57"/>
      <c r="B938" s="57"/>
      <c r="C938" s="57"/>
      <c r="D938" s="3"/>
      <c r="E938" s="3"/>
      <c r="F938" s="3"/>
      <c r="G938" s="3"/>
      <c r="H938" s="3"/>
      <c r="I938" s="3"/>
      <c r="J938" s="3"/>
      <c r="K938" s="3"/>
      <c r="L938" s="3"/>
      <c r="M938" s="3"/>
      <c r="N938" s="3"/>
      <c r="O938" s="3"/>
      <c r="P938" s="3"/>
      <c r="Q938" s="3"/>
      <c r="R938" s="3"/>
      <c r="S938" s="3"/>
      <c r="T938" s="3"/>
      <c r="U938" s="3"/>
      <c r="V938" s="3"/>
      <c r="W938" s="3"/>
      <c r="X938" s="3"/>
      <c r="Y938" s="3"/>
      <c r="Z938" s="3"/>
    </row>
    <row r="939">
      <c r="A939" s="57"/>
      <c r="B939" s="57"/>
      <c r="C939" s="57"/>
      <c r="D939" s="3"/>
      <c r="E939" s="3"/>
      <c r="F939" s="3"/>
      <c r="G939" s="3"/>
      <c r="H939" s="3"/>
      <c r="I939" s="3"/>
      <c r="J939" s="3"/>
      <c r="K939" s="3"/>
      <c r="L939" s="3"/>
      <c r="M939" s="3"/>
      <c r="N939" s="3"/>
      <c r="O939" s="3"/>
      <c r="P939" s="3"/>
      <c r="Q939" s="3"/>
      <c r="R939" s="3"/>
      <c r="S939" s="3"/>
      <c r="T939" s="3"/>
      <c r="U939" s="3"/>
      <c r="V939" s="3"/>
      <c r="W939" s="3"/>
      <c r="X939" s="3"/>
      <c r="Y939" s="3"/>
      <c r="Z939" s="3"/>
    </row>
    <row r="940">
      <c r="A940" s="57"/>
      <c r="B940" s="57"/>
      <c r="C940" s="57"/>
      <c r="D940" s="3"/>
      <c r="E940" s="3"/>
      <c r="F940" s="3"/>
      <c r="G940" s="3"/>
      <c r="H940" s="3"/>
      <c r="I940" s="3"/>
      <c r="J940" s="3"/>
      <c r="K940" s="3"/>
      <c r="L940" s="3"/>
      <c r="M940" s="3"/>
      <c r="N940" s="3"/>
      <c r="O940" s="3"/>
      <c r="P940" s="3"/>
      <c r="Q940" s="3"/>
      <c r="R940" s="3"/>
      <c r="S940" s="3"/>
      <c r="T940" s="3"/>
      <c r="U940" s="3"/>
      <c r="V940" s="3"/>
      <c r="W940" s="3"/>
      <c r="X940" s="3"/>
      <c r="Y940" s="3"/>
      <c r="Z940" s="3"/>
    </row>
    <row r="941">
      <c r="A941" s="57"/>
      <c r="B941" s="57"/>
      <c r="C941" s="57"/>
      <c r="D941" s="3"/>
      <c r="E941" s="3"/>
      <c r="F941" s="3"/>
      <c r="G941" s="3"/>
      <c r="H941" s="3"/>
      <c r="I941" s="3"/>
      <c r="J941" s="3"/>
      <c r="K941" s="3"/>
      <c r="L941" s="3"/>
      <c r="M941" s="3"/>
      <c r="N941" s="3"/>
      <c r="O941" s="3"/>
      <c r="P941" s="3"/>
      <c r="Q941" s="3"/>
      <c r="R941" s="3"/>
      <c r="S941" s="3"/>
      <c r="T941" s="3"/>
      <c r="U941" s="3"/>
      <c r="V941" s="3"/>
      <c r="W941" s="3"/>
      <c r="X941" s="3"/>
      <c r="Y941" s="3"/>
      <c r="Z941" s="3"/>
    </row>
    <row r="942">
      <c r="A942" s="57"/>
      <c r="B942" s="57"/>
      <c r="C942" s="57"/>
      <c r="D942" s="3"/>
      <c r="E942" s="3"/>
      <c r="F942" s="3"/>
      <c r="G942" s="3"/>
      <c r="H942" s="3"/>
      <c r="I942" s="3"/>
      <c r="J942" s="3"/>
      <c r="K942" s="3"/>
      <c r="L942" s="3"/>
      <c r="M942" s="3"/>
      <c r="N942" s="3"/>
      <c r="O942" s="3"/>
      <c r="P942" s="3"/>
      <c r="Q942" s="3"/>
      <c r="R942" s="3"/>
      <c r="S942" s="3"/>
      <c r="T942" s="3"/>
      <c r="U942" s="3"/>
      <c r="V942" s="3"/>
      <c r="W942" s="3"/>
      <c r="X942" s="3"/>
      <c r="Y942" s="3"/>
      <c r="Z942" s="3"/>
    </row>
    <row r="943">
      <c r="A943" s="57"/>
      <c r="B943" s="57"/>
      <c r="C943" s="57"/>
      <c r="D943" s="3"/>
      <c r="E943" s="3"/>
      <c r="F943" s="3"/>
      <c r="G943" s="3"/>
      <c r="H943" s="3"/>
      <c r="I943" s="3"/>
      <c r="J943" s="3"/>
      <c r="K943" s="3"/>
      <c r="L943" s="3"/>
      <c r="M943" s="3"/>
      <c r="N943" s="3"/>
      <c r="O943" s="3"/>
      <c r="P943" s="3"/>
      <c r="Q943" s="3"/>
      <c r="R943" s="3"/>
      <c r="S943" s="3"/>
      <c r="T943" s="3"/>
      <c r="U943" s="3"/>
      <c r="V943" s="3"/>
      <c r="W943" s="3"/>
      <c r="X943" s="3"/>
      <c r="Y943" s="3"/>
      <c r="Z943" s="3"/>
    </row>
    <row r="944">
      <c r="A944" s="57"/>
      <c r="B944" s="57"/>
      <c r="C944" s="57"/>
      <c r="D944" s="3"/>
      <c r="E944" s="3"/>
      <c r="F944" s="3"/>
      <c r="G944" s="3"/>
      <c r="H944" s="3"/>
      <c r="I944" s="3"/>
      <c r="J944" s="3"/>
      <c r="K944" s="3"/>
      <c r="L944" s="3"/>
      <c r="M944" s="3"/>
      <c r="N944" s="3"/>
      <c r="O944" s="3"/>
      <c r="P944" s="3"/>
      <c r="Q944" s="3"/>
      <c r="R944" s="3"/>
      <c r="S944" s="3"/>
      <c r="T944" s="3"/>
      <c r="U944" s="3"/>
      <c r="V944" s="3"/>
      <c r="W944" s="3"/>
      <c r="X944" s="3"/>
      <c r="Y944" s="3"/>
      <c r="Z944" s="3"/>
    </row>
    <row r="945">
      <c r="A945" s="57"/>
      <c r="B945" s="57"/>
      <c r="C945" s="57"/>
      <c r="D945" s="3"/>
      <c r="E945" s="3"/>
      <c r="F945" s="3"/>
      <c r="G945" s="3"/>
      <c r="H945" s="3"/>
      <c r="I945" s="3"/>
      <c r="J945" s="3"/>
      <c r="K945" s="3"/>
      <c r="L945" s="3"/>
      <c r="M945" s="3"/>
      <c r="N945" s="3"/>
      <c r="O945" s="3"/>
      <c r="P945" s="3"/>
      <c r="Q945" s="3"/>
      <c r="R945" s="3"/>
      <c r="S945" s="3"/>
      <c r="T945" s="3"/>
      <c r="U945" s="3"/>
      <c r="V945" s="3"/>
      <c r="W945" s="3"/>
      <c r="X945" s="3"/>
      <c r="Y945" s="3"/>
      <c r="Z945" s="3"/>
    </row>
    <row r="946">
      <c r="A946" s="57"/>
      <c r="B946" s="57"/>
      <c r="C946" s="57"/>
      <c r="D946" s="3"/>
      <c r="E946" s="3"/>
      <c r="F946" s="3"/>
      <c r="G946" s="3"/>
      <c r="H946" s="3"/>
      <c r="I946" s="3"/>
      <c r="J946" s="3"/>
      <c r="K946" s="3"/>
      <c r="L946" s="3"/>
      <c r="M946" s="3"/>
      <c r="N946" s="3"/>
      <c r="O946" s="3"/>
      <c r="P946" s="3"/>
      <c r="Q946" s="3"/>
      <c r="R946" s="3"/>
      <c r="S946" s="3"/>
      <c r="T946" s="3"/>
      <c r="U946" s="3"/>
      <c r="V946" s="3"/>
      <c r="W946" s="3"/>
      <c r="X946" s="3"/>
      <c r="Y946" s="3"/>
      <c r="Z946" s="3"/>
    </row>
    <row r="947">
      <c r="A947" s="57"/>
      <c r="B947" s="57"/>
      <c r="C947" s="57"/>
      <c r="D947" s="3"/>
      <c r="E947" s="3"/>
      <c r="F947" s="3"/>
      <c r="G947" s="3"/>
      <c r="H947" s="3"/>
      <c r="I947" s="3"/>
      <c r="J947" s="3"/>
      <c r="K947" s="3"/>
      <c r="L947" s="3"/>
      <c r="M947" s="3"/>
      <c r="N947" s="3"/>
      <c r="O947" s="3"/>
      <c r="P947" s="3"/>
      <c r="Q947" s="3"/>
      <c r="R947" s="3"/>
      <c r="S947" s="3"/>
      <c r="T947" s="3"/>
      <c r="U947" s="3"/>
      <c r="V947" s="3"/>
      <c r="W947" s="3"/>
      <c r="X947" s="3"/>
      <c r="Y947" s="3"/>
      <c r="Z947" s="3"/>
    </row>
    <row r="948">
      <c r="A948" s="57"/>
      <c r="B948" s="57"/>
      <c r="C948" s="57"/>
      <c r="D948" s="3"/>
      <c r="E948" s="3"/>
      <c r="F948" s="3"/>
      <c r="G948" s="3"/>
      <c r="H948" s="3"/>
      <c r="I948" s="3"/>
      <c r="J948" s="3"/>
      <c r="K948" s="3"/>
      <c r="L948" s="3"/>
      <c r="M948" s="3"/>
      <c r="N948" s="3"/>
      <c r="O948" s="3"/>
      <c r="P948" s="3"/>
      <c r="Q948" s="3"/>
      <c r="R948" s="3"/>
      <c r="S948" s="3"/>
      <c r="T948" s="3"/>
      <c r="U948" s="3"/>
      <c r="V948" s="3"/>
      <c r="W948" s="3"/>
      <c r="X948" s="3"/>
      <c r="Y948" s="3"/>
      <c r="Z948" s="3"/>
    </row>
    <row r="949">
      <c r="A949" s="57"/>
      <c r="B949" s="57"/>
      <c r="C949" s="57"/>
      <c r="D949" s="3"/>
      <c r="E949" s="3"/>
      <c r="F949" s="3"/>
      <c r="G949" s="3"/>
      <c r="H949" s="3"/>
      <c r="I949" s="3"/>
      <c r="J949" s="3"/>
      <c r="K949" s="3"/>
      <c r="L949" s="3"/>
      <c r="M949" s="3"/>
      <c r="N949" s="3"/>
      <c r="O949" s="3"/>
      <c r="P949" s="3"/>
      <c r="Q949" s="3"/>
      <c r="R949" s="3"/>
      <c r="S949" s="3"/>
      <c r="T949" s="3"/>
      <c r="U949" s="3"/>
      <c r="V949" s="3"/>
      <c r="W949" s="3"/>
      <c r="X949" s="3"/>
      <c r="Y949" s="3"/>
      <c r="Z949" s="3"/>
    </row>
    <row r="950">
      <c r="A950" s="57"/>
      <c r="B950" s="57"/>
      <c r="C950" s="57"/>
      <c r="D950" s="3"/>
      <c r="E950" s="3"/>
      <c r="F950" s="3"/>
      <c r="G950" s="3"/>
      <c r="H950" s="3"/>
      <c r="I950" s="3"/>
      <c r="J950" s="3"/>
      <c r="K950" s="3"/>
      <c r="L950" s="3"/>
      <c r="M950" s="3"/>
      <c r="N950" s="3"/>
      <c r="O950" s="3"/>
      <c r="P950" s="3"/>
      <c r="Q950" s="3"/>
      <c r="R950" s="3"/>
      <c r="S950" s="3"/>
      <c r="T950" s="3"/>
      <c r="U950" s="3"/>
      <c r="V950" s="3"/>
      <c r="W950" s="3"/>
      <c r="X950" s="3"/>
      <c r="Y950" s="3"/>
      <c r="Z950" s="3"/>
    </row>
    <row r="951">
      <c r="A951" s="57"/>
      <c r="B951" s="57"/>
      <c r="C951" s="57"/>
      <c r="D951" s="3"/>
      <c r="E951" s="3"/>
      <c r="F951" s="3"/>
      <c r="G951" s="3"/>
      <c r="H951" s="3"/>
      <c r="I951" s="3"/>
      <c r="J951" s="3"/>
      <c r="K951" s="3"/>
      <c r="L951" s="3"/>
      <c r="M951" s="3"/>
      <c r="N951" s="3"/>
      <c r="O951" s="3"/>
      <c r="P951" s="3"/>
      <c r="Q951" s="3"/>
      <c r="R951" s="3"/>
      <c r="S951" s="3"/>
      <c r="T951" s="3"/>
      <c r="U951" s="3"/>
      <c r="V951" s="3"/>
      <c r="W951" s="3"/>
      <c r="X951" s="3"/>
      <c r="Y951" s="3"/>
      <c r="Z951" s="3"/>
    </row>
    <row r="952">
      <c r="A952" s="57"/>
      <c r="B952" s="57"/>
      <c r="C952" s="57"/>
      <c r="D952" s="3"/>
      <c r="E952" s="3"/>
      <c r="F952" s="3"/>
      <c r="G952" s="3"/>
      <c r="H952" s="3"/>
      <c r="I952" s="3"/>
      <c r="J952" s="3"/>
      <c r="K952" s="3"/>
      <c r="L952" s="3"/>
      <c r="M952" s="3"/>
      <c r="N952" s="3"/>
      <c r="O952" s="3"/>
      <c r="P952" s="3"/>
      <c r="Q952" s="3"/>
      <c r="R952" s="3"/>
      <c r="S952" s="3"/>
      <c r="T952" s="3"/>
      <c r="U952" s="3"/>
      <c r="V952" s="3"/>
      <c r="W952" s="3"/>
      <c r="X952" s="3"/>
      <c r="Y952" s="3"/>
      <c r="Z952" s="3"/>
    </row>
    <row r="953">
      <c r="A953" s="57"/>
      <c r="B953" s="57"/>
      <c r="C953" s="57"/>
      <c r="D953" s="3"/>
      <c r="E953" s="3"/>
      <c r="F953" s="3"/>
      <c r="G953" s="3"/>
      <c r="H953" s="3"/>
      <c r="I953" s="3"/>
      <c r="J953" s="3"/>
      <c r="K953" s="3"/>
      <c r="L953" s="3"/>
      <c r="M953" s="3"/>
      <c r="N953" s="3"/>
      <c r="O953" s="3"/>
      <c r="P953" s="3"/>
      <c r="Q953" s="3"/>
      <c r="R953" s="3"/>
      <c r="S953" s="3"/>
      <c r="T953" s="3"/>
      <c r="U953" s="3"/>
      <c r="V953" s="3"/>
      <c r="W953" s="3"/>
      <c r="X953" s="3"/>
      <c r="Y953" s="3"/>
      <c r="Z953" s="3"/>
    </row>
    <row r="954">
      <c r="A954" s="57"/>
      <c r="B954" s="57"/>
      <c r="C954" s="57"/>
      <c r="D954" s="3"/>
      <c r="E954" s="3"/>
      <c r="F954" s="3"/>
      <c r="G954" s="3"/>
      <c r="H954" s="3"/>
      <c r="I954" s="3"/>
      <c r="J954" s="3"/>
      <c r="K954" s="3"/>
      <c r="L954" s="3"/>
      <c r="M954" s="3"/>
      <c r="N954" s="3"/>
      <c r="O954" s="3"/>
      <c r="P954" s="3"/>
      <c r="Q954" s="3"/>
      <c r="R954" s="3"/>
      <c r="S954" s="3"/>
      <c r="T954" s="3"/>
      <c r="U954" s="3"/>
      <c r="V954" s="3"/>
      <c r="W954" s="3"/>
      <c r="X954" s="3"/>
      <c r="Y954" s="3"/>
      <c r="Z954" s="3"/>
    </row>
    <row r="955">
      <c r="A955" s="57"/>
      <c r="B955" s="57"/>
      <c r="C955" s="57"/>
      <c r="D955" s="3"/>
      <c r="E955" s="3"/>
      <c r="F955" s="3"/>
      <c r="G955" s="3"/>
      <c r="H955" s="3"/>
      <c r="I955" s="3"/>
      <c r="J955" s="3"/>
      <c r="K955" s="3"/>
      <c r="L955" s="3"/>
      <c r="M955" s="3"/>
      <c r="N955" s="3"/>
      <c r="O955" s="3"/>
      <c r="P955" s="3"/>
      <c r="Q955" s="3"/>
      <c r="R955" s="3"/>
      <c r="S955" s="3"/>
      <c r="T955" s="3"/>
      <c r="U955" s="3"/>
      <c r="V955" s="3"/>
      <c r="W955" s="3"/>
      <c r="X955" s="3"/>
      <c r="Y955" s="3"/>
      <c r="Z955" s="3"/>
    </row>
    <row r="956">
      <c r="A956" s="57"/>
      <c r="B956" s="57"/>
      <c r="C956" s="57"/>
      <c r="D956" s="3"/>
      <c r="E956" s="3"/>
      <c r="F956" s="3"/>
      <c r="G956" s="3"/>
      <c r="H956" s="3"/>
      <c r="I956" s="3"/>
      <c r="J956" s="3"/>
      <c r="K956" s="3"/>
      <c r="L956" s="3"/>
      <c r="M956" s="3"/>
      <c r="N956" s="3"/>
      <c r="O956" s="3"/>
      <c r="P956" s="3"/>
      <c r="Q956" s="3"/>
      <c r="R956" s="3"/>
      <c r="S956" s="3"/>
      <c r="T956" s="3"/>
      <c r="U956" s="3"/>
      <c r="V956" s="3"/>
      <c r="W956" s="3"/>
      <c r="X956" s="3"/>
      <c r="Y956" s="3"/>
      <c r="Z956" s="3"/>
    </row>
    <row r="957">
      <c r="A957" s="57"/>
      <c r="B957" s="57"/>
      <c r="C957" s="57"/>
      <c r="D957" s="3"/>
      <c r="E957" s="3"/>
      <c r="F957" s="3"/>
      <c r="G957" s="3"/>
      <c r="H957" s="3"/>
      <c r="I957" s="3"/>
      <c r="J957" s="3"/>
      <c r="K957" s="3"/>
      <c r="L957" s="3"/>
      <c r="M957" s="3"/>
      <c r="N957" s="3"/>
      <c r="O957" s="3"/>
      <c r="P957" s="3"/>
      <c r="Q957" s="3"/>
      <c r="R957" s="3"/>
      <c r="S957" s="3"/>
      <c r="T957" s="3"/>
      <c r="U957" s="3"/>
      <c r="V957" s="3"/>
      <c r="W957" s="3"/>
      <c r="X957" s="3"/>
      <c r="Y957" s="3"/>
      <c r="Z957" s="3"/>
    </row>
    <row r="958">
      <c r="A958" s="57"/>
      <c r="B958" s="57"/>
      <c r="C958" s="57"/>
      <c r="D958" s="3"/>
      <c r="E958" s="3"/>
      <c r="F958" s="3"/>
      <c r="G958" s="3"/>
      <c r="H958" s="3"/>
      <c r="I958" s="3"/>
      <c r="J958" s="3"/>
      <c r="K958" s="3"/>
      <c r="L958" s="3"/>
      <c r="M958" s="3"/>
      <c r="N958" s="3"/>
      <c r="O958" s="3"/>
      <c r="P958" s="3"/>
      <c r="Q958" s="3"/>
      <c r="R958" s="3"/>
      <c r="S958" s="3"/>
      <c r="T958" s="3"/>
      <c r="U958" s="3"/>
      <c r="V958" s="3"/>
      <c r="W958" s="3"/>
      <c r="X958" s="3"/>
      <c r="Y958" s="3"/>
      <c r="Z958" s="3"/>
    </row>
    <row r="959">
      <c r="A959" s="57"/>
      <c r="B959" s="57"/>
      <c r="C959" s="57"/>
      <c r="D959" s="3"/>
      <c r="E959" s="3"/>
      <c r="F959" s="3"/>
      <c r="G959" s="3"/>
      <c r="H959" s="3"/>
      <c r="I959" s="3"/>
      <c r="J959" s="3"/>
      <c r="K959" s="3"/>
      <c r="L959" s="3"/>
      <c r="M959" s="3"/>
      <c r="N959" s="3"/>
      <c r="O959" s="3"/>
      <c r="P959" s="3"/>
      <c r="Q959" s="3"/>
      <c r="R959" s="3"/>
      <c r="S959" s="3"/>
      <c r="T959" s="3"/>
      <c r="U959" s="3"/>
      <c r="V959" s="3"/>
      <c r="W959" s="3"/>
      <c r="X959" s="3"/>
      <c r="Y959" s="3"/>
      <c r="Z959" s="3"/>
    </row>
    <row r="960">
      <c r="A960" s="57"/>
      <c r="B960" s="57"/>
      <c r="C960" s="57"/>
      <c r="D960" s="3"/>
      <c r="E960" s="3"/>
      <c r="F960" s="3"/>
      <c r="G960" s="3"/>
      <c r="H960" s="3"/>
      <c r="I960" s="3"/>
      <c r="J960" s="3"/>
      <c r="K960" s="3"/>
      <c r="L960" s="3"/>
      <c r="M960" s="3"/>
      <c r="N960" s="3"/>
      <c r="O960" s="3"/>
      <c r="P960" s="3"/>
      <c r="Q960" s="3"/>
      <c r="R960" s="3"/>
      <c r="S960" s="3"/>
      <c r="T960" s="3"/>
      <c r="U960" s="3"/>
      <c r="V960" s="3"/>
      <c r="W960" s="3"/>
      <c r="X960" s="3"/>
      <c r="Y960" s="3"/>
      <c r="Z960" s="3"/>
    </row>
    <row r="961">
      <c r="A961" s="57"/>
      <c r="B961" s="57"/>
      <c r="C961" s="57"/>
      <c r="D961" s="3"/>
      <c r="E961" s="3"/>
      <c r="F961" s="3"/>
      <c r="G961" s="3"/>
      <c r="H961" s="3"/>
      <c r="I961" s="3"/>
      <c r="J961" s="3"/>
      <c r="K961" s="3"/>
      <c r="L961" s="3"/>
      <c r="M961" s="3"/>
      <c r="N961" s="3"/>
      <c r="O961" s="3"/>
      <c r="P961" s="3"/>
      <c r="Q961" s="3"/>
      <c r="R961" s="3"/>
      <c r="S961" s="3"/>
      <c r="T961" s="3"/>
      <c r="U961" s="3"/>
      <c r="V961" s="3"/>
      <c r="W961" s="3"/>
      <c r="X961" s="3"/>
      <c r="Y961" s="3"/>
      <c r="Z961" s="3"/>
    </row>
    <row r="962">
      <c r="A962" s="57"/>
      <c r="B962" s="57"/>
      <c r="C962" s="57"/>
      <c r="D962" s="3"/>
      <c r="E962" s="3"/>
      <c r="F962" s="3"/>
      <c r="G962" s="3"/>
      <c r="H962" s="3"/>
      <c r="I962" s="3"/>
      <c r="J962" s="3"/>
      <c r="K962" s="3"/>
      <c r="L962" s="3"/>
      <c r="M962" s="3"/>
      <c r="N962" s="3"/>
      <c r="O962" s="3"/>
      <c r="P962" s="3"/>
      <c r="Q962" s="3"/>
      <c r="R962" s="3"/>
      <c r="S962" s="3"/>
      <c r="T962" s="3"/>
      <c r="U962" s="3"/>
      <c r="V962" s="3"/>
      <c r="W962" s="3"/>
      <c r="X962" s="3"/>
      <c r="Y962" s="3"/>
      <c r="Z962" s="3"/>
    </row>
    <row r="963">
      <c r="A963" s="57"/>
      <c r="B963" s="57"/>
      <c r="C963" s="57"/>
      <c r="D963" s="3"/>
      <c r="E963" s="3"/>
      <c r="F963" s="3"/>
      <c r="G963" s="3"/>
      <c r="H963" s="3"/>
      <c r="I963" s="3"/>
      <c r="J963" s="3"/>
      <c r="K963" s="3"/>
      <c r="L963" s="3"/>
      <c r="M963" s="3"/>
      <c r="N963" s="3"/>
      <c r="O963" s="3"/>
      <c r="P963" s="3"/>
      <c r="Q963" s="3"/>
      <c r="R963" s="3"/>
      <c r="S963" s="3"/>
      <c r="T963" s="3"/>
      <c r="U963" s="3"/>
      <c r="V963" s="3"/>
      <c r="W963" s="3"/>
      <c r="X963" s="3"/>
      <c r="Y963" s="3"/>
      <c r="Z963" s="3"/>
    </row>
    <row r="964">
      <c r="A964" s="57"/>
      <c r="B964" s="57"/>
      <c r="C964" s="57"/>
      <c r="D964" s="3"/>
      <c r="E964" s="3"/>
      <c r="F964" s="3"/>
      <c r="G964" s="3"/>
      <c r="H964" s="3"/>
      <c r="I964" s="3"/>
      <c r="J964" s="3"/>
      <c r="K964" s="3"/>
      <c r="L964" s="3"/>
      <c r="M964" s="3"/>
      <c r="N964" s="3"/>
      <c r="O964" s="3"/>
      <c r="P964" s="3"/>
      <c r="Q964" s="3"/>
      <c r="R964" s="3"/>
      <c r="S964" s="3"/>
      <c r="T964" s="3"/>
      <c r="U964" s="3"/>
      <c r="V964" s="3"/>
      <c r="W964" s="3"/>
      <c r="X964" s="3"/>
      <c r="Y964" s="3"/>
      <c r="Z964" s="3"/>
    </row>
    <row r="965">
      <c r="A965" s="57"/>
      <c r="B965" s="57"/>
      <c r="C965" s="57"/>
      <c r="D965" s="3"/>
      <c r="E965" s="3"/>
      <c r="F965" s="3"/>
      <c r="G965" s="3"/>
      <c r="H965" s="3"/>
      <c r="I965" s="3"/>
      <c r="J965" s="3"/>
      <c r="K965" s="3"/>
      <c r="L965" s="3"/>
      <c r="M965" s="3"/>
      <c r="N965" s="3"/>
      <c r="O965" s="3"/>
      <c r="P965" s="3"/>
      <c r="Q965" s="3"/>
      <c r="R965" s="3"/>
      <c r="S965" s="3"/>
      <c r="T965" s="3"/>
      <c r="U965" s="3"/>
      <c r="V965" s="3"/>
      <c r="W965" s="3"/>
      <c r="X965" s="3"/>
      <c r="Y965" s="3"/>
      <c r="Z965" s="3"/>
    </row>
    <row r="966">
      <c r="A966" s="57"/>
      <c r="B966" s="57"/>
      <c r="C966" s="57"/>
      <c r="D966" s="3"/>
      <c r="E966" s="3"/>
      <c r="F966" s="3"/>
      <c r="G966" s="3"/>
      <c r="H966" s="3"/>
      <c r="I966" s="3"/>
      <c r="J966" s="3"/>
      <c r="K966" s="3"/>
      <c r="L966" s="3"/>
      <c r="M966" s="3"/>
      <c r="N966" s="3"/>
      <c r="O966" s="3"/>
      <c r="P966" s="3"/>
      <c r="Q966" s="3"/>
      <c r="R966" s="3"/>
      <c r="S966" s="3"/>
      <c r="T966" s="3"/>
      <c r="U966" s="3"/>
      <c r="V966" s="3"/>
      <c r="W966" s="3"/>
      <c r="X966" s="3"/>
      <c r="Y966" s="3"/>
      <c r="Z966" s="3"/>
    </row>
    <row r="967">
      <c r="A967" s="57"/>
      <c r="B967" s="57"/>
      <c r="C967" s="57"/>
      <c r="D967" s="3"/>
      <c r="E967" s="3"/>
      <c r="F967" s="3"/>
      <c r="G967" s="3"/>
      <c r="H967" s="3"/>
      <c r="I967" s="3"/>
      <c r="J967" s="3"/>
      <c r="K967" s="3"/>
      <c r="L967" s="3"/>
      <c r="M967" s="3"/>
      <c r="N967" s="3"/>
      <c r="O967" s="3"/>
      <c r="P967" s="3"/>
      <c r="Q967" s="3"/>
      <c r="R967" s="3"/>
      <c r="S967" s="3"/>
      <c r="T967" s="3"/>
      <c r="U967" s="3"/>
      <c r="V967" s="3"/>
      <c r="W967" s="3"/>
      <c r="X967" s="3"/>
      <c r="Y967" s="3"/>
      <c r="Z967" s="3"/>
    </row>
    <row r="968">
      <c r="A968" s="57"/>
      <c r="B968" s="57"/>
      <c r="C968" s="57"/>
      <c r="D968" s="3"/>
      <c r="E968" s="3"/>
      <c r="F968" s="3"/>
      <c r="G968" s="3"/>
      <c r="H968" s="3"/>
      <c r="I968" s="3"/>
      <c r="J968" s="3"/>
      <c r="K968" s="3"/>
      <c r="L968" s="3"/>
      <c r="M968" s="3"/>
      <c r="N968" s="3"/>
      <c r="O968" s="3"/>
      <c r="P968" s="3"/>
      <c r="Q968" s="3"/>
      <c r="R968" s="3"/>
      <c r="S968" s="3"/>
      <c r="T968" s="3"/>
      <c r="U968" s="3"/>
      <c r="V968" s="3"/>
      <c r="W968" s="3"/>
      <c r="X968" s="3"/>
      <c r="Y968" s="3"/>
      <c r="Z968" s="3"/>
    </row>
    <row r="969">
      <c r="A969" s="57"/>
      <c r="B969" s="57"/>
      <c r="C969" s="57"/>
      <c r="D969" s="3"/>
      <c r="E969" s="3"/>
      <c r="F969" s="3"/>
      <c r="G969" s="3"/>
      <c r="H969" s="3"/>
      <c r="I969" s="3"/>
      <c r="J969" s="3"/>
      <c r="K969" s="3"/>
      <c r="L969" s="3"/>
      <c r="M969" s="3"/>
      <c r="N969" s="3"/>
      <c r="O969" s="3"/>
      <c r="P969" s="3"/>
      <c r="Q969" s="3"/>
      <c r="R969" s="3"/>
      <c r="S969" s="3"/>
      <c r="T969" s="3"/>
      <c r="U969" s="3"/>
      <c r="V969" s="3"/>
      <c r="W969" s="3"/>
      <c r="X969" s="3"/>
      <c r="Y969" s="3"/>
      <c r="Z969" s="3"/>
    </row>
    <row r="970">
      <c r="A970" s="57"/>
      <c r="B970" s="57"/>
      <c r="C970" s="57"/>
      <c r="D970" s="3"/>
      <c r="E970" s="3"/>
      <c r="F970" s="3"/>
      <c r="G970" s="3"/>
      <c r="H970" s="3"/>
      <c r="I970" s="3"/>
      <c r="J970" s="3"/>
      <c r="K970" s="3"/>
      <c r="L970" s="3"/>
      <c r="M970" s="3"/>
      <c r="N970" s="3"/>
      <c r="O970" s="3"/>
      <c r="P970" s="3"/>
      <c r="Q970" s="3"/>
      <c r="R970" s="3"/>
      <c r="S970" s="3"/>
      <c r="T970" s="3"/>
      <c r="U970" s="3"/>
      <c r="V970" s="3"/>
      <c r="W970" s="3"/>
      <c r="X970" s="3"/>
      <c r="Y970" s="3"/>
      <c r="Z970" s="3"/>
    </row>
    <row r="971">
      <c r="A971" s="57"/>
      <c r="B971" s="57"/>
      <c r="C971" s="57"/>
      <c r="D971" s="3"/>
      <c r="E971" s="3"/>
      <c r="F971" s="3"/>
      <c r="G971" s="3"/>
      <c r="H971" s="3"/>
      <c r="I971" s="3"/>
      <c r="J971" s="3"/>
      <c r="K971" s="3"/>
      <c r="L971" s="3"/>
      <c r="M971" s="3"/>
      <c r="N971" s="3"/>
      <c r="O971" s="3"/>
      <c r="P971" s="3"/>
      <c r="Q971" s="3"/>
      <c r="R971" s="3"/>
      <c r="S971" s="3"/>
      <c r="T971" s="3"/>
      <c r="U971" s="3"/>
      <c r="V971" s="3"/>
      <c r="W971" s="3"/>
      <c r="X971" s="3"/>
      <c r="Y971" s="3"/>
      <c r="Z971" s="3"/>
    </row>
    <row r="972">
      <c r="A972" s="57"/>
      <c r="B972" s="57"/>
      <c r="C972" s="57"/>
      <c r="D972" s="3"/>
      <c r="E972" s="3"/>
      <c r="F972" s="3"/>
      <c r="G972" s="3"/>
      <c r="H972" s="3"/>
      <c r="I972" s="3"/>
      <c r="J972" s="3"/>
      <c r="K972" s="3"/>
      <c r="L972" s="3"/>
      <c r="M972" s="3"/>
      <c r="N972" s="3"/>
      <c r="O972" s="3"/>
      <c r="P972" s="3"/>
      <c r="Q972" s="3"/>
      <c r="R972" s="3"/>
      <c r="S972" s="3"/>
      <c r="T972" s="3"/>
      <c r="U972" s="3"/>
      <c r="V972" s="3"/>
      <c r="W972" s="3"/>
      <c r="X972" s="3"/>
      <c r="Y972" s="3"/>
      <c r="Z972" s="3"/>
    </row>
    <row r="973">
      <c r="A973" s="57"/>
      <c r="B973" s="57"/>
      <c r="C973" s="57"/>
      <c r="D973" s="3"/>
      <c r="E973" s="3"/>
      <c r="F973" s="3"/>
      <c r="G973" s="3"/>
      <c r="H973" s="3"/>
      <c r="I973" s="3"/>
      <c r="J973" s="3"/>
      <c r="K973" s="3"/>
      <c r="L973" s="3"/>
      <c r="M973" s="3"/>
      <c r="N973" s="3"/>
      <c r="O973" s="3"/>
      <c r="P973" s="3"/>
      <c r="Q973" s="3"/>
      <c r="R973" s="3"/>
      <c r="S973" s="3"/>
      <c r="T973" s="3"/>
      <c r="U973" s="3"/>
      <c r="V973" s="3"/>
      <c r="W973" s="3"/>
      <c r="X973" s="3"/>
      <c r="Y973" s="3"/>
      <c r="Z973" s="3"/>
    </row>
    <row r="974">
      <c r="A974" s="57"/>
      <c r="B974" s="57"/>
      <c r="C974" s="57"/>
      <c r="D974" s="3"/>
      <c r="E974" s="3"/>
      <c r="F974" s="3"/>
      <c r="G974" s="3"/>
      <c r="H974" s="3"/>
      <c r="I974" s="3"/>
      <c r="J974" s="3"/>
      <c r="K974" s="3"/>
      <c r="L974" s="3"/>
      <c r="M974" s="3"/>
      <c r="N974" s="3"/>
      <c r="O974" s="3"/>
      <c r="P974" s="3"/>
      <c r="Q974" s="3"/>
      <c r="R974" s="3"/>
      <c r="S974" s="3"/>
      <c r="T974" s="3"/>
      <c r="U974" s="3"/>
      <c r="V974" s="3"/>
      <c r="W974" s="3"/>
      <c r="X974" s="3"/>
      <c r="Y974" s="3"/>
      <c r="Z974" s="3"/>
    </row>
    <row r="975">
      <c r="A975" s="57"/>
      <c r="B975" s="57"/>
      <c r="C975" s="57"/>
      <c r="D975" s="3"/>
      <c r="E975" s="3"/>
      <c r="F975" s="3"/>
      <c r="G975" s="3"/>
      <c r="H975" s="3"/>
      <c r="I975" s="3"/>
      <c r="J975" s="3"/>
      <c r="K975" s="3"/>
      <c r="L975" s="3"/>
      <c r="M975" s="3"/>
      <c r="N975" s="3"/>
      <c r="O975" s="3"/>
      <c r="P975" s="3"/>
      <c r="Q975" s="3"/>
      <c r="R975" s="3"/>
      <c r="S975" s="3"/>
      <c r="T975" s="3"/>
      <c r="U975" s="3"/>
      <c r="V975" s="3"/>
      <c r="W975" s="3"/>
      <c r="X975" s="3"/>
      <c r="Y975" s="3"/>
      <c r="Z975" s="3"/>
    </row>
    <row r="976">
      <c r="A976" s="57"/>
      <c r="B976" s="57"/>
      <c r="C976" s="57"/>
      <c r="D976" s="3"/>
      <c r="E976" s="3"/>
      <c r="F976" s="3"/>
      <c r="G976" s="3"/>
      <c r="H976" s="3"/>
      <c r="I976" s="3"/>
      <c r="J976" s="3"/>
      <c r="K976" s="3"/>
      <c r="L976" s="3"/>
      <c r="M976" s="3"/>
      <c r="N976" s="3"/>
      <c r="O976" s="3"/>
      <c r="P976" s="3"/>
      <c r="Q976" s="3"/>
      <c r="R976" s="3"/>
      <c r="S976" s="3"/>
      <c r="T976" s="3"/>
      <c r="U976" s="3"/>
      <c r="V976" s="3"/>
      <c r="W976" s="3"/>
      <c r="X976" s="3"/>
      <c r="Y976" s="3"/>
      <c r="Z976" s="3"/>
    </row>
    <row r="977">
      <c r="A977" s="57"/>
      <c r="B977" s="57"/>
      <c r="C977" s="57"/>
      <c r="D977" s="3"/>
      <c r="E977" s="3"/>
      <c r="F977" s="3"/>
      <c r="G977" s="3"/>
      <c r="H977" s="3"/>
      <c r="I977" s="3"/>
      <c r="J977" s="3"/>
      <c r="K977" s="3"/>
      <c r="L977" s="3"/>
      <c r="M977" s="3"/>
      <c r="N977" s="3"/>
      <c r="O977" s="3"/>
      <c r="P977" s="3"/>
      <c r="Q977" s="3"/>
      <c r="R977" s="3"/>
      <c r="S977" s="3"/>
      <c r="T977" s="3"/>
      <c r="U977" s="3"/>
      <c r="V977" s="3"/>
      <c r="W977" s="3"/>
      <c r="X977" s="3"/>
      <c r="Y977" s="3"/>
      <c r="Z977" s="3"/>
    </row>
    <row r="978">
      <c r="A978" s="57"/>
      <c r="B978" s="57"/>
      <c r="C978" s="57"/>
      <c r="D978" s="3"/>
      <c r="E978" s="3"/>
      <c r="F978" s="3"/>
      <c r="G978" s="3"/>
      <c r="H978" s="3"/>
      <c r="I978" s="3"/>
      <c r="J978" s="3"/>
      <c r="K978" s="3"/>
      <c r="L978" s="3"/>
      <c r="M978" s="3"/>
      <c r="N978" s="3"/>
      <c r="O978" s="3"/>
      <c r="P978" s="3"/>
      <c r="Q978" s="3"/>
      <c r="R978" s="3"/>
      <c r="S978" s="3"/>
      <c r="T978" s="3"/>
      <c r="U978" s="3"/>
      <c r="V978" s="3"/>
      <c r="W978" s="3"/>
      <c r="X978" s="3"/>
      <c r="Y978" s="3"/>
      <c r="Z978" s="3"/>
    </row>
    <row r="979">
      <c r="A979" s="57"/>
      <c r="B979" s="57"/>
      <c r="C979" s="57"/>
      <c r="D979" s="3"/>
      <c r="E979" s="3"/>
      <c r="F979" s="3"/>
      <c r="G979" s="3"/>
      <c r="H979" s="3"/>
      <c r="I979" s="3"/>
      <c r="J979" s="3"/>
      <c r="K979" s="3"/>
      <c r="L979" s="3"/>
      <c r="M979" s="3"/>
      <c r="N979" s="3"/>
      <c r="O979" s="3"/>
      <c r="P979" s="3"/>
      <c r="Q979" s="3"/>
      <c r="R979" s="3"/>
      <c r="S979" s="3"/>
      <c r="T979" s="3"/>
      <c r="U979" s="3"/>
      <c r="V979" s="3"/>
      <c r="W979" s="3"/>
      <c r="X979" s="3"/>
      <c r="Y979" s="3"/>
      <c r="Z979" s="3"/>
    </row>
    <row r="980">
      <c r="A980" s="57"/>
      <c r="B980" s="57"/>
      <c r="C980" s="57"/>
      <c r="D980" s="3"/>
      <c r="E980" s="3"/>
      <c r="F980" s="3"/>
      <c r="G980" s="3"/>
      <c r="H980" s="3"/>
      <c r="I980" s="3"/>
      <c r="J980" s="3"/>
      <c r="K980" s="3"/>
      <c r="L980" s="3"/>
      <c r="M980" s="3"/>
      <c r="N980" s="3"/>
      <c r="O980" s="3"/>
      <c r="P980" s="3"/>
      <c r="Q980" s="3"/>
      <c r="R980" s="3"/>
      <c r="S980" s="3"/>
      <c r="T980" s="3"/>
      <c r="U980" s="3"/>
      <c r="V980" s="3"/>
      <c r="W980" s="3"/>
      <c r="X980" s="3"/>
      <c r="Y980" s="3"/>
      <c r="Z980" s="3"/>
    </row>
    <row r="981">
      <c r="A981" s="57"/>
      <c r="B981" s="57"/>
      <c r="C981" s="57"/>
      <c r="D981" s="3"/>
      <c r="E981" s="3"/>
      <c r="F981" s="3"/>
      <c r="G981" s="3"/>
      <c r="H981" s="3"/>
      <c r="I981" s="3"/>
      <c r="J981" s="3"/>
      <c r="K981" s="3"/>
      <c r="L981" s="3"/>
      <c r="M981" s="3"/>
      <c r="N981" s="3"/>
      <c r="O981" s="3"/>
      <c r="P981" s="3"/>
      <c r="Q981" s="3"/>
      <c r="R981" s="3"/>
      <c r="S981" s="3"/>
      <c r="T981" s="3"/>
      <c r="U981" s="3"/>
      <c r="V981" s="3"/>
      <c r="W981" s="3"/>
      <c r="X981" s="3"/>
      <c r="Y981" s="3"/>
      <c r="Z981" s="3"/>
    </row>
    <row r="982">
      <c r="A982" s="57"/>
      <c r="B982" s="57"/>
      <c r="C982" s="57"/>
      <c r="D982" s="3"/>
      <c r="E982" s="3"/>
      <c r="F982" s="3"/>
      <c r="G982" s="3"/>
      <c r="H982" s="3"/>
      <c r="I982" s="3"/>
      <c r="J982" s="3"/>
      <c r="K982" s="3"/>
      <c r="L982" s="3"/>
      <c r="M982" s="3"/>
      <c r="N982" s="3"/>
      <c r="O982" s="3"/>
      <c r="P982" s="3"/>
      <c r="Q982" s="3"/>
      <c r="R982" s="3"/>
      <c r="S982" s="3"/>
      <c r="T982" s="3"/>
      <c r="U982" s="3"/>
      <c r="V982" s="3"/>
      <c r="W982" s="3"/>
      <c r="X982" s="3"/>
      <c r="Y982" s="3"/>
      <c r="Z982" s="3"/>
    </row>
    <row r="983">
      <c r="A983" s="57"/>
      <c r="B983" s="57"/>
      <c r="C983" s="57"/>
      <c r="D983" s="3"/>
      <c r="E983" s="3"/>
      <c r="F983" s="3"/>
      <c r="G983" s="3"/>
      <c r="H983" s="3"/>
      <c r="I983" s="3"/>
      <c r="J983" s="3"/>
      <c r="K983" s="3"/>
      <c r="L983" s="3"/>
      <c r="M983" s="3"/>
      <c r="N983" s="3"/>
      <c r="O983" s="3"/>
      <c r="P983" s="3"/>
      <c r="Q983" s="3"/>
      <c r="R983" s="3"/>
      <c r="S983" s="3"/>
      <c r="T983" s="3"/>
      <c r="U983" s="3"/>
      <c r="V983" s="3"/>
      <c r="W983" s="3"/>
      <c r="X983" s="3"/>
      <c r="Y983" s="3"/>
      <c r="Z983" s="3"/>
    </row>
    <row r="984">
      <c r="A984" s="57"/>
      <c r="B984" s="57"/>
      <c r="C984" s="57"/>
      <c r="D984" s="3"/>
      <c r="E984" s="3"/>
      <c r="F984" s="3"/>
      <c r="G984" s="3"/>
      <c r="H984" s="3"/>
      <c r="I984" s="3"/>
      <c r="J984" s="3"/>
      <c r="K984" s="3"/>
      <c r="L984" s="3"/>
      <c r="M984" s="3"/>
      <c r="N984" s="3"/>
      <c r="O984" s="3"/>
      <c r="P984" s="3"/>
      <c r="Q984" s="3"/>
      <c r="R984" s="3"/>
      <c r="S984" s="3"/>
      <c r="T984" s="3"/>
      <c r="U984" s="3"/>
      <c r="V984" s="3"/>
      <c r="W984" s="3"/>
      <c r="X984" s="3"/>
      <c r="Y984" s="3"/>
      <c r="Z984" s="3"/>
    </row>
    <row r="985">
      <c r="A985" s="57"/>
      <c r="B985" s="57"/>
      <c r="C985" s="57"/>
      <c r="D985" s="3"/>
      <c r="E985" s="3"/>
      <c r="F985" s="3"/>
      <c r="G985" s="3"/>
      <c r="H985" s="3"/>
      <c r="I985" s="3"/>
      <c r="J985" s="3"/>
      <c r="K985" s="3"/>
      <c r="L985" s="3"/>
      <c r="M985" s="3"/>
      <c r="N985" s="3"/>
      <c r="O985" s="3"/>
      <c r="P985" s="3"/>
      <c r="Q985" s="3"/>
      <c r="R985" s="3"/>
      <c r="S985" s="3"/>
      <c r="T985" s="3"/>
      <c r="U985" s="3"/>
      <c r="V985" s="3"/>
      <c r="W985" s="3"/>
      <c r="X985" s="3"/>
      <c r="Y985" s="3"/>
      <c r="Z985" s="3"/>
    </row>
    <row r="986">
      <c r="A986" s="57"/>
      <c r="B986" s="57"/>
      <c r="C986" s="57"/>
      <c r="D986" s="3"/>
      <c r="E986" s="3"/>
      <c r="F986" s="3"/>
      <c r="G986" s="3"/>
      <c r="H986" s="3"/>
      <c r="I986" s="3"/>
      <c r="J986" s="3"/>
      <c r="K986" s="3"/>
      <c r="L986" s="3"/>
      <c r="M986" s="3"/>
      <c r="N986" s="3"/>
      <c r="O986" s="3"/>
      <c r="P986" s="3"/>
      <c r="Q986" s="3"/>
      <c r="R986" s="3"/>
      <c r="S986" s="3"/>
      <c r="T986" s="3"/>
      <c r="U986" s="3"/>
      <c r="V986" s="3"/>
      <c r="W986" s="3"/>
      <c r="X986" s="3"/>
      <c r="Y986" s="3"/>
      <c r="Z986" s="3"/>
    </row>
    <row r="987">
      <c r="A987" s="57"/>
      <c r="B987" s="57"/>
      <c r="C987" s="57"/>
      <c r="D987" s="3"/>
      <c r="E987" s="3"/>
      <c r="F987" s="3"/>
      <c r="G987" s="3"/>
      <c r="H987" s="3"/>
      <c r="I987" s="3"/>
      <c r="J987" s="3"/>
      <c r="K987" s="3"/>
      <c r="L987" s="3"/>
      <c r="M987" s="3"/>
      <c r="N987" s="3"/>
      <c r="O987" s="3"/>
      <c r="P987" s="3"/>
      <c r="Q987" s="3"/>
      <c r="R987" s="3"/>
      <c r="S987" s="3"/>
      <c r="T987" s="3"/>
      <c r="U987" s="3"/>
      <c r="V987" s="3"/>
      <c r="W987" s="3"/>
      <c r="X987" s="3"/>
      <c r="Y987" s="3"/>
      <c r="Z987" s="3"/>
    </row>
    <row r="988">
      <c r="A988" s="57"/>
      <c r="B988" s="57"/>
      <c r="C988" s="57"/>
      <c r="D988" s="3"/>
      <c r="E988" s="3"/>
      <c r="F988" s="3"/>
      <c r="G988" s="3"/>
      <c r="H988" s="3"/>
      <c r="I988" s="3"/>
      <c r="J988" s="3"/>
      <c r="K988" s="3"/>
      <c r="L988" s="3"/>
      <c r="M988" s="3"/>
      <c r="N988" s="3"/>
      <c r="O988" s="3"/>
      <c r="P988" s="3"/>
      <c r="Q988" s="3"/>
      <c r="R988" s="3"/>
      <c r="S988" s="3"/>
      <c r="T988" s="3"/>
      <c r="U988" s="3"/>
      <c r="V988" s="3"/>
      <c r="W988" s="3"/>
      <c r="X988" s="3"/>
      <c r="Y988" s="3"/>
      <c r="Z988" s="3"/>
    </row>
    <row r="989">
      <c r="A989" s="57"/>
      <c r="B989" s="57"/>
      <c r="C989" s="57"/>
      <c r="D989" s="3"/>
      <c r="E989" s="3"/>
      <c r="F989" s="3"/>
      <c r="G989" s="3"/>
      <c r="H989" s="3"/>
      <c r="I989" s="3"/>
      <c r="J989" s="3"/>
      <c r="K989" s="3"/>
      <c r="L989" s="3"/>
      <c r="M989" s="3"/>
      <c r="N989" s="3"/>
      <c r="O989" s="3"/>
      <c r="P989" s="3"/>
      <c r="Q989" s="3"/>
      <c r="R989" s="3"/>
      <c r="S989" s="3"/>
      <c r="T989" s="3"/>
      <c r="U989" s="3"/>
      <c r="V989" s="3"/>
      <c r="W989" s="3"/>
      <c r="X989" s="3"/>
      <c r="Y989" s="3"/>
      <c r="Z989" s="3"/>
    </row>
    <row r="990">
      <c r="A990" s="57"/>
      <c r="B990" s="57"/>
      <c r="C990" s="57"/>
      <c r="D990" s="3"/>
      <c r="E990" s="3"/>
      <c r="F990" s="3"/>
      <c r="G990" s="3"/>
      <c r="H990" s="3"/>
      <c r="I990" s="3"/>
      <c r="J990" s="3"/>
      <c r="K990" s="3"/>
      <c r="L990" s="3"/>
      <c r="M990" s="3"/>
      <c r="N990" s="3"/>
      <c r="O990" s="3"/>
      <c r="P990" s="3"/>
      <c r="Q990" s="3"/>
      <c r="R990" s="3"/>
      <c r="S990" s="3"/>
      <c r="T990" s="3"/>
      <c r="U990" s="3"/>
      <c r="V990" s="3"/>
      <c r="W990" s="3"/>
      <c r="X990" s="3"/>
      <c r="Y990" s="3"/>
      <c r="Z990" s="3"/>
    </row>
    <row r="991">
      <c r="A991" s="57"/>
      <c r="B991" s="57"/>
      <c r="C991" s="57"/>
      <c r="D991" s="3"/>
      <c r="E991" s="3"/>
      <c r="F991" s="3"/>
      <c r="G991" s="3"/>
      <c r="H991" s="3"/>
      <c r="I991" s="3"/>
      <c r="J991" s="3"/>
      <c r="K991" s="3"/>
      <c r="L991" s="3"/>
      <c r="M991" s="3"/>
      <c r="N991" s="3"/>
      <c r="O991" s="3"/>
      <c r="P991" s="3"/>
      <c r="Q991" s="3"/>
      <c r="R991" s="3"/>
      <c r="S991" s="3"/>
      <c r="T991" s="3"/>
      <c r="U991" s="3"/>
      <c r="V991" s="3"/>
      <c r="W991" s="3"/>
      <c r="X991" s="3"/>
      <c r="Y991" s="3"/>
      <c r="Z991" s="3"/>
    </row>
    <row r="992">
      <c r="A992" s="57"/>
      <c r="B992" s="57"/>
      <c r="C992" s="57"/>
      <c r="D992" s="3"/>
      <c r="E992" s="3"/>
      <c r="F992" s="3"/>
      <c r="G992" s="3"/>
      <c r="H992" s="3"/>
      <c r="I992" s="3"/>
      <c r="J992" s="3"/>
      <c r="K992" s="3"/>
      <c r="L992" s="3"/>
      <c r="M992" s="3"/>
      <c r="N992" s="3"/>
      <c r="O992" s="3"/>
      <c r="P992" s="3"/>
      <c r="Q992" s="3"/>
      <c r="R992" s="3"/>
      <c r="S992" s="3"/>
      <c r="T992" s="3"/>
      <c r="U992" s="3"/>
      <c r="V992" s="3"/>
      <c r="W992" s="3"/>
      <c r="X992" s="3"/>
      <c r="Y992" s="3"/>
      <c r="Z992" s="3"/>
    </row>
    <row r="993">
      <c r="A993" s="57"/>
      <c r="B993" s="57"/>
      <c r="C993" s="57"/>
      <c r="D993" s="3"/>
      <c r="E993" s="3"/>
      <c r="F993" s="3"/>
      <c r="G993" s="3"/>
      <c r="H993" s="3"/>
      <c r="I993" s="3"/>
      <c r="J993" s="3"/>
      <c r="K993" s="3"/>
      <c r="L993" s="3"/>
      <c r="M993" s="3"/>
      <c r="N993" s="3"/>
      <c r="O993" s="3"/>
      <c r="P993" s="3"/>
      <c r="Q993" s="3"/>
      <c r="R993" s="3"/>
      <c r="S993" s="3"/>
      <c r="T993" s="3"/>
      <c r="U993" s="3"/>
      <c r="V993" s="3"/>
      <c r="W993" s="3"/>
      <c r="X993" s="3"/>
      <c r="Y993" s="3"/>
      <c r="Z993" s="3"/>
    </row>
    <row r="994">
      <c r="A994" s="57"/>
      <c r="B994" s="57"/>
      <c r="C994" s="57"/>
      <c r="D994" s="3"/>
      <c r="E994" s="3"/>
      <c r="F994" s="3"/>
      <c r="G994" s="3"/>
      <c r="H994" s="3"/>
      <c r="I994" s="3"/>
      <c r="J994" s="3"/>
      <c r="K994" s="3"/>
      <c r="L994" s="3"/>
      <c r="M994" s="3"/>
      <c r="N994" s="3"/>
      <c r="O994" s="3"/>
      <c r="P994" s="3"/>
      <c r="Q994" s="3"/>
      <c r="R994" s="3"/>
      <c r="S994" s="3"/>
      <c r="T994" s="3"/>
      <c r="U994" s="3"/>
      <c r="V994" s="3"/>
      <c r="W994" s="3"/>
      <c r="X994" s="3"/>
      <c r="Y994" s="3"/>
      <c r="Z994" s="3"/>
    </row>
    <row r="995">
      <c r="A995" s="57"/>
      <c r="B995" s="57"/>
      <c r="C995" s="57"/>
      <c r="D995" s="3"/>
      <c r="E995" s="3"/>
      <c r="F995" s="3"/>
      <c r="G995" s="3"/>
      <c r="H995" s="3"/>
      <c r="I995" s="3"/>
      <c r="J995" s="3"/>
      <c r="K995" s="3"/>
      <c r="L995" s="3"/>
      <c r="M995" s="3"/>
      <c r="N995" s="3"/>
      <c r="O995" s="3"/>
      <c r="P995" s="3"/>
      <c r="Q995" s="3"/>
      <c r="R995" s="3"/>
      <c r="S995" s="3"/>
      <c r="T995" s="3"/>
      <c r="U995" s="3"/>
      <c r="V995" s="3"/>
      <c r="W995" s="3"/>
      <c r="X995" s="3"/>
      <c r="Y995" s="3"/>
      <c r="Z995" s="3"/>
    </row>
    <row r="996">
      <c r="A996" s="57"/>
      <c r="B996" s="57"/>
      <c r="C996" s="57"/>
      <c r="D996" s="3"/>
      <c r="E996" s="3"/>
      <c r="F996" s="3"/>
      <c r="G996" s="3"/>
      <c r="H996" s="3"/>
      <c r="I996" s="3"/>
      <c r="J996" s="3"/>
      <c r="K996" s="3"/>
      <c r="L996" s="3"/>
      <c r="M996" s="3"/>
      <c r="N996" s="3"/>
      <c r="O996" s="3"/>
      <c r="P996" s="3"/>
      <c r="Q996" s="3"/>
      <c r="R996" s="3"/>
      <c r="S996" s="3"/>
      <c r="T996" s="3"/>
      <c r="U996" s="3"/>
      <c r="V996" s="3"/>
      <c r="W996" s="3"/>
      <c r="X996" s="3"/>
      <c r="Y996" s="3"/>
      <c r="Z996" s="3"/>
    </row>
    <row r="997">
      <c r="A997" s="57"/>
      <c r="B997" s="57"/>
      <c r="C997" s="57"/>
      <c r="D997" s="3"/>
      <c r="E997" s="3"/>
      <c r="F997" s="3"/>
      <c r="G997" s="3"/>
      <c r="H997" s="3"/>
      <c r="I997" s="3"/>
      <c r="J997" s="3"/>
      <c r="K997" s="3"/>
      <c r="L997" s="3"/>
      <c r="M997" s="3"/>
      <c r="N997" s="3"/>
      <c r="O997" s="3"/>
      <c r="P997" s="3"/>
      <c r="Q997" s="3"/>
      <c r="R997" s="3"/>
      <c r="S997" s="3"/>
      <c r="T997" s="3"/>
      <c r="U997" s="3"/>
      <c r="V997" s="3"/>
      <c r="W997" s="3"/>
      <c r="X997" s="3"/>
      <c r="Y997" s="3"/>
      <c r="Z997" s="3"/>
    </row>
    <row r="998">
      <c r="A998" s="57"/>
      <c r="B998" s="57"/>
      <c r="C998" s="57"/>
      <c r="D998" s="3"/>
      <c r="E998" s="3"/>
      <c r="F998" s="3"/>
      <c r="G998" s="3"/>
      <c r="H998" s="3"/>
      <c r="I998" s="3"/>
      <c r="J998" s="3"/>
      <c r="K998" s="3"/>
      <c r="L998" s="3"/>
      <c r="M998" s="3"/>
      <c r="N998" s="3"/>
      <c r="O998" s="3"/>
      <c r="P998" s="3"/>
      <c r="Q998" s="3"/>
      <c r="R998" s="3"/>
      <c r="S998" s="3"/>
      <c r="T998" s="3"/>
      <c r="U998" s="3"/>
      <c r="V998" s="3"/>
      <c r="W998" s="3"/>
      <c r="X998" s="3"/>
      <c r="Y998" s="3"/>
      <c r="Z998" s="3"/>
    </row>
    <row r="999">
      <c r="A999" s="57"/>
      <c r="B999" s="57"/>
      <c r="C999" s="57"/>
      <c r="D999" s="3"/>
      <c r="E999" s="3"/>
      <c r="F999" s="3"/>
      <c r="G999" s="3"/>
      <c r="H999" s="3"/>
      <c r="I999" s="3"/>
      <c r="J999" s="3"/>
      <c r="K999" s="3"/>
      <c r="L999" s="3"/>
      <c r="M999" s="3"/>
      <c r="N999" s="3"/>
      <c r="O999" s="3"/>
      <c r="P999" s="3"/>
      <c r="Q999" s="3"/>
      <c r="R999" s="3"/>
      <c r="S999" s="3"/>
      <c r="T999" s="3"/>
      <c r="U999" s="3"/>
      <c r="V999" s="3"/>
      <c r="W999" s="3"/>
      <c r="X999" s="3"/>
      <c r="Y999" s="3"/>
      <c r="Z999" s="3"/>
    </row>
    <row r="1000">
      <c r="A1000" s="57"/>
      <c r="B1000" s="57"/>
      <c r="C1000" s="57"/>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57"/>
      <c r="B1001" s="57"/>
      <c r="C1001" s="57"/>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57"/>
      <c r="B1002" s="57"/>
      <c r="C1002" s="57"/>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c r="A1003" s="57"/>
      <c r="B1003" s="57"/>
      <c r="C1003" s="57"/>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c r="A1004" s="57"/>
      <c r="B1004" s="57"/>
      <c r="C1004" s="57"/>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c r="A1005" s="57"/>
      <c r="B1005" s="57"/>
      <c r="C1005" s="57"/>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c r="A1006" s="57"/>
      <c r="B1006" s="57"/>
      <c r="C1006" s="57"/>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c r="A1007" s="57"/>
      <c r="B1007" s="57"/>
      <c r="C1007" s="57"/>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3.25"/>
    <col customWidth="1" min="3" max="3" width="62.0"/>
    <col customWidth="1" min="4" max="4" width="64.13"/>
  </cols>
  <sheetData>
    <row r="1">
      <c r="A1" s="2" t="s">
        <v>5302</v>
      </c>
      <c r="B1" s="56" t="s">
        <v>5303</v>
      </c>
      <c r="C1" s="2" t="s">
        <v>5304</v>
      </c>
      <c r="D1" s="2" t="s">
        <v>5305</v>
      </c>
      <c r="E1" s="3"/>
      <c r="F1" s="3"/>
      <c r="G1" s="3"/>
      <c r="H1" s="3"/>
      <c r="I1" s="3"/>
      <c r="J1" s="3"/>
      <c r="K1" s="3"/>
      <c r="L1" s="3"/>
      <c r="M1" s="3"/>
      <c r="N1" s="3"/>
      <c r="O1" s="3"/>
      <c r="P1" s="3"/>
      <c r="Q1" s="3"/>
      <c r="R1" s="3"/>
      <c r="S1" s="3"/>
      <c r="T1" s="3"/>
      <c r="U1" s="3"/>
      <c r="V1" s="3"/>
      <c r="W1" s="3"/>
      <c r="X1" s="3"/>
      <c r="Y1" s="3"/>
      <c r="Z1" s="3"/>
      <c r="AA1" s="3"/>
    </row>
    <row r="2">
      <c r="A2" s="2">
        <v>3.0</v>
      </c>
      <c r="B2" s="56" t="s">
        <v>3</v>
      </c>
      <c r="C2" s="56" t="s">
        <v>5306</v>
      </c>
      <c r="D2" s="2" t="s">
        <v>5307</v>
      </c>
      <c r="E2" s="3"/>
      <c r="F2" s="3"/>
      <c r="G2" s="3"/>
      <c r="H2" s="3"/>
      <c r="I2" s="3"/>
      <c r="J2" s="3"/>
      <c r="K2" s="3"/>
      <c r="L2" s="3"/>
      <c r="M2" s="3"/>
      <c r="N2" s="3"/>
      <c r="O2" s="3"/>
      <c r="P2" s="3"/>
      <c r="Q2" s="3"/>
      <c r="R2" s="3"/>
      <c r="S2" s="3"/>
      <c r="T2" s="3"/>
      <c r="U2" s="3"/>
      <c r="V2" s="3"/>
      <c r="W2" s="3"/>
      <c r="X2" s="3"/>
      <c r="Y2" s="3"/>
      <c r="Z2" s="3"/>
      <c r="AA2" s="3"/>
    </row>
    <row r="3">
      <c r="A3" s="3"/>
      <c r="B3" s="56" t="s">
        <v>1</v>
      </c>
      <c r="C3" s="3"/>
      <c r="D3" s="3"/>
      <c r="E3" s="3"/>
      <c r="F3" s="3"/>
      <c r="G3" s="3"/>
      <c r="H3" s="3"/>
      <c r="I3" s="3"/>
      <c r="J3" s="3"/>
      <c r="K3" s="3"/>
      <c r="L3" s="3"/>
      <c r="M3" s="3"/>
      <c r="N3" s="3"/>
      <c r="O3" s="3"/>
      <c r="P3" s="3"/>
      <c r="Q3" s="3"/>
      <c r="R3" s="3"/>
      <c r="S3" s="3"/>
      <c r="T3" s="3"/>
      <c r="U3" s="3"/>
      <c r="V3" s="3"/>
      <c r="W3" s="3"/>
      <c r="X3" s="3"/>
      <c r="Y3" s="3"/>
      <c r="Z3" s="3"/>
      <c r="AA3" s="3"/>
    </row>
    <row r="4">
      <c r="A4" s="1"/>
      <c r="B4" s="56"/>
      <c r="C4" s="2"/>
      <c r="D4" s="3"/>
      <c r="E4" s="3"/>
      <c r="F4" s="3"/>
      <c r="G4" s="3"/>
      <c r="H4" s="3"/>
      <c r="I4" s="3"/>
      <c r="J4" s="3"/>
      <c r="K4" s="3"/>
      <c r="L4" s="3"/>
      <c r="M4" s="3"/>
      <c r="N4" s="3"/>
      <c r="O4" s="3"/>
      <c r="P4" s="3"/>
      <c r="Q4" s="3"/>
      <c r="R4" s="3"/>
      <c r="S4" s="3"/>
      <c r="T4" s="3"/>
      <c r="U4" s="3"/>
      <c r="V4" s="3"/>
      <c r="W4" s="3"/>
      <c r="X4" s="3"/>
      <c r="Y4" s="3"/>
      <c r="Z4" s="3"/>
      <c r="AA4" s="3"/>
    </row>
    <row r="5">
      <c r="A5" s="1">
        <v>206.0</v>
      </c>
      <c r="B5" s="56" t="s">
        <v>206</v>
      </c>
      <c r="C5" s="2" t="s">
        <v>5308</v>
      </c>
      <c r="D5" s="2"/>
      <c r="E5" s="3"/>
      <c r="F5" s="3"/>
      <c r="G5" s="3"/>
      <c r="H5" s="3"/>
      <c r="I5" s="3"/>
      <c r="J5" s="3"/>
      <c r="K5" s="3"/>
      <c r="L5" s="3"/>
      <c r="M5" s="3"/>
      <c r="N5" s="3"/>
      <c r="O5" s="3"/>
      <c r="P5" s="3"/>
      <c r="Q5" s="3"/>
      <c r="R5" s="3"/>
      <c r="S5" s="3"/>
      <c r="T5" s="3"/>
      <c r="U5" s="3"/>
      <c r="V5" s="3"/>
      <c r="W5" s="3"/>
      <c r="X5" s="3"/>
      <c r="Y5" s="3"/>
      <c r="Z5" s="3"/>
      <c r="AA5" s="3"/>
    </row>
    <row r="6">
      <c r="A6" s="1" t="str">
        <f>IF(MOD(ROW(),3)=1,(ROW()+2)/3,"")</f>
        <v/>
      </c>
      <c r="B6" s="56" t="s">
        <v>1</v>
      </c>
      <c r="C6" s="3"/>
      <c r="D6" s="3"/>
      <c r="E6" s="3"/>
      <c r="F6" s="3"/>
      <c r="G6" s="3"/>
      <c r="H6" s="3"/>
      <c r="I6" s="3"/>
      <c r="J6" s="3"/>
      <c r="K6" s="3"/>
      <c r="L6" s="3"/>
      <c r="M6" s="3"/>
      <c r="N6" s="3"/>
      <c r="O6" s="3"/>
      <c r="P6" s="3"/>
      <c r="Q6" s="3"/>
      <c r="R6" s="3"/>
      <c r="S6" s="3"/>
      <c r="T6" s="3"/>
      <c r="U6" s="3"/>
      <c r="V6" s="3"/>
      <c r="W6" s="3"/>
      <c r="X6" s="3"/>
      <c r="Y6" s="3"/>
      <c r="Z6" s="3"/>
      <c r="AA6" s="3"/>
    </row>
    <row r="7">
      <c r="A7" s="3"/>
      <c r="B7" s="57"/>
      <c r="C7" s="3"/>
      <c r="D7" s="3"/>
      <c r="E7" s="3"/>
      <c r="F7" s="3"/>
      <c r="G7" s="3"/>
      <c r="H7" s="3"/>
      <c r="I7" s="3"/>
      <c r="J7" s="3"/>
      <c r="K7" s="3"/>
      <c r="L7" s="3"/>
      <c r="M7" s="3"/>
      <c r="N7" s="3"/>
      <c r="O7" s="3"/>
      <c r="P7" s="3"/>
      <c r="Q7" s="3"/>
      <c r="R7" s="3"/>
      <c r="S7" s="3"/>
      <c r="T7" s="3"/>
      <c r="U7" s="3"/>
      <c r="V7" s="3"/>
      <c r="W7" s="3"/>
      <c r="X7" s="3"/>
      <c r="Y7" s="3"/>
      <c r="Z7" s="3"/>
      <c r="AA7" s="3"/>
    </row>
    <row r="8">
      <c r="A8" s="1" t="s">
        <v>4777</v>
      </c>
      <c r="B8" s="56" t="s">
        <v>270</v>
      </c>
      <c r="C8" s="2" t="s">
        <v>5309</v>
      </c>
      <c r="D8" s="2" t="s">
        <v>5310</v>
      </c>
      <c r="E8" s="3"/>
      <c r="F8" s="3"/>
      <c r="G8" s="3"/>
      <c r="H8" s="3"/>
      <c r="I8" s="3"/>
      <c r="J8" s="3"/>
      <c r="K8" s="3"/>
      <c r="L8" s="3"/>
      <c r="M8" s="3"/>
      <c r="N8" s="3"/>
      <c r="O8" s="3"/>
      <c r="P8" s="3"/>
      <c r="Q8" s="3"/>
      <c r="R8" s="3"/>
      <c r="S8" s="3"/>
      <c r="T8" s="3"/>
      <c r="U8" s="3"/>
      <c r="V8" s="3"/>
      <c r="W8" s="3"/>
      <c r="X8" s="3"/>
      <c r="Y8" s="3"/>
      <c r="Z8" s="3"/>
      <c r="AA8" s="3"/>
    </row>
    <row r="9">
      <c r="A9" s="1"/>
      <c r="B9" s="56" t="s">
        <v>271</v>
      </c>
      <c r="C9" s="3"/>
      <c r="D9" s="3"/>
      <c r="E9" s="3"/>
      <c r="F9" s="3"/>
      <c r="G9" s="3"/>
      <c r="H9" s="3"/>
      <c r="I9" s="3"/>
      <c r="J9" s="3"/>
      <c r="K9" s="3"/>
      <c r="L9" s="3"/>
      <c r="M9" s="3"/>
      <c r="N9" s="3"/>
      <c r="O9" s="3"/>
      <c r="P9" s="3"/>
      <c r="Q9" s="3"/>
      <c r="R9" s="3"/>
      <c r="S9" s="3"/>
      <c r="T9" s="3"/>
      <c r="U9" s="3"/>
      <c r="V9" s="3"/>
      <c r="W9" s="3"/>
      <c r="X9" s="3"/>
      <c r="Y9" s="3"/>
      <c r="Z9" s="3"/>
      <c r="AA9" s="3"/>
    </row>
    <row r="10">
      <c r="A10" s="1"/>
      <c r="B10" s="56" t="s">
        <v>272</v>
      </c>
      <c r="C10" s="3"/>
      <c r="D10" s="3"/>
      <c r="E10" s="3"/>
      <c r="F10" s="3"/>
      <c r="G10" s="3"/>
      <c r="H10" s="3"/>
      <c r="I10" s="3"/>
      <c r="J10" s="3"/>
      <c r="K10" s="3"/>
      <c r="L10" s="3"/>
      <c r="M10" s="3"/>
      <c r="N10" s="3"/>
      <c r="O10" s="3"/>
      <c r="P10" s="3"/>
      <c r="Q10" s="3"/>
      <c r="R10" s="3"/>
      <c r="S10" s="3"/>
      <c r="T10" s="3"/>
      <c r="U10" s="3"/>
      <c r="V10" s="3"/>
      <c r="W10" s="3"/>
      <c r="X10" s="3"/>
      <c r="Y10" s="3"/>
      <c r="Z10" s="3"/>
      <c r="AA10" s="3"/>
    </row>
    <row r="11">
      <c r="A11" s="1"/>
      <c r="B11" s="56" t="s">
        <v>273</v>
      </c>
      <c r="C11" s="3"/>
      <c r="D11" s="3"/>
      <c r="E11" s="3"/>
      <c r="F11" s="3"/>
      <c r="G11" s="3"/>
      <c r="H11" s="3"/>
      <c r="I11" s="3"/>
      <c r="J11" s="3"/>
      <c r="K11" s="3"/>
      <c r="L11" s="3"/>
      <c r="M11" s="3"/>
      <c r="N11" s="3"/>
      <c r="O11" s="3"/>
      <c r="P11" s="3"/>
      <c r="Q11" s="3"/>
      <c r="R11" s="3"/>
      <c r="S11" s="3"/>
      <c r="T11" s="3"/>
      <c r="U11" s="3"/>
      <c r="V11" s="3"/>
      <c r="W11" s="3"/>
      <c r="X11" s="3"/>
      <c r="Y11" s="3"/>
      <c r="Z11" s="3"/>
      <c r="AA11" s="3"/>
    </row>
    <row r="12">
      <c r="A12" s="1"/>
      <c r="B12" s="56" t="s">
        <v>274</v>
      </c>
      <c r="C12" s="3"/>
      <c r="D12" s="3"/>
      <c r="E12" s="3"/>
      <c r="F12" s="3"/>
      <c r="G12" s="3"/>
      <c r="H12" s="3"/>
      <c r="I12" s="3"/>
      <c r="J12" s="3"/>
      <c r="K12" s="3"/>
      <c r="L12" s="3"/>
      <c r="M12" s="3"/>
      <c r="N12" s="3"/>
      <c r="O12" s="3"/>
      <c r="P12" s="3"/>
      <c r="Q12" s="3"/>
      <c r="R12" s="3"/>
      <c r="S12" s="3"/>
      <c r="T12" s="3"/>
      <c r="U12" s="3"/>
      <c r="V12" s="3"/>
      <c r="W12" s="3"/>
      <c r="X12" s="3"/>
      <c r="Y12" s="3"/>
      <c r="Z12" s="3"/>
      <c r="AA12" s="3"/>
    </row>
    <row r="13">
      <c r="A13" s="1"/>
      <c r="B13" s="56" t="s">
        <v>275</v>
      </c>
      <c r="C13" s="3"/>
      <c r="D13" s="3"/>
      <c r="E13" s="3"/>
      <c r="F13" s="3"/>
      <c r="G13" s="3"/>
      <c r="H13" s="3"/>
      <c r="I13" s="3"/>
      <c r="J13" s="3"/>
      <c r="K13" s="3"/>
      <c r="L13" s="3"/>
      <c r="M13" s="3"/>
      <c r="N13" s="3"/>
      <c r="O13" s="3"/>
      <c r="P13" s="3"/>
      <c r="Q13" s="3"/>
      <c r="R13" s="3"/>
      <c r="S13" s="3"/>
      <c r="T13" s="3"/>
      <c r="U13" s="3"/>
      <c r="V13" s="3"/>
      <c r="W13" s="3"/>
      <c r="X13" s="3"/>
      <c r="Y13" s="3"/>
      <c r="Z13" s="3"/>
      <c r="AA13" s="3"/>
    </row>
    <row r="14">
      <c r="A14" s="1"/>
      <c r="B14" s="56" t="s">
        <v>276</v>
      </c>
      <c r="C14" s="3"/>
      <c r="D14" s="3"/>
      <c r="E14" s="3"/>
      <c r="F14" s="3"/>
      <c r="G14" s="3"/>
      <c r="H14" s="3"/>
      <c r="I14" s="3"/>
      <c r="J14" s="3"/>
      <c r="K14" s="3"/>
      <c r="L14" s="3"/>
      <c r="M14" s="3"/>
      <c r="N14" s="3"/>
      <c r="O14" s="3"/>
      <c r="P14" s="3"/>
      <c r="Q14" s="3"/>
      <c r="R14" s="3"/>
      <c r="S14" s="3"/>
      <c r="T14" s="3"/>
      <c r="U14" s="3"/>
      <c r="V14" s="3"/>
      <c r="W14" s="3"/>
      <c r="X14" s="3"/>
      <c r="Y14" s="3"/>
      <c r="Z14" s="3"/>
      <c r="AA14" s="3"/>
    </row>
    <row r="15">
      <c r="A15" s="1"/>
      <c r="B15" s="56" t="s">
        <v>1</v>
      </c>
      <c r="C15" s="3"/>
      <c r="D15" s="3"/>
      <c r="E15" s="3"/>
      <c r="F15" s="3"/>
      <c r="G15" s="3"/>
      <c r="H15" s="3"/>
      <c r="I15" s="3"/>
      <c r="J15" s="3"/>
      <c r="K15" s="3"/>
      <c r="L15" s="3"/>
      <c r="M15" s="3"/>
      <c r="N15" s="3"/>
      <c r="O15" s="3"/>
      <c r="P15" s="3"/>
      <c r="Q15" s="3"/>
      <c r="R15" s="3"/>
      <c r="S15" s="3"/>
      <c r="T15" s="3"/>
      <c r="U15" s="3"/>
      <c r="V15" s="3"/>
      <c r="W15" s="3"/>
      <c r="X15" s="3"/>
      <c r="Y15" s="3"/>
      <c r="Z15" s="3"/>
      <c r="AA15" s="3"/>
    </row>
    <row r="16">
      <c r="A16" s="3"/>
      <c r="B16" s="3"/>
      <c r="C16" s="3"/>
      <c r="D16" s="3"/>
      <c r="E16" s="3"/>
      <c r="F16" s="3"/>
      <c r="G16" s="3"/>
      <c r="H16" s="3"/>
      <c r="I16" s="3"/>
      <c r="J16" s="3"/>
      <c r="K16" s="3"/>
      <c r="L16" s="3"/>
      <c r="M16" s="3"/>
      <c r="N16" s="3"/>
      <c r="O16" s="3"/>
      <c r="P16" s="3"/>
      <c r="Q16" s="3"/>
      <c r="R16" s="3"/>
      <c r="S16" s="3"/>
      <c r="T16" s="3"/>
      <c r="U16" s="3"/>
      <c r="V16" s="3"/>
      <c r="W16" s="3"/>
      <c r="X16" s="3"/>
      <c r="Y16" s="3"/>
      <c r="Z16" s="3"/>
      <c r="AA16" s="3"/>
    </row>
    <row r="17">
      <c r="A17" s="3"/>
      <c r="B17" s="58"/>
      <c r="C17" s="3"/>
      <c r="D17" s="3"/>
      <c r="E17" s="3"/>
      <c r="F17" s="3"/>
      <c r="G17" s="3"/>
      <c r="H17" s="3"/>
      <c r="I17" s="3"/>
      <c r="J17" s="3"/>
      <c r="K17" s="3"/>
      <c r="L17" s="3"/>
      <c r="M17" s="3"/>
      <c r="N17" s="3"/>
      <c r="O17" s="3"/>
      <c r="P17" s="3"/>
      <c r="Q17" s="3"/>
      <c r="R17" s="3"/>
      <c r="S17" s="3"/>
      <c r="T17" s="3"/>
      <c r="U17" s="3"/>
      <c r="V17" s="3"/>
      <c r="W17" s="3"/>
      <c r="X17" s="3"/>
      <c r="Y17" s="3"/>
      <c r="Z17" s="3"/>
      <c r="AA17" s="3"/>
    </row>
    <row r="18">
      <c r="A18" s="3"/>
      <c r="B18" s="59"/>
      <c r="C18" s="3"/>
      <c r="D18" s="3"/>
      <c r="E18" s="3"/>
      <c r="F18" s="3"/>
      <c r="G18" s="3"/>
      <c r="H18" s="3"/>
      <c r="I18" s="3"/>
      <c r="J18" s="3"/>
      <c r="K18" s="3"/>
      <c r="L18" s="3"/>
      <c r="M18" s="3"/>
      <c r="N18" s="3"/>
      <c r="O18" s="3"/>
      <c r="P18" s="3"/>
      <c r="Q18" s="3"/>
      <c r="R18" s="3"/>
      <c r="S18" s="3"/>
      <c r="T18" s="3"/>
      <c r="U18" s="3"/>
      <c r="V18" s="3"/>
      <c r="W18" s="3"/>
      <c r="X18" s="3"/>
      <c r="Y18" s="3"/>
      <c r="Z18" s="3"/>
      <c r="AA18" s="3"/>
    </row>
    <row r="19">
      <c r="A19" s="3"/>
      <c r="B19" s="59"/>
      <c r="C19" s="3"/>
      <c r="D19" s="3"/>
      <c r="E19" s="3"/>
      <c r="F19" s="3"/>
      <c r="G19" s="3"/>
      <c r="H19" s="3"/>
      <c r="I19" s="3"/>
      <c r="J19" s="3"/>
      <c r="K19" s="3"/>
      <c r="L19" s="3"/>
      <c r="M19" s="3"/>
      <c r="N19" s="3"/>
      <c r="O19" s="3"/>
      <c r="P19" s="3"/>
      <c r="Q19" s="3"/>
      <c r="R19" s="3"/>
      <c r="S19" s="3"/>
      <c r="T19" s="3"/>
      <c r="U19" s="3"/>
      <c r="V19" s="3"/>
      <c r="W19" s="3"/>
      <c r="X19" s="3"/>
      <c r="Y19" s="3"/>
      <c r="Z19" s="3"/>
      <c r="AA19" s="3"/>
    </row>
    <row r="20">
      <c r="A20" s="3"/>
      <c r="B20" s="59"/>
      <c r="C20" s="3"/>
      <c r="D20" s="3"/>
      <c r="E20" s="3"/>
      <c r="F20" s="3"/>
      <c r="G20" s="3"/>
      <c r="H20" s="3"/>
      <c r="I20" s="3"/>
      <c r="J20" s="3"/>
      <c r="K20" s="3"/>
      <c r="L20" s="3"/>
      <c r="M20" s="3"/>
      <c r="N20" s="3"/>
      <c r="O20" s="3"/>
      <c r="P20" s="3"/>
      <c r="Q20" s="3"/>
      <c r="R20" s="3"/>
      <c r="S20" s="3"/>
      <c r="T20" s="3"/>
      <c r="U20" s="3"/>
      <c r="V20" s="3"/>
      <c r="W20" s="3"/>
      <c r="X20" s="3"/>
      <c r="Y20" s="3"/>
      <c r="Z20" s="3"/>
      <c r="AA20" s="3"/>
    </row>
    <row r="21">
      <c r="A21" s="3"/>
      <c r="B21" s="59"/>
      <c r="C21" s="3"/>
      <c r="D21" s="3"/>
      <c r="E21" s="3"/>
      <c r="F21" s="3"/>
      <c r="G21" s="3"/>
      <c r="H21" s="3"/>
      <c r="I21" s="3"/>
      <c r="J21" s="3"/>
      <c r="K21" s="3"/>
      <c r="L21" s="3"/>
      <c r="M21" s="3"/>
      <c r="N21" s="3"/>
      <c r="O21" s="3"/>
      <c r="P21" s="3"/>
      <c r="Q21" s="3"/>
      <c r="R21" s="3"/>
      <c r="S21" s="3"/>
      <c r="T21" s="3"/>
      <c r="U21" s="3"/>
      <c r="V21" s="3"/>
      <c r="W21" s="3"/>
      <c r="X21" s="3"/>
      <c r="Y21" s="3"/>
      <c r="Z21" s="3"/>
      <c r="AA21" s="3"/>
    </row>
    <row r="22">
      <c r="A22" s="3"/>
      <c r="B22" s="59"/>
      <c r="C22" s="3"/>
      <c r="D22" s="3"/>
      <c r="E22" s="3"/>
      <c r="F22" s="3"/>
      <c r="G22" s="3"/>
      <c r="H22" s="3"/>
      <c r="I22" s="3"/>
      <c r="J22" s="3"/>
      <c r="K22" s="3"/>
      <c r="L22" s="3"/>
      <c r="M22" s="3"/>
      <c r="N22" s="3"/>
      <c r="O22" s="3"/>
      <c r="P22" s="3"/>
      <c r="Q22" s="3"/>
      <c r="R22" s="3"/>
      <c r="S22" s="3"/>
      <c r="T22" s="3"/>
      <c r="U22" s="3"/>
      <c r="V22" s="3"/>
      <c r="W22" s="3"/>
      <c r="X22" s="3"/>
      <c r="Y22" s="3"/>
      <c r="Z22" s="3"/>
      <c r="AA22" s="3"/>
    </row>
    <row r="23">
      <c r="A23" s="3"/>
      <c r="B23" s="59"/>
      <c r="C23" s="3"/>
      <c r="D23" s="3"/>
      <c r="E23" s="3"/>
      <c r="F23" s="3"/>
      <c r="G23" s="3"/>
      <c r="H23" s="3"/>
      <c r="I23" s="3"/>
      <c r="J23" s="3"/>
      <c r="K23" s="3"/>
      <c r="L23" s="3"/>
      <c r="M23" s="3"/>
      <c r="N23" s="3"/>
      <c r="O23" s="3"/>
      <c r="P23" s="3"/>
      <c r="Q23" s="3"/>
      <c r="R23" s="3"/>
      <c r="S23" s="3"/>
      <c r="T23" s="3"/>
      <c r="U23" s="3"/>
      <c r="V23" s="3"/>
      <c r="W23" s="3"/>
      <c r="X23" s="3"/>
      <c r="Y23" s="3"/>
      <c r="Z23" s="3"/>
      <c r="AA23" s="3"/>
    </row>
    <row r="24">
      <c r="A24" s="3"/>
      <c r="B24" s="59"/>
      <c r="C24" s="3"/>
      <c r="D24" s="3"/>
      <c r="E24" s="3"/>
      <c r="F24" s="3"/>
      <c r="G24" s="3"/>
      <c r="H24" s="3"/>
      <c r="I24" s="3"/>
      <c r="J24" s="3"/>
      <c r="K24" s="3"/>
      <c r="L24" s="3"/>
      <c r="M24" s="3"/>
      <c r="N24" s="3"/>
      <c r="O24" s="3"/>
      <c r="P24" s="3"/>
      <c r="Q24" s="3"/>
      <c r="R24" s="3"/>
      <c r="S24" s="3"/>
      <c r="T24" s="3"/>
      <c r="U24" s="3"/>
      <c r="V24" s="3"/>
      <c r="W24" s="3"/>
      <c r="X24" s="3"/>
      <c r="Y24" s="3"/>
      <c r="Z24" s="3"/>
      <c r="AA24" s="3"/>
    </row>
    <row r="25">
      <c r="A25" s="3"/>
      <c r="B25" s="59"/>
      <c r="C25" s="3"/>
      <c r="D25" s="3"/>
      <c r="E25" s="3"/>
      <c r="F25" s="3"/>
      <c r="G25" s="3"/>
      <c r="H25" s="3"/>
      <c r="I25" s="3"/>
      <c r="J25" s="3"/>
      <c r="K25" s="3"/>
      <c r="L25" s="3"/>
      <c r="M25" s="3"/>
      <c r="N25" s="3"/>
      <c r="O25" s="3"/>
      <c r="P25" s="3"/>
      <c r="Q25" s="3"/>
      <c r="R25" s="3"/>
      <c r="S25" s="3"/>
      <c r="T25" s="3"/>
      <c r="U25" s="3"/>
      <c r="V25" s="3"/>
      <c r="W25" s="3"/>
      <c r="X25" s="3"/>
      <c r="Y25" s="3"/>
      <c r="Z25" s="3"/>
      <c r="AA25" s="3"/>
    </row>
    <row r="26">
      <c r="A26" s="3"/>
      <c r="B26" s="59"/>
      <c r="C26" s="3"/>
      <c r="D26" s="3"/>
      <c r="E26" s="3"/>
      <c r="F26" s="3"/>
      <c r="G26" s="3"/>
      <c r="H26" s="3"/>
      <c r="I26" s="3"/>
      <c r="J26" s="3"/>
      <c r="K26" s="3"/>
      <c r="L26" s="3"/>
      <c r="M26" s="3"/>
      <c r="N26" s="3"/>
      <c r="O26" s="3"/>
      <c r="P26" s="3"/>
      <c r="Q26" s="3"/>
      <c r="R26" s="3"/>
      <c r="S26" s="3"/>
      <c r="T26" s="3"/>
      <c r="U26" s="3"/>
      <c r="V26" s="3"/>
      <c r="W26" s="3"/>
      <c r="X26" s="3"/>
      <c r="Y26" s="3"/>
      <c r="Z26" s="3"/>
      <c r="AA26" s="3"/>
    </row>
    <row r="27">
      <c r="A27" s="3"/>
      <c r="B27" s="59"/>
      <c r="C27" s="3"/>
      <c r="D27" s="3"/>
      <c r="E27" s="3"/>
      <c r="F27" s="3"/>
      <c r="G27" s="3"/>
      <c r="H27" s="3"/>
      <c r="I27" s="3"/>
      <c r="J27" s="3"/>
      <c r="K27" s="3"/>
      <c r="L27" s="3"/>
      <c r="M27" s="3"/>
      <c r="N27" s="3"/>
      <c r="O27" s="3"/>
      <c r="P27" s="3"/>
      <c r="Q27" s="3"/>
      <c r="R27" s="3"/>
      <c r="S27" s="3"/>
      <c r="T27" s="3"/>
      <c r="U27" s="3"/>
      <c r="V27" s="3"/>
      <c r="W27" s="3"/>
      <c r="X27" s="3"/>
      <c r="Y27" s="3"/>
      <c r="Z27" s="3"/>
      <c r="AA27" s="3"/>
    </row>
    <row r="28">
      <c r="A28" s="3"/>
      <c r="B28" s="59"/>
      <c r="C28" s="3"/>
      <c r="D28" s="3"/>
      <c r="E28" s="3"/>
      <c r="F28" s="3"/>
      <c r="G28" s="3"/>
      <c r="H28" s="3"/>
      <c r="I28" s="3"/>
      <c r="J28" s="3"/>
      <c r="K28" s="3"/>
      <c r="L28" s="3"/>
      <c r="M28" s="3"/>
      <c r="N28" s="3"/>
      <c r="O28" s="3"/>
      <c r="P28" s="3"/>
      <c r="Q28" s="3"/>
      <c r="R28" s="3"/>
      <c r="S28" s="3"/>
      <c r="T28" s="3"/>
      <c r="U28" s="3"/>
      <c r="V28" s="3"/>
      <c r="W28" s="3"/>
      <c r="X28" s="3"/>
      <c r="Y28" s="3"/>
      <c r="Z28" s="3"/>
      <c r="AA28" s="3"/>
    </row>
    <row r="29">
      <c r="A29" s="3"/>
      <c r="B29" s="59"/>
      <c r="C29" s="3"/>
      <c r="D29" s="3"/>
      <c r="E29" s="3"/>
      <c r="F29" s="3"/>
      <c r="G29" s="3"/>
      <c r="H29" s="3"/>
      <c r="I29" s="3"/>
      <c r="J29" s="3"/>
      <c r="K29" s="3"/>
      <c r="L29" s="3"/>
      <c r="M29" s="3"/>
      <c r="N29" s="3"/>
      <c r="O29" s="3"/>
      <c r="P29" s="3"/>
      <c r="Q29" s="3"/>
      <c r="R29" s="3"/>
      <c r="S29" s="3"/>
      <c r="T29" s="3"/>
      <c r="U29" s="3"/>
      <c r="V29" s="3"/>
      <c r="W29" s="3"/>
      <c r="X29" s="3"/>
      <c r="Y29" s="3"/>
      <c r="Z29" s="3"/>
      <c r="AA29" s="3"/>
    </row>
    <row r="30">
      <c r="A30" s="3"/>
      <c r="B30" s="59"/>
      <c r="C30" s="3"/>
      <c r="D30" s="3"/>
      <c r="E30" s="3"/>
      <c r="F30" s="3"/>
      <c r="G30" s="3"/>
      <c r="H30" s="3"/>
      <c r="I30" s="3"/>
      <c r="J30" s="3"/>
      <c r="K30" s="3"/>
      <c r="L30" s="3"/>
      <c r="M30" s="3"/>
      <c r="N30" s="3"/>
      <c r="O30" s="3"/>
      <c r="P30" s="3"/>
      <c r="Q30" s="3"/>
      <c r="R30" s="3"/>
      <c r="S30" s="3"/>
      <c r="T30" s="3"/>
      <c r="U30" s="3"/>
      <c r="V30" s="3"/>
      <c r="W30" s="3"/>
      <c r="X30" s="3"/>
      <c r="Y30" s="3"/>
      <c r="Z30" s="3"/>
      <c r="AA30" s="3"/>
    </row>
    <row r="31">
      <c r="A31" s="3"/>
      <c r="B31" s="59"/>
      <c r="C31" s="3"/>
      <c r="D31" s="3"/>
      <c r="E31" s="3"/>
      <c r="F31" s="3"/>
      <c r="G31" s="3"/>
      <c r="H31" s="3"/>
      <c r="I31" s="3"/>
      <c r="J31" s="3"/>
      <c r="K31" s="3"/>
      <c r="L31" s="3"/>
      <c r="M31" s="3"/>
      <c r="N31" s="3"/>
      <c r="O31" s="3"/>
      <c r="P31" s="3"/>
      <c r="Q31" s="3"/>
      <c r="R31" s="3"/>
      <c r="S31" s="3"/>
      <c r="T31" s="3"/>
      <c r="U31" s="3"/>
      <c r="V31" s="3"/>
      <c r="W31" s="3"/>
      <c r="X31" s="3"/>
      <c r="Y31" s="3"/>
      <c r="Z31" s="3"/>
      <c r="AA31" s="3"/>
    </row>
    <row r="32">
      <c r="A32" s="3"/>
      <c r="B32" s="59"/>
      <c r="C32" s="3"/>
      <c r="D32" s="3"/>
      <c r="E32" s="3"/>
      <c r="F32" s="3"/>
      <c r="G32" s="3"/>
      <c r="H32" s="3"/>
      <c r="I32" s="3"/>
      <c r="J32" s="3"/>
      <c r="K32" s="3"/>
      <c r="L32" s="3"/>
      <c r="M32" s="3"/>
      <c r="N32" s="3"/>
      <c r="O32" s="3"/>
      <c r="P32" s="3"/>
      <c r="Q32" s="3"/>
      <c r="R32" s="3"/>
      <c r="S32" s="3"/>
      <c r="T32" s="3"/>
      <c r="U32" s="3"/>
      <c r="V32" s="3"/>
      <c r="W32" s="3"/>
      <c r="X32" s="3"/>
      <c r="Y32" s="3"/>
      <c r="Z32" s="3"/>
      <c r="AA32" s="3"/>
    </row>
    <row r="33">
      <c r="A33" s="3"/>
      <c r="B33" s="59"/>
      <c r="C33" s="3"/>
      <c r="D33" s="3"/>
      <c r="E33" s="3"/>
      <c r="F33" s="3"/>
      <c r="G33" s="3"/>
      <c r="H33" s="3"/>
      <c r="I33" s="3"/>
      <c r="J33" s="3"/>
      <c r="K33" s="3"/>
      <c r="L33" s="3"/>
      <c r="M33" s="3"/>
      <c r="N33" s="3"/>
      <c r="O33" s="3"/>
      <c r="P33" s="3"/>
      <c r="Q33" s="3"/>
      <c r="R33" s="3"/>
      <c r="S33" s="3"/>
      <c r="T33" s="3"/>
      <c r="U33" s="3"/>
      <c r="V33" s="3"/>
      <c r="W33" s="3"/>
      <c r="X33" s="3"/>
      <c r="Y33" s="3"/>
      <c r="Z33" s="3"/>
      <c r="AA33" s="3"/>
    </row>
    <row r="34">
      <c r="A34" s="3"/>
      <c r="B34" s="59"/>
      <c r="C34" s="3"/>
      <c r="D34" s="3"/>
      <c r="E34" s="3"/>
      <c r="F34" s="3"/>
      <c r="G34" s="3"/>
      <c r="H34" s="3"/>
      <c r="I34" s="3"/>
      <c r="J34" s="3"/>
      <c r="K34" s="3"/>
      <c r="L34" s="3"/>
      <c r="M34" s="3"/>
      <c r="N34" s="3"/>
      <c r="O34" s="3"/>
      <c r="P34" s="3"/>
      <c r="Q34" s="3"/>
      <c r="R34" s="3"/>
      <c r="S34" s="3"/>
      <c r="T34" s="3"/>
      <c r="U34" s="3"/>
      <c r="V34" s="3"/>
      <c r="W34" s="3"/>
      <c r="X34" s="3"/>
      <c r="Y34" s="3"/>
      <c r="Z34" s="3"/>
      <c r="AA34" s="3"/>
    </row>
    <row r="35">
      <c r="A35" s="3"/>
      <c r="B35" s="59"/>
      <c r="C35" s="3"/>
      <c r="D35" s="3"/>
      <c r="E35" s="3"/>
      <c r="F35" s="3"/>
      <c r="G35" s="3"/>
      <c r="H35" s="3"/>
      <c r="I35" s="3"/>
      <c r="J35" s="3"/>
      <c r="K35" s="3"/>
      <c r="L35" s="3"/>
      <c r="M35" s="3"/>
      <c r="N35" s="3"/>
      <c r="O35" s="3"/>
      <c r="P35" s="3"/>
      <c r="Q35" s="3"/>
      <c r="R35" s="3"/>
      <c r="S35" s="3"/>
      <c r="T35" s="3"/>
      <c r="U35" s="3"/>
      <c r="V35" s="3"/>
      <c r="W35" s="3"/>
      <c r="X35" s="3"/>
      <c r="Y35" s="3"/>
      <c r="Z35" s="3"/>
      <c r="AA35" s="3"/>
    </row>
    <row r="36">
      <c r="A36" s="3"/>
      <c r="B36" s="59"/>
      <c r="C36" s="3"/>
      <c r="D36" s="3"/>
      <c r="E36" s="3"/>
      <c r="F36" s="3"/>
      <c r="G36" s="3"/>
      <c r="H36" s="3"/>
      <c r="I36" s="3"/>
      <c r="J36" s="3"/>
      <c r="K36" s="3"/>
      <c r="L36" s="3"/>
      <c r="M36" s="3"/>
      <c r="N36" s="3"/>
      <c r="O36" s="3"/>
      <c r="P36" s="3"/>
      <c r="Q36" s="3"/>
      <c r="R36" s="3"/>
      <c r="S36" s="3"/>
      <c r="T36" s="3"/>
      <c r="U36" s="3"/>
      <c r="V36" s="3"/>
      <c r="W36" s="3"/>
      <c r="X36" s="3"/>
      <c r="Y36" s="3"/>
      <c r="Z36" s="3"/>
      <c r="AA36" s="3"/>
    </row>
    <row r="37">
      <c r="A37" s="3"/>
      <c r="B37" s="59"/>
      <c r="C37" s="3"/>
      <c r="D37" s="3"/>
      <c r="E37" s="3"/>
      <c r="F37" s="3"/>
      <c r="G37" s="3"/>
      <c r="H37" s="3"/>
      <c r="I37" s="3"/>
      <c r="J37" s="3"/>
      <c r="K37" s="3"/>
      <c r="L37" s="3"/>
      <c r="M37" s="3"/>
      <c r="N37" s="3"/>
      <c r="O37" s="3"/>
      <c r="P37" s="3"/>
      <c r="Q37" s="3"/>
      <c r="R37" s="3"/>
      <c r="S37" s="3"/>
      <c r="T37" s="3"/>
      <c r="U37" s="3"/>
      <c r="V37" s="3"/>
      <c r="W37" s="3"/>
      <c r="X37" s="3"/>
      <c r="Y37" s="3"/>
      <c r="Z37" s="3"/>
      <c r="AA37" s="3"/>
    </row>
    <row r="38">
      <c r="A38" s="3"/>
      <c r="B38" s="59"/>
      <c r="C38" s="3"/>
      <c r="D38" s="3"/>
      <c r="E38" s="3"/>
      <c r="F38" s="3"/>
      <c r="G38" s="3"/>
      <c r="H38" s="3"/>
      <c r="I38" s="3"/>
      <c r="J38" s="3"/>
      <c r="K38" s="3"/>
      <c r="L38" s="3"/>
      <c r="M38" s="3"/>
      <c r="N38" s="3"/>
      <c r="O38" s="3"/>
      <c r="P38" s="3"/>
      <c r="Q38" s="3"/>
      <c r="R38" s="3"/>
      <c r="S38" s="3"/>
      <c r="T38" s="3"/>
      <c r="U38" s="3"/>
      <c r="V38" s="3"/>
      <c r="W38" s="3"/>
      <c r="X38" s="3"/>
      <c r="Y38" s="3"/>
      <c r="Z38" s="3"/>
      <c r="AA38" s="3"/>
    </row>
    <row r="39">
      <c r="A39" s="3"/>
      <c r="B39" s="59"/>
      <c r="C39" s="3"/>
      <c r="D39" s="3"/>
      <c r="E39" s="3"/>
      <c r="F39" s="3"/>
      <c r="G39" s="3"/>
      <c r="H39" s="3"/>
      <c r="I39" s="3"/>
      <c r="J39" s="3"/>
      <c r="K39" s="3"/>
      <c r="L39" s="3"/>
      <c r="M39" s="3"/>
      <c r="N39" s="3"/>
      <c r="O39" s="3"/>
      <c r="P39" s="3"/>
      <c r="Q39" s="3"/>
      <c r="R39" s="3"/>
      <c r="S39" s="3"/>
      <c r="T39" s="3"/>
      <c r="U39" s="3"/>
      <c r="V39" s="3"/>
      <c r="W39" s="3"/>
      <c r="X39" s="3"/>
      <c r="Y39" s="3"/>
      <c r="Z39" s="3"/>
      <c r="AA39" s="3"/>
    </row>
    <row r="40">
      <c r="A40" s="3"/>
      <c r="B40" s="59"/>
      <c r="C40" s="3"/>
      <c r="D40" s="3"/>
      <c r="E40" s="3"/>
      <c r="F40" s="3"/>
      <c r="G40" s="3"/>
      <c r="H40" s="3"/>
      <c r="I40" s="3"/>
      <c r="J40" s="3"/>
      <c r="K40" s="3"/>
      <c r="L40" s="3"/>
      <c r="M40" s="3"/>
      <c r="N40" s="3"/>
      <c r="O40" s="3"/>
      <c r="P40" s="3"/>
      <c r="Q40" s="3"/>
      <c r="R40" s="3"/>
      <c r="S40" s="3"/>
      <c r="T40" s="3"/>
      <c r="U40" s="3"/>
      <c r="V40" s="3"/>
      <c r="W40" s="3"/>
      <c r="X40" s="3"/>
      <c r="Y40" s="3"/>
      <c r="Z40" s="3"/>
      <c r="AA40" s="3"/>
    </row>
    <row r="41">
      <c r="A41" s="3"/>
      <c r="B41" s="59"/>
      <c r="C41" s="3"/>
      <c r="D41" s="3"/>
      <c r="E41" s="3"/>
      <c r="F41" s="3"/>
      <c r="G41" s="3"/>
      <c r="H41" s="3"/>
      <c r="I41" s="3"/>
      <c r="J41" s="3"/>
      <c r="K41" s="3"/>
      <c r="L41" s="3"/>
      <c r="M41" s="3"/>
      <c r="N41" s="3"/>
      <c r="O41" s="3"/>
      <c r="P41" s="3"/>
      <c r="Q41" s="3"/>
      <c r="R41" s="3"/>
      <c r="S41" s="3"/>
      <c r="T41" s="3"/>
      <c r="U41" s="3"/>
      <c r="V41" s="3"/>
      <c r="W41" s="3"/>
      <c r="X41" s="3"/>
      <c r="Y41" s="3"/>
      <c r="Z41" s="3"/>
      <c r="AA41" s="3"/>
    </row>
    <row r="42">
      <c r="A42" s="3"/>
      <c r="B42" s="59"/>
      <c r="C42" s="3"/>
      <c r="D42" s="3"/>
      <c r="E42" s="3"/>
      <c r="F42" s="3"/>
      <c r="G42" s="3"/>
      <c r="H42" s="3"/>
      <c r="I42" s="3"/>
      <c r="J42" s="3"/>
      <c r="K42" s="3"/>
      <c r="L42" s="3"/>
      <c r="M42" s="3"/>
      <c r="N42" s="3"/>
      <c r="O42" s="3"/>
      <c r="P42" s="3"/>
      <c r="Q42" s="3"/>
      <c r="R42" s="3"/>
      <c r="S42" s="3"/>
      <c r="T42" s="3"/>
      <c r="U42" s="3"/>
      <c r="V42" s="3"/>
      <c r="W42" s="3"/>
      <c r="X42" s="3"/>
      <c r="Y42" s="3"/>
      <c r="Z42" s="3"/>
      <c r="AA42" s="3"/>
    </row>
    <row r="43">
      <c r="A43" s="3"/>
      <c r="B43" s="59"/>
      <c r="C43" s="3"/>
      <c r="D43" s="3"/>
      <c r="E43" s="3"/>
      <c r="F43" s="3"/>
      <c r="G43" s="3"/>
      <c r="H43" s="3"/>
      <c r="I43" s="3"/>
      <c r="J43" s="3"/>
      <c r="K43" s="3"/>
      <c r="L43" s="3"/>
      <c r="M43" s="3"/>
      <c r="N43" s="3"/>
      <c r="O43" s="3"/>
      <c r="P43" s="3"/>
      <c r="Q43" s="3"/>
      <c r="R43" s="3"/>
      <c r="S43" s="3"/>
      <c r="T43" s="3"/>
      <c r="U43" s="3"/>
      <c r="V43" s="3"/>
      <c r="W43" s="3"/>
      <c r="X43" s="3"/>
      <c r="Y43" s="3"/>
      <c r="Z43" s="3"/>
      <c r="AA43" s="3"/>
    </row>
    <row r="44">
      <c r="A44" s="3"/>
      <c r="B44" s="59"/>
      <c r="C44" s="3"/>
      <c r="D44" s="3"/>
      <c r="E44" s="3"/>
      <c r="F44" s="3"/>
      <c r="G44" s="3"/>
      <c r="H44" s="3"/>
      <c r="I44" s="3"/>
      <c r="J44" s="3"/>
      <c r="K44" s="3"/>
      <c r="L44" s="3"/>
      <c r="M44" s="3"/>
      <c r="N44" s="3"/>
      <c r="O44" s="3"/>
      <c r="P44" s="3"/>
      <c r="Q44" s="3"/>
      <c r="R44" s="3"/>
      <c r="S44" s="3"/>
      <c r="T44" s="3"/>
      <c r="U44" s="3"/>
      <c r="V44" s="3"/>
      <c r="W44" s="3"/>
      <c r="X44" s="3"/>
      <c r="Y44" s="3"/>
      <c r="Z44" s="3"/>
      <c r="AA44" s="3"/>
    </row>
    <row r="45">
      <c r="A45" s="3"/>
      <c r="B45" s="59"/>
      <c r="C45" s="3"/>
      <c r="D45" s="3"/>
      <c r="E45" s="3"/>
      <c r="F45" s="3"/>
      <c r="G45" s="3"/>
      <c r="H45" s="3"/>
      <c r="I45" s="3"/>
      <c r="J45" s="3"/>
      <c r="K45" s="3"/>
      <c r="L45" s="3"/>
      <c r="M45" s="3"/>
      <c r="N45" s="3"/>
      <c r="O45" s="3"/>
      <c r="P45" s="3"/>
      <c r="Q45" s="3"/>
      <c r="R45" s="3"/>
      <c r="S45" s="3"/>
      <c r="T45" s="3"/>
      <c r="U45" s="3"/>
      <c r="V45" s="3"/>
      <c r="W45" s="3"/>
      <c r="X45" s="3"/>
      <c r="Y45" s="3"/>
      <c r="Z45" s="3"/>
      <c r="AA45" s="3"/>
    </row>
    <row r="46">
      <c r="A46" s="3"/>
      <c r="B46" s="59"/>
      <c r="C46" s="3"/>
      <c r="D46" s="3"/>
      <c r="E46" s="3"/>
      <c r="F46" s="3"/>
      <c r="G46" s="3"/>
      <c r="H46" s="3"/>
      <c r="I46" s="3"/>
      <c r="J46" s="3"/>
      <c r="K46" s="3"/>
      <c r="L46" s="3"/>
      <c r="M46" s="3"/>
      <c r="N46" s="3"/>
      <c r="O46" s="3"/>
      <c r="P46" s="3"/>
      <c r="Q46" s="3"/>
      <c r="R46" s="3"/>
      <c r="S46" s="3"/>
      <c r="T46" s="3"/>
      <c r="U46" s="3"/>
      <c r="V46" s="3"/>
      <c r="W46" s="3"/>
      <c r="X46" s="3"/>
      <c r="Y46" s="3"/>
      <c r="Z46" s="3"/>
      <c r="AA46" s="3"/>
    </row>
    <row r="47">
      <c r="A47" s="3"/>
      <c r="B47" s="59"/>
      <c r="C47" s="3"/>
      <c r="D47" s="3"/>
      <c r="E47" s="3"/>
      <c r="F47" s="3"/>
      <c r="G47" s="3"/>
      <c r="H47" s="3"/>
      <c r="I47" s="3"/>
      <c r="J47" s="3"/>
      <c r="K47" s="3"/>
      <c r="L47" s="3"/>
      <c r="M47" s="3"/>
      <c r="N47" s="3"/>
      <c r="O47" s="3"/>
      <c r="P47" s="3"/>
      <c r="Q47" s="3"/>
      <c r="R47" s="3"/>
      <c r="S47" s="3"/>
      <c r="T47" s="3"/>
      <c r="U47" s="3"/>
      <c r="V47" s="3"/>
      <c r="W47" s="3"/>
      <c r="X47" s="3"/>
      <c r="Y47" s="3"/>
      <c r="Z47" s="3"/>
      <c r="AA47" s="3"/>
    </row>
    <row r="48">
      <c r="A48" s="3"/>
      <c r="B48" s="59"/>
      <c r="C48" s="3"/>
      <c r="D48" s="3"/>
      <c r="E48" s="3"/>
      <c r="F48" s="3"/>
      <c r="G48" s="3"/>
      <c r="H48" s="3"/>
      <c r="I48" s="3"/>
      <c r="J48" s="3"/>
      <c r="K48" s="3"/>
      <c r="L48" s="3"/>
      <c r="M48" s="3"/>
      <c r="N48" s="3"/>
      <c r="O48" s="3"/>
      <c r="P48" s="3"/>
      <c r="Q48" s="3"/>
      <c r="R48" s="3"/>
      <c r="S48" s="3"/>
      <c r="T48" s="3"/>
      <c r="U48" s="3"/>
      <c r="V48" s="3"/>
      <c r="W48" s="3"/>
      <c r="X48" s="3"/>
      <c r="Y48" s="3"/>
      <c r="Z48" s="3"/>
      <c r="AA48" s="3"/>
    </row>
    <row r="49">
      <c r="A49" s="3"/>
      <c r="B49" s="59"/>
      <c r="C49" s="3"/>
      <c r="D49" s="3"/>
      <c r="E49" s="3"/>
      <c r="F49" s="3"/>
      <c r="G49" s="3"/>
      <c r="H49" s="3"/>
      <c r="I49" s="3"/>
      <c r="J49" s="3"/>
      <c r="K49" s="3"/>
      <c r="L49" s="3"/>
      <c r="M49" s="3"/>
      <c r="N49" s="3"/>
      <c r="O49" s="3"/>
      <c r="P49" s="3"/>
      <c r="Q49" s="3"/>
      <c r="R49" s="3"/>
      <c r="S49" s="3"/>
      <c r="T49" s="3"/>
      <c r="U49" s="3"/>
      <c r="V49" s="3"/>
      <c r="W49" s="3"/>
      <c r="X49" s="3"/>
      <c r="Y49" s="3"/>
      <c r="Z49" s="3"/>
      <c r="AA49" s="3"/>
    </row>
    <row r="50">
      <c r="A50" s="3"/>
      <c r="B50" s="59"/>
      <c r="C50" s="3"/>
      <c r="D50" s="3"/>
      <c r="E50" s="3"/>
      <c r="F50" s="3"/>
      <c r="G50" s="3"/>
      <c r="H50" s="3"/>
      <c r="I50" s="3"/>
      <c r="J50" s="3"/>
      <c r="K50" s="3"/>
      <c r="L50" s="3"/>
      <c r="M50" s="3"/>
      <c r="N50" s="3"/>
      <c r="O50" s="3"/>
      <c r="P50" s="3"/>
      <c r="Q50" s="3"/>
      <c r="R50" s="3"/>
      <c r="S50" s="3"/>
      <c r="T50" s="3"/>
      <c r="U50" s="3"/>
      <c r="V50" s="3"/>
      <c r="W50" s="3"/>
      <c r="X50" s="3"/>
      <c r="Y50" s="3"/>
      <c r="Z50" s="3"/>
      <c r="AA50" s="3"/>
    </row>
    <row r="51">
      <c r="A51" s="3"/>
      <c r="B51" s="59"/>
      <c r="C51" s="3"/>
      <c r="D51" s="3"/>
      <c r="E51" s="3"/>
      <c r="F51" s="3"/>
      <c r="G51" s="3"/>
      <c r="H51" s="3"/>
      <c r="I51" s="3"/>
      <c r="J51" s="3"/>
      <c r="K51" s="3"/>
      <c r="L51" s="3"/>
      <c r="M51" s="3"/>
      <c r="N51" s="3"/>
      <c r="O51" s="3"/>
      <c r="P51" s="3"/>
      <c r="Q51" s="3"/>
      <c r="R51" s="3"/>
      <c r="S51" s="3"/>
      <c r="T51" s="3"/>
      <c r="U51" s="3"/>
      <c r="V51" s="3"/>
      <c r="W51" s="3"/>
      <c r="X51" s="3"/>
      <c r="Y51" s="3"/>
      <c r="Z51" s="3"/>
      <c r="AA51" s="3"/>
    </row>
    <row r="52">
      <c r="A52" s="3"/>
      <c r="B52" s="59"/>
      <c r="C52" s="3"/>
      <c r="D52" s="3"/>
      <c r="E52" s="3"/>
      <c r="F52" s="3"/>
      <c r="G52" s="3"/>
      <c r="H52" s="3"/>
      <c r="I52" s="3"/>
      <c r="J52" s="3"/>
      <c r="K52" s="3"/>
      <c r="L52" s="3"/>
      <c r="M52" s="3"/>
      <c r="N52" s="3"/>
      <c r="O52" s="3"/>
      <c r="P52" s="3"/>
      <c r="Q52" s="3"/>
      <c r="R52" s="3"/>
      <c r="S52" s="3"/>
      <c r="T52" s="3"/>
      <c r="U52" s="3"/>
      <c r="V52" s="3"/>
      <c r="W52" s="3"/>
      <c r="X52" s="3"/>
      <c r="Y52" s="3"/>
      <c r="Z52" s="3"/>
      <c r="AA52" s="3"/>
    </row>
    <row r="53">
      <c r="A53" s="3"/>
      <c r="B53" s="59"/>
      <c r="C53" s="3"/>
      <c r="D53" s="3"/>
      <c r="E53" s="3"/>
      <c r="F53" s="3"/>
      <c r="G53" s="3"/>
      <c r="H53" s="3"/>
      <c r="I53" s="3"/>
      <c r="J53" s="3"/>
      <c r="K53" s="3"/>
      <c r="L53" s="3"/>
      <c r="M53" s="3"/>
      <c r="N53" s="3"/>
      <c r="O53" s="3"/>
      <c r="P53" s="3"/>
      <c r="Q53" s="3"/>
      <c r="R53" s="3"/>
      <c r="S53" s="3"/>
      <c r="T53" s="3"/>
      <c r="U53" s="3"/>
      <c r="V53" s="3"/>
      <c r="W53" s="3"/>
      <c r="X53" s="3"/>
      <c r="Y53" s="3"/>
      <c r="Z53" s="3"/>
      <c r="AA53" s="3"/>
    </row>
    <row r="54">
      <c r="A54" s="3"/>
      <c r="B54" s="59"/>
      <c r="C54" s="3"/>
      <c r="D54" s="3"/>
      <c r="E54" s="3"/>
      <c r="F54" s="3"/>
      <c r="G54" s="3"/>
      <c r="H54" s="3"/>
      <c r="I54" s="3"/>
      <c r="J54" s="3"/>
      <c r="K54" s="3"/>
      <c r="L54" s="3"/>
      <c r="M54" s="3"/>
      <c r="N54" s="3"/>
      <c r="O54" s="3"/>
      <c r="P54" s="3"/>
      <c r="Q54" s="3"/>
      <c r="R54" s="3"/>
      <c r="S54" s="3"/>
      <c r="T54" s="3"/>
      <c r="U54" s="3"/>
      <c r="V54" s="3"/>
      <c r="W54" s="3"/>
      <c r="X54" s="3"/>
      <c r="Y54" s="3"/>
      <c r="Z54" s="3"/>
      <c r="AA54" s="3"/>
    </row>
    <row r="55">
      <c r="A55" s="3"/>
      <c r="B55" s="59"/>
      <c r="C55" s="3"/>
      <c r="D55" s="3"/>
      <c r="E55" s="3"/>
      <c r="F55" s="3"/>
      <c r="G55" s="3"/>
      <c r="H55" s="3"/>
      <c r="I55" s="3"/>
      <c r="J55" s="3"/>
      <c r="K55" s="3"/>
      <c r="L55" s="3"/>
      <c r="M55" s="3"/>
      <c r="N55" s="3"/>
      <c r="O55" s="3"/>
      <c r="P55" s="3"/>
      <c r="Q55" s="3"/>
      <c r="R55" s="3"/>
      <c r="S55" s="3"/>
      <c r="T55" s="3"/>
      <c r="U55" s="3"/>
      <c r="V55" s="3"/>
      <c r="W55" s="3"/>
      <c r="X55" s="3"/>
      <c r="Y55" s="3"/>
      <c r="Z55" s="3"/>
      <c r="AA55" s="3"/>
    </row>
    <row r="56">
      <c r="A56" s="3"/>
      <c r="B56" s="59"/>
      <c r="C56" s="3"/>
      <c r="D56" s="3"/>
      <c r="E56" s="3"/>
      <c r="F56" s="3"/>
      <c r="G56" s="3"/>
      <c r="H56" s="3"/>
      <c r="I56" s="3"/>
      <c r="J56" s="3"/>
      <c r="K56" s="3"/>
      <c r="L56" s="3"/>
      <c r="M56" s="3"/>
      <c r="N56" s="3"/>
      <c r="O56" s="3"/>
      <c r="P56" s="3"/>
      <c r="Q56" s="3"/>
      <c r="R56" s="3"/>
      <c r="S56" s="3"/>
      <c r="T56" s="3"/>
      <c r="U56" s="3"/>
      <c r="V56" s="3"/>
      <c r="W56" s="3"/>
      <c r="X56" s="3"/>
      <c r="Y56" s="3"/>
      <c r="Z56" s="3"/>
      <c r="AA56" s="3"/>
    </row>
    <row r="57">
      <c r="A57" s="3"/>
      <c r="B57" s="59"/>
      <c r="C57" s="3"/>
      <c r="D57" s="3"/>
      <c r="E57" s="3"/>
      <c r="F57" s="3"/>
      <c r="G57" s="3"/>
      <c r="H57" s="3"/>
      <c r="I57" s="3"/>
      <c r="J57" s="3"/>
      <c r="K57" s="3"/>
      <c r="L57" s="3"/>
      <c r="M57" s="3"/>
      <c r="N57" s="3"/>
      <c r="O57" s="3"/>
      <c r="P57" s="3"/>
      <c r="Q57" s="3"/>
      <c r="R57" s="3"/>
      <c r="S57" s="3"/>
      <c r="T57" s="3"/>
      <c r="U57" s="3"/>
      <c r="V57" s="3"/>
      <c r="W57" s="3"/>
      <c r="X57" s="3"/>
      <c r="Y57" s="3"/>
      <c r="Z57" s="3"/>
      <c r="AA57" s="3"/>
    </row>
    <row r="58">
      <c r="A58" s="3"/>
      <c r="B58" s="59"/>
      <c r="C58" s="3"/>
      <c r="D58" s="3"/>
      <c r="E58" s="3"/>
      <c r="F58" s="3"/>
      <c r="G58" s="3"/>
      <c r="H58" s="3"/>
      <c r="I58" s="3"/>
      <c r="J58" s="3"/>
      <c r="K58" s="3"/>
      <c r="L58" s="3"/>
      <c r="M58" s="3"/>
      <c r="N58" s="3"/>
      <c r="O58" s="3"/>
      <c r="P58" s="3"/>
      <c r="Q58" s="3"/>
      <c r="R58" s="3"/>
      <c r="S58" s="3"/>
      <c r="T58" s="3"/>
      <c r="U58" s="3"/>
      <c r="V58" s="3"/>
      <c r="W58" s="3"/>
      <c r="X58" s="3"/>
      <c r="Y58" s="3"/>
      <c r="Z58" s="3"/>
      <c r="AA58" s="3"/>
    </row>
    <row r="59">
      <c r="A59" s="3"/>
      <c r="B59" s="59"/>
      <c r="C59" s="3"/>
      <c r="D59" s="3"/>
      <c r="E59" s="3"/>
      <c r="F59" s="3"/>
      <c r="G59" s="3"/>
      <c r="H59" s="3"/>
      <c r="I59" s="3"/>
      <c r="J59" s="3"/>
      <c r="K59" s="3"/>
      <c r="L59" s="3"/>
      <c r="M59" s="3"/>
      <c r="N59" s="3"/>
      <c r="O59" s="3"/>
      <c r="P59" s="3"/>
      <c r="Q59" s="3"/>
      <c r="R59" s="3"/>
      <c r="S59" s="3"/>
      <c r="T59" s="3"/>
      <c r="U59" s="3"/>
      <c r="V59" s="3"/>
      <c r="W59" s="3"/>
      <c r="X59" s="3"/>
      <c r="Y59" s="3"/>
      <c r="Z59" s="3"/>
      <c r="AA59" s="3"/>
    </row>
    <row r="60">
      <c r="A60" s="3"/>
      <c r="B60" s="59"/>
      <c r="C60" s="3"/>
      <c r="D60" s="3"/>
      <c r="E60" s="3"/>
      <c r="F60" s="3"/>
      <c r="G60" s="3"/>
      <c r="H60" s="3"/>
      <c r="I60" s="3"/>
      <c r="J60" s="3"/>
      <c r="K60" s="3"/>
      <c r="L60" s="3"/>
      <c r="M60" s="3"/>
      <c r="N60" s="3"/>
      <c r="O60" s="3"/>
      <c r="P60" s="3"/>
      <c r="Q60" s="3"/>
      <c r="R60" s="3"/>
      <c r="S60" s="3"/>
      <c r="T60" s="3"/>
      <c r="U60" s="3"/>
      <c r="V60" s="3"/>
      <c r="W60" s="3"/>
      <c r="X60" s="3"/>
      <c r="Y60" s="3"/>
      <c r="Z60" s="3"/>
      <c r="AA60" s="3"/>
    </row>
    <row r="61">
      <c r="A61" s="3"/>
      <c r="B61" s="59"/>
      <c r="C61" s="3"/>
      <c r="D61" s="3"/>
      <c r="E61" s="3"/>
      <c r="F61" s="3"/>
      <c r="G61" s="3"/>
      <c r="H61" s="3"/>
      <c r="I61" s="3"/>
      <c r="J61" s="3"/>
      <c r="K61" s="3"/>
      <c r="L61" s="3"/>
      <c r="M61" s="3"/>
      <c r="N61" s="3"/>
      <c r="O61" s="3"/>
      <c r="P61" s="3"/>
      <c r="Q61" s="3"/>
      <c r="R61" s="3"/>
      <c r="S61" s="3"/>
      <c r="T61" s="3"/>
      <c r="U61" s="3"/>
      <c r="V61" s="3"/>
      <c r="W61" s="3"/>
      <c r="X61" s="3"/>
      <c r="Y61" s="3"/>
      <c r="Z61" s="3"/>
      <c r="AA61" s="3"/>
    </row>
    <row r="62">
      <c r="A62" s="3"/>
      <c r="B62" s="59"/>
      <c r="C62" s="3"/>
      <c r="D62" s="3"/>
      <c r="E62" s="3"/>
      <c r="F62" s="3"/>
      <c r="G62" s="3"/>
      <c r="H62" s="3"/>
      <c r="I62" s="3"/>
      <c r="J62" s="3"/>
      <c r="K62" s="3"/>
      <c r="L62" s="3"/>
      <c r="M62" s="3"/>
      <c r="N62" s="3"/>
      <c r="O62" s="3"/>
      <c r="P62" s="3"/>
      <c r="Q62" s="3"/>
      <c r="R62" s="3"/>
      <c r="S62" s="3"/>
      <c r="T62" s="3"/>
      <c r="U62" s="3"/>
      <c r="V62" s="3"/>
      <c r="W62" s="3"/>
      <c r="X62" s="3"/>
      <c r="Y62" s="3"/>
      <c r="Z62" s="3"/>
      <c r="AA62" s="3"/>
    </row>
    <row r="63">
      <c r="A63" s="3"/>
      <c r="B63" s="59"/>
      <c r="C63" s="3"/>
      <c r="D63" s="3"/>
      <c r="E63" s="3"/>
      <c r="F63" s="3"/>
      <c r="G63" s="3"/>
      <c r="H63" s="3"/>
      <c r="I63" s="3"/>
      <c r="J63" s="3"/>
      <c r="K63" s="3"/>
      <c r="L63" s="3"/>
      <c r="M63" s="3"/>
      <c r="N63" s="3"/>
      <c r="O63" s="3"/>
      <c r="P63" s="3"/>
      <c r="Q63" s="3"/>
      <c r="R63" s="3"/>
      <c r="S63" s="3"/>
      <c r="T63" s="3"/>
      <c r="U63" s="3"/>
      <c r="V63" s="3"/>
      <c r="W63" s="3"/>
      <c r="X63" s="3"/>
      <c r="Y63" s="3"/>
      <c r="Z63" s="3"/>
      <c r="AA63" s="3"/>
    </row>
    <row r="64">
      <c r="A64" s="3"/>
      <c r="B64" s="59"/>
      <c r="C64" s="3"/>
      <c r="D64" s="3"/>
      <c r="E64" s="3"/>
      <c r="F64" s="3"/>
      <c r="G64" s="3"/>
      <c r="H64" s="3"/>
      <c r="I64" s="3"/>
      <c r="J64" s="3"/>
      <c r="K64" s="3"/>
      <c r="L64" s="3"/>
      <c r="M64" s="3"/>
      <c r="N64" s="3"/>
      <c r="O64" s="3"/>
      <c r="P64" s="3"/>
      <c r="Q64" s="3"/>
      <c r="R64" s="3"/>
      <c r="S64" s="3"/>
      <c r="T64" s="3"/>
      <c r="U64" s="3"/>
      <c r="V64" s="3"/>
      <c r="W64" s="3"/>
      <c r="X64" s="3"/>
      <c r="Y64" s="3"/>
      <c r="Z64" s="3"/>
      <c r="AA64" s="3"/>
    </row>
    <row r="65">
      <c r="A65" s="3"/>
      <c r="B65" s="59"/>
      <c r="C65" s="3"/>
      <c r="D65" s="3"/>
      <c r="E65" s="3"/>
      <c r="F65" s="3"/>
      <c r="G65" s="3"/>
      <c r="H65" s="3"/>
      <c r="I65" s="3"/>
      <c r="J65" s="3"/>
      <c r="K65" s="3"/>
      <c r="L65" s="3"/>
      <c r="M65" s="3"/>
      <c r="N65" s="3"/>
      <c r="O65" s="3"/>
      <c r="P65" s="3"/>
      <c r="Q65" s="3"/>
      <c r="R65" s="3"/>
      <c r="S65" s="3"/>
      <c r="T65" s="3"/>
      <c r="U65" s="3"/>
      <c r="V65" s="3"/>
      <c r="W65" s="3"/>
      <c r="X65" s="3"/>
      <c r="Y65" s="3"/>
      <c r="Z65" s="3"/>
      <c r="AA65" s="3"/>
    </row>
    <row r="66">
      <c r="A66" s="3"/>
      <c r="B66" s="59"/>
      <c r="C66" s="3"/>
      <c r="D66" s="3"/>
      <c r="E66" s="3"/>
      <c r="F66" s="3"/>
      <c r="G66" s="3"/>
      <c r="H66" s="3"/>
      <c r="I66" s="3"/>
      <c r="J66" s="3"/>
      <c r="K66" s="3"/>
      <c r="L66" s="3"/>
      <c r="M66" s="3"/>
      <c r="N66" s="3"/>
      <c r="O66" s="3"/>
      <c r="P66" s="3"/>
      <c r="Q66" s="3"/>
      <c r="R66" s="3"/>
      <c r="S66" s="3"/>
      <c r="T66" s="3"/>
      <c r="U66" s="3"/>
      <c r="V66" s="3"/>
      <c r="W66" s="3"/>
      <c r="X66" s="3"/>
      <c r="Y66" s="3"/>
      <c r="Z66" s="3"/>
      <c r="AA66" s="3"/>
    </row>
    <row r="67">
      <c r="A67" s="3"/>
      <c r="B67" s="59"/>
      <c r="C67" s="3"/>
      <c r="D67" s="3"/>
      <c r="E67" s="3"/>
      <c r="F67" s="3"/>
      <c r="G67" s="3"/>
      <c r="H67" s="3"/>
      <c r="I67" s="3"/>
      <c r="J67" s="3"/>
      <c r="K67" s="3"/>
      <c r="L67" s="3"/>
      <c r="M67" s="3"/>
      <c r="N67" s="3"/>
      <c r="O67" s="3"/>
      <c r="P67" s="3"/>
      <c r="Q67" s="3"/>
      <c r="R67" s="3"/>
      <c r="S67" s="3"/>
      <c r="T67" s="3"/>
      <c r="U67" s="3"/>
      <c r="V67" s="3"/>
      <c r="W67" s="3"/>
      <c r="X67" s="3"/>
      <c r="Y67" s="3"/>
      <c r="Z67" s="3"/>
      <c r="AA67" s="3"/>
    </row>
    <row r="68">
      <c r="A68" s="3"/>
      <c r="B68" s="59"/>
      <c r="C68" s="3"/>
      <c r="D68" s="3"/>
      <c r="E68" s="3"/>
      <c r="F68" s="3"/>
      <c r="G68" s="3"/>
      <c r="H68" s="3"/>
      <c r="I68" s="3"/>
      <c r="J68" s="3"/>
      <c r="K68" s="3"/>
      <c r="L68" s="3"/>
      <c r="M68" s="3"/>
      <c r="N68" s="3"/>
      <c r="O68" s="3"/>
      <c r="P68" s="3"/>
      <c r="Q68" s="3"/>
      <c r="R68" s="3"/>
      <c r="S68" s="3"/>
      <c r="T68" s="3"/>
      <c r="U68" s="3"/>
      <c r="V68" s="3"/>
      <c r="W68" s="3"/>
      <c r="X68" s="3"/>
      <c r="Y68" s="3"/>
      <c r="Z68" s="3"/>
      <c r="AA68" s="3"/>
    </row>
    <row r="69">
      <c r="A69" s="3"/>
      <c r="B69" s="59"/>
      <c r="C69" s="3"/>
      <c r="D69" s="3"/>
      <c r="E69" s="3"/>
      <c r="F69" s="3"/>
      <c r="G69" s="3"/>
      <c r="H69" s="3"/>
      <c r="I69" s="3"/>
      <c r="J69" s="3"/>
      <c r="K69" s="3"/>
      <c r="L69" s="3"/>
      <c r="M69" s="3"/>
      <c r="N69" s="3"/>
      <c r="O69" s="3"/>
      <c r="P69" s="3"/>
      <c r="Q69" s="3"/>
      <c r="R69" s="3"/>
      <c r="S69" s="3"/>
      <c r="T69" s="3"/>
      <c r="U69" s="3"/>
      <c r="V69" s="3"/>
      <c r="W69" s="3"/>
      <c r="X69" s="3"/>
      <c r="Y69" s="3"/>
      <c r="Z69" s="3"/>
      <c r="AA69" s="3"/>
    </row>
    <row r="70">
      <c r="A70" s="3"/>
      <c r="B70" s="59"/>
      <c r="C70" s="3"/>
      <c r="D70" s="3"/>
      <c r="E70" s="3"/>
      <c r="F70" s="3"/>
      <c r="G70" s="3"/>
      <c r="H70" s="3"/>
      <c r="I70" s="3"/>
      <c r="J70" s="3"/>
      <c r="K70" s="3"/>
      <c r="L70" s="3"/>
      <c r="M70" s="3"/>
      <c r="N70" s="3"/>
      <c r="O70" s="3"/>
      <c r="P70" s="3"/>
      <c r="Q70" s="3"/>
      <c r="R70" s="3"/>
      <c r="S70" s="3"/>
      <c r="T70" s="3"/>
      <c r="U70" s="3"/>
      <c r="V70" s="3"/>
      <c r="W70" s="3"/>
      <c r="X70" s="3"/>
      <c r="Y70" s="3"/>
      <c r="Z70" s="3"/>
      <c r="AA70" s="3"/>
    </row>
    <row r="71">
      <c r="A71" s="3"/>
      <c r="B71" s="59"/>
      <c r="C71" s="3"/>
      <c r="D71" s="3"/>
      <c r="E71" s="3"/>
      <c r="F71" s="3"/>
      <c r="G71" s="3"/>
      <c r="H71" s="3"/>
      <c r="I71" s="3"/>
      <c r="J71" s="3"/>
      <c r="K71" s="3"/>
      <c r="L71" s="3"/>
      <c r="M71" s="3"/>
      <c r="N71" s="3"/>
      <c r="O71" s="3"/>
      <c r="P71" s="3"/>
      <c r="Q71" s="3"/>
      <c r="R71" s="3"/>
      <c r="S71" s="3"/>
      <c r="T71" s="3"/>
      <c r="U71" s="3"/>
      <c r="V71" s="3"/>
      <c r="W71" s="3"/>
      <c r="X71" s="3"/>
      <c r="Y71" s="3"/>
      <c r="Z71" s="3"/>
      <c r="AA71" s="3"/>
    </row>
    <row r="72">
      <c r="A72" s="3"/>
      <c r="B72" s="59"/>
      <c r="C72" s="3"/>
      <c r="D72" s="3"/>
      <c r="E72" s="3"/>
      <c r="F72" s="3"/>
      <c r="G72" s="3"/>
      <c r="H72" s="3"/>
      <c r="I72" s="3"/>
      <c r="J72" s="3"/>
      <c r="K72" s="3"/>
      <c r="L72" s="3"/>
      <c r="M72" s="3"/>
      <c r="N72" s="3"/>
      <c r="O72" s="3"/>
      <c r="P72" s="3"/>
      <c r="Q72" s="3"/>
      <c r="R72" s="3"/>
      <c r="S72" s="3"/>
      <c r="T72" s="3"/>
      <c r="U72" s="3"/>
      <c r="V72" s="3"/>
      <c r="W72" s="3"/>
      <c r="X72" s="3"/>
      <c r="Y72" s="3"/>
      <c r="Z72" s="3"/>
      <c r="AA72" s="3"/>
    </row>
    <row r="73">
      <c r="A73" s="3"/>
      <c r="B73" s="59"/>
      <c r="C73" s="3"/>
      <c r="D73" s="3"/>
      <c r="E73" s="3"/>
      <c r="F73" s="3"/>
      <c r="G73" s="3"/>
      <c r="H73" s="3"/>
      <c r="I73" s="3"/>
      <c r="J73" s="3"/>
      <c r="K73" s="3"/>
      <c r="L73" s="3"/>
      <c r="M73" s="3"/>
      <c r="N73" s="3"/>
      <c r="O73" s="3"/>
      <c r="P73" s="3"/>
      <c r="Q73" s="3"/>
      <c r="R73" s="3"/>
      <c r="S73" s="3"/>
      <c r="T73" s="3"/>
      <c r="U73" s="3"/>
      <c r="V73" s="3"/>
      <c r="W73" s="3"/>
      <c r="X73" s="3"/>
      <c r="Y73" s="3"/>
      <c r="Z73" s="3"/>
      <c r="AA73" s="3"/>
    </row>
    <row r="74">
      <c r="A74" s="3"/>
      <c r="B74" s="59"/>
      <c r="C74" s="3"/>
      <c r="D74" s="3"/>
      <c r="E74" s="3"/>
      <c r="F74" s="3"/>
      <c r="G74" s="3"/>
      <c r="H74" s="3"/>
      <c r="I74" s="3"/>
      <c r="J74" s="3"/>
      <c r="K74" s="3"/>
      <c r="L74" s="3"/>
      <c r="M74" s="3"/>
      <c r="N74" s="3"/>
      <c r="O74" s="3"/>
      <c r="P74" s="3"/>
      <c r="Q74" s="3"/>
      <c r="R74" s="3"/>
      <c r="S74" s="3"/>
      <c r="T74" s="3"/>
      <c r="U74" s="3"/>
      <c r="V74" s="3"/>
      <c r="W74" s="3"/>
      <c r="X74" s="3"/>
      <c r="Y74" s="3"/>
      <c r="Z74" s="3"/>
      <c r="AA74" s="3"/>
    </row>
    <row r="75">
      <c r="A75" s="3"/>
      <c r="B75" s="59"/>
      <c r="C75" s="3"/>
      <c r="D75" s="3"/>
      <c r="E75" s="3"/>
      <c r="F75" s="3"/>
      <c r="G75" s="3"/>
      <c r="H75" s="3"/>
      <c r="I75" s="3"/>
      <c r="J75" s="3"/>
      <c r="K75" s="3"/>
      <c r="L75" s="3"/>
      <c r="M75" s="3"/>
      <c r="N75" s="3"/>
      <c r="O75" s="3"/>
      <c r="P75" s="3"/>
      <c r="Q75" s="3"/>
      <c r="R75" s="3"/>
      <c r="S75" s="3"/>
      <c r="T75" s="3"/>
      <c r="U75" s="3"/>
      <c r="V75" s="3"/>
      <c r="W75" s="3"/>
      <c r="X75" s="3"/>
      <c r="Y75" s="3"/>
      <c r="Z75" s="3"/>
      <c r="AA75" s="3"/>
    </row>
    <row r="76">
      <c r="A76" s="3"/>
      <c r="B76" s="59"/>
      <c r="C76" s="3"/>
      <c r="D76" s="3"/>
      <c r="E76" s="3"/>
      <c r="F76" s="3"/>
      <c r="G76" s="3"/>
      <c r="H76" s="3"/>
      <c r="I76" s="3"/>
      <c r="J76" s="3"/>
      <c r="K76" s="3"/>
      <c r="L76" s="3"/>
      <c r="M76" s="3"/>
      <c r="N76" s="3"/>
      <c r="O76" s="3"/>
      <c r="P76" s="3"/>
      <c r="Q76" s="3"/>
      <c r="R76" s="3"/>
      <c r="S76" s="3"/>
      <c r="T76" s="3"/>
      <c r="U76" s="3"/>
      <c r="V76" s="3"/>
      <c r="W76" s="3"/>
      <c r="X76" s="3"/>
      <c r="Y76" s="3"/>
      <c r="Z76" s="3"/>
      <c r="AA76" s="3"/>
    </row>
    <row r="77">
      <c r="A77" s="3"/>
      <c r="B77" s="59"/>
      <c r="C77" s="3"/>
      <c r="D77" s="3"/>
      <c r="E77" s="3"/>
      <c r="F77" s="3"/>
      <c r="G77" s="3"/>
      <c r="H77" s="3"/>
      <c r="I77" s="3"/>
      <c r="J77" s="3"/>
      <c r="K77" s="3"/>
      <c r="L77" s="3"/>
      <c r="M77" s="3"/>
      <c r="N77" s="3"/>
      <c r="O77" s="3"/>
      <c r="P77" s="3"/>
      <c r="Q77" s="3"/>
      <c r="R77" s="3"/>
      <c r="S77" s="3"/>
      <c r="T77" s="3"/>
      <c r="U77" s="3"/>
      <c r="V77" s="3"/>
      <c r="W77" s="3"/>
      <c r="X77" s="3"/>
      <c r="Y77" s="3"/>
      <c r="Z77" s="3"/>
      <c r="AA77" s="3"/>
    </row>
    <row r="78">
      <c r="A78" s="3"/>
      <c r="B78" s="59"/>
      <c r="C78" s="3"/>
      <c r="D78" s="3"/>
      <c r="E78" s="3"/>
      <c r="F78" s="3"/>
      <c r="G78" s="3"/>
      <c r="H78" s="3"/>
      <c r="I78" s="3"/>
      <c r="J78" s="3"/>
      <c r="K78" s="3"/>
      <c r="L78" s="3"/>
      <c r="M78" s="3"/>
      <c r="N78" s="3"/>
      <c r="O78" s="3"/>
      <c r="P78" s="3"/>
      <c r="Q78" s="3"/>
      <c r="R78" s="3"/>
      <c r="S78" s="3"/>
      <c r="T78" s="3"/>
      <c r="U78" s="3"/>
      <c r="V78" s="3"/>
      <c r="W78" s="3"/>
      <c r="X78" s="3"/>
      <c r="Y78" s="3"/>
      <c r="Z78" s="3"/>
      <c r="AA78" s="3"/>
    </row>
    <row r="79">
      <c r="A79" s="3"/>
      <c r="B79" s="59"/>
      <c r="C79" s="3"/>
      <c r="D79" s="3"/>
      <c r="E79" s="3"/>
      <c r="F79" s="3"/>
      <c r="G79" s="3"/>
      <c r="H79" s="3"/>
      <c r="I79" s="3"/>
      <c r="J79" s="3"/>
      <c r="K79" s="3"/>
      <c r="L79" s="3"/>
      <c r="M79" s="3"/>
      <c r="N79" s="3"/>
      <c r="O79" s="3"/>
      <c r="P79" s="3"/>
      <c r="Q79" s="3"/>
      <c r="R79" s="3"/>
      <c r="S79" s="3"/>
      <c r="T79" s="3"/>
      <c r="U79" s="3"/>
      <c r="V79" s="3"/>
      <c r="W79" s="3"/>
      <c r="X79" s="3"/>
      <c r="Y79" s="3"/>
      <c r="Z79" s="3"/>
      <c r="AA79" s="3"/>
    </row>
    <row r="80">
      <c r="A80" s="3"/>
      <c r="B80" s="59"/>
      <c r="C80" s="3"/>
      <c r="D80" s="3"/>
      <c r="E80" s="3"/>
      <c r="F80" s="3"/>
      <c r="G80" s="3"/>
      <c r="H80" s="3"/>
      <c r="I80" s="3"/>
      <c r="J80" s="3"/>
      <c r="K80" s="3"/>
      <c r="L80" s="3"/>
      <c r="M80" s="3"/>
      <c r="N80" s="3"/>
      <c r="O80" s="3"/>
      <c r="P80" s="3"/>
      <c r="Q80" s="3"/>
      <c r="R80" s="3"/>
      <c r="S80" s="3"/>
      <c r="T80" s="3"/>
      <c r="U80" s="3"/>
      <c r="V80" s="3"/>
      <c r="W80" s="3"/>
      <c r="X80" s="3"/>
      <c r="Y80" s="3"/>
      <c r="Z80" s="3"/>
      <c r="AA80" s="3"/>
    </row>
    <row r="81">
      <c r="A81" s="3"/>
      <c r="B81" s="59"/>
      <c r="C81" s="3"/>
      <c r="D81" s="3"/>
      <c r="E81" s="3"/>
      <c r="F81" s="3"/>
      <c r="G81" s="3"/>
      <c r="H81" s="3"/>
      <c r="I81" s="3"/>
      <c r="J81" s="3"/>
      <c r="K81" s="3"/>
      <c r="L81" s="3"/>
      <c r="M81" s="3"/>
      <c r="N81" s="3"/>
      <c r="O81" s="3"/>
      <c r="P81" s="3"/>
      <c r="Q81" s="3"/>
      <c r="R81" s="3"/>
      <c r="S81" s="3"/>
      <c r="T81" s="3"/>
      <c r="U81" s="3"/>
      <c r="V81" s="3"/>
      <c r="W81" s="3"/>
      <c r="X81" s="3"/>
      <c r="Y81" s="3"/>
      <c r="Z81" s="3"/>
      <c r="AA81" s="3"/>
    </row>
    <row r="82">
      <c r="A82" s="3"/>
      <c r="B82" s="59"/>
      <c r="C82" s="3"/>
      <c r="D82" s="3"/>
      <c r="E82" s="3"/>
      <c r="F82" s="3"/>
      <c r="G82" s="3"/>
      <c r="H82" s="3"/>
      <c r="I82" s="3"/>
      <c r="J82" s="3"/>
      <c r="K82" s="3"/>
      <c r="L82" s="3"/>
      <c r="M82" s="3"/>
      <c r="N82" s="3"/>
      <c r="O82" s="3"/>
      <c r="P82" s="3"/>
      <c r="Q82" s="3"/>
      <c r="R82" s="3"/>
      <c r="S82" s="3"/>
      <c r="T82" s="3"/>
      <c r="U82" s="3"/>
      <c r="V82" s="3"/>
      <c r="W82" s="3"/>
      <c r="X82" s="3"/>
      <c r="Y82" s="3"/>
      <c r="Z82" s="3"/>
      <c r="AA82" s="3"/>
    </row>
    <row r="83">
      <c r="A83" s="3"/>
      <c r="B83" s="59"/>
      <c r="C83" s="3"/>
      <c r="D83" s="3"/>
      <c r="E83" s="3"/>
      <c r="F83" s="3"/>
      <c r="G83" s="3"/>
      <c r="H83" s="3"/>
      <c r="I83" s="3"/>
      <c r="J83" s="3"/>
      <c r="K83" s="3"/>
      <c r="L83" s="3"/>
      <c r="M83" s="3"/>
      <c r="N83" s="3"/>
      <c r="O83" s="3"/>
      <c r="P83" s="3"/>
      <c r="Q83" s="3"/>
      <c r="R83" s="3"/>
      <c r="S83" s="3"/>
      <c r="T83" s="3"/>
      <c r="U83" s="3"/>
      <c r="V83" s="3"/>
      <c r="W83" s="3"/>
      <c r="X83" s="3"/>
      <c r="Y83" s="3"/>
      <c r="Z83" s="3"/>
      <c r="AA83" s="3"/>
    </row>
    <row r="84">
      <c r="A84" s="3"/>
      <c r="B84" s="59"/>
      <c r="C84" s="3"/>
      <c r="D84" s="3"/>
      <c r="E84" s="3"/>
      <c r="F84" s="3"/>
      <c r="G84" s="3"/>
      <c r="H84" s="3"/>
      <c r="I84" s="3"/>
      <c r="J84" s="3"/>
      <c r="K84" s="3"/>
      <c r="L84" s="3"/>
      <c r="M84" s="3"/>
      <c r="N84" s="3"/>
      <c r="O84" s="3"/>
      <c r="P84" s="3"/>
      <c r="Q84" s="3"/>
      <c r="R84" s="3"/>
      <c r="S84" s="3"/>
      <c r="T84" s="3"/>
      <c r="U84" s="3"/>
      <c r="V84" s="3"/>
      <c r="W84" s="3"/>
      <c r="X84" s="3"/>
      <c r="Y84" s="3"/>
      <c r="Z84" s="3"/>
      <c r="AA84" s="3"/>
    </row>
    <row r="85">
      <c r="A85" s="3"/>
      <c r="B85" s="59"/>
      <c r="C85" s="3"/>
      <c r="D85" s="3"/>
      <c r="E85" s="3"/>
      <c r="F85" s="3"/>
      <c r="G85" s="3"/>
      <c r="H85" s="3"/>
      <c r="I85" s="3"/>
      <c r="J85" s="3"/>
      <c r="K85" s="3"/>
      <c r="L85" s="3"/>
      <c r="M85" s="3"/>
      <c r="N85" s="3"/>
      <c r="O85" s="3"/>
      <c r="P85" s="3"/>
      <c r="Q85" s="3"/>
      <c r="R85" s="3"/>
      <c r="S85" s="3"/>
      <c r="T85" s="3"/>
      <c r="U85" s="3"/>
      <c r="V85" s="3"/>
      <c r="W85" s="3"/>
      <c r="X85" s="3"/>
      <c r="Y85" s="3"/>
      <c r="Z85" s="3"/>
      <c r="AA85" s="3"/>
    </row>
    <row r="86">
      <c r="A86" s="3"/>
      <c r="B86" s="59"/>
      <c r="C86" s="3"/>
      <c r="D86" s="3"/>
      <c r="E86" s="3"/>
      <c r="F86" s="3"/>
      <c r="G86" s="3"/>
      <c r="H86" s="3"/>
      <c r="I86" s="3"/>
      <c r="J86" s="3"/>
      <c r="K86" s="3"/>
      <c r="L86" s="3"/>
      <c r="M86" s="3"/>
      <c r="N86" s="3"/>
      <c r="O86" s="3"/>
      <c r="P86" s="3"/>
      <c r="Q86" s="3"/>
      <c r="R86" s="3"/>
      <c r="S86" s="3"/>
      <c r="T86" s="3"/>
      <c r="U86" s="3"/>
      <c r="V86" s="3"/>
      <c r="W86" s="3"/>
      <c r="X86" s="3"/>
      <c r="Y86" s="3"/>
      <c r="Z86" s="3"/>
      <c r="AA86" s="3"/>
    </row>
    <row r="87">
      <c r="A87" s="3"/>
      <c r="B87" s="59"/>
      <c r="C87" s="3"/>
      <c r="D87" s="3"/>
      <c r="E87" s="3"/>
      <c r="F87" s="3"/>
      <c r="G87" s="3"/>
      <c r="H87" s="3"/>
      <c r="I87" s="3"/>
      <c r="J87" s="3"/>
      <c r="K87" s="3"/>
      <c r="L87" s="3"/>
      <c r="M87" s="3"/>
      <c r="N87" s="3"/>
      <c r="O87" s="3"/>
      <c r="P87" s="3"/>
      <c r="Q87" s="3"/>
      <c r="R87" s="3"/>
      <c r="S87" s="3"/>
      <c r="T87" s="3"/>
      <c r="U87" s="3"/>
      <c r="V87" s="3"/>
      <c r="W87" s="3"/>
      <c r="X87" s="3"/>
      <c r="Y87" s="3"/>
      <c r="Z87" s="3"/>
      <c r="AA87" s="3"/>
    </row>
    <row r="88">
      <c r="A88" s="3"/>
      <c r="B88" s="59"/>
      <c r="C88" s="3"/>
      <c r="D88" s="3"/>
      <c r="E88" s="3"/>
      <c r="F88" s="3"/>
      <c r="G88" s="3"/>
      <c r="H88" s="3"/>
      <c r="I88" s="3"/>
      <c r="J88" s="3"/>
      <c r="K88" s="3"/>
      <c r="L88" s="3"/>
      <c r="M88" s="3"/>
      <c r="N88" s="3"/>
      <c r="O88" s="3"/>
      <c r="P88" s="3"/>
      <c r="Q88" s="3"/>
      <c r="R88" s="3"/>
      <c r="S88" s="3"/>
      <c r="T88" s="3"/>
      <c r="U88" s="3"/>
      <c r="V88" s="3"/>
      <c r="W88" s="3"/>
      <c r="X88" s="3"/>
      <c r="Y88" s="3"/>
      <c r="Z88" s="3"/>
      <c r="AA88" s="3"/>
    </row>
    <row r="89">
      <c r="A89" s="3"/>
      <c r="B89" s="59"/>
      <c r="C89" s="3"/>
      <c r="D89" s="3"/>
      <c r="E89" s="3"/>
      <c r="F89" s="3"/>
      <c r="G89" s="3"/>
      <c r="H89" s="3"/>
      <c r="I89" s="3"/>
      <c r="J89" s="3"/>
      <c r="K89" s="3"/>
      <c r="L89" s="3"/>
      <c r="M89" s="3"/>
      <c r="N89" s="3"/>
      <c r="O89" s="3"/>
      <c r="P89" s="3"/>
      <c r="Q89" s="3"/>
      <c r="R89" s="3"/>
      <c r="S89" s="3"/>
      <c r="T89" s="3"/>
      <c r="U89" s="3"/>
      <c r="V89" s="3"/>
      <c r="W89" s="3"/>
      <c r="X89" s="3"/>
      <c r="Y89" s="3"/>
      <c r="Z89" s="3"/>
      <c r="AA89" s="3"/>
    </row>
    <row r="90">
      <c r="A90" s="3"/>
      <c r="B90" s="59"/>
      <c r="C90" s="3"/>
      <c r="D90" s="3"/>
      <c r="E90" s="3"/>
      <c r="F90" s="3"/>
      <c r="G90" s="3"/>
      <c r="H90" s="3"/>
      <c r="I90" s="3"/>
      <c r="J90" s="3"/>
      <c r="K90" s="3"/>
      <c r="L90" s="3"/>
      <c r="M90" s="3"/>
      <c r="N90" s="3"/>
      <c r="O90" s="3"/>
      <c r="P90" s="3"/>
      <c r="Q90" s="3"/>
      <c r="R90" s="3"/>
      <c r="S90" s="3"/>
      <c r="T90" s="3"/>
      <c r="U90" s="3"/>
      <c r="V90" s="3"/>
      <c r="W90" s="3"/>
      <c r="X90" s="3"/>
      <c r="Y90" s="3"/>
      <c r="Z90" s="3"/>
      <c r="AA90" s="3"/>
    </row>
    <row r="91">
      <c r="A91" s="3"/>
      <c r="B91" s="59"/>
      <c r="C91" s="3"/>
      <c r="D91" s="3"/>
      <c r="E91" s="3"/>
      <c r="F91" s="3"/>
      <c r="G91" s="3"/>
      <c r="H91" s="3"/>
      <c r="I91" s="3"/>
      <c r="J91" s="3"/>
      <c r="K91" s="3"/>
      <c r="L91" s="3"/>
      <c r="M91" s="3"/>
      <c r="N91" s="3"/>
      <c r="O91" s="3"/>
      <c r="P91" s="3"/>
      <c r="Q91" s="3"/>
      <c r="R91" s="3"/>
      <c r="S91" s="3"/>
      <c r="T91" s="3"/>
      <c r="U91" s="3"/>
      <c r="V91" s="3"/>
      <c r="W91" s="3"/>
      <c r="X91" s="3"/>
      <c r="Y91" s="3"/>
      <c r="Z91" s="3"/>
      <c r="AA91" s="3"/>
    </row>
    <row r="92">
      <c r="A92" s="3"/>
      <c r="B92" s="59"/>
      <c r="C92" s="3"/>
      <c r="D92" s="3"/>
      <c r="E92" s="3"/>
      <c r="F92" s="3"/>
      <c r="G92" s="3"/>
      <c r="H92" s="3"/>
      <c r="I92" s="3"/>
      <c r="J92" s="3"/>
      <c r="K92" s="3"/>
      <c r="L92" s="3"/>
      <c r="M92" s="3"/>
      <c r="N92" s="3"/>
      <c r="O92" s="3"/>
      <c r="P92" s="3"/>
      <c r="Q92" s="3"/>
      <c r="R92" s="3"/>
      <c r="S92" s="3"/>
      <c r="T92" s="3"/>
      <c r="U92" s="3"/>
      <c r="V92" s="3"/>
      <c r="W92" s="3"/>
      <c r="X92" s="3"/>
      <c r="Y92" s="3"/>
      <c r="Z92" s="3"/>
      <c r="AA92" s="3"/>
    </row>
    <row r="93">
      <c r="A93" s="3"/>
      <c r="B93" s="59"/>
      <c r="C93" s="3"/>
      <c r="D93" s="3"/>
      <c r="E93" s="3"/>
      <c r="F93" s="3"/>
      <c r="G93" s="3"/>
      <c r="H93" s="3"/>
      <c r="I93" s="3"/>
      <c r="J93" s="3"/>
      <c r="K93" s="3"/>
      <c r="L93" s="3"/>
      <c r="M93" s="3"/>
      <c r="N93" s="3"/>
      <c r="O93" s="3"/>
      <c r="P93" s="3"/>
      <c r="Q93" s="3"/>
      <c r="R93" s="3"/>
      <c r="S93" s="3"/>
      <c r="T93" s="3"/>
      <c r="U93" s="3"/>
      <c r="V93" s="3"/>
      <c r="W93" s="3"/>
      <c r="X93" s="3"/>
      <c r="Y93" s="3"/>
      <c r="Z93" s="3"/>
      <c r="AA93" s="3"/>
    </row>
    <row r="94">
      <c r="A94" s="3"/>
      <c r="B94" s="59"/>
      <c r="C94" s="3"/>
      <c r="D94" s="3"/>
      <c r="E94" s="3"/>
      <c r="F94" s="3"/>
      <c r="G94" s="3"/>
      <c r="H94" s="3"/>
      <c r="I94" s="3"/>
      <c r="J94" s="3"/>
      <c r="K94" s="3"/>
      <c r="L94" s="3"/>
      <c r="M94" s="3"/>
      <c r="N94" s="3"/>
      <c r="O94" s="3"/>
      <c r="P94" s="3"/>
      <c r="Q94" s="3"/>
      <c r="R94" s="3"/>
      <c r="S94" s="3"/>
      <c r="T94" s="3"/>
      <c r="U94" s="3"/>
      <c r="V94" s="3"/>
      <c r="W94" s="3"/>
      <c r="X94" s="3"/>
      <c r="Y94" s="3"/>
      <c r="Z94" s="3"/>
      <c r="AA94" s="3"/>
    </row>
    <row r="95">
      <c r="A95" s="3"/>
      <c r="B95" s="59"/>
      <c r="C95" s="3"/>
      <c r="D95" s="3"/>
      <c r="E95" s="3"/>
      <c r="F95" s="3"/>
      <c r="G95" s="3"/>
      <c r="H95" s="3"/>
      <c r="I95" s="3"/>
      <c r="J95" s="3"/>
      <c r="K95" s="3"/>
      <c r="L95" s="3"/>
      <c r="M95" s="3"/>
      <c r="N95" s="3"/>
      <c r="O95" s="3"/>
      <c r="P95" s="3"/>
      <c r="Q95" s="3"/>
      <c r="R95" s="3"/>
      <c r="S95" s="3"/>
      <c r="T95" s="3"/>
      <c r="U95" s="3"/>
      <c r="V95" s="3"/>
      <c r="W95" s="3"/>
      <c r="X95" s="3"/>
      <c r="Y95" s="3"/>
      <c r="Z95" s="3"/>
      <c r="AA95" s="3"/>
    </row>
    <row r="96">
      <c r="A96" s="3"/>
      <c r="B96" s="59"/>
      <c r="C96" s="3"/>
      <c r="D96" s="3"/>
      <c r="E96" s="3"/>
      <c r="F96" s="3"/>
      <c r="G96" s="3"/>
      <c r="H96" s="3"/>
      <c r="I96" s="3"/>
      <c r="J96" s="3"/>
      <c r="K96" s="3"/>
      <c r="L96" s="3"/>
      <c r="M96" s="3"/>
      <c r="N96" s="3"/>
      <c r="O96" s="3"/>
      <c r="P96" s="3"/>
      <c r="Q96" s="3"/>
      <c r="R96" s="3"/>
      <c r="S96" s="3"/>
      <c r="T96" s="3"/>
      <c r="U96" s="3"/>
      <c r="V96" s="3"/>
      <c r="W96" s="3"/>
      <c r="X96" s="3"/>
      <c r="Y96" s="3"/>
      <c r="Z96" s="3"/>
      <c r="AA96" s="3"/>
    </row>
    <row r="97">
      <c r="A97" s="3"/>
      <c r="B97" s="59"/>
      <c r="C97" s="3"/>
      <c r="D97" s="3"/>
      <c r="E97" s="3"/>
      <c r="F97" s="3"/>
      <c r="G97" s="3"/>
      <c r="H97" s="3"/>
      <c r="I97" s="3"/>
      <c r="J97" s="3"/>
      <c r="K97" s="3"/>
      <c r="L97" s="3"/>
      <c r="M97" s="3"/>
      <c r="N97" s="3"/>
      <c r="O97" s="3"/>
      <c r="P97" s="3"/>
      <c r="Q97" s="3"/>
      <c r="R97" s="3"/>
      <c r="S97" s="3"/>
      <c r="T97" s="3"/>
      <c r="U97" s="3"/>
      <c r="V97" s="3"/>
      <c r="W97" s="3"/>
      <c r="X97" s="3"/>
      <c r="Y97" s="3"/>
      <c r="Z97" s="3"/>
      <c r="AA97" s="3"/>
    </row>
    <row r="98">
      <c r="A98" s="3"/>
      <c r="B98" s="59"/>
      <c r="C98" s="3"/>
      <c r="D98" s="3"/>
      <c r="E98" s="3"/>
      <c r="F98" s="3"/>
      <c r="G98" s="3"/>
      <c r="H98" s="3"/>
      <c r="I98" s="3"/>
      <c r="J98" s="3"/>
      <c r="K98" s="3"/>
      <c r="L98" s="3"/>
      <c r="M98" s="3"/>
      <c r="N98" s="3"/>
      <c r="O98" s="3"/>
      <c r="P98" s="3"/>
      <c r="Q98" s="3"/>
      <c r="R98" s="3"/>
      <c r="S98" s="3"/>
      <c r="T98" s="3"/>
      <c r="U98" s="3"/>
      <c r="V98" s="3"/>
      <c r="W98" s="3"/>
      <c r="X98" s="3"/>
      <c r="Y98" s="3"/>
      <c r="Z98" s="3"/>
      <c r="AA98" s="3"/>
    </row>
    <row r="99">
      <c r="A99" s="3"/>
      <c r="B99" s="59"/>
      <c r="C99" s="3"/>
      <c r="D99" s="3"/>
      <c r="E99" s="3"/>
      <c r="F99" s="3"/>
      <c r="G99" s="3"/>
      <c r="H99" s="3"/>
      <c r="I99" s="3"/>
      <c r="J99" s="3"/>
      <c r="K99" s="3"/>
      <c r="L99" s="3"/>
      <c r="M99" s="3"/>
      <c r="N99" s="3"/>
      <c r="O99" s="3"/>
      <c r="P99" s="3"/>
      <c r="Q99" s="3"/>
      <c r="R99" s="3"/>
      <c r="S99" s="3"/>
      <c r="T99" s="3"/>
      <c r="U99" s="3"/>
      <c r="V99" s="3"/>
      <c r="W99" s="3"/>
      <c r="X99" s="3"/>
      <c r="Y99" s="3"/>
      <c r="Z99" s="3"/>
      <c r="AA99" s="3"/>
    </row>
    <row r="100">
      <c r="A100" s="3"/>
      <c r="B100" s="59"/>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3"/>
      <c r="B101" s="59"/>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3"/>
      <c r="B102" s="59"/>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3"/>
      <c r="B103" s="59"/>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3"/>
      <c r="B104" s="59"/>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3"/>
      <c r="B105" s="59"/>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3"/>
      <c r="B106" s="59"/>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3"/>
      <c r="B107" s="59"/>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3"/>
      <c r="B108" s="59"/>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3"/>
      <c r="B109" s="59"/>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3"/>
      <c r="B110" s="59"/>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3"/>
      <c r="B111" s="59"/>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3"/>
      <c r="B112" s="59"/>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3"/>
      <c r="B113" s="59"/>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3"/>
      <c r="B114" s="59"/>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3"/>
      <c r="B115" s="59"/>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3"/>
      <c r="B116" s="59"/>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3"/>
      <c r="B117" s="59"/>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3"/>
      <c r="B118" s="59"/>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3"/>
      <c r="B119" s="59"/>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row>
    <row r="100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row>
    <row r="1007">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row>
    <row r="1008">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