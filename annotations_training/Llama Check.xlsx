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rb" sheetId="1" r:id="rId5"/>
    <sheet state="visible" name="phos" sheetId="2" r:id="rId6"/>
    <sheet state="visible" name="ubq" sheetId="3" r:id="rId7"/>
    <sheet state="visible" name="overall" sheetId="4" r:id="rId8"/>
  </sheets>
  <definedNames/>
  <calcPr/>
</workbook>
</file>

<file path=xl/sharedStrings.xml><?xml version="1.0" encoding="utf-8"?>
<sst xmlns="http://schemas.openxmlformats.org/spreadsheetml/2006/main" count="1044" uniqueCount="1015">
  <si>
    <t>text</t>
  </si>
  <si>
    <t>triplet</t>
  </si>
  <si>
    <t>ollama output for "Identify the relation in this sentence"</t>
  </si>
  <si>
    <t>correct?</t>
  </si>
  <si>
    <t>ollama output for "Identify the relation between Entity1 and Entity2 in this sentence"</t>
  </si>
  <si>
    <r>
      <rPr>
        <rFont val="Arial"/>
        <color rgb="FF37474F"/>
      </rPr>
      <t xml:space="preserve">The best characterized ligands for the </t>
    </r>
    <r>
      <rPr>
        <rFont val="Arial"/>
        <color rgb="FF8B2595"/>
      </rPr>
      <t>AhR</t>
    </r>
    <r>
      <rPr>
        <rFont val="Arial"/>
        <color rgb="FF37474F"/>
      </rPr>
      <t xml:space="preserve"> include </t>
    </r>
    <r>
      <rPr>
        <rFont val="Arial"/>
        <color rgb="FF318E34"/>
      </rPr>
      <t>halogenated aromatic hydrocarbons</t>
    </r>
    <r>
      <rPr>
        <rFont val="Arial"/>
        <color rgb="FF37474F"/>
      </rPr>
      <t xml:space="preserve"> (</t>
    </r>
    <r>
      <rPr>
        <rFont val="Arial"/>
        <color rgb="FF318E34"/>
      </rPr>
      <t>HAHs</t>
    </r>
    <r>
      <rPr>
        <rFont val="Arial"/>
        <color rgb="FF37474F"/>
      </rPr>
      <t xml:space="preserve">), such as the </t>
    </r>
    <r>
      <rPr>
        <rFont val="Arial"/>
        <color rgb="FF318E34"/>
      </rPr>
      <t>polychlorinated dibenzo-p-dioxins</t>
    </r>
    <r>
      <rPr>
        <rFont val="Arial"/>
        <color rgb="FF37474F"/>
      </rPr>
      <t xml:space="preserve">, </t>
    </r>
    <r>
      <rPr>
        <rFont val="Arial"/>
        <color rgb="FF318E34"/>
      </rPr>
      <t>dibenzofurans</t>
    </r>
    <r>
      <rPr>
        <rFont val="Arial"/>
        <color rgb="FF37474F"/>
      </rPr>
      <t xml:space="preserve">, and </t>
    </r>
    <r>
      <rPr>
        <rFont val="Arial"/>
        <color rgb="FF318E34"/>
      </rPr>
      <t>biphenyls</t>
    </r>
    <r>
      <rPr>
        <rFont val="Arial"/>
        <color rgb="FF37474F"/>
      </rPr>
      <t xml:space="preserve">, and </t>
    </r>
    <r>
      <rPr>
        <rFont val="Arial"/>
        <color rgb="FF318E34"/>
      </rPr>
      <t>polycyclic aromatic hydrocarbons</t>
    </r>
    <r>
      <rPr>
        <rFont val="Arial"/>
        <color rgb="FF37474F"/>
      </rPr>
      <t xml:space="preserve"> (</t>
    </r>
    <r>
      <rPr>
        <rFont val="Arial"/>
        <color rgb="FF318E34"/>
      </rPr>
      <t>PAHs</t>
    </r>
    <r>
      <rPr>
        <rFont val="Arial"/>
        <color rgb="FF37474F"/>
      </rPr>
      <t xml:space="preserve">). </t>
    </r>
    <r>
      <rPr>
        <rFont val="Arial"/>
        <color rgb="FF318E34"/>
      </rPr>
      <t>HAHs</t>
    </r>
    <r>
      <rPr>
        <rFont val="Arial"/>
        <color rgb="FF37474F"/>
      </rPr>
      <t xml:space="preserve">, such as </t>
    </r>
    <r>
      <rPr>
        <rFont val="Arial"/>
        <color rgb="FF318E34"/>
      </rPr>
      <t>2,3,7,8-tetrachlorodibenzo-p-dioxin</t>
    </r>
    <r>
      <rPr>
        <rFont val="Arial"/>
        <color rgb="FF37474F"/>
      </rPr>
      <t xml:space="preserve"> (</t>
    </r>
    <r>
      <rPr>
        <rFont val="Arial"/>
        <color rgb="FF318E34"/>
      </rPr>
      <t>TCDD</t>
    </r>
    <r>
      <rPr>
        <rFont val="Arial"/>
        <color rgb="FF37474F"/>
      </rPr>
      <t xml:space="preserve">, </t>
    </r>
    <r>
      <rPr>
        <rFont val="Arial"/>
        <color rgb="FF318E34"/>
      </rPr>
      <t>dioxin</t>
    </r>
    <r>
      <rPr>
        <rFont val="Arial"/>
        <color rgb="FF37474F"/>
      </rPr>
      <t xml:space="preserve">) generally have the highest affinities for the </t>
    </r>
    <r>
      <rPr>
        <rFont val="Arial"/>
        <color rgb="FF8B2595"/>
      </rPr>
      <t>AhR</t>
    </r>
  </si>
  <si>
    <t>(AhR, receptor for, halogenated hydrocabonds)
(AhR, receptor for, 2,3,7,8-tetrachlorodibenzo-p-diozin)
(AhR, receptor for, polychlorinated dibenzo-p-dioxins)
(AhR, receptor for, biphenyls)
(AhR, receptor for, polycylic aromatic hydrocarbons)</t>
  </si>
  <si>
    <t>The relation in this sentence is one of membership or categorization. The 
sentence states that a certain class of compounds ("halogenated aromatic 
hydrocarbons", "polychlorinated dibenzo-p-dioxins, dibenzofurans, and 
biphenyls", and "polycyclic aromatic hydrocarbons") are characterized as 
being ligands for the AhR (aryl hydrocarbon receptor). This means that 
these compounds all share a common property or function of binding to the 
AhR.</t>
  </si>
  <si>
    <t>The relation between AhR and HAHs is that of ligand-receptor interaction. 
In this context:
* AhR (Aromatic Hydrocarbon Receptor) is a protein receptor.
* HAHs (Halogenated Aromatic Hydrocarbons) are small molecules that can 
bind to the AhR receptor.
The sentence suggests that HAHs, such as TCDD (dioxin), have a high 
affinity for binding to the AhR receptor, indicating a specific 
interaction between these molecules and the receptor. This binding event 
is thought to trigger signaling pathways that affect various cellular 
processes.</t>
  </si>
  <si>
    <r>
      <rPr>
        <rFont val="Arial"/>
        <color rgb="FF37474F"/>
      </rPr>
      <t xml:space="preserve"> The IGFBPs bind </t>
    </r>
    <r>
      <rPr>
        <rFont val="Arial"/>
        <color rgb="FF8B2595"/>
      </rPr>
      <t>IGF-I</t>
    </r>
    <r>
      <rPr>
        <rFont val="Arial"/>
        <color rgb="FF37474F"/>
      </rPr>
      <t xml:space="preserve"> and </t>
    </r>
    <r>
      <rPr>
        <rFont val="Arial"/>
        <color rgb="FF8B2595"/>
      </rPr>
      <t>IGF-II</t>
    </r>
    <r>
      <rPr>
        <rFont val="Arial"/>
        <color rgb="FF37474F"/>
      </rPr>
      <t xml:space="preserve"> in the circulation to prolong their half-lives and modulate tissue access, thereby controlling IGF function.</t>
    </r>
  </si>
  <si>
    <t>(IGF-I, binds to, IGFBP)
(IGF-II, binds to, IGFBP)</t>
  </si>
  <si>
    <t>The relationship described in this sentence is one of:
**Binding**
IGFBPs (Insulin-like growth factor binding proteins) bind to IGF-I and 
IGF-II (insulin-like growth factors) in the circulation. This binding 
action has several consequences, including prolonging the half-lives of 
these proteins and modulating their access to tissues, ultimately 
controlling their function.</t>
  </si>
  <si>
    <r>
      <rPr>
        <rFont val="Arial"/>
        <color rgb="FF37474F"/>
      </rPr>
      <t xml:space="preserve">Schutz et al. found a 4-12-fold and 100-fold increase in the kinetic off-rate and affinity for the binding of </t>
    </r>
    <r>
      <rPr>
        <rFont val="Arial"/>
        <color rgb="FF8B2595"/>
      </rPr>
      <t>T cell receptor</t>
    </r>
    <r>
      <rPr>
        <rFont val="Arial"/>
        <color rgb="FF37474F"/>
      </rPr>
      <t xml:space="preserve"> (</t>
    </r>
    <r>
      <rPr>
        <rFont val="Arial"/>
        <color rgb="FF8B2595"/>
      </rPr>
      <t>TCR</t>
    </r>
    <r>
      <rPr>
        <rFont val="Arial"/>
        <color rgb="FF37474F"/>
      </rPr>
      <t xml:space="preserve">) and </t>
    </r>
    <r>
      <rPr>
        <rFont val="Arial"/>
        <color rgb="FF318E34"/>
      </rPr>
      <t>peptide major histocompatibility complex</t>
    </r>
    <r>
      <rPr>
        <rFont val="Arial"/>
        <color rgb="FF37474F"/>
      </rPr>
      <t xml:space="preserve"> (</t>
    </r>
    <r>
      <rPr>
        <rFont val="Arial"/>
        <color rgb="FF318E34"/>
      </rPr>
      <t>pMHC</t>
    </r>
    <r>
      <rPr>
        <rFont val="Arial"/>
        <color rgb="FF37474F"/>
      </rPr>
      <t>),</t>
    </r>
  </si>
  <si>
    <t>(pMHC, binds to, TCR)</t>
  </si>
  <si>
    <t>**Correlation**
Schutz et al. found a correlation between two variables: the kinetic 
off-rate (a measure of how quickly the TCR leaves the pMHC) and the 
affinity (a measure of how strongly the TCR binds to the pMHC). The 
sentence specifically states that there was an increase in both the 
kinetic off-rate and affinity, implying that these variables are related.</t>
  </si>
  <si>
    <t>The correct relationship between TCR and pMHC is indeed:
**Binding**
Schutz et al. found an increase in the kinetic off-rate and affinity for 
the binding of T cell receptor (TCR) to peptide major histocompatibility 
complex (pMHC). This suggests that the TCR binds to the pMHC, and the 
changes mentioned reflect the strength or duration of this binding 
interaction.</t>
  </si>
  <si>
    <r>
      <rPr>
        <rFont val="-apple-system, BlinkMacSystemFont, &quot;Segoe UI&quot;, Roboto, Oxygen, Ubuntu, Cantarell, &quot;Fira Sans&quot;, &quot;Droid Sans&quot;, &quot;Helvetica Neue&quot;, sans-serif"/>
        <color rgb="FF37474F"/>
      </rPr>
      <t xml:space="preserve">For </t>
    </r>
    <r>
      <rPr>
        <rFont val="-apple-system, BlinkMacSystemFont, &quot;Segoe UI&quot;, Roboto, Oxygen, Ubuntu, Cantarell, &quot;Fira Sans&quot;, &quot;Droid Sans&quot;, &quot;Helvetica Neue&quot;, sans-serif"/>
        <color rgb="FF8B2595"/>
      </rPr>
      <t>CB1</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we also modeled the whole N-terminal part and we have simulated the entrance of two agonists,</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anandamide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and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Delta9-THC</t>
    </r>
    <r>
      <rPr>
        <rFont val="-apple-system, BlinkMacSystemFont, &quot;Segoe UI&quot;, Roboto, Oxygen, Ubuntu, Cantarell, &quot;Fira Sans&quot;, &quot;Droid Sans&quot;, &quot;Helvetica Neue&quot;, sans-serif"/>
        <color rgb="FF37474F"/>
      </rPr>
      <t>, into the structure of</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8B2595"/>
      </rPr>
      <t>CB1</t>
    </r>
    <r>
      <rPr>
        <rFont val="-apple-system, BlinkMacSystemFont, &quot;Segoe UI&quot;, Roboto, Oxygen, Ubuntu, Cantarell, &quot;Fira Sans&quot;, &quot;Droid Sans&quot;, &quot;Helvetica Neue&quot;, sans-serif"/>
        <color rgb="FF37474F"/>
      </rPr>
      <t>. For the S1P1 receptor, the SMD simulations of ligand pulling were performed for two agonists of that receptor,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sphingosine-1-phosphate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S1P</t>
    </r>
    <r>
      <rPr>
        <rFont val="-apple-system, BlinkMacSystemFont, &quot;Segoe UI&quot;, Roboto, Oxygen, Ubuntu, Cantarell, &quot;Fira Sans&quot;, &quot;Droid Sans&quot;, &quot;Helvetica Neue&quot;, sans-serif"/>
        <color rgb="FF37474F"/>
      </rPr>
      <t>) and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fingolimod-(S)-phosphate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(S)-FTY720-P</t>
    </r>
    <r>
      <rPr>
        <rFont val="-apple-system, BlinkMacSystemFont, &quot;Segoe UI&quot;, Roboto, Oxygen, Ubuntu, Cantarell, &quot;Fira Sans&quot;, &quot;Droid Sans&quot;, &quot;Helvetica Neue&quot;, sans-serif"/>
        <color rgb="FF37474F"/>
      </rPr>
      <t>). For the LPA1 receptor, the similar SMD simulations were performed for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lysophosphatidic acid</t>
    </r>
    <r>
      <rPr>
        <rFont val="-apple-system, BlinkMacSystemFont, &quot;Segoe UI&quot;, Roboto, Oxygen, Ubuntu, Cantarell, &quot;Fira Sans&quot;, &quot;Droid Sans&quot;, &quot;Helvetica Neue&quot;, sans-serif"/>
        <color rgb="FF37474F"/>
      </rPr>
      <t>, which is the endogenous agonist of that receptor.</t>
    </r>
  </si>
  <si>
    <t>(Anandaminde, binds to, CB1)
(Delta9-THC, binds to, CB1)
(S1P, binds to, S1P1)
((S)-FTY720-P), binds to, S1P1)
(Lysophosphatidic acid, binds to, LPA1)</t>
  </si>
  <si>
    <t>The relationships mentioned in this sentence are:
**Binding**
* The entrance of anandamide and Delta9-THC into the structure of CB1 
suggests that these compounds bind to the CB1 receptor.
* Sphingosine-1-phosphate (S1P) and fingolimod-(S)-phosphate 
((S)-FTY720-P) are agonists of the S1P1 receptor, implying that they bind 
to this receptor.
* Lysophosphatidic acid is the endogenous agonist of the LPA1 receptor, 
suggesting that it binds to this receptor.
Additionally, there are also relationships mentioned:
**Simulation**
The sentence mentions performing simulations (SMD simulations) for these 
binding events, which implies a simulation-based study.</t>
  </si>
  <si>
    <r>
      <rPr>
        <rFont val="Arial"/>
        <color rgb="FF37474F"/>
      </rPr>
      <t xml:space="preserve">build a structural model of the </t>
    </r>
    <r>
      <rPr>
        <rFont val="Arial"/>
        <color rgb="FF8B2595"/>
      </rPr>
      <t>NPY</t>
    </r>
    <r>
      <rPr>
        <rFont val="Arial"/>
        <color rgb="FF37474F"/>
      </rPr>
      <t xml:space="preserve">-Y5 R complex guided by the experimental data... further show that the other two natural ligands of Y5 R, </t>
    </r>
    <r>
      <rPr>
        <rFont val="Arial"/>
        <color rgb="FF8B2595"/>
      </rPr>
      <t>peptide YY</t>
    </r>
    <r>
      <rPr>
        <rFont val="Arial"/>
        <color rgb="FF37474F"/>
      </rPr>
      <t xml:space="preserve"> (</t>
    </r>
    <r>
      <rPr>
        <rFont val="Arial"/>
        <color rgb="FF8B2595"/>
      </rPr>
      <t>PYY</t>
    </r>
    <r>
      <rPr>
        <rFont val="Arial"/>
        <color rgb="FF37474F"/>
      </rPr>
      <t xml:space="preserve">) and </t>
    </r>
    <r>
      <rPr>
        <rFont val="Arial"/>
        <color rgb="FF8B2595"/>
      </rPr>
      <t>pancreatic polypeptide</t>
    </r>
    <r>
      <rPr>
        <rFont val="Arial"/>
        <color rgb="FF37474F"/>
      </rPr>
      <t xml:space="preserve"> (</t>
    </r>
    <r>
      <rPr>
        <rFont val="Arial"/>
        <color rgb="FF8B2595"/>
      </rPr>
      <t>PP</t>
    </r>
    <r>
      <rPr>
        <rFont val="Arial"/>
        <color rgb="FF37474F"/>
      </rPr>
      <t>) dock to the receptor in a similar pose.</t>
    </r>
  </si>
  <si>
    <t>(NPY, binds to, Y5 R)
(Peptide YY (PYY), binds to, Y5 R)
(Pancreatic polypeptide (PP), binds to Y5 R)</t>
  </si>
  <si>
    <t>The relationships mentioned in this sentence are:
**Binding**
* The NPY-Y5 R complex refers to the binding of neuropeptide Y (NPY) to 
the Y5 receptor (R).
* Peptide YY (PYY) and pancreatic polypeptide (PP) are natural ligands 
that dock to the Y5 receptor, implying that they bind to it.
Additionally, there is also a relationship mentioned:
**Similarity**
The sentence states that PYY and PP dock to the receptor in a similar 
pose, suggesting that these two ligands have a similar binding 
configuration or conformation.</t>
  </si>
  <si>
    <r>
      <rPr>
        <rFont val="-apple-system, BlinkMacSystemFont, &quot;Segoe UI&quot;, Roboto, Oxygen, Ubuntu, Cantarell, &quot;Fira Sans&quot;, &quot;Droid Sans&quot;, &quot;Helvetica Neue&quot;, sans-serif"/>
        <color rgb="FF37474F"/>
      </rPr>
      <t xml:space="preserve">Here we describe a fast, high-throughput FP assay to quantify the binding of fluorescently labeled </t>
    </r>
    <r>
      <rPr>
        <rFont val="-apple-system, BlinkMacSystemFont, &quot;Segoe UI&quot;, Roboto, Oxygen, Ubuntu, Cantarell, &quot;Fira Sans&quot;, &quot;Droid Sans&quot;, &quot;Helvetica Neue&quot;, sans-serif"/>
        <color rgb="FF318E34"/>
      </rPr>
      <t>inositol 1,4,5-trisphosphate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IP3</t>
    </r>
    <r>
      <rPr>
        <rFont val="-apple-system, BlinkMacSystemFont, &quot;Segoe UI&quot;, Roboto, Oxygen, Ubuntu, Cantarell, &quot;Fira Sans&quot;, &quot;Droid Sans&quot;, &quot;Helvetica Neue&quot;, sans-serif"/>
        <color rgb="FF37474F"/>
      </rPr>
      <t>) to N-terminal fragments of the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8B2595"/>
      </rPr>
      <t>IP3 receptor</t>
    </r>
  </si>
  <si>
    <t>(IP3, binds to, N-terminal fragements of IP3 receptor)</t>
  </si>
  <si>
    <t>The relationship mentioned in this sentence is:
**Binding**
* The binding of fluorescently labeled inositol 1,4,5-trisphosphate (IP3) 
to N-terminal fragments of the IP3 receptor refers to the interaction 
between these two molecules.</t>
  </si>
  <si>
    <r>
      <rPr>
        <rFont val="-apple-system, BlinkMacSystemFont, &quot;Segoe UI&quot;, Roboto, Oxygen, Ubuntu, Cantarell, &quot;Fira Sans&quot;, &quot;Droid Sans&quot;, &quot;Helvetica Neue&quot;, sans-serif"/>
        <color rgb="FF37474F"/>
      </rPr>
      <t xml:space="preserve">It is regulated by the </t>
    </r>
    <r>
      <rPr>
        <rFont val="-apple-system, BlinkMacSystemFont, &quot;Segoe UI&quot;, Roboto, Oxygen, Ubuntu, Cantarell, &quot;Fira Sans&quot;, &quot;Droid Sans&quot;, &quot;Helvetica Neue&quot;, sans-serif"/>
        <color rgb="FF8B2595"/>
      </rPr>
      <t>TR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native ligand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triiodothyronine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T3</t>
    </r>
    <r>
      <rPr>
        <rFont val="-apple-system, BlinkMacSystemFont, &quot;Segoe UI&quot;, Roboto, Oxygen, Ubuntu, Cantarell, &quot;Fira Sans&quot;, &quot;Droid Sans&quot;, &quot;Helvetica Neue&quot;, sans-serif"/>
        <color rgb="FF37474F"/>
      </rPr>
      <t>), which displays anticooperative behavior to the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8B2595"/>
      </rPr>
      <t>RXR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ligand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9-cis retinoic acid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9C</t>
    </r>
    <r>
      <rPr>
        <rFont val="-apple-system, BlinkMacSystemFont, &quot;Segoe UI&quot;, Roboto, Oxygen, Ubuntu, Cantarell, &quot;Fira Sans&quot;, &quot;Droid Sans&quot;, &quot;Helvetica Neue&quot;, sans-serif"/>
        <color rgb="FF37474F"/>
      </rPr>
      <t>).</t>
    </r>
  </si>
  <si>
    <t>(T3, binds to, TR)
(T3, ligand for, TR)
(9C, binds to, RXR)
(9C, ligand for, RXR)</t>
  </si>
  <si>
    <t>The relation between TR and T3, as well as TR and 9-CRA, is that of 
receptor-ligand interaction.
* TR (Triiodothyronine Receptor) is a protein receptor.
* T3 (Triiodothyronine) is the native ligand for TR, which means it binds 
specifically to the TR receptor.
* RXR (Retinoid X Receptor) is another protein receptor.
* 9-CRA (9-cis Retinoic Acid) is a ligand that binds to RXR.
The sentence also mentions anticooperative behavior, which refers to the 
phenomenon where the binding of one ligand (T3) to its receptor (TR) 
reduces or prevents the binding of another ligand (9CRA) to its receptor 
(RXR). This suggests that T3 and 9CRA are competing for binding to their 
respective receptors.</t>
  </si>
  <si>
    <r>
      <rPr>
        <rFont val="-apple-system, BlinkMacSystemFont, &quot;Segoe UI&quot;, Roboto, Oxygen, Ubuntu, Cantarell, &quot;Fira Sans&quot;, &quot;Droid Sans&quot;, &quot;Helvetica Neue&quot;, sans-serif"/>
        <color rgb="FF37474F"/>
      </rPr>
      <t xml:space="preserve">From the simulations, both the agonist </t>
    </r>
    <r>
      <rPr>
        <rFont val="-apple-system, BlinkMacSystemFont, &quot;Segoe UI&quot;, Roboto, Oxygen, Ubuntu, Cantarell, &quot;Fira Sans&quot;, &quot;Droid Sans&quot;, &quot;Helvetica Neue&quot;, sans-serif"/>
        <color rgb="FF318E34"/>
      </rPr>
      <t>progesterone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t>
    </r>
    <r>
      <rPr>
        <rFont val="-apple-system, BlinkMacSystemFont, &quot;Segoe UI&quot;, Roboto, Oxygen, Ubuntu, Cantarell, &quot;Fira Sans&quot;, &quot;Droid Sans&quot;, &quot;Helvetica Neue&quot;, sans-serif"/>
        <color rgb="FF318E34"/>
      </rPr>
      <t>P4</t>
    </r>
    <r>
      <rPr>
        <rFont val="-apple-system, BlinkMacSystemFont, &quot;Segoe UI&quot;, Roboto, Oxygen, Ubuntu, Cantarell, &quot;Fira Sans&quot;, &quot;Droid Sans&quot;, &quot;Helvetica Neue&quot;, sans-serif"/>
        <color rgb="FF37474F"/>
      </rPr>
      <t>) and the selective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8B2595"/>
      </rPr>
      <t>PR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modulator (SPRM)</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asoprisnil</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induces agonistic-like helix 12 conformations (the "closed" states) in</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8B2595"/>
      </rPr>
      <t>PR</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LBD</t>
    </r>
  </si>
  <si>
    <t>(P4, binds to, PR)
(Asoprisnil, binds to, PR)</t>
  </si>
  <si>
    <t>The relation between PR and P4/Asoprisnil is that of receptor-ligand 
interaction.
* PR (Progestin Receptor) is a protein receptor.
* P4 (Progesterone) is an agonist ligand for PR, which means it binds 
specifically to the PR receptor and activates its signaling pathway.
* Asoprisnil is a selective PR modulator (SPRM), which is also a type of 
ligand that interacts with the PR receptor.
The sentence suggests that both P4 and Asoprisnil induce agonistic-like 
conformations in the PR Ligand-Binding Domain (LBD), specifically the 
"closed" states, which implies that they are binding to the PR receptor 
and causing specific structural changes.</t>
  </si>
  <si>
    <r>
      <rPr>
        <rFont val="Arial"/>
        <color rgb="FF37474F"/>
      </rPr>
      <t>The most potent and selective ligands being 8c (ICI 118,</t>
    </r>
    <r>
      <rPr>
        <rFont val="Arial"/>
        <color rgb="FFF44336"/>
      </rPr>
      <t>551-Gly-Ala</t>
    </r>
    <r>
      <rPr>
        <rFont val="Arial"/>
        <color rgb="FF37474F"/>
      </rPr>
      <t xml:space="preserve">-BODIPY-FL-X; </t>
    </r>
    <r>
      <rPr>
        <rFont val="Arial"/>
        <color rgb="FF8B2595"/>
      </rPr>
      <t>beta2AR</t>
    </r>
    <r>
      <rPr>
        <rFont val="Arial"/>
        <color rgb="FF37474F"/>
      </rPr>
      <t xml:space="preserve"> pKD 7.48), 9c (</t>
    </r>
    <r>
      <rPr>
        <rFont val="Arial"/>
        <color rgb="FF318E34"/>
      </rPr>
      <t>ICI 118,551-betaAla-betaAla-BODIPY-FL-X</t>
    </r>
    <r>
      <rPr>
        <rFont val="Arial"/>
        <color rgb="FF37474F"/>
      </rPr>
      <t xml:space="preserve">; </t>
    </r>
    <r>
      <rPr>
        <rFont val="Arial"/>
        <color rgb="FF8B2595"/>
      </rPr>
      <t>beta2AR</t>
    </r>
    <r>
      <rPr>
        <rFont val="Arial"/>
        <color rgb="FF37474F"/>
      </rPr>
      <t xml:space="preserve"> pKD 7.48), </t>
    </r>
    <r>
      <rPr>
        <rFont val="Arial"/>
        <color rgb="FF318E34"/>
      </rPr>
      <t>12a</t>
    </r>
    <r>
      <rPr>
        <rFont val="Arial"/>
        <color rgb="FF37474F"/>
      </rPr>
      <t xml:space="preserve"> (</t>
    </r>
    <r>
      <rPr>
        <rFont val="Arial"/>
        <color rgb="FF318E34"/>
      </rPr>
      <t>ICI 118,551-PEG-BODIPY-X</t>
    </r>
    <r>
      <rPr>
        <rFont val="Arial"/>
        <color rgb="FF37474F"/>
      </rPr>
      <t xml:space="preserve">-630/650; </t>
    </r>
    <r>
      <rPr>
        <rFont val="Arial"/>
        <color rgb="FF8B2595"/>
      </rPr>
      <t>beta2AR</t>
    </r>
    <r>
      <rPr>
        <rFont val="Arial"/>
        <color rgb="FF37474F"/>
      </rPr>
      <t xml:space="preserve"> pKD 7.56), and 12b (</t>
    </r>
    <r>
      <rPr>
        <rFont val="Arial"/>
        <color rgb="FF318E34"/>
      </rPr>
      <t>ICI 118,551-PEG-BODIPY-FL</t>
    </r>
    <r>
      <rPr>
        <rFont val="Arial"/>
        <color rgb="FF37474F"/>
      </rPr>
      <t xml:space="preserve">; </t>
    </r>
    <r>
      <rPr>
        <rFont val="Arial"/>
        <color rgb="FF8B2595"/>
      </rPr>
      <t>beta2AR</t>
    </r>
    <r>
      <rPr>
        <rFont val="Arial"/>
        <color rgb="FF37474F"/>
      </rPr>
      <t xml:space="preserve"> pKD 7.42)</t>
    </r>
  </si>
  <si>
    <t>(ICI 118,551-Gly-Ala-BODIPY-FL-X, binds to, beta2AR)
(ICI 118,551-betaAla-betaAla-BODIPY-FL-X, binds to, beta2AR)
(ICI 118,551-PEG-BODIPY-X-630, binds to, beta2AR)
(ICI 118,551-PEG-BODIPY-FL, binds to, beta2AR)</t>
  </si>
  <si>
    <t>The relation between the ligands mentioned (8c, 9c, 12a, and 12b) is that 
they are all:
* Ligands for the protein receptor Beta2 Adrenergic Receptor (beta2AR)
* Designed to bind specifically to the beta2AR receptor
* Characterized by their binding affinity or potency, denoted by the pKD 
values (pKa dissociation constant)
In other words, these ligands are designed to interact with and modulate 
the activity of the beta2AR protein receptor.</t>
  </si>
  <si>
    <r>
      <rPr>
        <rFont val="-apple-system, BlinkMacSystemFont, &quot;Segoe UI&quot;, Roboto, Oxygen, Ubuntu, Cantarell, &quot;Fira Sans&quot;, &quot;Droid Sans&quot;, &quot;Helvetica Neue&quot;, sans-serif"/>
        <color rgb="FF37474F"/>
      </rPr>
      <t xml:space="preserve">Functionalized </t>
    </r>
    <r>
      <rPr>
        <rFont val="-apple-system, BlinkMacSystemFont, &quot;Segoe UI&quot;, Roboto, Oxygen, Ubuntu, Cantarell, &quot;Fira Sans&quot;, &quot;Droid Sans&quot;, &quot;Helvetica Neue&quot;, sans-serif"/>
        <color rgb="FF318E34"/>
      </rPr>
      <t>gamma-butyrolactone</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7474F"/>
      </rPr>
      <t>and</t>
    </r>
    <r>
      <rPr>
        <rFont val="-apple-system, BlinkMacSystemFont, &quot;Segoe UI&quot;, Roboto, Oxygen, Ubuntu, Cantarell, &quot;Fira Sans&quot;, &quot;Droid Sans&quot;, &quot;Helvetica Neue&quot;, sans-serif"/>
        <color rgb="FF37474F"/>
      </rPr>
      <t xml:space="preserve"> </t>
    </r>
    <r>
      <rPr>
        <rFont val="-apple-system, BlinkMacSystemFont, &quot;Segoe UI&quot;, Roboto, Oxygen, Ubuntu, Cantarell, &quot;Fira Sans&quot;, &quot;Droid Sans&quot;, &quot;Helvetica Neue&quot;, sans-serif"/>
        <color rgb="FF318E34"/>
      </rPr>
      <t>oxazolidinone</t>
    </r>
    <r>
      <rPr>
        <rFont val="-apple-system, BlinkMacSystemFont, &quot;Segoe UI&quot;, Roboto, Oxygen, Ubuntu, Cantarell, &quot;Fira Sans&quot;, &quot;Droid Sans&quot;, &quot;Helvetica Neue&quot;, sans-serif"/>
        <color rgb="FF37474F"/>
      </rPr>
      <t>-based ligands, in particular, are pharmacologically important scaffolds in drug discovery research and have been thoroughly examined for sigma2 receptor efficacy.</t>
    </r>
  </si>
  <si>
    <t>(Gamma-butyrolactone, binds to, sigma2 receptor)
(Oxazolidinone, binds to, sigma2 receptor)</t>
  </si>
  <si>
    <t>The relation between the mentioned ligands (gamma-butyrolactone and 
oxazolidinone-based) is that they:
* Are ligands for the sigma2 receptor
* Have been studied and characterized for their ability to interact with and 
modulate the activity of the sigma2 receptor, specifically in terms of efficacy
In other words, these compounds are molecules that bind to and affect the 
function of the sigma2 receptor, which is a protein target of interest in drug 
discovery research.</t>
  </si>
  <si>
    <r>
      <rPr>
        <rFont val="Arial"/>
        <color rgb="FF37474F"/>
      </rPr>
      <t>Melatonin receptors (</t>
    </r>
    <r>
      <rPr>
        <rFont val="Arial"/>
        <color rgb="FF8B2595"/>
      </rPr>
      <t>MT1</t>
    </r>
    <r>
      <rPr>
        <rFont val="Arial"/>
        <color rgb="FF37474F"/>
      </rPr>
      <t xml:space="preserve"> </t>
    </r>
    <r>
      <rPr>
        <rFont val="Arial"/>
        <color rgb="FF37474F"/>
      </rPr>
      <t>and MT2 in</t>
    </r>
    <r>
      <rPr>
        <rFont val="Arial"/>
        <color rgb="FF37474F"/>
      </rPr>
      <t xml:space="preserve"> </t>
    </r>
    <r>
      <rPr>
        <rFont val="Arial"/>
        <color rgb="FF0277BD"/>
      </rPr>
      <t>humans</t>
    </r>
    <r>
      <rPr>
        <rFont val="Arial"/>
        <color rgb="FF37474F"/>
      </rPr>
      <t>) are family</t>
    </r>
    <r>
      <rPr>
        <rFont val="Arial"/>
        <color rgb="FF37474F"/>
      </rPr>
      <t xml:space="preserve"> </t>
    </r>
    <r>
      <rPr>
        <rFont val="Arial"/>
        <color rgb="FFF44336"/>
      </rPr>
      <t>A G</t>
    </r>
    <r>
      <rPr>
        <rFont val="Arial"/>
        <color rgb="FF37474F"/>
      </rPr>
      <t xml:space="preserve"> </t>
    </r>
    <r>
      <rPr>
        <rFont val="Arial"/>
        <color rgb="FF37474F"/>
      </rPr>
      <t>protein-coupled receptors that respond to the neurohormone</t>
    </r>
    <r>
      <rPr>
        <rFont val="Arial"/>
        <color rgb="FF37474F"/>
      </rPr>
      <t xml:space="preserve"> </t>
    </r>
    <r>
      <rPr>
        <rFont val="Arial"/>
        <color rgb="FF318E34"/>
      </rPr>
      <t>melatonin</t>
    </r>
    <r>
      <rPr>
        <rFont val="Arial"/>
        <color rgb="FF37474F"/>
      </rPr>
      <t xml:space="preserve"> </t>
    </r>
    <r>
      <rPr>
        <rFont val="Arial"/>
        <color rgb="FF37474F"/>
      </rPr>
      <t>to regulate circadian rhythm and sleep.</t>
    </r>
  </si>
  <si>
    <t>(Melatonin, binds to, MT1)
(Melatonin, binds to, MT2)</t>
  </si>
  <si>
    <t>The relation between the mentioned entities is that:
* Melatonin receptors (specifically, MT1 and MT2 in humans) are:
	+ Family A G protein-coupled receptors
	+ Respond to the presence of the neurohormone melatonin
	+ Regulate circadian rhythm and sleep
In other words, Melatonin receptors are a type of receptor that is activated by 
the hormone melatonin, which helps regulate our body's natural rhythms 
(circadian rhythm) and sleep-wake cycle.</t>
  </si>
  <si>
    <t>The relation between melatonin and MT1 and MT2 is that:
* Melatonin is the neurohormone that binds to and activates the MT1 and MT2 
receptors
* The presence of melatonin triggers a response from the MT1 and MT2 receptors, 
which in turn regulates circadian rhythm and sleep.
In other words, melatonin is the ligand that interacts with the MT1 and MT2 
receptors, causing them to respond and perform their regulatory functions on 
our body's natural rhythms and sleep-wake cycle.</t>
  </si>
  <si>
    <t>We combined supervised molecular dynamics (SuMD) and classic molecular dynamics (cMD) simulations to study the binding of the calcitonin gene-related peptide (CGRP) to the CGRP receptor (CGRPR).</t>
  </si>
  <si>
    <t>(CGRP, binds to, CGRPR)</t>
  </si>
  <si>
    <t>The relation between the mentioned entities is that:
* CGRP (calcitonin gene-related peptide) is:
	+ A molecule that binds to
	+ The CGRPR (CGRP receptor)
In other words, CGRP is a ligand that interacts with and binds to its specific 
receptor, the CGRPR.</t>
  </si>
  <si>
    <r>
      <rPr>
        <rFont val="Arial"/>
        <color rgb="FF37474F"/>
      </rPr>
      <t xml:space="preserve">Guided by crystal structures of our lead compound </t>
    </r>
    <r>
      <rPr>
        <rFont val="Arial"/>
        <color rgb="FF318E34"/>
      </rPr>
      <t>JH112</t>
    </r>
    <r>
      <rPr>
        <rFont val="Arial"/>
        <color rgb="FF37474F"/>
      </rPr>
      <t xml:space="preserve"> </t>
    </r>
    <r>
      <rPr>
        <rFont val="Arial"/>
        <color rgb="FF37474F"/>
      </rPr>
      <t>and the approved hypnotic drug</t>
    </r>
    <r>
      <rPr>
        <rFont val="Arial"/>
        <color rgb="FF37474F"/>
      </rPr>
      <t xml:space="preserve"> </t>
    </r>
    <r>
      <rPr>
        <rFont val="Arial"/>
        <color rgb="FF318E34"/>
      </rPr>
      <t>suvorexant</t>
    </r>
    <r>
      <rPr>
        <rFont val="Arial"/>
        <color rgb="FF37474F"/>
      </rPr>
      <t xml:space="preserve"> </t>
    </r>
    <r>
      <rPr>
        <rFont val="Arial"/>
        <color rgb="FF37474F"/>
      </rPr>
      <t>bound to</t>
    </r>
    <r>
      <rPr>
        <rFont val="Arial"/>
        <color rgb="FF37474F"/>
      </rPr>
      <t xml:space="preserve"> </t>
    </r>
    <r>
      <rPr>
        <rFont val="Arial"/>
        <color rgb="FF8B2595"/>
      </rPr>
      <t>OX1R</t>
    </r>
    <r>
      <rPr>
        <rFont val="Arial"/>
        <color rgb="FF37474F"/>
      </rPr>
      <t xml:space="preserve"> </t>
    </r>
    <r>
      <rPr>
        <rFont val="Arial"/>
        <color rgb="FF37474F"/>
      </rPr>
      <t>and</t>
    </r>
    <r>
      <rPr>
        <rFont val="Arial"/>
        <color rgb="FF37474F"/>
      </rPr>
      <t xml:space="preserve"> </t>
    </r>
    <r>
      <rPr>
        <rFont val="Arial"/>
        <color rgb="FF8B2595"/>
      </rPr>
      <t>OX2R</t>
    </r>
    <r>
      <rPr>
        <rFont val="Arial"/>
        <color rgb="FF37474F"/>
      </rPr>
      <t>, respectively,</t>
    </r>
  </si>
  <si>
    <t>(Surovexant, binds to, OX1R)
(Surovexant, binds to, OX2R)</t>
  </si>
  <si>
    <t>The relation between the mentioned entities is that:
* JH112 (lead compound) and suvorexant (approved hypnotic drug) are:
	+ Molecules that bind to
	+ OX1R and OX2R, respectively
In other words, both JH112 and suvorexant are ligands that interact with and 
bind to their specific receptors, OX1R and OX2R, respectively.</t>
  </si>
  <si>
    <r>
      <rPr>
        <rFont val="Arial"/>
        <color rgb="FF37474F"/>
      </rPr>
      <t xml:space="preserve">Galanin regulate its physiologic and pathologic functions by interacting with three G-protein coupled receptors; </t>
    </r>
    <r>
      <rPr>
        <rFont val="Arial"/>
        <color rgb="FF8B2595"/>
      </rPr>
      <t>GalR1</t>
    </r>
    <r>
      <rPr>
        <rFont val="Arial"/>
        <color rgb="FF37474F"/>
      </rPr>
      <t xml:space="preserve">, </t>
    </r>
    <r>
      <rPr>
        <rFont val="Arial"/>
        <color rgb="FF8B2595"/>
      </rPr>
      <t>GalR2</t>
    </r>
    <r>
      <rPr>
        <rFont val="Arial"/>
        <color rgb="FF37474F"/>
      </rPr>
      <t xml:space="preserve"> and </t>
    </r>
    <r>
      <rPr>
        <rFont val="Arial"/>
        <color rgb="FF8B2595"/>
      </rPr>
      <t>GalR3</t>
    </r>
    <r>
      <rPr>
        <rFont val="Arial"/>
        <color rgb="FF37474F"/>
      </rPr>
      <t>.</t>
    </r>
  </si>
  <si>
    <t>(Galanin, binds to, GalR1)
(Galanin, binds to, GalR2)
(Galanin, binds to, GalR3)</t>
  </si>
  <si>
    <t>* Regulates (causality) * Includes (part-whole)* Binds (binding)</t>
  </si>
  <si>
    <r>
      <rPr>
        <rFont val="Arial"/>
        <color rgb="FF8B2595"/>
      </rPr>
      <t>Chemerin</t>
    </r>
    <r>
      <rPr>
        <rFont val="Arial"/>
        <color rgb="FF37474F"/>
      </rPr>
      <t>, a mediator of innate immunity, mainly acts on</t>
    </r>
    <r>
      <rPr>
        <rFont val="Arial"/>
        <color rgb="FF37474F"/>
      </rPr>
      <t xml:space="preserve"> </t>
    </r>
    <r>
      <rPr>
        <rFont val="Arial"/>
        <color rgb="FF8B2595"/>
      </rPr>
      <t>chemokine-like receptor 1</t>
    </r>
    <r>
      <rPr>
        <rFont val="Arial"/>
        <color rgb="FF37474F"/>
      </rPr>
      <t xml:space="preserve"> </t>
    </r>
    <r>
      <rPr>
        <rFont val="Arial"/>
        <color rgb="FF37474F"/>
      </rPr>
      <t>(</t>
    </r>
    <r>
      <rPr>
        <rFont val="Arial"/>
        <color rgb="FF8B2595"/>
      </rPr>
      <t>CMKLR1</t>
    </r>
    <r>
      <rPr>
        <rFont val="Arial"/>
        <color rgb="FF37474F"/>
      </rPr>
      <t>) to induce the migration of macrophages and dendritic cells.</t>
    </r>
  </si>
  <si>
    <t>(Chemerin, binds to, CMKLR1)</t>
  </si>
  <si>
    <t xml:space="preserve">	* Is expressed (part-whole)
	* Binds (binding)
	* Inhibits (causality)</t>
  </si>
  <si>
    <t>we present the establishment of a homogeneous live cell-based BRET binding assay for the histamine H2 receptor with different fluorescently labeled squaramide-type compounds synthesized in the course of this study. Py-1-labeled ligand 8 (UR-KAT478) was found to be most suitable in BRET saturation binding experiments with respect to receptor affinity</t>
  </si>
  <si>
    <t>(UR-KAT478, binds to, histamine H2 receptor)</t>
  </si>
  <si>
    <t>* We present (function)
	+ The establishment of a homogeneous live cell-based BRET binding assay for the 
histamine H2 receptor... (cause-effect)
	+ ...with different fluorescently labeled squaramide-type compounds synthesized 
in the course of this study. (attribute)
* Py-1-labeled ligand 8 (UR-KAT478) was found to be most suitable in BRET 
saturation binding experiments with respect to receptor affinity
	+ Was found to be most suitable (cause-effect)
	+ In (part-whole)
	+ With respect to (comparison)</t>
  </si>
  <si>
    <t>IThe relation between UR-KAT478 (Py-1-labeled ligand 8) and histamine H2 
receptor is:
* Binds to (binding)
        + UR-KAT478 was found to be most suitable in BRET saturation binding 
experiments with respect to receptor affinity
In other words, UR-KAT478 binds to the histamine H2 receptor.</t>
  </si>
  <si>
    <r>
      <rPr>
        <rFont val="Arial"/>
        <color rgb="FF37474F"/>
      </rPr>
      <t xml:space="preserve">The kinetics of binding of </t>
    </r>
    <r>
      <rPr>
        <rFont val="Arial"/>
        <color rgb="FF318E34"/>
      </rPr>
      <t>tri-N-acetylglucosamine</t>
    </r>
    <r>
      <rPr>
        <rFont val="Arial"/>
        <color rgb="FF37474F"/>
      </rPr>
      <t xml:space="preserve"> (</t>
    </r>
    <r>
      <rPr>
        <rFont val="Arial"/>
        <color rgb="FF318E34"/>
      </rPr>
      <t>NAG3</t>
    </r>
    <r>
      <rPr>
        <rFont val="Arial"/>
        <color rgb="FF37474F"/>
      </rPr>
      <t xml:space="preserve">) to </t>
    </r>
    <r>
      <rPr>
        <rFont val="Arial"/>
        <color rgb="FF0277BD"/>
      </rPr>
      <t>hen egg-white lysozyme</t>
    </r>
    <r>
      <rPr>
        <rFont val="Arial"/>
        <color rgb="FF37474F"/>
      </rPr>
      <t xml:space="preserve"> (</t>
    </r>
    <r>
      <rPr>
        <rFont val="Arial"/>
        <color rgb="FF0277BD"/>
      </rPr>
      <t>HEWL</t>
    </r>
    <r>
      <rPr>
        <rFont val="Arial"/>
        <color rgb="FF37474F"/>
      </rPr>
      <t>) was investigated previously by several groups</t>
    </r>
  </si>
  <si>
    <t xml:space="preserve">(NAG3, binds to, HEWL) </t>
  </si>
  <si>
    <t>* Was investigated (function)
	+ The kinetics of binding of tri-N-acetylglucosamine (NAG3) to hen egg-white 
lysozyme (HEWL)
		- By (agent)
In other words, someone or something previously investigated the kinetics of 
binding of NAG3 to HEWL.</t>
  </si>
  <si>
    <t>The relation between NAG3 and HEWL is:
* Binds to (binding)
	+ The kinetics of binding of tri-N-acetylglucosamine (NAG3) to hen egg-white 
lysozyme (HEWL)
In other words, NAG3 binds to HEWL.</t>
  </si>
  <si>
    <r>
      <rPr>
        <rFont val="Arial"/>
        <color rgb="FF37474F"/>
      </rPr>
      <t xml:space="preserve">eported values of the dissociation constants (KD) for the binding of </t>
    </r>
    <r>
      <rPr>
        <rFont val="Arial"/>
        <color rgb="FF8B2595"/>
      </rPr>
      <t>galectin-3</t>
    </r>
    <r>
      <rPr>
        <rFont val="Arial"/>
        <color rgb="FF37474F"/>
      </rPr>
      <t xml:space="preserve"> to </t>
    </r>
    <r>
      <rPr>
        <rFont val="Arial"/>
        <color rgb="FF318E34"/>
      </rPr>
      <t>galactose-beta1,4-glucose</t>
    </r>
    <r>
      <rPr>
        <rFont val="Arial"/>
        <color rgb="FF37474F"/>
      </rPr>
      <t xml:space="preserve"> (</t>
    </r>
    <r>
      <rPr>
        <rFont val="Arial"/>
        <color rgb="FF318E34"/>
      </rPr>
      <t>lactose</t>
    </r>
    <r>
      <rPr>
        <rFont val="Arial"/>
        <color rgb="FF37474F"/>
      </rPr>
      <t xml:space="preserve">), for example, range from 16 to 860 muM...reported KD of </t>
    </r>
    <r>
      <rPr>
        <rFont val="Arial"/>
        <color rgb="FF318E34"/>
      </rPr>
      <t>methyl-(Gal-beta1,4-Glc)</t>
    </r>
    <r>
      <rPr>
        <rFont val="Arial"/>
        <color rgb="FF37474F"/>
      </rPr>
      <t xml:space="preserve"> (</t>
    </r>
    <r>
      <rPr>
        <rFont val="Arial"/>
        <color rgb="FF318E34"/>
      </rPr>
      <t>methyllactose</t>
    </r>
    <r>
      <rPr>
        <rFont val="Arial"/>
        <color rgb="FF37474F"/>
      </rPr>
      <t>) is 224 muM.</t>
    </r>
  </si>
  <si>
    <t>(lactose, binds to, galectin-3)
(methyllactose, binds to, galectin-3)</t>
  </si>
  <si>
    <t>* Binds to (binding)
		+ Galectin-3 binds to lactose</t>
  </si>
  <si>
    <r>
      <rPr>
        <rFont val="-apple-system, &quot;system-ui&quot;, &quot;Segoe UI&quot;, Roboto, Oxygen, Ubuntu, Cantarell, &quot;Fira Sans&quot;, &quot;Droid Sans&quot;, &quot;Helvetica Neue&quot;, sans-serif"/>
        <color rgb="FF37474F"/>
      </rPr>
      <t xml:space="preserve">Here we report two near-atomic resolution cryo-EM structures of </t>
    </r>
    <r>
      <rPr>
        <rFont val="-apple-system, &quot;system-ui&quot;, &quot;Segoe UI&quot;, Roboto, Oxygen, Ubuntu, Cantarell, &quot;Fira Sans&quot;, &quot;Droid Sans&quot;, &quot;Helvetica Neue&quot;, sans-serif"/>
        <color rgb="FF8B2595"/>
      </rPr>
      <t>PAC1R</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activated by</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PACAP38</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or maxadilan, providing structural insights into two distinct ligand binding modes.</t>
    </r>
  </si>
  <si>
    <t>(PACAP, binds to, PAC1R)</t>
  </si>
  <si>
    <t xml:space="preserve">	* Binds to (binding)
		+ Ligands bind to PAC1R</t>
  </si>
  <si>
    <r>
      <rPr>
        <rFont val="-apple-system, &quot;system-ui&quot;, &quot;Segoe UI&quot;, Roboto, Oxygen, Ubuntu, Cantarell, &quot;Fira Sans&quot;, &quot;Droid Sans&quot;, &quot;Helvetica Neue&quot;, sans-serif"/>
        <color rgb="FF37474F"/>
      </rPr>
      <t xml:space="preserve">Here we investigate the binding affinities of oxytocin (OT) and vasopressin (AVP) at the </t>
    </r>
    <r>
      <rPr>
        <rFont val="-apple-system, &quot;system-ui&quot;, &quot;Segoe UI&quot;, Roboto, Oxygen, Ubuntu, Cantarell, &quot;Fira Sans&quot;, &quot;Droid Sans&quot;, &quot;Helvetica Neue&quot;, sans-serif"/>
        <color rgb="FF8B2595"/>
      </rPr>
      <t>oxytocin receptor</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t>
    </r>
    <r>
      <rPr>
        <rFont val="-apple-system, &quot;system-ui&quot;, &quot;Segoe UI&quot;, Roboto, Oxygen, Ubuntu, Cantarell, &quot;Fira Sans&quot;, &quot;Droid Sans&quot;, &quot;Helvetica Neue&quot;, sans-serif"/>
        <color rgb="FF8B2595"/>
      </rPr>
      <t>OTR</t>
    </r>
    <r>
      <rPr>
        <rFont val="-apple-system, &quot;system-ui&quot;, &quot;Segoe UI&quot;, Roboto, Oxygen, Ubuntu, Cantarell, &quot;Fira Sans&quot;, &quot;Droid Sans&quot;, &quot;Helvetica Neue&quot;, sans-serif"/>
        <color rgb="FF37474F"/>
      </rPr>
      <t>) and the vasopressin V1a receptor (V1aR), both of which are present in numerous in brain regions associated with social behavior.</t>
    </r>
  </si>
  <si>
    <t xml:space="preserve">(OT, binds to, OTR)
(AVP, binds to, V1aR)
</t>
  </si>
  <si>
    <t>* Binds to (binding)
		+ Oxytocin and vasopressin bind to their respective receptors</t>
  </si>
  <si>
    <r>
      <rPr>
        <rFont val="-apple-system, &quot;system-ui&quot;, &quot;Segoe UI&quot;, Roboto, Oxygen, Ubuntu, Cantarell, &quot;Fira Sans&quot;, &quot;Droid Sans&quot;, &quot;Helvetica Neue&quot;, sans-serif"/>
        <color rgb="FF37474F"/>
      </rPr>
      <t xml:space="preserve">Herein, we present a structural model for a channel pore and a </t>
    </r>
    <r>
      <rPr>
        <rFont val="-apple-system, &quot;system-ui&quot;, &quot;Segoe UI&quot;, Roboto, Oxygen, Ubuntu, Cantarell, &quot;Fira Sans&quot;, &quot;Droid Sans&quot;, &quot;Helvetica Neue&quot;, sans-serif"/>
        <color rgb="FF318E34"/>
      </rPr>
      <t>d-fructose</t>
    </r>
    <r>
      <rPr>
        <rFont val="-apple-system, &quot;system-ui&quot;, &quot;Segoe UI&quot;, Roboto, Oxygen, Ubuntu, Cantarell, &quot;Fira Sans&quot;, &quot;Droid Sans&quot;, &quot;Helvetica Neue&quot;, sans-serif"/>
        <color rgb="FF37474F"/>
      </rPr>
      <t>-binding site in BmGr9.</t>
    </r>
  </si>
  <si>
    <t>(d-fructose, binds to, BmGr9)</t>
  </si>
  <si>
    <t>* Binds to (binding)
		+ Fructose binds to the d-fructose-binding site</t>
  </si>
  <si>
    <r>
      <rPr>
        <rFont val="Arial"/>
        <color rgb="FF37474F"/>
      </rPr>
      <t>The aim of this study was to characterise interactions between the TRP cation channel subfamily melastatin member 4 (</t>
    </r>
    <r>
      <rPr>
        <rFont val="Arial"/>
        <color rgb="FF8B2595"/>
      </rPr>
      <t>TRPM4</t>
    </r>
    <r>
      <rPr>
        <rFont val="Arial"/>
        <color rgb="FF37474F"/>
      </rPr>
      <t>) and endogenous intracellular modulators:calcium-binding proteins (</t>
    </r>
    <r>
      <rPr>
        <rFont val="Arial"/>
        <color rgb="FF8B2595"/>
      </rPr>
      <t>calmodulin</t>
    </r>
    <r>
      <rPr>
        <rFont val="Arial"/>
        <color rgb="FF37474F"/>
      </rPr>
      <t xml:space="preserve"> (</t>
    </r>
    <r>
      <rPr>
        <rFont val="Arial"/>
        <color rgb="FF8B2595"/>
      </rPr>
      <t>CaM</t>
    </r>
    <r>
      <rPr>
        <rFont val="Arial"/>
        <color rgb="FF37474F"/>
      </rPr>
      <t xml:space="preserve">) and </t>
    </r>
    <r>
      <rPr>
        <rFont val="Arial"/>
        <color rgb="FF8B2595"/>
      </rPr>
      <t>S100A1</t>
    </r>
    <r>
      <rPr>
        <rFont val="Arial"/>
        <color rgb="FF37474F"/>
      </rPr>
      <t xml:space="preserve">) and </t>
    </r>
    <r>
      <rPr>
        <rFont val="Arial"/>
        <color rgb="FF318E34"/>
      </rPr>
      <t>phosphatidylinositol 4, 5-bisphosphate</t>
    </r>
    <r>
      <rPr>
        <rFont val="Arial"/>
        <color rgb="FF37474F"/>
      </rPr>
      <t xml:space="preserve"> (</t>
    </r>
    <r>
      <rPr>
        <rFont val="Arial"/>
        <color rgb="FF318E34"/>
      </rPr>
      <t>PIP2</t>
    </r>
    <r>
      <rPr>
        <rFont val="Arial"/>
        <color rgb="FF37474F"/>
      </rPr>
      <t>).</t>
    </r>
  </si>
  <si>
    <t>(CaM, binds to, TRPM4)
(S100A1, binds to, TRPM4)
(PIP2, binds to, TRPM4)</t>
  </si>
  <si>
    <t xml:space="preserve">	* Interacts with (interaction)
		+ TRPM4 interacts with calmodulin, S100A1, and PIP2</t>
  </si>
  <si>
    <t>* CaM (CamM): is a calcium-binding protein
	+ The relation is one of identity (CaM is another name for calmodulin)
* S100A1: is also a calcium-binding protein
	+ The relation is one of similarity (both CaM and S100A1 are calcium-binding proteins)
* PIP2: is phosphatidylinositol 4,5-bisphosphate
	+ The relation is one of identity (PIP2 is another name for this molecule)
* TRPM4: is a TRP cation channel subfamily melastatin member 4 protein
	+ The relation is one of interaction (the study aims to characterize interactions between TRPM4 and the other 
molecules mentioned)
So, the main relation among these entities is that they are all interacting with each other in some way, 
specifically regarding calcium binding and signaling pathways.</t>
  </si>
  <si>
    <r>
      <rPr>
        <rFont val="-apple-system, &quot;system-ui&quot;, &quot;Segoe UI&quot;, Roboto, Oxygen, Ubuntu, Cantarell, &quot;Fira Sans&quot;, &quot;Droid Sans&quot;, &quot;Helvetica Neue&quot;, sans-serif"/>
        <color rgb="FF37474F"/>
      </rPr>
      <t xml:space="preserve">The chemokine </t>
    </r>
    <r>
      <rPr>
        <rFont val="-apple-system, &quot;system-ui&quot;, &quot;Segoe UI&quot;, Roboto, Oxygen, Ubuntu, Cantarell, &quot;Fira Sans&quot;, &quot;Droid Sans&quot;, &quot;Helvetica Neue&quot;, sans-serif"/>
        <color rgb="FF8B2595"/>
      </rPr>
      <t>CXCL8</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(also known as</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interleukin-8</t>
    </r>
    <r>
      <rPr>
        <rFont val="-apple-system, &quot;system-ui&quot;, &quot;Segoe UI&quot;, Roboto, Oxygen, Ubuntu, Cantarell, &quot;Fira Sans&quot;, &quot;Droid Sans&quot;, &quot;Helvetica Neue&quot;, sans-serif"/>
        <color rgb="FF37474F"/>
      </rPr>
      <t>, abbreviated</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IL-8</t>
    </r>
    <r>
      <rPr>
        <rFont val="-apple-system, &quot;system-ui&quot;, &quot;Segoe UI&quot;, Roboto, Oxygen, Ubuntu, Cantarell, &quot;Fira Sans&quot;, &quot;Droid Sans&quot;, &quot;Helvetica Neue&quot;, sans-serif"/>
        <color rgb="FF37474F"/>
      </rPr>
      <t>) and its G-protein-coupled receptors</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CXCR1</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and</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CXCR2</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are crucial elements in this process, and also the development of many</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F37E01"/>
      </rPr>
      <t>cancers</t>
    </r>
    <r>
      <rPr>
        <rFont val="-apple-system, &quot;system-ui&quot;, &quot;Segoe UI&quot;, Roboto, Oxygen, Ubuntu, Cantarell, &quot;Fira Sans&quot;, &quot;Droid Sans&quot;, &quot;Helvetica Neue&quot;, sans-serif"/>
        <color rgb="FF37474F"/>
      </rPr>
      <t>.</t>
    </r>
  </si>
  <si>
    <t>(CXCL8, binds to, CXCR1)
(CXCL8, binds to, CXCR1)</t>
  </si>
  <si>
    <t>* Binds to (binding)
		+ CXCL8 binds to its receptors</t>
  </si>
  <si>
    <r>
      <rPr>
        <rFont val="-apple-system, &quot;system-ui&quot;, &quot;Segoe UI&quot;, Roboto, Oxygen, Ubuntu, Cantarell, &quot;Fira Sans&quot;, &quot;Droid Sans&quot;, &quot;Helvetica Neue&quot;, sans-serif"/>
        <color rgb="FF37474F"/>
      </rPr>
      <t xml:space="preserve">Here we describe an example of applying single-molecule dynamic force spectroscopy to study the binding of </t>
    </r>
    <r>
      <rPr>
        <rFont val="-apple-system, &quot;system-ui&quot;, &quot;Segoe UI&quot;, Roboto, Oxygen, Ubuntu, Cantarell, &quot;Fira Sans&quot;, &quot;Droid Sans&quot;, &quot;Helvetica Neue&quot;, sans-serif"/>
        <color rgb="FF8B2595"/>
      </rPr>
      <t>epidermal growth factor</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37474F"/>
      </rPr>
      <t>(</t>
    </r>
    <r>
      <rPr>
        <rFont val="-apple-system, &quot;system-ui&quot;, &quot;Segoe UI&quot;, Roboto, Oxygen, Ubuntu, Cantarell, &quot;Fira Sans&quot;, &quot;Droid Sans&quot;, &quot;Helvetica Neue&quot;, sans-serif"/>
        <color rgb="FF8B2595"/>
      </rPr>
      <t>EGF</t>
    </r>
    <r>
      <rPr>
        <rFont val="-apple-system, &quot;system-ui&quot;, &quot;Segoe UI&quot;, Roboto, Oxygen, Ubuntu, Cantarell, &quot;Fira Sans&quot;, &quot;Droid Sans&quot;, &quot;Helvetica Neue&quot;, sans-serif"/>
        <color rgb="FF37474F"/>
      </rPr>
      <t>) to its receptor</t>
    </r>
    <r>
      <rPr>
        <rFont val="-apple-system, &quot;system-ui&quot;, &quot;Segoe UI&quot;, Roboto, Oxygen, Ubuntu, Cantarell, &quot;Fira Sans&quot;, &quot;Droid Sans&quot;, &quot;Helvetica Neue&quot;, sans-serif"/>
        <color rgb="FF37474F"/>
      </rPr>
      <t xml:space="preserve"> </t>
    </r>
    <r>
      <rPr>
        <rFont val="-apple-system, &quot;system-ui&quot;, &quot;Segoe UI&quot;, Roboto, Oxygen, Ubuntu, Cantarell, &quot;Fira Sans&quot;, &quot;Droid Sans&quot;, &quot;Helvetica Neue&quot;, sans-serif"/>
        <color rgb="FF8B2595"/>
      </rPr>
      <t>EGFR</t>
    </r>
  </si>
  <si>
    <t>(EGF, binds to, EGFR)</t>
  </si>
  <si>
    <t xml:space="preserve">	* Binds to (binding)
		+ EGF binds to EGFR</t>
  </si>
  <si>
    <r>
      <rPr>
        <rFont val="Arial"/>
        <color rgb="FF333333"/>
      </rPr>
      <t xml:space="preserve">The palm region in </t>
    </r>
    <r>
      <rPr>
        <rFont val="Arial"/>
        <color rgb="FF9900FF"/>
      </rPr>
      <t>BMP-9</t>
    </r>
    <r>
      <rPr>
        <rFont val="Arial"/>
        <color rgb="FF333333"/>
      </rPr>
      <t xml:space="preserve"> interacts with the type I receptor (</t>
    </r>
    <r>
      <rPr>
        <rFont val="Arial"/>
        <color rgb="FF9900FF"/>
      </rPr>
      <t>ALK1</t>
    </r>
    <r>
      <rPr>
        <rFont val="Arial"/>
        <color rgb="FF333333"/>
      </rPr>
      <t>, grey), the knuckle epitope interacts with the type II receptor (</t>
    </r>
    <r>
      <rPr>
        <rFont val="Arial"/>
        <color rgb="FF9900FF"/>
      </rPr>
      <t>ActRIIB</t>
    </r>
    <r>
      <rPr>
        <rFont val="Arial"/>
        <color rgb="FF333333"/>
      </rPr>
      <t>, orange).</t>
    </r>
  </si>
  <si>
    <t>(BMP-9, binds to, ALK1)
(BMP-9, binds to, ActRIIB)</t>
  </si>
  <si>
    <t xml:space="preserve">	* Interacts with (interaction)
		+ The palm region in BMP-9 interacts with ALK1 and ActRIIB</t>
  </si>
  <si>
    <t>* BMP-9: interacts with
	+ ALK1: through the palm region of BMP-9
	+ ActRIIB: through the knuckle epitope of BMP-9
In other words, BMP-9 binds to both ALK1 and ActRIIB, but it uses different regions of itself (palm region for ALK1 
and knuckle epitope for ActRIIB) to do so.</t>
  </si>
  <si>
    <r>
      <rPr>
        <rFont val="Arial"/>
        <color rgb="FF212121"/>
      </rPr>
      <t xml:space="preserve">In contrast to </t>
    </r>
    <r>
      <rPr>
        <rFont val="Arial"/>
        <color rgb="FF9900FF"/>
      </rPr>
      <t>BMPs</t>
    </r>
    <r>
      <rPr>
        <rFont val="Arial"/>
        <color rgb="FF212121"/>
      </rPr>
      <t xml:space="preserve"> and </t>
    </r>
    <r>
      <rPr>
        <rFont val="Arial"/>
        <color rgb="FF9900FF"/>
      </rPr>
      <t>activins</t>
    </r>
    <r>
      <rPr>
        <rFont val="Arial"/>
        <color rgb="FF212121"/>
      </rPr>
      <t xml:space="preserve">, </t>
    </r>
    <r>
      <rPr>
        <rFont val="Arial"/>
        <color rgb="FF9900FF"/>
      </rPr>
      <t>TGF-β 1-3</t>
    </r>
    <r>
      <rPr>
        <rFont val="Arial"/>
        <color rgb="FF212121"/>
      </rPr>
      <t xml:space="preserve"> have a specific type II receptor, </t>
    </r>
    <r>
      <rPr>
        <rFont val="Arial"/>
        <color rgb="FF9900FF"/>
      </rPr>
      <t>TGFBRII</t>
    </r>
    <r>
      <rPr>
        <rFont val="Arial"/>
        <color rgb="FF212121"/>
      </rPr>
      <t>.</t>
    </r>
  </si>
  <si>
    <t>(TGF-β 1-3, binds to, TGFBRII)</t>
  </si>
  <si>
    <t>* Has (attribute)
		+ TGF-β 1-3 has a specific type II receptor</t>
  </si>
  <si>
    <t xml:space="preserve">The relation is:
* TGF-β 1-3: binds to
	+ TGFBRII: specifically, as the type II receptor for TGF-β 1-3
In other words, TGF-β 1-3 interacts with TGFBRII, which is a specific type II receptor that recognizes and responds 
to these growth factors.
</t>
  </si>
  <si>
    <t>Inhibin A, like activin A, binds ActRIIA and ActRIIB.</t>
  </si>
  <si>
    <t>(Inhibin A, binds to, ActRIIA)
(Inhibin A, binds to, ActRIIB)
(Activin A, binds to, ActRIIA)
(Activin A, binds to, ActRIIB)</t>
  </si>
  <si>
    <t xml:space="preserve">        * Binds to (binding)
                + Inhibin A binds to ActRIIA and ActRIIB
</t>
  </si>
  <si>
    <t>BMP-3 is also considered to be an antagonistic ligand, as it has no known type I receptor but can compete with activin and BMP-4 for binding to ActRIIB</t>
  </si>
  <si>
    <t>(BMP-3, binds to, ActRIIB)
(BMP-4, binds to, ActRIIB)
(Activin, binds to, ActRIIB)</t>
  </si>
  <si>
    <t xml:space="preserve">        * Binds to (binding)
                + BMP-3 binds to ActRIIB</t>
  </si>
  <si>
    <t>In this sentence, we have:
1. **BMP-3**: A bone morphogenetic protein (BMP) that is part of the TGF-β 
superfamily.
2. **Activin**: Another member of the TGF-β superfamily, involved in 
regulating cell growth and differentiation.
3. **BMP-4**: Yet another BMP family member, also involved in regulating 
cell growth and differentiation.
4. **ActRIIB** (or Activin receptor-like kinase 1B): A type II receptor that 
binds to activins and BMPs.
Now, let's break down the sentence:
"BMP-3 is also considered to be an antagonistic ligand..."
* "Antagonistic" means that BMP-3 competes with other growth factors for 
binding to their receptors. In this case, it can bind to **ActRIIB**, which 
normally binds to activins (e.g., inhibin) and BMPs (like BMP-4).
"...as it has no known type I receptor..."
* "Type I receptor" refers to the specific receptor that a growth factor 
typically binds to. Since BMP-3 doesn't have a known type I receptor, it 
can't directly activate signaling pathways through its usual mechanism.
"...but can compete with activin and BMP-4 for binding to ActRIIB"
* Here's the key: BMP-3 can bind to **ActRIIB**, which is normally occupied 
by activins (like inhibin) or BMPs (like BMP-4). By doing so, BMP-3 
"competes" for binding with these other growth factors. This competition 
reduces the ability of activins and BMP-4 to activate signaling pathways 
through ActRIIB.
In summary, BMP-3 is an antagonistic ligand because it can bind to ActRIIB, 
preventing activins (like inhibin) or BMPs (like BMP-4) from doing so. This 
competes with their normal binding and signaling processes.</t>
  </si>
  <si>
    <t>Lefty1 and lefty2 are unusual ligands in that they share a uniquely extended C-terminal sequence, and do not form covalent dimers as they lack the cysteine residue required for dimerization. Nevertheless, they competed with nodal for binding to ActRIIA and ActRIIB and inhibited Nodal signaling</t>
  </si>
  <si>
    <t>(Lefty1, binds to, ActRIIA)
(Lefty2, binds to, ActRIIA)
(Lefty1, binds to, ActRIIB)
(Lefty2, binds to, ActRIIB)</t>
  </si>
  <si>
    <t>* Binds to (binding)
		+ Lefty1 and lefty2 bind to ActRIIA and ActRIIB</t>
  </si>
  <si>
    <t>Two examples are GDF-11 and GDF-8 (myostatin), which activate SMAD2/3 via the type I receptors ALK4, ALK5, or ALK7</t>
  </si>
  <si>
    <t>(GDF-11, binds to, ALK4)
(GDF-11, binds to, ALK5)
(GDF-11, binds to, ALK7)
(GDF-8, binds to, ALK4)
(GDF-8, binds to, ALK5)
(GDF-8, binds to, ALK7)</t>
  </si>
  <si>
    <t xml:space="preserve">	* Are (attribute)
		+ GDF-11 and GDF-8 are examples
	* Activate (activation)
		+ GDF-11 and GDF-8 activate SMAD2/3 through ALK4, ALK5, or ALK7</t>
  </si>
  <si>
    <t>In this sentence, we have:
1. **GDF-11**: A growth differentiation factor (GDF) that is a member of the 
TGF-β superfamily.
2. **GDF-8** (or myostatin): Another GDF that is also part of the TGF-β 
superfamily.
3. **ALK4,5,7**: Type I receptors that are involved in signaling pathways.
Now, let's break down the sentence:
"...which activate SMAD2/3 via the type I receptors ALK4, ALK5, or ALK7"
* The relationship between GDF-11 and GDF-8 (myostatin) is that they both:
        + **Activate** the same downstream signaling pathway: SMAD2/3.
        + Do so by binding to the same type I receptors: ALK4, ALK5, or ALK7.
In other words:
* GDF-11 and GDF-8 (myostatin) are both growth factors that belong to the TGF-β 
superfamily.
* They both use the same signaling mechanism to activate SMAD2/3, which is a 
downstream transcription factor.
* The common signaling pathway involves binding of these growth factors to type 
I receptors ALK4, ALK5, or ALK7.
So, the relation between GDF8 and GDF11 to ALK4,5,7 is that they are both 
ligands for these type I receptors, which leads to activation of the same 
downstream signaling pathway (SMAD2/3).</t>
  </si>
  <si>
    <t>For example, activin A activates the SMAD2/3 branch via the type I receptor ALK4. However, activin A may also form an inhibitory NSC with ALK2, as it inhibited BMP-6 and BMP-7 signaling in cells where ALK2 is the main type I receptor</t>
  </si>
  <si>
    <t>(Activin A, binds to, ALK4)
(Activin A, binds to, ALK2)
(BMP-6, binds to, ALK2)
(BMP-7, binds to, ALK2)</t>
  </si>
  <si>
    <t xml:space="preserve">* Activates (activation)
		+ Activin A activates SMAD2/3 through ALK4
	* Forms (formation)
		+ Activin A forms an inhibitory NSC with ALK2
</t>
  </si>
  <si>
    <t>In this sentence, we have:
1. **Activin A**: A growth factor that belongs to the TGF-β superfamily.
2. **BMP6** and **BMP7**: Bone morphogenetic proteins (BMPs) that are also part 
of the TGF-β superfamily.
3. **ALK2** and **ALK4**: Type I receptors involved in signaling pathways.
Now, let's break down the sentence:
"...activin A activates the SMAD2/3 branch via the type I receptor ALK4."
* The relationship between Activin A and ALK4 is that Activin A:
        + **Activates** the SMAD2/3 branch (a downstream signaling pathway) by binding 
to ALK4, a type I receptor.
"...may also form an inhibitory NSC with ALK2..."
* An "NSC" stands for "non-canonical complex". In this context, an inhibitory 
NSC means that Activin A forms a complex with ALK2 that:
        + **Inhibits** the signaling activity of BMP-6 and BMP-7 (other growth 
factors).
"...as it inhibited BMP-6 and BMP-7 signaling in cells where ALK2 is the main 
type I receptor"
* The relationship between Activin A, BMP-6, BMP-7, and ALK2 is that:
        + Activin A forms an inhibitory complex with ALK2, which blocks the normal 
signaling activity of BMP-6 and BMP-7 (which would normally bind to ALK2).
        + This inhibition occurs when ALK2 is the main type I receptor in a particular 
cell.
So, to summarize:
* Activin A activates SMAD2/3 via ALK4.
* Activin A forms an inhibitory complex with ALK2, which blocks BMP-6 and BMP-7 
signaling when ALK2 is the main type I receptor.</t>
  </si>
  <si>
    <t>Tumor necrosis factor (TNF) receptor associated factor-2 (TRAF2) has been originally identified as a protein interacting with TNF receptor 2 (TNFR2) but also binds to several other receptors of the TNF receptor superfamily (TNFRSF).</t>
  </si>
  <si>
    <t>(TRAF2, binds to, TNFR2)</t>
  </si>
  <si>
    <t>Interacts with (interaction)
		+ TRAF2 interacts with TNFR2
	* Binds to (binding)
		+ TRAF2 binds to several other receptors in the TNFRSF</t>
  </si>
  <si>
    <t>In this sentence, we have:
1. **TRAF2**: Tumor necrosis factor (TNF) receptor associated factor-2.
2. **TNFR2**: TNF receptor 2.
Now, let's break down the sentence:
"...has been originally identified as a protein interacting with TNF receptor 2 
(TNFR2)..."
* The relationship between TRAF2 and TNFR2 is that:
        + TRAF2 has been found to **interact** with TNFR2.
        + This interaction suggests that TRAF2 is able to bind to TNFR2.
"...but also binds to several other receptors of the TNF receptor superfamily 
(TNFRSF)."
* The relationship between TRAF2 and these other receptors is that:
        + TRAF2 can **bind** to multiple receptors within the TNFRSF family, in 
addition to its initial identification as a partner for TNFR2.
        + This suggests that TRAF2 has a broader range of binding partners beyond just 
TNFR2.
So, to summarize:
* TRAF2 was initially identified as interacting with TNFR2.
* TRAF2 also interacts with other receptors within the TNFRSF family.</t>
  </si>
  <si>
    <t>While activated TNFR2 directly binds TRAF2 and TRAF1, cIAP1 and cIAP2 are indirectly recruited to TNFR2 by help of TRAF2.</t>
  </si>
  <si>
    <t>(TRAF2, binds to, TNFR2)
(TRAF1, binds to, TNFR2)</t>
  </si>
  <si>
    <t>* Directly binds (binding)
                + Activated TNFR2 binds TRAF2 and TRAF1
        * Is recruited (recruitment)
                + cIAP1 and cIAP2 are recruited to TNFR2 through TRAF2</t>
  </si>
  <si>
    <t>In RNA virus-infected cells cytosolic double-stranded (ds) RNA is recognized by RIG1 and/or the RIG1-like receptor (RLR) melanoma differentiation-associated 5 (MDA5)</t>
  </si>
  <si>
    <t>(double-stranded (ds) RNA, binds to, R1G1)
(double-stranded (ds) RNA, binds to, MDA5)</t>
  </si>
  <si>
    <t>* Is recognized (recognition)
		+ dsRNA is recognized by RIG1 and/or MDA5</t>
  </si>
  <si>
    <t>In this sentence, we have:
1. **ds RNA**: Cytosolic double-stranded RNA.
2. **RIG1** (or RIG-I): A cytosolic RNA helicase that plays a key role in the 
antiviral response.
3. **RLR** (or RIG-like receptor): Melanoma differentiation-associated 5 
(MDA5).
Now, let's break down the sentence:
"...is recognized by RIG1 and/or the RIG1-like receptor (RLR) melanoma 
differentiation-associated 5 (MDA5)"
* The relationship between ds RNA and these receptors is that:
        + **ds RNA** is **recognized** by one or more of these three proteins: RIG1, 
RLR (which includes MDA5).
        + This recognition suggests that these receptors are able to bind to and detect 
the presence of double-stranded RNA in infected cells.
In other words:
* ds RNA is a viral genome component that can be detected by the host immune 
system.
* The RIG1/RIG-like receptor complex (including MDA5) is responsible for 
recognizing this viral RNA signal.
* This recognition triggers an antiviral response, helping to protect the cell 
from viral infection.</t>
  </si>
  <si>
    <t>The RLR filaments in turn bind to mitochondria antiviral signaling protein (MAVS; also named VISA, IPS-1, or Cardif) and nucleate the formation MAVS filaments</t>
  </si>
  <si>
    <t>(RLR filaments, binds to, MAVS)</t>
  </si>
  <si>
    <t>* Bind to (binding)
		+ RLR filaments bind to MAVS
	* Nucleate (nucleation)
		+ RLR filaments nucleate the formation of MAVS filaments</t>
  </si>
  <si>
    <t>TRAF2 and TRAF5 on the one side and TRAF3 and TRAF6 on the other side bind to different binding motifs in MAVS</t>
  </si>
  <si>
    <t>(TRAF2, binds to MAVS)
(TRAF5, binds to, MAVS)
(TRAF3, binds to, MAVS)
(TRAF6, binds to, MAVS)</t>
  </si>
  <si>
    <t xml:space="preserve">	* Bind to (binding)
		+ TRAF2, TRAF5, TRAF3, and TRAF6 bind to different motifs in MAVS</t>
  </si>
  <si>
    <t>In contrast to receptors of the TNFRSF, RIG1 and MDA5 not only stimulate the activation of NFκB transcription factors by help of the TRAF proteins but also engage IRF3 and IRF7.</t>
  </si>
  <si>
    <t>(IRF3, binds to, RIG1)
(IRF7, binds to RIG1)
(IRF3, binds to, MDA5)
(IRF7, binds to MDA5)</t>
  </si>
  <si>
    <t>* Stimulate (stimulation)
		+ RIG1 and MDA5 stimulate the activation of NFκB through TRAF proteins
	* Engage (engagement)
		+ RIG1 and MDA5 engage IRF3 and IRF7</t>
  </si>
  <si>
    <t>In this sentence, we have:
1. **IRF3** and **IRF7**: Interferon regulatory factors 3 and 7, respectively.
2. **RIG1** (or RIG-I): A cytosolic RNA helicase that plays a key role in the 
antiviral response.
3. **MDA5**: Melanoma differentiation-associated 5, a RIG-like receptor.
Now, let's break down the sentence:
"...engage IRF3 and IRF7..."
* The relationship between RIG1/MDA5 and IRF3/IRF7 is that:
	+ RIG1 and MDA5 **activate** or **engage** IRF3 and IRF7.
	+ This activation likely involves the binding of these RNA sensors to their 
respective substrates, leading to a downstream signaling response.
In other words:
* RIG1 and MDA5 are part of the antiviral response pathway that recognizes 
viral RNA.
* Upon activation, they stimulate the phosphorylation and subsequent activation 
of IRF3 and IRF7 transcription factors.
* IRF3 and IRF7 then regulate the expression of interferon-stimulated genes 
(ISGs), which help to combat viral infection.
So, the relation between RIG1/MDA5 and IRF3/IRF7 is that RIG1/MDA5 stimulate 
the activation of IRF3/IRF7, leading to the regulation of ISGs.</t>
  </si>
  <si>
    <t>It is worth mentioning that the RLR LGP2 associates with the C-terminus of TRAF2, TRAF3, TRAF5, and TRAF6 and acts as a pan-inhibitor of stimuli using these TRAF proteins for activation of the classical NFκB pathway</t>
  </si>
  <si>
    <t>(RLR LGP2, binds to, TRAF2)
(RLR LGP2, binds to, TRAF3)
(RLR LGP2, binds to, TRAF5)</t>
  </si>
  <si>
    <t>* Associates (association)
		+ LGP2 associates with the C-terminus of TRAF2, etc.
	* Acts as (action)
		+ LGP2 acts as a pan-inhibitor</t>
  </si>
  <si>
    <t>In this sentence, we have:
1. **RLR LGP2**: A RIG-like receptor, Longevity Assurance Protein 2.
2. **TRAF2**, **TRAF3**, and **TRAF5**: Tumor Necrosis Factor 
Receptor-Associated Factors 2, 3, and 5, respectively.
Now, let's break down the sentence:
"...associates with the C-terminus of TRAF2, TRAF3, TRAF5, and TRAF6..."
* The relationship between RLR LGP2 and these TRAF proteins is that:
	+ **RLR LGP2** **associates** or binds to the C-terminal region of **TRAF2**, 
**TRAF3**, **TRAF5**, and **TRAF6**.
	+ This binding likely involves specific protein-protein interactions, such as 
ionic interactions, hydrogen bonding, or hydrophobic contacts.
"...and acts as a pan-inhibitor of stimuli using these TRAF proteins for 
activation of the classical NFκB pathway"
* The relationship between RLR LGP2 and the classical NFκB pathway is that:
	+ **RLR LGP2** **inhibits** or prevents the activation of the classical NFκB 
pathway, which is typically triggered by stimuli using TRAF proteins.
	+ This inhibition suggests that RLR LGP2 acts as a negative regulator of the 
classical NFκB signaling cascade.
In summary:
* RLR LGP2 binds to the C-terminal region of several TRAF proteins (TRAF2, 3, 
5, and 6).
* This binding leads to the inhibition of stimuli using these TRAF proteins for 
activation of the classical NFκB pathway.</t>
  </si>
  <si>
    <t>Many of the triggers of apoptotic JNK signaling engage the JNK pathway by TRAF2-dependent activation of the MAP3K apoptosis signal-regulating kinase 1 (ASK1). The latter is kept inactive in cells by binding to thioredoxin (Trx).</t>
  </si>
  <si>
    <t>(ASK1, binds to, Trx)</t>
  </si>
  <si>
    <t xml:space="preserve">	* Engage (engagement)
		+ Triggers engage the JNK pathway through TRAF2-dependent ASK1 activation
	* Is kept (maintenance)
		+ ASK1 is kept inactive through binding to Trx</t>
  </si>
  <si>
    <t xml:space="preserve">In this sentence, we have:
1. **ASK1**: Apoptosis Signal-Regulating Kinase 1, a MAP3K.
2. **Trx** (Thioredoxin): A redox-regulated protein.
Now, let's break down the sentence:
"...the ASK1 is kept inactive in cells by binding to Trx..."
* The relationship between ASK1 and Trx is that:
	+ **ASK1** is bound to **Trx**, which keeps it **inactive**.
	+ This suggests that Trx has a negative regulatory effect on ASK1, preventing its activation.
In other words:
* Trx binds to ASK1 and inhibits its activity, effectively keeping it in an inactive state.
* This binding likely involves specific protein-protein interactions, such as ionic 
interactions or hydrogen bonding.
Later in the sentence, we learn that many triggers of apoptotic JNK signaling engage the JNK 
pathway by TRAF2-dependent activation of ASK1.
</t>
  </si>
  <si>
    <t>ROS formation, e.g., in response to TNF, results in dissociation of the ASK1-Trx complex giving TRAF2 access to ASK1.</t>
  </si>
  <si>
    <t>(ASK1, binds to, Trx)
(TRAF2, binds to, ASK1)</t>
  </si>
  <si>
    <t>* Results in (consequence)
		+ ROS formation leads to dissociation of the ASK1-Trx complex
	* Gives (giving)
		+ TRAF2 gets access to ASK1</t>
  </si>
  <si>
    <t>In this sentence, we have:
1. **ASK1**: Apoptosis Signal-Regulating Kinase 1, a MAP3K.
2. **Trx** (Thioredoxin): A redox-regulated protein.
3. **TRAF2**: Tumor Necrosis Factor Receptor-Associated Factor 2.
Now, let's break down the sentence:
"...dissociation of the ASK1-Trx complex giving TRAF2 access to ASK1."
* The relationship between ASK1, Trx, and TRAF2 is that:
	+ **ROS** (Reactive Oxygen Species) formation, e.g., in response to TNF, leads to the 
**dissociation** of the **ASK1-Trx complex**.
	+ This dissociation allows **TRAF2** to gain access to **ASK1**, effectively enabling TRAF2 
to interact with ASK1.
In other words:
* The formation of ROS (in response to TNF) breaks the ASK1-Trx complex, allowing TRAF2 to 
bind to and activate ASK1.
* This binding likely involves specific protein-protein interactions, such as ionic 
interactions or hydrogen bonding.
So, there are two main relationships in this sentence:
1. ASK1 is bound to Trx, which keeps it inactive.
2. When ROS forms (e.g., in response to TNF), the ASK1-Trx complex dissociates, allowing 
TRAF2 to bind and activate ASK1.</t>
  </si>
  <si>
    <t>Worth mentioning, TRAF2 has also been found to bind and stimulate the mammalian ste20-like kinase 1 (MST1)</t>
  </si>
  <si>
    <t>(TRAF2, binds to, MST1)</t>
  </si>
  <si>
    <t>* Has been found (discovery)
		+ TRAF2 was found to bind and stimulate MST1
	* Bind (binding)
		+ TRAF2 binds MST1</t>
  </si>
  <si>
    <t xml:space="preserve">Bcl-2 and Bcl-xL attenuate autophagy by binding and inhibition of Beclin-1, thereby hindering the latter to stimulate the ULK1 complex, which promotes autophagosome initiating vesicle nucleation. </t>
  </si>
  <si>
    <t>(Bcl-2, binds to, Beclin-1)
(Bcl-xL, binds to, Beclin-1)</t>
  </si>
  <si>
    <t>* Attenuate (reduction)
		+ Bcl-2 and Bcl-xL reduce autophagy
	* Bind (binding)
		+ Bcl-2 and Bcl-xL bind Beclin-1
	* Inhibit (inhibition)
		+ Bcl-2 and Bcl-xL inhibit Beclin-1
	* Hinders (preventing)
		+ Beclin-1 is prevented from stimulating ULK1</t>
  </si>
  <si>
    <t>Similarly, the anti-inflammatory triterpene celastrol binds to Nur77, resulting in enhanced TRAF2-Nur77 interaction and eventually mitophagy</t>
  </si>
  <si>
    <t>(Triterpene celastrol, binds to, Nur77)
(TRAF2, binds to, Nur77)</t>
  </si>
  <si>
    <t>* Binds (binding)
		+ Celastrol binds to Nur77
	* Results in (consequence)
		+ Enhanced TRAF2-Nur77 interaction leads to mitophagy</t>
  </si>
  <si>
    <t>More important, TRAF2 binds and stabilizes the β-catenin-TNIK-TCF4 complex thereby crucially contributing to TCF4 activation</t>
  </si>
  <si>
    <t>(TRAF2, binds to, β-catenin-TNIK-TCF4 complex)</t>
  </si>
  <si>
    <t>* Binds (binding)
		+ TRAF2 binds the β-catenin-TNIK-TCF4 complex
	* Stabilizes (stabilization)
		+ TRAF2 stabilizes the complex
	* Crucially contributes (contribution)
		+ TRAF2's binding and stabilization crucially contribute to TCF4 activation</t>
  </si>
  <si>
    <t>Jia et al. reported recently that TRAF2 binds LRPPRC to ubiquitinate argininosuccinate synthase 1 marking this enzyme for degradation resulting in reduced arginine synthesis</t>
  </si>
  <si>
    <t>(TRAF2, binds to, LRPPRC)
(LRPPRC, ubiquitinates, argininosuccinate synthase 1)</t>
  </si>
  <si>
    <t>* Binds (binding)
		+ TRAF2 binds LRPPRC
	* Ubiquitinate (conjugation)
		+ TRAF2 conjugates argininosuccinate synthase 1 with ubiquitin
	* Marks (marking)
		+ The enzyme is marked for degradation
	* Results in (consequence)
		+ Reduced arginine synthesis</t>
  </si>
  <si>
    <t>The first structure of GPCR bound to a diffusible ligand was β2AR, which was crystallized bound to a high-affinity inverse agonist, carazolol, in lipid bicelles bound to a Fab fragment and in lipidic cubic phase as a chimeric protein in which T4 lysozyme (T4L) replaced most of ICL3</t>
  </si>
  <si>
    <t>(β2AR, binds to, carazolol)
(Carazolol, binds to, Fab fragment in lipid bicelles)</t>
  </si>
  <si>
    <t>* Was crystallized (crystallization)
		+ β2AR was crystallized
	* Bound (binding)
		+ β2AR bound to carazolol</t>
  </si>
  <si>
    <t>Similar results were found for activated opsin bound to the C-terminal peptide of the transducin α subunit and the A2aR–mini-Gsα complex</t>
  </si>
  <si>
    <t>(Activated opsin, binds to, C-terminal peptide of the transducin α subunit)
(Activated opsin, binds to, A2aR–mini-Gsα complex)</t>
  </si>
  <si>
    <t xml:space="preserve">        * Found (finding)
                + Similar results were found
        * Bound (binding)
                + Activated opsin bound to the C-terminal peptide</t>
  </si>
  <si>
    <t>The relations are:
* Activated opsin is bound to:
	+ The C-terminal peptide of the transducin α subunit
	+ A2ar-mini-Gsa (A2a receptor mini-G protein alpha subunit)
In other words, activated opsin interacts with two different proteins: the 
C-terminal peptide of the transducin α subunit and the A2aR–mini-Gsα 
complex.</t>
  </si>
  <si>
    <t>Binding of TNFα to the 75 kDa TNFR-2 is not sufﬁcient to attain cytotoxicity (Thoma et al., 1990),but rather binding to the 55 kDa TNFR-1 is sufﬁcient to attain TNFα mediated cell killing (Van Ostade et al.,1993).</t>
  </si>
  <si>
    <t>(TNFα, binds to, TNFR-2)
(TNFα, binds to, TNFR-1)</t>
  </si>
  <si>
    <t>* Is not sufﬁcient (insufficiency)
		+ Binding of TNFα to the 75 kDa TNFR-2 is insufficient
	* Rather (alternative)
		+ Instead, binding to the 55 kDa TNFR-1 is sufficient</t>
  </si>
  <si>
    <t>The relation between TNFa (tumor necrosis factor alpha) and the two 
receptors, TNFR1 (tumor necrosis factor receptor 1) and TNFR2 (tumor 
necrosis factor receptor 2), is that:
* TNFa binds to both TNFR1 and TNFR2
* Binding of TNFa to TNFR2 alone is not sufficient to induce cytotoxicity 
(cell death)
* However, binding of TNFa to TNFR1 is sufficient to induce TNFα-mediated 
cell killing
In other words, while TNFR2 can bind to TNFa, this interaction by itself 
does not lead to the activation of apoptosis or cell death. Instead, it 
requires the binding of TNFa to TNFR1 to trigger the signaling pathways 
leading to cell death.</t>
  </si>
  <si>
    <t>Decoy receptors (DcR1, DcR2, and DcR3) sequester Trail (DcR1 and DCR2) and Fas (DcR3) ligands, thereby preventing apoptosis (Ashkenazi and Dixit,1999).</t>
  </si>
  <si>
    <t>(Trail DcR1 ligand, binds to, DcR1 receptor)
(Trail DcR2 ligand, binds to, DcR2 receptor)
(Fas DcR3 ligand, binds to, DcR3 receptor)</t>
  </si>
  <si>
    <t>* Sequester (sequestration)
		+ Decoy receptors sequester ligands
	* Preventing (prevention)
		+ This prevents apoptosis</t>
  </si>
  <si>
    <t>The relation between the decoy receptors (DcRs) and their respective 
ligands is that:
* TrailDcR1 sequesters Trail ligand
* TrailDcR2 sequesters Trail ligand
* FasDcR3 sequesters Fas ligand
In other words, DcR1 binds to Trail, DcR2 also binds to Trail, and DcR3 
binds to Fas. This binding interaction prevents the apoptosis-inducing 
signals from being transmitted by the ligands (Trail or Fas) to their 
respective receptors, thereby acting as a decoy mechanism to suppress cell 
death.</t>
  </si>
  <si>
    <t>The differences were par-ticularly marked for CD40L, which binds to CD40 and does not bind to TNFR-1 or TNFR-2.</t>
  </si>
  <si>
    <t>(CD40L, binds to, CD40)</t>
  </si>
  <si>
    <t xml:space="preserve">	* Binds (binding)
		+ CD40L binds to CD40
	* Does not bind (non-binding)
		+ CD40L does not bind to TNFR-1 or TNFR-2</t>
  </si>
  <si>
    <t>Model complexes of TNFα with receptors TNFR-1 and TNFR-2 suggest that Arg31 of TNFα forms an ionic interaction with a Glu residue in both receptors.</t>
  </si>
  <si>
    <t>(Arg31 of TNFα, binds to, Glu of TNFR-1)
(Arg31 of TNFα, binds to, Glu of TNFR-2)</t>
  </si>
  <si>
    <t xml:space="preserve">	* Suggest (suggestion)
		+ The model complexes suggest
	* Forms (formation)
		+ Arg31 of TNFα forms an ionic interaction</t>
  </si>
  <si>
    <t>The relation between the amino acid Arg31 of TNFa (tumor necrosis factor 
alpha) and the amino acid Glu of TNFR1 (tumor necrosis factor receptor 1) 
and TNFR2 (tumor necrosis factor receptor 2) is that Arg31 of TNFa forms 
an ionic interaction with a Glu residue in both TNFR1 and TNFR2.
In other words, there is a specific binding interaction between the 
positively charged arginine (Arg31) on the surface of TNFa and the 
negatively charged glutamate (Glu) residues on the surface of both TNFR1 
and TNFR2. This ionic interaction plays a crucial role in the binding of 
TNFa to its receptors, which can trigger various downstream signaling 
pathways.</t>
  </si>
  <si>
    <t>The complex between TNFβ and the extracellulardomain of TNFR-1 was the ﬁrst view of the receptor</t>
  </si>
  <si>
    <t>(TNFβ, binds to, TNFR-1)</t>
  </si>
  <si>
    <t xml:space="preserve">	* Was (state)
		+ The complex was the first view</t>
  </si>
  <si>
    <t>The relation between TNFβ and TNFR1 is that TNFβ (tumor necrosis factor 
beta) is a ligand that binds to the receptor TNFR1 (tumor necrosis factor 
receptor 1).
In other words, TNFβ is a protein that interacts with TNFR1, which is a 
type of receptor on the surface of cells. This binding event can trigger 
various downstream signaling pathways, including activation of cellular 
responses such as inflammation and apoptosis (cell death).</t>
  </si>
  <si>
    <t>Most recently the structure of extracellular fragment of DR5 (residues 58 –184 or 1–130) complexed with its TRAIL/Ap02L ligand (residues 91–281 or 114 –281) emerged from two different groups</t>
  </si>
  <si>
    <t>(TRAIL, binds to, DR5)</t>
  </si>
  <si>
    <t>Emerged (emergence)
		+ The structure emerged</t>
  </si>
  <si>
    <t>The relation between TRAIL and DR5 is that TRAIL is a ligand that binds to 
the receptor DR5.
In other words, TRAIL (tumor necrosis factor-related apoptosis-inducing 
ligand) is a protein that interacts with DR5 (death receptor 5), which is 
a type of receptor on the surface of cells. This binding event can trigger 
various downstream signaling pathways, including apoptosis (cell death).</t>
  </si>
  <si>
    <t>RAF2 (TNFR associated factor 2) binds to the cytoplasmic domain of TNF receptors such as TNFR-1 and CD40 and mediates signal transduction</t>
  </si>
  <si>
    <t>(RAF2, binds to, TNFR-1)
(RAF2, binds to, CD40)</t>
  </si>
  <si>
    <t>* Binds (binding)
                + RAF2 binds to the cytoplasmic domain
        * Mediates (mediation)
                + RAF2 mediates signal transduction</t>
  </si>
  <si>
    <t>The relations are:
* RAF2 and TNFR-1: RAF2 binds to the cytoplasmic domain of TNFR-1.
* RAF2 and CD40: RAF2 also binds to the cytoplasmic domain of CD40.
In summary:
* RAF2 (TNFR-associated factor 2) is a protein that interacts with the 
cytoplasmic domains of certain receptors, including TNFR-1 and CD40.</t>
  </si>
  <si>
    <t>RANK is the sole sig-nalling receptor for the ligand RANKL (also known asTRANCE/ODF) and its activation is important for dif-ferentiation and activation of osteoclasts, which arenecessary for bone resorption and remodelling</t>
  </si>
  <si>
    <t>(RANKL, binds to, RANK)</t>
  </si>
  <si>
    <t xml:space="preserve">	* Is (state)
		+ RANK is the sole signaling receptor
	* Activation (activation)
		+ Its activation is important</t>
  </si>
  <si>
    <t xml:space="preserve">The relation is:
* RANK and RANKL: RANKL binds to the receptor RANK.
In summary:
* RANKL (also known as TRANCE/ODF) is a ligand that specifically binds to 
the receptor RANK, triggering downstream signaling events that are 
important for differentiation and activation of osteoclasts.
</t>
  </si>
  <si>
    <t>Predicted tertiary and quaternary structures of a chimeric TNF inhibitor molecule generated by linking the extracellular domainof TNFR-1 to domains CH2, CH3, and CH4 of an IgG Heavy Chain.</t>
  </si>
  <si>
    <t>(IgG, binds to, TNFR-1)</t>
  </si>
  <si>
    <t xml:space="preserve">* Generated (generation)
		+ The predicted structures were generated
</t>
  </si>
  <si>
    <t>The relation is:
* IgG (specifically, the heavy chain) and TNFR-1: The extracellular domain 
of TNFR-1 is linked to domains CH2, CH3, and CH4 of an IgG Heavy Chain.
In summary:
* A chimeric molecule was created by fusing the extracellular domain of 
TNFR-1 with different domains of an IgG heavy chain (CH2, CH3, and CH4).</t>
  </si>
  <si>
    <r>
      <rPr>
        <rFont val="Arial"/>
        <color theme="1"/>
      </rPr>
      <t xml:space="preserve">The enzyme </t>
    </r>
    <r>
      <rPr>
        <rFont val="Arial"/>
        <color rgb="FF9900FF"/>
      </rPr>
      <t>hexokinase</t>
    </r>
    <r>
      <rPr>
        <rFont val="Arial"/>
        <color theme="1"/>
      </rPr>
      <t xml:space="preserve"> binds </t>
    </r>
    <r>
      <rPr>
        <rFont val="Arial"/>
        <color rgb="FF93C47D"/>
      </rPr>
      <t>glucose</t>
    </r>
    <r>
      <rPr>
        <rFont val="Arial"/>
        <color theme="1"/>
      </rPr>
      <t xml:space="preserve"> and </t>
    </r>
    <r>
      <rPr>
        <rFont val="Arial"/>
        <color rgb="FF93C47D"/>
      </rPr>
      <t>ATP</t>
    </r>
    <r>
      <rPr>
        <rFont val="Arial"/>
        <color theme="1"/>
      </rPr>
      <t xml:space="preserve"> so as to catalyze a reaction between them, </t>
    </r>
    <r>
      <rPr>
        <rFont val="Arial"/>
        <color rgb="FF9900FF"/>
      </rPr>
      <t>actin</t>
    </r>
    <r>
      <rPr>
        <rFont val="Arial"/>
        <color theme="1"/>
      </rPr>
      <t xml:space="preserve"> molecules bind to each other to assemble into actin filaments</t>
    </r>
  </si>
  <si>
    <t>(Glucose, binds to, ATP)
(Actin molecule, binds to, Actin molecule)</t>
  </si>
  <si>
    <t xml:space="preserve">        * Binds (binding)
                + Hexokinase binds glucose and ATP
        * Assembles (assembly)
                + Actin molecules assemble</t>
  </si>
  <si>
    <t>When both α subunits bind acetylcholine, the channel undergoes a conformational change that opens the gate by an outward rotation.</t>
  </si>
  <si>
    <t>(Acetylcholine molecules, binds to, α subunits of acetylcholine receptor)</t>
  </si>
  <si>
    <t>* Bind (binding)
		+ Both α subunits bind acetylcholine
	* Undergoes (undergoing)
		+ The channel undergoes a conformational change</t>
  </si>
  <si>
    <t>Resident ER membrane proteins, for example, contain signals that bind directly to COPI coats ...Most membrane proteins that function at the interface between the ER and Golgi apparatus, including v- and t-SNAREs and some cargo receptors, use this retrieval pathway</t>
  </si>
  <si>
    <t>(v-SNARE, binds to, COPI coats)
(t-SNARE, binds to, COPI coats)</t>
  </si>
  <si>
    <t>* Bind (binding)
                + Signals bind directly</t>
  </si>
  <si>
    <t>The relations are:
* v_SNARE and t-SNARE: Both v_SNARE and t_SNARE are types of SNARE 
proteins that function at the interface between the ER and Golgi 
apparatus.
* COPI coats: The resident ER membrane proteins containing 
signals that bind directly to COPI coats.
In summary:
* Resident ER membrane proteins, including some SNARE proteins (v- and 
t-SNAREs) and cargo receptors, use a retrieval pathway that involves 
binding to COPI coats.</t>
  </si>
  <si>
    <t>Soluble ER resident proteins must bind to specialized receptor proteins such as the KDEL receptor</t>
  </si>
  <si>
    <t>(Soluble ER proteins, binds to, KDEL receptor)</t>
  </si>
  <si>
    <t>* Must (necessity)
		+ Soluble ER resident proteins must bind</t>
  </si>
  <si>
    <t>The relations are:
* ER protein and KDEL receptor: The ER protein binds to the KDEL receptor.
In summary:
* Soluble proteins that reside within the Endoplasmic Reticulum (ER) must 
first bind to a specific receptor protein, such as the KDEL receptor, 
before they can be properly sorted and transported within the cell.</t>
  </si>
  <si>
    <r>
      <rPr>
        <rFont val="Arial"/>
        <color theme="1"/>
      </rPr>
      <t>the LDL receptor diffuses until an endocytosis signal in its cytoplasmic tail binds the adaptor protein AP2 after AP2’s conformation has been locally unlocked by binding to PI(4,5)P</t>
    </r>
    <r>
      <rPr>
        <rFont val="Arial"/>
        <color theme="1"/>
      </rPr>
      <t xml:space="preserve">2 </t>
    </r>
    <r>
      <rPr>
        <rFont val="Arial"/>
        <color theme="1"/>
      </rPr>
      <t>on the plasma membrane.</t>
    </r>
  </si>
  <si>
    <t>(AP2, binds to, PI(4,5)P2)
(AP2, binds to, LDL receptor)</t>
  </si>
  <si>
    <t>* Binds (binding)
		+ The endocytosis signal binds AP2</t>
  </si>
  <si>
    <t>The relations are:
* AP2 and PI(4,5)P2: AP2 binds to PI(4,5)P2.
* AP2 and LDL receptor: The conformation of AP2 is unlocked by binding to 
PI(4,5)P2, allowing it to then bind to the cytoplasmic tail of the LDL 
receptor.
In summary:
* The process begins with the binding of AP2 to PI(4,5)P2 on the plasma 
membrane, which allows AP2 to adopt a specific conformation that enables 
it to then interact with and bind to the LDL receptor.</t>
  </si>
  <si>
    <t>Cell-surface transferrin receptors deliver transferrin with its bound iron to early endosomes by receptor-mediated endocytosis.</t>
  </si>
  <si>
    <t>(Transferrin, binds to, transferrin receptors)</t>
  </si>
  <si>
    <t xml:space="preserve">* Delivers (delivery)
		+ Transferrin receptors deliver transferrin
</t>
  </si>
  <si>
    <t>The relations are:
* Transferrin and Transferrin Receptors: Transferrin binds to the 
Transferrin Receptors.
In summary:
* The Transferrin protein interacts with the Transferrin Receptors on the 
cell surface, leading to receptor-mediated endocytosis and the delivery of 
transferrin-bound iron to early endosomes.</t>
  </si>
  <si>
    <t>IRS1 binds to specific phosphorylated tyrosines on the activated receptor and is then phosphorylated at multiple sites</t>
  </si>
  <si>
    <t>(IRS1, binds to, phosphorylated tyrosines on insulin receptor)</t>
  </si>
  <si>
    <t xml:space="preserve">	* Binds (binding)
		+ IRS1 binds to specific phosphorylated tyrosines</t>
  </si>
  <si>
    <r>
      <rPr>
        <rFont val="Arial"/>
        <color theme="1"/>
      </rPr>
      <t xml:space="preserve">Nerve growth factor </t>
    </r>
    <r>
      <rPr>
        <rFont val="Arial"/>
        <color theme="1"/>
      </rPr>
      <t>(</t>
    </r>
    <r>
      <rPr>
        <rFont val="Arial"/>
        <color theme="1"/>
      </rPr>
      <t>NGF</t>
    </r>
    <r>
      <rPr>
        <rFont val="Arial"/>
        <color theme="1"/>
      </rPr>
      <t>) to bind to its specific RTK (called TrkA) at the end of a long nerve cell axon and signal to the cell body of the same cell a long distance away.</t>
    </r>
  </si>
  <si>
    <t>(NGF, binds to, TrkA)</t>
  </si>
  <si>
    <t xml:space="preserve">	* Binds (binding)
		+ NGF binds to TrkA</t>
  </si>
  <si>
    <t>The PI 3-kinase produces PI(3,4,5)P3, which serves as a docking site for two serine/threonine kinases with PH domains—Akt and the phosphoinositide-dependent kinase PDK1—and brings them into proximity at the plasma membrane.</t>
  </si>
  <si>
    <t>(PI(3,4,5)P3, receptor for, Akt)
(Akt, binds to, PI(3,4,5)P3)
(PI(3,4,5)P3, receptor for, PDK1)
(PDK1, binds to, PI(3,4,5)P3)</t>
  </si>
  <si>
    <t xml:space="preserve">	* Produces (production)
		+ PI 3-kinase produces
	* Serves (service)
		+ PI(3,4,5)P3 serves as a docking site</t>
  </si>
  <si>
    <t>The relations are:
* PI(3,4,5)P3 and Akt: PI(3,4,5)P3 serves as a docking site for Akt.
* PI(3,4,5)P3 and PDK1: PI(3,4,5)P3 also serves as a docking site for 
PDK1.
In summary:
* PI(3,4,5)P3 acts as a scaffold molecule that brings together two 
serine/threonine kinases, Akt and PDK1, at the plasma membrane.</t>
  </si>
  <si>
    <t>Activated TGFβ/activin receptors phosphorylate Smad2 or Smad3, while activated BMP receptors phosphorylate Smad1, Smad5, or Smad8. Once one of these receptor-activated Smads (R-Smads) has been phosphorylated, it binds to Smad4 (called a co-Smad), which can form a complex with any of the five R-Smads</t>
  </si>
  <si>
    <t>Activated TGFβ/activin receptors, phosphorylates, Smad2
Activated TGFβ/activin receptors, phosphorylates, Smad3
Activated BMP receptors, phosphorylates, Smad1
Activated BMP receptors, phosphorylates, Smad5
Activated BMP receptors, phosphorylates, Smad8
R-Smad2, binds to, Smad4
R-Smad3, binds to, Smad4
R-Smad1, binds to, Smad4
R-Smad5, binds to, Smad4
R-Smad8, binds to, Smad4</t>
  </si>
  <si>
    <t xml:space="preserve">	* Phosphorylate (phosphorylation)
		+ Receptors phosphorylate Smads
	* Binds (binding)
		+ The receptor-activated Smad binds to Smad4</t>
  </si>
  <si>
    <r>
      <rPr>
        <rFont val="Arial"/>
        <color theme="1"/>
      </rPr>
      <t xml:space="preserve">Hedgehog signaling begins at a cell-surface receptor called Patched, which employs a convoluted mechanism to activate a group of transcription regulators called </t>
    </r>
    <r>
      <rPr>
        <rFont val="Arial"/>
        <i/>
        <color theme="1"/>
      </rPr>
      <t>Gli proteins</t>
    </r>
  </si>
  <si>
    <t>(Hedgehog protein, binds to, Patched cell-surface receptor)</t>
  </si>
  <si>
    <t>* Begins (beginning)
	* Called (naming)
		+ The receptor is called Patched</t>
  </si>
  <si>
    <t>The relations are:
* Hedgehog protein and Patched: The Hedgehog protein binds to the Patched 
receptor.
In summary:
* Hedgehog protein, a signaling molecule, interacts with Patched, a 
cell-surface receptor, triggering a downstream signaling cascade that 
ultimately activates Gli proteins</t>
  </si>
  <si>
    <t>Activation of the Fas receptor on the surface of a target cell by Fas ligand on the surface of a killer (cytotoxic) lymphocyte</t>
  </si>
  <si>
    <t>(Fas ligand on the surface of a cytotoxic lymphocyte, binds to, Fas receptor on the surface of target cell)</t>
  </si>
  <si>
    <t>* Activates (activation)
                + The Fas receptor activates</t>
  </si>
  <si>
    <t>The relations are:
* Fas ligand and Fas receptor: Fas ligand binds to Fas receptor.
In summary:
* Fas ligand, which is present on the surface of a killer (cytotoxic) 
lymphocyte, interacts with Fas receptor, which is present on the surface 
of a target cell.</t>
  </si>
  <si>
    <r>
      <rPr>
        <rFont val="Arial"/>
        <color rgb="FF000000"/>
      </rPr>
      <t xml:space="preserve">the </t>
    </r>
    <r>
      <rPr>
        <rFont val="Arial"/>
        <i/>
        <color rgb="FF000000"/>
      </rPr>
      <t xml:space="preserve">integrin-linked kinase </t>
    </r>
    <r>
      <rPr>
        <rFont val="Arial"/>
        <color rgb="FF000000"/>
      </rPr>
      <t>(</t>
    </r>
    <r>
      <rPr>
        <rFont val="Arial"/>
        <i/>
        <color rgb="FF000000"/>
      </rPr>
      <t>ILK</t>
    </r>
    <r>
      <rPr>
        <rFont val="Arial"/>
        <color rgb="FF000000"/>
      </rPr>
      <t xml:space="preserve">) and its binding partners </t>
    </r>
    <r>
      <rPr>
        <rFont val="Arial"/>
        <i/>
        <color rgb="FF000000"/>
      </rPr>
      <t xml:space="preserve">pinch </t>
    </r>
    <r>
      <rPr>
        <rFont val="Arial"/>
        <color rgb="FF000000"/>
      </rPr>
      <t xml:space="preserve">and </t>
    </r>
    <r>
      <rPr>
        <rFont val="Arial"/>
        <i/>
        <color rgb="FF000000"/>
      </rPr>
      <t>parvin</t>
    </r>
    <r>
      <rPr>
        <rFont val="Arial"/>
        <color rgb="FF000000"/>
      </rPr>
      <t>, which together form a trimeric complex that serves as an organizing hub at many junctions.</t>
    </r>
  </si>
  <si>
    <t>(Integrin-linked kinase, binds to, pinch and parvin)</t>
  </si>
  <si>
    <t>* Bind (binding)
		+ ILK binds to pinch and parvin
	* Form (formation)
		+ The complex forms</t>
  </si>
  <si>
    <r>
      <rPr>
        <rFont val="Arial"/>
        <color theme="1"/>
      </rPr>
      <t xml:space="preserve">Cell–matrix junctions also employ several actin-binding proteins, such as vinculin, </t>
    </r>
    <r>
      <rPr>
        <rFont val="Arial"/>
        <i/>
        <color theme="1"/>
      </rPr>
      <t>zyxin</t>
    </r>
    <r>
      <rPr>
        <rFont val="Arial"/>
        <color theme="1"/>
      </rPr>
      <t xml:space="preserve">, </t>
    </r>
    <r>
      <rPr>
        <rFont val="Arial"/>
        <i/>
        <color theme="1"/>
      </rPr>
      <t>VASP</t>
    </r>
    <r>
      <rPr>
        <rFont val="Arial"/>
        <color theme="1"/>
      </rPr>
      <t>, and a</t>
    </r>
    <r>
      <rPr>
        <rFont val="Arial"/>
        <i/>
        <color theme="1"/>
      </rPr>
      <t>-actinin</t>
    </r>
    <r>
      <rPr>
        <rFont val="Arial"/>
        <color theme="1"/>
      </rPr>
      <t xml:space="preserve">, to promote the assembly and organization of actin filaments. </t>
    </r>
  </si>
  <si>
    <t>(Actin filaments, binds to, Vincluin)
(Actin filaments, binds to, Zyxin)
(Actin filaments, binds to, VASP)
(Actin filaments, binds to, a-actinin)</t>
  </si>
  <si>
    <t>* Employ (employment)
		+ Junctions employ these proteins
	* Promote (promotion)
		+ The proteins promote assembly and organization</t>
  </si>
  <si>
    <t>The other mentioned proteins (vinculin, zyxin, 
VASP, and α-actinin) all interact with or bind to actin filaments in some 
way.
* Vinculin and Actin filaments: Vinculin binds to actin filaments.
* Zyxin and Actin filaments: Zyxin also interacts with actin filaments.
* VASP and Actin filaments: VASP (Verprolin, Ena/Cse1p and SH3 
domain-containing protein) binds to actin filaments.
* α-actinin and Actin filaments: α-actinin is an actin-binding protein 
that interacts with actin filaments.
In summary:
* The mentioned proteins (vinculin, zyxin, VASP, and α-actinin) all 
interact with or bind to actin filaments, which suggests they play a role 
in the assembly and organization of these filaments.</t>
  </si>
  <si>
    <t>Notch is a transmembrane receptor protein (and latent transcription regulator) involved in many cell-fate choices in animal development, for example in the specification of nerve cells from ectodermal epithelium. Its ligands are cell-surface proteins such as Delta and Serrate.</t>
  </si>
  <si>
    <t>(Notch, receptor for, Delta)
(Notch, receptor for, Serrate)
(Delta, binds to, Notch)
(Serrate, binds to, Notch)</t>
  </si>
  <si>
    <t>* Is (state)
		+ Notch is a transmembrane receptor
	* Involved (involvement)
		+ Notch is involved in cell-fate choices</t>
  </si>
  <si>
    <t>The relation between **Notch** and **Delta** and **Serrate** is:
1. **Notch**: A transmembrane receptor protein (and latent transcription 
regulator).
2. **Ligands**: Cell-surface proteins, specifically **Delta** and 
**Serrate**, which bind to Notch.
In other words, Delta and Serrate are the ligands that interact with and 
activate Notch, a key signaling molecule involved in various cell-fate 
choices during animal development.</t>
  </si>
  <si>
    <t>Many types of migrating cells are guided by chemotaxis that depends on a G-protein-coupled receptor, called CXCR4, which is activated by an extracellular ligand, CXCL12.</t>
  </si>
  <si>
    <t>(CXCR4, receptor for, CXCL12)
(CXCL12, ligand for, CXCR4)
(CXCL12, binds to, CXCR4)</t>
  </si>
  <si>
    <t>* Guided (guidance)
		+ Cells are guided by chemotaxis
	* Depends (dependence)
		+ Chemotaxis depends on CXCR4</t>
  </si>
  <si>
    <t>The relation between **CXCR4** and **CXCL12** is:
1. **CXCR4**: A G-protein-coupled receptor.
2. **Activated by**: An extracellular ligand called **CXCL12**.
In other words, CXCL12 is the natural ligand that binds to and activates 
CXCR4, a G-protein-coupled receptor involved in chemotaxis (the movement 
of cells towards or away from a stimulus).</t>
  </si>
  <si>
    <t>An important example is HIV, which requires two types of receptors to enter a host cell. Its primary receptor is CD4, a cell-surface protein on helper T cells and macrophages... It also requires a co-receptor, which is either CCR5 (a receptor for β-chemokines) or CXCR4 (a receptor for α-chemokines), depending on the particular variant of the virus.</t>
  </si>
  <si>
    <t>(CD4, receptor for, HIV)
(CCR5, receptor for, β-chemokines)
(CXCR4, receptor for, α-chemokines)</t>
  </si>
  <si>
    <t xml:space="preserve">	* Requires (requirement)
		+ HIV requires two types of receptors
	* Is (state)
		+ The primary receptor is CD4</t>
  </si>
  <si>
    <t>The relations are:
* CD4 and HIV: CD4 is the primary receptor that HIV uses to enter a host 
cell.
* CCR5 and β-chemokines: CCR5 is a co-receptor that binds to β-chemokines, 
which are a type of chemokine.
* CXCR4 and α-chemokines: CXCR4 is a co-receptor that binds to 
α-chemokines, which are another type of chemokine.
In summary:
* CD4 is the primary receptor for HIV entry
* CCR5 and β-chemokines form a complex that allows HIV to enter host cells 
(specifically, helper T cells and macrophages)
* CXCR4 and α-chemokines form a complex that also allows HIV to enter host 
cells</t>
  </si>
  <si>
    <t>The natural ligand for the chemokine receptors (Sdf1 for CXCR4; RANTES, MIP-1α, or MIP-1β for CCR5) blocks co-receptor function and prevents viral invasion.</t>
  </si>
  <si>
    <t>(Sdf1, receptor for, CXCR4)
(RANTES, receptor for CCR5)
(MIP-1α, receptor for CCR5)
(MIP-1β, receptor for CCR5)</t>
  </si>
  <si>
    <t>* Blocks (blocking)
		+ The natural ligand blocks co-receptor function</t>
  </si>
  <si>
    <t>The relations between these pairs of molecules are:
1. **Sdf1** and **CXCR4**: Sdf1 is the natural ligand for CXCR4.
2. **RANTES**, **MIP-1α**, and **MIP-1β** all bind to **CCR5**.
In other words, each of these chemokines (small signaling molecules) has a 
specific receptor that it binds to:
* Sdf1 binds to CXCR4
* RANTES, MIP-1α, and MIP-1β all bind to CCR5
This binding event is crucial for the function of these chemokine 
receptors.</t>
  </si>
  <si>
    <t>A human makes at least 10 different TLRs, each recognizing distinct ligands: TLR3, for example, recognizes double-stranded viral RNA in the endosomal lumen; TLR4 recognizes lipopolysaccharide (LPS) on the outer membrane of Gram-negative bacteria; TLR5 recognizes the protein that forms the bacterial flagellum; TLR7 and TLR8 recognize single- stranded viral RNA; and TLR9 recognizes short, unmethylated sequences of bacterial, viral, or protozoan DNA, called CpG motifs, which are uncommon in vertebrate DNA.</t>
  </si>
  <si>
    <t>(TLR3, receptor for, double-stranded viral RNA in the endosomal lumen)
(TLR4, receptor for,  LPS on the outer membrane of gram-negative bacteria)
(TLR5, receptor for, protein that forms the bacterial flagellum)
(TLR7, receptor for, single-stranded viral RNA)
(TLR8, receptor for, single-stranded viral RNA)
(TLR9, receptor for, CpG motifs)</t>
  </si>
  <si>
    <t>* Makes (creation)
		+ Humans make at least 10 different TLRs
	* Recognizes (recognition)
		+ Each TLR recognizes distinct ligands</t>
  </si>
  <si>
    <t>The ligands for each TLR (Toll-Like Receptor) mentioned are:
1. **TLR3**: Double-stranded viral RNA in the endosomal lumen.
2. **TLR4**: Lipopolysaccharide (LPS) on the outer membrane of 
Gram-negative bacteria.
3. **TLR5**: The protein that forms the bacterial flagellum.
4. **TLR7** and **TLR8**: Single-stranded viral RNA.
5. **TLR9**: Short, unmethylated sequences of bacterial, viral, or 
protozoan DNA (CpG motifs), which are uncommon in vertebrate DNA.</t>
  </si>
  <si>
    <r>
      <rPr>
        <rFont val="Arial"/>
        <color theme="1"/>
      </rPr>
      <t xml:space="preserve">For a naïve T cell, an activated dendritic cell provides the co-stimulatory signals; these include the transmembrane </t>
    </r>
    <r>
      <rPr>
        <rFont val="Arial"/>
        <i/>
        <color theme="1"/>
      </rPr>
      <t>B7 proteins</t>
    </r>
    <r>
      <rPr>
        <rFont val="Arial"/>
        <color theme="1"/>
      </rPr>
      <t xml:space="preserve">, which are recognized by the co-receptor protein </t>
    </r>
    <r>
      <rPr>
        <rFont val="Arial"/>
        <i/>
        <color theme="1"/>
      </rPr>
      <t xml:space="preserve">CD28 </t>
    </r>
    <r>
      <rPr>
        <rFont val="Arial"/>
        <color theme="1"/>
      </rPr>
      <t xml:space="preserve">on the surface of the T cell. </t>
    </r>
  </si>
  <si>
    <t>(CD28, receptor for, B7 proteins) 
(B7 proteins, binds to, CD28)</t>
  </si>
  <si>
    <t xml:space="preserve">	* Provides (provision)
		+ The dendritic cell provides co-stimulatory signals
	* Recognizes (recognition)
		+ B7 proteins are recognized by CD28</t>
  </si>
  <si>
    <t>The relation between B7 proteins and CD28 is:
1. **B7 proteins**: These are transmembrane proteins that provide 
costimulatory signals.
2. **Recognized**: By the co-receptor protein CD28, which is present on 
the surface of T cells.
In other words, B7 proteins serve as ligands that bind to the co-receptor 
protein CD28 on the surface of T cells. This binding event provides 
essential costimulatory signals that help activate and expand T cell 
responses.
The specific interaction between B7 proteins and CD28 is a crucial step in 
the process of T cell activation. Here's how it works:
* Activated dendritic cells express B7 proteins on their surfaces.
* Naive T cells recognize antigens presented by the dendritic cells via T 
cell receptors (TCRs).
* The binding of B7 proteins to CD28 on the surface of T cells provides 
costimulatory signals, which are necessary for full T cell activation and 
proliferation.
In summary: B7 proteins provide costimulatory signals that are recognized 
by CD28, a co-receptor protein on T cells. This interaction is essential 
for T cell activation and expansion.</t>
  </si>
  <si>
    <r>
      <rPr>
        <rFont val="Arial"/>
        <color theme="1"/>
      </rPr>
      <t xml:space="preserve">For a B cell, an effector TFH cell provides the co-stimulatory signals; these include the transmembrane </t>
    </r>
    <r>
      <rPr>
        <rFont val="Arial"/>
        <i/>
        <color theme="1"/>
      </rPr>
      <t>CD40 ligand</t>
    </r>
    <r>
      <rPr>
        <rFont val="Arial"/>
        <color theme="1"/>
      </rPr>
      <t xml:space="preserve">, which binds to </t>
    </r>
    <r>
      <rPr>
        <rFont val="Arial"/>
        <i/>
        <color theme="1"/>
      </rPr>
      <t xml:space="preserve">CD40 receptors </t>
    </r>
    <r>
      <rPr>
        <rFont val="Arial"/>
        <color theme="1"/>
      </rPr>
      <t xml:space="preserve">on the B cell </t>
    </r>
  </si>
  <si>
    <t>(CD40 ligand, binds to, CD40 receptors)</t>
  </si>
  <si>
    <t xml:space="preserve">	* Provides (provision)
		+ The TFH cell provides co-stimulatory signals
	* Binds (binding)
		+ The CD40 ligand binds to CD40 receptors</t>
  </si>
  <si>
    <t>PD1 is expressed on activated T cells, and its prolonged binding to its cell-surface ligand (PDL1 or PDL2) on various cell types, including cancer cells, inhibits the activity of the T cells.</t>
  </si>
  <si>
    <t>(PD1, binds to PDL1)
(PD1, binds to, PDL2)
(PDL1, ligand for, PD1)
(PDL2, ligand for, PD1)</t>
  </si>
  <si>
    <t>* Is expressed (part-whole)
* Binds (binding)
* Inhibits (causality)</t>
  </si>
  <si>
    <t>The structure of the β2-adrenergic receptor, a receptor for the neurotransmitter epinephrine, illustrates the typical cylindrical arrangement of the seven transmembrane helices in a GPCR.</t>
  </si>
  <si>
    <t>(Epinephrine, binds to, β2-adrenergic receptor)</t>
  </si>
  <si>
    <t xml:space="preserve">	* Illustrates (example)
	* Is a receptor for (part-whole)</t>
  </si>
  <si>
    <t>When ephrin binding acti- vates the Eph receptor, the receptor activates a cytoplasmic tyrosine kinase that phosphorylates ephexin on a tyrosine, enhancing the ability of ephexin to activate the Rho protein RhoA.</t>
  </si>
  <si>
    <t>(Ephrin, binds to, Eph receptor)
(Cytoplasmic tyrosine kinase, phosphorylates, ephexin)</t>
  </si>
  <si>
    <t xml:space="preserve">	* Acti-vates (causality)
	* Activates (causality)
	* Enhancing (cause-effect)</t>
  </si>
  <si>
    <t>the bacterial activator protein CAP has to bind cyclic AMP (cAMP) before it can bind to DNA</t>
  </si>
  <si>
    <t>(CAP, binds to, cAMP)</t>
  </si>
  <si>
    <t xml:space="preserve">	* Has to (precondition)
	* Binds (binding)</t>
  </si>
  <si>
    <t>The binding of cAMP to the regulatory subunits of the PKA tetramer induces a conformational change</t>
  </si>
  <si>
    <t>(cAMP, ligand for, PKA)</t>
  </si>
  <si>
    <t>* Induces (cause-effect)</t>
  </si>
  <si>
    <t>The relation between cAMP (cyclic adenosine monophosphate) and PKA 
(protein kinase A) tetramer is as follows:
1. **Binding**: The binding of cAMP to the regulatory subunits of the PKA 
tetramer.
2. **Induces**: This binding induces a conformational change, which means 
that it causes a change in the shape or structure of the protein.
The regulatory subunits are part of the PKA enzyme complex, which consists 
of four subunits: two catalytic subunits (C) and two regulatory subunits 
(R). The R subunits bind to cAMP molecules, causing a conformational 
change that exposes the C subunits. This exposure allows the C subunits to 
interact with substrates and phosphorylate them.
In other words, the binding of cAMP to the R subunits triggers an 
allosteric effect, where the protein undergoes a shape change that enables 
its enzymatic activity. This conformational change is necessary for PKA to 
become activated and start phosphorylating downstream targets.
So, in summary: the binding of cAMP to the regulatory subunits of the PKA 
tetramer induces a conformational change, which activates the PKA enzyme 
complex and allows it to phosphorylate substrates.</t>
  </si>
  <si>
    <t>The Rev protein interacts with a nuclear export receptor (Crm1), which directs the movement of viral RNAs through nuclear pores into the cytosol despite the presence of intron sequences.</t>
  </si>
  <si>
    <t>(Rev protein, binds to, Crm1)</t>
  </si>
  <si>
    <t>* Interacts (binding)* Directs (causality)</t>
  </si>
  <si>
    <r>
      <rPr>
        <rFont val="Arial"/>
        <color theme="1"/>
      </rPr>
      <t>the ganglioside G</t>
    </r>
    <r>
      <rPr>
        <rFont val="Arial"/>
        <color theme="1"/>
      </rPr>
      <t xml:space="preserve">M1 </t>
    </r>
    <r>
      <rPr>
        <rFont val="Arial"/>
        <color theme="1"/>
      </rPr>
      <t>acts as a cell-surface receptor for the bacterial toxin that causes the debilitating diarrhea of cholera. Cholera toxin binds to and enters only those cells that have G</t>
    </r>
    <r>
      <rPr>
        <rFont val="Arial"/>
        <color theme="1"/>
      </rPr>
      <t xml:space="preserve">M1 </t>
    </r>
    <r>
      <rPr>
        <rFont val="Arial"/>
        <color theme="1"/>
      </rPr>
      <t>on their surface</t>
    </r>
  </si>
  <si>
    <t>(Cholera toxin, binds to, GM1)</t>
  </si>
  <si>
    <t xml:space="preserve">	* Acts as (function)
	* Binds (binding)</t>
  </si>
  <si>
    <t>strychnine, for example, binds to glycine receptors and prevents their inhibitory action</t>
  </si>
  <si>
    <t>(Strychnine, binds to, glycine receptors)</t>
  </si>
  <si>
    <t xml:space="preserve">	* Binds (binding)
	* Prevents (causality)</t>
  </si>
  <si>
    <t>When a signal sequence binds, SRP exposes a binding site for an SRP recep­tor, which is a transmembrane protein complex in the rough ER membrane.</t>
  </si>
  <si>
    <t>(SRP, binds to, SRP receptor)</t>
  </si>
  <si>
    <t xml:space="preserve">	* Binds (binding)
	* Exposes (cause-effect)</t>
  </si>
  <si>
    <t>Two proteins at the ER membrane called Get1 and Get2 serve not only as the receptor for Get3</t>
  </si>
  <si>
    <t>(Get 1 and Get2, receptor for, Get3)</t>
  </si>
  <si>
    <t>* Serve (function)</t>
  </si>
  <si>
    <t>The relation between Get1, Get2, and Get3 is:
1. **Get1 and Get2**: These two proteins are located at the Endoplasmic 
Reticulum (ER) membrane.
2. **Serve**: They serve a specific function.
3. **As the receptor for**: For another protein called Get3.
In other words, Get1 and Get2 work together as a receptor complex to 
recognize and bind to Get3. This binding event triggers a downstream 
response or signaling pathway.
The Get1-Get2-Get3 system is involved in the regulation of ER-associated 
degradation (ERAD), which is a quality control process that ensures the 
proper folding and maintenance of proteins within the ER. Get3 is thought 
to play a role in recruiting proteins to be degraded to the ERAD 
machinery, while Get1 and Get2 serve as receptors for Get3, facilitating 
its binding and subsequent signaling.
So, to summarize: Get1 and Get2 act together as a receptor complex that 
recognizes and binds to Get3, which triggers downstream signaling involved 
in protein quality control and degradation.</t>
  </si>
  <si>
    <t>Each AP2 complex binds four PI(4,5)P2 molecules</t>
  </si>
  <si>
    <t>(PI(4,5)P2, binds to, AP2)</t>
  </si>
  <si>
    <t>* Binds (binding)</t>
  </si>
  <si>
    <r>
      <rPr>
        <rFont val="UtopiaStd"/>
        <color theme="1"/>
      </rPr>
      <t xml:space="preserve">a specific </t>
    </r>
    <r>
      <rPr>
        <rFont val="UtopiaStd"/>
        <color theme="1"/>
      </rPr>
      <t xml:space="preserve">Sar1 GEF </t>
    </r>
    <r>
      <rPr>
        <rFont val="UtopiaStd"/>
        <color theme="1"/>
      </rPr>
      <t>embedded in the ER membrane binds to cytosolic Sar1</t>
    </r>
  </si>
  <si>
    <t>(Sar1 GEF, binds to, cytosolic Sar1)</t>
  </si>
  <si>
    <t>Transmembrane M6P receptor proteins, which are present in the TGN, recognize the M6P groups and bind to the lysosomal hydrolases on the lumenal side of the membrane and to adaptor proteins in assembling clathrin coats on the cytosolic side.</t>
  </si>
  <si>
    <t>(Lyosomal hydrolases, binds to, M6P receptor in TGN)</t>
  </si>
  <si>
    <t xml:space="preserve">	* Recognize (binding)
	* Bind (binding)</t>
  </si>
  <si>
    <r>
      <rPr>
        <rFont val="Arial"/>
        <color theme="1"/>
      </rPr>
      <t>Inositol 1,4,5-trisphosphate (IP</t>
    </r>
    <r>
      <rPr>
        <rFont val="Arial"/>
        <color theme="1"/>
      </rPr>
      <t>3</t>
    </r>
    <r>
      <rPr>
        <rFont val="Arial"/>
        <color theme="1"/>
      </rPr>
      <t>) diffuses through the cytosol and releases Ca</t>
    </r>
    <r>
      <rPr>
        <rFont val="Arial"/>
        <color theme="1"/>
      </rPr>
      <t xml:space="preserve">2+ </t>
    </r>
    <r>
      <rPr>
        <rFont val="Arial"/>
        <color theme="1"/>
      </rPr>
      <t>from the ER by binding to and opening IP</t>
    </r>
    <r>
      <rPr>
        <rFont val="Arial"/>
        <color theme="1"/>
      </rPr>
      <t>3</t>
    </r>
    <r>
      <rPr>
        <rFont val="Arial"/>
        <color theme="1"/>
      </rPr>
      <t>-gated Ca</t>
    </r>
    <r>
      <rPr>
        <rFont val="Arial"/>
        <color theme="1"/>
      </rPr>
      <t>2+</t>
    </r>
    <r>
      <rPr>
        <rFont val="Arial"/>
        <color theme="1"/>
      </rPr>
      <t>-release channels (IP</t>
    </r>
    <r>
      <rPr>
        <rFont val="Arial"/>
        <color theme="1"/>
      </rPr>
      <t xml:space="preserve">3 </t>
    </r>
    <r>
      <rPr>
        <rFont val="Arial"/>
        <color theme="1"/>
      </rPr>
      <t>receptors) in the ER membrane</t>
    </r>
  </si>
  <si>
    <t>(IP3, binds to, IP3 receptors)</t>
  </si>
  <si>
    <t xml:space="preserve">	* Diffuses (motion)
	* Releases (causality)
	* Binds (binding)</t>
  </si>
  <si>
    <r>
      <rPr>
        <rFont val="Arial"/>
        <color theme="1"/>
      </rPr>
      <t>Calmodulin functions as a multi- purpose intracellular Ca</t>
    </r>
    <r>
      <rPr>
        <rFont val="Arial"/>
        <color theme="1"/>
      </rPr>
      <t xml:space="preserve">2+ </t>
    </r>
    <r>
      <rPr>
        <rFont val="Arial"/>
        <color theme="1"/>
      </rPr>
      <t>receptor, governing many Ca</t>
    </r>
    <r>
      <rPr>
        <rFont val="Arial"/>
        <color theme="1"/>
      </rPr>
      <t>2+</t>
    </r>
    <r>
      <rPr>
        <rFont val="Arial"/>
        <color theme="1"/>
      </rPr>
      <t>-regulated processes.</t>
    </r>
  </si>
  <si>
    <t>(Ca2+, binds to, Calmodulin)</t>
  </si>
  <si>
    <t>* Functions (function)</t>
  </si>
  <si>
    <t>In this context, Ca2+ (calcium ion) and calmodulin are two essential 
molecules that interact to regulate various cellular processes.
Here's what we know:
1. **Ca2+**: A positively charged ion (ionized calcium) that plays a 
crucial role in many cellular functions, including muscle contraction, 
neuronal signaling, and gene expression.
2. **Calmodulin**: A small, highly conserved protein (about 17 kDa) that 
is found throughout the eukaryotic kingdom. Calmodulin is also known as 
troponin C or calcium-binding protein.
The relation between these molecules can be summarized as follows:
* **Ca2+-calmodulin interaction**: Ca2+ ions bind to calmodulin, causing a 
conformational change in the protein that activates its biological 
activity.
* **Calmodulin as a receptor**: Calmodulin functions as an intracellular 
Ca2+ receptor, which means it can detect changes in Ca2+ levels within 
cells and respond accordingly.
* **Multi-purpose functions**: As a Ca2+ receptor, calmodulin regulates 
many cellular processes that are dependent on Ca2+ signaling, including:
	+ Muscle contraction
	+ Cell growth and proliferation
	+ Neuronal signaling and synaptic plasticity
	+ Gene expression and transcriptional regulation
In summary:
* Ca2+ ions bind to calmodulin, triggering a conformational change that 
activates its biological activity.
* Calmodulin functions as an intracellular Ca2+ receptor, detecting 
changes in Ca2+ levels within cells and regulating various cellular processes.
* The Ca2+-calmodulin interaction plays a crucial role in many physiological and pathological 
processes, including muscle contraction, neuronal signaling, and gene expression.
These interactions are essential for maintaining proper cellular function, and any disruptions to 
the Ca2+-calmodulin pathway can lead to various diseases or disorders.</t>
  </si>
  <si>
    <t>`</t>
  </si>
  <si>
    <t>In some target cells, including smooth muscle cells, NO binds reversibly to iron in the active site of guanylyl cyclase, stimulating synthesis of cyclic GMP</t>
  </si>
  <si>
    <t>(Nitric Oxide, binds to, Iron in guanylyl cyclase)</t>
  </si>
  <si>
    <t xml:space="preserve">	* Binds (binding)
	* Stimulating (cause-effect)</t>
  </si>
  <si>
    <t>Frizzled contains an extracellular domain that binds with high affinity to Wnt, due in part to a hydrophobic pocket on the receptor domain that interacts with the lipid modification on Wnt; this lipid is therefore required for Wnt signaling. LRP interacts with a different site on Wnt.</t>
  </si>
  <si>
    <t>(Wnt, binds to, Frizzled)
(Wnt, binds to, LRP)</t>
  </si>
  <si>
    <t xml:space="preserve">	* Contains (part-whole)
	* Binds (binding)
	* Interacts (binding)</t>
  </si>
  <si>
    <r>
      <rPr>
        <rFont val="Arial"/>
        <color theme="1"/>
      </rPr>
      <t xml:space="preserve">The laminin molecules that generate the initial sheet structure first join to each other while bound to receptors on the surface of the cells. The cell-surface receptors are primarily members of the integrin family, but another important type of laminin receptor is </t>
    </r>
    <r>
      <rPr>
        <rFont val="Arial"/>
        <i/>
        <color theme="1"/>
      </rPr>
      <t>dystroglycan</t>
    </r>
    <r>
      <rPr>
        <rFont val="Arial"/>
        <color theme="1"/>
      </rPr>
      <t>, a highly glycosylated transmembrane protein.</t>
    </r>
  </si>
  <si>
    <t>(Laminin molecules, binds to, laminin cell-surface receptor)
(Laminin molecules, binds to, dystroglycan)</t>
  </si>
  <si>
    <t xml:space="preserve">	* Join (binding)
	* Are primarily (classification)</t>
  </si>
  <si>
    <t>In this context, laminin molecules, laminin cell surface receptors, and 
dystroglycans are all involved in the interaction between cells and the 
extracellular matrix (ECM).
Here's what we know:
1. **Laminin molecules**: A type of ECM protein that forms a complex 
network of fibers and sheets.
2. **Laminin cell surface receptors**: Proteins on the surface of cells 
that bind to laminin molecules, including:
	* **Integrins**: A family of transmembrane proteins that interact with 
laminin and other ECM proteins to regulate cell adhesion, migration, and 
signaling.
	* **Dystroglycan**: A highly glycosylated transmembrane protein that 
serves as a receptor for laminin molecules.
The relation between these proteins can be summarized as follows:
* **Laminin-laminin interaction**: Laminin molecules initially form a 
sheet structure by binding to each other, creating a complex network of 
fibers and sheets.
* **Laminin-receptor interaction**: As the laminin molecules form this 
initial sheet structure, they also bind to cell surface receptors, 
including integrins and dystroglycan.
* **Receptor-ligand interaction**: The binding of laminin molecules to 
their corresponding receptors (integrins or dystroglycan) triggers 
signaling cascades that regulate various cellular processes, such as:
	+ Cell adhesion and migration
	+ Cell survival and differentiation
	+ Tissue development and repair
In summary:
* Laminin molecules form an initial sheet structure by binding to each 
other.
* This complex is then stabilized by the interaction between laminin 
molecules and their corresponding cell surface receptors, including 
integrins and dystroglycan.
* The receptor-ligand interaction regulates various cellular processes 
that are critical for tissue development, repair, and maintenance.
These interactions play important roles in many physiological and 
pathological processes, such as tissue development, wound healing, and 
cancer progression.</t>
  </si>
  <si>
    <t>α5β1 is a fibronectin receptor and α6β1 is a laminin receptor on many types of cells</t>
  </si>
  <si>
    <t>(α5β1, receptor for, fibronectin)
(α6β1, receptor for, laminin)</t>
  </si>
  <si>
    <t xml:space="preserve">	* Is (attribute)
		+ α5β1 and α6β1 are receptors for fibronectin and laminin respectively</t>
  </si>
  <si>
    <t>In this context, α5β1, α6β1, fibronectin, and laminin are all proteins 
involved in cell adhesion and signaling pathways.
Here's what we know:
1. **α5β1**: A heterodimeric integrin composed of the alpha-5 subunit (α5) 
and the beta-1 subunit (β1).
2. **Fibronectin**: A glycoprotein that is a major component of 
extracellular matrix.
3. **Laminin**: A glycoprotein that forms part of the basement membrane, a 
thin layer of extracellular matrix.
The relation between these proteins can be summarized as follows:
* **α5β1-fibronectin interaction**: α5β1 serves as a receptor for 
fibronectin on many cell types. When fibronectin binds to α5β1, it 
triggers intracellular signaling pathways that regulate various cellular 
processes, such as adhesion, migration, and differentiation.
* **α6β1-laminin interaction**: α6β1 also functions as a receptor for 
laminin, specifically binding to the laminin alpha-chain. This binding 
event can activate downstream signaling pathways that influence cell 
behavior, including cell adhesion, proliferation, and survival.
In summary:
* α5β1 is a fibronectin receptor, while α6β1 is a laminin receptor.
* Both α5β1 and α6β1 are heterodimeric integrins composed of specific 
alpha and beta subunits.
* Fibronectin and laminin are extracellular matrix proteins that interact 
with their respective receptors (α5β1 and α6β1) to regulate cell behavior.
These interactions play important roles in various cellular processes, 
such as tissue development, wound healing, and cancer progression.</t>
  </si>
  <si>
    <t>Toll and Torso are receptor proteins that are distributed all over the membrane but are activated only at the sites indicated by the coloring, through localized exposure to the extracellular ligands Spaetzle (the ligand for Toll) and Trunk (the ligand for Torso).</t>
  </si>
  <si>
    <t>(Spaetzle, binds to, Toll)
(Trunk, binds to, Torse)
(Spaetzle, ligand for, Toll)
(Trunk, ligand for, Torse)</t>
  </si>
  <si>
    <t>* Is (attribute)
		+ Toll and Torso are receptor proteins
	* Activated by (activation)
		+ Toll and Torso are activated by Spaetzle and Trunk</t>
  </si>
  <si>
    <t>In this context, Spaetzle, Trunk, Toll, and Torso are all proteins 
involved in a signaling pathway that plays a crucial role in embryonic 
development, specifically in the patterning of the Drosophila embryo.
Here's what we know:
1. **Spaetzle**: A protein that serves as a ligand for the Toll receptor.
2. **Trunk**: A protein that serves as a ligand for the Torso receptor.
3. **Toll**: A transmembrane receptor protein that is activated by 
Spaetzle binding.
4. **Torso**: A transmembrane receptor protein that is activated by Trunk 
binding.
The relation between these proteins can be summarized as follows:
* **Spaetzle-Toll interaction**: Spaetzle, the ligand, binds to Toll, the 
receptor, on the surface of cells in specific regions of the embryo. This 
binding activates a signaling cascade within the cell that ultimately 
leads to the activation of genes involved in embryonic patterning.
* **Trunk-Torso interaction**: Trunk, the ligand, binds to Torso, the 
receptor, on the surface of cells in other specific regions of the embryo. 
This binding also triggers a signaling pathway that influences gene 
expression and embryonic development.
The key point is that both Toll and Torso are activated only when their 
respective ligands (Spaetzle and Trunk) bind to them at specific locations 
on the cell membrane, as indicated by the coloring. This spatially 
restricted activation of these receptors is crucial for establishing 
proper patterns in the developing embryo.
In summary, Spaetzle and Trunk serve as extracellular ligands that 
activate their corresponding receptor proteins (Toll and Torso), 
respectively, triggering signaling cascades that shape embryonic 
development.</t>
  </si>
  <si>
    <r>
      <rPr>
        <rFont val="Arial"/>
        <color theme="1"/>
      </rPr>
      <t xml:space="preserve">The second transgene, </t>
    </r>
    <r>
      <rPr>
        <rFont val="Arial"/>
        <i/>
        <color theme="1"/>
      </rPr>
      <t xml:space="preserve">CreERT2 (brown), </t>
    </r>
    <r>
      <rPr>
        <rFont val="Arial"/>
        <color theme="1"/>
      </rPr>
      <t>encodes a chimeric form of the Cre recombinase called CreERT, which consists of the Cre recombinase linked to the estrogen receptor protein; this enzyme becomes active as a recombinase only when it binds the artificial estrogen analog tamoxifen</t>
    </r>
  </si>
  <si>
    <t>(Tamoxifen, binds to, CreERT)</t>
  </si>
  <si>
    <t>* Consists of (composition)
		+ CreERT2 is composed of Cre recombinase and estrogen receptor protein
	* Binds to (binding)
		+ CreERT2 binds to tamoxifen</t>
  </si>
  <si>
    <t>an envelope protein of herpes simplex virus, for example, binds to heparan sulfate proteoglycans on the surface of certain vertebrate host cells, and simian virus 40 (SV40) binds to a glycolipid.</t>
  </si>
  <si>
    <t>(Envelope protein of herpes simplex virus, binds to, Heparan sulfate proteoglycans)
(Simian virus 40 (SV40), binds to, glycolipid)</t>
  </si>
  <si>
    <t>* Binds to (binding)
		+ Envelope protein of herpes simplex virus binds to heparan sulfate 
proteoglycans
		+ SV40 binds to a glycolipid</t>
  </si>
  <si>
    <r>
      <rPr>
        <rFont val="Arial"/>
        <color theme="1"/>
      </rPr>
      <t xml:space="preserve">The IgE tail region binds to another class of Fc receptors on the surface of </t>
    </r>
    <r>
      <rPr>
        <rFont val="Arial"/>
        <i/>
        <color theme="1"/>
      </rPr>
      <t xml:space="preserve">mast cells </t>
    </r>
    <r>
      <rPr>
        <rFont val="Arial"/>
        <color theme="1"/>
      </rPr>
      <t xml:space="preserve">in tissues and of </t>
    </r>
    <r>
      <rPr>
        <rFont val="Arial"/>
        <i/>
        <color theme="1"/>
      </rPr>
      <t xml:space="preserve">basophils </t>
    </r>
    <r>
      <rPr>
        <rFont val="Arial"/>
        <color theme="1"/>
      </rPr>
      <t>in the blood</t>
    </r>
  </si>
  <si>
    <t>(IgE, binds to, Fc receptors on mast cells)
(IgE, binds to, Fc receptors on basophils)</t>
  </si>
  <si>
    <t>* Binds to (binding)
		+ IgE tail region binds to Fc receptors</t>
  </si>
  <si>
    <t xml:space="preserve">A monoclonal antibody called trastuzumab (trade name Herceptin), which binds to Her2 and inhibits its function, slows the growth of human breast cancers that overexpress Her2 </t>
  </si>
  <si>
    <t>(Trastuzmab, binds to, Her2)</t>
  </si>
  <si>
    <t>* Binds to (binding)
		+ Trastuzumab binds to Her2
	* Inhibits (inhibition)
		+ Trastuzumab inhibits the function of Her2</t>
  </si>
  <si>
    <t>the lymphocytes stop rolling, and they crawl out of the blood vessel into the lymph node by using yet another cell adhesion protein called CD31</t>
  </si>
  <si>
    <t>(Lymphocytes, binds to, CD31)</t>
  </si>
  <si>
    <t>* Uses (use)
		+ Lymphocytes use CD31 for cell adhesion</t>
  </si>
  <si>
    <t>In this context, CD31 (also known as Platelet-Endothelial Cell Adhesion 
Molecule or PECAM-1) is a cell adhesion molecule that plays a crucial role 
in the interaction between lymphocytes and endothelial cells.
When lymphocytes need to exit the bloodstream and enter the lymph node, 
they use various mechanisms to navigate through the blood vessel wall. One 
of these mechanisms involves CD31-mediated interactions.
Here's what happens:
1. Lymphocytes (specifically, naive T cells or B cells) roll along the 
surface of the blood vessel endothelium, a process known as rolling 
adhesion.
2. As they roll, lymphocytes express certain integrins (such as LFA-1 and 
VLA-4) that interact with ICAM-1 and VCAM-1 on the endothelial cell 
surface.
3. Once the lymphocyte has stopped rolling, it needs to crawl out of the 
blood vessel into the lymph node. This is where CD31 comes in.
CD31 is expressed on both endothelial cells and lymphocytes. When a 
lymphocyte interacts with CD31 on an endothelial cell, it can:
* Recognize and bind to CD31 through its extracellular domain
* Transduce signals through CD31's cytoplasmic tail, which helps the 
lymphocyte to crawl out of the blood vessel
In other words, CD31 acts as a "ligand" for lymphocytes, allowing them to 
establish firm adhesion with the endothelium and migrate out of the 
bloodstream into the lymph node.
So, in summary, the relation between lymphocytes and CD31 is that CD31 
provides an essential adhesive interaction that enables lymphocytes to 
crawl out of the blood vessel and enter the lymph node.</t>
  </si>
  <si>
    <t>triples_model</t>
  </si>
  <si>
    <t>ATP is synthesized by coupling a reaction that is highly energetically favorable to an energetically unfavorable phosphorylation reaction in which a phosphate group is added to ADP (adenosine diphosphate)</t>
  </si>
  <si>
    <t>(Phosphate,Binds to, ADP)
(Phosphate,Binds to, adenosine diphosphate)
(ADP,Phosphorylation,ATP)</t>
  </si>
  <si>
    <t>**Relation:** Synthesis</t>
  </si>
  <si>
    <t>The relations identified are:
**Between ADP and ATP:**
* Process-Product: ADP is the starting material or reactant, and ATP is 
the resulting product of the process of synthesizing ATP.
**Between ADP and Phosphate:**
* Agent-Object: The phosphate group is the agent that adds to ADP 
(adenosine diphosphate), effectively converting it into ATP.
* Association-Joining: The phosphate group joins or associates with ADP to 
form a new compound, ATP.</t>
  </si>
  <si>
    <t>Hexokinase catalyzes a phosphorylation reaction (an event) that converts glucose to glucose-6-phosphate, which is one of the reactions in a glycolysis pathway;</t>
  </si>
  <si>
    <t>(Phosphate ,Binds to , Glucose)
(Glucose ,Phosphorylation,  glucose-6-phosphate)</t>
  </si>
  <si>
    <t>**Relations:** Catalysis, Process (glycolysis)</t>
  </si>
  <si>
    <t>The relations identified are:
**Between Phosphate and Glucose:**
* Agent-Object: Phosphate is the agent that adds to glucose, effectively 
converting it into glucose-6-phosphate.
**Between Glucose and Glucose-6-phosphate:**
* Process-Product: Glucose is the starting material or reactant, and 
glucose-6-phosphate is the resulting product of the process of 
phosphorylation catalyzed by Hexokinase.
In this sentence, the focus is on the enzyme-catalyzed reaction that 
converts glucose into glucose-6-phosphate. The relations highlight the 
addition of phosphate to glucose and the conversion of glucose into a new 
compound, glucose-6-phosphate.</t>
  </si>
  <si>
    <t>The amino acid side chains of the four histones in the nucleosome core are subjected to a remarkable variety of covalent modifications, including the acetylation of lysines, the mono-, di-, and trimethylation of lysines, and the phosphorylation of serines</t>
  </si>
  <si>
    <t>(Phosphate,Binds to,serine)
(Serine,Phosphorylation,Phosphoserine)</t>
  </si>
  <si>
    <t>**Relations:** Modification, Types of modification (acetylation, 
methylation, phosphorylation)</t>
  </si>
  <si>
    <t>The relations identified are:
**Between Phosphate and Serine:**
* Agent-Object: Phosphate is the agent that adds to serine, effectively 
converting it into phosphoserine.
**Between Serine and Phosphoserine:**
* Process-Product: Serine is the starting material or reactant, and 
phosphoserine is the resulting product of the process of phosphorylation.</t>
  </si>
  <si>
    <t>Much of the decrease in translation is caused by the phosphorylation of the translation initiation factor eIF2 by specific protein kinases that respond to the changes in conditions.</t>
  </si>
  <si>
    <t>(Phosphate,Binds,eIF2)
(eIF2,Phosphorylation,Phospho-eIF2)</t>
  </si>
  <si>
    <t>**Relations:** Regulation, Causality</t>
  </si>
  <si>
    <t>* **Entity1:** Protein kinases
* **Entity2:** Translation initiation factor eIF2 (specifically, its 
phosphorylated form)
The relation between Entity1 and Entity2 is **Inhibition**, where Entity1 
(protein kinases) phosphorylates Entity2 (eIF2), which in turn inhibits 
translation.
Phosphorylation of eIF2 by protein kinases can block the initiation of 
translation, which is a process that builds proteins from mRNA. When eIF2 
is phosphorylated, its activity as a translation initiation factor is 
reduced or abolished, leading to a decrease in protein synthesis.
In other words, Entity1 (protein kinases) targets and modifies Entity2 
(eIF2), ultimately inhibiting the translation process.</t>
  </si>
  <si>
    <t>This leads to phosphorylation of tyrosine side chains on the cytosolic part of the receptor, creating phosphotyrosine docking sites for various intracellular signaling proteins that relay the signal</t>
  </si>
  <si>
    <t>(Phosphate,Binds,Tyrosine)
(Serine,Phosphorylation,Phosphotyrosine)</t>
  </si>
  <si>
    <t>**Relations:** Signal transduction, Phosphorylation, Docking</t>
  </si>
  <si>
    <t>Activated TGFβ/activin receptors phosphorylate Smad2 or Smad3, while activated BMP receptors phosphorylate Smad1, Smad5, or Smad8.</t>
  </si>
  <si>
    <t>(Phosphate , Binds to , Smad2)
(Phosphate , Binds , Smad3)
(Activated TGFβ/activin receptors, phosphorylate, Smad2)
(Activated TGFβ/activin receptors, phosphorylate, Smad3)
(Smad2 , Phosphorylation , p-Smad2)
(Smad3 , Phosphorylation , p-Smad3)
(BMP receptors, phosphorylate, Smad1)
(BMP receptors, phosphorylate, Smad5)
(BMP receptors, phosphorylate, Smad8)
(Phosphate , Binds , Smad5)
(Phosphate , Binds , Smad8)
(Phosphate , Binds , Smad1)
(Smad1 , Phosphorylation , p-Smad1)
(Smad5 , Phosphorylation , p-Smad5)
(Smad8 , Phosphorylation , p-Smad8)</t>
  </si>
  <si>
    <t>**Relations:** Receptor activation, Phosphorylation (receptor-mediated)</t>
  </si>
  <si>
    <t>Phosphorylation of stathmin inhibits its binding to tubulin, and signals that cause stathmin phosphorylation can increase the rate of microtubule elongation and suppress dynamic instability.</t>
  </si>
  <si>
    <t>(Phosphate , Binds , Stathmin)
(Stathmin , Phosphorylation , Phospho-Stathmin)</t>
  </si>
  <si>
    <t>**Relations:** Inhibition, Regulation</t>
  </si>
  <si>
    <t>* **Entity1:** Stathmin
* **Entity2:** Tubulin
The relation between Entity1 and Entity2 is **Inhibition**, where phosphorylation of Entity1 
(stathmin) inhibits its binding to Entity2 (tubulin).
As a result, when stathmin is phosphorylated:
* The rate of microtubule elongation increases
* Dynamic instability of microtubules decreases
Phosphorylation of stathmin disrupts its interaction with tubulin, leading to changes in the 
dynamics of microtubule assembly and disassembly. This can have significant effects on 
cellular processes such as cell division, migration, and signaling.
In other words, Entity1 (stathmin) is inhibited by phosphorylation, which affects its 
binding to Entity2 (tubulin), ultimately altering the behavior of microtubules.</t>
  </si>
  <si>
    <t>The cell lysate is then separated by SDS-PAGE gel, and phosphorylation of p38 is detected by Western blotting</t>
  </si>
  <si>
    <t>(Phosphate , Binds , p38)
(p38 , Phosphorylation , Phospho-p38)</t>
  </si>
  <si>
    <t>**Relations:** Detection, Phosphorylation (protein detection)</t>
  </si>
  <si>
    <t>In addition, we present the techniques used to determine the effect these mutations have on activity of the Ras/MAPK pathway through Western blot analysis of the phosphorylation of endogenous ERK1/2,</t>
  </si>
  <si>
    <t>(Phosphate , Binds , ERK1 )
 (Phosphate , Binds , ERK2 )
 (ERK1 , Phosphorylation , p-ERK1 )
 (ERK2 , Phosphorylation , p-ERK2 )</t>
  </si>
  <si>
    <t>**Relation:** Technique description</t>
  </si>
  <si>
    <t xml:space="preserve">**Entity1:** Mutations in the gene
**Entity2:** Phosphorylated ERK1/2 (p-ERK1/2)
In this case, the researchers are using Western blot analysis to study the effect of 
mutations on the activity of the Ras/MAPK pathway. The technique involves analyzing the 
phosphorylation status of endogenous ERK1/2 (a downstream target of the MAPK pathway) in 
cell samples with and without the mutations.
The Western blot analysis will reveal:
* Whether the mutations have affected the phosphorylation of ERK1/2
* The extent of this effect, if any
By analyzing p-ERK1/2 levels, researchers can infer whether the Ras/MAPK pathway is active 
or inactive in cells with these mutations, and gain insights into the potential downstream 
consequences for cellular behavior.
</t>
  </si>
  <si>
    <t>Phosphorylation of both the threonine and tyrosine within this signature sequence is required for MAPK activation</t>
  </si>
  <si>
    <t>(Phosphate , Binds , Threonine)
 (Threonine , Phosphorylation , Phospho-Threonine)</t>
  </si>
  <si>
    <t>**Relations:** Activation, Requirement</t>
  </si>
  <si>
    <t>**Entity1:** Signature sequence ( likely a specific DNA or protein sequence)
**Entity2:** Phosphorylated MAPK (Mitogen-Activated Protein Kinase)
In this case, the researchers are studying the phosphorylation requirements for the 
activation of the MAPK pathway. The signature sequence refers to a specific amino acid motif 
(sequence) that is required for the phosphorylation and activation of MAPK.
The statement indicates that:
* Phosphorylation of both threonine and tyrosine residues within this signature sequence is 
necessary
* This dual phosphorylation event is required for the activation of MAPK
This suggests that the MAPK pathway can be regulated by the specific arrangement and 
modification of amino acids in its activation site, allowing researchers to target potential 
therapeutic interventions.</t>
  </si>
  <si>
    <t>Fructose 2,6-bisphosphate is formed by phosphorylation of fructose-6-phosphate by phosphofructokinase-2.</t>
  </si>
  <si>
    <t>(Phosphate , Binds , Fructose 6-phosphate)
 (Fructose 6-phosphate , Phosphorylation , Fructose 2,6-bisphosphate)</t>
  </si>
  <si>
    <t>**Relation:** Enzymatic reaction (phosphorylation)</t>
  </si>
  <si>
    <t>D-Glyceraldehyde enters glycolysis via phosphorylation to glyceraldehyde-3-phosphate catalyzed by triokinase.</t>
  </si>
  <si>
    <t>(Phosphate , Binds , D-Glyceraldehyde)
(D-Glyceraldehyde , Phosphorylation , glyceraldehyde-3-phosphate)</t>
  </si>
  <si>
    <t>**Relations:** Metabolic pathway, Phosphorylation (glycolysis)</t>
  </si>
  <si>
    <t>Galactokinase catalyzes the phosphorylation of galactose, using ATP as phosphate donor (Figure 20–6). Galactose-1-phosphate reacts with UDPGlc to form uridine diphosphate galactose (UDPGal) and glucose-1-phosphate, in a reaction catalyzed by galactose-1-phosphate uridyl transferase.</t>
  </si>
  <si>
    <t>(Phosphate , Binds , galactose)
 (galactose , Phosphorylation , Galactose-1-phosphate)</t>
  </si>
  <si>
    <t>**Relations:** Enzymatic reaction (phosphorylation), Metabolic pathway</t>
  </si>
  <si>
    <t>Phosphorylation of carbamate by the second ATP then forms carbamoyl phosphate.</t>
  </si>
  <si>
    <t>(Phosphate , Binds , Carbamate)
(Carbamate , Phosphorylation , carbamoyl phosphate)</t>
  </si>
  <si>
    <t>**Relation:** Chemical reaction (phosphorylation)</t>
  </si>
  <si>
    <t>Similarly, deoxycytidine kinase (EC 2.7.1.24 phosphorylates deoxycytidine and 2′- deoxyguanosine, forming dCMP and dGMP, respectively</t>
  </si>
  <si>
    <t>(Phosphate , Binds , deoxycytidine)
(deoxycytidine , Phosphorylation , dCMP) 
(Phosphate , Binds , deoxyguanosine)
(deoxyguanosine , Phosphorylation , dGMP)</t>
  </si>
  <si>
    <t>**Relation:** Enzyme activity, Phosphorylation (enzyme-mediated)</t>
  </si>
  <si>
    <t>Insulin and mitogenic growth polypeptides, or growth factors (eg, IGF-1, PDGF, interleukin-2, and angiotensin II) activate the PI3 kinase/AKT kinase signaling pathways, which activate the mTOR kinase, and results in the phosphorylation of 4E-BP. Phosphorylated 4E-BP dissociates from 4E, and the latter is then able to form the 4F complex and bind to the mRNA cap.</t>
  </si>
  <si>
    <t>(Phosphate , Binds , 4E-BP)
(4E-BP, Phosphorylation , 4E)</t>
  </si>
  <si>
    <t>**Relations:** Signal transduction, Phosphorylation, Regulation</t>
  </si>
  <si>
    <t>Optimal induction of NF-kB target genes also requires phosphorylation of NF-kB proteins, such as p65, within their transactivation domain by a variety of kinases in response to distinct
stimuli.</t>
  </si>
  <si>
    <t>(Optimal induction of NF-kB target genes, requires, phosphorylation of NF-kB proteins)
(Phosphate , Binds , Ser536 in p65 protein)
(IKKβ and  TBK1 and AKT, catalyze,  Phosphorylation Ser536 in p65 protein</t>
  </si>
  <si>
    <t>**Relation:** Optimal induction, Phosphorylation (protein modification)</t>
  </si>
  <si>
    <t>The ankyrin-containing and inhibitory molecule p105 is also subjected to TNFa and IKK-mediated phosphorylation on Ser927 and Ser932</t>
  </si>
  <si>
    <t>(Phosphate , Binds ,p105 at Ser927 and Ser932 )</t>
  </si>
  <si>
    <t>**Relations:** Post-translational modification, Phosphorylation</t>
  </si>
  <si>
    <t>In addition, glycogen synthase kinase 3b (GSK3b) phosphorylates p105 on Ser903 and Ser907 and stabilizes p105 by preventing its degradation in unstimulated cells</t>
  </si>
  <si>
    <t>(Phosphate , Binds , 4E-BP)
(GSK3b, phosphorylates, p105 at Ser903 and Ser907)
(GSK3b, stabilizes,  p105)</t>
  </si>
  <si>
    <t>**Relations:** Stabilization, Phosphorylation</t>
  </si>
  <si>
    <t>After stimulus-induced IkBa-degradation, activated PKA phosphorylates p65 on Ser276</t>
  </si>
  <si>
    <t>(Phosphate , Binds ,p65 at Ser276)
(PKA, catalyze, Phosphorylation Ser276 in p65 protein)</t>
  </si>
  <si>
    <t>Relation: Phosphorylation (protein modification)</t>
  </si>
  <si>
    <t>Ser276 of p65 is also phosphorylated by the mitogen- and stress-activated protein kinase-1 (MSK1) in the nucleus, and this phosphorylation is required for an optimal TNFa-mediated NF-kB activation</t>
  </si>
  <si>
    <t>(Phosphate , Binds ,p65 at Ser276)
(MSK1, catalyze, Phosphorylation Ser276 in p65 protein in nucleus</t>
  </si>
  <si>
    <t>Relations: Synthesis (protein modification), Requirement</t>
  </si>
  <si>
    <t>This can be identified as:
**Entity1:** Protein 65 (p65)
* Subunit: Nuclear factor kappa-light-chain-enhancer of activated B cells (NF-κB)
**Entity2:** Mitogen- and stress-activated protein kinase-1 (MSK1)
* Type of Kinase: Serine/Threonine Kinase
In this case, the researchers are studying a specific phosphorylation event that regulates 
NF-κB activation in response to TNFα (Tumor Necrosis Factor-alpha) signaling.
The statement indicates that:
* MSK1 is responsible for phosphorylating Ser276 of p65
* This phosphorylation event is required for optimal NF-κB activation
* TNFα-mediated NF-κB activation relies on this specific phosphorylation of p65
This suggests that the MSK1-p65 interaction plays a crucial role in regulating NF-κB 
transcription, and that alterations to this interaction may impact inflammatory responses or 
other cellular processes.</t>
  </si>
  <si>
    <t>Ser311 is another residue within the N-terminal Rel homology domain (RHD) domain that is targeted for phosphorylation by another kinase – protein kinase C (PKC)-z – in TNFa-stimulated cells</t>
  </si>
  <si>
    <t>(Phosphate , Binds , p65 at Ser311)
(PKC, catalyze, Phosphorylation Ser311 in p65 protein)</t>
  </si>
  <si>
    <t>IL-1b stimulation also triggers p65 phosphorylation within minutes in the cytoplasm and CK2 activity associated with this NF-kB protein has been reported and This cytoplasmic CKII activity is also associated with p65 upon TNFa stimulation and targets Ser529 of this substrate</t>
  </si>
  <si>
    <t>(Phosphate , Binds , p65 at Ser529)
(CKII, catalyze, Phosphorylation Ser311 in p65 protein)</t>
  </si>
  <si>
    <t>Relations: Synthesis (protein modification), Association</t>
  </si>
  <si>
    <t>TNFα is related to IL-1b, as both stimulate p65 phosphorylation.</t>
  </si>
  <si>
    <t>Phosphorylation of RelB at Thr84 and Ser552 in cells stimulated by 12-O-tetradecanoylphorbol 13-acetate and ionomycin triggers degradation of RelB via the proteasome pathway but, again, the identity of the kinase that phosphorylates RelB at these residues is unknown at present</t>
  </si>
  <si>
    <t>(Phosphate , Binds , RelB at Ser552 and Thr84)
(unknown enzyme, catalyze, Phosphorylation RelB at Ser552 and Thr84)</t>
  </si>
  <si>
    <t>Relations: Triggering, Degradation</t>
  </si>
  <si>
    <t>RelB is related to Proteasome.</t>
  </si>
  <si>
    <t>Indeed, PKA-mediated phosphorylation at Ser337, which is located within the Rel homology domain, enhances the p50 DNA-binding abilities</t>
  </si>
  <si>
    <t>(Phosphate , Binds , p50 at Ser337)
(PKA, catalyze, Phosphorylation p50 at Ser337)</t>
  </si>
  <si>
    <t>Relations: Synthesis (protein modification), Enhancement</t>
  </si>
  <si>
    <t>the relation between Entity1 (PKA) 
and Entity2 (p50) is a phospho-regulatory relationship.
Specifically, PKA-mediated phosphorylation of Ser337 in p50 appears to 
enhance its ability to bind to DNA. This suggests that the phosphorylation 
event regulates the activity of p50 by altering its binding properties to 
DNA.</t>
  </si>
  <si>
    <t>ERK1/2 primarily phosphorylates c-Fos for inflammatory cytokine production</t>
  </si>
  <si>
    <t>(ERK1, phosphorylates, c-Fos for inflammatory cytokine production)
(ERK2, phosphorylates, c-Fos for inflammatory cytokine production)</t>
  </si>
  <si>
    <t>c-Jun is primarily phosphorylated by JNK which also promotes the nuclear translocation of ATF4 to form heterodimers with c-Jun for AP-1 activation</t>
  </si>
  <si>
    <t>(JNK, phosphorylates, c-Jun)</t>
  </si>
  <si>
    <t>Relations: Synthesis (protein modification), Promotion</t>
  </si>
  <si>
    <t>JNK (Entity1) phosphorylates ATF4 (Entity2), leading to the activation 
of AP-1.</t>
  </si>
  <si>
    <t>p38 phosphorylates members of the myocyte-enhancer factor 2 (MEF2) family of transcription factors, MEF2A and MEF2C, downstream of activated TLRs to control anti-inflammatory IL-10 production [49] as well as stimulating expression of c-Jun, thereby influencing AP-1-mediated cytokine expression</t>
  </si>
  <si>
    <t>(p38, phosphorylates, MEF2A and MEF2C)</t>
  </si>
  <si>
    <t>Relations: Phosphorylation (protein modification), Downstream</t>
  </si>
  <si>
    <t>ERK2-mediated phosphorylation of PARP1 has been shown to control NF-κB transcriptional activation in response to TNF stimulation, indicating how ERK1/2 can play a role in NF-κB regulation in response to other inflammatory mediators.</t>
  </si>
  <si>
    <t>(ERK2,  phosphorylates, PAPR1)</t>
  </si>
  <si>
    <t>Relations: Synthesis (protein modification), Control</t>
  </si>
  <si>
    <t>regulatory relationship.
Specifically:
* ERK2 phosphorylates PARP1.
* This phosphorylation event controls NF-κB transcriptional activation in 
response to TNF stimulation.
* The phosphorylated PARP1 then regulates the activity of NF-κB, 
suggesting that ERK2-mediated phosphorylation of PARP1 is a key step in 
modulating NF-κB signaling.</t>
  </si>
  <si>
    <t>After liberation from p105, TPL2 directly phosphorylates MEK and thereby activates downstream ERK MAPK signalling</t>
  </si>
  <si>
    <t>(TLP2,  phosphorylates, MEK)</t>
  </si>
  <si>
    <t>This is initiated by phosphorylation of CARMA1 by activated PKCθ, which is required for its oligomerization and association with BCL10</t>
  </si>
  <si>
    <t>(PKCθ,  phosphorylates, CARMA1)</t>
  </si>
  <si>
    <t xml:space="preserve">
Here, the relation is that **PKCθ phosphorylates CARMA1**, triggering a 
series of events including oligomerization and association with BCL10.</t>
  </si>
  <si>
    <t>mTORC2 phosphorylates AKT at S473 and PKCθ at S660/676 to induce Th1 and Th2 differentiation respectively</t>
  </si>
  <si>
    <t>(mTORC2,  phosphorylates, AKT at Ser473)
 (mTORC2,  phosphorylates, PKCθ at Ser676 )
 (mTORC2,  phosphorylates, PKCθ at Ser660 )</t>
  </si>
  <si>
    <t>IL-2-inducible T cell kinase (ITK) is also associated with PIP3, and this kinase is important for phosphorylation and activation of PLCγ1.</t>
  </si>
  <si>
    <t>(IL-2-inducible T cell kinase (ITK),  phosphorylates, PLCG1(Phospholipase C gamma1))</t>
  </si>
  <si>
    <t>signaling 
pathway relationship.
Specifically:
* ITK is associated with PIP3 (phosphatidylinositol 3-phosphate).
* This association suggests that ITK interacts with or is activated by 
PIP3.
* The interaction between ITK and PIP3 then leads to the phosphorylation 
and activation of PLCγ1, a key enzyme in the phospholipase C (PLC) 
pathway.</t>
  </si>
  <si>
    <t>Upon TCR stimulation, SLP-76 gets phosphorylated by ZAP-70 at its multiple tyrosine residues, which serve as binding sites for various SH2 domain-containing proteins.</t>
  </si>
  <si>
    <t>(ZAP-70,  phosphorylates, SLP-76)</t>
  </si>
  <si>
    <t>Within the TNFR1 signaling complex I, the kinase TAK1 phosphorylates and activates IKK</t>
  </si>
  <si>
    <t>(TAK1 kinase,  phosphorylates, IKK)</t>
  </si>
  <si>
    <t>Relations: Synthesis (protein modification), Activation</t>
  </si>
  <si>
    <t>regulatory relationship.
Specifically:
* TAK1 phosphorylates and activates IKK.
* This activation event suggests that TAK1's kinase activity is required 
to activate IKK.
* The activated IKK can then proceed to phosphorylate and activate other 
components in the TNFR1 signaling complex, such as NF-κB.</t>
  </si>
  <si>
    <t>protein kinase RNA-like ER kinase (PERK), which reduces general protein synthesis by phosphorylation of eukaryotic initiation factor 2alpha (eIF2α) but also promotes enhanced translation of selected mRNAs including that encoding the transcription factor ATF4</t>
  </si>
  <si>
    <t>(PERK (protein kinase RNA-like ER kinase),  phosphorylates, eIF2α (eukaryotic initiation factor 2alpha))</t>
  </si>
  <si>
    <t>Neither has intrinsic kinase activity or is known to be phosphotylated by a membrane bound or cytoplasmic kinases, but recently murine TNFR-1 has been shown to be preferentially phosphorylated by mitogen activated protein kinase (MAPK) on Thr-236 and Ser-270  and humanTNFR-1 to be phosphorylated on Tyr-331</t>
  </si>
  <si>
    <t>(mitogen activated protein kinase (MAPK) ,  phosphorylates, humanTNFR-1 at Tyr331)</t>
  </si>
  <si>
    <t xml:space="preserve">Relations: Synthesis (protein modification), Preference
</t>
  </si>
  <si>
    <t xml:space="preserve"> signaling pathway 
relationship.
Specifically:
* MAPK phosphorylates Thr-236 and Ser-270 in murine TNFR-1.
* This phosphorylation event suggests that MAPK's kinase activity is 
required to modify the structure of murine TNFR-1.
* Additionally, phosphorylation on Tyr-331 in human TNFR-1 indicates a 
specific site of modification by MAPK.</t>
  </si>
  <si>
    <t>At the membrane, Akt/PKB is phosphorylated on two key residues: Thr308 (T308) of the activation loop by PDK1 and Ser473 (S473) in the hydrophobic motif of the C-terminal tail by a kinase whose identity has been elusive</t>
  </si>
  <si>
    <t>(PDK1 ,  phosphorylates, Akt/PKB at Thr308 and Ser473)</t>
  </si>
  <si>
    <t>* Phosphorylation relation between Akt/PKB and PDK1
* Unknown relation between Akt/PKB and another kinase</t>
  </si>
  <si>
    <t>Moreover, FAK phosphorylation is reduced in unloaded human skeletal muscle suggesting that it is a reasonable candidate for sensing mechanical loads</t>
  </si>
  <si>
    <t xml:space="preserve"> (Phosphate, binds, FAK)</t>
  </si>
  <si>
    <t>* No explicit relations mentioned; this sentence is making an argument or 
suggestion rather than describing a specific interaction.</t>
  </si>
  <si>
    <t>**Relation:** Phosphate (FAK phosphorylation) **is reduced** in unloaded 
human skeletal muscle.</t>
  </si>
  <si>
    <t>Akt phosphorylation was increased by 1.5-fold above rest immediately and 4 h after acute exercise in both the endurance and resistance modes</t>
  </si>
  <si>
    <t xml:space="preserve">(Phosphate,  binds, Akt)
</t>
  </si>
  <si>
    <t>* No explicit relations mentioned; this sentence is describing a 
measurement or observation rather than a specific interaction.</t>
  </si>
  <si>
    <t>**Relation:** Phosphate (Akt phosphorylation) **increased** above rest 
levels.</t>
  </si>
  <si>
    <t>Acute exercise before training in both modes of exercise increased p70S6K phosphorylation above resting values immediately after exercise</t>
  </si>
  <si>
    <t>(Phosphate, binds, p70S6K )</t>
  </si>
  <si>
    <t>**Relation:** Phosphate (p70S6K phosphorylation) **increased** above resting 
values.</t>
  </si>
  <si>
    <t>rpS6 phosphorylation was significantly increased by 1.8-fold 4 h after acute resistance exercise before training</t>
  </si>
  <si>
    <t>(Phosphate, binds, rpS6 )</t>
  </si>
  <si>
    <t>**Relation:** Phosphate (rpS6 phosphorylation) **increased** by a certain 
fold (1.8).</t>
  </si>
  <si>
    <t>In the untrained state, eIF4E phosphorylation did not change immediately after acute exercise in either mode</t>
  </si>
  <si>
    <t xml:space="preserve">(Phosphate, binds, eIF4E )
</t>
  </si>
  <si>
    <t>**Relation:** Phosphate (eIF4E phosphorylation) **did not change**, 
indicating no significant increase or decrease.</t>
  </si>
  <si>
    <t>AMPK phosphorylation increased by 6-fold immediately after acute exercise of both modes in both the untrained and trained states, but returned to baseline values by 4 h after exercise</t>
  </si>
  <si>
    <t xml:space="preserve">(Phosphate, binds, AMPK )
</t>
  </si>
  <si>
    <t>**Relation:** Phosphate (AMPK phosphorylation) **increased** by a certain 
fold (6), followed by a return to baseline values.</t>
  </si>
  <si>
    <t>After both modes of training resting FAK phosphorylation was significantly greater than before training</t>
  </si>
  <si>
    <t>(FAK ,  phosphorylation,significantly greater than before training  after both modes of training resting)</t>
  </si>
  <si>
    <t>FAK phosphorylation levels are reduced in unloaded human skeletal 
muscle.
* This suggests that FAK's activity or expression may be altered by 
mechanical loading, which could indicate its role in sensing or responding 
to changes in load.</t>
  </si>
  <si>
    <t>In the absence of a Wnt signal, GSK3 is active and phosphorylates Axin, and b-catenin.</t>
  </si>
  <si>
    <t>(GSK3 ,  phosphorylates, Axin)
 (GSK3 ,  phosphorylates, b-catenin)</t>
  </si>
  <si>
    <t>* Phosphorylation relation between GSK3 and Axin
* Phosphorylation relation between GSK3 and b-catenin</t>
  </si>
  <si>
    <t>Phosphorylation of a unique 572 amino acid sequence within the N2-B domain (N2-Bus) by cAMPdependent protein kinase (PK)A lowers passive stiffness in rat, bovine, and human myocardium via yet unknown mech anisms</t>
  </si>
  <si>
    <t>(cAMPdependent protein kinase,  phosphorylates, N2-B domain at 572 amino
acid sequence)</t>
  </si>
  <si>
    <t>* Phosphorylation relation between PKA and N2-Bus</t>
  </si>
  <si>
    <t>We wanted to know whether cGMP-activated PKG can phosphorylate titin in mammalian, particularly human, heart and whether this posttranslational modification can improve diastolic function by reducing titin-based stiffness.</t>
  </si>
  <si>
    <t>(cGMP-activated PKG,  phosphorylates, titin)</t>
  </si>
  <si>
    <t>* No explicit relations mentioned; this sentence is making a research 
question or hypothesis rather than describing a specific interaction.</t>
  </si>
  <si>
    <t>cGMP-activated PKG has the ability to phosphorylate titin.
* This phosphorylation event is being investigated in mammalian and human 
heart tissues.</t>
  </si>
  <si>
    <t>membrane binding of newly-synthesized PKC, binding of sphingosine to Rac-bound PAK, phosphorylation of p70S6 kinase and p90RSK by MAPK (and possibly other pathways), and binding of Rho to PRK.</t>
  </si>
  <si>
    <t>(MAPK,  phosphorylates,  p90RSK )
 (MAPK,  phosphorylates, p70S6 kinase)</t>
  </si>
  <si>
    <t>* Membrane binding: Newly-synthesized PKC binds to the plasma membrane.
* Activation of downstream targets:
	+ Sphingosine and Rac-bound PAK are involved in a signaling pathway 
initiated by this interaction.
	+ Phosphorylation of p70S6 kinase and p90RSK is activated by MAPK.
	+ Rho binding to PRK suggests another downstream target that may be 
activated or modulated by PKC.</t>
  </si>
  <si>
    <t>Interestingly, the hydrophobic motif of PKB/Akt has a very low affinity for PDK-1, and mounting evidence suggests that mechanisms other than docking to the hydrophobic site may determine the phosphorylation of PKB/Akt by PDK-1</t>
  </si>
  <si>
    <t>This suggests that Entity1 (PDK-1) phosphorylates Entity2 (PKB/Akt) 
through a mechanism that is not solely dependent on the hydrophobic motif 
binding.</t>
  </si>
  <si>
    <t>Furthermore, AMPK phosphorylates PGC1a directly both in vitro and in cells.</t>
  </si>
  <si>
    <t>(AMPK,  phosphorylates,  PGC1a )</t>
  </si>
  <si>
    <t>* Phosphorylation relation between AMPK and PGC1a</t>
  </si>
  <si>
    <t>These direct phosphorylations of the PGC1a protein at threonine-177 and serine-538 are required for the PGC1a dependent induction of the PGC1a promoter</t>
  </si>
  <si>
    <t>(AMPK,  phosphorylates,  PGC1a at threonine-177)
 (AMPK,  phosphorylates,  PGC1a at serine-538)</t>
  </si>
  <si>
    <t>* No explicit relations mentioned; this sentence is describing a process 
or mechanism rather than a specific interaction.</t>
  </si>
  <si>
    <t>Entity2 (PGC1α) undergoes a regulatory mechanism where:
* Phosphorylation at two specific sites (threonine-177 and serine-538) is 
necessary.
* These phosphorylations are required for the activation of the PGC1α 
promoter.</t>
  </si>
  <si>
    <t>fatty acid oxidation is acutely increased by phosphorylation of acetyl-CoA-carboxylase-2 (ACC-2) leading to a decrease in malonyl-CoA, an inhibitor of carnitine Opalmitoyltransferase-1.</t>
  </si>
  <si>
    <t>(acetyl-CoA-carboxylase-2,  phosphorylation,  decrease in malonyl-CoA )</t>
  </si>
  <si>
    <t>* Phosphorylation relation between ACC-2 and an unknown kinase</t>
  </si>
  <si>
    <t>The ability of CDC2 to phosphorylate Bcl-2 was confirmed by in vitro kinase assay with a highly purified CDC2-cyclin B complex.</t>
  </si>
  <si>
    <t>(CDC2,  phosphorylates,  Bcl-2)</t>
  </si>
  <si>
    <t>* Phosphorylation relation between CDC2 and Bcl-2</t>
  </si>
  <si>
    <t>To convincingly demonstrate that Bcl-2 is phosphorylated by CDC2, we carried out in vitro kinase assays using a highly purified CDC2-cyclin B complex. This complex efficiently phosphorylated histone H1, a specific substrate of CDC2 (27), in a dose-dependent manner, confirming that its activity is maintained in vitro</t>
  </si>
  <si>
    <t>( CDC2-cyclin B complex,  phosphorylates,  histone H1 )</t>
  </si>
  <si>
    <t>* Phosphorylation relation between CDC2 and histone H1</t>
  </si>
  <si>
    <t>LPS-induced SQSTM1 secretion requires SQSTM1 phosphorylation at Ser403, and this process is positively regulated by STING1/STING/TMEM173 (stimulator of interferon response cGAMP interactor 1)-dependent TBK1 (TANK binding kinase 1) activation.</t>
  </si>
  <si>
    <t>(TMEM173,  phosphorylates,  SQSTM1 at Ser403 )
 (STING,  phosphorylates,  SQSTM1 at Ser403 )
 (STING1,  phosphorylates,  SQSTM1 at Ser403 )</t>
  </si>
  <si>
    <t>* Requires ( causality )
* Positively regulated ( regulation )</t>
  </si>
  <si>
    <t>Entity2 (SQSTM1) is phosphorylated at a specific site 
(Ser403) by a signaling pathway involving:
* LPS (lipopolysaccharide) stimulation
* STING1/STING/TMEM173, which activates TBK1</t>
  </si>
  <si>
    <t>rSQSTM1-mediated phosphorylation of INSR causes subsequent phosphorylation of PLCG1 (phospholipase C gamma 1) and PTK2B/PYK2 (protein tyrosine kinase 2 beta), leading to the phosphorylation of RELA/p65 (RELA proto-oncogene, NF-kB subunit) during NFKB activation.</t>
  </si>
  <si>
    <t>( rSQSTM1,  phosphorylates,  INSR )
 (PTK2B/PYK2,  phosphorylates,  RELA/p65 )</t>
  </si>
  <si>
    <t>* Causes ( causality )
* Leading to ( consequence )</t>
  </si>
  <si>
    <t>rSQSTM1-mediated phosphorylation of INSR (insulin receptor)
* This leads to subsequent phosphorylation of PLCG1 and PTK2B/PYK2
* These phosphorylated proteins trigger the activation of RELA/p65 (a 
subunit of NF-κB) through NFKB signaling</t>
  </si>
  <si>
    <t>Activated TBK1, in turn, phosphorylates STING at Ser366 (unless otherwise indicated, we refer to the human protein sequence) in the CTT, which is part of a pLxIS motif (in which p represents the hydrophilic residue, x represents any residue and S represents the phosphorylation site) and which allows the STING–TBK1 complex to recruit IRF3</t>
  </si>
  <si>
    <t>(TBK1,  phosphorylates,  STING at Ser366 )</t>
  </si>
  <si>
    <t>* Phosphorylates ( causality )
* Allows ( permission )</t>
  </si>
  <si>
    <t>TBK1 then phosphorylates IRF3, enabling its dimerization, nuclear translocation and target gene induction.</t>
  </si>
  <si>
    <t>( TBK1,  phosphorylates,  IRF3 )</t>
  </si>
  <si>
    <t>* Then ( sequence )
* Enables ( consequence )</t>
  </si>
  <si>
    <t>This suggests that Entity2 (TBK1) plays a crucial role in the activation 
of the interferon response pathway</t>
  </si>
  <si>
    <t>In the present report, we investigated the effect of curcumin on constitutively active and IL-6-inducible STAT3 phosphorylation in MM cells.</t>
  </si>
  <si>
    <t>( IL-6-inducible STAT3,  phosphorylates,  MM cells )</t>
  </si>
  <si>
    <t>* Investigated ( investigation )</t>
  </si>
  <si>
    <t>Entity2 (STAT3) is being investigated for its 
activation status and potential regulation</t>
  </si>
  <si>
    <t>Our results show that IFN-alpha induced STAT1 phosphorylation, and curcumin suppressed the phosphorylation in a time-dependent manner</t>
  </si>
  <si>
    <t>(IFN-alpha,  phosphorylates,  STAT1 )</t>
  </si>
  <si>
    <t>* Show ( evidence )
* Suppressed ( causality )</t>
  </si>
  <si>
    <t>Entity2 (STAT1) is being phosphorylated in response to Interferon-alpha 
(IFN-alpha), indicating an immune response activation.</t>
  </si>
  <si>
    <t>Because IL-6 is a growth factor for MM and induces STAT3 phosphorylation</t>
  </si>
  <si>
    <t>(IL-6,  phosphorylates,  STAT3 )</t>
  </si>
  <si>
    <t>Cause-and-effect relationship (IL-6 causes STAT3 
phosphorylation)</t>
  </si>
  <si>
    <t>AG490 is considered to be an inhibitor of JAK2, a kinase that phosphorylates STAT3.</t>
  </si>
  <si>
    <t>(JAK2,  phosphorylates,  STAT3 )</t>
  </si>
  <si>
    <t>Cause-and-effect relationship (AG490 inhibits JAK2, 
which phosphorylates STAT3)</t>
  </si>
  <si>
    <t>Entity2 (JAK2) is a kinase responsible for phosphorylating Entity3 
(STAT3).
* AG490 is a compound that inhibits the activity of this kinase (JAK2).</t>
  </si>
  <si>
    <t>LLL12 specifically inhibited STAT3 phosphorylation, nuclear localization, DNA binding activity, down-regulated STAT3 downstream genes, and induced apoptosis in MM cells.</t>
  </si>
  <si>
    <t>( LLL12,  inhibit phosphorylation,  STAT3 )</t>
  </si>
  <si>
    <t>Multiple cause-and-effect 
relationships (LLL12 causes various effects on STAT3)</t>
  </si>
  <si>
    <t>**Relation:** LLL12 **inhibits** STAT3.
In other words, the relation is that LLL12 has an inhibitory effect on 
various activities of STAT3, including phosphorylation, nuclear 
localization, DNA binding activity, and downstream gene expression.</t>
  </si>
  <si>
    <t>LLL12 also inhibited STAT3 phosphorylation induced by interleukin-6 (IL-6) and interferon-a but not STAT1, STAT2, STAT4 and STAT6 phosphorylation induced by interferon-a, interferon-c and IL-4 indicating the selectivity of LLL12 for STAT3.</t>
  </si>
  <si>
    <t>(interferon-a,  induced phosphorylation,  STAT2)
 (interferon-c,  induced phosphorylation,  STAT2)
 (IL-4,  induced phosphorylation,  STAT2)
 (interferon-a,  induced phosphorylation, STAT4)
 (interferon-c,  induced phosphorylation, STAT4)
 (IL-4,  induced phosphorylation, STAT4)
 (interferon-a,  induced phosphorylation, STAT6)
 (interferon-c,  induced phosphorylation, STAT6)
 (IL-4,  induced phosphorylation, STAT6)</t>
  </si>
  <si>
    <t>Contrastive relationship (LLL12 inhibit)</t>
  </si>
  <si>
    <t>**Relations:**
1. Interferons (α and γ) **induce** STAT1, STAT2, STAT4, and STAT6 
phosphorylation.
2. Interleukin-6 (IL-6) **induces** STAT3 phosphorylation.
3. Interferon-a **induces** STAT3 phosphorylation.
4. LLL12 **inhibits** STAT3 phosphorylation induced by IL-6 and 
interferon-alpha.
In other words, the relations show that:
* Interferons can induce phosphorylation of various STAT proteins (STAT1, 2, 
4, and 6).
* IL-6 specifically induces STAT3 phosphorylation.
* LLL12 selectively inhibits only STAT3 phosphorylation induced by IL-6 or 
interferon-alpha.</t>
  </si>
  <si>
    <t>STAT3 activation occurs through phosphorylation of the tyrosine 705 (Tyr705) residue, leading to dimerization and translocation from the cytoplasm to the nucleus.</t>
  </si>
  <si>
    <t>(Tyr705 residue,  phosphorylation,   STAT3 activation )</t>
  </si>
  <si>
    <t>Cause-and-effect relationship (phosphorylation 
leads to activation and translocation)</t>
  </si>
  <si>
    <t>**Relation:** Tyr705 **is phosphorylated**, which leads to **activation** of 
STAT3.
In other words, the relation is that the phosphorylation of Tyr705 is a key 
event in the activation of STAT3, leading to dimerization and translocation 
to the nucleus.</t>
  </si>
  <si>
    <t>we demonstrate that TFAM is phosphorylated within its HMG box 1 (HMG1) by cAMP-dependent protein kinase in mitochondria</t>
  </si>
  <si>
    <t>(cAMP-dependent protein kinase,  phosphorylates,  TFAM )</t>
  </si>
  <si>
    <t>Cause-and-effect 
relationship (cAMP-dependent protein kinase phosphorylates TFAM)</t>
  </si>
  <si>
    <t>**Relation:** cAMP-dependent protein kinase **phosphorylates** TFAM.
In other words, the relation is that cAMP-dependent protein kinase, an 
enzyme, adds a phosphate group to TFAM (mitochondrial transcription factor 
A) within its HMG box 1 region.</t>
  </si>
  <si>
    <t>The PKA inhibitors H89 or KT5720 blocked phosphorylation of overexpressed TFAM at serine 55</t>
  </si>
  <si>
    <t>(PKA inhibitors H89 ,  blocked phosphorylation,  overexpressed TFAM at serine 55)
 (PKA inhibitors KT5720 ,  blocked phosphorylation,  overexpressed TFAM at serine 55)</t>
  </si>
  <si>
    <t>Cause-and-effect relationship (PKA 
inhibitors block phosphorylation)</t>
  </si>
  <si>
    <t>**Relation:** PKA inhibitors (H89 or KT5720) **block** phosphorylation of 
TFAM at serine 55.
In other words, the relation is that these specific inhibitors of protein 
kinase A (PKA) prevent the addition of a phosphate group to serine 55 on the 
transcription factor TFAM.</t>
  </si>
  <si>
    <t>The activity of PKAa was confirmed by its phosphorylation of histone deacetylase 8 (HDAC8) at serine 39</t>
  </si>
  <si>
    <t>(PKA alpha,  phosphorylates,  HDAC8 at ser39 )</t>
  </si>
  <si>
    <t>Cause-and-effect relationship (PKA 
phosphorylates HDAC8)</t>
  </si>
  <si>
    <t>**Relation:** PKAa **phosphorylates** HDAC8 at serine 39.
In other words, the relation is that the enzyme PKAa adds a phosphate group 
to the protein HDAC8 at a specific amino acid residue (serine 39).</t>
  </si>
  <si>
    <t>human Ago2 is phosphorylated at serine-387 leading to altered cellular localization</t>
  </si>
  <si>
    <t>(p38 MAPK,  phosphorylates,  human Ago2 ser387 )</t>
  </si>
  <si>
    <t>Cause-and-effect relationship (phosphorylation leads to 
altered location)</t>
  </si>
  <si>
    <t>**Relation:** p38 MAPK **phosphorylates** human Ago2 at serine-387.
In other words, the relation is that the enzyme p38 MAPK adds a phosphate 
group to the protein human Ago2 at the specific amino acid residue 
serine-387.</t>
  </si>
  <si>
    <t>Our findings suggest that BRD4-driven Pol II phosphorylation at serine 2 plays an important role in regulating lineage- specific gene transcription in human CD4+ T cells.</t>
  </si>
  <si>
    <t>(CDK9,  phosphorylates,  BRD4-driven Pol II at ser2 )</t>
  </si>
  <si>
    <t>Hypothetical relationship 
(BRD4-driven Pol II phosphorylation has a specific effect on gene 
transcription)</t>
  </si>
  <si>
    <t>**Relation:** CDK9 **phosphorylates** BRD4-driven PolII at serine 2.
In other words, the relation is that the enzyme CDK9 adds a phosphate group 
to the protein BRD4-driven Pol II at the specific amino acid residue serine 
2.</t>
  </si>
  <si>
    <t>Phosphorylation of serine 5 (Ser-5) in the C-terminal domain of RNA polymerase II (Pol II)3 is associated with initiation</t>
  </si>
  <si>
    <t>(CDK7,  phosphorylates,  C-terminal domain Pol II at Ser5 )</t>
  </si>
  <si>
    <t>Correlative 
relationship (phosphorylation is associated with initiation)</t>
  </si>
  <si>
    <t>**Relation:** CDK7 **phosphorylates** the C-terminal domain of Pol II at 
serine 5.
In other words, the relation is that the enzyme CDK7 adds a phosphate group 
to the protein RNA polymerase II (Pol II) at the specific amino acid residue 
serine 5 within its C-terminal domain.</t>
  </si>
  <si>
    <t>In response to postprandial increase in insulin, Akt phosphorylation of T308 and S473 correlated significantly with sites on TBC1D1 (T596) and TBC1D4 (S318, S341, S704).</t>
  </si>
  <si>
    <t>(increase in insulin,  induced phosphorylation,  Akt at Thr308 and Ser473  )</t>
  </si>
  <si>
    <t>Correlative relationship (phosphorylation 
correlates with specific sites)</t>
  </si>
  <si>
    <t>Exercise induced phosphorylation of TBC1D1 (S237, T596) that correlated significantly with activity of the α2/β2/γ3 AMPK trimer, whereas TBC1D4 phosphorylation (S341, S704) with exercise correlated with activity of the α2/β2/γ1 AMPK trime</t>
  </si>
  <si>
    <t>(exercise,  induced phosphorylation, TBC1D1 at Ser237 and Thr596)</t>
  </si>
  <si>
    <t>Correlative relationship 
(phosphorylation correlates with specific sites and AMPK activity)</t>
  </si>
  <si>
    <t>Phosphorylation of AMPK on T172 is essential for its activation and S221 on ACC is a well-established AMPK target</t>
  </si>
  <si>
    <t>(phosphorylation AMPK on Thr172,  activate, ACC on Ser221 )</t>
  </si>
  <si>
    <t>Cause-and-effect 
relationship (AMPK phosphorylation is necessary for activation)</t>
  </si>
  <si>
    <t>According to the text, there is an indirect relationship between the 
phosphorylation of:
1. **AMP-activated protein kinase (AMPK)**: specifically at Thr172 (T172), 
which is essential for its activation.
2. **Acetyl-CoA carboxylase (ACC)**: specifically at Ser221 (S221), which 
is a well-established target of AMPK.
In other words, the phosphorylation of AMPK at T172 leads to the 
phosphorylation of ACC at S221. This means that when AMPK is activated 
(through phosphorylation at T172), it then goes on to phosphorylate ACC at 
S221.</t>
  </si>
  <si>
    <t>Full activation of Akt requires phosphorylation of T308 and S473</t>
  </si>
  <si>
    <t>(Akt activation,  phosphorylation,  Akt at Thr308 and Ser473 )</t>
  </si>
  <si>
    <t>Cause-and-effect relationship (phosphorylation is required for full 
activation)</t>
  </si>
  <si>
    <t>In the fasted state, phosphorylation of T308 did not increase significantly with exercise</t>
  </si>
  <si>
    <t>(fasting state,  not increase phosphorylation,  Akt at Thr308 )</t>
  </si>
  <si>
    <t>Contrastive relationship (T308 
phosphorylation does not change in response to exercise under certain 
conditions)</t>
  </si>
  <si>
    <t>In the fed state, on the other hand, T308 phosphorylation was significantly increased in both the rested and exercised leg.</t>
  </si>
  <si>
    <t>(fed state in resting,  increase phosphorylation,  Akt at Thr308 )
 (fed state in exercise leg,  increase phosphorylation,  Akt at Thr308 )</t>
  </si>
  <si>
    <t>Cause-and-effect relationship (phosphorylation increases in response to 
exercise in a specific condition)</t>
  </si>
  <si>
    <t>Phosphorylation of AMPK at T172 correlates well with total AMPK kinase activity in human skeletal muscle during whole body exercise</t>
  </si>
  <si>
    <t>( human skeletal muscle activity, incuded  phosphorylation,  AMPK at Thr172 )</t>
  </si>
  <si>
    <t>Correlative 
relationship (phosphorylation correlates with AMPK activity)</t>
  </si>
  <si>
    <t>On the other hand, T596 phosphorylation was regulated by both exercise (70%) and physiological insulin (35%), and the two stimuli combined gave an additive response</t>
  </si>
  <si>
    <t>( T596 ,  phosphorylated by,  regulated by both exercise and physiological insulin )</t>
  </si>
  <si>
    <t xml:space="preserve"> Cause-and-effect relationship (phosphorylation is 
regulated by multiple factors)</t>
  </si>
  <si>
    <t>In addition, S660 has been shown to be phosphorylated in response to exercise in human skeletal muscle</t>
  </si>
  <si>
    <t>(S660,  phosphorylated in,  response to exercise )</t>
  </si>
  <si>
    <t>According to the text, there is a relationship between:
1. **Phosphorylation**: specifically at Serine 660 (S660) of an unknown 
protein (not specified).
2. **Exercise**: specifically in human skeletal muscle.
In other words, the text states that S660 is phosphorylated in response to 
exercise in human skeletal muscle. This suggests that there is a signaling 
pathway or mechanism triggered by exercise that leads to the 
phosphorylation of this specific residue (S660) on an unknown protein in 
human skeletal muscle.</t>
  </si>
  <si>
    <t>Here we show that both S660 and S700 are phosphorylated exclusively by exercise and not by physiological insulin in human skeletal muscle</t>
  </si>
  <si>
    <t>(S700,  phosphorylated,  exercise )
 (S660,  phosphorylated,  exercise )</t>
  </si>
  <si>
    <t>Cause-and-effect relationship (phosphorylation is exclusive to exercise)</t>
  </si>
  <si>
    <t>According to the text, there is a relationship between:
1. **S660** and **S700**: both of which are phosphorylated residues.
2. **Exercise**: specifically in human skeletal muscle.
The key takeaway from this sentence is that both S660 and S700 are 
phosphorylated as a result of exercise, but not by physiological insulin. 
This suggests that these two residues (S660 and S700) are targets of the 
exercise-induced signaling pathway in human skeletal muscle.
In other words, there is an association between the phosphorylation of 
S660 and S700 with exercise, indicating that they share a common upstream 
regulator or signaling mechanism triggered by physical activity.</t>
  </si>
  <si>
    <t>Recent studies have suggested that the enzymatic activity of DNMT1 is possibly modulated by phosphorylation of serine/threonine residues located in the N-terminal domain of the enzyme</t>
  </si>
  <si>
    <t>(DNMT1 activity, mudulated by  phosphorylation,  serine/threonine residues located in the N-terminal domain of the enzyme )</t>
  </si>
  <si>
    <t>Hypothetical relationship 
(phosphorylation may affect enzyme activity)</t>
  </si>
  <si>
    <t xml:space="preserve">
1. **DNMT1 activity**: specifically, the enzymatic activity of DNA 
methyltransferase 1 (DNMT1).
2. **Phosphorylation** of **serine/threonine residues**: located in the 
N-terminal domain of DNMT1.
The sentence suggests that the activity of DNMT1 is possibly modulated by 
the phosphorylation of specific serine and/or threonine residues within 
its N-terminal domain. In other words, there may be a regulatory mechanism 
that controls DNMT1's enzymatic activity by influencing the 
phosphorylation status of these serine/threonine residues.
This implies that there is an association between the phosphorylation 
state of these residues and the subsequent modulation of DNMT1's ability 
to methylate DNA.</t>
  </si>
  <si>
    <t>Our data suggest that phosphorylation of DNMT1 at Ser154 by CDKs is important for enzymatic activity and protein stability of DNMT1</t>
  </si>
  <si>
    <t>(CDKs,  phosphorylates,  DNMT1 at Ser154 )</t>
  </si>
  <si>
    <t>Cause-and-effect relationship (phosphorylation affects enzyme activity and 
stability)</t>
  </si>
  <si>
    <t>According to the text, there is a relationship between:
1. **CDKs** (Cyclin-Dependent Kinases): specifically, phosphorylation of 
DNMT1 by CDKs.
2. **DNMT1**: DNA methyltransferase 1.
The sentence suggests that CDKs play a role in regulating the enzymatic 
activity and protein stability of DNMT1 by phosphorylating Ser154 (S154) 
on DNMT1.
In other words, there is an association between the activity of CDKs and 
the modification of DNMT1 through phosphorylation at S154. This implies 
that CDKs may be involved in regulating the function or stability of 
DNMT1, which is important for DNA methylation processes.</t>
  </si>
  <si>
    <t>In the present work, we report that members of the cyclin-dependent kinase (CDK) family, including CDK1, 2 and 5, can phosphorylate human DNMT1 at Ser154.</t>
  </si>
  <si>
    <t>(CDK1, phosphorylates, DNMT1 at Ser154)
(CDK2, phosphorylates, DNMT1 at Ser154)
(CDK5, phosphorylates, DNMT1 at Ser154)</t>
  </si>
  <si>
    <t>Cause-and-effect relationship (CDKs phosphorylate DNMT1)</t>
  </si>
  <si>
    <t>According to the text, there is a relationship between:
1. **CDKs** (Cyclin-Dependent Kinases): specifically, members of the CDK 
family (including CDK1, 2, and 5).
2. **DNMT1**: human DNA methyltransferase 1.
The sentence suggests that members of the CDK family can phosphorylate 
DNMT1 at Ser154 (S154). In other words, there is an association between 
the activity of CDKs (CDK1, 2, and 5) and the modification of DNMT1 
through phosphorylation at S154. This implies that CDKs are capable of 
regulating or modulating the function of DNMT1 by phosphorylating it at 
this specific site.</t>
  </si>
  <si>
    <t>After this key step, Dbf4-dependent kinase (DDK) and cyclin-dependent kinases (Cdks) phosphorylate MCM2–7, leading to the recruitment of Cdc45 and GINS (Go, Ichi, Ni, and San) to form the CMG (Cdc45–MCMs–GINS) replicative helicase complex</t>
  </si>
  <si>
    <t>(DDK, phosphorylates, MCM2–7)
(Cdks, phosphorylates, MCM2–7)
(MCM2–7, recruits, GINS)
(MCM2–7, recruits, Cdc45)</t>
  </si>
  <si>
    <t>* Because ( consequence )
* Leading to ( consequence )</t>
  </si>
  <si>
    <t>After a crucial step in DNA replication, Entity3 (DDK) and Entity4 
(Cdks) phosphorylate Entity5 (MCM2-7), which is part of the 
pre-replicative complex.</t>
  </si>
  <si>
    <t>In general, Cdc7 phosphorylation of MCMs is essential for the initiation of DNA replication</t>
  </si>
  <si>
    <t>(Cdc7, phosphorylates, MCMs)
(MCMs, essential for, DNA replication)</t>
  </si>
  <si>
    <t>* Is essential ( necessity )</t>
  </si>
  <si>
    <t>Entity2 (Cdc7) plays a crucial role in the initiation 
of DNA replication by:
* Phosphorylating Entity3 (MCMs), which are part of the pre-replicative 
complex.</t>
  </si>
  <si>
    <t>Cdk2/CycE phosphorylation of MCM3 Thr-722 promoted its chromatin loading</t>
  </si>
  <si>
    <t>(Cdk2, phosphorylates, MCM3 at Thr722)
(CycE, phosphorylates, MCM3 at Thr722)
(MCM3 at Thr722, promotes, chromatin loading)</t>
  </si>
  <si>
    <t>* Phosphorylated ( causality )
* Promoted ( consequence )</t>
  </si>
  <si>
    <t>it was found that both Cdk2/CycE and Cdk1/CycB phosphorylate MCM7 at Ser-121</t>
  </si>
  <si>
    <t>(Cdk2, phosphorylates, MCM7 at Ser-121)
(CycE, phosphorylates, MCM7 at Ser-121)
(Cdk1, phosphorylates, MCM7 at Ser-121)
(CycB, phosphorylates, MCM7 at Ser-121)</t>
  </si>
  <si>
    <t>* Was found ( discovery )
* Phosphorylated ( causality )</t>
  </si>
  <si>
    <t>Similarly, Cdk1/2-dependent phosphorylation of MCM4 at multiple sites decreases the binding of MCM complex to DNA, avoiding re-replication during mitosis</t>
  </si>
  <si>
    <t>(Cdk1/2, phosphorylates, MCM4)
(Phosphorylated MCM4, decreases, MCM complex binding to DNA)</t>
  </si>
  <si>
    <t>* Similarly ( analogy )
* Dependent ( relationship )</t>
  </si>
  <si>
    <t>Entity4 (Cdk1/2) plays a role in:
* Phosphorylating Entity3 (MCM4) at multiple sites.</t>
  </si>
  <si>
    <t>Interestingly, studies on the nuclear localization of chromatin-bound MCM4, phosphorylated at the Ser-3 and Ser-32 by Cdk2, showed that the nuclear localization was not generally colocalized with replicating DNA</t>
  </si>
  <si>
    <t>(Cdk2, phosphorylates, MCM4 at Ser-32)
(Cdk2, phosphorylates, MCM4 at Ser-3)
(Nuclear-localized MCM4, not colocalized with, Replicating DNA)</t>
  </si>
  <si>
    <t>* Cause-and-effect: The studies on nuclear localization found a certain 
property (non-colocalization with replicating DNA), which is caused by the 
phosphorylation of MCM4.
* Agent-action-patient: Cdk2 is the agent that performs the action of 
phosphorylating MCM4 at Ser-3 and Ser-32, and MCM4 is the patient that 
undergoes phosphorylation.</t>
  </si>
  <si>
    <t>Entity4 (Cdk2) is responsible for phosphorylating 
Entity3 (MCM4) at specific sites (Ser-3 and Ser-32)</t>
  </si>
  <si>
    <t>It was suggested by Shi et al. that ATM phosphorylated human MCM3 C-terminal at Ser-728, in response to DNA damage.</t>
  </si>
  <si>
    <t>(ATM, phosphorylates, MCM3 at Ser728)</t>
  </si>
  <si>
    <t>* Cause-and-effect: The ATM enzyme phosphorylated human MCM3 in response 
to DNA damage, which suggests a causal relationship between the two 
events.
* Agent-action-patient: ATM is the agent that performs the action 
of phosphorylating human MCM3 at Ser-728, and human MCM3 is the patient 
that undergoes phosphorylation.</t>
  </si>
  <si>
    <t>**Relation:** ATM **phosphorylates** Ser-728 on human MCM3's C-terminal.
In other words, the relation is a direct modification of a specific amino 
acid (Ser-728) by the enzyme ATM.</t>
  </si>
  <si>
    <t>Whereas ATR phosphorylated MCM2 at Ser-108 in response to multiple forms of DNA damage and stalling of replication forks including: IR, UV light, HU, and polyamides</t>
  </si>
  <si>
    <t>(ATR, phosphorylates, MCM2 at Ser108)
(Phosphorylation of MCM2 at Ser108, occurs in response to, DNA damage, stalling of replication forks)</t>
  </si>
  <si>
    <t>* Cause-and-effect: ATR phosphorylated MCM2 in response to multiple forms 
of DNA damage and stalling of replication forks, which suggests a causal 
relationship between the two events.
* Agent-action-patient: ATR is the agent that performs the action of 
phosphorylating MCM2 at Ser-108, and MCM2 is the patient that undergoes 
phosphorylation.</t>
  </si>
  <si>
    <t>Phosphorylates Entity3 (MCM2) at specific site (Ser-108).</t>
  </si>
  <si>
    <t>MCM7 phosphorylation at Tyr-600 mediated by epidermal growth factor receptor (EGFR)-p56Lyn-axis promotes MCM complex assembly and chromatin loading, consequently enhancing DNA synthesis and cancer cell proliferation</t>
  </si>
  <si>
    <t>(EGFR-p56Lyn-axis, mediates phosphorylation of, MCM7 at Tyr600)
(Phosphorylated MCM7, promotes, MCM complex assembly, chromatin loading)
(MCM complex assembly and chromatin loading, enhances, DNA synthesis, cancer cell proliferation)</t>
  </si>
  <si>
    <t>* Mediated by ( relationship )
* Promotes ( consequence )</t>
  </si>
  <si>
    <t>Entity3 (MCM7) is phosphorylated at specific site 
(Tyr-600) in a signaling pathway</t>
  </si>
  <si>
    <t>MCM3 was reported to be phosphorylated by death-associated protein kinase (DAPK) at Ser-160</t>
  </si>
  <si>
    <t>(DAPK, phosphorylates, MCM3 at Ser160)</t>
  </si>
  <si>
    <t>* Cause-and-effect: The verb "was reported to be" suggests that MCM3 was 
found to have a certain property (phosphorylation), which is caused by 
DAPK.
* Agent-action-patient: DAPK is the agent that performs the action of 
phosphorylating MCM23, and MCM3 is the patient that undergoes 
phosphorylation.</t>
  </si>
  <si>
    <t>Entity3 (MCM3) is a substrate for Entity5 (DAPK), 
specifically:
* Phosphorylation of Entity3 (MCM3) at specific site (Ser-160)</t>
  </si>
  <si>
    <t>MCM4 was phosphorylated by Epstein–Barr virus-encoded protein kinase (EBV-PK) at Thr-19 and Thr-110</t>
  </si>
  <si>
    <t>(EBV-PK, phosphorylates, MCM4 at Thr-110)
(EBV-PK, phosphorylates, MCM4 at Thr-19)</t>
  </si>
  <si>
    <t>* Cause-and-effect: The verb "was phosphorylated" suggests that MCM4 had a 
certain property (phosphorylation) caused by EBV-PK.
* Agent-action-patient: EBV-PK is the agent that performs the action of 
phosphorylating MCM4, and MCM4 is the patient that undergoes 
phosphorylation.</t>
  </si>
  <si>
    <t xml:space="preserve">Entity3 (MCM4) is a substrate for Entity6 (EBV-PK), 
specifically:
* Phosphorylation of Entity3 (MCM4) at two specific sites:
	+ Thr-19
	+ Thr-110
</t>
  </si>
  <si>
    <t>SIK1-dependent MCM2 phosphorylation, mediated by Sld5, is required for MCM helicase activity, but it does not affect the chromatin association of MCM2</t>
  </si>
  <si>
    <t>(SIK1, phosphorylates, MCM2)
(Phosphorylation of MCM2, required for, MCM helicase activity)</t>
  </si>
  <si>
    <t>* Is required ( necessity )
* Does not affect ( negation )</t>
  </si>
  <si>
    <t>Entity3 (MCM2) undergoes:
* Phosphorylation-mediated activation of its helicase activity</t>
  </si>
  <si>
    <t>Here we show that c-Src phosphorylates human HNF4α on three tyrosines in an interdependent and isoform-specific fashion.</t>
  </si>
  <si>
    <t>(c-Src, phosphorylates, HNF4a on three tyrosines)</t>
  </si>
  <si>
    <t xml:space="preserve">
* Show ( evidence )
* Phosphorylated ( causality )</t>
  </si>
  <si>
    <t>We also show that the phosphorylation is influenced by the SH2 and SH3 domains of Src and by SNPs in HNF4α.</t>
  </si>
  <si>
    <t>(Phosphorylation of HNF4a, influenced by, SNPs in HNF4a)
(Phosphorylation of HNF4a, influenced by, SH2 and SH3 domains of Src)</t>
  </si>
  <si>
    <t>* Is influenced by ( relationship )</t>
  </si>
  <si>
    <t xml:space="preserve"> the phosphorylation event on Entity3 (MCM) protein is 
regulated by:
* The SH2 and SH3 domains of Src kinase</t>
  </si>
  <si>
    <t>Phosphorylation of Nrf2 at Ser-40 through a PKCbased mechanism has been reported to play a critical role in the dissociation of Nrf2 from Keap1, an negative regulator of Nrf2</t>
  </si>
  <si>
    <t>(PKC, phosphorylates, Nrf2 at Ser40)</t>
  </si>
  <si>
    <t>* Has been reported ( discovery )
* Play ( consequence )</t>
  </si>
  <si>
    <t>the phosphorylation event on Nrf2 is mediated by:
* A PKC (Protein Kinase C)-dependen</t>
  </si>
  <si>
    <t>The C-terminus of ubiquitin is initially activated by being linked via a high-energy thioester bond to a cysteine side chain on the E1 protein. This reaction requires ATP, and it proceeds via a covalent AMP–ubiquitin intermediate.</t>
  </si>
  <si>
    <t>(C-terminus of ubiquitin, binds to, cysteine side chain on E1 protein)</t>
  </si>
  <si>
    <t>The relation in this sentence is one of causality or enabling, specifically:
"The C-terminus of ubiquitin is initially activated" → "by being linked... to a cysteine side chain on the E1 protein."
In other words, the activation of the C-terminus of ubiquitin (the effect) is caused by its linkage to the E1 protein 
(the cause).</t>
  </si>
  <si>
    <t>The relation between the C-terminus of ubiquitin and the cysteine side chain on the E1 protein is one of bonding or 
connection:
"...by being linked via a high-energy thioester bond..."
In other words, the C-terminus of ubiquitin is linked to the cysteine side chain on the E1 protein through a chemical 
bond (thioester bond).</t>
  </si>
  <si>
    <t>The activated ubiquitin on E1, also known as the ubiquitin-activating enzyme, is then transferred to the cysteine on an E2 molecule.</t>
  </si>
  <si>
    <t>(activated ubiquitin on E1, binds to, cysteine on E2)</t>
  </si>
  <si>
    <t>The relation between the activated ubiquitin and the cysteine on an E2 molecule is one of transfer or passing:
"...is then transferred to the cysteine on an E2 molecule."
In other words, the activated ubiquitin (the source) is given or passed to the cysteine on the E2 molecule (the 
destination).</t>
  </si>
  <si>
    <t>The relation between the activated ubiquitin on E1 and the cysteine on E2 is one of bonding or connection:
"...is then transferred to the cysteine..."
In other words, the activated ubiquitin (the source) becomes linked or attached to the cysteine on the E2 molecule (the 
destination).</t>
  </si>
  <si>
    <t>the activity of a ubiquitin ligase is turned on either by E3 phosphorylation or by an allosteric transition in an E3 protein caused by its binding to a specific small or large molecule.</t>
  </si>
  <si>
    <t>(Ubiquitin ligase, activated by, E3 phosphorylation)
(Ubiquitin ligase, activated by, allosteric transition in E3 protein)</t>
  </si>
  <si>
    <t>The relations between "ubiquitin ligase", "E3 phosphorylation", and "allosteric transition" are:
* "...the activity of a ubiquitin ligase is turned on either by..." : This indicates that the activity of the ubiquitin 
ligase (the dependent variable) depends on or is regulated by two factors: E3 phosphorylation and allosteric transition.
The relation between "E3 phosphorylation" and "allosteric transition" is:
* "...or by an allosteric transition in an E3 protein caused by..." : This indicates that the allosteric transition in 
the E3 protein (the effect) is caused by its binding to a specific small or large molecule (the cause).
In other words, the activity of the ubiquitin ligase can be turned on either through phosphorylation of the E3 or 
through an allosteric transition in the E3 protein that occurs when it binds to a specific molecule.</t>
  </si>
  <si>
    <t>The relation between "ubiquitin ligase" and "E3 phosphorylation" is one of causality or enabling:
"...the activity of a ubiquitin ligase is turned on either by E3 phosphorylation..."
In other words, the activity of the ubiquitin ligase (the effect) is caused or enabled by E3 phosphorylation (the cause).</t>
  </si>
  <si>
    <t>For example, the anaphase-promoting complex/cyclosome (APC/C) is a multisubunit ubiquitin ligase that is activated by a cell-cycle-timed subunit addition at mitosis.</t>
  </si>
  <si>
    <t>(APC/C, activated by, cell-cycle-timed subunit addition at mitosis)</t>
  </si>
  <si>
    <t>The relations between "APC/C" and "subunit addition" are:
* "...is activated by..." : This indicates that the activation of APC/C (the dependent variable) is caused by or 
dependent on the subunit addition (the independent variable).
In other words, the subunit addition at mitosis enables or activates the APC/C.</t>
  </si>
  <si>
    <t>Not all proteins that bind to activated RTKs via SH2 domains help to relay the signal onward. Some act to decrease the signaling process, providing negative feedback. One example is the c-Cbl protein, which can dock on some activated receptors and catalyze their ubiquitylation, covalently adding one or more ubiqui- tin molecules to specific sites on the receptor.</t>
  </si>
  <si>
    <t>(c-Cbl, binds to, RTKs via SH2 domain)
(c-Cbl, catalyze ubiquitylation of, RTKs)</t>
  </si>
  <si>
    <t>The relations between "c-Cbl protein" and "activated receptors" are:
* "...can dock on some activated receptors..." : This indicates that the c-Cbl protein (the agent) forms a physical 
connection with the activated receptors (the target).
In other words, the c-Cbl protein binds to or docks onto the activated receptors.
The relation between "c-Cbl protein" and "ubiquitylation" is:
* "...which can catalyze their ubiquitylation..." : This indicates that the c-Cbl protein (the catalyst) facilitates a 
chemical reaction (ubiquitylation) on the activated receptors (the substrate).
In other words, the c-Cbl protein promotes or causes the addition of ubiquitin molecules to specific sites on the 
receptor.</t>
  </si>
  <si>
    <t>Smad7 (and possibly Smad6) binds to the cytosolic tail of the activated receptor and inhibits its signaling ability in at least three ways: (1) it competes with R-Smads for binding sites on the receptor, decreasing R-Smad phosphorylation; (2) it recruits a ubiquitin ligase called Smurf, which ubiquitylates the receptor, leading to receptor internalization and degradation (it is because Smurfs also ubiquitylate and promote the degradation of Smads that they are called Smad ubiquitylation regulatory factors, or Smurfs); and (3) it recruits a protein phosphatase that dephosphorylates and inactivates the recep- tor. In addition, the inhibitory Smads bind to the co-Smad, Smad4, and inhibit it, either by preventing its binding to R-Smads or by promoting its ubiquitylation and degradation.</t>
  </si>
  <si>
    <t>(Smad7, binds to, cytosolic tail of TGFβ receptors)
(Smad6, binds to, cytosolic tail of TGFβ receptors)
(TGFβ receptors, ubiquitylated by, Smurf)
(Smad, ubiquitylated by, Smurf)
(Smad7, binds to, co-Smad)
(Smad7, binds to, Smad4)
(Smad4, ubiquitylated by, Smad7)
(co-Smad, ubiquitylated by, Smad7)
(Smad6, binds to, co-Smad)
(Smad6, binds to, Smad4)
(Smad4, ubiquitylated by, Smad6)
(co-Smad, ubiquitylated by, Smad6)</t>
  </si>
  <si>
    <t>The relations between "Smad7" and the various entities mentioned are:
* "...binds to the cytosolic tail of the activated receptor..." : This indicates that Smad7 (the agent) forms a physical 
connection with the activated receptor (the target).
In other words, Smad7 binds to the cytosolic tail of the activated receptor.
The relations between "Smad7" and "R-Smads" are:
* "...it competes with R-Smads for binding sites on the receptor..." : This indicates that Smad7 (the competitor) vies 
with R-Smads (the competitors) for access to the same binding sites on the receptor.
In other words, Smad7 and R-Smads compete for the same binding sites on the receptor, which affects their ability to 
bind and phosphorylate.
The relation between "Smad7" and "Smurf" is:
* "...it recruits a ubiquitin ligase called Smurf..." : This indicates that Smad7 (the recruiter) brings or attracts 
Smurf (the recruited entity) to the scene, likely for a specific function or activity.
In other words, Smad7 interacts with Smurf to facilitate its activity, such as ubiquitylating the receptor.
The relations between "Smad7" and "protein phosphatase" are:
* "...it recruits a protein phosphatase that dephosphorylates and inactivates the receptor..." : This indicates that 
Smad7 (the recruiter) brings or attracts a protein phosphatase (the recruited entity) to the scene, likely for a 
specific function or activity.
In other words, Smad7 interacts with a protein phosphatase to facilitate its activity, which dephosphorylates and 
inactivates the receptor.
The relation between "Smad7" and "Smad4" is:
* "...the inhibitory Smads bind to the co-Smad, Smad4..." : This indicates that Smad7 (the agent) forms a physical 
connection with Smad4 (the target).
In other words, Smad7 binds to Smad4.
The relations between "Smad7" and "inhibit" are:
* "...it inhibits it..." : This indicates that Smad7 (the inhibitor) prevents or blocks the activity of Smad4 (the 
inhibited entity), either by preventing its binding to R-Smads or by promoting its ubiquitylation and degradation.
In other words, Smad7 inhibits Smad4 by interfering with its normal function.</t>
  </si>
  <si>
    <t>The complex contains at least four other proteins, including a protein kinase called casein kinase 1 (CK1), which phosphorylates the β-catenin on a serine, priming it for further phosphorylation by another protein kinase called glycogen synthase kinase 3 (GSK3). This final phosphorylation marks the protein for ubiquitylation and rapid degradation in proteasomes.</t>
  </si>
  <si>
    <t>(CK1, phosphorylates, β-catenin on a serine)
(GSK3, phosphorylates, β-catenin on a serine)
(Phosphorylated β-catenin, ubiquitylated by, proteasome)</t>
  </si>
  <si>
    <t>The relations between "CK1" and "β-catenin" are:
* "...which phosphorylates the β-catenin..." : This indicates that CK1 (the agent) performs a chemical reaction 
(phosphorylation) on β-catenin (the substrate).
In other words, CK1 phosphorylates β-catenin.
The relation between "CK1" and "priming" is:
* "...priming it for further phosphorylation..." : This indicates that the action of CK1 prepares or sets the stage for 
a subsequent event (further phosphorylation) by another agent.
In other words, CK1 primes β-catenin for further phosphorylation.
The relation between "GSK3" and "β-catenin" is:
* "...by another protein kinase called glycogen synthase kinase 3 (GSK3)" : This indicates that GSK3 (the agent) 
performs a chemical reaction (phosphorylation) on β-catenin (the substrate).
In other words, GSK3 phosphorylates β-catenin.
The relation between "GSK3" and "ubiquitylation" is:
* "...this final phosphorylation marks the protein for ubiquitylation..." : This indicates that the action of GSK3 leads 
to a consequence (marking the protein for ubiquitylation) that affects the subsequent fate of β-catenin.
In other words, the final phosphorylation by GSK3 triggers the marking of β-catenin for ubiquitylation.</t>
  </si>
  <si>
    <t>The binding of TNFα causes a rearrangement of the clustered cytosolic tails of the receptors, which now recruit various signaling proteins, resulting in the activation of a protein kinase that phosphorylates and activates IκB kinase kinase (IKK). IKK is a heterotrimer composed of two kinase subunits (IKKα and IKKβ) and a regulatory subunit called NEMO. IKKβ then phosphorylates IκB on two serines, which marks the protein for ubiquitylation and degradation in proteasomes.</t>
  </si>
  <si>
    <t>(IKKβ, phosphorylates, IκB)</t>
  </si>
  <si>
    <t>The relations between "TNFα" and "receptors" are:
* "...the binding of TNFα causes a rearrangement..." : This indicates that the action of TNFα (the agent) brings about a 
change or effect on the receptors (the affected entity).
In other words, TNFα binding causes a rearrangement of the cytosolic tails of the receptors.
The relation between "receptors" and "signaling proteins" is:
* "...which now recruit various signaling proteins..." : This indicates that the rearranged receptors (the recruiters) 
bring or attract various signaling proteins (the recruited entities).
In other words, the rearranged receptors recruit various signaling proteins.
The relation between "IKK" and "phosphorylates" is:
* "...resulting in the activation of a protein kinase that phosphorylates..." : This indicates that the action of the 
signaling proteins leads to the activation of IKK (the agent), which then performs a chemical reaction 
(phosphorylation).
In other words, the activated IKK phosphorylates something.
The relation between "IKK" and "IκB" is:
* "...IKKβ then phosphorylates IκB on two serines..." : This indicates that IKKβ (the agent) performs a chemical 
reaction (phosphorylation) on IκB (the substrate).
In other words, IKKβ phosphorylates IκB.
The relation between "IκB" and "ubiquitylation" is:
* "...which marks the protein for ubiquitylation..." : This indicates that the phosphorylation of IκB by IKKβ brings 
about a consequence that affects the subsequent fate of IκB, specifically marking it for ubiquitylation.
In other words, the phosphorylation of IκB marks it for ubiquitylation and degradation.</t>
  </si>
  <si>
    <t>active CTR1 stimulates the ubiquitylation and degradation in proteasomes of a nuclear transcription regulator called EIN3, which is required for the transcription of ethylene-responsive genes.</t>
  </si>
  <si>
    <t>(EIN3, ubiquitylated by, active CTR1)</t>
  </si>
  <si>
    <t>The relations between "CTR1" and "EIN3" are:
* "...active CTR1 stimulates..." : This indicates that active CTR1 (the agent) brings about an effect on EIN3 (the 
affected entity).
In other words, active CTR1 stimulates the process of ubiquitylation and degradation.
The relation between "EIN3" and "ubiquitylation" is:
* "...the ubiquitylation..." : This indicates that EIN3 (the substrate) undergoes a chemical reaction (ubiquitylation).
In other words, EIN3 is ubiquitylated.
The relation between "EIN3" and "degradation" is:
* "...and degradation..." : This indicates that the ubiquitylation of EIN3 leads to its degradation in proteasomes.
In other words, ubiquitylated EIN3 is degraded in proteasomes.</t>
  </si>
  <si>
    <t>The relation between "CTR1" and "EIN3" in this sentence is:
* "...active CTR1 stimulates the ubiquitylation and degradation... of EIN3..." : This indicates that active CTR1 (the 
agent) brings about an effect on EIN3 (the affected entity).
In other words, active CTR1 causes or triggers the ubiquitylation and degradation of EIN3.</t>
  </si>
  <si>
    <t>The auxin receptor proteins are located mainly in the nucleus. When activated by auxin binding, the receptor– auxin complex recruits a ubiquitin ligase, which ubiquitylates the Aux/IAA protein, marking it for degradation in proteasomes. ARF is now free to activate the transcription of auxin-responsive genes.</t>
  </si>
  <si>
    <t>(Aux/IAA protein, ubiquitylated by, activated receptor-auxin complex)</t>
  </si>
  <si>
    <t>The relations between "auxin receptor proteins" and "nucleus" are:
* "...are located mainly in the nucleus..." : This indicates that the auxin receptor proteins (the entities) are found 
or situated in the nucleus (the location).
In other words, the auxin receptor proteins are primarily localized to the nucleus.
The relation between "receptor–auxin complex" and "ubiquitin ligase" is:
* "...recruits a ubiquitin ligase..." : This indicates that the activated receptor–auxin complex (the recruiter) brings 
or attracts a ubiquitin ligase (the recruited entity).
In other words, the activated receptor–auxin complex recruits a ubiquitin ligase.
The relation between "ubiquitin ligase" and "Aux/IAA protein" is:
* "...which ubiquitylates the Aux/IAA protein..." : This indicates that the ubiquitin ligase (the agent) performs a 
chemical reaction (ubiquitylation) on the Aux/IAA protein (the substrate).
In other words, the ubiquitin ligase ubiquitylates the Aux/IAA protein.
The relation between "Aux/IAA protein" and "degradation" is:
* "...marking it for degradation in proteasomes..." : This indicates that the ubiquitylation of the Aux/IAA protein 
leads to its marking or preparation for degradation in proteasomes.
In other words, the ubiquitylated Aux/IAA protein is marked for degradation in proteasomes.</t>
  </si>
  <si>
    <t>First, a protein called geminin is labeled with a green fluorescent protein. This protein is targeted for degradation by the APC/C, a ubiquitin ligase that is active from metaphase to the end of G1 (as discussed later). Thus, the green fluorescence of this protein is seen from early S phase to mid-mitosis. A second protein, called Cdt1, is tagged with a red fluorescent protein. This protein is targeted for ubiquitylation and destruction from late G1 to telophase of mitosis.</t>
  </si>
  <si>
    <t>(Cdt1, ubiquitylated by, ubiquitin ligase APC/C)</t>
  </si>
  <si>
    <t>The relation between "APC/C" and "Cdt1" is:
* "...targeted for ubiquitylation and destruction from late G1 to telophase of mitosis..." : This indicates that APC/C 
(the agent) targets Cdt1 (the substrate) for ubiquitylation and destruction, specifically during the time period 
specified.
In other words, APC/C ubiquitinates and degrades Cdt1 from late G1 to telophase of mitosis.</t>
  </si>
  <si>
    <t>The APC/C catalyzes the ubiquitylation and destruction of two major proteins. The first is securin; its destruction in metaphase activates a protease that separates the sister-chromatid pairs and unleashes anaphase, as described later. The S- and M-cyclins are the second major targets of the APC/C.</t>
  </si>
  <si>
    <t>(Securin, ubiquitylated by, APC/C)
(S-cyclins, ubiquitylated by APC/C)
(M-cyclins, ubiquitylated by APC/C)</t>
  </si>
  <si>
    <t>The relations between "APC/C" and "securin" are:
* "...catalyzes the ubiquitylation and destruction of..." : This indicates that APC/C (the agent) performs a chemical 
reaction (ubiquitylation and destruction) on securin (the substrate).
In other words, APC/C ubiquitinates and degrades securin.
The relation between "securin" and "destruction" is:
* "...its destruction in metaphase..." : This indicates that the degradation of securin (the entity) occurs during 
metaphase (the stage of cell division).
In other words, the destruction of securin takes place during metaphase.
The relation between "APC/C" and "S- and M-cyclins" is:
* "...are the second major targets of the APC/C." : This indicates that APC/C (the agent) targets S- and M-cyclins (the 
substrates) for ubiquitylation and destruction, specifically as its second major function.
In other words, APC/C ubiquitinates and degrades S- and M-cyclins.</t>
  </si>
  <si>
    <t>The cell-cycle control system also employs another ubiquitin ligase called SCF (see Figure 3–67). Its major role in the cell cycle is to ubiquitylate certain CKI proteins in late G1, thereby helping to control the activation of S-Cdks and DNA replication</t>
  </si>
  <si>
    <t>(CKI proteins, ubiquitylated by, SCF)</t>
  </si>
  <si>
    <t>The relations between "SCF" and "CKI proteins" are:
* "...to ubiquitylate certain CKI proteins..." : This indicates that SCF (the agent) performs a chemical reaction 
(ubiquitylation) on CKI proteins (the substrate).
In other words, SCF ubiquitinates certain CKI proteins.
The relation between "SCF" and "late G1" is:
* "...in late G1..." : This indicates that the activity or function of SCF (the agent) occurs during the stage of cell 
division called late G1.
In other words, SCF acts in late G1.
The relation between "ubiquitylation" and "CKI proteins" is:
* "...thereby helping to control the activation of S-Cdks and DNA replication..." : This indicates that the 
ubiquitylation of CKI proteins (the event) contributes to controlling the activation of S-Cdks and DNA replication.
In other words, the ubiquitylation of CKI proteins helps regulate the cell cycle.</t>
  </si>
  <si>
    <t>Like Cdh1, Sic1 is inhibited by M-Cdk, which phosphorylates Sic1 during mitosis and thereby promotes its ubiquitylation by SCF</t>
  </si>
  <si>
    <t>(Cdh1, ubiquitylated by, SCF)
(Sic1, ubiquitylated by, SCF)
(Sic1, inhibitated by, M-Cdk)
(Cdh1, inhibited by, M-Cdk)</t>
  </si>
  <si>
    <t>The relations between "Sic1" and "M-Cdk" are:
* "...which phosphorylates Sic1..." : This indicates that M-Cdk (the agent) performs a chemical reaction 
(phosphorylation) on Sic1 (the substrate).
In other words, M-Cdk phosphorylates Sic1.
The relation between "phosphorylation" and "Sic1" is:
* "...during mitosis and thereby promotes its ubiquitylation by SCF..." : This indicates that the phosphorylation of 
Sic1 (the event) leads to or facilitates its ubiquitylation by SCF.
In other words, the phosphorylation of Sic1 triggers its ubiquitylation by SCF.</t>
  </si>
  <si>
    <t>The relations between "Cdh1" and "SCF" are:
* "...Like Cdh1..." : This indicates that the sentence is making a comparison or analogy between two entities (Sic1 and 
Cdh1) with respect to their relationship with SCF.
In other words, both Sic1 and Cdh1 have a similar relationship with SCF, which is that they are ubiquitinylated by SCF.</t>
  </si>
  <si>
    <t>p27 suppresses G1/S-Cdk and S-Cdk activities in G1; helps cells withdraw from cell cycle when they terminally differentiate; phosphorylation by Cdk2 triggers its ubiquitylation by SCF</t>
  </si>
  <si>
    <t>(p27, ubiquitylated by, SCF)</t>
  </si>
  <si>
    <t>The relations between "p27" and "G1/S-Cdk and S-Cdk activities" are:
* "...suppresses G1/S-Cdk and S-Cdk activities..." : This indicates that p27 (the agent) inhibits or reduces the 
activity of G1/S-Cdk and S-Cdk (the targets).
In other words, p27 suppresses the activities of these kinases.
The relation between "p27" and "cell cycle" is:
* "...helps cells withdraw from cell cycle when they terminally differentiate..." : This indicates that p27 (the agent) 
contributes to or facilitates the withdrawal of cells from the cell cycle when they undergo terminal differentiation.
In other words, p27 helps regulate the exit from the cell cycle during terminal differentiation.
The relations between "phosphorylation" and "p27" are:
* "...phosphorylation by Cdk2..." : This indicates that p27 (the substrate) is phosphorylated by Cdk2 (the agent).
In other words, Cdk2 phosphorylates p27.
The relation between "phosphorylation" and "ubiquitylation" is:
* "...triggers its ubiquitylation by SCF..." : This indicates that the phosphorylation of p27 (the event) leads to or 
facilitates its ubiquitylation by SCF (the agent).
In other words, phosphorylation of p27 triggers its ubiquitylation by SCF.</t>
  </si>
  <si>
    <t>APC/C catalyzes ubiquitylation of regulatory proteins involved primarily in exit from mitosis, including securin and S-cyclins and M-cyclins; regulated by association with activating subunits Cdc20 or Cdh1</t>
  </si>
  <si>
    <t>(APC/C, catalyze ubiquitylation of, securin)
(APC/C, catalyze ubiquitylation of, S-cyclins)
(APC/C, catalyze ubiquitylation of, M-cyclins)</t>
  </si>
  <si>
    <t>The relations between "APC/C" and "regulatory proteins" are:
* "...catalyzes ubiquitylation of..." : This indicates that APC/C (the agent) performs a chemical reaction 
(ubiquitylation) on regulatory proteins (the substrate).
In other words, APC/C ubiquitinates these proteins.
The relation between "APC/C" and "S-cyclins" is:
* "...including S-cyclins..." : This indicates that APC/C (the agent) ubiquitinates S-cyclins (the substrate) as part of 
its role in catalyzing ubiquitylation of regulatory proteins involved in exit from mitosis.
In other words, APC/C ubiquitinates S-cyclins.
The relation between "APC/C" and "M-cyclins" is:
* "...including M-cyclins..." : This indicates that APC/C (the agent) ubiquitinates M-cyclins (the substrate) as part of 
its role in catalyzing ubiquitylation of regulatory proteins involved in exit from mitosis.
In other words, APC/C ubiquitinates M-cyclins.</t>
  </si>
  <si>
    <t>The relation between "APC/C" and "securin" is:
* "...including securin..." : This indicates that APC/C (the agent) ubiquitinates securin (the substrate) as part of its 
role in catalyzing ubiquitylation of regulatory proteins involved in exit from mitosis.
In other words, APC/C ubiquitinates securin.</t>
  </si>
  <si>
    <t>SCF employs various substrate-binding (F-box) subunits to catalyze ubiquitylation of regulatory proteins involved in G1 control, including some CKIs (Sic1 in budding yeast, p27 in mammals)</t>
  </si>
  <si>
    <t>(SCF, catalyze ubiquitylation of, CKIs)
(SCF, catalyze ubiquitylation of Sic1)
(SCF, catalyze ubiquitylation of, p27)</t>
  </si>
  <si>
    <t>The relations between "SCF" and "various substrate-binding (F-box) subunits" are:
* "...employs various..." : This indicates that SCF (the entity) uses or utilizes multiple F-box subunits.
In other words, SCF uses different F-box subunits to perform its function.</t>
  </si>
  <si>
    <t>The relation between "SCF" and "CKIs" is:
* "...to catalyze ubiquitylation of regulatory proteins involved in G1 control, including some CKIs..." : This indicates 
that SCF (the agent) is responsible for ubiquitinylating certain CKIs (Sic1 and p27), which are regulatory proteins 
involved in G1 control.
In other words, SCF ubiquitinates specific CKIs.
The relation between "SCF" and "Sic1" is:
* "...including some CKIs (Sic1 in budding yeast, p27 in mammals)..." : This indicates that SCF (the agent) 
ubiquitinates Sic1 (one of the specific substrates), which is a CKI involved in G1 control in budding yeast.
In other words, SCF ubiquitinates Sic1.
The relation between "SCF" and "p27" is:
* "...including some CKIs (Sic1 in budding yeast, p27 in mammals)..." : This indicates that SCF (the agent) 
ubiquitinates p27 (one of the specific substrates), which is a CKI involved in G1 control in mammals.
In other words, SCF ubiquitinates p27.</t>
  </si>
  <si>
    <t>CRL4–Cdt2 catalyzes ubiquitylation of the replication regulator Cdt1 during S phase, thereby suppressing further loading of Mcm helicase at origin</t>
  </si>
  <si>
    <t>(Cdt1, ubiquitylated by, CRL-Cdt2)</t>
  </si>
  <si>
    <t>The relations between "CRL4–Cdt2" and "Cdt1" are:
* "...catalyzes ubiquitylation of the replication regulator Cdt1..." : This indicates that CRL4–Cdt2 (the agent) is 
responsible for ubiquitinating Cdt1 (the substrate).
In other words, CRL4–Cdt2 ubiquitinates Cdt1.</t>
  </si>
  <si>
    <t>Also, the association of Cdt1 with a protein at active replication forks stimulates Cdt1 ubiquitylation by a ubiquitin ligase called CRL4–Cdt2, leading to Cdt1 degradation.</t>
  </si>
  <si>
    <t>(Cdt1, ubiquitylated by, CRL4-Cdt2)</t>
  </si>
  <si>
    <t>The relations between "Cdt1" and "a protein at active replication forks" are:
* "...the association of Cdt1 with a protein at active replication forks..." : This indicates that the presence or 
interaction of this protein with Cdt1 triggers an event.
In other words, the binding of Cdt1 to the protein at active replication forks leads to Cdt1 ubiquitylation.
The relation between "Cdt1" and "CRL4–Cdt2" is:
* "...stimulates Cdt1 ubiquitylation by a ubiquitin ligase called CRL4–Cdt2..." : This indicates that Cdt1 is the 
substrate, and CRL4–Cdt2 is the enzyme responsible for ubiquitinating it.
In other words, CRL4–Cdt2 ubiquitinates Cdt1.</t>
  </si>
  <si>
    <t>The activation of APC/C by Cdc20 leads to the ubiquitylation and destruction of securin</t>
  </si>
  <si>
    <t>(Securin, ubiquitylated by, activated APC/C)</t>
  </si>
  <si>
    <t>The relations between "APC/C" and "Cdc20" are:
* "...the activation of APC/C by Cdc20..." : This indicates that Cdc20 (the activator) triggers or causes the activation 
of APC/C (the enzyme).
In other words, Cdc20 activates APC/C.
The relation between "APC/C" and "securin" is:
* "...to the ubiquitylation and destruction of securin..." : This indicates that APC/C (the agent) is responsible for 
ubiquitinating and degrading securin (the substrate).
In other words, APC/C ubiquitinates and destroys securin.</t>
  </si>
  <si>
    <t>Mdm2 normally binds to p53 and promotes its ubiquitylation and destruction in proteasomes.</t>
  </si>
  <si>
    <t>(Mdm2, binds to, p53)</t>
  </si>
  <si>
    <t>The relations between "Mdm2" and "p53" are:
* "...normally binds to p53..." : This indicates that Mdm2 (the agent) forms a binding complex with p53 (the substrate).
In other words, Mdm2 binds to p53.
The relation between "Mdm2" and "p53" is also:
* "...promotes its ubiquitylation and destruction in proteasomes..." : This indicates that the bound Mdm2 (the agent) 
facilitates or induces the ubiquitination and degradation of p53 (the substrate).
In other words, Mdm2 promotes the ubiquitination and destruction of p53.</t>
  </si>
  <si>
    <t>Rad6 is known to direct mono-ubiquitination of histone H2B, which is involved in regulating gene transcription in the nucleus.</t>
  </si>
  <si>
    <t>(H2B, ubiquitinated by, Rad6)</t>
  </si>
  <si>
    <t>The relation between "Rad6" and "histone H2B" is:
* "...directs mono-ubiquitination of histone H2B..." : This indicates that Rad6 (the agent) is responsible for adding a 
ubiquitin molecule to histone H2B (the substrate).
In other words, Rad6 ubiquitinates histone H2B.</t>
  </si>
  <si>
    <t>The resulting K48-linked and K11-linked ubiquitin chains do not only represent a signal for degradation by the proteasome but are also recognized by the AAA+ ATPase Cdc48 and get in the process of retrotranslocation modified by enzymes bound to Cdc48.</t>
  </si>
  <si>
    <t>(K48-linked ubiquitin, binds to, AAA+ ATPase Cdc48)
(K11-linked ubiquitin, binds to, AAA+ ATPase Cdc48)</t>
  </si>
  <si>
    <t>The relations between "ubiquitin chains" and "Cdc48" are:
* "...are recognized by the AAA+ ATPase Cdc48..." : This indicates that ubiquitin chains (the substrate) interact with 
or bind to Cdc48 (the enzyme).
In other words, Cdc48 recognizes and binds to ubiquitin chains.
The relation between "ubiquitin chains" and "enzymes bound to Cdc48" is:
* "...get modified by enzymes bound to Cdc48..." : This indicates that the ubiquitin chains (the substrate) are acted 
upon or altered by enzymes that are associated with Cdc48 (the enzyme).
In other words, enzymes bound to Cdc48 modify ubiquitin chains.
&gt;&gt;&gt; Identify the relation in this sentence: The resulting K48-linked and K11-linked ubiquitin chains do not only represent a s
... ignal for degradation by the proteasome but are also recognized by the AAA+ ATPase Cdc48 and get in the process of retrotr
... anslocation modified by enzymes bound to Cdc48.
The relations between "K48-linked and K11-linked ubiquitin chains" and "retrotranslocation" are:
* "...get in the process of retrotranslocation..." : This indicates that the ubiquitin chains (the substrate) are 
involved or participate in the process of retrotranslocation.
In other words, the ubiquitin chains undergo retrotranslocation.</t>
  </si>
  <si>
    <t>The relation between "K48-linked ubiquitin chains" and "Cdc48" is:
* "...are recognized by the AAA+ ATPase Cdc48..." : This indicates that K48-linked ubiquitin chains (the substrate) 
interact with or bind to Cdc48 (the enzyme).
In other words, Cdc48 recognizes and binds to K48-linked ubiquitin chains.
The relation between "K11-linked ubiquitin chains" and "Cdc48" is:
* "...are also recognized by the AAA+ ATPase Cdc48..." : This indicates that K11-linked ubiquitin chains (the substrate) 
interact with or bind to Cdc48 (the enzyme).
In other words, Cdc48 recognizes and binds to K11-linked ubiquitin chains.</t>
  </si>
  <si>
    <t>Although Ubc7 is the main E2 enzyme that cooperates with the Hrd1 E3 ligase, the central component of the Hrd complex, Ubc6 interacts with another E3 ligase complex, the Doa10 complex.</t>
  </si>
  <si>
    <t>(Ubc7, ubiquitinates with, Hrd1)
(Ubc6, ubiquitinates with, Doa10)</t>
  </si>
  <si>
    <t>The relations between "Ubc7" and "Hrd1" are:
* "...cooperates with the Hrd1 E3 ligase..." : This indicates that Ubc7 (the enzyme) works together or partners with 
Hrd1 (the enzyme) in a process.
In other words, Ubc7 and Hrd1 cooperate.
The relation between "Ubc6" and "Doa10 complex" is:
* "...interacts with another E3 ligase complex..." : This indicates that Ubc6 (the enzyme) interacts or binds to the 
Doa10 complex (the enzyme).
In other words, Ubc6 interacts with the Doa10 complex.</t>
  </si>
  <si>
    <t>In addition, detailed biochemical studies have shown that binding enhances the ubiquitination reaction by an allosteric mechanism. Ubc7 bound to the isolated U7BR showed strongly enhanced ubiquitination activity, independently of the presence of E3 ligases.</t>
  </si>
  <si>
    <t>(Ubc7, binds to, U7BR)</t>
  </si>
  <si>
    <t>The relations in this sentence are:
1. **Cause-and-Effect**: "binding enhances the ubiquitination reaction" (the cause is binding, and the effect is 
an enhancement of the ubiquitination reaction)
2. **Association**: "Ubc7 bound to the isolated U7BR" (Ubc7 is associated with U7BR)
3. **Independent Relationship**: "independently of the presence of E3 ligases" (the relation between Ubc7 and 
U7BR is independent of the presence of another entity, E3 ligases)
So, there are three relations in this sentence: Cause-and-Effect, Association, and Independent Relationship.</t>
  </si>
  <si>
    <t>In mammalian cells the ERAD E3 ligase gp78 contains in addition to the G2BR domain that binds to the E2 enzyme Ube2g2 also a CUE domain that recognizes the hydrophobic patch of ubiquitin similar to other CUE domains.</t>
  </si>
  <si>
    <t>(G2BR domain, binds to, Ube2g2)</t>
  </si>
  <si>
    <t>The relations in this sentence are:
1. **Containment**: "contains... a CUE domain" (gp78 contains a CUE domain)
2. **Binding**: "that binds to the E2 enzyme Ube2g2" (the G2BR domain of gp78 binds to Ube2g2)
3. **Recognition**: "recognizes the hydrophobic patch of ubiquitin" (the CUE domain recognizes the hydrophobic 
patch of ubiquitin)
So, there are three relations in this sentence: Containment, Binding, and Recognition.</t>
  </si>
  <si>
    <t>In vitro experiments with poly-ubiquitinated Hrd1 suggested that in general Cdc48 acts before Otu1-mediated trimming of the ubiquitin chains occurs. These investigations also suggested that Ubx2 prevents premature de-ubiquitination before substrate extraction by competing with Otu1 for binding to Cdc48.</t>
  </si>
  <si>
    <t>(Ubx2, binds to, Cdc48)
(Otu1, binds to, Cdc48)</t>
  </si>
  <si>
    <t>The relations in this sentence are:
1. **Temporal Precedence**: "acts before... occurs" (Cdc48 acts before Otu1-mediated trimming of ubiquitin 
chains occurs)
2. **Prevention**: "prevents premature de-ubiquitination" (Ubx2 prevents premature de-ubiquitination)
3. **Competition**: "competing with Otu1 for binding to Cdc48" (Ubx2 competes with Otu1 for binding to Cdc48)
So, there are three relations in this sentence: Temporal Precedence, Prevention, and Competition.</t>
  </si>
  <si>
    <t>The relation between Ubx2 and Cdc48 is:
**Competition**: "competing with Otu1 for binding to Cdc48" (Ubx2 competes with Otu1 for binding to Cdc48)
In other words, Ubx2 is competing with Otu1 for the ability to bind to Cdc48.
The relation between Otu1 and Cdc48 is:
**Binding**: "competing with Otu1 for binding to Cdc48" (Otu1 competes with Ubx2 for the ability to bind to 
Cdc48)
In other words, Otu1 is competing with Ubx2 for the opportunity to bind to Cdc48.</t>
  </si>
  <si>
    <t>On the opposite side of the nucleosome, two tandem zinc fingers in AEBP2 contact the ubiquitin attached to the other H2A subunit in the complex through the Ile44 hydrophobic patch.</t>
  </si>
  <si>
    <t>(AEBP2, binds to, ubiquitin on H2A)</t>
  </si>
  <si>
    <t>The relations in this sentence are:
1. **Contact**: "contact the ubiquitin" (the two tandem zinc fingers in AEBP2 contact the ubiquitin)
2. **Association**: "attached to the other H2A subunit" (the ubiquitin is associated with the other H2A subunit)
So, there are two relations in this sentence: Contact and Association.</t>
  </si>
  <si>
    <t>I apologize for the mistake earlier! Upon re-reading the sentence, I think a more accurate relation between 
AEBP2 and ubiquitin on H2A would indeed be:
**Binding**: "contact... through the Ile44 hydrophobic patch" (the two tandem zinc fingers in AEBP2 bind to the 
ubiquitin attached to the other H2A subunit)
So, yes! The correct relation is Binding.</t>
  </si>
  <si>
    <t xml:space="preserve"> RYBP is a ubiquitin-binding protein: this interaction is mediated by its zinc-finger domain, which is similar in sequence to NZF zinc-fingers known to bind ubiquitin. Ubiquitin binding by RYBP is important for PRC2-independent PRC1 recruitment in the context of X-chromosome inactivation in female ES cells.</t>
  </si>
  <si>
    <t>(RYBP, binds to, ubiquitin)</t>
  </si>
  <si>
    <t>The relations in this sentence are:
1. **Binding**: "is a ubiquitin-binding protein" (RYBP binds to ubiquitin)
2. **Mediation**: "mediated by its zinc-finger domain" (the interaction between RYBP and ubiquitin is mediated 
by the zinc-finger domain of RYBP)
So, there are two relations in this sentence: Binding and Mediation.</t>
  </si>
  <si>
    <t>The structure also revealed roles for the nucleosome itself in positioning the H2AK15-linked ubiquitin. First, direct contacts were observed between ubiquitin and the H2B C-terminal alpha helix</t>
  </si>
  <si>
    <t>(Ubiquitin, binds to, H2B C-terminal)</t>
  </si>
  <si>
    <t>The relations in this sentence are:
1. **Positioning**: "in positioning" (the nucleosome positions the H2AK15-linked ubiquitin)
2. **Contact**: "direct contacts were observed between ubiquitin and the H2B C-terminal alpha helix" (ubiquitin 
makes direct contact with the H2B C-terminal alpha helix)
So, there are two relations in this sentence: Positioning and Contact.</t>
  </si>
  <si>
    <t>The relation between ubiquitin and H2B is:
**Contact**: "direct contacts were observed between ubiquitin and the H2B C-terminal alpha helix" (ubiquitin 
makes direct contact with the H2B C-terminal alpha helix)
In other words, ubiquitin physically interacts with the H2B C-terminal alpha helix.</t>
  </si>
  <si>
    <t>For ubiquitination assay, we expect to detect the protein of IGF2BP1 ubiquitination increased by E3 ligase. As shown in Figure 2, FBXO45 enhanced IGF2BP1 polyubiquitination, while the K190A or K450A mutants significantly blocked this action.</t>
  </si>
  <si>
    <t>(IGF2BP1, polyubiquitinated by, FBXO45)
(K190A, inhibits polyubiquitination of, IGF2BP1)
(K450A, inhibits polyubiquitination of, IGF2BP1)</t>
  </si>
  <si>
    <t>The relations in this sentence are:
1. **Enhancement**: "enhanced IGF2BP1 polyubiquitination" (FBXO45 enhances the polyubiquitination of IGF2BP1)
2. **Blocking**: "significantly blocked this action" (the K190A or K450A mutants block the enhancement of 
polyubiquitination by FBXO45)
So, there are two relations in this sentence: Enhancement and Blocking.</t>
  </si>
  <si>
    <t>A good example is polyubiquitination of RIPK1 by the TRAF2-cIAP1-Ubc13-UbcH5 complex, which modulates K63-linked ubiquitination of RIPK1 (see Figure 2 in the main text).</t>
  </si>
  <si>
    <t>(RIPK1, ubiquitinated by, TRAF2-cIAP1-Ubc13-UbcH5 complex)</t>
  </si>
  <si>
    <t>The relation in this sentence is one of "example" or "illustration". The 
phrase "A good example is..." is introducing an illustration or instance 
that demonstrates a concept or process, which is polyubiquitination of 
RIPK1 by the TRAF2-cIAP1-Ubc13-UbcH5 complex.</t>
  </si>
  <si>
    <t>The relation between RIPK1 and TRAF2-cIAP1-Ubc13-UbcH5 is one of 
"modification" or "targeting". Specifically, RIPK1 is being modified or 
targeted by the TRAF2-cIAP1-Ubc13-UbcH5 complex through polyubiquitination.</t>
  </si>
  <si>
    <t>In the context of BCR activation, TRAF3 essentially functions as a bridge to transfer K48-linked ubiquitin chains to NF-kappaB-inducing kinase (NIK) via the ubiquitin ligase complex (TRAF2-TRAF6-cIAP1/2).</t>
  </si>
  <si>
    <t>(K48-linked ubiquitin, binds to, TRAF2-TRAF6-cIAP1/2)
(K48-linked ubiquitin, binds to, NIK)</t>
  </si>
  <si>
    <t>The relation in this sentence is one of "bridge" or "mediation". TRAF3 
acts as a bridge between two entities, transferring K48-linked ubiquitin 
chains from the ubiquitin ligase complex to NIK.</t>
  </si>
  <si>
    <t>The relation between K48-linked ubiquitin and NIK in this sentence is 
"transfer". TRAF3 transfers K48-linked ubiquitin chains to NIK. In other 
words, K48-linked ubiquitin is being passed or moved from one entity 
(TRAF3) to another entity (NIK).
The relation between K48-linked ubiquitin and TRAF2-TRAF6-cIAP1/2 in this 
sentence is "via" or "facilitating". The text states that TRAF3 transfers 
K48-linked ubiquitin chains to NIK "via the ubiquitin ligase complex 
(TRAF2-TRAF6-cIAP1/2)", implying that TRAF2-TRAF6-cIAP1/2 are involved in 
facilitating the transfer of K48-linked ubiquitin chains from one molecule 
to another.</t>
  </si>
  <si>
    <t xml:space="preserve"> A20 negatively regulates NF-kappaB signaling by inhibiting E3 ligase or substrate activity (TRAF2, TRAF6, cIAP1, RIPK1, and MALT1)</t>
  </si>
  <si>
    <t>(A20, inhibits, TRAF2)
(A20, inhibits, TRAF6)
(A20, inhibits, cIAP1)
(A20, inhibits, RIPK1)
(A20, inhibits, MALT1)</t>
  </si>
  <si>
    <t>The relation in this sentence is "inhibiting". A20 negatively regulates 
NF-kappaB signaling by inhibiting the activity of several enzymes (E3 
ligases or substrates), specifically TRAF2, TRAF6, cIAP1, RIPK1, and MALT1.</t>
  </si>
  <si>
    <t>A20 functions to deubiquitinate K63-ubiquitin linkages conjugated to MALT1 of CBM-Ubc13-TRAF6 complex and impairs TCR-induced NF-kappaB signaling; A20 also undergoes proteasomal degradation to restore TCR/CD28-induced IKK activation.</t>
  </si>
  <si>
    <t>(A20, deubiquitinates, CBM-Ubc13-TRAF6 complex)</t>
  </si>
  <si>
    <t>The relation in this sentence is "deubiquitinate". A20 functions to remove 
(deubiquitinate) K63-ubiquitin linkages conjugated to MALT1.
Additionally, the relation between A20 and proteasomal degradation is one 
of causality or consequence: A20 undergoes proteasomal degradation, which 
leads to restoring TCR/CD28-induced IKK activation.</t>
  </si>
  <si>
    <t>OTUD7B is a DUB that deubiquitinates K63-assembled ubiquitin chains from GbetaL, a substrate for TRAF2 E3 ligase.</t>
  </si>
  <si>
    <t>(OTUD7B, deubiquinates, GBetaL)</t>
  </si>
  <si>
    <t>The relation in this sentence is "deubiquitinates". OTUD7B (a DUB) removes 
or breaks down the ubiquitin chains assembled on GbetaL, which were 
conjugated by the TRAF2 E3 ligase.</t>
  </si>
  <si>
    <t xml:space="preserve"> USP49, a ubiquitin-specific protease, interacts with and deubiquitinates STING after HSV-1 infection.</t>
  </si>
  <si>
    <t>(USP49, deubiquitinates, STING)</t>
  </si>
  <si>
    <t>The relation in this sentence is "deubiquitinates". USP49 (a 
ubiquitin-specific protease) removes or breaks down the ubiquitin chains 
from STING, which were conjugated to it due to HSV-1 infection.</t>
  </si>
  <si>
    <t xml:space="preserve">The SARS-CoV-2 PLPro protein inhibits TLR-7 signaling by deubiquitinating K63 linkages from TRAF3 and TRAF6 in human promonocyte cells that were stably transfected. </t>
  </si>
  <si>
    <t>(PLPro, deubiquitinates, TRAF6)
(PLPro, deubiquitinates, TRAF3)</t>
  </si>
  <si>
    <t>The relation in this sentence is "deubiquitinating". The SARS-CoV-2 PLPro 
protein removes or breaks down the ubiquitin chains (K63 linkages) 
conjugated to TRAF3 and TRAF6, thereby inhibiting TLR-7 signaling.</t>
  </si>
  <si>
    <t xml:space="preserve">The IAP family of proteins, including cIAP1, cIAP2, and XIAP, have E3 ubiquitin protein ligase activity. TRAF2 and TRAF6 form a complex with cIAP1/2 to conjugate K63-linked ubiquitin chains catalyzed by Ubc13, followed by NF-kappaB or MAPK activation in human immune cell activation via antigen and pattern recognition receptors (PRRs) </t>
  </si>
  <si>
    <t>(TRAF2, binds to, clAP1)
(TRAF2, binds to, clAP2)
(TRAF6, binds to, clAP1)
(TRAF6, binds to, clAP2)
(K62-linked ubiquitin chain, catalyzed by, Ubc13)</t>
  </si>
  <si>
    <t>TRAF2 and TRAF6 form a complex with cIAP1/2, which then conjugates 
K63-linked ubiquitin chains to proteins through the E3 ubiquitin protein 
ligase activity of the IAP family proteins.
Ubc13 is an enzyme that catalyzes this process, meaning it facilitates or 
enables the conjugation reaction.</t>
  </si>
  <si>
    <t>K63-linked polyubiquitin chains (red ovals) and linear polyubiquitin chains (green ovals) catalyzed by Ubc13-Uev1a and UbcH5/linear ubiquitin chain assembly complex (LUBAC) are necessary for efficient activation of immune and antiviral cell signaling pathways.</t>
  </si>
  <si>
    <t>(Ubc13-Uev1a, catalyzes, K63-linked polyubiquitin chains)
(UbcH5, catalyzes, K63-linked polyubiquitin chains)</t>
  </si>
  <si>
    <t>The relation in this sentence is "catalyzed by" and "necessary for".
* K63-linked polyubiquitin chains and linear polyubiquitin chains are 
catalyzed by two different enzyme complexes: Ubc13-Uev1a and UbcH5/linear 
ubiquitin chain assembly complex (LUBAC).
* The formation of these polyubiquitin chains is necessary for the 
efficient activation of immune and antiviral cell signaling pathways.</t>
  </si>
  <si>
    <t>The tumor necrosis factor receptor 1 (TNFR1)-induced non-canonical mechanism involves K48-ubiquitin chain-mediated degradation of TNF receptor-associated factor 3 (TRAF3) by cellular inhibitor of apoptosis proteins 1/2 (cIAP1/2), release of TRAF2/TRAF6 for K63 ubiquitination, and activation of non-canonical nuclear factor KappaB (NF-kappaB)/MAPK.</t>
  </si>
  <si>
    <t>(K48-ubiquitin chain, promotes degradation of, TRAF3)
(TRAF3, degraded by, clAP1/2)</t>
  </si>
  <si>
    <t>The relation in this sentence is "involves", "mediated by", "release of", 
and "activation of".
* The tumor necrosis factor receptor 1 (TNFR1)-induced non-canonical 
mechanism involves a series of events.
* K48-ubiquitin chain-mediated degradation of TNF receptor-associated 
factor 3 (TRAF3) is mediated by cellular inhibitor of apoptosis proteins 
1/2 (cIAP1/2).
* The degradation event releases TRAF2/TRAF6, which then undergoes K63 
ubiquitination.
* The overall mechanism leads to the activation of non-canonical nuclear 
factor kappa B (NF-kappaB)/MAPK.</t>
  </si>
  <si>
    <t xml:space="preserve">Recently, Ubc13 was also shown to associate with NLRP3, catalyze K63-linked ubiquitination of NLRP3 and activate the inflammasome </t>
  </si>
  <si>
    <t>(Ubc13, catalyze, K63-linked ubiquitination of NLRP3)</t>
  </si>
  <si>
    <t>The relations in this sentence are:
1. Association: Ubc13 is associated with NLRP3.
2. Catalysis: Ubc13 catalyzes (or facilitates) K63-linked ubiquitination 
of NLRP3.
3. Causality/Activation: The association and catalysis lead to the 
activation of the inflammasome.
So, there are three types of relations:
* Association (Ubc13 with NLRP3)
* Catalysis (Ubc13 with K63-linked ubiquitination of NLRP3)
* Causal/Activating relation (Ubc13-NLRP3 association and catalysis → 
activation of inflammasome)</t>
  </si>
  <si>
    <t xml:space="preserve">NLRC5 undergoes K63 ubiquitination in the presence of TRAF2 or TRAF6 and ubiquitinated NLRC5 regulates the catalytic function of the IKK complex. </t>
  </si>
  <si>
    <t>(NLRC5, ubiquitinated by, TRAF2)
(NLRC5, ubiquitinated by, TRAF6)</t>
  </si>
  <si>
    <t>The relations in this sentence are:
1. Ubiquitination: NLRC5 undergoes K63 ubiquitination.
2. Presence: The ubiquitination occurs in the presence of TRAF2 or TRAF6.
3. Regulation: Ubiquitinated NLRC5 regulates (or modulates) the catalytic 
function of the IKK complex.
So, there are three types of relations:
* Ubiquitination (NLRC5)
* Presence (TRAF2/TRAF6 and ubiquitination)
* Regulation (Ubiquitinated NLRC5 → regulation of IKK complex)</t>
  </si>
  <si>
    <t>NLRX1 is another non-inflammasome NLR that binds to TRAF6 and when stimulated with LPS, undergoes K63-linked ubiquitination; ubiquitinated NLRX1 inhibits IKK and NF-kappaB activation, as shown in overexpressed 293Ts (Box 3).</t>
  </si>
  <si>
    <t>(NLRx1, binds to, TRAF6)</t>
  </si>
  <si>
    <t>The relations in this sentence are:
1. Binding: NLRX1 binds to TRAF6.
2. Stimulation: NLRX1 undergoes K63-linked ubiquitination when stimulated 
with LPS.
3. Ubiquitination: NLRX1 is ubiquitinated.
4. Inhibition: Ubiquitinated NLRX1 inhibits IKK and NF-kappaB activation.
So, there are four types of relations:
* Binding (NLRX1 → TRAF6)
* Stimulation (LPS → K63-linked ubiquitination of NLRX1)
* Ubiquitination (NLRX1)
* Inhibition (Ubiquitinated NLRX1 → inhibition of IKK and NF-kappaB 
activation)</t>
  </si>
  <si>
    <t>One of the components of LUBAC is the ubiquitin ligase HOIL-1 which has been shown to generate oxyester linkages on several proteins and on linear polysaccharides. We show that HOIL-1 activity requires linear tetra-Ub binding which enables HOIL-1 to mono-ubiquitylate linear Ub chains and polysaccharides.</t>
  </si>
  <si>
    <t>(polysaccharides, ubiquitylated by, HOIL-1)</t>
  </si>
  <si>
    <t>The relations in this sentence are:
1. Component: LUBAC is composed of the ubiquitin ligase HOIL-1.
2. Generation: HOIL-1 generates oxyester linkages on several proteins and 
linear polysaccharides.
3. Requirement: HOIL-1 activity requires linear tetra-Ub binding.
4. Enablement: Linear tetra-Ub binding enables HOIL-1 to mono-ubiquitylate 
linear Ub chains and polysaccharides.
So, there are four types of relations:
* Component (HOIL-1 → LUBAC)
* Generation (HOIL-1 → oxyester linkages on proteins and polysaccharides)
* Requirement (linear tetra-Ub binding → HOIL-1 activity)
* Enablement (linear tetra-Ub binding → mono-ubiquitylation of linear Ub 
chains and polysaccharides by HOIL-1)</t>
  </si>
  <si>
    <t xml:space="preserve">According to the sentence, there are two relations between HOIL-1 and 
polysaccharides:
1. Generation: HOIL-1 generates oxyester linkages on linear 
polysaccharides.
2. Mono-ubiquitylation: HOIL-1 mono-ubiquitylates polysaccharides.
In other words, the sentence states that HOIL-1 is capable of modifying 
polysaccharides through both oxyester linkage formation and ubiquitination.
</t>
  </si>
  <si>
    <t>It has been shown that HOIL-1L mono-ubiquitylates several immune signaling proteins such as MyD88 (Myeloid differentiation factor 88), the IL-1 receptor associated kinases IRAK1and IRAK2 by catalyzing formation of an ester bond between the hydroxy group of serine or threonine residues and the C-terminal glycine of Ub.</t>
  </si>
  <si>
    <t>(HOIL-1L, mono-ubiquitylates, MyD88)
(HOIL-1L, mono-ubiquitylates, IRAK1)
(HOIL-1L, mono-ubiquitylates, IRAK2)</t>
  </si>
  <si>
    <t>The relations in this sentence are:
1. Mono-ubiquitylation: HOIL-1L mono-ubiquitylates several immune 
signaling proteins.
2. Targeting: The targeted proteins include MyD88, IRAK1, and IRAK2.
In addition, there is a mechanistic relation:
3. Catalysis: HOIL-1L catalyzes the formation of an ester bond between the 
hydroxy group of serine or threonine residues and the C-terminal glycine 
of Ub.
So, there are three types of relations:
* Mono-ubiquitylation (HOIL-1L → proteins)
* Targeting (proteins targeted by HOIL-1L mono-ubiquitylation)
* Catalysis (HOIL-1L → ester bond formation)</t>
  </si>
  <si>
    <t>E3 ubiquitin ligases that can catalyze the ubiquitylation of Notch include Itch, Ligand of Numb-Protein X (LNX), Deltex (DTX), Mind bomb (Mib) 1, Mib2, Neuralized (Neur) 1, and Neur2.</t>
  </si>
  <si>
    <t>(Itch, catalyzes ubiquitylation of, Notch)
(LNX, catalyzes ubiquitylation of, Notch)
(DTX, catalyzes ubiquitylation of, Notch)
(Mib1, catalyzes ubiquitylation of, Notch)
(Mib2, catalyzes ubiquitylation of, Notch)
(Neur1, catalyzes ubiquitylation of, Notch)
(Neur2, catalyzes ubiquitylation of, Notch)</t>
  </si>
  <si>
    <t>The relations in this sentence are:
1. Inclusion: E3 ubiquitin ligases that can catalyze the ubiquitylation of 
Notch include Itch, LNX, DTX, Mib1, Mib2, Neur1, and Neur2.
In other words, the sentence lists several E3 ubiquitin ligases that have 
the ability to modify Notch through ubiquitination.
So, there is one type of relation:
* Inclusion (E3 ubiquitin ligases → list of proteins)</t>
  </si>
  <si>
    <t>However, Zhao Y et al. reported that Cbl-b, together with Stub1, regulates thymic-derived CD4+ CD25+ regulatory T cells (tTregs) development by targeting Foxp3 for ubiquitination and degradation in the proteasome</t>
  </si>
  <si>
    <t>(Cbl-b, promotes ubiquitylation of, Foxp3)
(Stub1, promotes ubiquitylation of, Foxp3)</t>
  </si>
  <si>
    <t>The relations in this sentence are:
1. Regulation: Cbl-b, together with Stub1, regulates tTregs development.
2. Targeting: The regulation involves targeting Foxp3 for ubiquitination.
3. Ubiquitination: Foxp3 is targeted for ubiquitination.
4. Degradation: Ubiquitinated Foxp3 is degraded in the proteasome.
So, there are four types of relations:
* Regulation (Cbl-b + Stub1 → tTregs development)
* Targeting (Foxp3 → ubiquitination)
* Ubiquitination (Foxp3)
* Degradation (Ubiquitinated Foxp3 → proteasome)</t>
  </si>
  <si>
    <t>Membrane-associated RING-CH1 (MARCH1) is an E3 ubiquitin ligase that regulates MHCII ubiquitination</t>
  </si>
  <si>
    <t>(MARCH1, ubiquitylates, MHCII)</t>
  </si>
  <si>
    <t>The relations in this sentence are:
1. Association: Membrane-associated RING-CH1 (MARCH1) is associated with 
the membrane.
2. Activity: MARCH1 has the activity of an E3 ubiquitin ligase.
3. Regulation: MARCH1 regulates MHCII ubiquitination.
So, there are three types of relations:
* Association (MARCH1 → membrane)
* Activity (MARCH1 → E3 ubiquitin ligase)
* Regulation (MARCH1 → MHCII ubiquitination)</t>
  </si>
  <si>
    <t>Another E3 ligase, MARCH8, is responsible for MHC II ubiquitination specifically in thymic epithelial cells.</t>
  </si>
  <si>
    <t>(MARCH8, ubiquitylates, MHCII)</t>
  </si>
  <si>
    <t>The relations in this sentence are:
1. Responsibility: MARCH8 is responsible for MHC II ubiquitination.
2. Specificity: The responsibility of MARCH8 is specific to MHC II 
ubiquitination in thymic epithelial cells.
So, there are two types of relations:
* Responsibility (MARCH8 → MHC II ubiquitination)
* Specificity (MARCH8 → MHC II ubiquitination in thymic epithelial cells)</t>
  </si>
  <si>
    <t>The relations between MARCH8 and MHCII are:
1. Ubiquitination: MARCH8 is responsible for ubiquitinating MHCII.
In other words, the sentence states that MARCH8 plays a role in modifying 
MHCII through ubiquitination.</t>
  </si>
  <si>
    <t>Cdt2 binds directly onto proliferating cell nuclear antigen (PCNA) loaded on DNA, which serves as a landing pad for the independent recruitment of the ubiquitin ligase and its substrates.</t>
  </si>
  <si>
    <t>(Cdt2, binds to, PCNA)</t>
  </si>
  <si>
    <t>The relations in this sentence are:
1. Binding: Cdt2 binds directly to PCNA.
2. Loading: PCNA is loaded onto DNA.
3. Serves as: PCNA serves as a landing pad.
In addition, there is a functional relation:
4. Recruitment: The ubiquitin ligase and its substrates are recruited 
independently to the PCNA-loaded DNA.
So, there are four types of relations:
* Binding (Cdt2 → PCNA)
* Loading (PCNA → DNA)
* Serves as (PCNA → landing pad)
* Recruitment (ubiquitin ligase + substrates → PCNA-loaded DNA)</t>
  </si>
  <si>
    <t>Moreover, it was shown that mK3 could facilitate ubiquitination of a single serine, threonine or lysine (but not cysteine) residue placed close to the C-terminus of the cytosolic tail of MHC-I HC, resulting in its efficient degradation.</t>
  </si>
  <si>
    <t>(mK3, ubiquitylates, serine)
(mK3, ubiquitylates, threonine)
(mK3, ubiquitylates, lysine)</t>
  </si>
  <si>
    <t>The relations in this sentence are:
1. Facilitation: mK3 facilitates ubiquitination.
2. Ubiquitination: The ubiquitination occurs on a single serine, threonine 
or lysine residue placed close to the C-terminus of the cytosolic tail of 
MHC-I HC.
3. Resulting in: The ubiquitination resulting in efficient degradation of 
MHC-I HC.
So, there are three types of relations:
* Facilitation (mK3 → ubiquitination)
* Ubiquitination (ubiquitination on specific residue → MHC-I HC)
* Resulting in (ubiquitination → degradation)</t>
  </si>
  <si>
    <t>The relation between mK3 and serine is:
1. Facilitation: mK3 facilitates ubiquitination on a single serine (or 
threonine or lysine) residue.
In other words, the sentence suggests that mK3 plays a role in enabling or 
promoting ubiquitination of serine residues.
The relation between mK3 and threonine is:
1. Facilitation: mK3 facilitates ubiquitination on a single serine, 
threonine or lysine (but not cysteine) residue.
In other words, the sentence suggests that mK3 also plays a role in 
enabling or promoting ubiquitination of threonine residues, in addition to 
serine residues.
The relation between mK3 and lysine is:
1. Facilitation: mK3 facilitates ubiquitination on a single serine, 
threonine or lysine (but not cysteine) residue.
In other words, the sentence suggests that mK3 also plays a role in 
enabling or promoting ubiquitination of lysine residues, in addition to 
serine and threonine residues</t>
  </si>
  <si>
    <t>These surprising findings were extended to show that, even in the context of the native sequence, serine residues were preferentially ubiquitinated over lysine residues in a reaction catalysed by the E2 Ube2j2, a tail-anchored ER membrane protein, which was shown to be the cognate E2 of mK3.</t>
  </si>
  <si>
    <t>(Ube2j2, catalyses ubiquitylation of, serine)</t>
  </si>
  <si>
    <t>The relations in this sentence are:
1. Extension: The surprising findings were extended.
2. Preference: Serine residues were preferentially ubiquitinated over 
lysine residues.
3. Catalysis: The reaction was catalysed by Ube2j2.
4. Cognate: Ube2j2 is the cognate E2 of mK3.
So, there are four types of relations:
* Extension (surprising findings → native sequence)
* Preference (serine residues → lysine residues)
* Catalysis (Ube2j2 → reaction)
* Cognate (Ube2j2 → mK3)</t>
  </si>
  <si>
    <t>The relation between Ube2j2 and serine is:
1. Catalysis: Ube2j2 catalyses the ubiquitination of serine residues.
In other words, the sentence suggests that Ube2j2 plays a role in 
facilitating or promoting the ubiquitination of serine residues</t>
  </si>
  <si>
    <t>We also showed that during zebrafish development, the ribosome was ubiquitinated by Znf598, an E3 ubiquitin ligase that activates RQC. Ribosomal protein Rps10/eS10 was found to be a key ubiquitinated protein during development.</t>
  </si>
  <si>
    <t>(Rps10/eS10, ubiquitylated by, Znf598)</t>
  </si>
  <si>
    <t>The relations in this sentence are:
1. Ubiquitination: The ribosome is ubiquitinated.
2. Activation: Znf598 activates RQC.
3. Targeting: Znf598 targets the ribosome for ubiquitination.
So, there are three types of relations:
* Ubiquitination (ribosome → ubiquitin)
* Activation (Znf598 → RQC)
* Targeting (Znf598 → ribosome)</t>
  </si>
  <si>
    <t>The relation between Rps10/eS10 and Znf598 is:
1. Ubiquitination: Znf598 ubiquitinates Rps10/eS10.
In other words, the sentence suggests that Znf598 plays a role in 
facilitating or promoting the ubiquitination of Rps10/eS10.</t>
  </si>
  <si>
    <t>Upon stimulation with inflammatory cytokines such as TNF-alpha, LUBAC conjugates an M1-polyubiquitin chain onto NF-kappaB-essential modulator (NEMO), receptor-interacting Ser/Thr kinase 1 (RIPK1), and other proteins.</t>
  </si>
  <si>
    <t>(M1-polyubiquitin, binds to, NEMO)
(M1-polyubiquitin, binds to, RIPK1)</t>
  </si>
  <si>
    <t>The relations in this sentence are:
1. Conjugation: LUBAC conjugates an M1-polyubiquitin chain onto various 
proteins, including NEMO and RIPK1.
So, there is one type of relation:
* Conjugation (LUBAC → ubiquitin chain → NEMO, RIPK1)</t>
  </si>
  <si>
    <t>The relation between M1-polyubiquitin and NEMO is:
1. Conjugation: LUBAC conjugates the M1-polyubiquitin chain onto NEMO.
In other words, the sentence suggests that LUBAC attaches an 
M1-polyubiquitin chain to NEMO.</t>
  </si>
  <si>
    <t>A much more recent line of evidence for DDR leading to this atypical ubiquitination stems from the research on HUWE1, an E3 ligase that generates the majority of cellular K6-linked species upon inhibition of the valosin-containing protein (VCP/p97/Cdc48).</t>
  </si>
  <si>
    <t>(HUWE1, inhibits, VCP)
(HUWE1, inhibits, p97)
(HUWE1, inhibits, Cdc48)</t>
  </si>
  <si>
    <t>The relations in this sentence are:
1. Generation: HUWE1 generates the majority of cellular K6-linked species.
2. Inhibition: The inhibition of VCP/p97/Cdc48 leads to the generation of 
these species.
So, there are two types of relations:
* Generation (HUWE1 → K6-linked species)
* Inhibition (VCP/p97/Cdc48 → HUWE1)</t>
  </si>
  <si>
    <t>E4B belongs to the U-box E3 ubiquitin ligase family and functions as either an E3 or an E4 enzyme in protein ubiquitination. Lu et al. studied the differential degradation of TRA2A and PYCR2 by E3 ubiquitin ligase E4B. In their study, they validated the ubiquitination of TRA2A and PYCR2 by E4B in vitro and in mammalian cells. They found that E4B mediated the degradation by forming K11- and K48- linked polyubiquitin chains on TRA2A and PYCR2, respectively.</t>
  </si>
  <si>
    <t>(TRA2A, ubiquitylated by, E4B)
(PYCR2, ubiquitylated by, E4B)
(K11-linked polyubiquitin chain, binds to, TRA2A)
(K48-linked polyubiquitin chain, binds to, PYCR2)</t>
  </si>
  <si>
    <t>The relations in this sentence are:
1. Belonging: E4B belongs to the U-box E3 ubiquitin ligase family.
2. Function: E4B functions as either an E3 or an E4 enzyme in protein 
ubiquitination.
3. Study: Lu et al. studied the differential degradation of TRA2A and 
PYCR2 by E3 ubiquitin ligase E4B.
4. Validation: The study validated the ubiquitination of TRA2A and PYCR2 
by E4B in vitro and in mammalian cells.
5. Mediation: E4B mediated the degradation by forming K11- and K48-linked 
polyubiquitin chains on TRA2A and PYCR2, respectively.
So, there are five types of relations:
* Belonging (E4B → U-box E3 ubiquitin ligase family)
* Function (E4B → E3 or E4 enzyme in protein ubiquitination)
* Study (Lu et al. → differential degradation of TRA2A and PYCR2 by E4B)
* Validation (study → ubiquitination of TRA2A and PYCR2 by E4B)
* Mediation (E4B → degradation of TRA2A and PYCR2)</t>
  </si>
  <si>
    <t>The relation between K11-linked polyubiquitin chain and TRA2A is:
1. Targeting: The K11-linked polyubiquitin chain is targeted to TRA2A.
In other words, the sentence suggests that E4B forms a K11-linked 
polyubiquitin chain on TRA2A.
The relation between TRA2A and E4B is:
1. Ubiquitination: E4B ubiquitinates TRA2A.
This sentence implies that E4B adds ubiquitin to TRA2A.
The relation between PYCR2 and E4B is:
1. Ubiquitination: E4B ubiquitinates PYCR2.
This sentence implies that E4B adds ubiquitin to PYCR2.</t>
  </si>
  <si>
    <t xml:space="preserve">Polyubiquitination of IRAK-1 and TRAF6 is induced by stimulation of interleukin-1 receptor (IL-1R) or of TLRs by pathogens. </t>
  </si>
  <si>
    <t>(IL-1R, induces polyubiquitylation of, IRAK-1)
(IL-1R, induces polyubiquitylation of, TRAF6)</t>
  </si>
  <si>
    <t>The relations in this sentence are:
1. Induction: Stimulation of IL-1R or TLRs induces polyubiquitination.
2. Polyubiquitination: Polyubiquitination is induced for IRAK-1 and TRAF6.
So, there are two types of relations:
* Induction (stimulation → polyubiquitination)
* Polyubiquitination (polyubiquitination → IRAK-1 and TRAF6)</t>
  </si>
  <si>
    <t>The relation between IL-1R and TRAF6 is:
1. Stimulation: IL-1R stimulates the polyubiquitination of TRAF6.
This sentence implies that the stimulation of IL-1R leads to the induction of polyubiquitination on TRAF6.</t>
  </si>
  <si>
    <t>For example, the UBE2E family of E2 enzymes directly ubiquitinate the substrate SETDB1 in a manner independent of ubiquitin ligase E3, and conjugated ubiquitin is protected from active deubiquitination.</t>
  </si>
  <si>
    <t>(SETDB1, ubiquitylated by, UBE2E)</t>
  </si>
  <si>
    <t>The relations in this sentence are:
1. Direct ubiquitination: The UBE2E family of E2 enzymes directly ubiquitinates the substrate SETDB1.
2. Independence: This direct ubiquitination occurs independently of ubiquitin ligase E3.
So, there are two types of relations:
* Direct ubiquitination (UBE2E → SETDB1)
* Independence (UBE2E and SETDB1 are independent of E3)</t>
  </si>
  <si>
    <t>Our results are consistent with a model in which BRD1732 is ubiquitinated by RNF19 proteins, and accumulation of the resulting ubiquitin-BRD1732 conjugate leads to competitive inhibition of the ubiquitin-proteasome system (Fig. 4F).</t>
  </si>
  <si>
    <t>(BRD1732, ubiquitylated by, RNF19)</t>
  </si>
  <si>
    <t>The relations in this sentence are:
1. Ubiquitination: BRD1732 is ubiquitinated by RNF19 proteins.
2. Accumulation: The resulting ubiquitin-BRD1732 conjugate accumulates.
3. Competitive inhibition: The accumulation of the ubiquitin-BRD1732 conjugate leads to competitive 
inhibition of the ubiquitin-proteasome system.
So, there are three types of relations:
* Ubiquitination (RNF19 → BRD1732)
* Accumulation (ubiquitin-BRD1732 conjugate accumulates)
* Competitive inhibition (accumulated conjugate inhibits the ubiquitin-proteasome system)</t>
  </si>
  <si>
    <t>The N-terminal end of proteins can be also targeted for ubiquitination. The ubiquitin-conjugating enzyme, UBE2W catalyzes ubiquitination on the N-terminal end of UCHL1 and UCHL5, altering their DUB activity. There are also several other proteins such as FKBP1A, SURF4, DUT, GADD45A, TXNL1, EIFR3G, TAM1, STAM, and PAPOLA targeted for the N-terminal ubiquitination in which the role of ubiquitination and the responsible enzymes remain unclear.</t>
  </si>
  <si>
    <t xml:space="preserve">(UBE2W, catalyzes ubiquitination of, UCHL1)
(UBE2W, catalyzes ubiquitination of, UCHL5)
(UBE2W, catalyzes ubiquitination of, FKBP1A)
(UBE2W, catalyzes ubiquitination of, SURF4)
(UBE2W, catalyzes ubiquitination of, DUT)
(UBE2W, catalyzes ubiquitination of, GADD45A)
(UBE2W, catalyzes ubiquitination of, TXNL1)
(UBE2W, catalyzes ubiquitination of, EIFR3G)
(UBE2W, catalyzes ubiquitination of, TAM1)
(UBE2W, catalyzes ubiquitination of, STAM)
(UBE2W, catalyzes ubiquitination of, PAPOLA)
</t>
  </si>
  <si>
    <t>The relations in this sentence are:
1. Targeting: The N-terminal end of proteins can be targeted for ubiquitination.
2. Catalysis: UBE2W catalyzes ubiquitination on the N-terminal end of UCHL1 and UCHL5, altering their DUB 
activity.
Additionally, there is a list of proteins that are also targeted for N-terminal ubiquitination, but the 
role of ubiquitination and the responsible enzymes remain unclear:
* FKBP1A
* SURF4
* DUT
* GADD45A
* TXNL1
* EIFR3G
* TAM1
* STAM
* PAPOLA
So, there are two main types of relations:
* Targeting (N-terminal end → ubiquitination)
* Catalysis (UBE2W → UCHL1 and UCHL5)
And a list of proteins that are targeted for N-terminal ubiquitination, but the details are unclear.</t>
  </si>
  <si>
    <t xml:space="preserve">Ubiquitination of LPS is catalyzed by the RING-type ubiquitin ligase RNF213/Mysterin (Fig. 3 B), a distinct E3 ligase linked to Moyamoya disease, a cerebrovascular disorder. </t>
  </si>
  <si>
    <t>(RNF213, catalyzes ubiquitination of, LPS)</t>
  </si>
  <si>
    <t>The relations in this sentence are:
1. Catalysis: RNF213/Mysterin catalyzes the ubiquitination of LPS.
2. Linkage: RNF213/Mysterin is linked to Moyamoya disease, a cerebrovascular disorder.
So, there are two types of relations:
* Catalysis (RNF213/Mysterin → LPS)
* Linkage (RNF213/Mysterin → Moyamoya disease)</t>
  </si>
  <si>
    <t>More recently, sugars (glycogen and maltoheptaose) were shown to be ubiquitinated by the RBR-type ubiquitin ligase HOIL-1 (Fig. 3 C). Sugar ubiquitination by HOIL-1 with the E2 UbcH7 has been confirmed in vitro.</t>
  </si>
  <si>
    <t>(Glycogen, ubiquitinated by, HOIL-1)
(Maltoheptaose, ubiquitinated by, HOIL-1)</t>
  </si>
  <si>
    <t>The relations in this sentence are:
1. Ubiquitination: Sugars (glycogen and maltoheptaose) are ubiquitinated by HOIL-1.
2. Confirmation: Sugar ubiquitination by HOIL-1 with the E2 UbcH7 has been confirmed in vitro.
So, there are two types of relations:
* Ubiquitination (HOIL-1 → sugars)
* Confirmation (in vitro confirmation of sugar ubiquitination)</t>
  </si>
  <si>
    <t>Rad6-Rad18 is the E2 ubiquitin-conjugating enzyme/E3 ubiquitin ligase that catalyzes the mono-ubiquitylation of PCNA.</t>
  </si>
  <si>
    <t>(PCNA, mono-ubiquitylated by, Rad6-Rad18)</t>
  </si>
  <si>
    <t>The relations in this sentence are:
1. Catalysis: Rad6-Rad18 catalyzes the mono-ubiquitylation of PCNA.
So, there is one type of relation:
* Catalysis (Rad6-Rad18 → mono-ubiquitylation of PCNA)</t>
  </si>
  <si>
    <t>Yeast Rad5 is a 134 kDa protein that has two functions. First, it is an E3 ubiquitin ligase that binds Ubc13-Mms2 and forms K63-linked poly-ubiquitin chains on mono-ubiquitylated PCNA.</t>
  </si>
  <si>
    <t>(Rad5, binds to, Ubc13-Mms2)</t>
  </si>
  <si>
    <t>The relations in this sentence are:
1. Function: Rad5 has the function of being an E3 ubiquitin ligase.
2. Binding: Rad5 binds to Ubc13-Mms2.
3. Formation: Rad5 forms K63-linked poly-ubiquitin chains on mono-ubiquitylated PCNA.
So, there are three types of relations:
* Function (Rad5 → E3 ubiquitin ligase)
* Binding (Rad5 → Ubc13-Mms2)
* Formation (Rad5 → K63-linked poly-ubiquitin chains on mono-ubiquitylated PCNA)</t>
  </si>
  <si>
    <t>A substantial amount of evidence suggests that the Rad18 protein, which is the E3 ubiquitin ligase responsible for PCNA mono-ubiquitylation, and the Rad5 protein, which is the E3 ubiquitin ligase responsible for PCNA poly-ubiquitylation, play a more direct role in orchestrating the events leading to DNA damage bypass than was originally thought.</t>
  </si>
  <si>
    <t>(PCNA, mono-ubiquitylated by, Rad18)
(PCNA, poly-ubiquitylated by, Rad5)</t>
  </si>
  <si>
    <t>The relations in this sentence are:
1. Responsibility: Rad18 is the E3 ubiquitin ligase responsible for PCNA mono-ubiquitylation.
2. Responsibility: Rad5 is the E3 ubiquitin ligase responsible for PCNA poly-ubiquitylation.
3. Role: Rad18 and Rad5 play a more direct role in orchestrating the events leading to DNA damage bypass.
So, there are three types of relations:
* Responsibility (Rad18 → PCNA mono-ubiquitylation)</t>
  </si>
  <si>
    <t>IκBα ubiquitination occurs when IκBα is phosphorylated at Ser32/Ser36. Phosphorylation of Ser32/Ser36 allows certain ubiquitin E3 ligases to recognize IκBα. Ubiquitinated IκBα is then recognized by the proteasome complex, which leads to its degradation.</t>
  </si>
  <si>
    <t>(IκBα, phosphorylated at, Ser32/Ser36)</t>
  </si>
  <si>
    <t>The relations in this sentence are:
1. Occurrence: IκBα ubiquitination occurs.
2. Condition: Phosphorylation of Ser32/Ser36 allows certain ubiquitin E3 ligases to recognize IκBα.
3. Recognition: Ubiquitinated IκBα is recognized by the proteasome complex.
4. Consequence: The degradation of IκBα.
So, there are four types of relations:
* Occurrence (IκBα ubiquitination → occurs)
* Condition (phosphorylation → allows recognition)
* Recognition (ubiquitinated IκBα → recognized by proteasome complex)
* Consequence (degradation → results from ubiquitination)</t>
  </si>
  <si>
    <t>Depending on the linkage between ubiquitin molecules, these chains can encode distinct information. For example, chains linked through Lys48 of ubiquitin (K48-linked chains) are a targeting device for protein degradation by the 26S proteasome</t>
  </si>
  <si>
    <t>(K48-linked ubiquitin, degraded by, 26S proteasome)</t>
  </si>
  <si>
    <t>The relations in this sentence are:
1. Encoding: The linkage between ubiquitin molecules can encode distinct information.
2. Linkage: Chains linked through Lys48 of ubiquitin (K48-linked chains) are a targeting device.
So, there are two types of relations:
* Encoding (linkage → encodes information)
* Linkage (K48-linked chains → targeting device for protein degradation)</t>
  </si>
  <si>
    <t xml:space="preserve">The relation between K48-linked ubiquitin and 26S proteasome is:
* Targeting: K48-linked chains target proteins for degradation by the 26S proteasome.
So, there is one type of relation:
* Targeting (K48-linked chains → targets protein degradation by 26S proteasome)
</t>
  </si>
  <si>
    <t>Ubiquitin moieties are linked by an isopeptide bond between a Gly76 carboxyl group and either a Lys sidechain primary amino group (Lys6, Lys11, Lys27, Lys29, Lys33, Lys48, or Lys63) or the ubiquitin amino terminus (Met1)</t>
  </si>
  <si>
    <t>(ubiquitin, binds to, Lys6)
(ubiquitin, binds to, Lys11)
(ubiquitin, binds to, Lys27)
(ubiquitin, binds to, Lys29)
(ubiquitin, binds to, Lys33)
(ubiquitin, binds to, Lys48)
(ubiquitin, binds to, Lys63)
(ubiquitin, binds to, Met1)</t>
  </si>
  <si>
    <t>The relations in this sentence are:
1. Linkage: Ubiquitin moieties are linked by an isopeptide bond.
2. Connection: The connection between ubiquitin moieties is through either a Gly76 carboxyl group and Lys 
sidechain primary amino group or the ubiquitin amino terminus (Met1).
So, there are two types of relations:
* Linkage (ubiquitin moieties → linked by an isopeptide bond)
* Connection (Gly76 carboxyl group/Lys sidechain primary amino group/Met1 → connects ubiquitin moieties)</t>
  </si>
  <si>
    <t>The relation between ubiquitin and Lys6 is:
* Bonding: Ubiquitin moieties are linked by an isopeptide bond to Lys6.
So, there is one type of relation:
* Bonding (ubiquitin → bonded to Lys6 via isopeptide bond)</t>
  </si>
  <si>
    <t xml:space="preserve">The specific enzymes that
catalyze modification by ubiquitin-like proteins are somewhat
different from those involved in conjugation of ubiquitin,
though they utilize a similar mechanism. Thus SUMO (Small
Ubiquitin MOdifier), for example, is conjugated by a
heterodimeric E1-Aos1/Uba2, and the E2-conjugating enzyme
Ubc9. </t>
  </si>
  <si>
    <t>(SUMO, conjugated by, E1-Aos1/Uba2)
(SUMO, conjugated by, Ubc9)</t>
  </si>
  <si>
    <t>1. Difference: The specific enzymes that catalyze modification by ubiquitin-like proteins are different 
from those involved in conjugation of ubiquitin.
2. Similarity: Though they utilize a similar mechanism.
So, there are two types of relations:
* Difference (enzymes for ubiquitin-like proteins → different from those for ubiquitin)
* Similarity (mechanism → similar between ubiquitin and ubiquitin-like proteins)
Additionally, the sentence mentions SUMO being conjugated by specific enzymes, which can be seen as 
another relation:
3. Conjugation: SUMO is conjugated by a heterodimeric E1-Aos1/Uba2 and an E2-conjugating enzyme Ubc9.
So, there are three types of relations in total:
* Difference (enzymes for ubiquitin-like proteins → different from those for ubiquitin)
* Similarity (mechanism → similar between ubiquitin and ubiquitin-like proteins)
* Conjugation (SUMO → conjugated by specific enzymes)</t>
  </si>
  <si>
    <t>IKK then phosphorylates IκBα to target IκBα for K48 polyubiquitination, which leads to the degradation of ubiquitinated IκBα by the proteasome, allowing the p50/RelA complex to enter the nucleus and activate target genes.</t>
  </si>
  <si>
    <t>(IκBα, ubiquitinated by, IKK)</t>
  </si>
  <si>
    <t>The relations in this sentence are:
1. Phosphorylation: IKK phosphorylates IκBα.
2. Targeting: The phosphorylated IκBα is targeted for K48 polyubiquitination.
3. Conjugation: IκBα becomes ubiquitinated, which leads to its degradation by the proteasome.
4. Degradation: Ubiquitinated IκBα is degraded by the proteasome.
5. Activation: The p50/RelA complex enters the nucleus and activates target genes.
So, there are five types of relations:
* Phosphorylation (IKK → phosphorylates IκBα)
* Targeting (phosphorylated IκBα → targeted for K48 polyubiquitination)
* Conjugation (IκBα → becomes ubiquitinated)
* Degradation (ubiquitinated IκBα → degraded by the proteasome)
* Activation (p50/RelA complex → enters nucleus and activates target genes)</t>
  </si>
  <si>
    <t>In the non-canonical pathway, under unstimulated conditions, NIK is persistently degraded by the proteasome due to K48 polyubiquitination by cIAP1/2 because the TRAF2/TRAF3 heterodimer acts as a molecular bridge between NIK and cIAP1/2.</t>
  </si>
  <si>
    <t>(NIK, polyubiquitinated by, cIAP1/2)</t>
  </si>
  <si>
    <t>The relations in this sentence are:
1. Degradation: NIK is degraded by the proteasome.
2. Polyubiquitination: NIK undergoes K48 polyubiquitination.
3. Catalysis: The polyubiquitination of NIK is catalyzed by cIAP1/2.
4. Bridge: The TRAF2/TRAF3 heterodimer acts as a molecular bridge between NIK and cIAP1/2.
So, there are four types of relations:
* Degradation (NIK → degraded by the proteasome)
* Polyubiquitination (NIK → undergoes K48 polyubiquitination)
* Catalysis (cIAP1/2 → catalyzes polyubiquitination of NIK)
* Bridge (TRAF2/TRAF3 heterodimer → acts as molecular bridge between NIK and cIAP1/2)</t>
  </si>
  <si>
    <t>We focused on the E3 activity of TRAF6 and found that, upon IL-1 stimulation, TAK1 undergoes K63-type polyubiquitination catalyzed by TRAF6 (E3) and Ubc13 (E2), which is required for TAK1 activation.</t>
  </si>
  <si>
    <t>(TAK1, polyubiquitinated by, TRAF6)
(TAK1, polyubiquitinated by, TAK1)</t>
  </si>
  <si>
    <t>The relations in this sentence are:
1. Catalysis: TRAF6 (E3) and Ubc13 (E2) catalyze the polyubiquitination of TAK1.
2. Polyubiquitination: TAK1 undergoes K63-type polyubiquitination.
3. Requirement: The polyubiquitination of TAK1 is required for its activation.
So, there are three types of relations:
* Catalysis (TRAF6 and Ubc13 → catalyze polyubiquitination of TAK1)
* Polyubiquitination (TAK1 → undergoes K63-type polyubiquitination)
* Requirement (polyubiquitination → required for activation of TAK1)</t>
  </si>
  <si>
    <t xml:space="preserve">BRCA1 polyubiquitinates CSB and this polyubiquitination and subsequent degradation of CSB occur following UV irradiation, even in the absence of Cockayne syndrome A (CSA) protein. </t>
  </si>
  <si>
    <t>(CSB, polyubiquitinated by, BRCA1)</t>
  </si>
  <si>
    <t>The relations in this sentence are:
1. Polyubiquitination: BRCA1 polyubiquitinates CSB.
2. Consequence: The polyubiquitination of CSB leads to its degradation.
3. Condition: This process occurs following UV irradiation.
4. Independence: This process can occur even in the absence of CSA protein.
So, there are four types of relations:
* Polyubiquitination (BRCA1 → polyubiquitinates CSB)
* Consequence (polyubiquitination → leads to degradation of CSB)
* Condition (UV irradiation → necessary for this process)
* Independence (absence of CSA protein → does not affect this process)</t>
  </si>
  <si>
    <t>BRCA1 associates with RNA polymerase II (RNAPII)( 14 ) and mediates the ubiquitination of RNAPII following UV irradiation</t>
  </si>
  <si>
    <t>(RNAPII, ubiquitinated by, BRCA1)</t>
  </si>
  <si>
    <t>The relations in this sentence are:
1. Association: BRCA1 associates with RNA polymerase II (RNAPII).
2. Mediation: BRCA1 mediates the ubiquitination of RNAPII.
3. Condition: This process occurs following UV irradiation.
So, there are three types of relations:
* Association (BRCA1 → associates with RNAPII)
* Mediation (BRCA1 → mediates ubiquitination of RNAPII)
* Condition (UV irradiation → necessary for this process)</t>
  </si>
  <si>
    <t>Hypoxia inducible factor (HIF)-mediated response to hypoxic conditions is turned off by VHL-mediated ubiquitination of HIFα. To achieve this, VHL binds HIFα and recruits it to a specific E3 ubiquitin ligase complex, a Cullin-RING-ligase.</t>
  </si>
  <si>
    <t>(VHL, binds to, HIFα)
(HIFα, binds to, Cullin-RING-ligase)</t>
  </si>
  <si>
    <t>The relations in this sentence are:
1. Mediation: HIF-mediated response is mediated by hypoxic conditions.
2. Regulation: The HIF-mediated response is turned off.
3. Mechanism: The turning off of the HIF-mediated response is achieved through VHL-mediated 
ubiquitination of HIFα.
4. Binding: VHL binds to HIFα.
5. Recruitment: VHL recruits HIFα to a specific E3 ubiquitin ligase complex.
So, there are five types of relations:
* Mediation (HIF → mediated by hypoxic conditions)
* Regulation (HIF-mediated response → turned off)
* Mechanism (turning off → achieved through VHL-mediated ubiquitination of HIFα)
* Binding (VHL → binds to HIFα)
* Recruitment (VHL → recruits HIFα to E3 ubiquitin ligase complex)</t>
  </si>
  <si>
    <t>The relation between HIFa and Cullin-RING-ligase is:
* Recruitment: HIFα is recruited by VHL to a specific E3 ubiquitin ligase complex, which is the 
Cullin-RING-ligase.
In other words, HIFα is brought into association with the Cullin-RING-ligase through the recruitment 
activity of VHL.</t>
  </si>
  <si>
    <t>The F-box protein Skp2 mediates c-Myc ubiquitylation by binding to the MB2 domain.</t>
  </si>
  <si>
    <t>(c-Myc, ubiquitylated by, Skp2)</t>
  </si>
  <si>
    <t>The relations in this sentence are:
1. Mediation: Skp2 mediates c-Myc ubiquitylation.
2. Binding: Skp2 binds to the MB2 domain.
So, there are two types of relations:
* Mediation (Skp2 → mediates c-Myc ubiquitylation)
* Binding (Skp2 → binds to MB2 domain)</t>
  </si>
  <si>
    <t>In this study, RagA was modified by polyubiquitination in an amino acid-sensitive manner. By screening a series of E3 ligases, RNF152, a lysosomal E3 ligase, was identified to mediate K63-linked polyubiquitination of RagA.</t>
  </si>
  <si>
    <t>(RagA, ubiquitinated by, RNF152)</t>
  </si>
  <si>
    <t>The relations in this sentence are:
1. Modification: RagA is modified by polyubiquitination.
2. Sensitivity: The modification is sensitive to amino acids.
3. Mediation: RNF152 mediates the polyubiquitination of RagA.
So, there are three types of relations:
* Modification (RagA → is modified by polyubiquitination)
* Sensitivity (modification → is sensitive to amino acids)
* Mediation (RNF152 → mediates K63-linked polyubiquitination of RagA)</t>
  </si>
  <si>
    <t>Moreover, SKP2, another E3 ligase, could mediate RagA polyubiquitination on lysine 15.</t>
  </si>
  <si>
    <t>(RagA, ubiquitinated by, SKP2)</t>
  </si>
  <si>
    <t>The relations in this sentence are:
1. Mediation: SKP2 mediates RagA polyubiquitination.
2. Targeting: The polyubiquitination targets lysine 15 of RagA.
So, there are two types of relations:
* Mediation (SKP2 → mediates RagA polyubiquitination)
* Targeting (polyubiquitination → targets lysine 15 of RagA)</t>
  </si>
  <si>
    <t>In addition to RNF152/SKP2, TRAF6, an E3 ligase, is also reported to regulate mTOR translocation to the lysosome in response to amino acid stimulation by catalyzing the K63 ubiquitination of mTOR in the form of the p62-TRAF6 heterodimer complex.</t>
  </si>
  <si>
    <t>(mTOR, ubiquitinated by, TRAF6)</t>
  </si>
  <si>
    <t>The relations in this sentence are:
1. Regulation: TRAF6 regulates mTOR translocation.
2. Mechanism: The regulation is achieved through catalysis.
3. Catalysis: TRAF6 catalyzes K63 ubiquitination of mTOR.
4. Complex formation: The K63 ubiquitination occurs within the p62-TRAF6 heterodimer complex.
So, there are four types of relations:
* Regulation (TRAF6 → regulates mTOR translocation)
* Mechanism (regulation → is achieved through catalysis)
* Catalysis (TRAF6 → catalyzes K63 ubiquitination of mTOR)
* Complex formation (K63 ubiquitination → occurs within p62-TRAF6 heterodimer complex)</t>
  </si>
  <si>
    <t>In this process, FBXW7 directly binds to mTOR and mediates its degradation by the proteasome (Fig. 2a)</t>
  </si>
  <si>
    <t>(FBXW7, binds to, mTOR)</t>
  </si>
  <si>
    <t>The relations in this sentence are:
1. Binding: FBXW7 directly binds to mTOR.
2. Mediation: FBXW7 mediates the degradation of mTOR.
So, there are two types of relations:
* Binding (FBXW7 → directly binds to mTOR)
* Mediation (FBXW7 → mediates degradation of mTOR)</t>
  </si>
  <si>
    <t>RNF168 plays a central role in the DNA damage response (DDR) by ubiquitylating histone H2A at K13 and K15.</t>
  </si>
  <si>
    <t>(RNF168, ubiquitylate, H2A at K13)
(RNF168, ubiquitylate, H2A at K15)</t>
  </si>
  <si>
    <t>The relations in this sentence are:
1. Role: RNF168 plays a central role.
2. Function: The role is to participate in the DDR.
3. Ubiquitination: RNF168 ubiquitylates histone H2A.
4. Targeting: The ubiquitination targets specific sites, namely K13 and K15.
So, there are four types of relations:
* Role (RNF168 → plays a central role)
* Function (role → is to participate in DDR)
* Ubiquitination (RNF168 → ubiquitylates histone H2A)
* Targeting (ubiquitination → targets specific sites K13 and K15)</t>
  </si>
  <si>
    <t>Briefly, Rsp5 (NEDD4 in human cells) is responsible for generating a K63 linked poly-ubiquitin chain on RPB1, which is then trimmed to mono-ubiquitylation by the Rsp5-associated deubiquitinating enzyme (DUB) Ubp2.</t>
  </si>
  <si>
    <t>(RPB1, ubiquitinated by, Rsp5)
(Ubp2, mono-ubiquitinates, RPB1)</t>
  </si>
  <si>
    <t>The relations in this sentence are:
1. Generation: Rsp5 generates a K63 linked poly-ubiquitin chain on RPB1.
2. Targeting: The generation targets RPB1.
3. Trimmination: The generated chain is trimmed to mono-ubiquitylation by Ubp2.
4. Association: Ubp2 is associated with Rsp5.
So, there are four types of relations:
* Generation (Rsp5 → generates a K63 linked poly-ubiquitin chain on RPB1)
* Targeting (generation → targets RPB1)
* Trimmination (generated chain → is trimmed to mono-ubiquitylation by Ubp2)
* Association (Ubp2 → is associated with Rsp5)</t>
  </si>
  <si>
    <t>The relation between Ubp2 and RPB1 is:
* Targeting: Ubp2 targets RPB1 for trimmination.
In other words, Ubp2 is involved in trimming or removing ubiquitin from RPB1.</t>
  </si>
  <si>
    <t>While this two-ligase system has been successfully reconstituted for yeast and mammalian factors in vitro , the human E3 ligase VHL has also been shown to ubiquitylate RPB1 in vivo .</t>
  </si>
  <si>
    <t>(RPB1, ubiquitylated by, VHL)</t>
  </si>
  <si>
    <t>The relations in this sentence are:
1. Reconstitution: A two-ligase system is reconstituted.
2. Targeting: The system targets yeast and mammalian factors.
3. Ubiquitination: VHL ubiquitylates RPB1.
4. Context: The ubiquitination occurs in vivo.
So, there are four types of relations:
* Reconstitution (two-ligase system → is reconstituted)
* Targeting (reconstitution → targets yeast and mammalian factors)
* Ubiquitination (VHL → ubiquitylates RPB1)
* Context (ubiquitination → occurs in vivo)</t>
  </si>
  <si>
    <t>Consequently, p-T58-MYC is recognized by SCFFbw7 for K48-linked ubiquitination and degradation through the proteasome system.</t>
  </si>
  <si>
    <t>(p-T58-MYC, ubiquitinated by, SCFFbw7)</t>
  </si>
  <si>
    <t>The relations in this sentence are:
1. Recognition: p-T58-MYC is recognized by SCFFbw7.
2. Ubiquitination: SCFFbw7 performs K48-linked ubiquitination on p-T58-MYC.
3. Degradation: The ubiquitination leads to degradation through the proteasome system.
So, there are three types of relations:
* Recognition (p-T58-MYC → is recognized by SCFFbw7)
* Ubiquitination (SCFFbw7 → performs K48-linked ubiquitination on p-T58-MYC)
* Degradation (ubiquitination → leads to degradation through the proteasome system)</t>
  </si>
  <si>
    <t>As the substrate-binding subunit of the SCFSkp2 ubiquitin ligase complex, Skp2 was shown to bind to the MBII and bHLH-LZ domains of MYC and can mediate its ubiquitination and degradation during the G1/S transition of the cell cycle.</t>
  </si>
  <si>
    <t>(Skp2, binds to, MBII domain of MYC)
(Skp2, binds to, bHLH-LZ domain of MYC)</t>
  </si>
  <si>
    <t>The relations in this sentence are:
1. Binding: Skp2 binds to the MBII and bHLH-LZ domains of MYC.
2. Mediation: Skp2 mediates the ubiquitination and degradation of MYC.
So, there are two types of relations:
* Binding (Skp2 → binds to the MBII and bHLH-LZ domains of MYC)
* Mediation (Skp2 → mediates the ubiquitination and degradation of MYC)</t>
  </si>
  <si>
    <t xml:space="preserve"> SCFFBXO32 targets MYC for proteasome degradation by promoting MYC ubiquitination at K326 via K48-linked ubiquitin chains independently of T58 or S62 phosphorylation. FBXO32 interacts with MYC at MBII, MBIV and a PEST (rich in proline, glutamic acid, serine and threonine) domain.</t>
  </si>
  <si>
    <t>(SCFFBXO32, ubiquitinates, MYC at K326)</t>
  </si>
  <si>
    <t>The relations in this sentence are:
1. Targeting: SCFFBXO32 targets MYC for proteasome degradation.
2. Promotion: SCFFBXO32 promotes MYC ubiquitination at K326 via K48-linked ubiquitin chains.
3. Interaction: FBXO32 interacts with MYC at MBII, MBIV and a PEST domain.
So, there are three types of relations:
* Targeting (SCFFBXO32 → targets MYC for proteasome degradation)
* Promotion (SCFFBXO32 → promotes MYC ubiquitination at K326 via K48-linked ubiquitin chains)
* Interaction (FBXO32 → interacts with MYC at MBII, MBIV and a PEST domain)</t>
  </si>
  <si>
    <t>SPOP mediates ubiquitination and degradation of MYC by directly binding to MYC, while this binding is attenuated by the prostate cancer-associated mutations, SPOPF102C and SPOPF133V.</t>
  </si>
  <si>
    <t>(SPOP, binds to, MYC)
(SPOP, ubiquitinates, MYC)</t>
  </si>
  <si>
    <t>The relations in this sentence are:
1. Mediation: SPOP mediates ubiquitination and degradation of MYC.
2. Binding: SPOP directly binds to MYC.
3. Attenuation: The prostate cancer-associated mutations, SPOPF102C and SPOPF133V, attenuate the binding 
between SPOP and MYC.
So, there are three types of relations:
* Mediation (SPOP → mediates ubiquitination and degradation of MYC)
* Binding (SPOP → directly binds to MYC)
* Attenuation (SPOPF102C and SPOPF133V → attenuate the binding between SPOP and MYC)</t>
  </si>
  <si>
    <t>The correct relation between SPOP and MYC is:
* Binding (SPOP → binds to MYC)
This is because the sentence states that SPOP directly binds to MYC.
I apologize for the mistake earlier when I mentioned "Ubiquitination" as a relation. The correct list of 
relations remains:
1. Mediation: SPOP mediates ubiquitination and degradation of MYC.
2. Binding: SPOP binds to MYC.
3. Attenuation: The prostate cancer-associated mutations, SPOPF102C and SPOPF133V, attenuate the binding 
between SPOP and MYC.
Thank you for pointing out the error!</t>
  </si>
  <si>
    <t>Recently, LINC01638 lncRNA has been shown to stabilize MYC by blocking the binding between SPOP and MYC and thus inhibiting SPOP- induced MYC ubiquitination and degradation in TNBCs, indicating a new RNA-mediated mechanism utilized by cancer cells to stabilize MYC protein.</t>
  </si>
  <si>
    <t>(LINC01638, inhibits ubiquitination of, MYC)</t>
  </si>
  <si>
    <t>The relations in this sentence are:
1. Stabilization: LINC01638 lncRNA stabilizes MYC.
2. Blocking: LINC01638 lncRNA blocks the binding between SPOP and MYC.
3. Inhibition: LINC01638 lncRNA inhibits SPOP-induced MYC ubiquitination and degradation.
So, there are three types of relations:
* Stabilization (LINC01638 lncRNA → stabilizes MYC)
* Blocking (LINC01638 lncRNA → blocks the binding between SPOP and MYC)
* Inhibition (LINC01638 lncRNA → inhibits SPOP-induced MYC ubiquitination and degradation)</t>
  </si>
  <si>
    <t>However, subsequent studies showed that Pirh2 binds to MYC and mediates MYC polyubiquitination and proteasome degradation, suggesting that Pirh2 is a bona fide ubiquitin E3 ligase for MYC.</t>
  </si>
  <si>
    <t>(Pirh2, ubiquitinates, MYC)
(Pirh2, binds to, MYC)</t>
  </si>
  <si>
    <t>The relations in this sentence are:
1. Binding: Pirh2 binds to MYC.
2. Mediation: Pirh2 mediates MYC polyubiquitination and proteasome degradation.
So, there are two types of relations:
* Binding (Pirh2 → binds to MYC)
* Mediation (Pirh2 → mediates MYC polyubiquitination and proteasome degradation)
Note that the sentence also implies a type of relation between Pirh2 and ubiquitin E3 ligase, which can 
be represented as:
* Classification: Pirh2 is classified as a bona fide ubiquitin E3 ligase for MYC.</t>
  </si>
  <si>
    <t xml:space="preserve"> TRUSS interacts with both MYC and N-MYC at their C-terminal bHLH-LZ domain, thus mediating DCX-dependent MYC ubiquitination and degradation.</t>
  </si>
  <si>
    <t>(TRUSS, ubiquitinates, MYC)</t>
  </si>
  <si>
    <t>The relations in this sentence are:
1. Interaction: TRUSS interacts with MYC and N-MYC.
2. Location: The interaction occurs at the C-terminal bHLH-LZ domain of MYC and N-MYC.
3. Mediation: TRUSS mediates DCX-dependent MYC ubiquitination and degradation.
So, there are three types of relations:
* Interaction (TRUSS → interacts with MYC and N-MYC)
* Location (the interaction occurs at the C-terminal bHLH-LZ domain of MYC and N-MYC)
* Mediation (TRUSS → mediates DCX-dependent MYC ubiquitination and degradation)</t>
  </si>
  <si>
    <t>It has been shown that CHIP mediates polyubiquitination of MYC for degradation and suppresses MYC activity.</t>
  </si>
  <si>
    <t>(CHIP, polyubiquitinates, MYC)</t>
  </si>
  <si>
    <t>The relations in this sentence are:
1. Mediation: CHIP mediates polyubiquitination of MYC.
2. Consequence: Polyubiquitination leads to the degradation of MYC.
3. Regulation: CHIP suppresses the activity of MYC.
So, there are three types of relations:
* Mediation (CHIP → mediates polyubiquitination of MYC)
* Consequence (polyubiquitination → leads to degradation of MYC)
* Regulation (CHIP → suppresses the activity of MYC)</t>
  </si>
  <si>
    <t>ligand-receptor binding</t>
  </si>
  <si>
    <t>phosphorylation</t>
  </si>
  <si>
    <t>ubiquitylation</t>
  </si>
  <si>
    <t>total</t>
  </si>
  <si>
    <t>general prompt</t>
  </si>
  <si>
    <t>entity-specific prompt</t>
  </si>
  <si>
    <t>correct total</t>
  </si>
  <si>
    <t>overall total</t>
  </si>
  <si>
    <t>proportion correct on general prompt</t>
  </si>
  <si>
    <t>proportion correct overall</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</si>
</sst>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b/>
      <color theme="1"/>
      <name val="Arial"/>
    </font>
    <font>
      <b/>
      <color theme="1"/>
      <name val="Arial"/>
      <scheme val="minor"/>
    </font>
    <font>
      <color rgb="FF37474F"/>
      <name val="Arial"/>
    </font>
    <font>
      <color theme="1"/>
      <name val="Arial"/>
    </font>
    <font>
      <color theme="1"/>
      <name val="Arial"/>
      <scheme val="minor"/>
    </font>
    <font>
      <sz val="10.0"/>
      <color theme="1"/>
      <name val="Arial"/>
      <scheme val="minor"/>
    </font>
    <font>
      <color rgb="FF37474F"/>
      <name val="-apple-system"/>
    </font>
    <font>
      <color rgb="FF333333"/>
      <name val="Arial"/>
    </font>
    <font>
      <color rgb="FF212121"/>
      <name val="Arial"/>
    </font>
    <font>
      <color rgb="FF1F1F1F"/>
      <name val="Google Sans"/>
    </font>
    <font>
      <color theme="1"/>
      <name val="UtopiaStd"/>
    </font>
    <font>
      <color theme="1"/>
      <name val="HelveticaNeueLTStd"/>
    </font>
    <font>
      <sz val="11.0"/>
      <color theme="1"/>
      <name val="Arial"/>
    </font>
    <font>
      <sz val="7.0"/>
      <color theme="1"/>
      <name val="Arial"/>
    </font>
    <font>
      <sz val="7.0"/>
      <color theme="1"/>
      <name val="Aptos Narrow"/>
    </font>
    <font>
      <sz val="8.0"/>
      <color theme="1"/>
      <name val="Aptos Narrow"/>
    </font>
    <font>
      <sz val="8.0"/>
      <color theme="1"/>
      <name val="Arial"/>
    </font>
    <font>
      <sz val="8.0"/>
      <color rgb="FF000000"/>
      <name val="Arial"/>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2">
    <border/>
    <border>
      <bottom style="thin">
        <color rgb="FF000000"/>
      </bottom>
    </border>
    <border>
      <left style="thin">
        <color rgb="FF000000"/>
      </left>
    </border>
    <border>
      <left style="thin">
        <color rgb="FF000000"/>
      </left>
      <top style="thin">
        <color rgb="FF000000"/>
      </top>
    </border>
    <border>
      <left style="thin">
        <color rgb="FF000000"/>
      </left>
      <bottom style="thin">
        <color rgb="FF000000"/>
      </bottom>
    </border>
    <border>
      <left style="thin">
        <color rgb="FF000000"/>
      </left>
      <right style="thin">
        <color rgb="FF000000"/>
      </right>
      <top style="thin">
        <color rgb="FF000000"/>
      </top>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right style="thin">
        <color rgb="FF000000"/>
      </right>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readingOrder="0" shrinkToFit="0" vertical="bottom" wrapText="0"/>
    </xf>
    <xf borderId="1" fillId="0" fontId="2" numFmtId="0" xfId="0" applyAlignment="1" applyBorder="1" applyFont="1">
      <alignment readingOrder="0"/>
    </xf>
    <xf borderId="0" fillId="2" fontId="3" numFmtId="0" xfId="0" applyAlignment="1" applyFill="1" applyFont="1">
      <alignment readingOrder="0" shrinkToFit="0" vertical="bottom" wrapText="1"/>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2" fontId="4" numFmtId="0" xfId="0" applyAlignment="1" applyFont="1">
      <alignment horizontal="right" readingOrder="0" shrinkToFit="0" vertical="bottom" wrapText="0"/>
    </xf>
    <xf borderId="0" fillId="0" fontId="5" numFmtId="0" xfId="0" applyAlignment="1" applyFont="1">
      <alignment readingOrder="0"/>
    </xf>
    <xf borderId="0" fillId="0" fontId="6" numFmtId="0" xfId="0" applyAlignment="1" applyFont="1">
      <alignment readingOrder="0" shrinkToFit="0" wrapText="1"/>
    </xf>
    <xf borderId="0" fillId="2" fontId="3" numFmtId="0" xfId="0" applyAlignment="1" applyFont="1">
      <alignment shrinkToFit="0" vertical="bottom" wrapText="1"/>
    </xf>
    <xf borderId="0" fillId="2" fontId="7" numFmtId="0" xfId="0" applyAlignment="1" applyFont="1">
      <alignment shrinkToFit="0" vertical="bottom" wrapText="1"/>
    </xf>
    <xf borderId="2" fillId="0" fontId="4" numFmtId="0" xfId="0" applyAlignment="1" applyBorder="1" applyFont="1">
      <alignment readingOrder="0" shrinkToFit="0" vertical="bottom" wrapText="0"/>
    </xf>
    <xf borderId="0" fillId="0" fontId="4" numFmtId="0" xfId="0" applyAlignment="1" applyFont="1">
      <alignment horizontal="right" readingOrder="0" shrinkToFit="0" vertical="bottom" wrapText="0"/>
    </xf>
    <xf borderId="0" fillId="2" fontId="7" numFmtId="0" xfId="0" applyAlignment="1" applyFont="1">
      <alignment readingOrder="0" shrinkToFit="0" vertical="bottom" wrapText="1"/>
    </xf>
    <xf borderId="0" fillId="0" fontId="3" numFmtId="0" xfId="0" applyAlignment="1" applyFont="1">
      <alignment readingOrder="0" shrinkToFit="0" vertical="bottom" wrapText="1"/>
    </xf>
    <xf borderId="0" fillId="0" fontId="4" numFmtId="0" xfId="0" applyAlignment="1" applyFont="1">
      <alignment shrinkToFit="0" vertical="bottom" wrapText="1"/>
    </xf>
    <xf borderId="0" fillId="0" fontId="8" numFmtId="0" xfId="0" applyAlignment="1" applyFont="1">
      <alignment readingOrder="0" shrinkToFit="0" vertical="bottom" wrapText="1"/>
    </xf>
    <xf borderId="0" fillId="3" fontId="5" numFmtId="0" xfId="0" applyAlignment="1" applyFill="1" applyFont="1">
      <alignment readingOrder="0"/>
    </xf>
    <xf borderId="0" fillId="0" fontId="9" numFmtId="0" xfId="0" applyAlignment="1" applyFont="1">
      <alignment readingOrder="0" shrinkToFit="0" vertical="bottom" wrapText="1"/>
    </xf>
    <xf borderId="0" fillId="0" fontId="9" numFmtId="0" xfId="0" applyAlignment="1" applyFont="1">
      <alignment shrinkToFit="0" vertical="bottom" wrapText="1"/>
    </xf>
    <xf borderId="0" fillId="3" fontId="4" numFmtId="0" xfId="0" applyAlignment="1" applyFont="1">
      <alignment horizontal="right" readingOrder="0" shrinkToFit="0" vertical="bottom" wrapText="0"/>
    </xf>
    <xf borderId="0" fillId="2" fontId="9" numFmtId="0" xfId="0" applyAlignment="1" applyFont="1">
      <alignment shrinkToFit="0" vertical="bottom" wrapText="1"/>
    </xf>
    <xf borderId="0" fillId="0" fontId="4" numFmtId="0" xfId="0" applyAlignment="1" applyFont="1">
      <alignment readingOrder="0" shrinkToFit="0" vertical="bottom" wrapText="1"/>
    </xf>
    <xf borderId="0" fillId="3" fontId="4" numFmtId="0" xfId="0" applyAlignment="1" applyFont="1">
      <alignment readingOrder="0" shrinkToFit="0" vertical="bottom" wrapText="0"/>
    </xf>
    <xf borderId="0" fillId="0" fontId="10" numFmtId="0" xfId="0" applyAlignment="1" applyFont="1">
      <alignment shrinkToFit="0" vertical="bottom" wrapText="0"/>
    </xf>
    <xf borderId="0" fillId="0" fontId="11" numFmtId="0" xfId="0" applyAlignment="1" applyFont="1">
      <alignment shrinkToFit="0" vertical="bottom" wrapText="1"/>
    </xf>
    <xf borderId="0" fillId="0" fontId="12" numFmtId="0" xfId="0" applyAlignment="1" applyFont="1">
      <alignment shrinkToFit="0" vertical="bottom" wrapText="1"/>
    </xf>
    <xf borderId="0" fillId="0" fontId="4" numFmtId="0" xfId="0" applyAlignment="1" applyFont="1">
      <alignment vertical="bottom"/>
    </xf>
    <xf borderId="0" fillId="0" fontId="5" numFmtId="0" xfId="0" applyFont="1"/>
    <xf borderId="0" fillId="0" fontId="4" numFmtId="0" xfId="0" applyAlignment="1" applyFont="1">
      <alignment readingOrder="0" vertical="bottom"/>
    </xf>
    <xf borderId="0" fillId="0" fontId="1" numFmtId="0" xfId="0" applyAlignment="1" applyFont="1">
      <alignment readingOrder="0" shrinkToFit="0" vertical="bottom" wrapText="1"/>
    </xf>
    <xf borderId="0" fillId="0" fontId="5" numFmtId="0" xfId="0" applyAlignment="1" applyFont="1">
      <alignment shrinkToFit="0" wrapText="0"/>
    </xf>
    <xf borderId="1" fillId="0" fontId="1" numFmtId="0" xfId="0" applyAlignment="1" applyBorder="1" applyFont="1">
      <alignment shrinkToFit="0" vertical="bottom" wrapText="0"/>
    </xf>
    <xf borderId="1" fillId="0" fontId="1" numFmtId="0" xfId="0" applyAlignment="1" applyBorder="1" applyFont="1">
      <alignment horizontal="left" readingOrder="0" shrinkToFit="0" vertical="bottom" wrapText="1"/>
    </xf>
    <xf borderId="1" fillId="0" fontId="2" numFmtId="0" xfId="0" applyAlignment="1" applyBorder="1" applyFont="1">
      <alignment readingOrder="0" shrinkToFit="0" wrapText="1"/>
    </xf>
    <xf borderId="0" fillId="0" fontId="13" numFmtId="0" xfId="0" applyAlignment="1" applyFont="1">
      <alignment readingOrder="0" shrinkToFit="0" vertical="bottom" wrapText="1"/>
    </xf>
    <xf borderId="0" fillId="0" fontId="14" numFmtId="0" xfId="0" applyAlignment="1" applyFont="1">
      <alignment shrinkToFit="0" vertical="bottom" wrapText="0"/>
    </xf>
    <xf borderId="0" fillId="2" fontId="4" numFmtId="0" xfId="0" applyAlignment="1" applyFont="1">
      <alignment horizontal="left" readingOrder="0" shrinkToFit="0" vertical="bottom" wrapText="1"/>
    </xf>
    <xf borderId="0" fillId="0" fontId="13" numFmtId="0" xfId="0" applyAlignment="1" applyFont="1">
      <alignment shrinkToFit="0" vertical="bottom" wrapText="1"/>
    </xf>
    <xf borderId="0" fillId="0" fontId="15" numFmtId="0" xfId="0" applyAlignment="1" applyFont="1">
      <alignment shrinkToFit="0" vertical="bottom" wrapText="0"/>
    </xf>
    <xf borderId="0" fillId="0" fontId="13" numFmtId="0" xfId="0" applyAlignment="1" applyFont="1">
      <alignment shrinkToFit="0" vertical="top" wrapText="1"/>
    </xf>
    <xf borderId="0" fillId="0" fontId="4" numFmtId="0" xfId="0" applyAlignment="1" applyFont="1">
      <alignment horizontal="left" readingOrder="0" shrinkToFit="0" vertical="bottom" wrapText="1"/>
    </xf>
    <xf borderId="0" fillId="0" fontId="4" numFmtId="0" xfId="0" applyAlignment="1" applyFont="1">
      <alignment horizontal="left" readingOrder="0" vertical="bottom"/>
    </xf>
    <xf borderId="0" fillId="0" fontId="9" numFmtId="0" xfId="0" applyAlignment="1" applyFont="1">
      <alignment horizontal="left" readingOrder="0" vertical="bottom"/>
    </xf>
    <xf borderId="0" fillId="0" fontId="16" numFmtId="0" xfId="0" applyAlignment="1" applyFont="1">
      <alignment shrinkToFit="0" vertical="bottom" wrapText="0"/>
    </xf>
    <xf borderId="0" fillId="0" fontId="17" numFmtId="0" xfId="0" applyAlignment="1" applyFont="1">
      <alignment readingOrder="0" shrinkToFit="0" vertical="bottom" wrapText="0"/>
    </xf>
    <xf borderId="0" fillId="0" fontId="18" numFmtId="0" xfId="0" applyAlignment="1" applyFont="1">
      <alignment readingOrder="0"/>
    </xf>
    <xf borderId="0" fillId="0" fontId="4" numFmtId="0" xfId="0" applyAlignment="1" applyFont="1">
      <alignment horizontal="left" vertical="bottom"/>
    </xf>
    <xf borderId="0" fillId="0" fontId="4" numFmtId="0" xfId="0" applyAlignment="1" applyFont="1">
      <alignment shrinkToFit="0" vertical="bottom" wrapText="0"/>
    </xf>
    <xf borderId="0" fillId="0" fontId="4" numFmtId="0" xfId="0" applyAlignment="1" applyFont="1">
      <alignment horizontal="left" shrinkToFit="0" vertical="bottom" wrapText="0"/>
    </xf>
    <xf borderId="0" fillId="0" fontId="4" numFmtId="0" xfId="0" applyAlignment="1" applyFont="1">
      <alignment horizontal="left" readingOrder="0" shrinkToFit="0" vertical="bottom" wrapText="0"/>
    </xf>
    <xf borderId="1" fillId="0" fontId="1" numFmtId="0" xfId="0" applyAlignment="1" applyBorder="1" applyFont="1">
      <alignment readingOrder="0" shrinkToFit="0" vertical="bottom" wrapText="1"/>
    </xf>
    <xf borderId="0" fillId="0" fontId="4" numFmtId="0" xfId="0" applyAlignment="1" applyFont="1">
      <alignment horizontal="left" shrinkToFit="0" vertical="bottom" wrapText="1"/>
    </xf>
    <xf borderId="3" fillId="0" fontId="4" numFmtId="0" xfId="0" applyAlignment="1" applyBorder="1" applyFont="1">
      <alignment readingOrder="0" shrinkToFit="0" vertical="bottom" wrapText="1"/>
    </xf>
    <xf borderId="2" fillId="0" fontId="4" numFmtId="0" xfId="0" applyAlignment="1" applyBorder="1" applyFont="1">
      <alignment readingOrder="0" shrinkToFit="0" vertical="bottom" wrapText="1"/>
    </xf>
    <xf borderId="2" fillId="0" fontId="4" numFmtId="0" xfId="0" applyAlignment="1" applyBorder="1" applyFont="1">
      <alignment shrinkToFit="0" vertical="bottom" wrapText="1"/>
    </xf>
    <xf borderId="2" fillId="0" fontId="1" numFmtId="0" xfId="0" applyAlignment="1" applyBorder="1" applyFont="1">
      <alignment readingOrder="0" shrinkToFit="0" vertical="bottom" wrapText="1"/>
    </xf>
    <xf borderId="4" fillId="0" fontId="1" numFmtId="0" xfId="0" applyAlignment="1" applyBorder="1" applyFont="1">
      <alignment readingOrder="0" shrinkToFit="0" vertical="bottom" wrapText="1"/>
    </xf>
    <xf borderId="5" fillId="0" fontId="5" numFmtId="0" xfId="0" applyBorder="1" applyFont="1"/>
    <xf borderId="6" fillId="0" fontId="2" numFmtId="0" xfId="0" applyAlignment="1" applyBorder="1" applyFont="1">
      <alignment horizontal="left" readingOrder="0"/>
    </xf>
    <xf borderId="6" fillId="0" fontId="2" numFmtId="0" xfId="0" applyAlignment="1" applyBorder="1" applyFont="1">
      <alignment horizontal="center" readingOrder="0"/>
    </xf>
    <xf borderId="7" fillId="0" fontId="2" numFmtId="0" xfId="0" applyAlignment="1" applyBorder="1" applyFont="1">
      <alignment horizontal="center" readingOrder="0"/>
    </xf>
    <xf borderId="8" fillId="0" fontId="5" numFmtId="0" xfId="0" applyAlignment="1" applyBorder="1" applyFont="1">
      <alignment readingOrder="0"/>
    </xf>
    <xf borderId="8" fillId="0" fontId="5" numFmtId="0" xfId="0" applyBorder="1" applyFont="1"/>
    <xf borderId="8" fillId="0" fontId="2" numFmtId="0" xfId="0" applyAlignment="1" applyBorder="1" applyFont="1">
      <alignment readingOrder="0"/>
    </xf>
    <xf borderId="0" fillId="0" fontId="4" numFmtId="2" xfId="0" applyAlignment="1" applyFont="1" applyNumberFormat="1">
      <alignment readingOrder="0" shrinkToFit="0" vertical="bottom" wrapText="0"/>
    </xf>
    <xf borderId="9" fillId="0" fontId="5" numFmtId="2" xfId="0" applyBorder="1" applyFont="1" applyNumberFormat="1"/>
    <xf borderId="10" fillId="0" fontId="2" numFmtId="0" xfId="0" applyAlignment="1" applyBorder="1" applyFont="1">
      <alignment readingOrder="0"/>
    </xf>
    <xf borderId="1" fillId="0" fontId="5" numFmtId="2" xfId="0" applyBorder="1" applyFont="1" applyNumberFormat="1"/>
    <xf borderId="1" fillId="0" fontId="5" numFmtId="0" xfId="0" applyBorder="1" applyFont="1"/>
    <xf borderId="11" fillId="0" fontId="5" numFmtId="2" xfId="0" applyBorder="1"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8"/>
    <col customWidth="1" min="2" max="2" width="32.88"/>
    <col customWidth="1" min="3" max="3" width="55.13"/>
    <col customWidth="1" min="4" max="4" width="12.0"/>
    <col customWidth="1" min="5" max="5" width="73.0"/>
    <col customWidth="1" min="6" max="6" width="15.63"/>
    <col customWidth="1" min="7" max="7" width="15.38"/>
    <col customWidth="1" min="8" max="8" width="15.75"/>
    <col customWidth="1" min="10" max="10" width="18.63"/>
  </cols>
  <sheetData>
    <row r="1">
      <c r="A1" s="1" t="s">
        <v>0</v>
      </c>
      <c r="B1" s="2" t="s">
        <v>1</v>
      </c>
      <c r="C1" s="2" t="s">
        <v>2</v>
      </c>
      <c r="D1" s="2" t="s">
        <v>3</v>
      </c>
      <c r="E1" s="3" t="s">
        <v>4</v>
      </c>
      <c r="F1" s="3" t="s">
        <v>3</v>
      </c>
      <c r="G1" s="3"/>
      <c r="H1" s="3"/>
    </row>
    <row r="2">
      <c r="A2" s="4" t="s">
        <v>5</v>
      </c>
      <c r="B2" s="5" t="s">
        <v>6</v>
      </c>
      <c r="C2" s="6" t="s">
        <v>7</v>
      </c>
      <c r="D2" s="7">
        <v>0.0</v>
      </c>
      <c r="E2" s="8" t="s">
        <v>8</v>
      </c>
      <c r="F2" s="8">
        <v>1.0</v>
      </c>
      <c r="J2" s="9"/>
    </row>
    <row r="3">
      <c r="A3" s="10" t="s">
        <v>9</v>
      </c>
      <c r="B3" s="5" t="s">
        <v>10</v>
      </c>
      <c r="C3" s="6" t="s">
        <v>11</v>
      </c>
      <c r="D3" s="7">
        <v>1.0</v>
      </c>
    </row>
    <row r="4">
      <c r="A4" s="11" t="s">
        <v>12</v>
      </c>
      <c r="B4" s="5" t="s">
        <v>13</v>
      </c>
      <c r="C4" s="6" t="s">
        <v>14</v>
      </c>
      <c r="D4" s="7">
        <v>0.0</v>
      </c>
      <c r="E4" s="8" t="s">
        <v>15</v>
      </c>
      <c r="F4" s="8">
        <v>1.0</v>
      </c>
    </row>
    <row r="5">
      <c r="A5" s="11" t="s">
        <v>16</v>
      </c>
      <c r="B5" s="5" t="s">
        <v>17</v>
      </c>
      <c r="C5" s="12" t="s">
        <v>18</v>
      </c>
      <c r="D5" s="13">
        <v>1.0</v>
      </c>
    </row>
    <row r="6">
      <c r="A6" s="11" t="s">
        <v>19</v>
      </c>
      <c r="B6" s="5" t="s">
        <v>20</v>
      </c>
      <c r="C6" s="6" t="s">
        <v>21</v>
      </c>
      <c r="D6" s="13">
        <v>1.0</v>
      </c>
    </row>
    <row r="7">
      <c r="A7" s="11" t="s">
        <v>22</v>
      </c>
      <c r="B7" s="5" t="s">
        <v>23</v>
      </c>
      <c r="C7" s="6" t="s">
        <v>24</v>
      </c>
      <c r="D7" s="13">
        <v>1.0</v>
      </c>
    </row>
    <row r="8">
      <c r="A8" s="11" t="s">
        <v>25</v>
      </c>
      <c r="B8" s="5" t="s">
        <v>26</v>
      </c>
      <c r="C8" s="6" t="s">
        <v>27</v>
      </c>
      <c r="D8" s="13">
        <v>1.0</v>
      </c>
    </row>
    <row r="9">
      <c r="A9" s="11" t="s">
        <v>28</v>
      </c>
      <c r="B9" s="5" t="s">
        <v>29</v>
      </c>
      <c r="C9" s="6" t="s">
        <v>30</v>
      </c>
      <c r="D9" s="13">
        <v>1.0</v>
      </c>
    </row>
    <row r="10">
      <c r="A10" s="14" t="s">
        <v>31</v>
      </c>
      <c r="B10" s="5" t="s">
        <v>32</v>
      </c>
      <c r="C10" s="6" t="s">
        <v>33</v>
      </c>
      <c r="D10" s="13">
        <v>1.0</v>
      </c>
    </row>
    <row r="11">
      <c r="A11" s="11" t="s">
        <v>34</v>
      </c>
      <c r="B11" s="5" t="s">
        <v>35</v>
      </c>
      <c r="C11" s="6" t="s">
        <v>36</v>
      </c>
      <c r="D11" s="13">
        <v>1.0</v>
      </c>
    </row>
    <row r="12">
      <c r="A12" s="10" t="s">
        <v>37</v>
      </c>
      <c r="B12" s="5" t="s">
        <v>38</v>
      </c>
      <c r="C12" s="6" t="s">
        <v>39</v>
      </c>
      <c r="D12" s="13">
        <v>0.0</v>
      </c>
      <c r="E12" s="8" t="s">
        <v>40</v>
      </c>
      <c r="F12" s="8">
        <v>1.0</v>
      </c>
    </row>
    <row r="13">
      <c r="A13" s="15" t="s">
        <v>41</v>
      </c>
      <c r="B13" s="5" t="s">
        <v>42</v>
      </c>
      <c r="C13" s="6" t="s">
        <v>43</v>
      </c>
      <c r="D13" s="13">
        <v>1.0</v>
      </c>
    </row>
    <row r="14">
      <c r="A14" s="10" t="s">
        <v>44</v>
      </c>
      <c r="B14" s="5" t="s">
        <v>45</v>
      </c>
      <c r="C14" s="6" t="s">
        <v>46</v>
      </c>
      <c r="D14" s="13">
        <v>1.0</v>
      </c>
    </row>
    <row r="15">
      <c r="A15" s="4" t="s">
        <v>47</v>
      </c>
      <c r="B15" s="5" t="s">
        <v>48</v>
      </c>
      <c r="C15" s="6" t="s">
        <v>49</v>
      </c>
      <c r="D15" s="13">
        <v>1.0</v>
      </c>
    </row>
    <row r="16">
      <c r="A16" s="10" t="s">
        <v>50</v>
      </c>
      <c r="B16" s="5" t="s">
        <v>51</v>
      </c>
      <c r="C16" s="6" t="s">
        <v>52</v>
      </c>
      <c r="D16" s="13">
        <v>1.0</v>
      </c>
    </row>
    <row r="17">
      <c r="A17" s="16" t="s">
        <v>53</v>
      </c>
      <c r="B17" s="5" t="s">
        <v>54</v>
      </c>
      <c r="C17" s="6" t="s">
        <v>55</v>
      </c>
      <c r="D17" s="13">
        <v>0.0</v>
      </c>
      <c r="E17" s="8" t="s">
        <v>56</v>
      </c>
      <c r="F17" s="8">
        <v>1.0</v>
      </c>
    </row>
    <row r="18">
      <c r="A18" s="11" t="s">
        <v>57</v>
      </c>
      <c r="B18" s="5" t="s">
        <v>58</v>
      </c>
      <c r="C18" s="6" t="s">
        <v>59</v>
      </c>
      <c r="D18" s="13">
        <v>0.0</v>
      </c>
      <c r="E18" s="8" t="s">
        <v>60</v>
      </c>
      <c r="F18" s="8">
        <v>1.0</v>
      </c>
    </row>
    <row r="19">
      <c r="A19" s="11" t="s">
        <v>61</v>
      </c>
      <c r="B19" s="5" t="s">
        <v>62</v>
      </c>
      <c r="C19" s="6" t="s">
        <v>63</v>
      </c>
      <c r="D19" s="13">
        <v>1.0</v>
      </c>
    </row>
    <row r="20">
      <c r="A20" s="11" t="s">
        <v>64</v>
      </c>
      <c r="B20" s="5" t="s">
        <v>65</v>
      </c>
      <c r="C20" s="6" t="s">
        <v>66</v>
      </c>
      <c r="D20" s="13">
        <v>1.0</v>
      </c>
    </row>
    <row r="21">
      <c r="A21" s="11" t="s">
        <v>67</v>
      </c>
      <c r="B21" s="5" t="s">
        <v>68</v>
      </c>
      <c r="C21" s="8" t="s">
        <v>69</v>
      </c>
      <c r="D21" s="13">
        <v>1.0</v>
      </c>
    </row>
    <row r="22">
      <c r="A22" s="16" t="s">
        <v>70</v>
      </c>
      <c r="B22" s="5" t="s">
        <v>71</v>
      </c>
      <c r="C22" s="6" t="s">
        <v>72</v>
      </c>
      <c r="D22" s="13">
        <v>1.0</v>
      </c>
    </row>
    <row r="23">
      <c r="A23" s="11" t="s">
        <v>73</v>
      </c>
      <c r="B23" s="5" t="s">
        <v>74</v>
      </c>
      <c r="C23" s="6" t="s">
        <v>75</v>
      </c>
      <c r="D23" s="13">
        <v>0.0</v>
      </c>
      <c r="E23" s="8" t="s">
        <v>76</v>
      </c>
      <c r="F23" s="8">
        <v>0.0</v>
      </c>
    </row>
    <row r="24">
      <c r="A24" s="11" t="s">
        <v>77</v>
      </c>
      <c r="B24" s="5" t="s">
        <v>78</v>
      </c>
      <c r="C24" s="6" t="s">
        <v>79</v>
      </c>
      <c r="D24" s="13">
        <v>1.0</v>
      </c>
    </row>
    <row r="25">
      <c r="A25" s="11" t="s">
        <v>80</v>
      </c>
      <c r="B25" s="5" t="s">
        <v>81</v>
      </c>
      <c r="C25" s="6" t="s">
        <v>82</v>
      </c>
      <c r="D25" s="13">
        <v>1.0</v>
      </c>
    </row>
    <row r="26">
      <c r="A26" s="17" t="s">
        <v>83</v>
      </c>
      <c r="B26" s="5" t="s">
        <v>84</v>
      </c>
      <c r="C26" s="6" t="s">
        <v>85</v>
      </c>
      <c r="D26" s="13">
        <v>0.0</v>
      </c>
      <c r="E26" s="8" t="s">
        <v>86</v>
      </c>
      <c r="F26" s="18">
        <v>0.0</v>
      </c>
    </row>
    <row r="27">
      <c r="A27" s="19" t="s">
        <v>87</v>
      </c>
      <c r="B27" s="5" t="s">
        <v>88</v>
      </c>
      <c r="C27" s="6" t="s">
        <v>89</v>
      </c>
      <c r="D27" s="13">
        <v>0.0</v>
      </c>
      <c r="E27" s="8" t="s">
        <v>90</v>
      </c>
      <c r="F27" s="8">
        <v>1.0</v>
      </c>
    </row>
    <row r="28">
      <c r="A28" s="20" t="s">
        <v>91</v>
      </c>
      <c r="B28" s="5" t="s">
        <v>92</v>
      </c>
      <c r="C28" s="6" t="s">
        <v>93</v>
      </c>
      <c r="D28" s="13">
        <v>1.0</v>
      </c>
    </row>
    <row r="29">
      <c r="A29" s="20" t="s">
        <v>94</v>
      </c>
      <c r="B29" s="5" t="s">
        <v>95</v>
      </c>
      <c r="C29" s="6" t="s">
        <v>96</v>
      </c>
      <c r="D29" s="13">
        <v>0.0</v>
      </c>
      <c r="E29" s="8" t="s">
        <v>97</v>
      </c>
      <c r="F29" s="8">
        <v>1.0</v>
      </c>
    </row>
    <row r="30">
      <c r="A30" s="20" t="s">
        <v>98</v>
      </c>
      <c r="B30" s="5" t="s">
        <v>99</v>
      </c>
      <c r="C30" s="6" t="s">
        <v>100</v>
      </c>
      <c r="D30" s="13">
        <v>1.0</v>
      </c>
    </row>
    <row r="31">
      <c r="A31" s="20" t="s">
        <v>101</v>
      </c>
      <c r="B31" s="5" t="s">
        <v>102</v>
      </c>
      <c r="C31" s="6" t="s">
        <v>103</v>
      </c>
      <c r="D31" s="13">
        <v>0.0</v>
      </c>
      <c r="E31" s="8" t="s">
        <v>104</v>
      </c>
      <c r="F31" s="8">
        <v>1.0</v>
      </c>
    </row>
    <row r="32">
      <c r="A32" s="20" t="s">
        <v>105</v>
      </c>
      <c r="B32" s="5" t="s">
        <v>106</v>
      </c>
      <c r="C32" s="6" t="s">
        <v>107</v>
      </c>
      <c r="D32" s="13">
        <v>0.0</v>
      </c>
      <c r="E32" s="8" t="s">
        <v>108</v>
      </c>
      <c r="F32" s="8">
        <v>0.0</v>
      </c>
    </row>
    <row r="33">
      <c r="A33" s="20" t="s">
        <v>109</v>
      </c>
      <c r="B33" s="5" t="s">
        <v>110</v>
      </c>
      <c r="C33" s="6" t="s">
        <v>111</v>
      </c>
      <c r="D33" s="21">
        <v>0.0</v>
      </c>
      <c r="E33" s="8" t="s">
        <v>112</v>
      </c>
      <c r="F33" s="8">
        <v>1.0</v>
      </c>
    </row>
    <row r="34">
      <c r="A34" s="20" t="s">
        <v>113</v>
      </c>
      <c r="B34" s="5" t="s">
        <v>114</v>
      </c>
      <c r="C34" s="6" t="s">
        <v>115</v>
      </c>
      <c r="D34" s="13">
        <v>1.0</v>
      </c>
    </row>
    <row r="35">
      <c r="A35" s="20" t="s">
        <v>116</v>
      </c>
      <c r="B35" s="5" t="s">
        <v>117</v>
      </c>
      <c r="C35" s="6" t="s">
        <v>118</v>
      </c>
      <c r="D35" s="13">
        <v>0.0</v>
      </c>
      <c r="E35" s="8" t="s">
        <v>119</v>
      </c>
      <c r="F35" s="8">
        <v>0.0</v>
      </c>
    </row>
    <row r="36">
      <c r="A36" s="20" t="s">
        <v>120</v>
      </c>
      <c r="B36" s="5" t="s">
        <v>121</v>
      </c>
      <c r="C36" s="6" t="s">
        <v>122</v>
      </c>
      <c r="D36" s="13">
        <v>1.0</v>
      </c>
    </row>
    <row r="37">
      <c r="A37" s="20" t="s">
        <v>123</v>
      </c>
      <c r="B37" s="5" t="s">
        <v>124</v>
      </c>
      <c r="C37" s="6" t="s">
        <v>125</v>
      </c>
      <c r="D37" s="13">
        <v>1.0</v>
      </c>
    </row>
    <row r="38">
      <c r="A38" s="20" t="s">
        <v>126</v>
      </c>
      <c r="B38" s="5" t="s">
        <v>127</v>
      </c>
      <c r="C38" s="6" t="s">
        <v>128</v>
      </c>
      <c r="D38" s="13">
        <v>0.0</v>
      </c>
      <c r="E38" s="8" t="s">
        <v>129</v>
      </c>
      <c r="F38" s="8">
        <v>0.0</v>
      </c>
    </row>
    <row r="39">
      <c r="A39" s="20" t="s">
        <v>130</v>
      </c>
      <c r="B39" s="5" t="s">
        <v>131</v>
      </c>
      <c r="C39" s="6" t="s">
        <v>132</v>
      </c>
      <c r="D39" s="13">
        <v>0.0</v>
      </c>
      <c r="E39" s="8" t="s">
        <v>133</v>
      </c>
      <c r="F39" s="18">
        <v>1.0</v>
      </c>
    </row>
    <row r="40">
      <c r="A40" s="22" t="s">
        <v>134</v>
      </c>
      <c r="B40" s="5" t="s">
        <v>135</v>
      </c>
      <c r="C40" s="6" t="s">
        <v>136</v>
      </c>
      <c r="D40" s="13">
        <v>0.0</v>
      </c>
      <c r="E40" s="8" t="s">
        <v>137</v>
      </c>
      <c r="F40" s="8">
        <v>1.0</v>
      </c>
    </row>
    <row r="41">
      <c r="A41" s="22" t="s">
        <v>138</v>
      </c>
      <c r="B41" s="5" t="s">
        <v>139</v>
      </c>
      <c r="C41" s="6" t="s">
        <v>140</v>
      </c>
      <c r="D41" s="13">
        <v>0.0</v>
      </c>
      <c r="E41" s="8" t="s">
        <v>141</v>
      </c>
      <c r="F41" s="8">
        <v>1.0</v>
      </c>
    </row>
    <row r="42">
      <c r="A42" s="20" t="s">
        <v>142</v>
      </c>
      <c r="B42" s="5" t="s">
        <v>143</v>
      </c>
      <c r="C42" s="6" t="s">
        <v>144</v>
      </c>
      <c r="D42" s="13">
        <v>1.0</v>
      </c>
    </row>
    <row r="43">
      <c r="A43" s="22" t="s">
        <v>145</v>
      </c>
      <c r="B43" s="5" t="s">
        <v>146</v>
      </c>
      <c r="C43" s="6" t="s">
        <v>147</v>
      </c>
      <c r="D43" s="13">
        <v>1.0</v>
      </c>
    </row>
    <row r="44">
      <c r="A44" s="20" t="s">
        <v>148</v>
      </c>
      <c r="B44" s="5" t="s">
        <v>149</v>
      </c>
      <c r="C44" s="6" t="s">
        <v>150</v>
      </c>
      <c r="D44" s="13">
        <v>1.0</v>
      </c>
    </row>
    <row r="45">
      <c r="A45" s="20" t="s">
        <v>151</v>
      </c>
      <c r="B45" s="5" t="s">
        <v>152</v>
      </c>
      <c r="C45" s="6" t="s">
        <v>153</v>
      </c>
      <c r="D45" s="13">
        <v>1.0</v>
      </c>
    </row>
    <row r="46">
      <c r="A46" s="22" t="s">
        <v>154</v>
      </c>
      <c r="B46" s="5" t="s">
        <v>155</v>
      </c>
      <c r="C46" s="6" t="s">
        <v>156</v>
      </c>
      <c r="D46" s="13">
        <v>1.0</v>
      </c>
    </row>
    <row r="47">
      <c r="A47" s="20" t="s">
        <v>157</v>
      </c>
      <c r="B47" s="5" t="s">
        <v>158</v>
      </c>
      <c r="C47" s="6" t="s">
        <v>159</v>
      </c>
      <c r="D47" s="6">
        <v>1.0</v>
      </c>
    </row>
    <row r="48">
      <c r="A48" s="22" t="s">
        <v>160</v>
      </c>
      <c r="B48" s="5" t="s">
        <v>161</v>
      </c>
      <c r="C48" s="6" t="s">
        <v>162</v>
      </c>
      <c r="D48" s="6">
        <v>0.0</v>
      </c>
      <c r="E48" s="8" t="s">
        <v>163</v>
      </c>
      <c r="F48" s="8">
        <v>1.0</v>
      </c>
    </row>
    <row r="49">
      <c r="A49" s="16" t="s">
        <v>164</v>
      </c>
      <c r="B49" s="5" t="s">
        <v>165</v>
      </c>
      <c r="C49" s="6" t="s">
        <v>166</v>
      </c>
      <c r="D49" s="6">
        <v>0.0</v>
      </c>
      <c r="E49" s="8" t="s">
        <v>167</v>
      </c>
      <c r="F49" s="8">
        <v>1.0</v>
      </c>
    </row>
    <row r="50">
      <c r="A50" s="16" t="s">
        <v>168</v>
      </c>
      <c r="B50" s="5" t="s">
        <v>169</v>
      </c>
      <c r="C50" s="6" t="s">
        <v>170</v>
      </c>
      <c r="D50" s="6">
        <v>0.0</v>
      </c>
      <c r="E50" s="8" t="s">
        <v>171</v>
      </c>
      <c r="F50" s="8">
        <v>1.0</v>
      </c>
    </row>
    <row r="51">
      <c r="A51" s="16" t="s">
        <v>172</v>
      </c>
      <c r="B51" s="5" t="s">
        <v>173</v>
      </c>
      <c r="C51" s="6" t="s">
        <v>174</v>
      </c>
      <c r="D51" s="6">
        <v>1.0</v>
      </c>
    </row>
    <row r="52">
      <c r="A52" s="16" t="s">
        <v>175</v>
      </c>
      <c r="B52" s="5" t="s">
        <v>176</v>
      </c>
      <c r="C52" s="6" t="s">
        <v>177</v>
      </c>
      <c r="D52" s="6">
        <v>0.0</v>
      </c>
      <c r="E52" s="8" t="s">
        <v>178</v>
      </c>
      <c r="F52" s="18">
        <v>1.0</v>
      </c>
    </row>
    <row r="53">
      <c r="A53" s="16" t="s">
        <v>179</v>
      </c>
      <c r="B53" s="5" t="s">
        <v>180</v>
      </c>
      <c r="C53" s="6" t="s">
        <v>181</v>
      </c>
      <c r="D53" s="6">
        <v>0.0</v>
      </c>
      <c r="E53" s="8" t="s">
        <v>182</v>
      </c>
      <c r="F53" s="8">
        <v>1.0</v>
      </c>
    </row>
    <row r="54">
      <c r="A54" s="16" t="s">
        <v>183</v>
      </c>
      <c r="B54" s="5" t="s">
        <v>184</v>
      </c>
      <c r="C54" s="6" t="s">
        <v>185</v>
      </c>
      <c r="D54" s="6">
        <v>0.0</v>
      </c>
      <c r="E54" s="8" t="s">
        <v>186</v>
      </c>
      <c r="F54" s="8">
        <v>1.0</v>
      </c>
    </row>
    <row r="55">
      <c r="A55" s="23" t="s">
        <v>187</v>
      </c>
      <c r="B55" s="5" t="s">
        <v>188</v>
      </c>
      <c r="C55" s="6" t="s">
        <v>189</v>
      </c>
      <c r="D55" s="6">
        <v>0.0</v>
      </c>
      <c r="E55" s="8" t="s">
        <v>190</v>
      </c>
      <c r="F55" s="8">
        <v>1.0</v>
      </c>
    </row>
    <row r="56">
      <c r="A56" s="16" t="s">
        <v>191</v>
      </c>
      <c r="B56" s="5" t="s">
        <v>192</v>
      </c>
      <c r="C56" s="6" t="s">
        <v>193</v>
      </c>
      <c r="D56" s="6">
        <v>0.0</v>
      </c>
      <c r="E56" s="8" t="s">
        <v>194</v>
      </c>
      <c r="F56" s="8">
        <v>1.0</v>
      </c>
    </row>
    <row r="57">
      <c r="A57" s="16" t="s">
        <v>195</v>
      </c>
      <c r="B57" s="5" t="s">
        <v>196</v>
      </c>
      <c r="C57" s="6" t="s">
        <v>197</v>
      </c>
      <c r="D57" s="6">
        <v>0.0</v>
      </c>
      <c r="E57" s="8" t="s">
        <v>198</v>
      </c>
      <c r="F57" s="18">
        <v>0.0</v>
      </c>
    </row>
    <row r="58">
      <c r="A58" s="23" t="s">
        <v>199</v>
      </c>
      <c r="B58" s="5" t="s">
        <v>200</v>
      </c>
      <c r="C58" s="6" t="s">
        <v>201</v>
      </c>
      <c r="D58" s="6">
        <v>1.0</v>
      </c>
    </row>
    <row r="59">
      <c r="A59" s="16" t="s">
        <v>202</v>
      </c>
      <c r="B59" s="5" t="s">
        <v>203</v>
      </c>
      <c r="C59" s="6" t="s">
        <v>204</v>
      </c>
      <c r="D59" s="6">
        <v>1.0</v>
      </c>
    </row>
    <row r="60">
      <c r="A60" s="16" t="s">
        <v>205</v>
      </c>
      <c r="B60" s="5" t="s">
        <v>206</v>
      </c>
      <c r="C60" s="6" t="s">
        <v>207</v>
      </c>
      <c r="D60" s="24">
        <v>0.0</v>
      </c>
      <c r="E60" s="8" t="s">
        <v>208</v>
      </c>
      <c r="F60" s="8">
        <v>1.0</v>
      </c>
    </row>
    <row r="61">
      <c r="A61" s="16" t="s">
        <v>209</v>
      </c>
      <c r="B61" s="5" t="s">
        <v>210</v>
      </c>
      <c r="C61" s="6" t="s">
        <v>211</v>
      </c>
      <c r="D61" s="6">
        <v>0.0</v>
      </c>
      <c r="E61" s="8" t="s">
        <v>212</v>
      </c>
      <c r="F61" s="8">
        <v>1.0</v>
      </c>
    </row>
    <row r="62">
      <c r="A62" s="16" t="s">
        <v>213</v>
      </c>
      <c r="B62" s="5" t="s">
        <v>214</v>
      </c>
      <c r="C62" s="6" t="s">
        <v>215</v>
      </c>
      <c r="D62" s="6">
        <v>0.0</v>
      </c>
      <c r="E62" s="8" t="s">
        <v>216</v>
      </c>
      <c r="F62" s="8">
        <v>1.0</v>
      </c>
    </row>
    <row r="63">
      <c r="A63" s="16" t="s">
        <v>217</v>
      </c>
      <c r="B63" s="5" t="s">
        <v>218</v>
      </c>
      <c r="C63" s="6" t="s">
        <v>219</v>
      </c>
      <c r="D63" s="6">
        <v>0.0</v>
      </c>
      <c r="E63" s="8" t="s">
        <v>220</v>
      </c>
      <c r="F63" s="8">
        <v>1.0</v>
      </c>
    </row>
    <row r="64">
      <c r="A64" s="16" t="s">
        <v>221</v>
      </c>
      <c r="B64" s="5" t="s">
        <v>222</v>
      </c>
      <c r="C64" s="6" t="s">
        <v>223</v>
      </c>
      <c r="D64" s="6">
        <v>1.0</v>
      </c>
    </row>
    <row r="65">
      <c r="A65" s="16" t="s">
        <v>224</v>
      </c>
      <c r="B65" s="5" t="s">
        <v>225</v>
      </c>
      <c r="C65" s="6" t="s">
        <v>226</v>
      </c>
      <c r="D65" s="6">
        <v>1.0</v>
      </c>
    </row>
    <row r="66">
      <c r="A66" s="16" t="s">
        <v>227</v>
      </c>
      <c r="B66" s="25" t="s">
        <v>228</v>
      </c>
      <c r="C66" s="6" t="s">
        <v>229</v>
      </c>
      <c r="D66" s="6">
        <v>0.0</v>
      </c>
      <c r="E66" s="8" t="s">
        <v>230</v>
      </c>
      <c r="F66" s="8">
        <v>1.0</v>
      </c>
    </row>
    <row r="67">
      <c r="A67" s="16" t="s">
        <v>231</v>
      </c>
      <c r="B67" s="25" t="s">
        <v>232</v>
      </c>
      <c r="C67" s="6" t="s">
        <v>233</v>
      </c>
      <c r="D67" s="6">
        <v>1.0</v>
      </c>
    </row>
    <row r="68">
      <c r="A68" s="16" t="s">
        <v>234</v>
      </c>
      <c r="B68" s="5" t="s">
        <v>235</v>
      </c>
      <c r="C68" s="6" t="s">
        <v>236</v>
      </c>
      <c r="D68" s="6">
        <v>0.0</v>
      </c>
      <c r="E68" s="8" t="s">
        <v>237</v>
      </c>
      <c r="F68" s="8">
        <v>1.0</v>
      </c>
    </row>
    <row r="69">
      <c r="A69" s="16" t="s">
        <v>238</v>
      </c>
      <c r="B69" s="5" t="s">
        <v>239</v>
      </c>
      <c r="C69" s="6" t="s">
        <v>240</v>
      </c>
      <c r="D69" s="6">
        <v>0.0</v>
      </c>
      <c r="E69" s="8" t="s">
        <v>241</v>
      </c>
      <c r="F69" s="8">
        <v>1.0</v>
      </c>
    </row>
    <row r="70">
      <c r="A70" s="16" t="s">
        <v>242</v>
      </c>
      <c r="B70" s="5" t="s">
        <v>243</v>
      </c>
      <c r="C70" s="6" t="s">
        <v>244</v>
      </c>
      <c r="D70" s="6">
        <v>1.0</v>
      </c>
    </row>
    <row r="71">
      <c r="A71" s="16" t="s">
        <v>245</v>
      </c>
      <c r="B71" s="5" t="s">
        <v>246</v>
      </c>
      <c r="C71" s="6" t="s">
        <v>247</v>
      </c>
      <c r="D71" s="6">
        <v>0.0</v>
      </c>
      <c r="E71" s="8" t="s">
        <v>248</v>
      </c>
      <c r="F71" s="8">
        <v>1.0</v>
      </c>
    </row>
    <row r="72">
      <c r="A72" s="16" t="s">
        <v>249</v>
      </c>
      <c r="B72" s="5" t="s">
        <v>250</v>
      </c>
      <c r="C72" s="6" t="s">
        <v>251</v>
      </c>
      <c r="D72" s="6">
        <v>0.0</v>
      </c>
      <c r="E72" s="8" t="s">
        <v>252</v>
      </c>
      <c r="F72" s="8">
        <v>1.0</v>
      </c>
    </row>
    <row r="73">
      <c r="A73" s="16" t="s">
        <v>253</v>
      </c>
      <c r="B73" s="5" t="s">
        <v>254</v>
      </c>
      <c r="C73" s="6" t="s">
        <v>255</v>
      </c>
      <c r="D73" s="6">
        <v>0.0</v>
      </c>
      <c r="E73" s="8" t="s">
        <v>256</v>
      </c>
      <c r="F73" s="8">
        <v>1.0</v>
      </c>
    </row>
    <row r="74">
      <c r="A74" s="16" t="s">
        <v>257</v>
      </c>
      <c r="B74" s="5" t="s">
        <v>258</v>
      </c>
      <c r="C74" s="6" t="s">
        <v>259</v>
      </c>
      <c r="D74" s="6">
        <v>0.0</v>
      </c>
      <c r="E74" s="8" t="s">
        <v>260</v>
      </c>
      <c r="F74" s="8">
        <v>1.0</v>
      </c>
    </row>
    <row r="75">
      <c r="A75" s="16" t="s">
        <v>261</v>
      </c>
      <c r="B75" s="5" t="s">
        <v>262</v>
      </c>
      <c r="C75" s="6" t="s">
        <v>263</v>
      </c>
      <c r="D75" s="6">
        <v>0.0</v>
      </c>
      <c r="E75" s="8" t="s">
        <v>264</v>
      </c>
      <c r="F75" s="8">
        <v>1.0</v>
      </c>
    </row>
    <row r="76">
      <c r="A76" s="16" t="s">
        <v>265</v>
      </c>
      <c r="B76" s="5" t="s">
        <v>266</v>
      </c>
      <c r="C76" s="6" t="s">
        <v>267</v>
      </c>
      <c r="D76" s="6">
        <v>0.0</v>
      </c>
      <c r="E76" s="8" t="s">
        <v>268</v>
      </c>
      <c r="F76" s="8">
        <v>1.0</v>
      </c>
    </row>
    <row r="77">
      <c r="A77" s="16" t="s">
        <v>269</v>
      </c>
      <c r="B77" s="5" t="s">
        <v>270</v>
      </c>
      <c r="C77" s="6" t="s">
        <v>271</v>
      </c>
      <c r="D77" s="6">
        <v>0.0</v>
      </c>
      <c r="E77" s="8" t="s">
        <v>272</v>
      </c>
      <c r="F77" s="8">
        <v>1.0</v>
      </c>
    </row>
    <row r="78">
      <c r="A78" s="16" t="s">
        <v>273</v>
      </c>
      <c r="B78" s="5" t="s">
        <v>274</v>
      </c>
      <c r="C78" s="6" t="s">
        <v>275</v>
      </c>
      <c r="D78" s="6">
        <v>1.0</v>
      </c>
    </row>
    <row r="79">
      <c r="A79" s="26" t="s">
        <v>276</v>
      </c>
      <c r="B79" s="5" t="s">
        <v>277</v>
      </c>
      <c r="C79" s="6" t="s">
        <v>278</v>
      </c>
      <c r="D79" s="6">
        <v>1.0</v>
      </c>
    </row>
    <row r="80">
      <c r="A80" s="16" t="s">
        <v>279</v>
      </c>
      <c r="B80" s="5" t="s">
        <v>280</v>
      </c>
      <c r="C80" s="6" t="s">
        <v>281</v>
      </c>
      <c r="D80" s="6">
        <v>1.0</v>
      </c>
    </row>
    <row r="81">
      <c r="A81" s="26" t="s">
        <v>282</v>
      </c>
      <c r="B81" s="5" t="s">
        <v>283</v>
      </c>
      <c r="C81" s="6" t="s">
        <v>284</v>
      </c>
      <c r="D81" s="6">
        <v>0.0</v>
      </c>
    </row>
    <row r="82">
      <c r="A82" s="26" t="s">
        <v>285</v>
      </c>
      <c r="B82" s="5" t="s">
        <v>286</v>
      </c>
      <c r="C82" s="6" t="s">
        <v>287</v>
      </c>
      <c r="D82" s="6">
        <v>1.0</v>
      </c>
    </row>
    <row r="83">
      <c r="A83" s="16" t="s">
        <v>288</v>
      </c>
      <c r="B83" s="5" t="s">
        <v>289</v>
      </c>
      <c r="C83" s="6" t="s">
        <v>290</v>
      </c>
      <c r="D83" s="6">
        <v>0.0</v>
      </c>
      <c r="E83" s="8" t="s">
        <v>291</v>
      </c>
      <c r="F83" s="8">
        <v>1.0</v>
      </c>
    </row>
    <row r="84">
      <c r="A84" s="26" t="s">
        <v>292</v>
      </c>
      <c r="B84" s="5" t="s">
        <v>293</v>
      </c>
      <c r="C84" s="6" t="s">
        <v>294</v>
      </c>
      <c r="D84" s="6">
        <v>1.0</v>
      </c>
    </row>
    <row r="85">
      <c r="A85" s="16" t="s">
        <v>295</v>
      </c>
      <c r="B85" s="5" t="s">
        <v>296</v>
      </c>
      <c r="C85" s="6" t="s">
        <v>297</v>
      </c>
      <c r="D85" s="6">
        <v>1.0</v>
      </c>
    </row>
    <row r="86">
      <c r="A86" s="16" t="s">
        <v>298</v>
      </c>
      <c r="B86" s="5" t="s">
        <v>299</v>
      </c>
      <c r="C86" s="6" t="s">
        <v>300</v>
      </c>
      <c r="D86" s="6">
        <v>1.0</v>
      </c>
    </row>
    <row r="87">
      <c r="A87" s="16" t="s">
        <v>301</v>
      </c>
      <c r="B87" s="5" t="s">
        <v>302</v>
      </c>
      <c r="C87" s="6" t="s">
        <v>303</v>
      </c>
      <c r="D87" s="6">
        <v>1.0</v>
      </c>
    </row>
    <row r="88">
      <c r="A88" s="26" t="s">
        <v>304</v>
      </c>
      <c r="B88" s="5" t="s">
        <v>305</v>
      </c>
      <c r="C88" s="6" t="s">
        <v>306</v>
      </c>
      <c r="D88" s="6">
        <v>0.0</v>
      </c>
      <c r="E88" s="8" t="s">
        <v>307</v>
      </c>
      <c r="F88" s="8">
        <v>1.0</v>
      </c>
    </row>
    <row r="89">
      <c r="A89" s="16" t="s">
        <v>308</v>
      </c>
      <c r="B89" s="5" t="s">
        <v>309</v>
      </c>
      <c r="C89" s="6" t="s">
        <v>310</v>
      </c>
      <c r="D89" s="6">
        <v>1.0</v>
      </c>
    </row>
    <row r="90">
      <c r="A90" s="16" t="s">
        <v>311</v>
      </c>
      <c r="B90" s="5" t="s">
        <v>312</v>
      </c>
      <c r="C90" s="6" t="s">
        <v>310</v>
      </c>
      <c r="D90" s="6">
        <v>1.0</v>
      </c>
    </row>
    <row r="91">
      <c r="A91" s="16" t="s">
        <v>313</v>
      </c>
      <c r="B91" s="5" t="s">
        <v>314</v>
      </c>
      <c r="C91" s="6" t="s">
        <v>315</v>
      </c>
      <c r="D91" s="6">
        <v>1.0</v>
      </c>
    </row>
    <row r="92">
      <c r="A92" s="16" t="s">
        <v>316</v>
      </c>
      <c r="B92" s="5" t="s">
        <v>317</v>
      </c>
      <c r="C92" s="6" t="s">
        <v>318</v>
      </c>
      <c r="D92" s="6">
        <v>1.0</v>
      </c>
    </row>
    <row r="93">
      <c r="A93" s="16" t="s">
        <v>319</v>
      </c>
      <c r="B93" s="5" t="s">
        <v>320</v>
      </c>
      <c r="C93" s="6" t="s">
        <v>321</v>
      </c>
      <c r="D93" s="6">
        <v>0.0</v>
      </c>
      <c r="E93" s="8" t="s">
        <v>322</v>
      </c>
      <c r="F93" s="8">
        <v>1.0</v>
      </c>
      <c r="G93" s="8" t="s">
        <v>323</v>
      </c>
    </row>
    <row r="94">
      <c r="A94" s="16" t="s">
        <v>324</v>
      </c>
      <c r="B94" s="5" t="s">
        <v>325</v>
      </c>
      <c r="C94" s="6" t="s">
        <v>326</v>
      </c>
      <c r="D94" s="6">
        <v>1.0</v>
      </c>
    </row>
    <row r="95">
      <c r="A95" s="16" t="s">
        <v>327</v>
      </c>
      <c r="B95" s="5" t="s">
        <v>328</v>
      </c>
      <c r="C95" s="6" t="s">
        <v>329</v>
      </c>
      <c r="D95" s="6">
        <v>1.0</v>
      </c>
    </row>
    <row r="96">
      <c r="A96" s="16" t="s">
        <v>330</v>
      </c>
      <c r="B96" s="5" t="s">
        <v>331</v>
      </c>
      <c r="C96" s="6" t="s">
        <v>332</v>
      </c>
      <c r="D96" s="6">
        <v>0.0</v>
      </c>
      <c r="E96" s="8" t="s">
        <v>333</v>
      </c>
      <c r="F96" s="8">
        <v>1.0</v>
      </c>
    </row>
    <row r="97">
      <c r="A97" s="16" t="s">
        <v>334</v>
      </c>
      <c r="B97" s="5" t="s">
        <v>335</v>
      </c>
      <c r="C97" s="6" t="s">
        <v>336</v>
      </c>
      <c r="D97" s="6">
        <v>0.0</v>
      </c>
      <c r="E97" s="8" t="s">
        <v>337</v>
      </c>
      <c r="F97" s="8">
        <v>1.0</v>
      </c>
    </row>
    <row r="98">
      <c r="A98" s="27" t="s">
        <v>338</v>
      </c>
      <c r="B98" s="6" t="s">
        <v>339</v>
      </c>
      <c r="C98" s="6" t="s">
        <v>340</v>
      </c>
      <c r="D98" s="6">
        <v>0.0</v>
      </c>
      <c r="E98" s="8" t="s">
        <v>341</v>
      </c>
      <c r="F98" s="8">
        <v>1.0</v>
      </c>
    </row>
    <row r="99">
      <c r="A99" s="16" t="s">
        <v>342</v>
      </c>
      <c r="B99" s="5" t="s">
        <v>343</v>
      </c>
      <c r="C99" s="6" t="s">
        <v>344</v>
      </c>
      <c r="D99" s="6">
        <v>1.0</v>
      </c>
    </row>
    <row r="100">
      <c r="A100" s="16" t="s">
        <v>345</v>
      </c>
      <c r="B100" s="5" t="s">
        <v>346</v>
      </c>
      <c r="C100" s="6" t="s">
        <v>347</v>
      </c>
      <c r="D100" s="6">
        <v>1.0</v>
      </c>
    </row>
    <row r="101">
      <c r="A101" s="16" t="s">
        <v>348</v>
      </c>
      <c r="B101" s="5" t="s">
        <v>349</v>
      </c>
      <c r="C101" s="6" t="s">
        <v>350</v>
      </c>
      <c r="D101" s="6">
        <v>1.0</v>
      </c>
    </row>
    <row r="102">
      <c r="A102" s="16" t="s">
        <v>351</v>
      </c>
      <c r="B102" s="5" t="s">
        <v>352</v>
      </c>
      <c r="C102" s="6" t="s">
        <v>353</v>
      </c>
      <c r="D102" s="6">
        <v>1.0</v>
      </c>
    </row>
    <row r="103">
      <c r="A103" s="16" t="s">
        <v>354</v>
      </c>
      <c r="B103" s="5" t="s">
        <v>355</v>
      </c>
      <c r="C103" s="6" t="s">
        <v>356</v>
      </c>
      <c r="D103" s="6">
        <v>0.0</v>
      </c>
      <c r="E103" s="8" t="s">
        <v>357</v>
      </c>
      <c r="F103" s="18">
        <v>0.0</v>
      </c>
    </row>
    <row r="104">
      <c r="A104" s="28"/>
      <c r="B104" s="5"/>
      <c r="C104" s="5"/>
      <c r="D104" s="28"/>
    </row>
    <row r="105">
      <c r="A105" s="28"/>
      <c r="B105" s="5"/>
      <c r="C105" s="23"/>
      <c r="D105" s="28">
        <f>SUM(D2:D103)</f>
        <v>54</v>
      </c>
      <c r="F105" s="29">
        <f>SUM(F2:F104)</f>
        <v>40</v>
      </c>
    </row>
    <row r="106">
      <c r="A106" s="28"/>
      <c r="B106" s="5"/>
      <c r="C106" s="23"/>
      <c r="D106" s="5"/>
    </row>
    <row r="107">
      <c r="A107" s="28"/>
      <c r="B107" s="5"/>
      <c r="C107" s="23"/>
      <c r="D107" s="30"/>
    </row>
    <row r="108">
      <c r="A108" s="28"/>
      <c r="B108" s="5"/>
      <c r="C108" s="23"/>
      <c r="D108" s="6"/>
    </row>
    <row r="109">
      <c r="A109" s="28"/>
      <c r="B109" s="5"/>
      <c r="C109" s="23"/>
      <c r="D109" s="6"/>
    </row>
    <row r="110">
      <c r="A110" s="28"/>
      <c r="B110" s="5"/>
      <c r="C110" s="16"/>
      <c r="D110" s="5"/>
    </row>
    <row r="111">
      <c r="A111" s="28"/>
      <c r="B111" s="5"/>
      <c r="C111" s="31"/>
      <c r="D111" s="6"/>
    </row>
    <row r="112">
      <c r="A112" s="28"/>
      <c r="B112" s="5"/>
      <c r="C112" s="31"/>
      <c r="D112" s="5"/>
    </row>
    <row r="113">
      <c r="A113" s="28"/>
      <c r="B113" s="5"/>
      <c r="C113" s="31"/>
      <c r="D113" s="5"/>
    </row>
    <row r="114">
      <c r="A114" s="28"/>
      <c r="B114" s="5"/>
      <c r="C114" s="5"/>
      <c r="D114" s="5"/>
    </row>
    <row r="115">
      <c r="A115" s="28"/>
      <c r="B115" s="5"/>
      <c r="C115" s="5"/>
      <c r="D115" s="5"/>
    </row>
    <row r="116">
      <c r="A116" s="28"/>
      <c r="B116" s="5"/>
      <c r="C116" s="32"/>
      <c r="D116" s="5"/>
    </row>
    <row r="117">
      <c r="A117" s="28"/>
      <c r="B117" s="5"/>
      <c r="C117" s="5"/>
      <c r="D117" s="5"/>
    </row>
    <row r="118">
      <c r="A118" s="28"/>
      <c r="B118" s="5"/>
      <c r="C118" s="5"/>
      <c r="D118" s="5"/>
    </row>
    <row r="119">
      <c r="A119" s="28"/>
      <c r="B119" s="5"/>
      <c r="C119" s="5"/>
      <c r="D119" s="5"/>
    </row>
    <row r="120">
      <c r="A120" s="28"/>
      <c r="B120" s="5"/>
      <c r="C120" s="5"/>
      <c r="D120" s="5"/>
    </row>
    <row r="121">
      <c r="A121" s="28"/>
      <c r="B121" s="5"/>
      <c r="C121" s="5"/>
      <c r="D121" s="5"/>
    </row>
    <row r="122">
      <c r="A122" s="28"/>
      <c r="B122" s="5"/>
      <c r="C122" s="5"/>
      <c r="D122" s="5"/>
    </row>
    <row r="123">
      <c r="A123" s="28"/>
      <c r="B123" s="5"/>
      <c r="C123" s="5"/>
      <c r="D123" s="5"/>
    </row>
    <row r="124">
      <c r="A124" s="28"/>
      <c r="B124" s="5"/>
      <c r="C124" s="5"/>
      <c r="D124" s="5"/>
    </row>
    <row r="125">
      <c r="A125" s="28"/>
      <c r="B125" s="5"/>
      <c r="C125" s="5"/>
      <c r="D125" s="5"/>
    </row>
    <row r="126">
      <c r="A126" s="28"/>
      <c r="B126" s="5"/>
      <c r="C126" s="5"/>
      <c r="D126" s="5"/>
    </row>
    <row r="127">
      <c r="A127" s="28"/>
      <c r="B127" s="5"/>
      <c r="C127" s="5"/>
      <c r="D127" s="5"/>
    </row>
    <row r="128">
      <c r="A128" s="28"/>
      <c r="B128" s="5"/>
      <c r="C128" s="5"/>
      <c r="D128" s="5"/>
    </row>
    <row r="129">
      <c r="A129" s="28"/>
      <c r="B129" s="5"/>
      <c r="C129" s="5"/>
      <c r="D129" s="5"/>
    </row>
    <row r="130">
      <c r="A130" s="28"/>
      <c r="B130" s="5"/>
      <c r="C130" s="5"/>
      <c r="D130" s="5"/>
    </row>
    <row r="131">
      <c r="A131" s="28"/>
      <c r="B131" s="5"/>
      <c r="C131" s="5"/>
      <c r="D131" s="5"/>
    </row>
    <row r="132">
      <c r="A132" s="28"/>
      <c r="B132" s="5"/>
      <c r="C132" s="5"/>
      <c r="D132" s="5"/>
    </row>
    <row r="133">
      <c r="A133" s="28"/>
      <c r="B133" s="5"/>
      <c r="C133" s="5"/>
      <c r="D133" s="5"/>
    </row>
    <row r="134">
      <c r="A134" s="28"/>
      <c r="B134" s="5"/>
      <c r="C134" s="5"/>
      <c r="D134" s="5"/>
    </row>
    <row r="135">
      <c r="A135" s="28"/>
      <c r="B135" s="5"/>
      <c r="C135" s="5"/>
      <c r="D135" s="5"/>
    </row>
    <row r="136">
      <c r="A136" s="28"/>
      <c r="B136" s="5"/>
      <c r="C136" s="5"/>
      <c r="D136" s="5"/>
    </row>
    <row r="137">
      <c r="A137" s="28"/>
      <c r="B137" s="5"/>
      <c r="C137" s="5"/>
      <c r="D137" s="5"/>
    </row>
    <row r="138">
      <c r="A138" s="28"/>
      <c r="B138" s="5"/>
      <c r="C138" s="5"/>
      <c r="D138" s="5"/>
    </row>
    <row r="139">
      <c r="A139" s="28"/>
      <c r="B139" s="5"/>
      <c r="C139" s="5"/>
      <c r="D139" s="5"/>
    </row>
    <row r="140">
      <c r="A140" s="28"/>
      <c r="B140" s="5"/>
      <c r="C140" s="5"/>
      <c r="D140" s="5"/>
    </row>
    <row r="141">
      <c r="A141" s="28"/>
      <c r="B141" s="5"/>
      <c r="C141" s="5"/>
      <c r="D141" s="5"/>
    </row>
    <row r="142">
      <c r="A142" s="28"/>
      <c r="B142" s="5"/>
      <c r="C142" s="5"/>
      <c r="D142" s="5"/>
    </row>
    <row r="143">
      <c r="A143" s="28"/>
      <c r="B143" s="5"/>
      <c r="C143" s="5"/>
      <c r="D143" s="5"/>
    </row>
    <row r="144">
      <c r="A144" s="28"/>
      <c r="B144" s="5"/>
      <c r="C144" s="5"/>
      <c r="D144" s="5"/>
    </row>
    <row r="145">
      <c r="A145" s="28"/>
      <c r="B145" s="5"/>
      <c r="C145" s="5"/>
      <c r="D145" s="5"/>
    </row>
    <row r="146">
      <c r="A146" s="28"/>
      <c r="B146" s="5"/>
      <c r="C146" s="5"/>
      <c r="D146" s="5"/>
    </row>
    <row r="147">
      <c r="A147" s="28"/>
      <c r="B147" s="5"/>
      <c r="C147" s="5"/>
      <c r="D147" s="5"/>
    </row>
    <row r="148">
      <c r="A148" s="28"/>
      <c r="B148" s="5"/>
      <c r="C148" s="5"/>
      <c r="D148" s="5"/>
    </row>
    <row r="149">
      <c r="A149" s="28"/>
      <c r="B149" s="5"/>
      <c r="C149" s="5"/>
      <c r="D149" s="5"/>
    </row>
    <row r="150">
      <c r="A150" s="28"/>
      <c r="B150" s="5"/>
      <c r="C150" s="5"/>
      <c r="D150" s="5"/>
    </row>
    <row r="151">
      <c r="A151" s="28"/>
      <c r="B151" s="5"/>
      <c r="C151" s="5"/>
      <c r="D151" s="5"/>
    </row>
    <row r="152">
      <c r="A152" s="28"/>
      <c r="B152" s="5"/>
      <c r="C152" s="5"/>
      <c r="D152" s="5"/>
    </row>
    <row r="153">
      <c r="A153" s="28"/>
      <c r="B153" s="5"/>
      <c r="C153" s="5"/>
      <c r="D153" s="5"/>
    </row>
    <row r="154">
      <c r="A154" s="28"/>
      <c r="B154" s="5"/>
      <c r="C154" s="5"/>
      <c r="D154" s="5"/>
    </row>
    <row r="155">
      <c r="A155" s="28"/>
      <c r="B155" s="5"/>
      <c r="C155" s="5"/>
      <c r="D155" s="5"/>
    </row>
    <row r="156">
      <c r="A156" s="28"/>
      <c r="B156" s="5"/>
      <c r="C156" s="5"/>
      <c r="D156" s="5"/>
    </row>
    <row r="157">
      <c r="A157" s="28"/>
      <c r="B157" s="5"/>
      <c r="C157" s="5"/>
      <c r="D157" s="5"/>
    </row>
    <row r="158">
      <c r="A158" s="28"/>
      <c r="B158" s="5"/>
      <c r="C158" s="5"/>
      <c r="D158" s="5"/>
    </row>
    <row r="159">
      <c r="A159" s="28"/>
      <c r="B159" s="5"/>
      <c r="C159" s="5"/>
      <c r="D159" s="5"/>
    </row>
    <row r="160">
      <c r="A160" s="28"/>
      <c r="B160" s="5"/>
      <c r="C160" s="5"/>
      <c r="D160" s="5"/>
    </row>
    <row r="161">
      <c r="A161" s="28"/>
      <c r="B161" s="5"/>
      <c r="C161" s="5"/>
      <c r="D161" s="5"/>
    </row>
    <row r="162">
      <c r="A162" s="28"/>
      <c r="B162" s="5"/>
      <c r="C162" s="5"/>
      <c r="D162" s="5"/>
    </row>
    <row r="163">
      <c r="A163" s="28"/>
      <c r="B163" s="5"/>
      <c r="C163" s="5"/>
      <c r="D163" s="5"/>
    </row>
    <row r="164">
      <c r="A164" s="28"/>
      <c r="B164" s="5"/>
      <c r="C164" s="5"/>
      <c r="D164" s="5"/>
    </row>
    <row r="165">
      <c r="A165" s="28"/>
      <c r="B165" s="5"/>
      <c r="C165" s="5"/>
      <c r="D165" s="5"/>
    </row>
    <row r="166">
      <c r="A166" s="28"/>
      <c r="B166" s="5"/>
      <c r="C166" s="5"/>
      <c r="D166" s="5"/>
    </row>
    <row r="167">
      <c r="A167" s="28"/>
      <c r="B167" s="5"/>
      <c r="C167" s="5"/>
      <c r="D167" s="5"/>
    </row>
    <row r="168">
      <c r="A168" s="28"/>
      <c r="B168" s="5"/>
      <c r="C168" s="5"/>
      <c r="D168" s="5"/>
    </row>
    <row r="169">
      <c r="A169" s="28"/>
      <c r="B169" s="5"/>
      <c r="C169" s="5"/>
      <c r="D169" s="5"/>
    </row>
    <row r="170">
      <c r="A170" s="28"/>
      <c r="B170" s="5"/>
      <c r="C170" s="5"/>
      <c r="D170" s="5"/>
    </row>
    <row r="171">
      <c r="A171" s="28"/>
      <c r="B171" s="5"/>
      <c r="C171" s="5"/>
      <c r="D171" s="5"/>
    </row>
    <row r="172">
      <c r="A172" s="28"/>
      <c r="B172" s="5"/>
      <c r="C172" s="5"/>
      <c r="D172" s="5"/>
    </row>
    <row r="173">
      <c r="A173" s="28"/>
      <c r="B173" s="5"/>
      <c r="C173" s="5"/>
      <c r="D173" s="5"/>
    </row>
    <row r="174">
      <c r="A174" s="28"/>
      <c r="B174" s="5"/>
      <c r="C174" s="5"/>
      <c r="D174" s="5"/>
    </row>
    <row r="175">
      <c r="A175" s="28"/>
      <c r="B175" s="5"/>
      <c r="C175" s="5"/>
      <c r="D175" s="5"/>
    </row>
    <row r="176">
      <c r="A176" s="28"/>
      <c r="B176" s="5"/>
      <c r="C176" s="5"/>
      <c r="D176" s="5"/>
    </row>
    <row r="177">
      <c r="A177" s="28"/>
      <c r="B177" s="5"/>
      <c r="C177" s="5"/>
      <c r="D177" s="5"/>
    </row>
    <row r="178">
      <c r="A178" s="28"/>
      <c r="B178" s="5"/>
      <c r="C178" s="5"/>
      <c r="D178" s="5"/>
    </row>
    <row r="179">
      <c r="A179" s="28"/>
      <c r="B179" s="5"/>
      <c r="C179" s="5"/>
      <c r="D179" s="5"/>
    </row>
    <row r="180">
      <c r="A180" s="28"/>
      <c r="B180" s="5"/>
      <c r="C180" s="5"/>
      <c r="D180" s="5"/>
    </row>
    <row r="181">
      <c r="A181" s="28"/>
      <c r="B181" s="5"/>
      <c r="C181" s="5"/>
      <c r="D181" s="5"/>
    </row>
    <row r="182">
      <c r="A182" s="28"/>
      <c r="B182" s="5"/>
      <c r="C182" s="5"/>
      <c r="D182" s="5"/>
    </row>
    <row r="183">
      <c r="A183" s="28"/>
      <c r="B183" s="5"/>
      <c r="C183" s="5"/>
      <c r="D183" s="5"/>
    </row>
    <row r="184">
      <c r="A184" s="28"/>
      <c r="B184" s="5"/>
      <c r="C184" s="5"/>
      <c r="D184" s="5"/>
    </row>
    <row r="185">
      <c r="A185" s="28"/>
      <c r="B185" s="5"/>
      <c r="C185" s="5"/>
      <c r="D185" s="5"/>
    </row>
    <row r="186">
      <c r="A186" s="28"/>
      <c r="B186" s="5"/>
      <c r="C186" s="5"/>
      <c r="D186" s="5"/>
    </row>
    <row r="187">
      <c r="A187" s="28"/>
      <c r="B187" s="5"/>
      <c r="C187" s="5"/>
      <c r="D187" s="5"/>
    </row>
    <row r="188">
      <c r="A188" s="28"/>
      <c r="B188" s="5"/>
      <c r="C188" s="5"/>
      <c r="D188" s="5"/>
    </row>
    <row r="189">
      <c r="A189" s="28"/>
      <c r="B189" s="5"/>
      <c r="C189" s="5"/>
      <c r="D189" s="5"/>
    </row>
    <row r="190">
      <c r="A190" s="28"/>
      <c r="B190" s="5"/>
      <c r="C190" s="5"/>
      <c r="D190" s="5"/>
    </row>
    <row r="191">
      <c r="A191" s="28"/>
      <c r="B191" s="5"/>
      <c r="C191" s="5"/>
      <c r="D191" s="5"/>
    </row>
    <row r="192">
      <c r="A192" s="28"/>
      <c r="B192" s="5"/>
      <c r="C192" s="5"/>
      <c r="D192" s="5"/>
    </row>
    <row r="193">
      <c r="A193" s="28"/>
      <c r="B193" s="5"/>
      <c r="C193" s="5"/>
      <c r="D193" s="5"/>
    </row>
    <row r="194">
      <c r="A194" s="28"/>
      <c r="B194" s="5"/>
      <c r="C194" s="5"/>
      <c r="D194" s="5"/>
    </row>
    <row r="195">
      <c r="A195" s="28"/>
      <c r="B195" s="5"/>
      <c r="C195" s="5"/>
      <c r="D195" s="5"/>
    </row>
    <row r="196">
      <c r="A196" s="28"/>
      <c r="B196" s="5"/>
      <c r="C196" s="5"/>
      <c r="D196" s="5"/>
    </row>
    <row r="197">
      <c r="A197" s="28"/>
      <c r="B197" s="5"/>
      <c r="C197" s="5"/>
      <c r="D197" s="5"/>
    </row>
    <row r="198">
      <c r="A198" s="28"/>
      <c r="B198" s="5"/>
      <c r="C198" s="5"/>
      <c r="D198" s="5"/>
    </row>
    <row r="199">
      <c r="A199" s="28"/>
      <c r="B199" s="5"/>
      <c r="C199" s="5"/>
      <c r="D199" s="5"/>
    </row>
    <row r="200">
      <c r="A200" s="28"/>
      <c r="B200" s="5"/>
      <c r="C200" s="5"/>
      <c r="D200" s="5"/>
    </row>
    <row r="201">
      <c r="A201" s="28"/>
      <c r="B201" s="5"/>
      <c r="C201" s="5"/>
      <c r="D201" s="5"/>
    </row>
    <row r="202">
      <c r="A202" s="28"/>
      <c r="B202" s="5"/>
      <c r="C202" s="5"/>
      <c r="D202" s="5"/>
    </row>
    <row r="203">
      <c r="A203" s="28"/>
      <c r="B203" s="5"/>
      <c r="C203" s="5"/>
      <c r="D203" s="5"/>
    </row>
    <row r="204">
      <c r="A204" s="28"/>
      <c r="B204" s="5"/>
      <c r="C204" s="5"/>
      <c r="D204" s="5"/>
    </row>
    <row r="205">
      <c r="A205" s="28"/>
      <c r="B205" s="5"/>
      <c r="C205" s="5"/>
      <c r="D205" s="5"/>
    </row>
    <row r="206">
      <c r="A206" s="28"/>
      <c r="B206" s="5"/>
      <c r="C206" s="5"/>
      <c r="D206" s="5"/>
    </row>
    <row r="207">
      <c r="A207" s="28"/>
      <c r="B207" s="5"/>
      <c r="C207" s="5"/>
      <c r="D207" s="5"/>
    </row>
    <row r="208">
      <c r="A208" s="28"/>
      <c r="B208" s="5"/>
      <c r="C208" s="5"/>
      <c r="D208" s="5"/>
    </row>
    <row r="209">
      <c r="A209" s="28"/>
      <c r="B209" s="5"/>
      <c r="C209" s="5"/>
      <c r="D209" s="5"/>
    </row>
    <row r="210">
      <c r="A210" s="28"/>
      <c r="B210" s="5"/>
      <c r="C210" s="5"/>
      <c r="D210" s="5"/>
    </row>
    <row r="211">
      <c r="A211" s="28"/>
      <c r="B211" s="5"/>
      <c r="C211" s="5"/>
      <c r="D211" s="5"/>
    </row>
    <row r="212">
      <c r="A212" s="28"/>
      <c r="B212" s="5"/>
      <c r="C212" s="5"/>
      <c r="D212" s="5"/>
    </row>
    <row r="213">
      <c r="A213" s="28"/>
      <c r="B213" s="5"/>
      <c r="C213" s="5"/>
      <c r="D213" s="5"/>
    </row>
    <row r="214">
      <c r="A214" s="28"/>
      <c r="B214" s="5"/>
      <c r="C214" s="5"/>
      <c r="D214" s="5"/>
    </row>
    <row r="215">
      <c r="A215" s="28"/>
      <c r="B215" s="5"/>
      <c r="C215" s="5"/>
      <c r="D215" s="5"/>
    </row>
    <row r="216">
      <c r="A216" s="28"/>
      <c r="B216" s="5"/>
      <c r="C216" s="5"/>
      <c r="D216" s="5"/>
    </row>
    <row r="217">
      <c r="A217" s="28"/>
      <c r="B217" s="5"/>
      <c r="C217" s="5"/>
      <c r="D217" s="5"/>
    </row>
    <row r="218">
      <c r="A218" s="28"/>
      <c r="B218" s="5"/>
      <c r="C218" s="5"/>
      <c r="D218" s="5"/>
    </row>
    <row r="219">
      <c r="A219" s="28"/>
      <c r="B219" s="5"/>
      <c r="C219" s="5"/>
      <c r="D219" s="5"/>
    </row>
    <row r="220">
      <c r="A220" s="28"/>
      <c r="B220" s="5"/>
      <c r="C220" s="5"/>
      <c r="D220" s="5"/>
    </row>
    <row r="221">
      <c r="A221" s="28"/>
      <c r="B221" s="5"/>
      <c r="C221" s="5"/>
      <c r="D221" s="5"/>
    </row>
    <row r="222">
      <c r="A222" s="28"/>
      <c r="B222" s="5"/>
      <c r="C222" s="5"/>
      <c r="D222" s="5"/>
    </row>
    <row r="223">
      <c r="A223" s="28"/>
      <c r="B223" s="5"/>
      <c r="C223" s="5"/>
      <c r="D223" s="5"/>
    </row>
    <row r="224">
      <c r="A224" s="28"/>
      <c r="B224" s="5"/>
      <c r="C224" s="5"/>
      <c r="D224" s="5"/>
    </row>
    <row r="225">
      <c r="A225" s="28"/>
      <c r="B225" s="5"/>
      <c r="C225" s="5"/>
      <c r="D225" s="5"/>
    </row>
    <row r="226">
      <c r="A226" s="28"/>
      <c r="B226" s="5"/>
      <c r="C226" s="5"/>
      <c r="D226" s="5"/>
    </row>
    <row r="227">
      <c r="A227" s="28"/>
      <c r="B227" s="5"/>
      <c r="C227" s="5"/>
      <c r="D227" s="5"/>
    </row>
    <row r="228">
      <c r="A228" s="28"/>
      <c r="B228" s="5"/>
      <c r="C228" s="5"/>
      <c r="D228" s="5"/>
    </row>
    <row r="229">
      <c r="A229" s="28"/>
      <c r="B229" s="5"/>
      <c r="C229" s="5"/>
      <c r="D229" s="5"/>
    </row>
    <row r="230">
      <c r="A230" s="28"/>
      <c r="B230" s="5"/>
      <c r="C230" s="5"/>
      <c r="D230" s="5"/>
    </row>
    <row r="231">
      <c r="A231" s="28"/>
      <c r="B231" s="5"/>
      <c r="C231" s="5"/>
      <c r="D231" s="5"/>
    </row>
    <row r="232">
      <c r="A232" s="28"/>
      <c r="B232" s="5"/>
      <c r="C232" s="5"/>
      <c r="D232" s="5"/>
    </row>
    <row r="233">
      <c r="A233" s="28"/>
      <c r="B233" s="5"/>
      <c r="C233" s="5"/>
      <c r="D233" s="5"/>
    </row>
    <row r="234">
      <c r="A234" s="28"/>
      <c r="B234" s="5"/>
      <c r="C234" s="5"/>
      <c r="D234" s="5"/>
    </row>
    <row r="235">
      <c r="A235" s="28"/>
      <c r="B235" s="5"/>
      <c r="C235" s="5"/>
      <c r="D235" s="5"/>
    </row>
    <row r="236">
      <c r="A236" s="28"/>
      <c r="B236" s="5"/>
      <c r="C236" s="5"/>
      <c r="D236" s="5"/>
    </row>
    <row r="237">
      <c r="A237" s="28"/>
      <c r="B237" s="5"/>
      <c r="C237" s="5"/>
      <c r="D237" s="5"/>
    </row>
    <row r="238">
      <c r="A238" s="28"/>
      <c r="B238" s="5"/>
      <c r="C238" s="5"/>
      <c r="D238" s="5"/>
    </row>
    <row r="239">
      <c r="A239" s="28"/>
      <c r="B239" s="5"/>
      <c r="C239" s="5"/>
      <c r="D239" s="5"/>
    </row>
    <row r="240">
      <c r="A240" s="28"/>
      <c r="B240" s="5"/>
      <c r="C240" s="5"/>
      <c r="D240" s="5"/>
    </row>
    <row r="241">
      <c r="A241" s="28"/>
      <c r="B241" s="5"/>
      <c r="C241" s="5"/>
      <c r="D241" s="5"/>
    </row>
    <row r="242">
      <c r="A242" s="28"/>
      <c r="B242" s="5"/>
      <c r="C242" s="5"/>
      <c r="D242" s="5"/>
    </row>
    <row r="243">
      <c r="A243" s="28"/>
      <c r="B243" s="5"/>
      <c r="C243" s="5"/>
      <c r="D243" s="5"/>
    </row>
    <row r="244">
      <c r="A244" s="28"/>
      <c r="B244" s="5"/>
      <c r="C244" s="5"/>
      <c r="D244" s="5"/>
    </row>
    <row r="245">
      <c r="A245" s="28"/>
      <c r="B245" s="5"/>
      <c r="C245" s="5"/>
      <c r="D245" s="5"/>
    </row>
    <row r="246">
      <c r="A246" s="28"/>
      <c r="B246" s="5"/>
      <c r="C246" s="5"/>
      <c r="D246" s="5"/>
    </row>
    <row r="247">
      <c r="A247" s="28"/>
      <c r="B247" s="5"/>
      <c r="C247" s="5"/>
      <c r="D247" s="5"/>
    </row>
    <row r="248">
      <c r="A248" s="28"/>
      <c r="B248" s="5"/>
      <c r="C248" s="5"/>
      <c r="D248" s="5"/>
    </row>
    <row r="249">
      <c r="A249" s="28"/>
      <c r="B249" s="5"/>
      <c r="C249" s="5"/>
      <c r="D249" s="5"/>
    </row>
    <row r="250">
      <c r="A250" s="28"/>
      <c r="B250" s="5"/>
      <c r="C250" s="5"/>
      <c r="D250" s="5"/>
    </row>
    <row r="251">
      <c r="A251" s="28"/>
      <c r="B251" s="5"/>
      <c r="C251" s="5"/>
      <c r="D251" s="5"/>
    </row>
    <row r="252">
      <c r="A252" s="28"/>
      <c r="B252" s="5"/>
      <c r="C252" s="5"/>
      <c r="D252" s="5"/>
    </row>
    <row r="253">
      <c r="A253" s="28"/>
      <c r="B253" s="5"/>
      <c r="C253" s="5"/>
      <c r="D253" s="5"/>
    </row>
    <row r="254">
      <c r="A254" s="28"/>
      <c r="B254" s="5"/>
      <c r="C254" s="5"/>
      <c r="D254" s="5"/>
    </row>
    <row r="255">
      <c r="A255" s="28"/>
      <c r="B255" s="5"/>
      <c r="C255" s="5"/>
      <c r="D255" s="5"/>
    </row>
    <row r="256">
      <c r="A256" s="28"/>
      <c r="B256" s="5"/>
      <c r="C256" s="5"/>
      <c r="D256" s="5"/>
    </row>
    <row r="257">
      <c r="A257" s="28"/>
      <c r="B257" s="5"/>
      <c r="C257" s="5"/>
      <c r="D257" s="5"/>
    </row>
    <row r="258">
      <c r="A258" s="28"/>
      <c r="B258" s="5"/>
      <c r="C258" s="5"/>
      <c r="D258" s="5"/>
    </row>
    <row r="259">
      <c r="A259" s="28"/>
      <c r="B259" s="5"/>
      <c r="C259" s="5"/>
      <c r="D259" s="5"/>
    </row>
    <row r="260">
      <c r="A260" s="28"/>
      <c r="B260" s="5"/>
      <c r="C260" s="5"/>
      <c r="D260" s="5"/>
    </row>
    <row r="261">
      <c r="A261" s="28"/>
      <c r="B261" s="5"/>
      <c r="C261" s="5"/>
      <c r="D261" s="5"/>
    </row>
    <row r="262">
      <c r="A262" s="28"/>
      <c r="B262" s="5"/>
      <c r="C262" s="5"/>
      <c r="D262" s="5"/>
    </row>
    <row r="263">
      <c r="A263" s="28"/>
      <c r="B263" s="5"/>
      <c r="C263" s="5"/>
      <c r="D263" s="5"/>
    </row>
    <row r="264">
      <c r="A264" s="28"/>
      <c r="B264" s="5"/>
      <c r="C264" s="5"/>
      <c r="D264" s="5"/>
    </row>
    <row r="265">
      <c r="A265" s="28"/>
      <c r="B265" s="5"/>
      <c r="C265" s="5"/>
      <c r="D265" s="5"/>
    </row>
    <row r="266">
      <c r="A266" s="28"/>
      <c r="B266" s="5"/>
      <c r="C266" s="5"/>
      <c r="D266" s="5"/>
    </row>
    <row r="267">
      <c r="A267" s="28"/>
      <c r="B267" s="5"/>
      <c r="C267" s="5"/>
      <c r="D267" s="5"/>
    </row>
    <row r="268">
      <c r="A268" s="28"/>
      <c r="B268" s="5"/>
      <c r="C268" s="5"/>
      <c r="D268" s="5"/>
    </row>
    <row r="269">
      <c r="A269" s="28"/>
      <c r="B269" s="5"/>
      <c r="C269" s="5"/>
      <c r="D269" s="5"/>
    </row>
    <row r="270">
      <c r="A270" s="28"/>
      <c r="B270" s="5"/>
      <c r="C270" s="5"/>
      <c r="D270" s="5"/>
    </row>
    <row r="271">
      <c r="A271" s="28"/>
      <c r="B271" s="5"/>
      <c r="C271" s="5"/>
      <c r="D271" s="5"/>
    </row>
    <row r="272">
      <c r="A272" s="28"/>
      <c r="B272" s="5"/>
      <c r="C272" s="5"/>
      <c r="D272" s="5"/>
    </row>
    <row r="273">
      <c r="A273" s="28"/>
      <c r="B273" s="5"/>
      <c r="C273" s="5"/>
      <c r="D273" s="5"/>
    </row>
    <row r="274">
      <c r="A274" s="28"/>
      <c r="B274" s="5"/>
      <c r="C274" s="5"/>
      <c r="D274" s="5"/>
    </row>
    <row r="275">
      <c r="A275" s="28"/>
      <c r="B275" s="5"/>
      <c r="C275" s="5"/>
      <c r="D275" s="5"/>
    </row>
    <row r="276">
      <c r="A276" s="28"/>
      <c r="B276" s="5"/>
      <c r="C276" s="5"/>
      <c r="D276" s="5"/>
    </row>
    <row r="277">
      <c r="A277" s="28"/>
      <c r="B277" s="5"/>
      <c r="C277" s="5"/>
      <c r="D277" s="5"/>
    </row>
    <row r="278">
      <c r="A278" s="28"/>
      <c r="B278" s="5"/>
      <c r="C278" s="5"/>
      <c r="D278" s="5"/>
    </row>
    <row r="279">
      <c r="A279" s="28"/>
      <c r="B279" s="5"/>
      <c r="C279" s="5"/>
      <c r="D279" s="5"/>
    </row>
    <row r="280">
      <c r="A280" s="28"/>
      <c r="B280" s="5"/>
      <c r="C280" s="5"/>
      <c r="D280" s="5"/>
    </row>
    <row r="281">
      <c r="A281" s="28"/>
      <c r="B281" s="5"/>
      <c r="C281" s="5"/>
      <c r="D281" s="5"/>
    </row>
    <row r="282">
      <c r="A282" s="28"/>
      <c r="B282" s="5"/>
      <c r="C282" s="5"/>
      <c r="D282" s="5"/>
    </row>
    <row r="283">
      <c r="A283" s="28"/>
      <c r="B283" s="5"/>
      <c r="C283" s="5"/>
      <c r="D283" s="5"/>
    </row>
    <row r="284">
      <c r="A284" s="28"/>
      <c r="B284" s="5"/>
      <c r="C284" s="5"/>
      <c r="D284" s="5"/>
    </row>
    <row r="285">
      <c r="A285" s="28"/>
      <c r="B285" s="5"/>
      <c r="C285" s="5"/>
      <c r="D285" s="5"/>
    </row>
    <row r="286">
      <c r="A286" s="28"/>
      <c r="B286" s="5"/>
      <c r="C286" s="5"/>
      <c r="D286" s="5"/>
    </row>
    <row r="287">
      <c r="A287" s="28"/>
      <c r="B287" s="5"/>
      <c r="C287" s="5"/>
      <c r="D287" s="5"/>
    </row>
    <row r="288">
      <c r="A288" s="28"/>
      <c r="B288" s="5"/>
      <c r="C288" s="5"/>
      <c r="D288" s="5"/>
    </row>
    <row r="289">
      <c r="A289" s="28"/>
      <c r="B289" s="5"/>
      <c r="C289" s="5"/>
      <c r="D289" s="5"/>
    </row>
    <row r="290">
      <c r="A290" s="28"/>
      <c r="B290" s="5"/>
      <c r="C290" s="5"/>
      <c r="D290" s="5"/>
    </row>
    <row r="291">
      <c r="A291" s="28"/>
      <c r="B291" s="5"/>
      <c r="C291" s="5"/>
      <c r="D291" s="5"/>
    </row>
    <row r="292">
      <c r="A292" s="28"/>
      <c r="B292" s="5"/>
      <c r="C292" s="5"/>
      <c r="D292" s="5"/>
    </row>
    <row r="293">
      <c r="A293" s="28"/>
      <c r="B293" s="5"/>
      <c r="C293" s="5"/>
      <c r="D293" s="5"/>
    </row>
    <row r="294">
      <c r="A294" s="28"/>
      <c r="B294" s="5"/>
      <c r="C294" s="5"/>
      <c r="D294" s="5"/>
    </row>
    <row r="295">
      <c r="A295" s="28"/>
      <c r="B295" s="5"/>
      <c r="C295" s="5"/>
      <c r="D295" s="5"/>
    </row>
    <row r="296">
      <c r="A296" s="28"/>
      <c r="B296" s="5"/>
      <c r="C296" s="5"/>
      <c r="D296" s="5"/>
    </row>
    <row r="297">
      <c r="A297" s="28"/>
      <c r="B297" s="5"/>
      <c r="C297" s="5"/>
      <c r="D297" s="5"/>
    </row>
    <row r="298">
      <c r="A298" s="28"/>
      <c r="B298" s="5"/>
      <c r="C298" s="5"/>
      <c r="D298" s="5"/>
    </row>
    <row r="299">
      <c r="A299" s="28"/>
      <c r="B299" s="5"/>
      <c r="C299" s="5"/>
      <c r="D299" s="5"/>
    </row>
    <row r="300">
      <c r="A300" s="28"/>
      <c r="B300" s="5"/>
      <c r="C300" s="5"/>
      <c r="D300" s="5"/>
    </row>
    <row r="301">
      <c r="A301" s="28"/>
      <c r="B301" s="5"/>
      <c r="C301" s="5"/>
      <c r="D301" s="5"/>
    </row>
    <row r="302">
      <c r="A302" s="28"/>
      <c r="B302" s="5"/>
      <c r="C302" s="5"/>
      <c r="D302" s="5"/>
    </row>
    <row r="303">
      <c r="A303" s="28"/>
      <c r="B303" s="5"/>
      <c r="C303" s="5"/>
      <c r="D303" s="5"/>
    </row>
    <row r="304">
      <c r="A304" s="28"/>
      <c r="B304" s="5"/>
      <c r="C304" s="5"/>
      <c r="D304" s="5"/>
    </row>
    <row r="305">
      <c r="A305" s="28"/>
      <c r="B305" s="5"/>
      <c r="C305" s="5"/>
      <c r="D305" s="5"/>
    </row>
    <row r="306">
      <c r="A306" s="28"/>
      <c r="B306" s="5"/>
      <c r="C306" s="5"/>
      <c r="D306" s="5"/>
    </row>
    <row r="307">
      <c r="A307" s="28"/>
      <c r="B307" s="5"/>
      <c r="C307" s="5"/>
      <c r="D307" s="5"/>
    </row>
    <row r="308">
      <c r="A308" s="28"/>
      <c r="B308" s="5"/>
      <c r="C308" s="5"/>
      <c r="D308" s="5"/>
    </row>
    <row r="309">
      <c r="A309" s="28"/>
      <c r="B309" s="5"/>
      <c r="C309" s="5"/>
      <c r="D309" s="5"/>
    </row>
    <row r="310">
      <c r="A310" s="28"/>
      <c r="B310" s="5"/>
      <c r="C310" s="5"/>
      <c r="D310" s="5"/>
    </row>
    <row r="311">
      <c r="A311" s="28"/>
      <c r="B311" s="5"/>
      <c r="C311" s="5"/>
      <c r="D311" s="5"/>
    </row>
    <row r="312">
      <c r="A312" s="28"/>
      <c r="B312" s="5"/>
      <c r="C312" s="5"/>
      <c r="D312" s="5"/>
    </row>
    <row r="313">
      <c r="A313" s="28"/>
      <c r="B313" s="5"/>
      <c r="C313" s="5"/>
      <c r="D313" s="5"/>
    </row>
    <row r="314">
      <c r="A314" s="28"/>
      <c r="B314" s="5"/>
      <c r="C314" s="5"/>
      <c r="D314" s="5"/>
    </row>
    <row r="315">
      <c r="A315" s="28"/>
      <c r="B315" s="5"/>
      <c r="C315" s="5"/>
      <c r="D315" s="5"/>
    </row>
    <row r="316">
      <c r="A316" s="28"/>
      <c r="B316" s="5"/>
      <c r="C316" s="5"/>
      <c r="D316" s="5"/>
    </row>
    <row r="317">
      <c r="A317" s="28"/>
      <c r="B317" s="5"/>
      <c r="C317" s="5"/>
      <c r="D317" s="5"/>
    </row>
    <row r="318">
      <c r="A318" s="28"/>
      <c r="B318" s="5"/>
      <c r="C318" s="5"/>
      <c r="D318" s="5"/>
    </row>
    <row r="319">
      <c r="A319" s="28"/>
      <c r="B319" s="5"/>
      <c r="C319" s="5"/>
      <c r="D319" s="5"/>
    </row>
    <row r="320">
      <c r="A320" s="28"/>
      <c r="B320" s="5"/>
      <c r="C320" s="5"/>
      <c r="D320" s="5"/>
    </row>
    <row r="321">
      <c r="A321" s="28"/>
      <c r="B321" s="5"/>
      <c r="C321" s="5"/>
      <c r="D321" s="5"/>
    </row>
    <row r="322">
      <c r="A322" s="28"/>
      <c r="B322" s="5"/>
      <c r="C322" s="5"/>
      <c r="D322" s="5"/>
    </row>
    <row r="323">
      <c r="A323" s="28"/>
      <c r="B323" s="5"/>
      <c r="C323" s="5"/>
      <c r="D323" s="5"/>
    </row>
    <row r="324">
      <c r="A324" s="28"/>
      <c r="B324" s="5"/>
      <c r="C324" s="5"/>
      <c r="D324" s="5"/>
    </row>
    <row r="325">
      <c r="A325" s="28"/>
      <c r="B325" s="5"/>
      <c r="C325" s="5"/>
      <c r="D325" s="5"/>
    </row>
    <row r="326">
      <c r="A326" s="28"/>
      <c r="B326" s="5"/>
      <c r="C326" s="5"/>
      <c r="D326" s="5"/>
    </row>
    <row r="327">
      <c r="A327" s="28"/>
      <c r="B327" s="5"/>
      <c r="C327" s="5"/>
      <c r="D327" s="5"/>
    </row>
    <row r="328">
      <c r="A328" s="28"/>
      <c r="B328" s="5"/>
      <c r="C328" s="5"/>
      <c r="D328" s="5"/>
    </row>
    <row r="329">
      <c r="A329" s="28"/>
      <c r="B329" s="5"/>
      <c r="C329" s="5"/>
      <c r="D329" s="5"/>
    </row>
    <row r="330">
      <c r="A330" s="28"/>
      <c r="B330" s="5"/>
      <c r="C330" s="5"/>
      <c r="D330" s="5"/>
    </row>
    <row r="331">
      <c r="A331" s="28"/>
      <c r="B331" s="5"/>
      <c r="C331" s="5"/>
      <c r="D331" s="5"/>
    </row>
    <row r="332">
      <c r="A332" s="28"/>
      <c r="B332" s="5"/>
      <c r="C332" s="5"/>
      <c r="D332" s="5"/>
    </row>
    <row r="333">
      <c r="A333" s="28"/>
      <c r="B333" s="5"/>
      <c r="C333" s="5"/>
      <c r="D333" s="5"/>
    </row>
    <row r="334">
      <c r="A334" s="28"/>
      <c r="B334" s="5"/>
      <c r="C334" s="5"/>
      <c r="D334" s="5"/>
    </row>
    <row r="335">
      <c r="A335" s="28"/>
      <c r="B335" s="5"/>
      <c r="C335" s="5"/>
      <c r="D335" s="5"/>
    </row>
    <row r="336">
      <c r="A336" s="28"/>
      <c r="B336" s="5"/>
      <c r="C336" s="5"/>
      <c r="D336" s="5"/>
    </row>
    <row r="337">
      <c r="A337" s="28"/>
      <c r="B337" s="5"/>
      <c r="C337" s="5"/>
      <c r="D337" s="5"/>
    </row>
    <row r="338">
      <c r="A338" s="28"/>
      <c r="B338" s="5"/>
      <c r="C338" s="5"/>
      <c r="D338" s="5"/>
    </row>
    <row r="339">
      <c r="A339" s="28"/>
      <c r="B339" s="5"/>
      <c r="C339" s="5"/>
      <c r="D339" s="5"/>
    </row>
    <row r="340">
      <c r="A340" s="28"/>
      <c r="B340" s="5"/>
      <c r="C340" s="5"/>
      <c r="D340" s="5"/>
    </row>
    <row r="341">
      <c r="A341" s="28"/>
      <c r="B341" s="5"/>
      <c r="C341" s="5"/>
      <c r="D341" s="5"/>
    </row>
    <row r="342">
      <c r="A342" s="28"/>
      <c r="B342" s="5"/>
      <c r="C342" s="5"/>
      <c r="D342" s="5"/>
    </row>
    <row r="343">
      <c r="A343" s="28"/>
      <c r="B343" s="5"/>
      <c r="C343" s="5"/>
      <c r="D343" s="5"/>
    </row>
    <row r="344">
      <c r="A344" s="28"/>
      <c r="B344" s="5"/>
      <c r="C344" s="5"/>
      <c r="D344" s="5"/>
    </row>
    <row r="345">
      <c r="A345" s="28"/>
      <c r="B345" s="5"/>
      <c r="C345" s="5"/>
      <c r="D345" s="5"/>
    </row>
    <row r="346">
      <c r="A346" s="28"/>
      <c r="B346" s="5"/>
      <c r="C346" s="5"/>
      <c r="D346" s="5"/>
    </row>
    <row r="347">
      <c r="A347" s="28"/>
      <c r="B347" s="5"/>
      <c r="C347" s="5"/>
      <c r="D347" s="5"/>
    </row>
    <row r="348">
      <c r="A348" s="28"/>
      <c r="B348" s="5"/>
      <c r="C348" s="5"/>
      <c r="D348" s="5"/>
    </row>
    <row r="349">
      <c r="A349" s="28"/>
      <c r="B349" s="5"/>
      <c r="C349" s="5"/>
      <c r="D349" s="5"/>
    </row>
    <row r="350">
      <c r="A350" s="28"/>
      <c r="B350" s="5"/>
      <c r="C350" s="5"/>
      <c r="D350" s="5"/>
    </row>
    <row r="351">
      <c r="A351" s="28"/>
      <c r="B351" s="5"/>
      <c r="C351" s="5"/>
      <c r="D351" s="5"/>
    </row>
    <row r="352">
      <c r="A352" s="28"/>
      <c r="B352" s="5"/>
      <c r="C352" s="5"/>
      <c r="D352" s="5"/>
    </row>
    <row r="353">
      <c r="A353" s="28"/>
      <c r="B353" s="5"/>
      <c r="C353" s="5"/>
      <c r="D353" s="5"/>
    </row>
    <row r="354">
      <c r="A354" s="28"/>
      <c r="B354" s="5"/>
      <c r="C354" s="5"/>
      <c r="D354" s="5"/>
    </row>
    <row r="355">
      <c r="A355" s="28"/>
      <c r="B355" s="5"/>
      <c r="C355" s="5"/>
      <c r="D355" s="5"/>
    </row>
    <row r="356">
      <c r="A356" s="28"/>
      <c r="B356" s="5"/>
      <c r="C356" s="5"/>
      <c r="D356" s="5"/>
    </row>
    <row r="357">
      <c r="A357" s="28"/>
      <c r="B357" s="5"/>
      <c r="C357" s="5"/>
      <c r="D357" s="5"/>
    </row>
    <row r="358">
      <c r="A358" s="28"/>
      <c r="B358" s="5"/>
      <c r="C358" s="5"/>
      <c r="D358" s="5"/>
    </row>
    <row r="359">
      <c r="A359" s="28"/>
      <c r="B359" s="5"/>
      <c r="C359" s="5"/>
      <c r="D359" s="5"/>
    </row>
    <row r="360">
      <c r="A360" s="28"/>
      <c r="B360" s="5"/>
      <c r="C360" s="5"/>
      <c r="D360" s="5"/>
    </row>
    <row r="361">
      <c r="A361" s="28"/>
      <c r="B361" s="5"/>
      <c r="C361" s="5"/>
      <c r="D361" s="5"/>
    </row>
    <row r="362">
      <c r="A362" s="28"/>
      <c r="B362" s="5"/>
      <c r="C362" s="5"/>
      <c r="D362" s="5"/>
    </row>
    <row r="363">
      <c r="A363" s="28"/>
      <c r="B363" s="5"/>
      <c r="C363" s="5"/>
      <c r="D363" s="5"/>
    </row>
    <row r="364">
      <c r="A364" s="28"/>
      <c r="B364" s="5"/>
      <c r="C364" s="5"/>
      <c r="D364" s="5"/>
    </row>
    <row r="365">
      <c r="A365" s="28"/>
      <c r="B365" s="5"/>
      <c r="C365" s="5"/>
      <c r="D365" s="5"/>
    </row>
    <row r="366">
      <c r="A366" s="28"/>
      <c r="B366" s="5"/>
      <c r="C366" s="5"/>
      <c r="D366" s="5"/>
    </row>
    <row r="367">
      <c r="A367" s="28"/>
      <c r="B367" s="5"/>
      <c r="C367" s="5"/>
      <c r="D367" s="5"/>
    </row>
    <row r="368">
      <c r="A368" s="28"/>
      <c r="B368" s="5"/>
      <c r="C368" s="5"/>
      <c r="D368" s="5"/>
    </row>
    <row r="369">
      <c r="A369" s="28"/>
      <c r="B369" s="5"/>
      <c r="C369" s="5"/>
      <c r="D369" s="5"/>
    </row>
    <row r="370">
      <c r="A370" s="28"/>
      <c r="B370" s="5"/>
      <c r="C370" s="5"/>
      <c r="D370" s="5"/>
    </row>
    <row r="371">
      <c r="A371" s="28"/>
      <c r="B371" s="5"/>
      <c r="C371" s="5"/>
      <c r="D371" s="5"/>
    </row>
    <row r="372">
      <c r="A372" s="28"/>
      <c r="B372" s="5"/>
      <c r="C372" s="5"/>
      <c r="D372" s="5"/>
    </row>
    <row r="373">
      <c r="A373" s="28"/>
      <c r="B373" s="5"/>
      <c r="C373" s="5"/>
      <c r="D373" s="5"/>
    </row>
    <row r="374">
      <c r="A374" s="28"/>
      <c r="B374" s="5"/>
      <c r="C374" s="5"/>
      <c r="D374" s="5"/>
    </row>
    <row r="375">
      <c r="A375" s="28"/>
      <c r="B375" s="5"/>
      <c r="C375" s="5"/>
      <c r="D375" s="5"/>
    </row>
    <row r="376">
      <c r="A376" s="28"/>
      <c r="B376" s="5"/>
      <c r="C376" s="5"/>
      <c r="D376" s="5"/>
    </row>
    <row r="377">
      <c r="A377" s="28"/>
      <c r="B377" s="5"/>
      <c r="C377" s="5"/>
      <c r="D377" s="5"/>
    </row>
    <row r="378">
      <c r="A378" s="28"/>
      <c r="B378" s="5"/>
      <c r="C378" s="5"/>
      <c r="D378" s="5"/>
    </row>
    <row r="379">
      <c r="A379" s="28"/>
      <c r="B379" s="5"/>
      <c r="C379" s="5"/>
      <c r="D379" s="5"/>
    </row>
    <row r="380">
      <c r="A380" s="28"/>
      <c r="B380" s="5"/>
      <c r="C380" s="5"/>
      <c r="D380" s="5"/>
    </row>
    <row r="381">
      <c r="A381" s="28"/>
      <c r="B381" s="5"/>
      <c r="C381" s="5"/>
      <c r="D381" s="5"/>
    </row>
    <row r="382">
      <c r="A382" s="28"/>
      <c r="B382" s="5"/>
      <c r="C382" s="5"/>
      <c r="D382" s="5"/>
    </row>
    <row r="383">
      <c r="A383" s="28"/>
      <c r="B383" s="5"/>
      <c r="C383" s="5"/>
      <c r="D383" s="5"/>
    </row>
    <row r="384">
      <c r="A384" s="28"/>
      <c r="B384" s="5"/>
      <c r="C384" s="5"/>
      <c r="D384" s="5"/>
    </row>
    <row r="385">
      <c r="A385" s="28"/>
      <c r="B385" s="5"/>
      <c r="C385" s="5"/>
      <c r="D385" s="5"/>
    </row>
    <row r="386">
      <c r="A386" s="28"/>
      <c r="B386" s="5"/>
      <c r="C386" s="5"/>
      <c r="D386" s="5"/>
    </row>
    <row r="387">
      <c r="A387" s="28"/>
      <c r="B387" s="5"/>
      <c r="C387" s="5"/>
      <c r="D387" s="5"/>
    </row>
    <row r="388">
      <c r="A388" s="28"/>
      <c r="B388" s="5"/>
      <c r="C388" s="5"/>
      <c r="D388" s="5"/>
    </row>
    <row r="389">
      <c r="A389" s="28"/>
      <c r="B389" s="5"/>
      <c r="C389" s="5"/>
      <c r="D389" s="5"/>
    </row>
    <row r="390">
      <c r="A390" s="28"/>
      <c r="B390" s="5"/>
      <c r="C390" s="5"/>
      <c r="D390" s="5"/>
    </row>
    <row r="391">
      <c r="A391" s="28"/>
      <c r="B391" s="5"/>
      <c r="C391" s="5"/>
      <c r="D391" s="5"/>
    </row>
    <row r="392">
      <c r="A392" s="28"/>
      <c r="B392" s="5"/>
      <c r="C392" s="5"/>
      <c r="D392" s="5"/>
    </row>
    <row r="393">
      <c r="A393" s="28"/>
      <c r="B393" s="5"/>
      <c r="C393" s="5"/>
      <c r="D393" s="5"/>
    </row>
    <row r="394">
      <c r="A394" s="28"/>
      <c r="B394" s="5"/>
      <c r="C394" s="5"/>
      <c r="D394" s="5"/>
    </row>
    <row r="395">
      <c r="A395" s="28"/>
      <c r="B395" s="5"/>
      <c r="C395" s="5"/>
      <c r="D395" s="5"/>
    </row>
    <row r="396">
      <c r="A396" s="28"/>
      <c r="B396" s="5"/>
      <c r="C396" s="5"/>
      <c r="D396" s="5"/>
    </row>
    <row r="397">
      <c r="A397" s="28"/>
      <c r="B397" s="5"/>
      <c r="C397" s="5"/>
      <c r="D397" s="5"/>
    </row>
    <row r="398">
      <c r="A398" s="28"/>
      <c r="B398" s="5"/>
      <c r="C398" s="5"/>
      <c r="D398" s="5"/>
    </row>
    <row r="399">
      <c r="A399" s="28"/>
      <c r="B399" s="5"/>
      <c r="C399" s="5"/>
      <c r="D399" s="5"/>
    </row>
    <row r="400">
      <c r="A400" s="28"/>
      <c r="B400" s="5"/>
      <c r="C400" s="5"/>
      <c r="D400" s="5"/>
    </row>
    <row r="401">
      <c r="A401" s="28"/>
      <c r="B401" s="5"/>
      <c r="C401" s="5"/>
      <c r="D401" s="5"/>
    </row>
    <row r="402">
      <c r="A402" s="28"/>
      <c r="B402" s="5"/>
      <c r="C402" s="5"/>
      <c r="D402" s="5"/>
    </row>
    <row r="403">
      <c r="A403" s="28"/>
      <c r="B403" s="5"/>
      <c r="C403" s="5"/>
      <c r="D403" s="5"/>
    </row>
    <row r="404">
      <c r="A404" s="28"/>
      <c r="B404" s="5"/>
      <c r="C404" s="5"/>
      <c r="D404" s="5"/>
    </row>
    <row r="405">
      <c r="A405" s="28"/>
      <c r="B405" s="5"/>
      <c r="C405" s="5"/>
      <c r="D405" s="5"/>
    </row>
    <row r="406">
      <c r="A406" s="28"/>
      <c r="B406" s="5"/>
      <c r="C406" s="5"/>
      <c r="D406" s="5"/>
    </row>
    <row r="407">
      <c r="A407" s="28"/>
      <c r="B407" s="5"/>
      <c r="C407" s="5"/>
      <c r="D407" s="5"/>
    </row>
    <row r="408">
      <c r="A408" s="28"/>
      <c r="B408" s="5"/>
      <c r="C408" s="5"/>
      <c r="D408" s="5"/>
    </row>
    <row r="409">
      <c r="A409" s="28"/>
      <c r="B409" s="5"/>
      <c r="C409" s="5"/>
      <c r="D409" s="5"/>
    </row>
    <row r="410">
      <c r="A410" s="28"/>
      <c r="B410" s="5"/>
      <c r="C410" s="5"/>
      <c r="D410" s="5"/>
    </row>
    <row r="411">
      <c r="A411" s="28"/>
      <c r="B411" s="5"/>
      <c r="C411" s="5"/>
      <c r="D411" s="5"/>
    </row>
    <row r="412">
      <c r="A412" s="28"/>
      <c r="B412" s="5"/>
      <c r="C412" s="5"/>
      <c r="D412" s="5"/>
    </row>
    <row r="413">
      <c r="A413" s="28"/>
      <c r="B413" s="5"/>
      <c r="C413" s="5"/>
      <c r="D413" s="5"/>
    </row>
    <row r="414">
      <c r="A414" s="28"/>
      <c r="B414" s="5"/>
      <c r="C414" s="5"/>
      <c r="D414" s="5"/>
    </row>
    <row r="415">
      <c r="A415" s="28"/>
      <c r="B415" s="5"/>
      <c r="C415" s="5"/>
      <c r="D415" s="5"/>
    </row>
    <row r="416">
      <c r="A416" s="28"/>
      <c r="B416" s="5"/>
      <c r="C416" s="5"/>
      <c r="D416" s="5"/>
    </row>
    <row r="417">
      <c r="A417" s="28"/>
      <c r="B417" s="5"/>
      <c r="C417" s="5"/>
      <c r="D417" s="5"/>
    </row>
    <row r="418">
      <c r="A418" s="28"/>
      <c r="B418" s="5"/>
      <c r="C418" s="5"/>
      <c r="D418" s="5"/>
    </row>
    <row r="419">
      <c r="A419" s="28"/>
      <c r="B419" s="5"/>
      <c r="C419" s="5"/>
      <c r="D419" s="5"/>
    </row>
    <row r="420">
      <c r="A420" s="28"/>
      <c r="B420" s="5"/>
      <c r="C420" s="5"/>
      <c r="D420" s="5"/>
    </row>
    <row r="421">
      <c r="A421" s="28"/>
      <c r="B421" s="5"/>
      <c r="C421" s="5"/>
      <c r="D421" s="5"/>
    </row>
    <row r="422">
      <c r="A422" s="28"/>
      <c r="B422" s="5"/>
      <c r="C422" s="5"/>
      <c r="D422" s="5"/>
    </row>
    <row r="423">
      <c r="A423" s="28"/>
      <c r="B423" s="5"/>
      <c r="C423" s="5"/>
      <c r="D423" s="5"/>
    </row>
    <row r="424">
      <c r="A424" s="28"/>
      <c r="B424" s="5"/>
      <c r="C424" s="5"/>
      <c r="D424" s="5"/>
    </row>
    <row r="425">
      <c r="A425" s="28"/>
      <c r="B425" s="5"/>
      <c r="C425" s="5"/>
      <c r="D425" s="5"/>
    </row>
    <row r="426">
      <c r="A426" s="28"/>
      <c r="B426" s="5"/>
      <c r="C426" s="5"/>
      <c r="D426" s="5"/>
    </row>
    <row r="427">
      <c r="A427" s="28"/>
      <c r="B427" s="5"/>
      <c r="C427" s="5"/>
      <c r="D427" s="5"/>
    </row>
    <row r="428">
      <c r="A428" s="28"/>
      <c r="B428" s="5"/>
      <c r="C428" s="5"/>
      <c r="D428" s="5"/>
    </row>
    <row r="429">
      <c r="A429" s="28"/>
      <c r="B429" s="5"/>
      <c r="C429" s="5"/>
      <c r="D429" s="5"/>
    </row>
    <row r="430">
      <c r="A430" s="28"/>
      <c r="B430" s="5"/>
      <c r="C430" s="5"/>
      <c r="D430" s="5"/>
    </row>
    <row r="431">
      <c r="A431" s="28"/>
      <c r="B431" s="5"/>
      <c r="C431" s="5"/>
      <c r="D431" s="5"/>
    </row>
    <row r="432">
      <c r="A432" s="28"/>
      <c r="B432" s="5"/>
      <c r="C432" s="5"/>
      <c r="D432" s="5"/>
    </row>
    <row r="433">
      <c r="A433" s="28"/>
      <c r="B433" s="5"/>
      <c r="C433" s="5"/>
      <c r="D433" s="5"/>
    </row>
    <row r="434">
      <c r="A434" s="28"/>
      <c r="B434" s="5"/>
      <c r="C434" s="5"/>
      <c r="D434" s="5"/>
    </row>
    <row r="435">
      <c r="A435" s="28"/>
      <c r="B435" s="5"/>
      <c r="C435" s="5"/>
      <c r="D435" s="5"/>
    </row>
    <row r="436">
      <c r="A436" s="28"/>
      <c r="B436" s="5"/>
      <c r="C436" s="5"/>
      <c r="D436" s="5"/>
    </row>
    <row r="437">
      <c r="A437" s="28"/>
      <c r="B437" s="5"/>
      <c r="C437" s="5"/>
      <c r="D437" s="5"/>
    </row>
    <row r="438">
      <c r="A438" s="28"/>
      <c r="B438" s="5"/>
      <c r="C438" s="5"/>
      <c r="D438" s="5"/>
    </row>
    <row r="439">
      <c r="A439" s="28"/>
      <c r="B439" s="5"/>
      <c r="C439" s="5"/>
      <c r="D439" s="5"/>
    </row>
    <row r="440">
      <c r="A440" s="28"/>
      <c r="B440" s="5"/>
      <c r="C440" s="5"/>
      <c r="D440" s="5"/>
    </row>
    <row r="441">
      <c r="A441" s="28"/>
      <c r="B441" s="5"/>
      <c r="C441" s="5"/>
      <c r="D441" s="5"/>
    </row>
    <row r="442">
      <c r="A442" s="28"/>
      <c r="B442" s="5"/>
      <c r="C442" s="5"/>
      <c r="D442" s="5"/>
    </row>
    <row r="443">
      <c r="A443" s="28"/>
      <c r="B443" s="5"/>
      <c r="C443" s="5"/>
      <c r="D443" s="5"/>
    </row>
    <row r="444">
      <c r="A444" s="28"/>
      <c r="B444" s="5"/>
      <c r="C444" s="5"/>
      <c r="D444" s="5"/>
    </row>
    <row r="445">
      <c r="A445" s="28"/>
      <c r="B445" s="5"/>
      <c r="C445" s="5"/>
      <c r="D445" s="5"/>
    </row>
    <row r="446">
      <c r="A446" s="28"/>
      <c r="B446" s="5"/>
      <c r="C446" s="5"/>
      <c r="D446" s="5"/>
    </row>
    <row r="447">
      <c r="A447" s="28"/>
      <c r="B447" s="5"/>
      <c r="C447" s="5"/>
      <c r="D447" s="5"/>
    </row>
    <row r="448">
      <c r="A448" s="28"/>
      <c r="B448" s="5"/>
      <c r="C448" s="5"/>
      <c r="D448" s="5"/>
    </row>
    <row r="449">
      <c r="A449" s="28"/>
      <c r="B449" s="5"/>
      <c r="C449" s="5"/>
      <c r="D449" s="5"/>
    </row>
    <row r="450">
      <c r="A450" s="28"/>
      <c r="B450" s="5"/>
      <c r="C450" s="5"/>
      <c r="D450" s="5"/>
    </row>
    <row r="451">
      <c r="A451" s="28"/>
      <c r="B451" s="5"/>
      <c r="C451" s="5"/>
      <c r="D451" s="5"/>
    </row>
    <row r="452">
      <c r="A452" s="28"/>
      <c r="B452" s="5"/>
      <c r="C452" s="5"/>
      <c r="D452" s="5"/>
    </row>
    <row r="453">
      <c r="A453" s="28"/>
      <c r="B453" s="5"/>
      <c r="C453" s="5"/>
      <c r="D453" s="5"/>
    </row>
    <row r="454">
      <c r="A454" s="28"/>
      <c r="B454" s="5"/>
      <c r="C454" s="5"/>
      <c r="D454" s="5"/>
    </row>
    <row r="455">
      <c r="A455" s="28"/>
      <c r="B455" s="5"/>
      <c r="C455" s="5"/>
      <c r="D455" s="5"/>
    </row>
    <row r="456">
      <c r="A456" s="28"/>
      <c r="B456" s="5"/>
      <c r="C456" s="5"/>
      <c r="D456" s="5"/>
    </row>
    <row r="457">
      <c r="A457" s="28"/>
      <c r="B457" s="5"/>
      <c r="C457" s="5"/>
      <c r="D457" s="5"/>
    </row>
    <row r="458">
      <c r="A458" s="28"/>
      <c r="B458" s="5"/>
      <c r="C458" s="5"/>
      <c r="D458" s="5"/>
    </row>
    <row r="459">
      <c r="A459" s="28"/>
      <c r="B459" s="5"/>
      <c r="C459" s="5"/>
      <c r="D459" s="5"/>
    </row>
    <row r="460">
      <c r="A460" s="28"/>
      <c r="B460" s="5"/>
      <c r="C460" s="5"/>
      <c r="D460" s="5"/>
    </row>
    <row r="461">
      <c r="A461" s="28"/>
      <c r="B461" s="5"/>
      <c r="C461" s="5"/>
      <c r="D461" s="5"/>
    </row>
    <row r="462">
      <c r="A462" s="28"/>
      <c r="B462" s="5"/>
      <c r="C462" s="5"/>
      <c r="D462" s="5"/>
    </row>
    <row r="463">
      <c r="A463" s="28"/>
      <c r="B463" s="5"/>
      <c r="C463" s="5"/>
      <c r="D463" s="5"/>
    </row>
    <row r="464">
      <c r="A464" s="28"/>
      <c r="B464" s="5"/>
      <c r="C464" s="5"/>
      <c r="D464" s="5"/>
    </row>
    <row r="465">
      <c r="A465" s="28"/>
      <c r="B465" s="5"/>
      <c r="C465" s="5"/>
      <c r="D465" s="5"/>
    </row>
    <row r="466">
      <c r="A466" s="28"/>
      <c r="B466" s="5"/>
      <c r="C466" s="5"/>
      <c r="D466" s="5"/>
    </row>
    <row r="467">
      <c r="A467" s="28"/>
      <c r="B467" s="5"/>
      <c r="C467" s="5"/>
      <c r="D467" s="5"/>
    </row>
    <row r="468">
      <c r="A468" s="28"/>
      <c r="B468" s="5"/>
      <c r="C468" s="5"/>
      <c r="D468" s="5"/>
    </row>
    <row r="469">
      <c r="A469" s="28"/>
      <c r="B469" s="5"/>
      <c r="C469" s="5"/>
      <c r="D469" s="5"/>
    </row>
    <row r="470">
      <c r="A470" s="28"/>
      <c r="B470" s="5"/>
      <c r="C470" s="5"/>
      <c r="D470" s="5"/>
    </row>
    <row r="471">
      <c r="A471" s="28"/>
      <c r="B471" s="5"/>
      <c r="C471" s="5"/>
      <c r="D471" s="5"/>
    </row>
    <row r="472">
      <c r="A472" s="28"/>
      <c r="B472" s="5"/>
      <c r="C472" s="5"/>
      <c r="D472" s="5"/>
    </row>
    <row r="473">
      <c r="A473" s="28"/>
      <c r="B473" s="5"/>
      <c r="C473" s="5"/>
      <c r="D473" s="5"/>
    </row>
    <row r="474">
      <c r="A474" s="28"/>
      <c r="B474" s="5"/>
      <c r="C474" s="5"/>
      <c r="D474" s="5"/>
    </row>
    <row r="475">
      <c r="A475" s="28"/>
      <c r="B475" s="5"/>
      <c r="C475" s="5"/>
      <c r="D475" s="5"/>
    </row>
    <row r="476">
      <c r="A476" s="28"/>
      <c r="B476" s="5"/>
      <c r="C476" s="5"/>
      <c r="D476" s="5"/>
    </row>
    <row r="477">
      <c r="A477" s="28"/>
      <c r="B477" s="5"/>
      <c r="C477" s="5"/>
      <c r="D477" s="5"/>
    </row>
    <row r="478">
      <c r="A478" s="28"/>
      <c r="B478" s="5"/>
      <c r="C478" s="5"/>
      <c r="D478" s="5"/>
    </row>
    <row r="479">
      <c r="A479" s="28"/>
      <c r="B479" s="5"/>
      <c r="C479" s="5"/>
      <c r="D479" s="5"/>
    </row>
    <row r="480">
      <c r="A480" s="28"/>
      <c r="B480" s="5"/>
      <c r="C480" s="5"/>
      <c r="D480" s="5"/>
    </row>
    <row r="481">
      <c r="A481" s="28"/>
      <c r="B481" s="5"/>
      <c r="C481" s="5"/>
      <c r="D481" s="5"/>
    </row>
    <row r="482">
      <c r="A482" s="28"/>
      <c r="B482" s="5"/>
      <c r="C482" s="5"/>
      <c r="D482" s="5"/>
    </row>
    <row r="483">
      <c r="A483" s="28"/>
      <c r="B483" s="5"/>
      <c r="C483" s="5"/>
      <c r="D483" s="5"/>
    </row>
    <row r="484">
      <c r="A484" s="28"/>
      <c r="B484" s="5"/>
      <c r="C484" s="5"/>
      <c r="D484" s="5"/>
    </row>
    <row r="485">
      <c r="A485" s="28"/>
      <c r="B485" s="5"/>
      <c r="C485" s="5"/>
      <c r="D485" s="5"/>
    </row>
    <row r="486">
      <c r="A486" s="28"/>
      <c r="B486" s="5"/>
      <c r="C486" s="5"/>
      <c r="D486" s="5"/>
    </row>
    <row r="487">
      <c r="A487" s="28"/>
      <c r="B487" s="5"/>
      <c r="C487" s="5"/>
      <c r="D487" s="5"/>
    </row>
    <row r="488">
      <c r="A488" s="28"/>
      <c r="B488" s="5"/>
      <c r="C488" s="5"/>
      <c r="D488" s="5"/>
    </row>
    <row r="489">
      <c r="A489" s="28"/>
      <c r="B489" s="5"/>
      <c r="C489" s="5"/>
      <c r="D489" s="5"/>
    </row>
    <row r="490">
      <c r="A490" s="28"/>
      <c r="B490" s="5"/>
      <c r="C490" s="5"/>
      <c r="D490" s="5"/>
    </row>
    <row r="491">
      <c r="A491" s="28"/>
      <c r="B491" s="5"/>
      <c r="C491" s="5"/>
      <c r="D491" s="5"/>
    </row>
    <row r="492">
      <c r="A492" s="28"/>
      <c r="B492" s="5"/>
      <c r="C492" s="5"/>
      <c r="D492" s="5"/>
    </row>
    <row r="493">
      <c r="A493" s="28"/>
      <c r="B493" s="5"/>
      <c r="C493" s="5"/>
      <c r="D493" s="5"/>
    </row>
    <row r="494">
      <c r="A494" s="28"/>
      <c r="B494" s="5"/>
      <c r="C494" s="5"/>
      <c r="D494" s="5"/>
    </row>
    <row r="495">
      <c r="A495" s="28"/>
      <c r="B495" s="5"/>
      <c r="C495" s="5"/>
      <c r="D495" s="5"/>
    </row>
    <row r="496">
      <c r="A496" s="28"/>
      <c r="B496" s="5"/>
      <c r="C496" s="5"/>
      <c r="D496" s="5"/>
    </row>
    <row r="497">
      <c r="A497" s="28"/>
      <c r="B497" s="5"/>
      <c r="C497" s="5"/>
      <c r="D497" s="5"/>
    </row>
    <row r="498">
      <c r="A498" s="28"/>
      <c r="B498" s="5"/>
      <c r="C498" s="5"/>
      <c r="D498" s="5"/>
    </row>
    <row r="499">
      <c r="A499" s="28"/>
      <c r="B499" s="5"/>
      <c r="C499" s="5"/>
      <c r="D499" s="5"/>
    </row>
    <row r="500">
      <c r="A500" s="28"/>
      <c r="B500" s="5"/>
      <c r="C500" s="5"/>
      <c r="D500" s="5"/>
    </row>
    <row r="501">
      <c r="A501" s="28"/>
      <c r="B501" s="5"/>
      <c r="C501" s="5"/>
      <c r="D501" s="5"/>
    </row>
    <row r="502">
      <c r="A502" s="28"/>
      <c r="B502" s="5"/>
      <c r="C502" s="5"/>
      <c r="D502" s="5"/>
    </row>
    <row r="503">
      <c r="A503" s="28"/>
      <c r="B503" s="5"/>
      <c r="C503" s="5"/>
      <c r="D503" s="5"/>
    </row>
    <row r="504">
      <c r="A504" s="28"/>
      <c r="B504" s="5"/>
      <c r="C504" s="5"/>
      <c r="D504" s="5"/>
    </row>
    <row r="505">
      <c r="A505" s="28"/>
      <c r="B505" s="5"/>
      <c r="C505" s="5"/>
      <c r="D505" s="5"/>
    </row>
    <row r="506">
      <c r="A506" s="28"/>
      <c r="B506" s="5"/>
      <c r="C506" s="5"/>
      <c r="D506" s="5"/>
    </row>
    <row r="507">
      <c r="A507" s="28"/>
      <c r="B507" s="5"/>
      <c r="C507" s="5"/>
      <c r="D507" s="5"/>
    </row>
    <row r="508">
      <c r="A508" s="28"/>
      <c r="B508" s="5"/>
      <c r="C508" s="5"/>
      <c r="D508" s="5"/>
    </row>
    <row r="509">
      <c r="A509" s="28"/>
      <c r="B509" s="5"/>
      <c r="C509" s="5"/>
      <c r="D509" s="5"/>
    </row>
    <row r="510">
      <c r="A510" s="28"/>
      <c r="B510" s="5"/>
      <c r="C510" s="5"/>
      <c r="D510" s="5"/>
    </row>
    <row r="511">
      <c r="A511" s="28"/>
      <c r="B511" s="5"/>
      <c r="C511" s="5"/>
      <c r="D511" s="5"/>
    </row>
    <row r="512">
      <c r="A512" s="28"/>
      <c r="B512" s="5"/>
      <c r="C512" s="5"/>
      <c r="D512" s="5"/>
    </row>
    <row r="513">
      <c r="A513" s="28"/>
      <c r="B513" s="5"/>
      <c r="C513" s="5"/>
      <c r="D513" s="5"/>
    </row>
    <row r="514">
      <c r="A514" s="28"/>
      <c r="B514" s="5"/>
      <c r="C514" s="5"/>
      <c r="D514" s="5"/>
    </row>
    <row r="515">
      <c r="A515" s="28"/>
      <c r="B515" s="5"/>
      <c r="C515" s="5"/>
      <c r="D515" s="5"/>
    </row>
    <row r="516">
      <c r="A516" s="28"/>
      <c r="B516" s="5"/>
      <c r="C516" s="5"/>
      <c r="D516" s="5"/>
    </row>
    <row r="517">
      <c r="A517" s="28"/>
      <c r="B517" s="5"/>
      <c r="C517" s="5"/>
      <c r="D517" s="5"/>
    </row>
    <row r="518">
      <c r="A518" s="28"/>
      <c r="B518" s="5"/>
      <c r="C518" s="5"/>
      <c r="D518" s="5"/>
    </row>
    <row r="519">
      <c r="A519" s="28"/>
      <c r="B519" s="5"/>
      <c r="C519" s="5"/>
      <c r="D519" s="5"/>
    </row>
    <row r="520">
      <c r="A520" s="28"/>
      <c r="B520" s="5"/>
      <c r="C520" s="5"/>
      <c r="D520" s="5"/>
    </row>
    <row r="521">
      <c r="A521" s="28"/>
      <c r="B521" s="5"/>
      <c r="C521" s="5"/>
      <c r="D521" s="5"/>
    </row>
    <row r="522">
      <c r="A522" s="28"/>
      <c r="B522" s="5"/>
      <c r="C522" s="5"/>
      <c r="D522" s="5"/>
    </row>
    <row r="523">
      <c r="A523" s="28"/>
      <c r="B523" s="5"/>
      <c r="C523" s="5"/>
      <c r="D523" s="5"/>
    </row>
    <row r="524">
      <c r="A524" s="28"/>
      <c r="B524" s="5"/>
      <c r="C524" s="5"/>
      <c r="D524" s="5"/>
    </row>
    <row r="525">
      <c r="A525" s="28"/>
      <c r="B525" s="5"/>
      <c r="C525" s="5"/>
      <c r="D525" s="5"/>
    </row>
    <row r="526">
      <c r="A526" s="28"/>
      <c r="B526" s="5"/>
      <c r="C526" s="5"/>
      <c r="D526" s="5"/>
    </row>
    <row r="527">
      <c r="A527" s="28"/>
      <c r="B527" s="5"/>
      <c r="C527" s="5"/>
      <c r="D527" s="5"/>
    </row>
    <row r="528">
      <c r="A528" s="28"/>
      <c r="B528" s="5"/>
      <c r="C528" s="5"/>
      <c r="D528" s="5"/>
    </row>
    <row r="529">
      <c r="A529" s="28"/>
      <c r="B529" s="5"/>
      <c r="C529" s="5"/>
      <c r="D529" s="5"/>
    </row>
    <row r="530">
      <c r="A530" s="28"/>
      <c r="B530" s="5"/>
      <c r="C530" s="5"/>
      <c r="D530" s="5"/>
    </row>
    <row r="531">
      <c r="A531" s="28"/>
      <c r="B531" s="5"/>
      <c r="C531" s="5"/>
      <c r="D531" s="5"/>
    </row>
    <row r="532">
      <c r="A532" s="28"/>
      <c r="B532" s="5"/>
      <c r="C532" s="5"/>
      <c r="D532" s="5"/>
    </row>
    <row r="533">
      <c r="A533" s="28"/>
      <c r="B533" s="5"/>
      <c r="C533" s="5"/>
      <c r="D533" s="5"/>
    </row>
    <row r="534">
      <c r="A534" s="28"/>
      <c r="B534" s="5"/>
      <c r="C534" s="5"/>
      <c r="D534" s="5"/>
    </row>
    <row r="535">
      <c r="A535" s="28"/>
      <c r="B535" s="5"/>
      <c r="C535" s="5"/>
      <c r="D535" s="5"/>
    </row>
    <row r="536">
      <c r="A536" s="28"/>
      <c r="B536" s="5"/>
      <c r="C536" s="5"/>
      <c r="D536" s="5"/>
    </row>
    <row r="537">
      <c r="A537" s="28"/>
      <c r="B537" s="5"/>
      <c r="C537" s="5"/>
      <c r="D537" s="5"/>
    </row>
    <row r="538">
      <c r="A538" s="28"/>
      <c r="B538" s="5"/>
      <c r="C538" s="5"/>
      <c r="D538" s="5"/>
    </row>
    <row r="539">
      <c r="A539" s="28"/>
      <c r="B539" s="5"/>
      <c r="C539" s="5"/>
      <c r="D539" s="5"/>
    </row>
    <row r="540">
      <c r="A540" s="28"/>
      <c r="B540" s="5"/>
      <c r="C540" s="5"/>
      <c r="D540" s="5"/>
    </row>
    <row r="541">
      <c r="A541" s="28"/>
      <c r="B541" s="5"/>
      <c r="C541" s="5"/>
      <c r="D541" s="5"/>
    </row>
    <row r="542">
      <c r="A542" s="28"/>
      <c r="B542" s="5"/>
      <c r="C542" s="5"/>
      <c r="D542" s="5"/>
    </row>
    <row r="543">
      <c r="A543" s="28"/>
      <c r="B543" s="5"/>
      <c r="C543" s="5"/>
      <c r="D543" s="5"/>
    </row>
    <row r="544">
      <c r="A544" s="28"/>
      <c r="B544" s="5"/>
      <c r="C544" s="5"/>
      <c r="D544" s="5"/>
    </row>
    <row r="545">
      <c r="A545" s="28"/>
      <c r="B545" s="5"/>
      <c r="C545" s="5"/>
      <c r="D545" s="5"/>
    </row>
    <row r="546">
      <c r="A546" s="28"/>
      <c r="B546" s="5"/>
      <c r="C546" s="5"/>
      <c r="D546" s="5"/>
    </row>
    <row r="547">
      <c r="A547" s="28"/>
      <c r="B547" s="5"/>
      <c r="C547" s="5"/>
      <c r="D547" s="5"/>
    </row>
    <row r="548">
      <c r="A548" s="28"/>
      <c r="B548" s="5"/>
      <c r="C548" s="5"/>
      <c r="D548" s="5"/>
    </row>
    <row r="549">
      <c r="A549" s="28"/>
      <c r="B549" s="5"/>
      <c r="C549" s="5"/>
      <c r="D549" s="5"/>
    </row>
    <row r="550">
      <c r="A550" s="28"/>
      <c r="B550" s="5"/>
      <c r="C550" s="5"/>
      <c r="D550" s="5"/>
    </row>
    <row r="551">
      <c r="A551" s="28"/>
      <c r="B551" s="5"/>
      <c r="C551" s="5"/>
      <c r="D551" s="5"/>
    </row>
    <row r="552">
      <c r="A552" s="28"/>
      <c r="B552" s="5"/>
      <c r="C552" s="5"/>
      <c r="D552" s="5"/>
    </row>
    <row r="553">
      <c r="A553" s="28"/>
      <c r="B553" s="5"/>
      <c r="C553" s="5"/>
      <c r="D553" s="5"/>
    </row>
    <row r="554">
      <c r="A554" s="28"/>
      <c r="B554" s="5"/>
      <c r="C554" s="5"/>
      <c r="D554" s="5"/>
    </row>
    <row r="555">
      <c r="A555" s="28"/>
      <c r="B555" s="5"/>
      <c r="C555" s="5"/>
      <c r="D555" s="5"/>
    </row>
    <row r="556">
      <c r="A556" s="28"/>
      <c r="B556" s="5"/>
      <c r="C556" s="5"/>
      <c r="D556" s="5"/>
    </row>
    <row r="557">
      <c r="A557" s="28"/>
      <c r="B557" s="5"/>
      <c r="C557" s="5"/>
      <c r="D557" s="5"/>
    </row>
    <row r="558">
      <c r="A558" s="28"/>
      <c r="B558" s="5"/>
      <c r="C558" s="5"/>
      <c r="D558" s="5"/>
    </row>
    <row r="559">
      <c r="A559" s="28"/>
      <c r="B559" s="5"/>
      <c r="C559" s="5"/>
      <c r="D559" s="5"/>
    </row>
    <row r="560">
      <c r="A560" s="28"/>
      <c r="B560" s="5"/>
      <c r="C560" s="5"/>
      <c r="D560" s="5"/>
    </row>
    <row r="561">
      <c r="A561" s="28"/>
      <c r="B561" s="5"/>
      <c r="C561" s="5"/>
      <c r="D561" s="5"/>
    </row>
    <row r="562">
      <c r="A562" s="28"/>
      <c r="B562" s="5"/>
      <c r="C562" s="5"/>
      <c r="D562" s="5"/>
    </row>
    <row r="563">
      <c r="A563" s="28"/>
      <c r="B563" s="5"/>
      <c r="C563" s="5"/>
      <c r="D563" s="5"/>
    </row>
    <row r="564">
      <c r="A564" s="28"/>
      <c r="B564" s="5"/>
      <c r="C564" s="5"/>
      <c r="D564" s="5"/>
    </row>
    <row r="565">
      <c r="A565" s="28"/>
      <c r="B565" s="5"/>
      <c r="C565" s="5"/>
      <c r="D565" s="5"/>
    </row>
    <row r="566">
      <c r="A566" s="28"/>
      <c r="B566" s="5"/>
      <c r="C566" s="5"/>
      <c r="D566" s="5"/>
    </row>
    <row r="567">
      <c r="A567" s="28"/>
      <c r="B567" s="5"/>
      <c r="C567" s="5"/>
      <c r="D567" s="5"/>
    </row>
    <row r="568">
      <c r="A568" s="28"/>
      <c r="B568" s="5"/>
      <c r="C568" s="5"/>
      <c r="D568" s="5"/>
    </row>
    <row r="569">
      <c r="A569" s="28"/>
      <c r="B569" s="5"/>
      <c r="C569" s="5"/>
      <c r="D569" s="5"/>
    </row>
    <row r="570">
      <c r="A570" s="28"/>
      <c r="B570" s="5"/>
      <c r="C570" s="5"/>
      <c r="D570" s="5"/>
    </row>
    <row r="571">
      <c r="A571" s="28"/>
      <c r="B571" s="5"/>
      <c r="C571" s="5"/>
      <c r="D571" s="5"/>
    </row>
    <row r="572">
      <c r="A572" s="28"/>
      <c r="B572" s="5"/>
      <c r="C572" s="5"/>
      <c r="D572" s="5"/>
    </row>
    <row r="573">
      <c r="A573" s="28"/>
      <c r="B573" s="5"/>
      <c r="C573" s="5"/>
      <c r="D573" s="5"/>
    </row>
    <row r="574">
      <c r="A574" s="28"/>
      <c r="B574" s="5"/>
      <c r="C574" s="5"/>
      <c r="D574" s="5"/>
    </row>
    <row r="575">
      <c r="A575" s="28"/>
      <c r="B575" s="5"/>
      <c r="C575" s="5"/>
      <c r="D575" s="5"/>
    </row>
    <row r="576">
      <c r="A576" s="28"/>
      <c r="B576" s="5"/>
      <c r="C576" s="5"/>
      <c r="D576" s="5"/>
    </row>
    <row r="577">
      <c r="A577" s="28"/>
      <c r="B577" s="5"/>
      <c r="C577" s="5"/>
      <c r="D577" s="5"/>
    </row>
    <row r="578">
      <c r="A578" s="28"/>
      <c r="B578" s="5"/>
      <c r="C578" s="5"/>
      <c r="D578" s="5"/>
    </row>
    <row r="579">
      <c r="A579" s="28"/>
      <c r="B579" s="5"/>
      <c r="C579" s="5"/>
      <c r="D579" s="5"/>
    </row>
    <row r="580">
      <c r="A580" s="28"/>
      <c r="B580" s="5"/>
      <c r="C580" s="5"/>
      <c r="D580" s="5"/>
    </row>
    <row r="581">
      <c r="A581" s="28"/>
      <c r="B581" s="5"/>
      <c r="C581" s="5"/>
      <c r="D581" s="5"/>
    </row>
    <row r="582">
      <c r="A582" s="28"/>
      <c r="B582" s="5"/>
      <c r="C582" s="5"/>
      <c r="D582" s="5"/>
    </row>
    <row r="583">
      <c r="A583" s="28"/>
      <c r="B583" s="5"/>
      <c r="C583" s="5"/>
      <c r="D583" s="5"/>
    </row>
    <row r="584">
      <c r="A584" s="28"/>
      <c r="B584" s="5"/>
      <c r="C584" s="5"/>
      <c r="D584" s="5"/>
    </row>
    <row r="585">
      <c r="A585" s="28"/>
      <c r="B585" s="5"/>
      <c r="C585" s="5"/>
      <c r="D585" s="5"/>
    </row>
    <row r="586">
      <c r="A586" s="28"/>
      <c r="B586" s="5"/>
      <c r="C586" s="5"/>
      <c r="D586" s="5"/>
    </row>
    <row r="587">
      <c r="A587" s="28"/>
      <c r="B587" s="5"/>
      <c r="C587" s="5"/>
      <c r="D587" s="5"/>
    </row>
    <row r="588">
      <c r="A588" s="28"/>
      <c r="B588" s="5"/>
      <c r="C588" s="5"/>
      <c r="D588" s="5"/>
    </row>
    <row r="589">
      <c r="A589" s="28"/>
      <c r="B589" s="5"/>
      <c r="C589" s="5"/>
      <c r="D589" s="5"/>
    </row>
    <row r="590">
      <c r="A590" s="28"/>
      <c r="B590" s="5"/>
      <c r="C590" s="5"/>
      <c r="D590" s="5"/>
    </row>
    <row r="591">
      <c r="A591" s="28"/>
      <c r="B591" s="5"/>
      <c r="C591" s="5"/>
      <c r="D591" s="5"/>
    </row>
    <row r="592">
      <c r="A592" s="28"/>
      <c r="B592" s="5"/>
      <c r="C592" s="5"/>
      <c r="D592" s="5"/>
    </row>
    <row r="593">
      <c r="A593" s="28"/>
      <c r="B593" s="5"/>
      <c r="C593" s="5"/>
      <c r="D593" s="5"/>
    </row>
    <row r="594">
      <c r="A594" s="28"/>
      <c r="B594" s="5"/>
      <c r="C594" s="5"/>
      <c r="D594" s="5"/>
    </row>
    <row r="595">
      <c r="A595" s="28"/>
      <c r="B595" s="5"/>
      <c r="C595" s="5"/>
      <c r="D595" s="5"/>
    </row>
    <row r="596">
      <c r="A596" s="28"/>
      <c r="B596" s="5"/>
      <c r="C596" s="5"/>
      <c r="D596" s="5"/>
    </row>
    <row r="597">
      <c r="A597" s="28"/>
      <c r="B597" s="5"/>
      <c r="C597" s="5"/>
      <c r="D597" s="5"/>
    </row>
    <row r="598">
      <c r="A598" s="28"/>
      <c r="B598" s="5"/>
      <c r="C598" s="5"/>
      <c r="D598" s="5"/>
    </row>
    <row r="599">
      <c r="A599" s="28"/>
      <c r="B599" s="5"/>
      <c r="C599" s="5"/>
      <c r="D599" s="5"/>
    </row>
    <row r="600">
      <c r="A600" s="28"/>
      <c r="B600" s="5"/>
      <c r="C600" s="5"/>
      <c r="D600" s="5"/>
    </row>
    <row r="601">
      <c r="A601" s="28"/>
      <c r="B601" s="5"/>
      <c r="C601" s="5"/>
      <c r="D601" s="5"/>
    </row>
    <row r="602">
      <c r="A602" s="28"/>
      <c r="B602" s="5"/>
      <c r="C602" s="5"/>
      <c r="D602" s="5"/>
    </row>
    <row r="603">
      <c r="A603" s="28"/>
      <c r="B603" s="5"/>
      <c r="C603" s="5"/>
      <c r="D603" s="5"/>
    </row>
    <row r="604">
      <c r="A604" s="28"/>
      <c r="B604" s="5"/>
      <c r="C604" s="5"/>
      <c r="D604" s="5"/>
    </row>
    <row r="605">
      <c r="A605" s="28"/>
      <c r="B605" s="5"/>
      <c r="C605" s="5"/>
      <c r="D605" s="5"/>
    </row>
    <row r="606">
      <c r="A606" s="28"/>
      <c r="B606" s="5"/>
      <c r="C606" s="5"/>
      <c r="D606" s="5"/>
    </row>
    <row r="607">
      <c r="A607" s="28"/>
      <c r="B607" s="5"/>
      <c r="C607" s="5"/>
      <c r="D607" s="5"/>
    </row>
    <row r="608">
      <c r="A608" s="28"/>
      <c r="B608" s="5"/>
      <c r="C608" s="5"/>
      <c r="D608" s="5"/>
    </row>
    <row r="609">
      <c r="A609" s="28"/>
      <c r="B609" s="5"/>
      <c r="C609" s="5"/>
      <c r="D609" s="5"/>
    </row>
    <row r="610">
      <c r="A610" s="28"/>
      <c r="B610" s="5"/>
      <c r="C610" s="5"/>
      <c r="D610" s="5"/>
    </row>
    <row r="611">
      <c r="A611" s="28"/>
      <c r="B611" s="5"/>
      <c r="C611" s="5"/>
      <c r="D611" s="5"/>
    </row>
    <row r="612">
      <c r="A612" s="28"/>
      <c r="B612" s="5"/>
      <c r="C612" s="5"/>
      <c r="D612" s="5"/>
    </row>
    <row r="613">
      <c r="A613" s="28"/>
      <c r="B613" s="5"/>
      <c r="C613" s="5"/>
      <c r="D613" s="5"/>
    </row>
    <row r="614">
      <c r="A614" s="28"/>
      <c r="B614" s="5"/>
      <c r="C614" s="5"/>
      <c r="D614" s="5"/>
    </row>
    <row r="615">
      <c r="A615" s="28"/>
      <c r="B615" s="5"/>
      <c r="C615" s="5"/>
      <c r="D615" s="5"/>
    </row>
    <row r="616">
      <c r="A616" s="28"/>
      <c r="B616" s="5"/>
      <c r="C616" s="5"/>
      <c r="D616" s="5"/>
    </row>
    <row r="617">
      <c r="A617" s="28"/>
      <c r="B617" s="5"/>
      <c r="C617" s="5"/>
      <c r="D617" s="5"/>
    </row>
    <row r="618">
      <c r="A618" s="28"/>
      <c r="B618" s="5"/>
      <c r="C618" s="5"/>
      <c r="D618" s="5"/>
    </row>
    <row r="619">
      <c r="A619" s="28"/>
      <c r="B619" s="5"/>
      <c r="C619" s="5"/>
      <c r="D619" s="5"/>
    </row>
    <row r="620">
      <c r="A620" s="28"/>
      <c r="B620" s="5"/>
      <c r="C620" s="5"/>
      <c r="D620" s="5"/>
    </row>
    <row r="621">
      <c r="A621" s="28"/>
      <c r="B621" s="5"/>
      <c r="C621" s="5"/>
      <c r="D621" s="5"/>
    </row>
    <row r="622">
      <c r="A622" s="28"/>
      <c r="B622" s="5"/>
      <c r="C622" s="5"/>
      <c r="D622" s="5"/>
    </row>
    <row r="623">
      <c r="A623" s="28"/>
      <c r="B623" s="5"/>
      <c r="C623" s="5"/>
      <c r="D623" s="5"/>
    </row>
    <row r="624">
      <c r="A624" s="28"/>
      <c r="B624" s="5"/>
      <c r="C624" s="5"/>
      <c r="D624" s="5"/>
    </row>
    <row r="625">
      <c r="A625" s="28"/>
      <c r="B625" s="5"/>
      <c r="C625" s="5"/>
      <c r="D625" s="5"/>
    </row>
    <row r="626">
      <c r="A626" s="28"/>
      <c r="B626" s="5"/>
      <c r="C626" s="5"/>
      <c r="D626" s="5"/>
    </row>
    <row r="627">
      <c r="A627" s="28"/>
      <c r="B627" s="5"/>
      <c r="C627" s="5"/>
      <c r="D627" s="5"/>
    </row>
    <row r="628">
      <c r="A628" s="28"/>
      <c r="B628" s="5"/>
      <c r="C628" s="5"/>
      <c r="D628" s="5"/>
    </row>
    <row r="629">
      <c r="A629" s="28"/>
      <c r="B629" s="5"/>
      <c r="C629" s="5"/>
      <c r="D629" s="5"/>
    </row>
    <row r="630">
      <c r="A630" s="28"/>
      <c r="B630" s="5"/>
      <c r="C630" s="5"/>
      <c r="D630" s="5"/>
    </row>
    <row r="631">
      <c r="A631" s="28"/>
      <c r="B631" s="5"/>
      <c r="C631" s="5"/>
      <c r="D631" s="5"/>
    </row>
    <row r="632">
      <c r="A632" s="28"/>
      <c r="B632" s="5"/>
      <c r="C632" s="5"/>
      <c r="D632" s="5"/>
    </row>
    <row r="633">
      <c r="A633" s="28"/>
      <c r="B633" s="5"/>
      <c r="C633" s="5"/>
      <c r="D633" s="5"/>
    </row>
    <row r="634">
      <c r="A634" s="28"/>
      <c r="B634" s="5"/>
      <c r="C634" s="5"/>
      <c r="D634" s="5"/>
    </row>
    <row r="635">
      <c r="A635" s="28"/>
      <c r="B635" s="5"/>
      <c r="C635" s="5"/>
      <c r="D635" s="5"/>
    </row>
    <row r="636">
      <c r="A636" s="28"/>
      <c r="B636" s="5"/>
      <c r="C636" s="5"/>
      <c r="D636" s="5"/>
    </row>
    <row r="637">
      <c r="A637" s="28"/>
      <c r="B637" s="5"/>
      <c r="C637" s="5"/>
      <c r="D637" s="5"/>
    </row>
    <row r="638">
      <c r="A638" s="28"/>
      <c r="B638" s="5"/>
      <c r="C638" s="5"/>
      <c r="D638" s="5"/>
    </row>
    <row r="639">
      <c r="A639" s="28"/>
      <c r="B639" s="5"/>
      <c r="C639" s="5"/>
      <c r="D639" s="5"/>
    </row>
    <row r="640">
      <c r="A640" s="28"/>
      <c r="B640" s="5"/>
      <c r="C640" s="5"/>
      <c r="D640" s="5"/>
    </row>
    <row r="641">
      <c r="A641" s="28"/>
      <c r="B641" s="5"/>
      <c r="C641" s="5"/>
      <c r="D641" s="5"/>
    </row>
    <row r="642">
      <c r="A642" s="28"/>
      <c r="B642" s="5"/>
      <c r="C642" s="5"/>
      <c r="D642" s="5"/>
    </row>
    <row r="643">
      <c r="A643" s="28"/>
      <c r="B643" s="5"/>
      <c r="C643" s="5"/>
      <c r="D643" s="5"/>
    </row>
    <row r="644">
      <c r="A644" s="28"/>
      <c r="B644" s="5"/>
      <c r="C644" s="5"/>
      <c r="D644" s="5"/>
    </row>
    <row r="645">
      <c r="A645" s="28"/>
      <c r="B645" s="5"/>
      <c r="C645" s="5"/>
      <c r="D645" s="5"/>
    </row>
    <row r="646">
      <c r="A646" s="28"/>
      <c r="B646" s="5"/>
      <c r="C646" s="5"/>
      <c r="D646" s="5"/>
    </row>
    <row r="647">
      <c r="A647" s="28"/>
      <c r="B647" s="5"/>
      <c r="C647" s="5"/>
      <c r="D647" s="5"/>
    </row>
    <row r="648">
      <c r="A648" s="28"/>
      <c r="B648" s="5"/>
      <c r="C648" s="5"/>
      <c r="D648" s="5"/>
    </row>
    <row r="649">
      <c r="A649" s="28"/>
      <c r="B649" s="5"/>
      <c r="C649" s="5"/>
      <c r="D649" s="5"/>
    </row>
    <row r="650">
      <c r="A650" s="28"/>
      <c r="B650" s="5"/>
      <c r="C650" s="5"/>
      <c r="D650" s="5"/>
    </row>
    <row r="651">
      <c r="A651" s="28"/>
      <c r="B651" s="5"/>
      <c r="C651" s="5"/>
      <c r="D651" s="5"/>
    </row>
    <row r="652">
      <c r="A652" s="28"/>
      <c r="B652" s="5"/>
      <c r="C652" s="5"/>
      <c r="D652" s="5"/>
    </row>
    <row r="653">
      <c r="A653" s="28"/>
      <c r="B653" s="5"/>
      <c r="C653" s="5"/>
      <c r="D653" s="5"/>
    </row>
    <row r="654">
      <c r="A654" s="28"/>
      <c r="B654" s="5"/>
      <c r="C654" s="5"/>
      <c r="D654" s="5"/>
    </row>
    <row r="655">
      <c r="A655" s="28"/>
      <c r="B655" s="5"/>
      <c r="C655" s="5"/>
      <c r="D655" s="5"/>
    </row>
    <row r="656">
      <c r="A656" s="28"/>
      <c r="B656" s="5"/>
      <c r="C656" s="5"/>
      <c r="D656" s="5"/>
    </row>
    <row r="657">
      <c r="A657" s="28"/>
      <c r="B657" s="5"/>
      <c r="C657" s="5"/>
      <c r="D657" s="5"/>
    </row>
    <row r="658">
      <c r="A658" s="28"/>
      <c r="B658" s="5"/>
      <c r="C658" s="5"/>
      <c r="D658" s="5"/>
    </row>
    <row r="659">
      <c r="A659" s="28"/>
      <c r="B659" s="5"/>
      <c r="C659" s="5"/>
      <c r="D659" s="5"/>
    </row>
    <row r="660">
      <c r="A660" s="28"/>
      <c r="B660" s="5"/>
      <c r="C660" s="5"/>
      <c r="D660" s="5"/>
    </row>
    <row r="661">
      <c r="A661" s="28"/>
      <c r="B661" s="5"/>
      <c r="C661" s="5"/>
      <c r="D661" s="5"/>
    </row>
    <row r="662">
      <c r="A662" s="28"/>
      <c r="B662" s="5"/>
      <c r="C662" s="5"/>
      <c r="D662" s="5"/>
    </row>
    <row r="663">
      <c r="A663" s="28"/>
      <c r="B663" s="5"/>
      <c r="C663" s="5"/>
      <c r="D663" s="5"/>
    </row>
    <row r="664">
      <c r="A664" s="28"/>
      <c r="B664" s="5"/>
      <c r="C664" s="5"/>
      <c r="D664" s="5"/>
    </row>
    <row r="665">
      <c r="A665" s="28"/>
      <c r="B665" s="5"/>
      <c r="C665" s="5"/>
      <c r="D665" s="5"/>
    </row>
    <row r="666">
      <c r="A666" s="28"/>
      <c r="B666" s="5"/>
      <c r="C666" s="5"/>
      <c r="D666" s="5"/>
    </row>
    <row r="667">
      <c r="A667" s="28"/>
      <c r="B667" s="5"/>
      <c r="C667" s="5"/>
      <c r="D667" s="5"/>
    </row>
    <row r="668">
      <c r="A668" s="28"/>
      <c r="B668" s="5"/>
      <c r="C668" s="5"/>
      <c r="D668" s="5"/>
    </row>
    <row r="669">
      <c r="A669" s="28"/>
      <c r="B669" s="5"/>
      <c r="C669" s="5"/>
      <c r="D669" s="5"/>
    </row>
    <row r="670">
      <c r="A670" s="28"/>
      <c r="B670" s="5"/>
      <c r="C670" s="5"/>
      <c r="D670" s="5"/>
    </row>
    <row r="671">
      <c r="A671" s="28"/>
      <c r="B671" s="5"/>
      <c r="C671" s="5"/>
      <c r="D671" s="5"/>
    </row>
    <row r="672">
      <c r="A672" s="28"/>
      <c r="B672" s="5"/>
      <c r="C672" s="5"/>
      <c r="D672" s="5"/>
    </row>
    <row r="673">
      <c r="A673" s="28"/>
      <c r="B673" s="5"/>
      <c r="C673" s="5"/>
      <c r="D673" s="5"/>
    </row>
    <row r="674">
      <c r="A674" s="28"/>
      <c r="B674" s="5"/>
      <c r="C674" s="5"/>
      <c r="D674" s="5"/>
    </row>
    <row r="675">
      <c r="A675" s="28"/>
      <c r="B675" s="5"/>
      <c r="C675" s="5"/>
      <c r="D675" s="5"/>
    </row>
    <row r="676">
      <c r="A676" s="28"/>
      <c r="B676" s="5"/>
      <c r="C676" s="5"/>
      <c r="D676" s="5"/>
    </row>
    <row r="677">
      <c r="A677" s="28"/>
      <c r="B677" s="5"/>
      <c r="C677" s="5"/>
      <c r="D677" s="5"/>
    </row>
    <row r="678">
      <c r="A678" s="28"/>
      <c r="B678" s="5"/>
      <c r="C678" s="5"/>
      <c r="D678" s="5"/>
    </row>
    <row r="679">
      <c r="A679" s="28"/>
      <c r="B679" s="5"/>
      <c r="C679" s="5"/>
      <c r="D679" s="5"/>
    </row>
    <row r="680">
      <c r="A680" s="28"/>
      <c r="B680" s="5"/>
      <c r="C680" s="5"/>
      <c r="D680" s="5"/>
    </row>
    <row r="681">
      <c r="A681" s="28"/>
      <c r="B681" s="5"/>
      <c r="C681" s="5"/>
      <c r="D681" s="5"/>
    </row>
    <row r="682">
      <c r="A682" s="28"/>
      <c r="B682" s="5"/>
      <c r="C682" s="5"/>
      <c r="D682" s="5"/>
    </row>
    <row r="683">
      <c r="A683" s="28"/>
      <c r="B683" s="5"/>
      <c r="C683" s="5"/>
      <c r="D683" s="5"/>
    </row>
    <row r="684">
      <c r="A684" s="28"/>
      <c r="B684" s="5"/>
      <c r="C684" s="5"/>
      <c r="D684" s="5"/>
    </row>
    <row r="685">
      <c r="A685" s="28"/>
      <c r="B685" s="5"/>
      <c r="C685" s="5"/>
      <c r="D685" s="5"/>
    </row>
    <row r="686">
      <c r="A686" s="28"/>
      <c r="B686" s="5"/>
      <c r="C686" s="5"/>
      <c r="D686" s="5"/>
    </row>
    <row r="687">
      <c r="A687" s="28"/>
      <c r="B687" s="5"/>
      <c r="C687" s="5"/>
      <c r="D687" s="5"/>
    </row>
    <row r="688">
      <c r="A688" s="28"/>
      <c r="B688" s="5"/>
      <c r="C688" s="5"/>
      <c r="D688" s="5"/>
    </row>
    <row r="689">
      <c r="A689" s="28"/>
      <c r="B689" s="5"/>
      <c r="C689" s="5"/>
      <c r="D689" s="5"/>
    </row>
    <row r="690">
      <c r="A690" s="28"/>
      <c r="B690" s="5"/>
      <c r="C690" s="5"/>
      <c r="D690" s="5"/>
    </row>
    <row r="691">
      <c r="A691" s="28"/>
      <c r="B691" s="5"/>
      <c r="C691" s="5"/>
      <c r="D691" s="5"/>
    </row>
    <row r="692">
      <c r="A692" s="28"/>
      <c r="B692" s="5"/>
      <c r="C692" s="5"/>
      <c r="D692" s="5"/>
    </row>
    <row r="693">
      <c r="A693" s="28"/>
      <c r="B693" s="5"/>
      <c r="C693" s="5"/>
      <c r="D693" s="5"/>
    </row>
    <row r="694">
      <c r="A694" s="28"/>
      <c r="B694" s="5"/>
      <c r="C694" s="5"/>
      <c r="D694" s="5"/>
    </row>
    <row r="695">
      <c r="A695" s="28"/>
      <c r="B695" s="5"/>
      <c r="C695" s="5"/>
      <c r="D695" s="5"/>
    </row>
    <row r="696">
      <c r="A696" s="28"/>
      <c r="B696" s="5"/>
      <c r="C696" s="5"/>
      <c r="D696" s="5"/>
    </row>
    <row r="697">
      <c r="A697" s="28"/>
      <c r="B697" s="5"/>
      <c r="C697" s="5"/>
      <c r="D697" s="5"/>
    </row>
    <row r="698">
      <c r="A698" s="28"/>
      <c r="B698" s="5"/>
      <c r="C698" s="5"/>
      <c r="D698" s="5"/>
    </row>
    <row r="699">
      <c r="A699" s="28"/>
      <c r="B699" s="5"/>
      <c r="C699" s="5"/>
      <c r="D699" s="5"/>
    </row>
    <row r="700">
      <c r="A700" s="28"/>
      <c r="B700" s="5"/>
      <c r="C700" s="5"/>
      <c r="D700" s="5"/>
    </row>
    <row r="701">
      <c r="A701" s="28"/>
      <c r="B701" s="5"/>
      <c r="C701" s="5"/>
      <c r="D701" s="5"/>
    </row>
    <row r="702">
      <c r="A702" s="28"/>
      <c r="B702" s="5"/>
      <c r="C702" s="5"/>
      <c r="D702" s="5"/>
    </row>
    <row r="703">
      <c r="A703" s="28"/>
      <c r="B703" s="5"/>
      <c r="C703" s="5"/>
      <c r="D703" s="5"/>
    </row>
    <row r="704">
      <c r="A704" s="28"/>
      <c r="B704" s="5"/>
      <c r="C704" s="5"/>
      <c r="D704" s="5"/>
    </row>
    <row r="705">
      <c r="A705" s="28"/>
      <c r="B705" s="5"/>
      <c r="C705" s="5"/>
      <c r="D705" s="5"/>
    </row>
    <row r="706">
      <c r="A706" s="28"/>
      <c r="B706" s="5"/>
      <c r="C706" s="5"/>
      <c r="D706" s="5"/>
    </row>
    <row r="707">
      <c r="A707" s="28"/>
      <c r="B707" s="5"/>
      <c r="C707" s="5"/>
      <c r="D707" s="5"/>
    </row>
    <row r="708">
      <c r="A708" s="28"/>
      <c r="B708" s="5"/>
      <c r="C708" s="5"/>
      <c r="D708" s="5"/>
    </row>
    <row r="709">
      <c r="A709" s="28"/>
      <c r="B709" s="5"/>
      <c r="C709" s="5"/>
      <c r="D709" s="5"/>
    </row>
    <row r="710">
      <c r="A710" s="28"/>
      <c r="B710" s="5"/>
      <c r="C710" s="5"/>
      <c r="D710" s="5"/>
    </row>
    <row r="711">
      <c r="A711" s="28"/>
      <c r="B711" s="5"/>
      <c r="C711" s="5"/>
      <c r="D711" s="5"/>
    </row>
    <row r="712">
      <c r="A712" s="28"/>
      <c r="B712" s="5"/>
      <c r="C712" s="5"/>
      <c r="D712" s="5"/>
    </row>
    <row r="713">
      <c r="A713" s="28"/>
      <c r="B713" s="5"/>
      <c r="C713" s="5"/>
      <c r="D713" s="5"/>
    </row>
    <row r="714">
      <c r="A714" s="28"/>
      <c r="B714" s="5"/>
      <c r="C714" s="5"/>
      <c r="D714" s="5"/>
    </row>
    <row r="715">
      <c r="A715" s="28"/>
      <c r="B715" s="5"/>
      <c r="C715" s="5"/>
      <c r="D715" s="5"/>
    </row>
    <row r="716">
      <c r="A716" s="28"/>
      <c r="B716" s="5"/>
      <c r="C716" s="5"/>
      <c r="D716" s="5"/>
    </row>
    <row r="717">
      <c r="A717" s="28"/>
      <c r="B717" s="5"/>
      <c r="C717" s="5"/>
      <c r="D717" s="5"/>
    </row>
    <row r="718">
      <c r="A718" s="28"/>
      <c r="B718" s="5"/>
      <c r="C718" s="5"/>
      <c r="D718" s="5"/>
    </row>
    <row r="719">
      <c r="A719" s="28"/>
      <c r="B719" s="5"/>
      <c r="C719" s="5"/>
      <c r="D719" s="5"/>
    </row>
    <row r="720">
      <c r="A720" s="28"/>
      <c r="B720" s="5"/>
      <c r="C720" s="5"/>
      <c r="D720" s="5"/>
    </row>
    <row r="721">
      <c r="A721" s="28"/>
      <c r="B721" s="5"/>
      <c r="C721" s="5"/>
      <c r="D721" s="5"/>
    </row>
    <row r="722">
      <c r="A722" s="28"/>
      <c r="B722" s="5"/>
      <c r="C722" s="5"/>
      <c r="D722" s="5"/>
    </row>
    <row r="723">
      <c r="A723" s="28"/>
      <c r="B723" s="5"/>
      <c r="C723" s="5"/>
      <c r="D723" s="5"/>
    </row>
    <row r="724">
      <c r="A724" s="28"/>
      <c r="B724" s="5"/>
      <c r="C724" s="5"/>
      <c r="D724" s="5"/>
    </row>
    <row r="725">
      <c r="A725" s="28"/>
      <c r="B725" s="5"/>
      <c r="C725" s="5"/>
      <c r="D725" s="5"/>
    </row>
    <row r="726">
      <c r="A726" s="28"/>
      <c r="B726" s="5"/>
      <c r="C726" s="5"/>
      <c r="D726" s="5"/>
    </row>
    <row r="727">
      <c r="A727" s="28"/>
      <c r="B727" s="5"/>
      <c r="C727" s="5"/>
      <c r="D727" s="5"/>
    </row>
    <row r="728">
      <c r="A728" s="28"/>
      <c r="B728" s="5"/>
      <c r="C728" s="5"/>
      <c r="D728" s="5"/>
    </row>
    <row r="729">
      <c r="A729" s="28"/>
      <c r="B729" s="5"/>
      <c r="C729" s="5"/>
      <c r="D729" s="5"/>
    </row>
    <row r="730">
      <c r="A730" s="28"/>
      <c r="B730" s="5"/>
      <c r="C730" s="5"/>
      <c r="D730" s="5"/>
    </row>
    <row r="731">
      <c r="A731" s="28"/>
      <c r="B731" s="5"/>
      <c r="C731" s="5"/>
      <c r="D731" s="5"/>
    </row>
    <row r="732">
      <c r="A732" s="28"/>
      <c r="B732" s="5"/>
      <c r="C732" s="5"/>
      <c r="D732" s="5"/>
    </row>
    <row r="733">
      <c r="A733" s="28"/>
      <c r="B733" s="5"/>
      <c r="C733" s="5"/>
      <c r="D733" s="5"/>
    </row>
    <row r="734">
      <c r="A734" s="28"/>
      <c r="B734" s="5"/>
      <c r="C734" s="5"/>
      <c r="D734" s="5"/>
    </row>
    <row r="735">
      <c r="A735" s="28"/>
      <c r="B735" s="5"/>
      <c r="C735" s="5"/>
      <c r="D735" s="5"/>
    </row>
    <row r="736">
      <c r="A736" s="28"/>
      <c r="B736" s="5"/>
      <c r="C736" s="5"/>
      <c r="D736" s="5"/>
    </row>
    <row r="737">
      <c r="A737" s="28"/>
      <c r="B737" s="5"/>
      <c r="C737" s="5"/>
      <c r="D737" s="5"/>
    </row>
    <row r="738">
      <c r="A738" s="28"/>
      <c r="B738" s="5"/>
      <c r="C738" s="5"/>
      <c r="D738" s="5"/>
    </row>
    <row r="739">
      <c r="A739" s="28"/>
      <c r="B739" s="5"/>
      <c r="C739" s="5"/>
      <c r="D739" s="5"/>
    </row>
    <row r="740">
      <c r="A740" s="28"/>
      <c r="B740" s="5"/>
      <c r="C740" s="5"/>
      <c r="D740" s="5"/>
    </row>
    <row r="741">
      <c r="A741" s="28"/>
      <c r="B741" s="5"/>
      <c r="C741" s="5"/>
      <c r="D741" s="5"/>
    </row>
    <row r="742">
      <c r="A742" s="28"/>
      <c r="B742" s="5"/>
      <c r="C742" s="5"/>
      <c r="D742" s="5"/>
    </row>
    <row r="743">
      <c r="A743" s="28"/>
      <c r="B743" s="5"/>
      <c r="C743" s="5"/>
      <c r="D743" s="5"/>
    </row>
    <row r="744">
      <c r="A744" s="28"/>
      <c r="B744" s="5"/>
      <c r="C744" s="5"/>
      <c r="D744" s="5"/>
    </row>
    <row r="745">
      <c r="A745" s="28"/>
      <c r="B745" s="5"/>
      <c r="C745" s="5"/>
      <c r="D745" s="5"/>
    </row>
    <row r="746">
      <c r="A746" s="28"/>
      <c r="B746" s="5"/>
      <c r="C746" s="5"/>
      <c r="D746" s="5"/>
    </row>
    <row r="747">
      <c r="A747" s="28"/>
      <c r="B747" s="5"/>
      <c r="C747" s="5"/>
      <c r="D747" s="5"/>
    </row>
    <row r="748">
      <c r="A748" s="28"/>
      <c r="B748" s="5"/>
      <c r="C748" s="5"/>
      <c r="D748" s="5"/>
    </row>
    <row r="749">
      <c r="A749" s="28"/>
      <c r="B749" s="5"/>
      <c r="C749" s="5"/>
      <c r="D749" s="5"/>
    </row>
    <row r="750">
      <c r="A750" s="28"/>
      <c r="B750" s="5"/>
      <c r="C750" s="5"/>
      <c r="D750" s="5"/>
    </row>
    <row r="751">
      <c r="A751" s="28"/>
      <c r="B751" s="5"/>
      <c r="C751" s="5"/>
      <c r="D751" s="5"/>
    </row>
    <row r="752">
      <c r="A752" s="28"/>
      <c r="B752" s="5"/>
      <c r="C752" s="5"/>
      <c r="D752" s="5"/>
    </row>
    <row r="753">
      <c r="A753" s="28"/>
      <c r="B753" s="5"/>
      <c r="C753" s="5"/>
      <c r="D753" s="5"/>
    </row>
    <row r="754">
      <c r="A754" s="28"/>
      <c r="B754" s="5"/>
      <c r="C754" s="5"/>
      <c r="D754" s="5"/>
    </row>
    <row r="755">
      <c r="A755" s="28"/>
      <c r="B755" s="5"/>
      <c r="C755" s="5"/>
      <c r="D755" s="5"/>
    </row>
    <row r="756">
      <c r="A756" s="28"/>
      <c r="B756" s="5"/>
      <c r="C756" s="5"/>
      <c r="D756" s="5"/>
    </row>
    <row r="757">
      <c r="A757" s="28"/>
      <c r="B757" s="5"/>
      <c r="C757" s="5"/>
      <c r="D757" s="5"/>
    </row>
    <row r="758">
      <c r="A758" s="28"/>
      <c r="B758" s="5"/>
      <c r="C758" s="5"/>
      <c r="D758" s="5"/>
    </row>
    <row r="759">
      <c r="A759" s="28"/>
      <c r="B759" s="5"/>
      <c r="C759" s="5"/>
      <c r="D759" s="5"/>
    </row>
    <row r="760">
      <c r="A760" s="28"/>
      <c r="B760" s="5"/>
      <c r="C760" s="5"/>
      <c r="D760" s="5"/>
    </row>
    <row r="761">
      <c r="A761" s="28"/>
      <c r="B761" s="5"/>
      <c r="C761" s="5"/>
      <c r="D761" s="5"/>
    </row>
    <row r="762">
      <c r="A762" s="28"/>
      <c r="B762" s="5"/>
      <c r="C762" s="5"/>
      <c r="D762" s="5"/>
    </row>
    <row r="763">
      <c r="A763" s="28"/>
      <c r="B763" s="5"/>
      <c r="C763" s="5"/>
      <c r="D763" s="5"/>
    </row>
    <row r="764">
      <c r="A764" s="28"/>
      <c r="B764" s="5"/>
      <c r="C764" s="5"/>
      <c r="D764" s="5"/>
    </row>
    <row r="765">
      <c r="A765" s="28"/>
      <c r="B765" s="5"/>
      <c r="C765" s="5"/>
      <c r="D765" s="5"/>
    </row>
    <row r="766">
      <c r="A766" s="28"/>
      <c r="B766" s="5"/>
      <c r="C766" s="5"/>
      <c r="D766" s="5"/>
    </row>
    <row r="767">
      <c r="A767" s="28"/>
      <c r="B767" s="5"/>
      <c r="C767" s="5"/>
      <c r="D767" s="5"/>
    </row>
    <row r="768">
      <c r="A768" s="28"/>
      <c r="B768" s="5"/>
      <c r="C768" s="5"/>
      <c r="D768" s="5"/>
    </row>
    <row r="769">
      <c r="A769" s="28"/>
      <c r="B769" s="5"/>
      <c r="C769" s="5"/>
      <c r="D769" s="5"/>
    </row>
    <row r="770">
      <c r="A770" s="28"/>
      <c r="B770" s="5"/>
      <c r="C770" s="5"/>
      <c r="D770" s="5"/>
    </row>
    <row r="771">
      <c r="A771" s="28"/>
      <c r="B771" s="5"/>
      <c r="C771" s="5"/>
      <c r="D771" s="5"/>
    </row>
    <row r="772">
      <c r="A772" s="28"/>
      <c r="B772" s="5"/>
      <c r="C772" s="5"/>
      <c r="D772" s="5"/>
    </row>
    <row r="773">
      <c r="A773" s="28"/>
      <c r="B773" s="5"/>
      <c r="C773" s="5"/>
      <c r="D773" s="5"/>
    </row>
    <row r="774">
      <c r="A774" s="28"/>
      <c r="B774" s="5"/>
      <c r="C774" s="5"/>
      <c r="D774" s="5"/>
    </row>
    <row r="775">
      <c r="A775" s="28"/>
      <c r="B775" s="5"/>
      <c r="C775" s="5"/>
      <c r="D775" s="5"/>
    </row>
    <row r="776">
      <c r="A776" s="28"/>
      <c r="B776" s="5"/>
      <c r="C776" s="5"/>
      <c r="D776" s="5"/>
    </row>
    <row r="777">
      <c r="A777" s="28"/>
      <c r="B777" s="5"/>
      <c r="C777" s="5"/>
      <c r="D777" s="5"/>
    </row>
    <row r="778">
      <c r="A778" s="28"/>
      <c r="B778" s="5"/>
      <c r="C778" s="5"/>
      <c r="D778" s="5"/>
    </row>
    <row r="779">
      <c r="A779" s="28"/>
      <c r="B779" s="5"/>
      <c r="C779" s="5"/>
      <c r="D779" s="5"/>
    </row>
    <row r="780">
      <c r="A780" s="28"/>
      <c r="B780" s="5"/>
      <c r="C780" s="5"/>
      <c r="D780" s="5"/>
    </row>
    <row r="781">
      <c r="A781" s="28"/>
      <c r="B781" s="5"/>
      <c r="C781" s="5"/>
      <c r="D781" s="5"/>
    </row>
    <row r="782">
      <c r="A782" s="28"/>
      <c r="B782" s="5"/>
      <c r="C782" s="5"/>
      <c r="D782" s="5"/>
    </row>
    <row r="783">
      <c r="A783" s="28"/>
      <c r="B783" s="5"/>
      <c r="C783" s="5"/>
      <c r="D783" s="5"/>
    </row>
    <row r="784">
      <c r="A784" s="28"/>
      <c r="B784" s="5"/>
      <c r="C784" s="5"/>
      <c r="D784" s="5"/>
    </row>
    <row r="785">
      <c r="A785" s="28"/>
      <c r="B785" s="5"/>
      <c r="C785" s="5"/>
      <c r="D785" s="5"/>
    </row>
    <row r="786">
      <c r="A786" s="28"/>
      <c r="B786" s="5"/>
      <c r="C786" s="5"/>
      <c r="D786" s="5"/>
    </row>
    <row r="787">
      <c r="A787" s="28"/>
      <c r="B787" s="5"/>
      <c r="C787" s="5"/>
      <c r="D787" s="5"/>
    </row>
    <row r="788">
      <c r="A788" s="28"/>
      <c r="B788" s="5"/>
      <c r="C788" s="5"/>
      <c r="D788" s="5"/>
    </row>
    <row r="789">
      <c r="A789" s="28"/>
      <c r="B789" s="5"/>
      <c r="C789" s="5"/>
      <c r="D789" s="5"/>
    </row>
    <row r="790">
      <c r="A790" s="28"/>
      <c r="B790" s="5"/>
      <c r="C790" s="5"/>
      <c r="D790" s="5"/>
    </row>
    <row r="791">
      <c r="A791" s="28"/>
      <c r="B791" s="5"/>
      <c r="C791" s="5"/>
      <c r="D791" s="5"/>
    </row>
    <row r="792">
      <c r="A792" s="28"/>
      <c r="B792" s="5"/>
      <c r="C792" s="5"/>
      <c r="D792" s="5"/>
    </row>
    <row r="793">
      <c r="A793" s="28"/>
      <c r="B793" s="5"/>
      <c r="C793" s="5"/>
      <c r="D793" s="5"/>
    </row>
    <row r="794">
      <c r="A794" s="28"/>
      <c r="B794" s="5"/>
      <c r="C794" s="5"/>
      <c r="D794" s="5"/>
    </row>
    <row r="795">
      <c r="A795" s="28"/>
      <c r="B795" s="5"/>
      <c r="C795" s="5"/>
      <c r="D795" s="5"/>
    </row>
    <row r="796">
      <c r="A796" s="28"/>
      <c r="B796" s="5"/>
      <c r="C796" s="5"/>
      <c r="D796" s="5"/>
    </row>
    <row r="797">
      <c r="A797" s="28"/>
      <c r="B797" s="5"/>
      <c r="C797" s="5"/>
      <c r="D797" s="5"/>
    </row>
    <row r="798">
      <c r="A798" s="28"/>
      <c r="B798" s="5"/>
      <c r="C798" s="5"/>
      <c r="D798" s="5"/>
    </row>
    <row r="799">
      <c r="A799" s="28"/>
      <c r="B799" s="5"/>
      <c r="C799" s="5"/>
      <c r="D799" s="5"/>
    </row>
    <row r="800">
      <c r="A800" s="28"/>
      <c r="B800" s="5"/>
      <c r="C800" s="5"/>
      <c r="D800" s="5"/>
    </row>
    <row r="801">
      <c r="A801" s="28"/>
      <c r="B801" s="5"/>
      <c r="C801" s="5"/>
      <c r="D801" s="5"/>
    </row>
    <row r="802">
      <c r="A802" s="28"/>
      <c r="B802" s="5"/>
      <c r="C802" s="5"/>
      <c r="D802" s="5"/>
    </row>
    <row r="803">
      <c r="A803" s="28"/>
      <c r="B803" s="5"/>
      <c r="C803" s="5"/>
      <c r="D803" s="5"/>
    </row>
    <row r="804">
      <c r="A804" s="28"/>
      <c r="B804" s="5"/>
      <c r="C804" s="5"/>
      <c r="D804" s="5"/>
    </row>
    <row r="805">
      <c r="A805" s="28"/>
      <c r="B805" s="5"/>
      <c r="C805" s="5"/>
      <c r="D805" s="5"/>
    </row>
    <row r="806">
      <c r="A806" s="28"/>
      <c r="B806" s="5"/>
      <c r="C806" s="5"/>
      <c r="D806" s="5"/>
    </row>
    <row r="807">
      <c r="A807" s="28"/>
      <c r="B807" s="5"/>
      <c r="C807" s="5"/>
      <c r="D807" s="5"/>
    </row>
    <row r="808">
      <c r="A808" s="28"/>
      <c r="B808" s="5"/>
      <c r="C808" s="5"/>
      <c r="D808" s="5"/>
    </row>
    <row r="809">
      <c r="A809" s="28"/>
      <c r="B809" s="5"/>
      <c r="C809" s="5"/>
      <c r="D809" s="5"/>
    </row>
    <row r="810">
      <c r="A810" s="28"/>
      <c r="B810" s="5"/>
      <c r="C810" s="5"/>
      <c r="D810" s="5"/>
    </row>
    <row r="811">
      <c r="A811" s="28"/>
      <c r="B811" s="5"/>
      <c r="C811" s="5"/>
      <c r="D811" s="5"/>
    </row>
    <row r="812">
      <c r="A812" s="28"/>
      <c r="B812" s="5"/>
      <c r="C812" s="5"/>
      <c r="D812" s="5"/>
    </row>
    <row r="813">
      <c r="A813" s="28"/>
      <c r="B813" s="5"/>
      <c r="C813" s="5"/>
      <c r="D813" s="5"/>
    </row>
    <row r="814">
      <c r="A814" s="28"/>
      <c r="B814" s="5"/>
      <c r="C814" s="5"/>
      <c r="D814" s="5"/>
    </row>
    <row r="815">
      <c r="A815" s="28"/>
      <c r="B815" s="5"/>
      <c r="C815" s="5"/>
      <c r="D815" s="5"/>
    </row>
    <row r="816">
      <c r="A816" s="28"/>
      <c r="B816" s="5"/>
      <c r="C816" s="5"/>
      <c r="D816" s="5"/>
    </row>
    <row r="817">
      <c r="A817" s="28"/>
      <c r="B817" s="5"/>
      <c r="C817" s="5"/>
      <c r="D817" s="5"/>
    </row>
    <row r="818">
      <c r="A818" s="28"/>
      <c r="B818" s="5"/>
      <c r="C818" s="5"/>
      <c r="D818" s="5"/>
    </row>
    <row r="819">
      <c r="A819" s="28"/>
      <c r="B819" s="5"/>
      <c r="C819" s="5"/>
      <c r="D819" s="5"/>
    </row>
    <row r="820">
      <c r="A820" s="28"/>
      <c r="B820" s="5"/>
      <c r="C820" s="5"/>
      <c r="D820" s="5"/>
    </row>
    <row r="821">
      <c r="A821" s="28"/>
      <c r="B821" s="5"/>
      <c r="C821" s="5"/>
      <c r="D821" s="5"/>
    </row>
    <row r="822">
      <c r="A822" s="28"/>
      <c r="B822" s="5"/>
      <c r="C822" s="5"/>
      <c r="D822" s="5"/>
    </row>
    <row r="823">
      <c r="A823" s="28"/>
      <c r="B823" s="5"/>
      <c r="C823" s="5"/>
      <c r="D823" s="5"/>
    </row>
    <row r="824">
      <c r="A824" s="28"/>
      <c r="B824" s="5"/>
      <c r="C824" s="5"/>
      <c r="D824" s="5"/>
    </row>
    <row r="825">
      <c r="A825" s="28"/>
      <c r="B825" s="5"/>
      <c r="C825" s="5"/>
      <c r="D825" s="5"/>
    </row>
    <row r="826">
      <c r="A826" s="28"/>
      <c r="B826" s="5"/>
      <c r="C826" s="5"/>
      <c r="D826" s="5"/>
    </row>
    <row r="827">
      <c r="A827" s="28"/>
      <c r="B827" s="5"/>
      <c r="C827" s="5"/>
      <c r="D827" s="5"/>
    </row>
    <row r="828">
      <c r="A828" s="28"/>
      <c r="B828" s="5"/>
      <c r="C828" s="5"/>
      <c r="D828" s="5"/>
    </row>
    <row r="829">
      <c r="A829" s="28"/>
      <c r="B829" s="5"/>
      <c r="C829" s="5"/>
      <c r="D829" s="5"/>
    </row>
    <row r="830">
      <c r="A830" s="28"/>
      <c r="B830" s="5"/>
      <c r="C830" s="5"/>
      <c r="D830" s="5"/>
    </row>
    <row r="831">
      <c r="A831" s="28"/>
      <c r="B831" s="5"/>
      <c r="C831" s="5"/>
      <c r="D831" s="5"/>
    </row>
    <row r="832">
      <c r="A832" s="28"/>
      <c r="B832" s="5"/>
      <c r="C832" s="5"/>
      <c r="D832" s="5"/>
    </row>
    <row r="833">
      <c r="A833" s="28"/>
      <c r="B833" s="5"/>
      <c r="C833" s="5"/>
      <c r="D833" s="5"/>
    </row>
    <row r="834">
      <c r="A834" s="28"/>
      <c r="B834" s="5"/>
      <c r="C834" s="5"/>
      <c r="D834" s="5"/>
    </row>
    <row r="835">
      <c r="A835" s="28"/>
      <c r="B835" s="5"/>
      <c r="C835" s="5"/>
      <c r="D835" s="5"/>
    </row>
    <row r="836">
      <c r="A836" s="28"/>
      <c r="B836" s="5"/>
      <c r="C836" s="5"/>
      <c r="D836" s="5"/>
    </row>
    <row r="837">
      <c r="A837" s="28"/>
      <c r="B837" s="5"/>
      <c r="C837" s="5"/>
      <c r="D837" s="5"/>
    </row>
    <row r="838">
      <c r="A838" s="28"/>
      <c r="B838" s="5"/>
      <c r="C838" s="5"/>
      <c r="D838" s="5"/>
    </row>
    <row r="839">
      <c r="A839" s="28"/>
      <c r="B839" s="5"/>
      <c r="C839" s="5"/>
      <c r="D839" s="5"/>
    </row>
    <row r="840">
      <c r="A840" s="28"/>
      <c r="B840" s="5"/>
      <c r="C840" s="5"/>
      <c r="D840" s="5"/>
    </row>
    <row r="841">
      <c r="A841" s="28"/>
      <c r="B841" s="5"/>
      <c r="C841" s="5"/>
      <c r="D841" s="5"/>
    </row>
    <row r="842">
      <c r="A842" s="28"/>
      <c r="B842" s="5"/>
      <c r="C842" s="5"/>
      <c r="D842" s="5"/>
    </row>
    <row r="843">
      <c r="A843" s="28"/>
      <c r="B843" s="5"/>
      <c r="C843" s="5"/>
      <c r="D843" s="5"/>
    </row>
    <row r="844">
      <c r="A844" s="28"/>
      <c r="B844" s="5"/>
      <c r="C844" s="5"/>
      <c r="D844" s="5"/>
    </row>
    <row r="845">
      <c r="A845" s="28"/>
      <c r="B845" s="5"/>
      <c r="C845" s="5"/>
      <c r="D845" s="5"/>
    </row>
    <row r="846">
      <c r="A846" s="28"/>
      <c r="B846" s="5"/>
      <c r="C846" s="5"/>
      <c r="D846" s="5"/>
    </row>
    <row r="847">
      <c r="A847" s="28"/>
      <c r="B847" s="5"/>
      <c r="C847" s="5"/>
      <c r="D847" s="5"/>
    </row>
    <row r="848">
      <c r="A848" s="28"/>
      <c r="B848" s="5"/>
      <c r="C848" s="5"/>
      <c r="D848" s="5"/>
    </row>
    <row r="849">
      <c r="A849" s="28"/>
      <c r="B849" s="5"/>
      <c r="C849" s="5"/>
      <c r="D849" s="5"/>
    </row>
    <row r="850">
      <c r="A850" s="28"/>
      <c r="B850" s="5"/>
      <c r="C850" s="5"/>
      <c r="D850" s="5"/>
    </row>
    <row r="851">
      <c r="A851" s="28"/>
      <c r="B851" s="5"/>
      <c r="C851" s="5"/>
      <c r="D851" s="5"/>
    </row>
    <row r="852">
      <c r="A852" s="28"/>
      <c r="B852" s="5"/>
      <c r="C852" s="5"/>
      <c r="D852" s="5"/>
    </row>
    <row r="853">
      <c r="A853" s="28"/>
      <c r="B853" s="5"/>
      <c r="C853" s="5"/>
      <c r="D853" s="5"/>
    </row>
    <row r="854">
      <c r="A854" s="28"/>
      <c r="B854" s="5"/>
      <c r="C854" s="5"/>
      <c r="D854" s="5"/>
    </row>
    <row r="855">
      <c r="A855" s="28"/>
      <c r="B855" s="5"/>
      <c r="C855" s="5"/>
      <c r="D855" s="5"/>
    </row>
    <row r="856">
      <c r="A856" s="28"/>
      <c r="B856" s="5"/>
      <c r="C856" s="5"/>
      <c r="D856" s="5"/>
    </row>
    <row r="857">
      <c r="A857" s="28"/>
      <c r="B857" s="5"/>
      <c r="C857" s="5"/>
      <c r="D857" s="5"/>
    </row>
    <row r="858">
      <c r="A858" s="28"/>
      <c r="B858" s="5"/>
      <c r="C858" s="5"/>
      <c r="D858" s="5"/>
    </row>
    <row r="859">
      <c r="A859" s="28"/>
      <c r="B859" s="5"/>
      <c r="C859" s="5"/>
      <c r="D859" s="5"/>
    </row>
    <row r="860">
      <c r="A860" s="28"/>
      <c r="B860" s="5"/>
      <c r="C860" s="5"/>
      <c r="D860" s="5"/>
    </row>
    <row r="861">
      <c r="A861" s="28"/>
      <c r="B861" s="5"/>
      <c r="C861" s="5"/>
      <c r="D861" s="5"/>
    </row>
    <row r="862">
      <c r="A862" s="28"/>
      <c r="B862" s="5"/>
      <c r="C862" s="5"/>
      <c r="D862" s="5"/>
    </row>
    <row r="863">
      <c r="A863" s="28"/>
      <c r="B863" s="5"/>
      <c r="C863" s="5"/>
      <c r="D863" s="5"/>
    </row>
    <row r="864">
      <c r="A864" s="28"/>
      <c r="B864" s="5"/>
      <c r="C864" s="5"/>
      <c r="D864" s="5"/>
    </row>
    <row r="865">
      <c r="A865" s="28"/>
      <c r="B865" s="5"/>
      <c r="C865" s="5"/>
      <c r="D865" s="5"/>
    </row>
    <row r="866">
      <c r="A866" s="28"/>
      <c r="B866" s="5"/>
      <c r="C866" s="5"/>
      <c r="D866" s="5"/>
    </row>
    <row r="867">
      <c r="A867" s="28"/>
      <c r="B867" s="5"/>
      <c r="C867" s="5"/>
      <c r="D867" s="5"/>
    </row>
    <row r="868">
      <c r="A868" s="28"/>
      <c r="B868" s="5"/>
      <c r="C868" s="5"/>
      <c r="D868" s="5"/>
    </row>
    <row r="869">
      <c r="A869" s="28"/>
      <c r="B869" s="5"/>
      <c r="C869" s="5"/>
      <c r="D869" s="5"/>
    </row>
    <row r="870">
      <c r="A870" s="28"/>
      <c r="B870" s="5"/>
      <c r="C870" s="5"/>
      <c r="D870" s="5"/>
    </row>
    <row r="871">
      <c r="A871" s="28"/>
      <c r="B871" s="5"/>
      <c r="C871" s="5"/>
      <c r="D871" s="5"/>
    </row>
    <row r="872">
      <c r="A872" s="28"/>
      <c r="B872" s="5"/>
      <c r="C872" s="5"/>
      <c r="D872" s="5"/>
    </row>
    <row r="873">
      <c r="A873" s="28"/>
      <c r="B873" s="5"/>
      <c r="C873" s="5"/>
      <c r="D873" s="5"/>
    </row>
    <row r="874">
      <c r="A874" s="28"/>
      <c r="B874" s="5"/>
      <c r="C874" s="5"/>
      <c r="D874" s="5"/>
    </row>
    <row r="875">
      <c r="A875" s="28"/>
      <c r="B875" s="5"/>
      <c r="C875" s="5"/>
      <c r="D875" s="5"/>
    </row>
    <row r="876">
      <c r="A876" s="28"/>
      <c r="B876" s="5"/>
      <c r="C876" s="5"/>
      <c r="D876" s="5"/>
    </row>
    <row r="877">
      <c r="A877" s="28"/>
      <c r="B877" s="5"/>
      <c r="C877" s="5"/>
      <c r="D877" s="5"/>
    </row>
    <row r="878">
      <c r="A878" s="28"/>
      <c r="B878" s="5"/>
      <c r="C878" s="5"/>
      <c r="D878" s="5"/>
    </row>
    <row r="879">
      <c r="A879" s="28"/>
      <c r="B879" s="5"/>
      <c r="C879" s="5"/>
      <c r="D879" s="5"/>
    </row>
    <row r="880">
      <c r="A880" s="28"/>
      <c r="B880" s="5"/>
      <c r="C880" s="5"/>
      <c r="D880" s="5"/>
    </row>
    <row r="881">
      <c r="A881" s="28"/>
      <c r="B881" s="5"/>
      <c r="C881" s="5"/>
      <c r="D881" s="5"/>
    </row>
    <row r="882">
      <c r="A882" s="28"/>
      <c r="B882" s="5"/>
      <c r="C882" s="5"/>
      <c r="D882" s="5"/>
    </row>
    <row r="883">
      <c r="A883" s="28"/>
      <c r="B883" s="5"/>
      <c r="C883" s="5"/>
      <c r="D883" s="5"/>
    </row>
    <row r="884">
      <c r="A884" s="28"/>
      <c r="B884" s="5"/>
      <c r="C884" s="5"/>
      <c r="D884" s="5"/>
    </row>
    <row r="885">
      <c r="A885" s="28"/>
      <c r="B885" s="5"/>
      <c r="C885" s="5"/>
      <c r="D885" s="5"/>
    </row>
    <row r="886">
      <c r="A886" s="28"/>
      <c r="B886" s="5"/>
      <c r="C886" s="5"/>
      <c r="D886" s="5"/>
    </row>
    <row r="887">
      <c r="A887" s="28"/>
      <c r="B887" s="5"/>
      <c r="C887" s="5"/>
      <c r="D887" s="5"/>
    </row>
    <row r="888">
      <c r="A888" s="28"/>
      <c r="B888" s="5"/>
      <c r="C888" s="5"/>
      <c r="D888" s="5"/>
    </row>
    <row r="889">
      <c r="A889" s="28"/>
      <c r="B889" s="5"/>
      <c r="C889" s="5"/>
      <c r="D889" s="5"/>
    </row>
    <row r="890">
      <c r="A890" s="28"/>
      <c r="B890" s="5"/>
      <c r="C890" s="5"/>
      <c r="D890" s="5"/>
    </row>
    <row r="891">
      <c r="A891" s="28"/>
      <c r="B891" s="5"/>
      <c r="C891" s="5"/>
      <c r="D891" s="5"/>
    </row>
    <row r="892">
      <c r="A892" s="28"/>
      <c r="B892" s="5"/>
      <c r="C892" s="5"/>
      <c r="D892" s="5"/>
    </row>
    <row r="893">
      <c r="A893" s="28"/>
      <c r="B893" s="5"/>
      <c r="C893" s="5"/>
      <c r="D893" s="5"/>
    </row>
    <row r="894">
      <c r="A894" s="28"/>
      <c r="B894" s="5"/>
      <c r="C894" s="5"/>
      <c r="D894" s="5"/>
    </row>
    <row r="895">
      <c r="A895" s="28"/>
      <c r="B895" s="5"/>
      <c r="C895" s="5"/>
      <c r="D895" s="5"/>
    </row>
    <row r="896">
      <c r="A896" s="28"/>
      <c r="B896" s="5"/>
      <c r="C896" s="5"/>
      <c r="D896" s="5"/>
    </row>
    <row r="897">
      <c r="A897" s="28"/>
      <c r="B897" s="5"/>
      <c r="C897" s="5"/>
      <c r="D897" s="5"/>
    </row>
    <row r="898">
      <c r="A898" s="28"/>
      <c r="B898" s="5"/>
      <c r="C898" s="5"/>
      <c r="D898" s="5"/>
    </row>
    <row r="899">
      <c r="A899" s="28"/>
      <c r="B899" s="5"/>
      <c r="C899" s="5"/>
      <c r="D899" s="5"/>
    </row>
    <row r="900">
      <c r="A900" s="28"/>
      <c r="B900" s="5"/>
      <c r="C900" s="5"/>
      <c r="D900" s="5"/>
    </row>
    <row r="901">
      <c r="A901" s="28"/>
      <c r="B901" s="5"/>
      <c r="C901" s="5"/>
      <c r="D901" s="5"/>
    </row>
    <row r="902">
      <c r="A902" s="28"/>
      <c r="B902" s="5"/>
      <c r="C902" s="5"/>
      <c r="D902" s="5"/>
    </row>
    <row r="903">
      <c r="A903" s="28"/>
      <c r="B903" s="5"/>
      <c r="C903" s="5"/>
      <c r="D903" s="5"/>
    </row>
    <row r="904">
      <c r="A904" s="28"/>
      <c r="B904" s="5"/>
      <c r="C904" s="5"/>
      <c r="D904" s="5"/>
    </row>
    <row r="905">
      <c r="A905" s="28"/>
      <c r="B905" s="5"/>
      <c r="C905" s="5"/>
      <c r="D905" s="5"/>
    </row>
    <row r="906">
      <c r="A906" s="28"/>
      <c r="B906" s="5"/>
      <c r="C906" s="5"/>
      <c r="D906" s="5"/>
    </row>
    <row r="907">
      <c r="A907" s="28"/>
      <c r="B907" s="5"/>
      <c r="C907" s="5"/>
      <c r="D907" s="5"/>
    </row>
    <row r="908">
      <c r="A908" s="28"/>
      <c r="B908" s="5"/>
      <c r="C908" s="5"/>
      <c r="D908" s="5"/>
    </row>
    <row r="909">
      <c r="A909" s="28"/>
      <c r="B909" s="5"/>
      <c r="C909" s="5"/>
      <c r="D909" s="5"/>
    </row>
    <row r="910">
      <c r="A910" s="28"/>
      <c r="B910" s="5"/>
      <c r="C910" s="5"/>
      <c r="D910" s="5"/>
    </row>
    <row r="911">
      <c r="A911" s="28"/>
      <c r="B911" s="5"/>
      <c r="C911" s="5"/>
      <c r="D911" s="5"/>
    </row>
    <row r="912">
      <c r="A912" s="28"/>
      <c r="B912" s="5"/>
      <c r="C912" s="5"/>
      <c r="D912" s="5"/>
    </row>
    <row r="913">
      <c r="A913" s="28"/>
      <c r="B913" s="5"/>
      <c r="C913" s="5"/>
      <c r="D913" s="5"/>
    </row>
    <row r="914">
      <c r="A914" s="28"/>
      <c r="B914" s="5"/>
      <c r="C914" s="5"/>
      <c r="D914" s="5"/>
    </row>
    <row r="915">
      <c r="A915" s="28"/>
      <c r="B915" s="5"/>
      <c r="C915" s="5"/>
      <c r="D915" s="5"/>
    </row>
    <row r="916">
      <c r="A916" s="28"/>
      <c r="B916" s="5"/>
      <c r="C916" s="5"/>
      <c r="D916" s="5"/>
    </row>
    <row r="917">
      <c r="A917" s="28"/>
      <c r="B917" s="5"/>
      <c r="C917" s="5"/>
      <c r="D917" s="5"/>
    </row>
    <row r="918">
      <c r="A918" s="28"/>
      <c r="B918" s="5"/>
      <c r="C918" s="5"/>
      <c r="D918" s="5"/>
    </row>
    <row r="919">
      <c r="A919" s="28"/>
      <c r="B919" s="5"/>
      <c r="C919" s="5"/>
      <c r="D919" s="5"/>
    </row>
    <row r="920">
      <c r="A920" s="28"/>
      <c r="B920" s="5"/>
      <c r="C920" s="5"/>
      <c r="D920" s="5"/>
    </row>
    <row r="921">
      <c r="A921" s="28"/>
      <c r="B921" s="5"/>
      <c r="C921" s="5"/>
      <c r="D921" s="5"/>
    </row>
    <row r="922">
      <c r="A922" s="28"/>
      <c r="B922" s="5"/>
      <c r="C922" s="5"/>
      <c r="D922" s="5"/>
    </row>
    <row r="923">
      <c r="A923" s="28"/>
      <c r="B923" s="5"/>
      <c r="C923" s="5"/>
      <c r="D923" s="5"/>
    </row>
    <row r="924">
      <c r="A924" s="28"/>
      <c r="B924" s="5"/>
      <c r="C924" s="5"/>
      <c r="D924" s="5"/>
    </row>
    <row r="925">
      <c r="A925" s="28"/>
      <c r="B925" s="5"/>
      <c r="C925" s="5"/>
      <c r="D925" s="5"/>
    </row>
    <row r="926">
      <c r="A926" s="28"/>
      <c r="B926" s="5"/>
      <c r="C926" s="5"/>
      <c r="D926" s="5"/>
    </row>
    <row r="927">
      <c r="A927" s="28"/>
      <c r="B927" s="5"/>
      <c r="C927" s="5"/>
      <c r="D927" s="5"/>
    </row>
    <row r="928">
      <c r="A928" s="28"/>
      <c r="B928" s="5"/>
      <c r="C928" s="5"/>
      <c r="D928" s="5"/>
    </row>
    <row r="929">
      <c r="A929" s="28"/>
      <c r="B929" s="5"/>
      <c r="C929" s="5"/>
      <c r="D929" s="5"/>
    </row>
    <row r="930">
      <c r="A930" s="28"/>
      <c r="B930" s="5"/>
      <c r="C930" s="5"/>
      <c r="D930" s="5"/>
    </row>
    <row r="931">
      <c r="A931" s="28"/>
      <c r="B931" s="5"/>
      <c r="C931" s="5"/>
      <c r="D931" s="5"/>
    </row>
    <row r="932">
      <c r="A932" s="28"/>
      <c r="B932" s="5"/>
      <c r="C932" s="5"/>
      <c r="D932" s="5"/>
    </row>
    <row r="933">
      <c r="A933" s="28"/>
      <c r="B933" s="5"/>
      <c r="C933" s="5"/>
      <c r="D933" s="5"/>
    </row>
    <row r="934">
      <c r="A934" s="28"/>
      <c r="B934" s="5"/>
      <c r="C934" s="5"/>
      <c r="D934" s="5"/>
    </row>
    <row r="935">
      <c r="A935" s="28"/>
      <c r="B935" s="5"/>
      <c r="C935" s="5"/>
      <c r="D935" s="5"/>
    </row>
    <row r="936">
      <c r="A936" s="28"/>
      <c r="B936" s="5"/>
      <c r="C936" s="5"/>
      <c r="D936" s="5"/>
    </row>
    <row r="937">
      <c r="A937" s="28"/>
      <c r="B937" s="5"/>
      <c r="C937" s="5"/>
      <c r="D937" s="5"/>
    </row>
    <row r="938">
      <c r="A938" s="28"/>
      <c r="B938" s="5"/>
      <c r="C938" s="5"/>
      <c r="D938" s="5"/>
    </row>
    <row r="939">
      <c r="A939" s="28"/>
      <c r="B939" s="5"/>
      <c r="C939" s="5"/>
      <c r="D939" s="5"/>
    </row>
    <row r="940">
      <c r="A940" s="28"/>
      <c r="B940" s="5"/>
      <c r="C940" s="5"/>
      <c r="D940" s="5"/>
    </row>
    <row r="941">
      <c r="A941" s="28"/>
      <c r="B941" s="5"/>
      <c r="C941" s="5"/>
      <c r="D941" s="5"/>
    </row>
    <row r="942">
      <c r="A942" s="28"/>
      <c r="B942" s="5"/>
      <c r="C942" s="5"/>
      <c r="D942" s="5"/>
    </row>
    <row r="943">
      <c r="A943" s="28"/>
      <c r="B943" s="5"/>
      <c r="C943" s="5"/>
      <c r="D943" s="5"/>
    </row>
    <row r="944">
      <c r="A944" s="28"/>
      <c r="B944" s="5"/>
      <c r="C944" s="5"/>
      <c r="D944" s="5"/>
    </row>
    <row r="945">
      <c r="A945" s="28"/>
      <c r="B945" s="5"/>
      <c r="C945" s="5"/>
      <c r="D945" s="5"/>
    </row>
    <row r="946">
      <c r="A946" s="28"/>
      <c r="B946" s="5"/>
      <c r="C946" s="5"/>
      <c r="D946" s="5"/>
    </row>
    <row r="947">
      <c r="A947" s="28"/>
      <c r="B947" s="5"/>
      <c r="C947" s="5"/>
      <c r="D947" s="5"/>
    </row>
    <row r="948">
      <c r="A948" s="28"/>
      <c r="B948" s="5"/>
      <c r="C948" s="5"/>
      <c r="D948" s="5"/>
    </row>
    <row r="949">
      <c r="A949" s="28"/>
      <c r="B949" s="5"/>
      <c r="C949" s="5"/>
      <c r="D949" s="5"/>
    </row>
    <row r="950">
      <c r="A950" s="28"/>
      <c r="B950" s="5"/>
      <c r="C950" s="5"/>
      <c r="D950" s="5"/>
    </row>
    <row r="951">
      <c r="A951" s="28"/>
      <c r="B951" s="5"/>
      <c r="C951" s="5"/>
      <c r="D951" s="5"/>
    </row>
    <row r="952">
      <c r="A952" s="28"/>
      <c r="B952" s="5"/>
      <c r="C952" s="5"/>
      <c r="D952" s="5"/>
    </row>
    <row r="953">
      <c r="A953" s="28"/>
      <c r="B953" s="5"/>
      <c r="C953" s="5"/>
      <c r="D953" s="5"/>
    </row>
    <row r="954">
      <c r="A954" s="28"/>
      <c r="B954" s="5"/>
      <c r="C954" s="5"/>
      <c r="D954" s="5"/>
    </row>
    <row r="955">
      <c r="A955" s="28"/>
      <c r="B955" s="5"/>
      <c r="C955" s="5"/>
      <c r="D955" s="5"/>
    </row>
    <row r="956">
      <c r="A956" s="28"/>
      <c r="B956" s="5"/>
      <c r="C956" s="5"/>
      <c r="D956" s="5"/>
    </row>
    <row r="957">
      <c r="A957" s="28"/>
      <c r="B957" s="5"/>
      <c r="C957" s="5"/>
      <c r="D957" s="5"/>
    </row>
    <row r="958">
      <c r="A958" s="28"/>
      <c r="B958" s="5"/>
      <c r="C958" s="5"/>
      <c r="D958" s="5"/>
    </row>
    <row r="959">
      <c r="A959" s="28"/>
      <c r="B959" s="5"/>
      <c r="C959" s="5"/>
      <c r="D959" s="5"/>
    </row>
    <row r="960">
      <c r="A960" s="28"/>
      <c r="B960" s="5"/>
      <c r="C960" s="5"/>
      <c r="D960" s="5"/>
    </row>
    <row r="961">
      <c r="A961" s="28"/>
      <c r="B961" s="5"/>
      <c r="C961" s="5"/>
      <c r="D961" s="5"/>
    </row>
    <row r="962">
      <c r="A962" s="28"/>
      <c r="B962" s="5"/>
      <c r="C962" s="5"/>
      <c r="D962" s="5"/>
    </row>
    <row r="963">
      <c r="A963" s="28"/>
      <c r="B963" s="5"/>
      <c r="C963" s="5"/>
      <c r="D963" s="5"/>
    </row>
    <row r="964">
      <c r="A964" s="28"/>
      <c r="B964" s="5"/>
      <c r="C964" s="5"/>
      <c r="D964" s="5"/>
    </row>
    <row r="965">
      <c r="A965" s="28"/>
      <c r="B965" s="5"/>
      <c r="C965" s="5"/>
      <c r="D965" s="5"/>
    </row>
    <row r="966">
      <c r="A966" s="28"/>
      <c r="B966" s="5"/>
      <c r="C966" s="5"/>
      <c r="D966" s="5"/>
    </row>
    <row r="967">
      <c r="A967" s="28"/>
      <c r="B967" s="5"/>
      <c r="C967" s="5"/>
      <c r="D967" s="5"/>
    </row>
    <row r="968">
      <c r="A968" s="28"/>
      <c r="B968" s="5"/>
      <c r="C968" s="5"/>
      <c r="D968" s="5"/>
    </row>
    <row r="969">
      <c r="A969" s="28"/>
      <c r="B969" s="5"/>
      <c r="C969" s="5"/>
      <c r="D969" s="5"/>
    </row>
    <row r="970">
      <c r="A970" s="28"/>
      <c r="B970" s="5"/>
      <c r="C970" s="5"/>
      <c r="D970" s="5"/>
    </row>
    <row r="971">
      <c r="A971" s="28"/>
      <c r="B971" s="5"/>
      <c r="C971" s="5"/>
      <c r="D971" s="5"/>
    </row>
    <row r="972">
      <c r="A972" s="28"/>
      <c r="B972" s="5"/>
      <c r="C972" s="5"/>
      <c r="D972" s="5"/>
    </row>
    <row r="973">
      <c r="A973" s="28"/>
      <c r="B973" s="5"/>
      <c r="C973" s="5"/>
      <c r="D973" s="5"/>
    </row>
    <row r="974">
      <c r="A974" s="28"/>
      <c r="B974" s="5"/>
      <c r="C974" s="5"/>
      <c r="D974" s="5"/>
    </row>
    <row r="975">
      <c r="A975" s="28"/>
      <c r="B975" s="5"/>
      <c r="C975" s="5"/>
      <c r="D975" s="5"/>
    </row>
    <row r="976">
      <c r="A976" s="28"/>
      <c r="B976" s="5"/>
      <c r="C976" s="5"/>
      <c r="D976" s="5"/>
    </row>
    <row r="977">
      <c r="A977" s="28"/>
      <c r="B977" s="5"/>
      <c r="C977" s="5"/>
      <c r="D977" s="5"/>
    </row>
    <row r="978">
      <c r="A978" s="28"/>
      <c r="B978" s="5"/>
      <c r="C978" s="5"/>
      <c r="D978" s="5"/>
    </row>
    <row r="979">
      <c r="A979" s="28"/>
      <c r="B979" s="5"/>
      <c r="C979" s="5"/>
      <c r="D979" s="5"/>
    </row>
    <row r="980">
      <c r="A980" s="28"/>
      <c r="B980" s="5"/>
      <c r="C980" s="5"/>
      <c r="D980" s="5"/>
    </row>
    <row r="981">
      <c r="A981" s="28"/>
      <c r="B981" s="5"/>
      <c r="C981" s="5"/>
      <c r="D981" s="5"/>
    </row>
    <row r="982">
      <c r="A982" s="28"/>
      <c r="B982" s="5"/>
      <c r="C982" s="5"/>
      <c r="D982" s="5"/>
    </row>
    <row r="983">
      <c r="A983" s="28"/>
      <c r="B983" s="5"/>
      <c r="C983" s="5"/>
      <c r="D983" s="5"/>
    </row>
    <row r="984">
      <c r="A984" s="28"/>
      <c r="B984" s="5"/>
      <c r="C984" s="5"/>
      <c r="D984" s="5"/>
    </row>
    <row r="985">
      <c r="A985" s="28"/>
      <c r="B985" s="5"/>
      <c r="C985" s="5"/>
      <c r="D985" s="5"/>
    </row>
    <row r="986">
      <c r="A986" s="28"/>
      <c r="B986" s="5"/>
      <c r="C986" s="5"/>
      <c r="D986" s="5"/>
    </row>
    <row r="987">
      <c r="A987" s="28"/>
      <c r="B987" s="5"/>
      <c r="C987" s="5"/>
      <c r="D987" s="5"/>
    </row>
    <row r="988">
      <c r="A988" s="28"/>
      <c r="B988" s="5"/>
      <c r="C988" s="5"/>
      <c r="D988" s="5"/>
    </row>
    <row r="989">
      <c r="A989" s="28"/>
      <c r="B989" s="5"/>
      <c r="C989" s="5"/>
      <c r="D989" s="5"/>
    </row>
    <row r="990">
      <c r="A990" s="28"/>
      <c r="B990" s="5"/>
      <c r="C990" s="5"/>
      <c r="D990" s="5"/>
    </row>
    <row r="991">
      <c r="A991" s="28"/>
      <c r="B991" s="5"/>
      <c r="C991" s="5"/>
      <c r="D991" s="5"/>
    </row>
    <row r="992">
      <c r="A992" s="28"/>
      <c r="B992" s="5"/>
      <c r="C992" s="5"/>
      <c r="D992" s="5"/>
    </row>
    <row r="993">
      <c r="A993" s="28"/>
      <c r="B993" s="5"/>
      <c r="C993" s="5"/>
      <c r="D993" s="5"/>
    </row>
    <row r="994">
      <c r="A994" s="28"/>
      <c r="B994" s="5"/>
      <c r="C994" s="5"/>
      <c r="D994" s="5"/>
    </row>
    <row r="995">
      <c r="A995" s="28"/>
      <c r="B995" s="5"/>
      <c r="C995" s="5"/>
      <c r="D995" s="5"/>
    </row>
    <row r="996">
      <c r="A996" s="28"/>
      <c r="B996" s="5"/>
      <c r="C996" s="5"/>
      <c r="D996" s="5"/>
    </row>
    <row r="997">
      <c r="A997" s="28"/>
      <c r="B997" s="5"/>
      <c r="C997" s="5"/>
      <c r="D997" s="5"/>
    </row>
    <row r="998">
      <c r="A998" s="28"/>
      <c r="B998" s="5"/>
      <c r="C998" s="5"/>
      <c r="D998" s="5"/>
    </row>
    <row r="999">
      <c r="A999" s="28"/>
      <c r="B999" s="5"/>
      <c r="C999" s="5"/>
      <c r="D999" s="5"/>
    </row>
    <row r="1000">
      <c r="A1000" s="28"/>
      <c r="B1000" s="5"/>
      <c r="C1000" s="5"/>
      <c r="D1000" s="5"/>
    </row>
    <row r="1001">
      <c r="A1001" s="28"/>
      <c r="B1001" s="5"/>
      <c r="C1001" s="5"/>
      <c r="D1001"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31.25"/>
    <col customWidth="1" min="3" max="3" width="41.38"/>
    <col customWidth="1" min="4" max="4" width="11.63"/>
    <col customWidth="1" min="5" max="5" width="60.88"/>
    <col customWidth="1" min="6" max="6" width="12.13"/>
    <col customWidth="1" min="7" max="7" width="13.63"/>
  </cols>
  <sheetData>
    <row r="1">
      <c r="A1" s="1" t="s">
        <v>0</v>
      </c>
      <c r="B1" s="33" t="s">
        <v>358</v>
      </c>
      <c r="C1" s="34" t="s">
        <v>2</v>
      </c>
      <c r="D1" s="2" t="s">
        <v>3</v>
      </c>
      <c r="E1" s="35" t="s">
        <v>4</v>
      </c>
      <c r="F1" s="3" t="s">
        <v>3</v>
      </c>
      <c r="G1" s="3"/>
    </row>
    <row r="2">
      <c r="A2" s="36" t="s">
        <v>359</v>
      </c>
      <c r="B2" s="37" t="s">
        <v>360</v>
      </c>
      <c r="C2" s="38" t="s">
        <v>361</v>
      </c>
      <c r="D2" s="8">
        <v>0.0</v>
      </c>
      <c r="E2" s="8" t="s">
        <v>362</v>
      </c>
      <c r="F2" s="8">
        <v>0.0</v>
      </c>
    </row>
    <row r="3">
      <c r="A3" s="39" t="s">
        <v>363</v>
      </c>
      <c r="B3" s="37" t="s">
        <v>364</v>
      </c>
      <c r="C3" s="38" t="s">
        <v>365</v>
      </c>
      <c r="D3" s="8">
        <v>0.0</v>
      </c>
      <c r="E3" s="8" t="s">
        <v>366</v>
      </c>
      <c r="F3" s="8">
        <v>0.0</v>
      </c>
    </row>
    <row r="4">
      <c r="A4" s="36" t="s">
        <v>367</v>
      </c>
      <c r="B4" s="37" t="s">
        <v>368</v>
      </c>
      <c r="C4" s="38" t="s">
        <v>369</v>
      </c>
      <c r="D4" s="18">
        <v>0.0</v>
      </c>
      <c r="E4" s="8" t="s">
        <v>370</v>
      </c>
      <c r="F4" s="8">
        <v>0.0</v>
      </c>
    </row>
    <row r="5">
      <c r="A5" s="39" t="s">
        <v>371</v>
      </c>
      <c r="B5" s="40" t="s">
        <v>372</v>
      </c>
      <c r="C5" s="38" t="s">
        <v>373</v>
      </c>
      <c r="D5" s="8">
        <v>0.0</v>
      </c>
      <c r="E5" s="8" t="s">
        <v>374</v>
      </c>
      <c r="F5" s="8">
        <v>1.0</v>
      </c>
    </row>
    <row r="6">
      <c r="A6" s="41" t="s">
        <v>375</v>
      </c>
      <c r="B6" s="40" t="s">
        <v>376</v>
      </c>
      <c r="C6" s="38" t="s">
        <v>377</v>
      </c>
      <c r="D6" s="8">
        <v>1.0</v>
      </c>
    </row>
    <row r="7">
      <c r="A7" s="36" t="s">
        <v>378</v>
      </c>
      <c r="B7" s="37" t="s">
        <v>379</v>
      </c>
      <c r="C7" s="38" t="s">
        <v>380</v>
      </c>
      <c r="D7" s="8">
        <v>1.0</v>
      </c>
    </row>
    <row r="8">
      <c r="A8" s="36" t="s">
        <v>381</v>
      </c>
      <c r="B8" s="40" t="s">
        <v>382</v>
      </c>
      <c r="C8" s="38" t="s">
        <v>383</v>
      </c>
      <c r="D8" s="8">
        <v>0.0</v>
      </c>
      <c r="E8" s="8" t="s">
        <v>384</v>
      </c>
      <c r="F8" s="8">
        <v>1.0</v>
      </c>
    </row>
    <row r="9">
      <c r="A9" s="36" t="s">
        <v>385</v>
      </c>
      <c r="B9" s="40" t="s">
        <v>386</v>
      </c>
      <c r="C9" s="42" t="s">
        <v>387</v>
      </c>
      <c r="D9" s="8">
        <v>1.0</v>
      </c>
    </row>
    <row r="10">
      <c r="A10" s="36" t="s">
        <v>388</v>
      </c>
      <c r="B10" s="40" t="s">
        <v>389</v>
      </c>
      <c r="C10" s="42" t="s">
        <v>390</v>
      </c>
      <c r="D10" s="8">
        <v>0.0</v>
      </c>
      <c r="E10" s="8" t="s">
        <v>391</v>
      </c>
      <c r="F10" s="8">
        <v>1.0</v>
      </c>
    </row>
    <row r="11">
      <c r="A11" s="36" t="s">
        <v>392</v>
      </c>
      <c r="B11" s="40" t="s">
        <v>393</v>
      </c>
      <c r="C11" s="42" t="s">
        <v>394</v>
      </c>
      <c r="D11" s="8">
        <v>0.0</v>
      </c>
      <c r="E11" s="8" t="s">
        <v>395</v>
      </c>
      <c r="F11" s="8">
        <v>1.0</v>
      </c>
    </row>
    <row r="12">
      <c r="A12" s="36" t="s">
        <v>396</v>
      </c>
      <c r="B12" s="40" t="s">
        <v>397</v>
      </c>
      <c r="C12" s="42" t="s">
        <v>398</v>
      </c>
      <c r="D12" s="18">
        <v>1.0</v>
      </c>
    </row>
    <row r="13">
      <c r="A13" s="39" t="s">
        <v>399</v>
      </c>
      <c r="B13" s="40" t="s">
        <v>400</v>
      </c>
      <c r="C13" s="42" t="s">
        <v>401</v>
      </c>
      <c r="D13" s="8">
        <v>1.0</v>
      </c>
    </row>
    <row r="14">
      <c r="A14" s="39" t="s">
        <v>402</v>
      </c>
      <c r="B14" s="40" t="s">
        <v>403</v>
      </c>
      <c r="C14" s="42" t="s">
        <v>404</v>
      </c>
      <c r="D14" s="18">
        <v>1.0</v>
      </c>
    </row>
    <row r="15">
      <c r="A15" s="36" t="s">
        <v>405</v>
      </c>
      <c r="B15" s="40" t="s">
        <v>406</v>
      </c>
      <c r="C15" s="42" t="s">
        <v>407</v>
      </c>
      <c r="D15" s="18">
        <v>1.0</v>
      </c>
    </row>
    <row r="16">
      <c r="A16" s="39" t="s">
        <v>408</v>
      </c>
      <c r="B16" s="40" t="s">
        <v>409</v>
      </c>
      <c r="C16" s="42" t="s">
        <v>410</v>
      </c>
      <c r="D16" s="8">
        <v>1.0</v>
      </c>
    </row>
    <row r="17">
      <c r="A17" s="39" t="s">
        <v>411</v>
      </c>
      <c r="B17" s="40" t="s">
        <v>412</v>
      </c>
      <c r="C17" s="42" t="s">
        <v>413</v>
      </c>
      <c r="D17" s="8">
        <v>1.0</v>
      </c>
    </row>
    <row r="18">
      <c r="A18" s="39" t="s">
        <v>414</v>
      </c>
      <c r="B18" s="40" t="s">
        <v>415</v>
      </c>
      <c r="C18" s="42" t="s">
        <v>416</v>
      </c>
      <c r="D18" s="8">
        <v>1.0</v>
      </c>
    </row>
    <row r="19">
      <c r="A19" s="36" t="s">
        <v>417</v>
      </c>
      <c r="B19" s="37" t="s">
        <v>418</v>
      </c>
      <c r="C19" s="42" t="s">
        <v>419</v>
      </c>
      <c r="D19" s="8">
        <v>1.0</v>
      </c>
    </row>
    <row r="20">
      <c r="A20" s="39" t="s">
        <v>420</v>
      </c>
      <c r="B20" s="37" t="s">
        <v>421</v>
      </c>
      <c r="C20" s="43" t="s">
        <v>422</v>
      </c>
      <c r="D20" s="8">
        <v>1.0</v>
      </c>
    </row>
    <row r="21">
      <c r="A21" s="39" t="s">
        <v>423</v>
      </c>
      <c r="B21" s="40" t="s">
        <v>424</v>
      </c>
      <c r="C21" s="43" t="s">
        <v>425</v>
      </c>
      <c r="D21" s="8">
        <v>1.0</v>
      </c>
    </row>
    <row r="22">
      <c r="A22" s="39" t="s">
        <v>426</v>
      </c>
      <c r="B22" s="37" t="s">
        <v>427</v>
      </c>
      <c r="C22" s="42" t="s">
        <v>428</v>
      </c>
      <c r="D22" s="8">
        <v>0.0</v>
      </c>
      <c r="E22" s="8" t="s">
        <v>429</v>
      </c>
      <c r="F22" s="8">
        <v>1.0</v>
      </c>
    </row>
    <row r="23">
      <c r="A23" s="39" t="s">
        <v>430</v>
      </c>
      <c r="B23" s="37" t="s">
        <v>431</v>
      </c>
      <c r="C23" s="42" t="s">
        <v>425</v>
      </c>
      <c r="D23" s="8">
        <v>1.0</v>
      </c>
    </row>
    <row r="24">
      <c r="A24" s="39" t="s">
        <v>432</v>
      </c>
      <c r="B24" s="37" t="s">
        <v>433</v>
      </c>
      <c r="C24" s="44" t="s">
        <v>434</v>
      </c>
      <c r="D24" s="8">
        <v>0.0</v>
      </c>
      <c r="E24" s="8" t="s">
        <v>435</v>
      </c>
      <c r="F24" s="8">
        <v>1.0</v>
      </c>
    </row>
    <row r="25">
      <c r="A25" s="39" t="s">
        <v>436</v>
      </c>
      <c r="B25" s="40" t="s">
        <v>437</v>
      </c>
      <c r="C25" s="42" t="s">
        <v>438</v>
      </c>
      <c r="D25" s="8">
        <v>0.0</v>
      </c>
      <c r="E25" s="8" t="s">
        <v>439</v>
      </c>
      <c r="F25" s="8">
        <v>0.0</v>
      </c>
    </row>
    <row r="26">
      <c r="A26" s="39" t="s">
        <v>440</v>
      </c>
      <c r="B26" s="37" t="s">
        <v>441</v>
      </c>
      <c r="C26" s="42" t="s">
        <v>442</v>
      </c>
      <c r="D26" s="8">
        <v>0.0</v>
      </c>
      <c r="E26" s="8" t="s">
        <v>443</v>
      </c>
      <c r="F26" s="8">
        <v>1.0</v>
      </c>
    </row>
    <row r="27">
      <c r="A27" s="39" t="s">
        <v>444</v>
      </c>
      <c r="B27" s="37" t="s">
        <v>445</v>
      </c>
      <c r="C27" s="43" t="s">
        <v>425</v>
      </c>
      <c r="D27" s="8">
        <v>1.0</v>
      </c>
    </row>
    <row r="28">
      <c r="A28" s="39" t="s">
        <v>446</v>
      </c>
      <c r="B28" s="37" t="s">
        <v>447</v>
      </c>
      <c r="C28" s="42" t="s">
        <v>448</v>
      </c>
      <c r="D28" s="8">
        <v>0.0</v>
      </c>
      <c r="E28" s="8" t="s">
        <v>449</v>
      </c>
      <c r="F28" s="8">
        <v>1.0</v>
      </c>
    </row>
    <row r="29">
      <c r="A29" s="36" t="s">
        <v>450</v>
      </c>
      <c r="B29" s="40" t="s">
        <v>451</v>
      </c>
      <c r="C29" s="42" t="s">
        <v>452</v>
      </c>
      <c r="D29" s="8">
        <v>1.0</v>
      </c>
    </row>
    <row r="30">
      <c r="A30" s="39" t="s">
        <v>453</v>
      </c>
      <c r="B30" s="40" t="s">
        <v>454</v>
      </c>
      <c r="C30" s="43" t="s">
        <v>455</v>
      </c>
      <c r="D30" s="8">
        <v>0.0</v>
      </c>
      <c r="E30" s="8" t="s">
        <v>456</v>
      </c>
      <c r="F30" s="8">
        <v>1.0</v>
      </c>
    </row>
    <row r="31">
      <c r="A31" s="39" t="s">
        <v>457</v>
      </c>
      <c r="B31" s="40" t="s">
        <v>458</v>
      </c>
      <c r="C31" s="43" t="s">
        <v>425</v>
      </c>
      <c r="D31" s="8">
        <v>1.0</v>
      </c>
    </row>
    <row r="32">
      <c r="A32" s="39" t="s">
        <v>459</v>
      </c>
      <c r="B32" s="40" t="s">
        <v>460</v>
      </c>
      <c r="C32" s="42" t="s">
        <v>428</v>
      </c>
      <c r="D32" s="8">
        <v>0.0</v>
      </c>
      <c r="E32" s="8" t="s">
        <v>461</v>
      </c>
      <c r="F32" s="8">
        <v>1.0</v>
      </c>
    </row>
    <row r="33">
      <c r="A33" s="39" t="s">
        <v>462</v>
      </c>
      <c r="B33" s="37" t="s">
        <v>463</v>
      </c>
      <c r="C33" s="44" t="s">
        <v>425</v>
      </c>
      <c r="D33" s="8">
        <v>1.0</v>
      </c>
    </row>
    <row r="34">
      <c r="A34" s="39" t="s">
        <v>464</v>
      </c>
      <c r="B34" s="37" t="s">
        <v>465</v>
      </c>
      <c r="C34" s="44" t="s">
        <v>434</v>
      </c>
      <c r="D34" s="8">
        <v>0.0</v>
      </c>
      <c r="E34" s="8" t="s">
        <v>466</v>
      </c>
      <c r="F34" s="8">
        <v>1.0</v>
      </c>
    </row>
    <row r="35">
      <c r="A35" s="39" t="s">
        <v>467</v>
      </c>
      <c r="B35" s="40" t="s">
        <v>468</v>
      </c>
      <c r="C35" s="42" t="s">
        <v>425</v>
      </c>
      <c r="D35" s="8">
        <v>1.0</v>
      </c>
    </row>
    <row r="36">
      <c r="A36" s="39" t="s">
        <v>469</v>
      </c>
      <c r="B36" s="40" t="s">
        <v>470</v>
      </c>
      <c r="C36" s="42" t="s">
        <v>471</v>
      </c>
      <c r="D36" s="8">
        <v>0.0</v>
      </c>
      <c r="E36" s="8" t="s">
        <v>472</v>
      </c>
      <c r="F36" s="8">
        <v>1.0</v>
      </c>
    </row>
    <row r="37">
      <c r="A37" s="39" t="s">
        <v>473</v>
      </c>
      <c r="B37" s="37" t="s">
        <v>474</v>
      </c>
      <c r="C37" s="42" t="s">
        <v>452</v>
      </c>
      <c r="D37" s="8">
        <v>1.0</v>
      </c>
    </row>
    <row r="38">
      <c r="A38" s="39" t="s">
        <v>475</v>
      </c>
      <c r="B38" s="40" t="s">
        <v>476</v>
      </c>
      <c r="C38" s="42" t="s">
        <v>477</v>
      </c>
      <c r="D38" s="8">
        <v>0.0</v>
      </c>
      <c r="E38" s="8" t="s">
        <v>478</v>
      </c>
      <c r="F38" s="8">
        <v>1.0</v>
      </c>
    </row>
    <row r="39">
      <c r="A39" s="39" t="s">
        <v>479</v>
      </c>
      <c r="B39" s="45" t="s">
        <v>480</v>
      </c>
      <c r="C39" s="42" t="s">
        <v>481</v>
      </c>
      <c r="D39" s="8">
        <v>1.0</v>
      </c>
    </row>
    <row r="40">
      <c r="A40" s="39" t="s">
        <v>482</v>
      </c>
      <c r="B40" s="46" t="s">
        <v>483</v>
      </c>
      <c r="C40" s="42" t="s">
        <v>484</v>
      </c>
      <c r="D40" s="8">
        <v>0.0</v>
      </c>
      <c r="E40" s="8" t="s">
        <v>485</v>
      </c>
      <c r="F40" s="8">
        <v>0.0</v>
      </c>
    </row>
    <row r="41">
      <c r="A41" s="39" t="s">
        <v>486</v>
      </c>
      <c r="B41" s="46" t="s">
        <v>487</v>
      </c>
      <c r="C41" s="42" t="s">
        <v>488</v>
      </c>
      <c r="D41" s="8">
        <v>0.0</v>
      </c>
      <c r="E41" s="8" t="s">
        <v>489</v>
      </c>
      <c r="F41" s="8">
        <v>0.0</v>
      </c>
    </row>
    <row r="42">
      <c r="A42" s="39" t="s">
        <v>490</v>
      </c>
      <c r="B42" s="45" t="s">
        <v>491</v>
      </c>
      <c r="C42" s="42" t="s">
        <v>488</v>
      </c>
      <c r="D42" s="8">
        <v>0.0</v>
      </c>
      <c r="E42" s="8" t="s">
        <v>492</v>
      </c>
      <c r="F42" s="8">
        <v>0.0</v>
      </c>
    </row>
    <row r="43">
      <c r="A43" s="39" t="s">
        <v>493</v>
      </c>
      <c r="B43" s="46" t="s">
        <v>494</v>
      </c>
      <c r="C43" s="42" t="s">
        <v>488</v>
      </c>
      <c r="D43" s="8">
        <v>0.0</v>
      </c>
      <c r="E43" s="8" t="s">
        <v>495</v>
      </c>
      <c r="F43" s="8">
        <v>0.0</v>
      </c>
    </row>
    <row r="44">
      <c r="A44" s="39" t="s">
        <v>496</v>
      </c>
      <c r="B44" s="46" t="s">
        <v>497</v>
      </c>
      <c r="C44" s="42" t="s">
        <v>488</v>
      </c>
      <c r="D44" s="8">
        <v>0.0</v>
      </c>
      <c r="E44" s="8" t="s">
        <v>498</v>
      </c>
      <c r="F44" s="8">
        <v>0.0</v>
      </c>
    </row>
    <row r="45">
      <c r="A45" s="39" t="s">
        <v>499</v>
      </c>
      <c r="B45" s="46" t="s">
        <v>500</v>
      </c>
      <c r="C45" s="42" t="s">
        <v>488</v>
      </c>
      <c r="D45" s="8">
        <v>0.0</v>
      </c>
      <c r="E45" s="8" t="s">
        <v>501</v>
      </c>
      <c r="F45" s="8">
        <v>0.0</v>
      </c>
    </row>
    <row r="46">
      <c r="A46" s="39" t="s">
        <v>502</v>
      </c>
      <c r="B46" s="45" t="s">
        <v>503</v>
      </c>
      <c r="C46" s="42" t="s">
        <v>488</v>
      </c>
      <c r="D46" s="8">
        <v>0.0</v>
      </c>
      <c r="E46" s="8" t="s">
        <v>504</v>
      </c>
      <c r="F46" s="8">
        <v>1.0</v>
      </c>
    </row>
    <row r="47">
      <c r="A47" s="39" t="s">
        <v>505</v>
      </c>
      <c r="B47" s="45" t="s">
        <v>506</v>
      </c>
      <c r="C47" s="44" t="s">
        <v>507</v>
      </c>
      <c r="D47" s="8">
        <v>1.0</v>
      </c>
    </row>
    <row r="48">
      <c r="A48" s="39" t="s">
        <v>508</v>
      </c>
      <c r="B48" s="45" t="s">
        <v>509</v>
      </c>
      <c r="C48" s="42" t="s">
        <v>510</v>
      </c>
      <c r="D48" s="8">
        <v>1.0</v>
      </c>
    </row>
    <row r="49">
      <c r="A49" s="36" t="s">
        <v>511</v>
      </c>
      <c r="B49" s="45" t="s">
        <v>512</v>
      </c>
      <c r="C49" s="42" t="s">
        <v>513</v>
      </c>
      <c r="D49" s="8">
        <v>0.0</v>
      </c>
      <c r="E49" s="8" t="s">
        <v>514</v>
      </c>
      <c r="F49" s="8">
        <v>1.0</v>
      </c>
    </row>
    <row r="50">
      <c r="A50" s="39" t="s">
        <v>515</v>
      </c>
      <c r="B50" s="45" t="s">
        <v>516</v>
      </c>
      <c r="C50" s="42" t="s">
        <v>513</v>
      </c>
      <c r="D50" s="8">
        <v>0.0</v>
      </c>
      <c r="E50" s="8" t="s">
        <v>517</v>
      </c>
      <c r="F50" s="8">
        <v>0.0</v>
      </c>
    </row>
    <row r="51">
      <c r="A51" s="39" t="s">
        <v>518</v>
      </c>
      <c r="B51" s="45" t="s">
        <v>516</v>
      </c>
      <c r="C51" s="42" t="s">
        <v>513</v>
      </c>
      <c r="D51" s="8">
        <v>0.0</v>
      </c>
      <c r="E51" s="8" t="s">
        <v>519</v>
      </c>
      <c r="F51" s="8">
        <v>1.0</v>
      </c>
    </row>
    <row r="52">
      <c r="A52" s="39" t="s">
        <v>520</v>
      </c>
      <c r="B52" s="45" t="s">
        <v>521</v>
      </c>
      <c r="C52" s="44" t="s">
        <v>522</v>
      </c>
      <c r="D52" s="8">
        <v>1.0</v>
      </c>
    </row>
    <row r="53">
      <c r="A53" s="39" t="s">
        <v>523</v>
      </c>
      <c r="B53" s="45" t="s">
        <v>524</v>
      </c>
      <c r="C53" s="44" t="s">
        <v>525</v>
      </c>
      <c r="D53" s="8">
        <v>0.0</v>
      </c>
      <c r="E53" s="8" t="s">
        <v>526</v>
      </c>
      <c r="F53" s="8">
        <v>1.0</v>
      </c>
    </row>
    <row r="54">
      <c r="A54" s="39" t="s">
        <v>527</v>
      </c>
      <c r="B54" s="45" t="s">
        <v>528</v>
      </c>
      <c r="C54" s="42" t="s">
        <v>529</v>
      </c>
      <c r="D54" s="8">
        <v>1.0</v>
      </c>
    </row>
    <row r="55">
      <c r="A55" s="39" t="s">
        <v>530</v>
      </c>
      <c r="B55" s="45" t="s">
        <v>531</v>
      </c>
      <c r="C55" s="42" t="s">
        <v>532</v>
      </c>
      <c r="D55" s="8">
        <v>1.0</v>
      </c>
    </row>
    <row r="56">
      <c r="A56" s="39" t="s">
        <v>533</v>
      </c>
      <c r="B56" s="45" t="s">
        <v>534</v>
      </c>
      <c r="C56" s="44" t="s">
        <v>535</v>
      </c>
      <c r="D56" s="8">
        <v>1.0</v>
      </c>
    </row>
    <row r="57">
      <c r="A57" s="39" t="s">
        <v>536</v>
      </c>
      <c r="B57" s="45" t="s">
        <v>537</v>
      </c>
      <c r="C57" s="42" t="s">
        <v>538</v>
      </c>
      <c r="D57" s="8">
        <v>0.0</v>
      </c>
      <c r="E57" s="8" t="s">
        <v>539</v>
      </c>
      <c r="F57" s="8">
        <v>1.0</v>
      </c>
    </row>
    <row r="58">
      <c r="A58" s="39" t="s">
        <v>540</v>
      </c>
      <c r="B58" s="45" t="s">
        <v>541</v>
      </c>
      <c r="C58" s="42" t="s">
        <v>542</v>
      </c>
      <c r="D58" s="8">
        <v>0.0</v>
      </c>
      <c r="E58" s="8" t="s">
        <v>543</v>
      </c>
      <c r="F58" s="8">
        <v>1.0</v>
      </c>
    </row>
    <row r="59">
      <c r="A59" s="39" t="s">
        <v>544</v>
      </c>
      <c r="B59" s="45" t="s">
        <v>545</v>
      </c>
      <c r="C59" s="42" t="s">
        <v>546</v>
      </c>
      <c r="D59" s="8">
        <v>1.0</v>
      </c>
    </row>
    <row r="60">
      <c r="A60" s="39" t="s">
        <v>547</v>
      </c>
      <c r="B60" s="45" t="s">
        <v>548</v>
      </c>
      <c r="C60" s="44" t="s">
        <v>549</v>
      </c>
      <c r="D60" s="8">
        <v>0.0</v>
      </c>
      <c r="E60" s="8" t="s">
        <v>550</v>
      </c>
      <c r="F60" s="8">
        <v>0.0</v>
      </c>
    </row>
    <row r="61">
      <c r="A61" s="39" t="s">
        <v>551</v>
      </c>
      <c r="B61" s="45" t="s">
        <v>552</v>
      </c>
      <c r="C61" s="42" t="s">
        <v>553</v>
      </c>
      <c r="D61" s="8">
        <v>0.0</v>
      </c>
      <c r="E61" s="8" t="s">
        <v>554</v>
      </c>
      <c r="F61" s="8">
        <v>0.0</v>
      </c>
    </row>
    <row r="62">
      <c r="A62" s="39" t="s">
        <v>555</v>
      </c>
      <c r="B62" s="45" t="s">
        <v>556</v>
      </c>
      <c r="C62" s="42" t="s">
        <v>557</v>
      </c>
      <c r="D62" s="8">
        <v>0.0</v>
      </c>
      <c r="E62" s="8" t="s">
        <v>558</v>
      </c>
      <c r="F62" s="8">
        <v>1.0</v>
      </c>
    </row>
    <row r="63">
      <c r="A63" s="39" t="s">
        <v>559</v>
      </c>
      <c r="B63" s="45" t="s">
        <v>560</v>
      </c>
      <c r="C63" s="44" t="s">
        <v>561</v>
      </c>
      <c r="D63" s="8">
        <v>0.0</v>
      </c>
    </row>
    <row r="64">
      <c r="A64" s="39" t="s">
        <v>562</v>
      </c>
      <c r="B64" s="45" t="s">
        <v>563</v>
      </c>
      <c r="C64" s="44" t="s">
        <v>564</v>
      </c>
      <c r="D64" s="8">
        <v>0.0</v>
      </c>
      <c r="E64" s="8" t="s">
        <v>565</v>
      </c>
      <c r="F64" s="8">
        <v>1.0</v>
      </c>
    </row>
    <row r="65">
      <c r="A65" s="39" t="s">
        <v>566</v>
      </c>
      <c r="B65" s="45" t="s">
        <v>567</v>
      </c>
      <c r="C65" s="44" t="s">
        <v>568</v>
      </c>
      <c r="D65" s="8">
        <v>0.0</v>
      </c>
      <c r="E65" s="8" t="s">
        <v>569</v>
      </c>
      <c r="F65" s="8">
        <v>1.0</v>
      </c>
    </row>
    <row r="66">
      <c r="A66" s="39" t="s">
        <v>570</v>
      </c>
      <c r="B66" s="45" t="s">
        <v>571</v>
      </c>
      <c r="C66" s="44" t="s">
        <v>572</v>
      </c>
      <c r="D66" s="8">
        <v>0.0</v>
      </c>
      <c r="E66" s="8" t="s">
        <v>573</v>
      </c>
      <c r="F66" s="8">
        <v>1.0</v>
      </c>
    </row>
    <row r="67">
      <c r="A67" s="39" t="s">
        <v>574</v>
      </c>
      <c r="B67" s="45" t="s">
        <v>575</v>
      </c>
      <c r="C67" s="44" t="s">
        <v>576</v>
      </c>
      <c r="D67" s="8">
        <v>0.0</v>
      </c>
      <c r="E67" s="8" t="s">
        <v>577</v>
      </c>
      <c r="F67" s="8">
        <v>1.0</v>
      </c>
    </row>
    <row r="68">
      <c r="A68" s="39" t="s">
        <v>578</v>
      </c>
      <c r="B68" s="45" t="s">
        <v>579</v>
      </c>
      <c r="C68" s="42" t="s">
        <v>580</v>
      </c>
      <c r="D68" s="8">
        <v>0.0</v>
      </c>
      <c r="E68" s="8" t="s">
        <v>581</v>
      </c>
      <c r="F68" s="8">
        <v>1.0</v>
      </c>
    </row>
    <row r="69">
      <c r="A69" s="39" t="s">
        <v>582</v>
      </c>
      <c r="B69" s="46" t="s">
        <v>583</v>
      </c>
      <c r="C69" s="44" t="s">
        <v>584</v>
      </c>
      <c r="D69" s="8">
        <v>0.0</v>
      </c>
      <c r="E69" s="8" t="s">
        <v>585</v>
      </c>
      <c r="F69" s="8">
        <v>1.0</v>
      </c>
    </row>
    <row r="70">
      <c r="A70" s="39" t="s">
        <v>586</v>
      </c>
      <c r="B70" s="45" t="s">
        <v>587</v>
      </c>
      <c r="C70" s="44" t="s">
        <v>588</v>
      </c>
      <c r="D70" s="8">
        <v>0.0</v>
      </c>
      <c r="E70" s="8" t="s">
        <v>589</v>
      </c>
      <c r="F70" s="8">
        <v>1.0</v>
      </c>
    </row>
    <row r="71">
      <c r="A71" s="39" t="s">
        <v>590</v>
      </c>
      <c r="B71" s="45" t="s">
        <v>591</v>
      </c>
      <c r="C71" s="44" t="s">
        <v>592</v>
      </c>
      <c r="D71" s="8">
        <v>0.0</v>
      </c>
      <c r="E71" s="8" t="s">
        <v>593</v>
      </c>
      <c r="F71" s="8">
        <v>1.0</v>
      </c>
    </row>
    <row r="72">
      <c r="A72" s="39" t="s">
        <v>594</v>
      </c>
      <c r="B72" s="45" t="s">
        <v>595</v>
      </c>
      <c r="C72" s="44" t="s">
        <v>596</v>
      </c>
      <c r="D72" s="8">
        <v>0.0</v>
      </c>
      <c r="E72" s="8" t="s">
        <v>597</v>
      </c>
      <c r="F72" s="8">
        <v>1.0</v>
      </c>
    </row>
    <row r="73">
      <c r="A73" s="39" t="s">
        <v>598</v>
      </c>
      <c r="B73" s="45" t="s">
        <v>599</v>
      </c>
      <c r="C73" s="42" t="s">
        <v>600</v>
      </c>
      <c r="D73" s="8">
        <v>0.0</v>
      </c>
      <c r="E73" s="8" t="s">
        <v>601</v>
      </c>
      <c r="F73" s="8">
        <v>1.0</v>
      </c>
    </row>
    <row r="74">
      <c r="A74" s="39" t="s">
        <v>602</v>
      </c>
      <c r="B74" s="46" t="s">
        <v>603</v>
      </c>
      <c r="C74" s="42" t="s">
        <v>604</v>
      </c>
      <c r="D74" s="18">
        <v>1.0</v>
      </c>
    </row>
    <row r="75">
      <c r="A75" s="39" t="s">
        <v>605</v>
      </c>
      <c r="B75" s="45" t="s">
        <v>606</v>
      </c>
      <c r="C75" s="42" t="s">
        <v>607</v>
      </c>
      <c r="D75" s="18">
        <v>1.0</v>
      </c>
    </row>
    <row r="76">
      <c r="A76" s="39" t="s">
        <v>608</v>
      </c>
      <c r="B76" s="46" t="s">
        <v>609</v>
      </c>
      <c r="C76" s="42" t="s">
        <v>610</v>
      </c>
      <c r="D76" s="8">
        <v>0.0</v>
      </c>
      <c r="E76" s="8" t="s">
        <v>611</v>
      </c>
      <c r="F76" s="8">
        <v>1.0</v>
      </c>
    </row>
    <row r="77">
      <c r="A77" s="39" t="s">
        <v>612</v>
      </c>
      <c r="B77" s="45" t="s">
        <v>613</v>
      </c>
      <c r="C77" s="42" t="s">
        <v>614</v>
      </c>
      <c r="D77" s="18">
        <v>1.0</v>
      </c>
    </row>
    <row r="78">
      <c r="A78" s="39" t="s">
        <v>615</v>
      </c>
      <c r="B78" s="46" t="s">
        <v>616</v>
      </c>
      <c r="C78" s="42" t="s">
        <v>617</v>
      </c>
      <c r="D78" s="18">
        <v>1.0</v>
      </c>
    </row>
    <row r="79">
      <c r="A79" s="39" t="s">
        <v>618</v>
      </c>
      <c r="B79" s="46" t="s">
        <v>619</v>
      </c>
      <c r="C79" s="42" t="s">
        <v>620</v>
      </c>
      <c r="D79" s="18">
        <v>1.0</v>
      </c>
    </row>
    <row r="80">
      <c r="A80" s="39" t="s">
        <v>621</v>
      </c>
      <c r="B80" s="46" t="s">
        <v>622</v>
      </c>
      <c r="C80" s="42" t="s">
        <v>623</v>
      </c>
      <c r="D80" s="18">
        <v>1.0</v>
      </c>
    </row>
    <row r="81">
      <c r="A81" s="39" t="s">
        <v>624</v>
      </c>
      <c r="B81" s="46" t="s">
        <v>625</v>
      </c>
      <c r="C81" s="42" t="s">
        <v>626</v>
      </c>
      <c r="D81" s="18">
        <v>1.0</v>
      </c>
    </row>
    <row r="82">
      <c r="A82" s="39" t="s">
        <v>627</v>
      </c>
      <c r="B82" s="45" t="s">
        <v>628</v>
      </c>
      <c r="C82" s="8" t="s">
        <v>629</v>
      </c>
      <c r="D82" s="8">
        <v>1.0</v>
      </c>
    </row>
    <row r="83">
      <c r="A83" s="39" t="s">
        <v>630</v>
      </c>
      <c r="B83" s="45" t="s">
        <v>631</v>
      </c>
      <c r="C83" s="42" t="s">
        <v>632</v>
      </c>
      <c r="D83" s="8">
        <v>0.0</v>
      </c>
      <c r="E83" s="8" t="s">
        <v>633</v>
      </c>
      <c r="F83" s="8">
        <v>1.0</v>
      </c>
    </row>
    <row r="84">
      <c r="A84" s="39" t="s">
        <v>634</v>
      </c>
      <c r="B84" s="45" t="s">
        <v>635</v>
      </c>
      <c r="C84" s="42" t="s">
        <v>636</v>
      </c>
      <c r="D84" s="8">
        <v>0.0</v>
      </c>
      <c r="E84" s="8" t="s">
        <v>637</v>
      </c>
      <c r="F84" s="8">
        <v>1.0</v>
      </c>
    </row>
    <row r="85">
      <c r="A85" s="39" t="s">
        <v>638</v>
      </c>
      <c r="B85" s="45" t="s">
        <v>639</v>
      </c>
      <c r="C85" s="44" t="s">
        <v>640</v>
      </c>
      <c r="D85" s="8">
        <v>0.0</v>
      </c>
      <c r="E85" s="8" t="s">
        <v>641</v>
      </c>
      <c r="F85" s="8">
        <v>1.0</v>
      </c>
    </row>
    <row r="86">
      <c r="A86" s="39" t="s">
        <v>642</v>
      </c>
      <c r="B86" s="45" t="s">
        <v>643</v>
      </c>
      <c r="C86" s="44" t="s">
        <v>644</v>
      </c>
      <c r="D86" s="8">
        <v>0.0</v>
      </c>
      <c r="E86" s="8" t="s">
        <v>645</v>
      </c>
      <c r="F86" s="8">
        <v>1.0</v>
      </c>
    </row>
    <row r="87">
      <c r="A87" s="39" t="s">
        <v>646</v>
      </c>
      <c r="B87" s="45" t="s">
        <v>647</v>
      </c>
      <c r="C87" s="42" t="s">
        <v>648</v>
      </c>
      <c r="D87" s="8">
        <v>0.0</v>
      </c>
      <c r="E87" s="8" t="s">
        <v>649</v>
      </c>
      <c r="F87" s="8">
        <v>1.0</v>
      </c>
    </row>
    <row r="88">
      <c r="A88" s="39" t="s">
        <v>650</v>
      </c>
      <c r="B88" s="45" t="s">
        <v>651</v>
      </c>
      <c r="C88" s="44" t="s">
        <v>652</v>
      </c>
      <c r="D88" s="8">
        <v>0.0</v>
      </c>
      <c r="E88" s="8" t="s">
        <v>653</v>
      </c>
      <c r="F88" s="8">
        <v>1.0</v>
      </c>
    </row>
    <row r="89">
      <c r="A89" s="39" t="s">
        <v>654</v>
      </c>
      <c r="B89" s="45" t="s">
        <v>655</v>
      </c>
      <c r="C89" s="44" t="s">
        <v>656</v>
      </c>
      <c r="D89" s="8">
        <v>1.0</v>
      </c>
    </row>
    <row r="90">
      <c r="A90" s="39" t="s">
        <v>657</v>
      </c>
      <c r="B90" s="45" t="s">
        <v>658</v>
      </c>
      <c r="C90" s="44" t="s">
        <v>659</v>
      </c>
      <c r="D90" s="8">
        <v>1.0</v>
      </c>
    </row>
    <row r="91">
      <c r="A91" s="39" t="s">
        <v>660</v>
      </c>
      <c r="B91" s="45" t="s">
        <v>661</v>
      </c>
      <c r="C91" s="44" t="s">
        <v>662</v>
      </c>
      <c r="D91" s="8">
        <v>0.0</v>
      </c>
      <c r="E91" s="8" t="s">
        <v>663</v>
      </c>
      <c r="F91" s="8">
        <v>1.0</v>
      </c>
    </row>
    <row r="92">
      <c r="A92" s="39" t="s">
        <v>664</v>
      </c>
      <c r="B92" s="45" t="s">
        <v>665</v>
      </c>
      <c r="C92" s="44" t="s">
        <v>666</v>
      </c>
      <c r="D92" s="8">
        <v>0.0</v>
      </c>
      <c r="E92" s="8" t="s">
        <v>667</v>
      </c>
      <c r="F92" s="8">
        <v>1.0</v>
      </c>
    </row>
    <row r="93">
      <c r="A93" s="39" t="s">
        <v>668</v>
      </c>
      <c r="B93" s="45" t="s">
        <v>669</v>
      </c>
      <c r="C93" s="44" t="s">
        <v>670</v>
      </c>
      <c r="D93" s="8">
        <v>0.0</v>
      </c>
      <c r="E93" s="8" t="s">
        <v>671</v>
      </c>
      <c r="F93" s="8">
        <v>1.0</v>
      </c>
    </row>
    <row r="94">
      <c r="A94" s="39" t="s">
        <v>672</v>
      </c>
      <c r="B94" s="45" t="s">
        <v>673</v>
      </c>
      <c r="C94" s="44" t="s">
        <v>674</v>
      </c>
      <c r="D94" s="8">
        <v>0.0</v>
      </c>
      <c r="E94" s="8" t="s">
        <v>675</v>
      </c>
      <c r="F94" s="8">
        <v>1.0</v>
      </c>
    </row>
    <row r="95">
      <c r="A95" s="39" t="s">
        <v>676</v>
      </c>
      <c r="B95" s="45" t="s">
        <v>677</v>
      </c>
      <c r="C95" s="44" t="s">
        <v>678</v>
      </c>
      <c r="D95" s="8">
        <v>0.0</v>
      </c>
      <c r="E95" s="8" t="s">
        <v>679</v>
      </c>
      <c r="F95" s="8">
        <v>1.0</v>
      </c>
    </row>
    <row r="96">
      <c r="A96" s="39" t="s">
        <v>680</v>
      </c>
      <c r="B96" s="45" t="s">
        <v>681</v>
      </c>
      <c r="C96" s="44" t="s">
        <v>682</v>
      </c>
      <c r="D96" s="8">
        <v>0.0</v>
      </c>
      <c r="E96" s="8" t="s">
        <v>683</v>
      </c>
      <c r="F96" s="8">
        <v>1.0</v>
      </c>
    </row>
    <row r="97">
      <c r="A97" s="39" t="s">
        <v>684</v>
      </c>
      <c r="B97" s="45" t="s">
        <v>685</v>
      </c>
      <c r="C97" s="47" t="s">
        <v>686</v>
      </c>
      <c r="D97" s="8">
        <v>0.0</v>
      </c>
      <c r="E97" s="8" t="s">
        <v>687</v>
      </c>
      <c r="F97" s="8">
        <v>1.0</v>
      </c>
    </row>
    <row r="98">
      <c r="A98" s="39" t="s">
        <v>688</v>
      </c>
      <c r="B98" s="45" t="s">
        <v>689</v>
      </c>
      <c r="C98" s="44" t="s">
        <v>690</v>
      </c>
      <c r="D98" s="8">
        <v>0.0</v>
      </c>
      <c r="E98" s="8" t="s">
        <v>691</v>
      </c>
      <c r="F98" s="8">
        <v>1.0</v>
      </c>
    </row>
    <row r="99">
      <c r="A99" s="39" t="s">
        <v>692</v>
      </c>
      <c r="B99" s="45" t="s">
        <v>693</v>
      </c>
      <c r="C99" s="44" t="s">
        <v>694</v>
      </c>
      <c r="D99" s="8">
        <v>1.0</v>
      </c>
    </row>
    <row r="100">
      <c r="A100" s="39" t="s">
        <v>695</v>
      </c>
      <c r="B100" s="45" t="s">
        <v>696</v>
      </c>
      <c r="C100" s="44" t="s">
        <v>697</v>
      </c>
      <c r="D100" s="8">
        <v>0.0</v>
      </c>
      <c r="E100" s="8" t="s">
        <v>698</v>
      </c>
      <c r="F100" s="8">
        <v>1.0</v>
      </c>
    </row>
    <row r="101">
      <c r="A101" s="39" t="s">
        <v>699</v>
      </c>
      <c r="B101" s="45" t="s">
        <v>700</v>
      </c>
      <c r="C101" s="44" t="s">
        <v>701</v>
      </c>
      <c r="D101" s="8">
        <v>0.0</v>
      </c>
      <c r="E101" s="8" t="s">
        <v>702</v>
      </c>
      <c r="F101" s="8">
        <v>1.0</v>
      </c>
    </row>
    <row r="102">
      <c r="A102" s="28"/>
      <c r="B102" s="5"/>
      <c r="C102" s="48"/>
      <c r="D102" s="29">
        <f>SUM(D2:D101)</f>
        <v>39</v>
      </c>
      <c r="F102" s="29">
        <f>SUM(F2:F101)</f>
        <v>47</v>
      </c>
    </row>
    <row r="103">
      <c r="A103" s="28"/>
      <c r="B103" s="49"/>
      <c r="C103" s="48"/>
      <c r="D103" s="29">
        <f>D102/100</f>
        <v>0.39</v>
      </c>
      <c r="F103" s="29">
        <f>(F102+D102)/100</f>
        <v>0.86</v>
      </c>
    </row>
    <row r="104">
      <c r="A104" s="28"/>
      <c r="B104" s="49"/>
      <c r="C104" s="50"/>
    </row>
    <row r="105">
      <c r="A105" s="28"/>
      <c r="B105" s="49"/>
      <c r="C105" s="43"/>
    </row>
    <row r="106">
      <c r="A106" s="28"/>
      <c r="B106" s="49"/>
      <c r="C106" s="51"/>
    </row>
    <row r="107">
      <c r="A107" s="28"/>
      <c r="B107" s="49"/>
      <c r="C107" s="51"/>
    </row>
    <row r="108">
      <c r="A108" s="28"/>
      <c r="B108" s="5"/>
      <c r="C108" s="50"/>
    </row>
    <row r="109">
      <c r="A109" s="28"/>
      <c r="B109" s="49"/>
      <c r="C109" s="51"/>
    </row>
    <row r="110">
      <c r="A110" s="28"/>
      <c r="B110" s="49"/>
      <c r="C110" s="50"/>
    </row>
    <row r="111">
      <c r="A111" s="28"/>
      <c r="B111" s="49"/>
      <c r="C111" s="50"/>
    </row>
    <row r="112">
      <c r="A112" s="28"/>
      <c r="B112" s="5"/>
      <c r="C112" s="48"/>
    </row>
    <row r="113">
      <c r="A113" s="28"/>
      <c r="B113" s="5"/>
      <c r="C113" s="48"/>
    </row>
    <row r="114">
      <c r="A114" s="28"/>
      <c r="B114" s="5"/>
      <c r="C114" s="48"/>
    </row>
    <row r="115">
      <c r="A115" s="28"/>
      <c r="B115" s="5"/>
      <c r="C115" s="48"/>
    </row>
    <row r="116">
      <c r="A116" s="28"/>
      <c r="B116" s="5"/>
      <c r="C116" s="48"/>
    </row>
    <row r="117">
      <c r="A117" s="28"/>
      <c r="B117" s="5"/>
      <c r="C117" s="48"/>
    </row>
    <row r="118">
      <c r="A118" s="28"/>
      <c r="B118" s="5"/>
      <c r="C118" s="48"/>
    </row>
    <row r="119">
      <c r="A119" s="28"/>
      <c r="B119" s="5"/>
      <c r="C119" s="48"/>
    </row>
    <row r="120">
      <c r="A120" s="28"/>
      <c r="B120" s="5"/>
      <c r="C120" s="48"/>
    </row>
    <row r="121">
      <c r="A121" s="28"/>
      <c r="B121" s="5"/>
      <c r="C121" s="48"/>
    </row>
    <row r="122">
      <c r="A122" s="28"/>
      <c r="B122" s="5"/>
      <c r="C122" s="48"/>
    </row>
    <row r="123">
      <c r="A123" s="28"/>
      <c r="B123" s="5"/>
      <c r="C123" s="48"/>
    </row>
    <row r="124">
      <c r="A124" s="28"/>
      <c r="B124" s="5"/>
      <c r="C124" s="48"/>
    </row>
    <row r="125">
      <c r="A125" s="28"/>
      <c r="B125" s="5"/>
      <c r="C125" s="48"/>
    </row>
    <row r="126">
      <c r="A126" s="28"/>
      <c r="B126" s="5"/>
      <c r="C126" s="48"/>
    </row>
    <row r="127">
      <c r="A127" s="28"/>
      <c r="B127" s="5"/>
      <c r="C127" s="48"/>
    </row>
    <row r="128">
      <c r="A128" s="28"/>
      <c r="B128" s="5"/>
      <c r="C128" s="48"/>
    </row>
    <row r="129">
      <c r="A129" s="28"/>
      <c r="B129" s="5"/>
      <c r="C129" s="48"/>
    </row>
    <row r="130">
      <c r="A130" s="28"/>
      <c r="B130" s="5"/>
      <c r="C130" s="48"/>
    </row>
    <row r="131">
      <c r="A131" s="28"/>
      <c r="B131" s="5"/>
      <c r="C131" s="48"/>
    </row>
    <row r="132">
      <c r="A132" s="28"/>
      <c r="B132" s="5"/>
      <c r="C132" s="48"/>
    </row>
    <row r="133">
      <c r="A133" s="28"/>
      <c r="B133" s="5"/>
      <c r="C133" s="48"/>
    </row>
    <row r="134">
      <c r="A134" s="28"/>
      <c r="B134" s="5"/>
      <c r="C134" s="48"/>
    </row>
    <row r="135">
      <c r="A135" s="28"/>
      <c r="B135" s="5"/>
      <c r="C135" s="48"/>
    </row>
    <row r="136">
      <c r="A136" s="28"/>
      <c r="B136" s="5"/>
      <c r="C136" s="48"/>
    </row>
    <row r="137">
      <c r="A137" s="28"/>
      <c r="B137" s="5"/>
      <c r="C137" s="48"/>
    </row>
    <row r="138">
      <c r="A138" s="28"/>
      <c r="B138" s="5"/>
      <c r="C138" s="48"/>
    </row>
    <row r="139">
      <c r="A139" s="28"/>
      <c r="B139" s="5"/>
      <c r="C139" s="48"/>
    </row>
    <row r="140">
      <c r="A140" s="28"/>
      <c r="B140" s="5"/>
      <c r="C140" s="48"/>
    </row>
    <row r="141">
      <c r="A141" s="28"/>
      <c r="B141" s="5"/>
      <c r="C141" s="48"/>
    </row>
    <row r="142">
      <c r="A142" s="28"/>
      <c r="B142" s="5"/>
      <c r="C142" s="48"/>
    </row>
    <row r="143">
      <c r="A143" s="28"/>
      <c r="B143" s="5"/>
      <c r="C143" s="48"/>
    </row>
    <row r="144">
      <c r="A144" s="28"/>
      <c r="B144" s="5"/>
      <c r="C144" s="48"/>
    </row>
    <row r="145">
      <c r="A145" s="28"/>
      <c r="B145" s="5"/>
      <c r="C145" s="48"/>
    </row>
    <row r="146">
      <c r="A146" s="28"/>
      <c r="B146" s="5"/>
      <c r="C146" s="48"/>
    </row>
    <row r="147">
      <c r="A147" s="28"/>
      <c r="B147" s="5"/>
      <c r="C147" s="48"/>
    </row>
    <row r="148">
      <c r="A148" s="28"/>
      <c r="B148" s="5"/>
      <c r="C148" s="48"/>
    </row>
    <row r="149">
      <c r="A149" s="28"/>
      <c r="B149" s="5"/>
      <c r="C149" s="48"/>
    </row>
    <row r="150">
      <c r="A150" s="28"/>
      <c r="B150" s="5"/>
      <c r="C150" s="48"/>
    </row>
    <row r="151">
      <c r="A151" s="28"/>
      <c r="B151" s="5"/>
      <c r="C151" s="48"/>
    </row>
    <row r="152">
      <c r="A152" s="28"/>
      <c r="B152" s="5"/>
      <c r="C152" s="48"/>
    </row>
    <row r="153">
      <c r="A153" s="28"/>
      <c r="B153" s="5"/>
      <c r="C153" s="48"/>
    </row>
    <row r="154">
      <c r="A154" s="28"/>
      <c r="B154" s="5"/>
      <c r="C154" s="48"/>
    </row>
    <row r="155">
      <c r="A155" s="28"/>
      <c r="B155" s="5"/>
      <c r="C155" s="48"/>
    </row>
    <row r="156">
      <c r="A156" s="28"/>
      <c r="B156" s="5"/>
      <c r="C156" s="48"/>
    </row>
    <row r="157">
      <c r="A157" s="28"/>
      <c r="B157" s="5"/>
      <c r="C157" s="48"/>
    </row>
    <row r="158">
      <c r="A158" s="28"/>
      <c r="B158" s="5"/>
      <c r="C158" s="48"/>
    </row>
    <row r="159">
      <c r="A159" s="28"/>
      <c r="B159" s="5"/>
      <c r="C159" s="48"/>
    </row>
    <row r="160">
      <c r="A160" s="28"/>
      <c r="B160" s="5"/>
      <c r="C160" s="48"/>
    </row>
    <row r="161">
      <c r="A161" s="28"/>
      <c r="B161" s="5"/>
      <c r="C161" s="48"/>
    </row>
    <row r="162">
      <c r="A162" s="28"/>
      <c r="B162" s="5"/>
      <c r="C162" s="48"/>
    </row>
    <row r="163">
      <c r="A163" s="28"/>
      <c r="B163" s="5"/>
      <c r="C163" s="48"/>
    </row>
    <row r="164">
      <c r="A164" s="28"/>
      <c r="B164" s="5"/>
      <c r="C164" s="48"/>
    </row>
    <row r="165">
      <c r="A165" s="28"/>
      <c r="B165" s="5"/>
      <c r="C165" s="48"/>
    </row>
    <row r="166">
      <c r="A166" s="28"/>
      <c r="B166" s="5"/>
      <c r="C166" s="48"/>
    </row>
    <row r="167">
      <c r="A167" s="28"/>
      <c r="B167" s="5"/>
      <c r="C167" s="48"/>
    </row>
    <row r="168">
      <c r="A168" s="28"/>
      <c r="B168" s="5"/>
      <c r="C168" s="48"/>
    </row>
    <row r="169">
      <c r="A169" s="28"/>
      <c r="B169" s="5"/>
      <c r="C169" s="48"/>
    </row>
    <row r="170">
      <c r="A170" s="28"/>
      <c r="B170" s="5"/>
      <c r="C170" s="48"/>
    </row>
    <row r="171">
      <c r="A171" s="28"/>
      <c r="B171" s="5"/>
      <c r="C171" s="48"/>
    </row>
    <row r="172">
      <c r="A172" s="28"/>
      <c r="B172" s="5"/>
      <c r="C172" s="48"/>
    </row>
    <row r="173">
      <c r="A173" s="28"/>
      <c r="B173" s="5"/>
      <c r="C173" s="48"/>
    </row>
    <row r="174">
      <c r="A174" s="28"/>
      <c r="B174" s="5"/>
      <c r="C174" s="48"/>
    </row>
    <row r="175">
      <c r="A175" s="28"/>
      <c r="B175" s="5"/>
      <c r="C175" s="48"/>
    </row>
    <row r="176">
      <c r="A176" s="28"/>
      <c r="B176" s="5"/>
      <c r="C176" s="48"/>
    </row>
    <row r="177">
      <c r="A177" s="28"/>
      <c r="B177" s="5"/>
      <c r="C177" s="48"/>
    </row>
    <row r="178">
      <c r="A178" s="28"/>
      <c r="B178" s="5"/>
      <c r="C178" s="48"/>
    </row>
    <row r="179">
      <c r="A179" s="28"/>
      <c r="B179" s="5"/>
      <c r="C179" s="48"/>
    </row>
    <row r="180">
      <c r="A180" s="28"/>
      <c r="B180" s="5"/>
      <c r="C180" s="48"/>
    </row>
    <row r="181">
      <c r="A181" s="28"/>
      <c r="B181" s="5"/>
      <c r="C181" s="48"/>
    </row>
    <row r="182">
      <c r="A182" s="28"/>
      <c r="B182" s="5"/>
      <c r="C182" s="48"/>
    </row>
    <row r="183">
      <c r="A183" s="28"/>
      <c r="B183" s="5"/>
      <c r="C183" s="48"/>
    </row>
    <row r="184">
      <c r="A184" s="28"/>
      <c r="B184" s="5"/>
      <c r="C184" s="48"/>
    </row>
    <row r="185">
      <c r="A185" s="28"/>
      <c r="B185" s="5"/>
      <c r="C185" s="48"/>
    </row>
    <row r="186">
      <c r="A186" s="28"/>
      <c r="B186" s="5"/>
      <c r="C186" s="48"/>
    </row>
    <row r="187">
      <c r="A187" s="28"/>
      <c r="B187" s="5"/>
      <c r="C187" s="48"/>
    </row>
    <row r="188">
      <c r="A188" s="28"/>
      <c r="B188" s="5"/>
      <c r="C188" s="48"/>
    </row>
    <row r="189">
      <c r="A189" s="28"/>
      <c r="B189" s="5"/>
      <c r="C189" s="48"/>
    </row>
    <row r="190">
      <c r="A190" s="28"/>
      <c r="B190" s="5"/>
      <c r="C190" s="48"/>
    </row>
    <row r="191">
      <c r="A191" s="28"/>
      <c r="B191" s="5"/>
      <c r="C191" s="48"/>
    </row>
    <row r="192">
      <c r="A192" s="28"/>
      <c r="B192" s="5"/>
      <c r="C192" s="48"/>
    </row>
    <row r="193">
      <c r="A193" s="28"/>
      <c r="B193" s="5"/>
      <c r="C193" s="48"/>
    </row>
    <row r="194">
      <c r="A194" s="28"/>
      <c r="B194" s="5"/>
      <c r="C194" s="48"/>
    </row>
    <row r="195">
      <c r="A195" s="28"/>
      <c r="B195" s="5"/>
      <c r="C195" s="48"/>
    </row>
    <row r="196">
      <c r="A196" s="28"/>
      <c r="B196" s="5"/>
      <c r="C196" s="48"/>
    </row>
    <row r="197">
      <c r="A197" s="28"/>
      <c r="B197" s="5"/>
      <c r="C197" s="48"/>
    </row>
    <row r="198">
      <c r="A198" s="28"/>
      <c r="B198" s="5"/>
      <c r="C198" s="48"/>
    </row>
    <row r="199">
      <c r="A199" s="28"/>
      <c r="B199" s="5"/>
      <c r="C199" s="48"/>
    </row>
    <row r="200">
      <c r="A200" s="28"/>
      <c r="B200" s="5"/>
      <c r="C200" s="48"/>
    </row>
    <row r="201">
      <c r="A201" s="28"/>
      <c r="B201" s="5"/>
      <c r="C201" s="48"/>
    </row>
    <row r="202">
      <c r="A202" s="28"/>
      <c r="B202" s="5"/>
      <c r="C202" s="48"/>
    </row>
    <row r="203">
      <c r="A203" s="28"/>
      <c r="B203" s="5"/>
      <c r="C203" s="48"/>
    </row>
    <row r="204">
      <c r="A204" s="28"/>
      <c r="B204" s="5"/>
      <c r="C204" s="48"/>
    </row>
    <row r="205">
      <c r="A205" s="28"/>
      <c r="B205" s="5"/>
      <c r="C205" s="48"/>
    </row>
    <row r="206">
      <c r="A206" s="28"/>
      <c r="B206" s="5"/>
      <c r="C206" s="48"/>
    </row>
    <row r="207">
      <c r="A207" s="28"/>
      <c r="B207" s="5"/>
      <c r="C207" s="48"/>
    </row>
    <row r="208">
      <c r="A208" s="28"/>
      <c r="B208" s="5"/>
      <c r="C208" s="48"/>
    </row>
    <row r="209">
      <c r="A209" s="28"/>
      <c r="B209" s="5"/>
      <c r="C209" s="48"/>
    </row>
    <row r="210">
      <c r="A210" s="28"/>
      <c r="B210" s="5"/>
      <c r="C210" s="48"/>
    </row>
    <row r="211">
      <c r="A211" s="28"/>
      <c r="B211" s="5"/>
      <c r="C211" s="48"/>
    </row>
    <row r="212">
      <c r="A212" s="28"/>
      <c r="B212" s="5"/>
      <c r="C212" s="48"/>
    </row>
    <row r="213">
      <c r="A213" s="28"/>
      <c r="B213" s="5"/>
      <c r="C213" s="48"/>
    </row>
    <row r="214">
      <c r="A214" s="28"/>
      <c r="B214" s="5"/>
      <c r="C214" s="48"/>
    </row>
    <row r="215">
      <c r="A215" s="28"/>
      <c r="B215" s="5"/>
      <c r="C215" s="48"/>
    </row>
    <row r="216">
      <c r="A216" s="28"/>
      <c r="B216" s="5"/>
      <c r="C216" s="48"/>
    </row>
    <row r="217">
      <c r="A217" s="28"/>
      <c r="B217" s="5"/>
      <c r="C217" s="48"/>
    </row>
    <row r="218">
      <c r="A218" s="28"/>
      <c r="B218" s="5"/>
      <c r="C218" s="48"/>
    </row>
    <row r="219">
      <c r="A219" s="28"/>
      <c r="B219" s="5"/>
      <c r="C219" s="48"/>
    </row>
    <row r="220">
      <c r="A220" s="28"/>
      <c r="B220" s="5"/>
      <c r="C220" s="48"/>
    </row>
    <row r="221">
      <c r="A221" s="28"/>
      <c r="B221" s="5"/>
      <c r="C221" s="48"/>
    </row>
    <row r="222">
      <c r="A222" s="28"/>
      <c r="B222" s="5"/>
      <c r="C222" s="48"/>
    </row>
    <row r="223">
      <c r="A223" s="28"/>
      <c r="B223" s="5"/>
      <c r="C223" s="48"/>
    </row>
    <row r="224">
      <c r="A224" s="28"/>
      <c r="B224" s="5"/>
      <c r="C224" s="48"/>
    </row>
    <row r="225">
      <c r="A225" s="28"/>
      <c r="B225" s="5"/>
      <c r="C225" s="48"/>
    </row>
    <row r="226">
      <c r="A226" s="28"/>
      <c r="B226" s="5"/>
      <c r="C226" s="48"/>
    </row>
    <row r="227">
      <c r="A227" s="28"/>
      <c r="B227" s="5"/>
      <c r="C227" s="48"/>
    </row>
    <row r="228">
      <c r="A228" s="28"/>
      <c r="B228" s="5"/>
      <c r="C228" s="48"/>
    </row>
    <row r="229">
      <c r="A229" s="28"/>
      <c r="B229" s="5"/>
      <c r="C229" s="48"/>
    </row>
    <row r="230">
      <c r="A230" s="28"/>
      <c r="B230" s="5"/>
      <c r="C230" s="48"/>
    </row>
    <row r="231">
      <c r="A231" s="28"/>
      <c r="B231" s="5"/>
      <c r="C231" s="48"/>
    </row>
    <row r="232">
      <c r="A232" s="28"/>
      <c r="B232" s="5"/>
      <c r="C232" s="48"/>
    </row>
    <row r="233">
      <c r="A233" s="28"/>
      <c r="B233" s="5"/>
      <c r="C233" s="48"/>
    </row>
    <row r="234">
      <c r="A234" s="28"/>
      <c r="B234" s="5"/>
      <c r="C234" s="48"/>
    </row>
    <row r="235">
      <c r="A235" s="28"/>
      <c r="B235" s="5"/>
      <c r="C235" s="48"/>
    </row>
    <row r="236">
      <c r="A236" s="28"/>
      <c r="B236" s="5"/>
      <c r="C236" s="48"/>
    </row>
    <row r="237">
      <c r="A237" s="28"/>
      <c r="B237" s="5"/>
      <c r="C237" s="48"/>
    </row>
    <row r="238">
      <c r="A238" s="28"/>
      <c r="B238" s="5"/>
      <c r="C238" s="48"/>
    </row>
    <row r="239">
      <c r="A239" s="28"/>
      <c r="B239" s="5"/>
      <c r="C239" s="48"/>
    </row>
    <row r="240">
      <c r="A240" s="28"/>
      <c r="B240" s="5"/>
      <c r="C240" s="48"/>
    </row>
    <row r="241">
      <c r="A241" s="28"/>
      <c r="B241" s="5"/>
      <c r="C241" s="48"/>
    </row>
    <row r="242">
      <c r="A242" s="28"/>
      <c r="B242" s="5"/>
      <c r="C242" s="48"/>
    </row>
    <row r="243">
      <c r="A243" s="28"/>
      <c r="B243" s="5"/>
      <c r="C243" s="48"/>
    </row>
    <row r="244">
      <c r="A244" s="28"/>
      <c r="B244" s="5"/>
      <c r="C244" s="48"/>
    </row>
    <row r="245">
      <c r="A245" s="28"/>
      <c r="B245" s="5"/>
      <c r="C245" s="48"/>
    </row>
    <row r="246">
      <c r="A246" s="28"/>
      <c r="B246" s="5"/>
      <c r="C246" s="48"/>
    </row>
    <row r="247">
      <c r="A247" s="28"/>
      <c r="B247" s="5"/>
      <c r="C247" s="48"/>
    </row>
    <row r="248">
      <c r="A248" s="28"/>
      <c r="B248" s="5"/>
      <c r="C248" s="48"/>
    </row>
    <row r="249">
      <c r="A249" s="28"/>
      <c r="B249" s="5"/>
      <c r="C249" s="48"/>
    </row>
    <row r="250">
      <c r="A250" s="28"/>
      <c r="B250" s="5"/>
      <c r="C250" s="48"/>
    </row>
    <row r="251">
      <c r="A251" s="28"/>
      <c r="B251" s="5"/>
      <c r="C251" s="48"/>
    </row>
    <row r="252">
      <c r="A252" s="28"/>
      <c r="B252" s="5"/>
      <c r="C252" s="48"/>
    </row>
    <row r="253">
      <c r="A253" s="28"/>
      <c r="B253" s="5"/>
      <c r="C253" s="48"/>
    </row>
    <row r="254">
      <c r="A254" s="28"/>
      <c r="B254" s="5"/>
      <c r="C254" s="48"/>
    </row>
    <row r="255">
      <c r="A255" s="28"/>
      <c r="B255" s="5"/>
      <c r="C255" s="48"/>
    </row>
    <row r="256">
      <c r="A256" s="28"/>
      <c r="B256" s="5"/>
      <c r="C256" s="48"/>
    </row>
    <row r="257">
      <c r="A257" s="28"/>
      <c r="B257" s="5"/>
      <c r="C257" s="48"/>
    </row>
    <row r="258">
      <c r="A258" s="28"/>
      <c r="B258" s="5"/>
      <c r="C258" s="48"/>
    </row>
    <row r="259">
      <c r="A259" s="28"/>
      <c r="B259" s="5"/>
      <c r="C259" s="48"/>
    </row>
    <row r="260">
      <c r="A260" s="28"/>
      <c r="B260" s="5"/>
      <c r="C260" s="48"/>
    </row>
    <row r="261">
      <c r="A261" s="28"/>
      <c r="B261" s="5"/>
      <c r="C261" s="48"/>
    </row>
    <row r="262">
      <c r="A262" s="28"/>
      <c r="B262" s="5"/>
      <c r="C262" s="48"/>
    </row>
    <row r="263">
      <c r="A263" s="28"/>
      <c r="B263" s="5"/>
      <c r="C263" s="48"/>
    </row>
    <row r="264">
      <c r="A264" s="28"/>
      <c r="B264" s="5"/>
      <c r="C264" s="48"/>
    </row>
    <row r="265">
      <c r="A265" s="28"/>
      <c r="B265" s="5"/>
      <c r="C265" s="48"/>
    </row>
    <row r="266">
      <c r="A266" s="28"/>
      <c r="B266" s="5"/>
      <c r="C266" s="48"/>
    </row>
    <row r="267">
      <c r="A267" s="28"/>
      <c r="B267" s="5"/>
      <c r="C267" s="48"/>
    </row>
    <row r="268">
      <c r="A268" s="28"/>
      <c r="B268" s="5"/>
      <c r="C268" s="48"/>
    </row>
    <row r="269">
      <c r="A269" s="28"/>
      <c r="B269" s="5"/>
      <c r="C269" s="48"/>
    </row>
    <row r="270">
      <c r="A270" s="28"/>
      <c r="B270" s="5"/>
      <c r="C270" s="48"/>
    </row>
    <row r="271">
      <c r="A271" s="28"/>
      <c r="B271" s="5"/>
      <c r="C271" s="48"/>
    </row>
    <row r="272">
      <c r="A272" s="28"/>
      <c r="B272" s="5"/>
      <c r="C272" s="48"/>
    </row>
    <row r="273">
      <c r="A273" s="28"/>
      <c r="B273" s="5"/>
      <c r="C273" s="48"/>
    </row>
    <row r="274">
      <c r="A274" s="28"/>
      <c r="B274" s="5"/>
      <c r="C274" s="48"/>
    </row>
    <row r="275">
      <c r="A275" s="28"/>
      <c r="B275" s="5"/>
      <c r="C275" s="48"/>
    </row>
    <row r="276">
      <c r="A276" s="28"/>
      <c r="B276" s="5"/>
      <c r="C276" s="48"/>
    </row>
    <row r="277">
      <c r="A277" s="28"/>
      <c r="B277" s="5"/>
      <c r="C277" s="48"/>
    </row>
    <row r="278">
      <c r="A278" s="28"/>
      <c r="B278" s="5"/>
      <c r="C278" s="48"/>
    </row>
    <row r="279">
      <c r="A279" s="28"/>
      <c r="B279" s="5"/>
      <c r="C279" s="48"/>
    </row>
    <row r="280">
      <c r="A280" s="28"/>
      <c r="B280" s="5"/>
      <c r="C280" s="48"/>
    </row>
    <row r="281">
      <c r="A281" s="28"/>
      <c r="B281" s="5"/>
      <c r="C281" s="48"/>
    </row>
    <row r="282">
      <c r="A282" s="28"/>
      <c r="B282" s="5"/>
      <c r="C282" s="48"/>
    </row>
    <row r="283">
      <c r="A283" s="28"/>
      <c r="B283" s="5"/>
      <c r="C283" s="48"/>
    </row>
    <row r="284">
      <c r="A284" s="28"/>
      <c r="B284" s="5"/>
      <c r="C284" s="48"/>
    </row>
    <row r="285">
      <c r="A285" s="28"/>
      <c r="B285" s="5"/>
      <c r="C285" s="48"/>
    </row>
    <row r="286">
      <c r="A286" s="28"/>
      <c r="B286" s="5"/>
      <c r="C286" s="48"/>
    </row>
    <row r="287">
      <c r="A287" s="28"/>
      <c r="B287" s="5"/>
      <c r="C287" s="48"/>
    </row>
    <row r="288">
      <c r="A288" s="28"/>
      <c r="B288" s="5"/>
      <c r="C288" s="48"/>
    </row>
    <row r="289">
      <c r="A289" s="28"/>
      <c r="B289" s="5"/>
      <c r="C289" s="48"/>
    </row>
    <row r="290">
      <c r="A290" s="28"/>
      <c r="B290" s="5"/>
      <c r="C290" s="48"/>
    </row>
    <row r="291">
      <c r="A291" s="28"/>
      <c r="B291" s="5"/>
      <c r="C291" s="48"/>
    </row>
    <row r="292">
      <c r="A292" s="28"/>
      <c r="B292" s="5"/>
      <c r="C292" s="48"/>
    </row>
    <row r="293">
      <c r="A293" s="28"/>
      <c r="B293" s="5"/>
      <c r="C293" s="48"/>
    </row>
    <row r="294">
      <c r="A294" s="28"/>
      <c r="B294" s="5"/>
      <c r="C294" s="48"/>
    </row>
    <row r="295">
      <c r="A295" s="28"/>
      <c r="B295" s="5"/>
      <c r="C295" s="48"/>
    </row>
    <row r="296">
      <c r="A296" s="28"/>
      <c r="B296" s="5"/>
      <c r="C296" s="48"/>
    </row>
    <row r="297">
      <c r="A297" s="28"/>
      <c r="B297" s="5"/>
      <c r="C297" s="48"/>
    </row>
    <row r="298">
      <c r="A298" s="28"/>
      <c r="B298" s="5"/>
      <c r="C298" s="48"/>
    </row>
    <row r="299">
      <c r="A299" s="28"/>
      <c r="B299" s="5"/>
      <c r="C299" s="48"/>
    </row>
    <row r="300">
      <c r="A300" s="28"/>
      <c r="B300" s="5"/>
      <c r="C300" s="48"/>
    </row>
    <row r="301">
      <c r="A301" s="28"/>
      <c r="B301" s="5"/>
      <c r="C301" s="48"/>
    </row>
    <row r="302">
      <c r="A302" s="28"/>
      <c r="B302" s="5"/>
      <c r="C302" s="48"/>
    </row>
    <row r="303">
      <c r="A303" s="28"/>
      <c r="B303" s="5"/>
      <c r="C303" s="48"/>
    </row>
    <row r="304">
      <c r="A304" s="28"/>
      <c r="B304" s="5"/>
      <c r="C304" s="48"/>
    </row>
    <row r="305">
      <c r="A305" s="28"/>
      <c r="B305" s="5"/>
      <c r="C305" s="48"/>
    </row>
    <row r="306">
      <c r="A306" s="28"/>
      <c r="B306" s="5"/>
      <c r="C306" s="48"/>
    </row>
    <row r="307">
      <c r="A307" s="28"/>
      <c r="B307" s="5"/>
      <c r="C307" s="48"/>
    </row>
    <row r="308">
      <c r="A308" s="28"/>
      <c r="B308" s="5"/>
      <c r="C308" s="48"/>
    </row>
    <row r="309">
      <c r="A309" s="28"/>
      <c r="B309" s="5"/>
      <c r="C309" s="48"/>
    </row>
    <row r="310">
      <c r="A310" s="28"/>
      <c r="B310" s="5"/>
      <c r="C310" s="48"/>
    </row>
    <row r="311">
      <c r="A311" s="28"/>
      <c r="B311" s="5"/>
      <c r="C311" s="48"/>
    </row>
    <row r="312">
      <c r="A312" s="28"/>
      <c r="B312" s="5"/>
      <c r="C312" s="48"/>
    </row>
    <row r="313">
      <c r="A313" s="28"/>
      <c r="B313" s="5"/>
      <c r="C313" s="48"/>
    </row>
    <row r="314">
      <c r="A314" s="28"/>
      <c r="B314" s="5"/>
      <c r="C314" s="48"/>
    </row>
    <row r="315">
      <c r="A315" s="28"/>
      <c r="B315" s="5"/>
      <c r="C315" s="48"/>
    </row>
    <row r="316">
      <c r="A316" s="28"/>
      <c r="B316" s="5"/>
      <c r="C316" s="48"/>
    </row>
    <row r="317">
      <c r="A317" s="28"/>
      <c r="B317" s="5"/>
      <c r="C317" s="48"/>
    </row>
    <row r="318">
      <c r="A318" s="28"/>
      <c r="B318" s="5"/>
      <c r="C318" s="48"/>
    </row>
    <row r="319">
      <c r="A319" s="28"/>
      <c r="B319" s="5"/>
      <c r="C319" s="48"/>
    </row>
    <row r="320">
      <c r="A320" s="28"/>
      <c r="B320" s="5"/>
      <c r="C320" s="48"/>
    </row>
    <row r="321">
      <c r="A321" s="28"/>
      <c r="B321" s="5"/>
      <c r="C321" s="48"/>
    </row>
    <row r="322">
      <c r="A322" s="28"/>
      <c r="B322" s="5"/>
      <c r="C322" s="48"/>
    </row>
    <row r="323">
      <c r="A323" s="28"/>
      <c r="B323" s="5"/>
      <c r="C323" s="48"/>
    </row>
    <row r="324">
      <c r="A324" s="28"/>
      <c r="B324" s="5"/>
      <c r="C324" s="48"/>
    </row>
    <row r="325">
      <c r="A325" s="28"/>
      <c r="B325" s="5"/>
      <c r="C325" s="48"/>
    </row>
    <row r="326">
      <c r="A326" s="28"/>
      <c r="B326" s="5"/>
      <c r="C326" s="48"/>
    </row>
    <row r="327">
      <c r="A327" s="28"/>
      <c r="B327" s="5"/>
      <c r="C327" s="48"/>
    </row>
    <row r="328">
      <c r="A328" s="28"/>
      <c r="B328" s="5"/>
      <c r="C328" s="48"/>
    </row>
    <row r="329">
      <c r="A329" s="28"/>
      <c r="B329" s="5"/>
      <c r="C329" s="48"/>
    </row>
    <row r="330">
      <c r="A330" s="28"/>
      <c r="B330" s="5"/>
      <c r="C330" s="48"/>
    </row>
    <row r="331">
      <c r="A331" s="28"/>
      <c r="B331" s="5"/>
      <c r="C331" s="48"/>
    </row>
    <row r="332">
      <c r="A332" s="28"/>
      <c r="B332" s="5"/>
      <c r="C332" s="48"/>
    </row>
    <row r="333">
      <c r="A333" s="28"/>
      <c r="B333" s="5"/>
      <c r="C333" s="48"/>
    </row>
    <row r="334">
      <c r="A334" s="28"/>
      <c r="B334" s="5"/>
      <c r="C334" s="48"/>
    </row>
    <row r="335">
      <c r="A335" s="28"/>
      <c r="B335" s="5"/>
      <c r="C335" s="48"/>
    </row>
    <row r="336">
      <c r="A336" s="28"/>
      <c r="B336" s="5"/>
      <c r="C336" s="48"/>
    </row>
    <row r="337">
      <c r="A337" s="28"/>
      <c r="B337" s="5"/>
      <c r="C337" s="48"/>
    </row>
    <row r="338">
      <c r="A338" s="28"/>
      <c r="B338" s="5"/>
      <c r="C338" s="48"/>
    </row>
    <row r="339">
      <c r="A339" s="28"/>
      <c r="B339" s="5"/>
      <c r="C339" s="48"/>
    </row>
    <row r="340">
      <c r="A340" s="28"/>
      <c r="B340" s="5"/>
      <c r="C340" s="48"/>
    </row>
    <row r="341">
      <c r="A341" s="28"/>
      <c r="B341" s="5"/>
      <c r="C341" s="48"/>
    </row>
    <row r="342">
      <c r="A342" s="28"/>
      <c r="B342" s="5"/>
      <c r="C342" s="48"/>
    </row>
    <row r="343">
      <c r="A343" s="28"/>
      <c r="B343" s="5"/>
      <c r="C343" s="48"/>
    </row>
    <row r="344">
      <c r="A344" s="28"/>
      <c r="B344" s="5"/>
      <c r="C344" s="48"/>
    </row>
    <row r="345">
      <c r="A345" s="28"/>
      <c r="B345" s="5"/>
      <c r="C345" s="48"/>
    </row>
    <row r="346">
      <c r="A346" s="28"/>
      <c r="B346" s="5"/>
      <c r="C346" s="48"/>
    </row>
    <row r="347">
      <c r="A347" s="28"/>
      <c r="B347" s="5"/>
      <c r="C347" s="48"/>
    </row>
    <row r="348">
      <c r="A348" s="28"/>
      <c r="B348" s="5"/>
      <c r="C348" s="48"/>
    </row>
    <row r="349">
      <c r="A349" s="28"/>
      <c r="B349" s="5"/>
      <c r="C349" s="48"/>
    </row>
    <row r="350">
      <c r="A350" s="28"/>
      <c r="B350" s="5"/>
      <c r="C350" s="48"/>
    </row>
    <row r="351">
      <c r="A351" s="28"/>
      <c r="B351" s="5"/>
      <c r="C351" s="48"/>
    </row>
    <row r="352">
      <c r="A352" s="28"/>
      <c r="B352" s="5"/>
      <c r="C352" s="48"/>
    </row>
    <row r="353">
      <c r="A353" s="28"/>
      <c r="B353" s="5"/>
      <c r="C353" s="48"/>
    </row>
    <row r="354">
      <c r="A354" s="28"/>
      <c r="B354" s="5"/>
      <c r="C354" s="48"/>
    </row>
    <row r="355">
      <c r="A355" s="28"/>
      <c r="B355" s="5"/>
      <c r="C355" s="48"/>
    </row>
    <row r="356">
      <c r="A356" s="28"/>
      <c r="B356" s="5"/>
      <c r="C356" s="48"/>
    </row>
    <row r="357">
      <c r="A357" s="28"/>
      <c r="B357" s="5"/>
      <c r="C357" s="48"/>
    </row>
    <row r="358">
      <c r="A358" s="28"/>
      <c r="B358" s="5"/>
      <c r="C358" s="48"/>
    </row>
    <row r="359">
      <c r="A359" s="28"/>
      <c r="B359" s="5"/>
      <c r="C359" s="48"/>
    </row>
    <row r="360">
      <c r="A360" s="28"/>
      <c r="B360" s="5"/>
      <c r="C360" s="48"/>
    </row>
    <row r="361">
      <c r="A361" s="28"/>
      <c r="B361" s="5"/>
      <c r="C361" s="48"/>
    </row>
    <row r="362">
      <c r="A362" s="28"/>
      <c r="B362" s="5"/>
      <c r="C362" s="48"/>
    </row>
    <row r="363">
      <c r="A363" s="28"/>
      <c r="B363" s="5"/>
      <c r="C363" s="48"/>
    </row>
    <row r="364">
      <c r="A364" s="28"/>
      <c r="B364" s="5"/>
      <c r="C364" s="48"/>
    </row>
    <row r="365">
      <c r="A365" s="28"/>
      <c r="B365" s="5"/>
      <c r="C365" s="48"/>
    </row>
    <row r="366">
      <c r="A366" s="28"/>
      <c r="B366" s="5"/>
      <c r="C366" s="48"/>
    </row>
    <row r="367">
      <c r="A367" s="28"/>
      <c r="B367" s="5"/>
      <c r="C367" s="48"/>
    </row>
    <row r="368">
      <c r="A368" s="28"/>
      <c r="B368" s="5"/>
      <c r="C368" s="48"/>
    </row>
    <row r="369">
      <c r="A369" s="28"/>
      <c r="B369" s="5"/>
      <c r="C369" s="48"/>
    </row>
    <row r="370">
      <c r="A370" s="28"/>
      <c r="B370" s="5"/>
      <c r="C370" s="48"/>
    </row>
    <row r="371">
      <c r="A371" s="28"/>
      <c r="B371" s="5"/>
      <c r="C371" s="48"/>
    </row>
    <row r="372">
      <c r="A372" s="28"/>
      <c r="B372" s="5"/>
      <c r="C372" s="48"/>
    </row>
    <row r="373">
      <c r="A373" s="28"/>
      <c r="B373" s="5"/>
      <c r="C373" s="48"/>
    </row>
    <row r="374">
      <c r="A374" s="28"/>
      <c r="B374" s="5"/>
      <c r="C374" s="48"/>
    </row>
    <row r="375">
      <c r="A375" s="28"/>
      <c r="B375" s="5"/>
      <c r="C375" s="48"/>
    </row>
    <row r="376">
      <c r="A376" s="28"/>
      <c r="B376" s="5"/>
      <c r="C376" s="48"/>
    </row>
    <row r="377">
      <c r="A377" s="28"/>
      <c r="B377" s="5"/>
      <c r="C377" s="48"/>
    </row>
    <row r="378">
      <c r="A378" s="28"/>
      <c r="B378" s="5"/>
      <c r="C378" s="48"/>
    </row>
    <row r="379">
      <c r="A379" s="28"/>
      <c r="B379" s="5"/>
      <c r="C379" s="48"/>
    </row>
    <row r="380">
      <c r="A380" s="28"/>
      <c r="B380" s="5"/>
      <c r="C380" s="48"/>
    </row>
    <row r="381">
      <c r="A381" s="28"/>
      <c r="B381" s="5"/>
      <c r="C381" s="48"/>
    </row>
    <row r="382">
      <c r="A382" s="28"/>
      <c r="B382" s="5"/>
      <c r="C382" s="48"/>
    </row>
    <row r="383">
      <c r="A383" s="28"/>
      <c r="B383" s="5"/>
      <c r="C383" s="48"/>
    </row>
    <row r="384">
      <c r="A384" s="28"/>
      <c r="B384" s="5"/>
      <c r="C384" s="48"/>
    </row>
    <row r="385">
      <c r="A385" s="28"/>
      <c r="B385" s="5"/>
      <c r="C385" s="48"/>
    </row>
    <row r="386">
      <c r="A386" s="28"/>
      <c r="B386" s="5"/>
      <c r="C386" s="48"/>
    </row>
    <row r="387">
      <c r="A387" s="28"/>
      <c r="B387" s="5"/>
      <c r="C387" s="48"/>
    </row>
    <row r="388">
      <c r="A388" s="28"/>
      <c r="B388" s="5"/>
      <c r="C388" s="48"/>
    </row>
    <row r="389">
      <c r="A389" s="28"/>
      <c r="B389" s="5"/>
      <c r="C389" s="48"/>
    </row>
    <row r="390">
      <c r="A390" s="28"/>
      <c r="B390" s="5"/>
      <c r="C390" s="48"/>
    </row>
    <row r="391">
      <c r="A391" s="28"/>
      <c r="B391" s="5"/>
      <c r="C391" s="48"/>
    </row>
    <row r="392">
      <c r="A392" s="28"/>
      <c r="B392" s="5"/>
      <c r="C392" s="48"/>
    </row>
    <row r="393">
      <c r="A393" s="28"/>
      <c r="B393" s="5"/>
      <c r="C393" s="48"/>
    </row>
    <row r="394">
      <c r="A394" s="28"/>
      <c r="B394" s="5"/>
      <c r="C394" s="48"/>
    </row>
    <row r="395">
      <c r="A395" s="28"/>
      <c r="B395" s="5"/>
      <c r="C395" s="48"/>
    </row>
    <row r="396">
      <c r="A396" s="28"/>
      <c r="B396" s="5"/>
      <c r="C396" s="48"/>
    </row>
    <row r="397">
      <c r="A397" s="28"/>
      <c r="B397" s="5"/>
      <c r="C397" s="48"/>
    </row>
    <row r="398">
      <c r="A398" s="28"/>
      <c r="B398" s="5"/>
      <c r="C398" s="48"/>
    </row>
    <row r="399">
      <c r="A399" s="28"/>
      <c r="B399" s="5"/>
      <c r="C399" s="48"/>
    </row>
    <row r="400">
      <c r="A400" s="28"/>
      <c r="B400" s="5"/>
      <c r="C400" s="48"/>
    </row>
    <row r="401">
      <c r="A401" s="28"/>
      <c r="B401" s="5"/>
      <c r="C401" s="48"/>
    </row>
    <row r="402">
      <c r="A402" s="28"/>
      <c r="B402" s="5"/>
      <c r="C402" s="48"/>
    </row>
    <row r="403">
      <c r="A403" s="28"/>
      <c r="B403" s="5"/>
      <c r="C403" s="48"/>
    </row>
    <row r="404">
      <c r="A404" s="28"/>
      <c r="B404" s="5"/>
      <c r="C404" s="48"/>
    </row>
    <row r="405">
      <c r="A405" s="28"/>
      <c r="B405" s="5"/>
      <c r="C405" s="48"/>
    </row>
    <row r="406">
      <c r="A406" s="28"/>
      <c r="B406" s="5"/>
      <c r="C406" s="48"/>
    </row>
    <row r="407">
      <c r="A407" s="28"/>
      <c r="B407" s="5"/>
      <c r="C407" s="48"/>
    </row>
    <row r="408">
      <c r="A408" s="28"/>
      <c r="B408" s="5"/>
      <c r="C408" s="48"/>
    </row>
    <row r="409">
      <c r="A409" s="28"/>
      <c r="B409" s="5"/>
      <c r="C409" s="48"/>
    </row>
    <row r="410">
      <c r="A410" s="28"/>
      <c r="B410" s="5"/>
      <c r="C410" s="48"/>
    </row>
    <row r="411">
      <c r="A411" s="28"/>
      <c r="B411" s="5"/>
      <c r="C411" s="48"/>
    </row>
    <row r="412">
      <c r="A412" s="28"/>
      <c r="B412" s="5"/>
      <c r="C412" s="48"/>
    </row>
    <row r="413">
      <c r="A413" s="28"/>
      <c r="B413" s="5"/>
      <c r="C413" s="48"/>
    </row>
    <row r="414">
      <c r="A414" s="28"/>
      <c r="B414" s="5"/>
      <c r="C414" s="48"/>
    </row>
    <row r="415">
      <c r="A415" s="28"/>
      <c r="B415" s="5"/>
      <c r="C415" s="48"/>
    </row>
    <row r="416">
      <c r="A416" s="28"/>
      <c r="B416" s="5"/>
      <c r="C416" s="48"/>
    </row>
    <row r="417">
      <c r="A417" s="28"/>
      <c r="B417" s="5"/>
      <c r="C417" s="48"/>
    </row>
    <row r="418">
      <c r="A418" s="28"/>
      <c r="B418" s="5"/>
      <c r="C418" s="48"/>
    </row>
    <row r="419">
      <c r="A419" s="28"/>
      <c r="B419" s="5"/>
      <c r="C419" s="48"/>
    </row>
    <row r="420">
      <c r="A420" s="28"/>
      <c r="B420" s="5"/>
      <c r="C420" s="48"/>
    </row>
    <row r="421">
      <c r="A421" s="28"/>
      <c r="B421" s="5"/>
      <c r="C421" s="48"/>
    </row>
    <row r="422">
      <c r="A422" s="28"/>
      <c r="B422" s="5"/>
      <c r="C422" s="48"/>
    </row>
    <row r="423">
      <c r="A423" s="28"/>
      <c r="B423" s="5"/>
      <c r="C423" s="48"/>
    </row>
    <row r="424">
      <c r="A424" s="28"/>
      <c r="B424" s="5"/>
      <c r="C424" s="48"/>
    </row>
    <row r="425">
      <c r="A425" s="28"/>
      <c r="B425" s="5"/>
      <c r="C425" s="48"/>
    </row>
    <row r="426">
      <c r="A426" s="28"/>
      <c r="B426" s="5"/>
      <c r="C426" s="48"/>
    </row>
    <row r="427">
      <c r="A427" s="28"/>
      <c r="B427" s="5"/>
      <c r="C427" s="48"/>
    </row>
    <row r="428">
      <c r="A428" s="28"/>
      <c r="B428" s="5"/>
      <c r="C428" s="48"/>
    </row>
    <row r="429">
      <c r="A429" s="28"/>
      <c r="B429" s="5"/>
      <c r="C429" s="48"/>
    </row>
    <row r="430">
      <c r="A430" s="28"/>
      <c r="B430" s="5"/>
      <c r="C430" s="48"/>
    </row>
    <row r="431">
      <c r="A431" s="28"/>
      <c r="B431" s="5"/>
      <c r="C431" s="48"/>
    </row>
    <row r="432">
      <c r="A432" s="28"/>
      <c r="B432" s="5"/>
      <c r="C432" s="48"/>
    </row>
    <row r="433">
      <c r="A433" s="28"/>
      <c r="B433" s="5"/>
      <c r="C433" s="48"/>
    </row>
    <row r="434">
      <c r="A434" s="28"/>
      <c r="B434" s="5"/>
      <c r="C434" s="48"/>
    </row>
    <row r="435">
      <c r="A435" s="28"/>
      <c r="B435" s="5"/>
      <c r="C435" s="48"/>
    </row>
    <row r="436">
      <c r="A436" s="28"/>
      <c r="B436" s="5"/>
      <c r="C436" s="48"/>
    </row>
    <row r="437">
      <c r="A437" s="28"/>
      <c r="B437" s="5"/>
      <c r="C437" s="48"/>
    </row>
    <row r="438">
      <c r="A438" s="28"/>
      <c r="B438" s="5"/>
      <c r="C438" s="48"/>
    </row>
    <row r="439">
      <c r="A439" s="28"/>
      <c r="B439" s="5"/>
      <c r="C439" s="48"/>
    </row>
    <row r="440">
      <c r="A440" s="28"/>
      <c r="B440" s="5"/>
      <c r="C440" s="48"/>
    </row>
    <row r="441">
      <c r="A441" s="28"/>
      <c r="B441" s="5"/>
      <c r="C441" s="48"/>
    </row>
    <row r="442">
      <c r="A442" s="28"/>
      <c r="B442" s="5"/>
      <c r="C442" s="48"/>
    </row>
    <row r="443">
      <c r="A443" s="28"/>
      <c r="B443" s="5"/>
      <c r="C443" s="48"/>
    </row>
    <row r="444">
      <c r="A444" s="28"/>
      <c r="B444" s="5"/>
      <c r="C444" s="48"/>
    </row>
    <row r="445">
      <c r="A445" s="28"/>
      <c r="B445" s="5"/>
      <c r="C445" s="48"/>
    </row>
    <row r="446">
      <c r="A446" s="28"/>
      <c r="B446" s="5"/>
      <c r="C446" s="48"/>
    </row>
    <row r="447">
      <c r="A447" s="28"/>
      <c r="B447" s="5"/>
      <c r="C447" s="48"/>
    </row>
    <row r="448">
      <c r="A448" s="28"/>
      <c r="B448" s="5"/>
      <c r="C448" s="48"/>
    </row>
    <row r="449">
      <c r="A449" s="28"/>
      <c r="B449" s="5"/>
      <c r="C449" s="48"/>
    </row>
    <row r="450">
      <c r="A450" s="28"/>
      <c r="B450" s="5"/>
      <c r="C450" s="48"/>
    </row>
    <row r="451">
      <c r="A451" s="28"/>
      <c r="B451" s="5"/>
      <c r="C451" s="48"/>
    </row>
    <row r="452">
      <c r="A452" s="28"/>
      <c r="B452" s="5"/>
      <c r="C452" s="48"/>
    </row>
    <row r="453">
      <c r="A453" s="28"/>
      <c r="B453" s="5"/>
      <c r="C453" s="48"/>
    </row>
    <row r="454">
      <c r="A454" s="28"/>
      <c r="B454" s="5"/>
      <c r="C454" s="48"/>
    </row>
    <row r="455">
      <c r="A455" s="28"/>
      <c r="B455" s="5"/>
      <c r="C455" s="48"/>
    </row>
    <row r="456">
      <c r="A456" s="28"/>
      <c r="B456" s="5"/>
      <c r="C456" s="48"/>
    </row>
    <row r="457">
      <c r="A457" s="28"/>
      <c r="B457" s="5"/>
      <c r="C457" s="48"/>
    </row>
    <row r="458">
      <c r="A458" s="28"/>
      <c r="B458" s="5"/>
      <c r="C458" s="48"/>
    </row>
    <row r="459">
      <c r="A459" s="28"/>
      <c r="B459" s="5"/>
      <c r="C459" s="48"/>
    </row>
    <row r="460">
      <c r="A460" s="28"/>
      <c r="B460" s="5"/>
      <c r="C460" s="48"/>
    </row>
    <row r="461">
      <c r="A461" s="28"/>
      <c r="B461" s="5"/>
      <c r="C461" s="48"/>
    </row>
    <row r="462">
      <c r="A462" s="28"/>
      <c r="B462" s="5"/>
      <c r="C462" s="48"/>
    </row>
    <row r="463">
      <c r="A463" s="28"/>
      <c r="B463" s="5"/>
      <c r="C463" s="48"/>
    </row>
    <row r="464">
      <c r="A464" s="28"/>
      <c r="B464" s="5"/>
      <c r="C464" s="48"/>
    </row>
    <row r="465">
      <c r="A465" s="28"/>
      <c r="B465" s="5"/>
      <c r="C465" s="48"/>
    </row>
    <row r="466">
      <c r="A466" s="28"/>
      <c r="B466" s="5"/>
      <c r="C466" s="48"/>
    </row>
    <row r="467">
      <c r="A467" s="28"/>
      <c r="B467" s="5"/>
      <c r="C467" s="48"/>
    </row>
    <row r="468">
      <c r="A468" s="28"/>
      <c r="B468" s="5"/>
      <c r="C468" s="48"/>
    </row>
    <row r="469">
      <c r="A469" s="28"/>
      <c r="B469" s="5"/>
      <c r="C469" s="48"/>
    </row>
    <row r="470">
      <c r="A470" s="28"/>
      <c r="B470" s="5"/>
      <c r="C470" s="48"/>
    </row>
    <row r="471">
      <c r="A471" s="28"/>
      <c r="B471" s="5"/>
      <c r="C471" s="48"/>
    </row>
    <row r="472">
      <c r="A472" s="28"/>
      <c r="B472" s="5"/>
      <c r="C472" s="48"/>
    </row>
    <row r="473">
      <c r="A473" s="28"/>
      <c r="B473" s="5"/>
      <c r="C473" s="48"/>
    </row>
    <row r="474">
      <c r="A474" s="28"/>
      <c r="B474" s="5"/>
      <c r="C474" s="48"/>
    </row>
    <row r="475">
      <c r="A475" s="28"/>
      <c r="B475" s="5"/>
      <c r="C475" s="48"/>
    </row>
    <row r="476">
      <c r="A476" s="28"/>
      <c r="B476" s="5"/>
      <c r="C476" s="48"/>
    </row>
    <row r="477">
      <c r="A477" s="28"/>
      <c r="B477" s="5"/>
      <c r="C477" s="48"/>
    </row>
    <row r="478">
      <c r="A478" s="28"/>
      <c r="B478" s="5"/>
      <c r="C478" s="48"/>
    </row>
    <row r="479">
      <c r="A479" s="28"/>
      <c r="B479" s="5"/>
      <c r="C479" s="48"/>
    </row>
    <row r="480">
      <c r="A480" s="28"/>
      <c r="B480" s="5"/>
      <c r="C480" s="48"/>
    </row>
    <row r="481">
      <c r="A481" s="28"/>
      <c r="B481" s="5"/>
      <c r="C481" s="48"/>
    </row>
    <row r="482">
      <c r="A482" s="28"/>
      <c r="B482" s="5"/>
      <c r="C482" s="48"/>
    </row>
    <row r="483">
      <c r="A483" s="28"/>
      <c r="B483" s="5"/>
      <c r="C483" s="48"/>
    </row>
    <row r="484">
      <c r="A484" s="28"/>
      <c r="B484" s="5"/>
      <c r="C484" s="48"/>
    </row>
    <row r="485">
      <c r="A485" s="28"/>
      <c r="B485" s="5"/>
      <c r="C485" s="48"/>
    </row>
    <row r="486">
      <c r="A486" s="28"/>
      <c r="B486" s="5"/>
      <c r="C486" s="48"/>
    </row>
    <row r="487">
      <c r="A487" s="28"/>
      <c r="B487" s="5"/>
      <c r="C487" s="48"/>
    </row>
    <row r="488">
      <c r="A488" s="28"/>
      <c r="B488" s="5"/>
      <c r="C488" s="48"/>
    </row>
    <row r="489">
      <c r="A489" s="28"/>
      <c r="B489" s="5"/>
      <c r="C489" s="48"/>
    </row>
    <row r="490">
      <c r="A490" s="28"/>
      <c r="B490" s="5"/>
      <c r="C490" s="48"/>
    </row>
    <row r="491">
      <c r="A491" s="28"/>
      <c r="B491" s="5"/>
      <c r="C491" s="48"/>
    </row>
    <row r="492">
      <c r="A492" s="28"/>
      <c r="B492" s="5"/>
      <c r="C492" s="48"/>
    </row>
    <row r="493">
      <c r="A493" s="28"/>
      <c r="B493" s="5"/>
      <c r="C493" s="48"/>
    </row>
    <row r="494">
      <c r="A494" s="28"/>
      <c r="B494" s="5"/>
      <c r="C494" s="48"/>
    </row>
    <row r="495">
      <c r="A495" s="28"/>
      <c r="B495" s="5"/>
      <c r="C495" s="48"/>
    </row>
    <row r="496">
      <c r="A496" s="28"/>
      <c r="B496" s="5"/>
      <c r="C496" s="48"/>
    </row>
    <row r="497">
      <c r="A497" s="28"/>
      <c r="B497" s="5"/>
      <c r="C497" s="48"/>
    </row>
    <row r="498">
      <c r="A498" s="28"/>
      <c r="B498" s="5"/>
      <c r="C498" s="48"/>
    </row>
    <row r="499">
      <c r="A499" s="28"/>
      <c r="B499" s="5"/>
      <c r="C499" s="48"/>
    </row>
    <row r="500">
      <c r="A500" s="28"/>
      <c r="B500" s="5"/>
      <c r="C500" s="48"/>
    </row>
    <row r="501">
      <c r="A501" s="28"/>
      <c r="B501" s="5"/>
      <c r="C501" s="48"/>
    </row>
    <row r="502">
      <c r="A502" s="28"/>
      <c r="B502" s="5"/>
      <c r="C502" s="48"/>
    </row>
    <row r="503">
      <c r="A503" s="28"/>
      <c r="B503" s="5"/>
      <c r="C503" s="48"/>
    </row>
    <row r="504">
      <c r="A504" s="28"/>
      <c r="B504" s="5"/>
      <c r="C504" s="48"/>
    </row>
    <row r="505">
      <c r="A505" s="28"/>
      <c r="B505" s="5"/>
      <c r="C505" s="48"/>
    </row>
    <row r="506">
      <c r="A506" s="28"/>
      <c r="B506" s="5"/>
      <c r="C506" s="48"/>
    </row>
    <row r="507">
      <c r="A507" s="28"/>
      <c r="B507" s="5"/>
      <c r="C507" s="48"/>
    </row>
    <row r="508">
      <c r="A508" s="28"/>
      <c r="B508" s="5"/>
      <c r="C508" s="48"/>
    </row>
    <row r="509">
      <c r="A509" s="28"/>
      <c r="B509" s="5"/>
      <c r="C509" s="48"/>
    </row>
    <row r="510">
      <c r="A510" s="28"/>
      <c r="B510" s="5"/>
      <c r="C510" s="48"/>
    </row>
    <row r="511">
      <c r="A511" s="28"/>
      <c r="B511" s="5"/>
      <c r="C511" s="48"/>
    </row>
    <row r="512">
      <c r="A512" s="28"/>
      <c r="B512" s="5"/>
      <c r="C512" s="48"/>
    </row>
    <row r="513">
      <c r="A513" s="28"/>
      <c r="B513" s="5"/>
      <c r="C513" s="48"/>
    </row>
    <row r="514">
      <c r="A514" s="28"/>
      <c r="B514" s="5"/>
      <c r="C514" s="48"/>
    </row>
    <row r="515">
      <c r="A515" s="28"/>
      <c r="B515" s="5"/>
      <c r="C515" s="48"/>
    </row>
    <row r="516">
      <c r="A516" s="28"/>
      <c r="B516" s="5"/>
      <c r="C516" s="48"/>
    </row>
    <row r="517">
      <c r="A517" s="28"/>
      <c r="B517" s="5"/>
      <c r="C517" s="48"/>
    </row>
    <row r="518">
      <c r="A518" s="28"/>
      <c r="B518" s="5"/>
      <c r="C518" s="48"/>
    </row>
    <row r="519">
      <c r="A519" s="28"/>
      <c r="B519" s="5"/>
      <c r="C519" s="48"/>
    </row>
    <row r="520">
      <c r="A520" s="28"/>
      <c r="B520" s="5"/>
      <c r="C520" s="48"/>
    </row>
    <row r="521">
      <c r="A521" s="28"/>
      <c r="B521" s="5"/>
      <c r="C521" s="48"/>
    </row>
    <row r="522">
      <c r="A522" s="28"/>
      <c r="B522" s="5"/>
      <c r="C522" s="48"/>
    </row>
    <row r="523">
      <c r="A523" s="28"/>
      <c r="B523" s="5"/>
      <c r="C523" s="48"/>
    </row>
    <row r="524">
      <c r="A524" s="28"/>
      <c r="B524" s="5"/>
      <c r="C524" s="48"/>
    </row>
    <row r="525">
      <c r="A525" s="28"/>
      <c r="B525" s="5"/>
      <c r="C525" s="48"/>
    </row>
    <row r="526">
      <c r="A526" s="28"/>
      <c r="B526" s="5"/>
      <c r="C526" s="48"/>
    </row>
    <row r="527">
      <c r="A527" s="28"/>
      <c r="B527" s="5"/>
      <c r="C527" s="48"/>
    </row>
    <row r="528">
      <c r="A528" s="28"/>
      <c r="B528" s="5"/>
      <c r="C528" s="48"/>
    </row>
    <row r="529">
      <c r="A529" s="28"/>
      <c r="B529" s="5"/>
      <c r="C529" s="48"/>
    </row>
    <row r="530">
      <c r="A530" s="28"/>
      <c r="B530" s="5"/>
      <c r="C530" s="48"/>
    </row>
    <row r="531">
      <c r="A531" s="28"/>
      <c r="B531" s="5"/>
      <c r="C531" s="48"/>
    </row>
    <row r="532">
      <c r="A532" s="28"/>
      <c r="B532" s="5"/>
      <c r="C532" s="48"/>
    </row>
    <row r="533">
      <c r="A533" s="28"/>
      <c r="B533" s="5"/>
      <c r="C533" s="48"/>
    </row>
    <row r="534">
      <c r="A534" s="28"/>
      <c r="B534" s="5"/>
      <c r="C534" s="48"/>
    </row>
    <row r="535">
      <c r="A535" s="28"/>
      <c r="B535" s="5"/>
      <c r="C535" s="48"/>
    </row>
    <row r="536">
      <c r="A536" s="28"/>
      <c r="B536" s="5"/>
      <c r="C536" s="48"/>
    </row>
    <row r="537">
      <c r="A537" s="28"/>
      <c r="B537" s="5"/>
      <c r="C537" s="48"/>
    </row>
    <row r="538">
      <c r="A538" s="28"/>
      <c r="B538" s="5"/>
      <c r="C538" s="48"/>
    </row>
    <row r="539">
      <c r="A539" s="28"/>
      <c r="B539" s="5"/>
      <c r="C539" s="48"/>
    </row>
    <row r="540">
      <c r="A540" s="28"/>
      <c r="B540" s="5"/>
      <c r="C540" s="48"/>
    </row>
    <row r="541">
      <c r="A541" s="28"/>
      <c r="B541" s="5"/>
      <c r="C541" s="48"/>
    </row>
    <row r="542">
      <c r="A542" s="28"/>
      <c r="B542" s="5"/>
      <c r="C542" s="48"/>
    </row>
    <row r="543">
      <c r="A543" s="28"/>
      <c r="B543" s="5"/>
      <c r="C543" s="48"/>
    </row>
    <row r="544">
      <c r="A544" s="28"/>
      <c r="B544" s="5"/>
      <c r="C544" s="48"/>
    </row>
    <row r="545">
      <c r="A545" s="28"/>
      <c r="B545" s="5"/>
      <c r="C545" s="48"/>
    </row>
    <row r="546">
      <c r="A546" s="28"/>
      <c r="B546" s="5"/>
      <c r="C546" s="48"/>
    </row>
    <row r="547">
      <c r="A547" s="28"/>
      <c r="B547" s="5"/>
      <c r="C547" s="48"/>
    </row>
    <row r="548">
      <c r="A548" s="28"/>
      <c r="B548" s="5"/>
      <c r="C548" s="48"/>
    </row>
    <row r="549">
      <c r="A549" s="28"/>
      <c r="B549" s="5"/>
      <c r="C549" s="48"/>
    </row>
    <row r="550">
      <c r="A550" s="28"/>
      <c r="B550" s="5"/>
      <c r="C550" s="48"/>
    </row>
    <row r="551">
      <c r="A551" s="28"/>
      <c r="B551" s="5"/>
      <c r="C551" s="48"/>
    </row>
    <row r="552">
      <c r="A552" s="28"/>
      <c r="B552" s="5"/>
      <c r="C552" s="48"/>
    </row>
    <row r="553">
      <c r="A553" s="28"/>
      <c r="B553" s="5"/>
      <c r="C553" s="48"/>
    </row>
    <row r="554">
      <c r="A554" s="28"/>
      <c r="B554" s="5"/>
      <c r="C554" s="48"/>
    </row>
    <row r="555">
      <c r="A555" s="28"/>
      <c r="B555" s="5"/>
      <c r="C555" s="48"/>
    </row>
    <row r="556">
      <c r="A556" s="28"/>
      <c r="B556" s="5"/>
      <c r="C556" s="48"/>
    </row>
    <row r="557">
      <c r="A557" s="28"/>
      <c r="B557" s="5"/>
      <c r="C557" s="48"/>
    </row>
    <row r="558">
      <c r="A558" s="28"/>
      <c r="B558" s="5"/>
      <c r="C558" s="48"/>
    </row>
    <row r="559">
      <c r="A559" s="28"/>
      <c r="B559" s="5"/>
      <c r="C559" s="48"/>
    </row>
    <row r="560">
      <c r="A560" s="28"/>
      <c r="B560" s="5"/>
      <c r="C560" s="48"/>
    </row>
    <row r="561">
      <c r="A561" s="28"/>
      <c r="B561" s="5"/>
      <c r="C561" s="48"/>
    </row>
    <row r="562">
      <c r="A562" s="28"/>
      <c r="B562" s="5"/>
      <c r="C562" s="48"/>
    </row>
    <row r="563">
      <c r="A563" s="28"/>
      <c r="B563" s="5"/>
      <c r="C563" s="48"/>
    </row>
    <row r="564">
      <c r="A564" s="28"/>
      <c r="B564" s="5"/>
      <c r="C564" s="48"/>
    </row>
    <row r="565">
      <c r="A565" s="28"/>
      <c r="B565" s="5"/>
      <c r="C565" s="48"/>
    </row>
    <row r="566">
      <c r="A566" s="28"/>
      <c r="B566" s="5"/>
      <c r="C566" s="48"/>
    </row>
    <row r="567">
      <c r="A567" s="28"/>
      <c r="B567" s="5"/>
      <c r="C567" s="48"/>
    </row>
    <row r="568">
      <c r="A568" s="28"/>
      <c r="B568" s="5"/>
      <c r="C568" s="48"/>
    </row>
    <row r="569">
      <c r="A569" s="28"/>
      <c r="B569" s="5"/>
      <c r="C569" s="48"/>
    </row>
    <row r="570">
      <c r="A570" s="28"/>
      <c r="B570" s="5"/>
      <c r="C570" s="48"/>
    </row>
    <row r="571">
      <c r="A571" s="28"/>
      <c r="B571" s="5"/>
      <c r="C571" s="48"/>
    </row>
    <row r="572">
      <c r="A572" s="28"/>
      <c r="B572" s="5"/>
      <c r="C572" s="48"/>
    </row>
    <row r="573">
      <c r="A573" s="28"/>
      <c r="B573" s="5"/>
      <c r="C573" s="48"/>
    </row>
    <row r="574">
      <c r="A574" s="28"/>
      <c r="B574" s="5"/>
      <c r="C574" s="48"/>
    </row>
    <row r="575">
      <c r="A575" s="28"/>
      <c r="B575" s="5"/>
      <c r="C575" s="48"/>
    </row>
    <row r="576">
      <c r="A576" s="28"/>
      <c r="B576" s="5"/>
      <c r="C576" s="48"/>
    </row>
    <row r="577">
      <c r="A577" s="28"/>
      <c r="B577" s="5"/>
      <c r="C577" s="48"/>
    </row>
    <row r="578">
      <c r="A578" s="28"/>
      <c r="B578" s="5"/>
      <c r="C578" s="48"/>
    </row>
    <row r="579">
      <c r="A579" s="28"/>
      <c r="B579" s="5"/>
      <c r="C579" s="48"/>
    </row>
    <row r="580">
      <c r="A580" s="28"/>
      <c r="B580" s="5"/>
      <c r="C580" s="48"/>
    </row>
    <row r="581">
      <c r="A581" s="28"/>
      <c r="B581" s="5"/>
      <c r="C581" s="48"/>
    </row>
    <row r="582">
      <c r="A582" s="28"/>
      <c r="B582" s="5"/>
      <c r="C582" s="48"/>
    </row>
    <row r="583">
      <c r="A583" s="28"/>
      <c r="B583" s="5"/>
      <c r="C583" s="48"/>
    </row>
    <row r="584">
      <c r="A584" s="28"/>
      <c r="B584" s="5"/>
      <c r="C584" s="48"/>
    </row>
    <row r="585">
      <c r="A585" s="28"/>
      <c r="B585" s="5"/>
      <c r="C585" s="48"/>
    </row>
    <row r="586">
      <c r="A586" s="28"/>
      <c r="B586" s="5"/>
      <c r="C586" s="48"/>
    </row>
    <row r="587">
      <c r="A587" s="28"/>
      <c r="B587" s="5"/>
      <c r="C587" s="48"/>
    </row>
    <row r="588">
      <c r="A588" s="28"/>
      <c r="B588" s="5"/>
      <c r="C588" s="48"/>
    </row>
    <row r="589">
      <c r="A589" s="28"/>
      <c r="B589" s="5"/>
      <c r="C589" s="48"/>
    </row>
    <row r="590">
      <c r="A590" s="28"/>
      <c r="B590" s="5"/>
      <c r="C590" s="48"/>
    </row>
    <row r="591">
      <c r="A591" s="28"/>
      <c r="B591" s="5"/>
      <c r="C591" s="48"/>
    </row>
    <row r="592">
      <c r="A592" s="28"/>
      <c r="B592" s="5"/>
      <c r="C592" s="48"/>
    </row>
    <row r="593">
      <c r="A593" s="28"/>
      <c r="B593" s="5"/>
      <c r="C593" s="48"/>
    </row>
    <row r="594">
      <c r="A594" s="28"/>
      <c r="B594" s="5"/>
      <c r="C594" s="48"/>
    </row>
    <row r="595">
      <c r="A595" s="28"/>
      <c r="B595" s="5"/>
      <c r="C595" s="48"/>
    </row>
    <row r="596">
      <c r="A596" s="28"/>
      <c r="B596" s="5"/>
      <c r="C596" s="48"/>
    </row>
    <row r="597">
      <c r="A597" s="28"/>
      <c r="B597" s="5"/>
      <c r="C597" s="48"/>
    </row>
    <row r="598">
      <c r="A598" s="28"/>
      <c r="B598" s="5"/>
      <c r="C598" s="48"/>
    </row>
    <row r="599">
      <c r="A599" s="28"/>
      <c r="B599" s="5"/>
      <c r="C599" s="48"/>
    </row>
    <row r="600">
      <c r="A600" s="28"/>
      <c r="B600" s="5"/>
      <c r="C600" s="48"/>
    </row>
    <row r="601">
      <c r="A601" s="28"/>
      <c r="B601" s="5"/>
      <c r="C601" s="48"/>
    </row>
    <row r="602">
      <c r="A602" s="28"/>
      <c r="B602" s="5"/>
      <c r="C602" s="48"/>
    </row>
    <row r="603">
      <c r="A603" s="28"/>
      <c r="B603" s="5"/>
      <c r="C603" s="48"/>
    </row>
    <row r="604">
      <c r="A604" s="28"/>
      <c r="B604" s="5"/>
      <c r="C604" s="48"/>
    </row>
    <row r="605">
      <c r="A605" s="28"/>
      <c r="B605" s="5"/>
      <c r="C605" s="48"/>
    </row>
    <row r="606">
      <c r="A606" s="28"/>
      <c r="B606" s="5"/>
      <c r="C606" s="48"/>
    </row>
    <row r="607">
      <c r="A607" s="28"/>
      <c r="B607" s="5"/>
      <c r="C607" s="48"/>
    </row>
    <row r="608">
      <c r="A608" s="28"/>
      <c r="B608" s="5"/>
      <c r="C608" s="48"/>
    </row>
    <row r="609">
      <c r="A609" s="28"/>
      <c r="B609" s="5"/>
      <c r="C609" s="48"/>
    </row>
    <row r="610">
      <c r="A610" s="28"/>
      <c r="B610" s="5"/>
      <c r="C610" s="48"/>
    </row>
    <row r="611">
      <c r="A611" s="28"/>
      <c r="B611" s="5"/>
      <c r="C611" s="48"/>
    </row>
    <row r="612">
      <c r="A612" s="28"/>
      <c r="B612" s="5"/>
      <c r="C612" s="48"/>
    </row>
    <row r="613">
      <c r="A613" s="28"/>
      <c r="B613" s="5"/>
      <c r="C613" s="48"/>
    </row>
    <row r="614">
      <c r="A614" s="28"/>
      <c r="B614" s="5"/>
      <c r="C614" s="48"/>
    </row>
    <row r="615">
      <c r="A615" s="28"/>
      <c r="B615" s="5"/>
      <c r="C615" s="48"/>
    </row>
    <row r="616">
      <c r="A616" s="28"/>
      <c r="B616" s="5"/>
      <c r="C616" s="48"/>
    </row>
    <row r="617">
      <c r="A617" s="28"/>
      <c r="B617" s="5"/>
      <c r="C617" s="48"/>
    </row>
    <row r="618">
      <c r="A618" s="28"/>
      <c r="B618" s="5"/>
      <c r="C618" s="48"/>
    </row>
    <row r="619">
      <c r="A619" s="28"/>
      <c r="B619" s="5"/>
      <c r="C619" s="48"/>
    </row>
    <row r="620">
      <c r="A620" s="28"/>
      <c r="B620" s="5"/>
      <c r="C620" s="48"/>
    </row>
    <row r="621">
      <c r="A621" s="28"/>
      <c r="B621" s="5"/>
      <c r="C621" s="48"/>
    </row>
    <row r="622">
      <c r="A622" s="28"/>
      <c r="B622" s="5"/>
      <c r="C622" s="48"/>
    </row>
    <row r="623">
      <c r="A623" s="28"/>
      <c r="B623" s="5"/>
      <c r="C623" s="48"/>
    </row>
    <row r="624">
      <c r="A624" s="28"/>
      <c r="B624" s="5"/>
      <c r="C624" s="48"/>
    </row>
    <row r="625">
      <c r="A625" s="28"/>
      <c r="B625" s="5"/>
      <c r="C625" s="48"/>
    </row>
    <row r="626">
      <c r="A626" s="28"/>
      <c r="B626" s="5"/>
      <c r="C626" s="48"/>
    </row>
    <row r="627">
      <c r="A627" s="28"/>
      <c r="B627" s="5"/>
      <c r="C627" s="48"/>
    </row>
    <row r="628">
      <c r="A628" s="28"/>
      <c r="B628" s="5"/>
      <c r="C628" s="48"/>
    </row>
    <row r="629">
      <c r="A629" s="28"/>
      <c r="B629" s="5"/>
      <c r="C629" s="48"/>
    </row>
    <row r="630">
      <c r="A630" s="28"/>
      <c r="B630" s="5"/>
      <c r="C630" s="48"/>
    </row>
    <row r="631">
      <c r="A631" s="28"/>
      <c r="B631" s="5"/>
      <c r="C631" s="48"/>
    </row>
    <row r="632">
      <c r="A632" s="28"/>
      <c r="B632" s="5"/>
      <c r="C632" s="48"/>
    </row>
    <row r="633">
      <c r="A633" s="28"/>
      <c r="B633" s="5"/>
      <c r="C633" s="48"/>
    </row>
    <row r="634">
      <c r="A634" s="28"/>
      <c r="B634" s="5"/>
      <c r="C634" s="48"/>
    </row>
    <row r="635">
      <c r="A635" s="28"/>
      <c r="B635" s="5"/>
      <c r="C635" s="48"/>
    </row>
    <row r="636">
      <c r="A636" s="28"/>
      <c r="B636" s="5"/>
      <c r="C636" s="48"/>
    </row>
    <row r="637">
      <c r="A637" s="28"/>
      <c r="B637" s="5"/>
      <c r="C637" s="48"/>
    </row>
    <row r="638">
      <c r="A638" s="28"/>
      <c r="B638" s="5"/>
      <c r="C638" s="48"/>
    </row>
    <row r="639">
      <c r="A639" s="28"/>
      <c r="B639" s="5"/>
      <c r="C639" s="48"/>
    </row>
    <row r="640">
      <c r="A640" s="28"/>
      <c r="B640" s="5"/>
      <c r="C640" s="48"/>
    </row>
    <row r="641">
      <c r="A641" s="28"/>
      <c r="B641" s="5"/>
      <c r="C641" s="48"/>
    </row>
    <row r="642">
      <c r="A642" s="28"/>
      <c r="B642" s="5"/>
      <c r="C642" s="48"/>
    </row>
    <row r="643">
      <c r="A643" s="28"/>
      <c r="B643" s="5"/>
      <c r="C643" s="48"/>
    </row>
    <row r="644">
      <c r="A644" s="28"/>
      <c r="B644" s="5"/>
      <c r="C644" s="48"/>
    </row>
    <row r="645">
      <c r="A645" s="28"/>
      <c r="B645" s="5"/>
      <c r="C645" s="48"/>
    </row>
    <row r="646">
      <c r="A646" s="28"/>
      <c r="B646" s="5"/>
      <c r="C646" s="48"/>
    </row>
    <row r="647">
      <c r="A647" s="28"/>
      <c r="B647" s="5"/>
      <c r="C647" s="48"/>
    </row>
    <row r="648">
      <c r="A648" s="28"/>
      <c r="B648" s="5"/>
      <c r="C648" s="48"/>
    </row>
    <row r="649">
      <c r="A649" s="28"/>
      <c r="B649" s="5"/>
      <c r="C649" s="48"/>
    </row>
    <row r="650">
      <c r="A650" s="28"/>
      <c r="B650" s="5"/>
      <c r="C650" s="48"/>
    </row>
    <row r="651">
      <c r="A651" s="28"/>
      <c r="B651" s="5"/>
      <c r="C651" s="48"/>
    </row>
    <row r="652">
      <c r="A652" s="28"/>
      <c r="B652" s="5"/>
      <c r="C652" s="48"/>
    </row>
    <row r="653">
      <c r="A653" s="28"/>
      <c r="B653" s="5"/>
      <c r="C653" s="48"/>
    </row>
    <row r="654">
      <c r="A654" s="28"/>
      <c r="B654" s="5"/>
      <c r="C654" s="48"/>
    </row>
    <row r="655">
      <c r="A655" s="28"/>
      <c r="B655" s="5"/>
      <c r="C655" s="48"/>
    </row>
    <row r="656">
      <c r="A656" s="28"/>
      <c r="B656" s="5"/>
      <c r="C656" s="48"/>
    </row>
    <row r="657">
      <c r="A657" s="28"/>
      <c r="B657" s="5"/>
      <c r="C657" s="48"/>
    </row>
    <row r="658">
      <c r="A658" s="28"/>
      <c r="B658" s="5"/>
      <c r="C658" s="48"/>
    </row>
    <row r="659">
      <c r="A659" s="28"/>
      <c r="B659" s="5"/>
      <c r="C659" s="48"/>
    </row>
    <row r="660">
      <c r="A660" s="28"/>
      <c r="B660" s="5"/>
      <c r="C660" s="48"/>
    </row>
    <row r="661">
      <c r="A661" s="28"/>
      <c r="B661" s="5"/>
      <c r="C661" s="48"/>
    </row>
    <row r="662">
      <c r="A662" s="28"/>
      <c r="B662" s="5"/>
      <c r="C662" s="48"/>
    </row>
    <row r="663">
      <c r="A663" s="28"/>
      <c r="B663" s="5"/>
      <c r="C663" s="48"/>
    </row>
    <row r="664">
      <c r="A664" s="28"/>
      <c r="B664" s="5"/>
      <c r="C664" s="48"/>
    </row>
    <row r="665">
      <c r="A665" s="28"/>
      <c r="B665" s="5"/>
      <c r="C665" s="48"/>
    </row>
    <row r="666">
      <c r="A666" s="28"/>
      <c r="B666" s="5"/>
      <c r="C666" s="48"/>
    </row>
    <row r="667">
      <c r="A667" s="28"/>
      <c r="B667" s="5"/>
      <c r="C667" s="48"/>
    </row>
    <row r="668">
      <c r="A668" s="28"/>
      <c r="B668" s="5"/>
      <c r="C668" s="48"/>
    </row>
    <row r="669">
      <c r="A669" s="28"/>
      <c r="B669" s="5"/>
      <c r="C669" s="48"/>
    </row>
    <row r="670">
      <c r="A670" s="28"/>
      <c r="B670" s="5"/>
      <c r="C670" s="48"/>
    </row>
    <row r="671">
      <c r="A671" s="28"/>
      <c r="B671" s="5"/>
      <c r="C671" s="48"/>
    </row>
    <row r="672">
      <c r="A672" s="28"/>
      <c r="B672" s="5"/>
      <c r="C672" s="48"/>
    </row>
    <row r="673">
      <c r="A673" s="28"/>
      <c r="B673" s="5"/>
      <c r="C673" s="48"/>
    </row>
    <row r="674">
      <c r="A674" s="28"/>
      <c r="B674" s="5"/>
      <c r="C674" s="48"/>
    </row>
    <row r="675">
      <c r="A675" s="28"/>
      <c r="B675" s="5"/>
      <c r="C675" s="48"/>
    </row>
    <row r="676">
      <c r="A676" s="28"/>
      <c r="B676" s="5"/>
      <c r="C676" s="48"/>
    </row>
    <row r="677">
      <c r="A677" s="28"/>
      <c r="B677" s="5"/>
      <c r="C677" s="48"/>
    </row>
    <row r="678">
      <c r="A678" s="28"/>
      <c r="B678" s="5"/>
      <c r="C678" s="48"/>
    </row>
    <row r="679">
      <c r="A679" s="28"/>
      <c r="B679" s="5"/>
      <c r="C679" s="48"/>
    </row>
    <row r="680">
      <c r="A680" s="28"/>
      <c r="B680" s="5"/>
      <c r="C680" s="48"/>
    </row>
    <row r="681">
      <c r="A681" s="28"/>
      <c r="B681" s="5"/>
      <c r="C681" s="48"/>
    </row>
    <row r="682">
      <c r="A682" s="28"/>
      <c r="B682" s="5"/>
      <c r="C682" s="48"/>
    </row>
    <row r="683">
      <c r="A683" s="28"/>
      <c r="B683" s="5"/>
      <c r="C683" s="48"/>
    </row>
    <row r="684">
      <c r="A684" s="28"/>
      <c r="B684" s="5"/>
      <c r="C684" s="48"/>
    </row>
    <row r="685">
      <c r="A685" s="28"/>
      <c r="B685" s="5"/>
      <c r="C685" s="48"/>
    </row>
    <row r="686">
      <c r="A686" s="28"/>
      <c r="B686" s="5"/>
      <c r="C686" s="48"/>
    </row>
    <row r="687">
      <c r="A687" s="28"/>
      <c r="B687" s="5"/>
      <c r="C687" s="48"/>
    </row>
    <row r="688">
      <c r="A688" s="28"/>
      <c r="B688" s="5"/>
      <c r="C688" s="48"/>
    </row>
    <row r="689">
      <c r="A689" s="28"/>
      <c r="B689" s="5"/>
      <c r="C689" s="48"/>
    </row>
    <row r="690">
      <c r="A690" s="28"/>
      <c r="B690" s="5"/>
      <c r="C690" s="48"/>
    </row>
    <row r="691">
      <c r="A691" s="28"/>
      <c r="B691" s="5"/>
      <c r="C691" s="48"/>
    </row>
    <row r="692">
      <c r="A692" s="28"/>
      <c r="B692" s="5"/>
      <c r="C692" s="48"/>
    </row>
    <row r="693">
      <c r="A693" s="28"/>
      <c r="B693" s="5"/>
      <c r="C693" s="48"/>
    </row>
    <row r="694">
      <c r="A694" s="28"/>
      <c r="B694" s="5"/>
      <c r="C694" s="48"/>
    </row>
    <row r="695">
      <c r="A695" s="28"/>
      <c r="B695" s="5"/>
      <c r="C695" s="48"/>
    </row>
    <row r="696">
      <c r="A696" s="28"/>
      <c r="B696" s="5"/>
      <c r="C696" s="48"/>
    </row>
    <row r="697">
      <c r="A697" s="28"/>
      <c r="B697" s="5"/>
      <c r="C697" s="48"/>
    </row>
    <row r="698">
      <c r="A698" s="28"/>
      <c r="B698" s="5"/>
      <c r="C698" s="48"/>
    </row>
    <row r="699">
      <c r="A699" s="28"/>
      <c r="B699" s="5"/>
      <c r="C699" s="48"/>
    </row>
    <row r="700">
      <c r="A700" s="28"/>
      <c r="B700" s="5"/>
      <c r="C700" s="48"/>
    </row>
    <row r="701">
      <c r="A701" s="28"/>
      <c r="B701" s="5"/>
      <c r="C701" s="48"/>
    </row>
    <row r="702">
      <c r="A702" s="28"/>
      <c r="B702" s="5"/>
      <c r="C702" s="48"/>
    </row>
    <row r="703">
      <c r="A703" s="28"/>
      <c r="B703" s="5"/>
      <c r="C703" s="48"/>
    </row>
    <row r="704">
      <c r="A704" s="28"/>
      <c r="B704" s="5"/>
      <c r="C704" s="48"/>
    </row>
    <row r="705">
      <c r="A705" s="28"/>
      <c r="B705" s="5"/>
      <c r="C705" s="48"/>
    </row>
    <row r="706">
      <c r="A706" s="28"/>
      <c r="B706" s="5"/>
      <c r="C706" s="48"/>
    </row>
    <row r="707">
      <c r="A707" s="28"/>
      <c r="B707" s="5"/>
      <c r="C707" s="48"/>
    </row>
    <row r="708">
      <c r="A708" s="28"/>
      <c r="B708" s="5"/>
      <c r="C708" s="48"/>
    </row>
    <row r="709">
      <c r="A709" s="28"/>
      <c r="B709" s="5"/>
      <c r="C709" s="48"/>
    </row>
    <row r="710">
      <c r="A710" s="28"/>
      <c r="B710" s="5"/>
      <c r="C710" s="48"/>
    </row>
    <row r="711">
      <c r="A711" s="28"/>
      <c r="B711" s="5"/>
      <c r="C711" s="48"/>
    </row>
    <row r="712">
      <c r="A712" s="28"/>
      <c r="B712" s="5"/>
      <c r="C712" s="48"/>
    </row>
    <row r="713">
      <c r="A713" s="28"/>
      <c r="B713" s="5"/>
      <c r="C713" s="48"/>
    </row>
    <row r="714">
      <c r="A714" s="28"/>
      <c r="B714" s="5"/>
      <c r="C714" s="48"/>
    </row>
    <row r="715">
      <c r="A715" s="28"/>
      <c r="B715" s="5"/>
      <c r="C715" s="48"/>
    </row>
    <row r="716">
      <c r="A716" s="28"/>
      <c r="B716" s="5"/>
      <c r="C716" s="48"/>
    </row>
    <row r="717">
      <c r="A717" s="28"/>
      <c r="B717" s="5"/>
      <c r="C717" s="48"/>
    </row>
    <row r="718">
      <c r="A718" s="28"/>
      <c r="B718" s="5"/>
      <c r="C718" s="48"/>
    </row>
    <row r="719">
      <c r="A719" s="28"/>
      <c r="B719" s="5"/>
      <c r="C719" s="48"/>
    </row>
    <row r="720">
      <c r="A720" s="28"/>
      <c r="B720" s="5"/>
      <c r="C720" s="48"/>
    </row>
    <row r="721">
      <c r="A721" s="28"/>
      <c r="B721" s="5"/>
      <c r="C721" s="48"/>
    </row>
    <row r="722">
      <c r="A722" s="28"/>
      <c r="B722" s="5"/>
      <c r="C722" s="48"/>
    </row>
    <row r="723">
      <c r="A723" s="28"/>
      <c r="B723" s="5"/>
      <c r="C723" s="48"/>
    </row>
    <row r="724">
      <c r="A724" s="28"/>
      <c r="B724" s="5"/>
      <c r="C724" s="48"/>
    </row>
    <row r="725">
      <c r="A725" s="28"/>
      <c r="B725" s="5"/>
      <c r="C725" s="48"/>
    </row>
    <row r="726">
      <c r="A726" s="28"/>
      <c r="B726" s="5"/>
      <c r="C726" s="48"/>
    </row>
    <row r="727">
      <c r="A727" s="28"/>
      <c r="B727" s="5"/>
      <c r="C727" s="48"/>
    </row>
    <row r="728">
      <c r="A728" s="28"/>
      <c r="B728" s="5"/>
      <c r="C728" s="48"/>
    </row>
    <row r="729">
      <c r="A729" s="28"/>
      <c r="B729" s="5"/>
      <c r="C729" s="48"/>
    </row>
    <row r="730">
      <c r="A730" s="28"/>
      <c r="B730" s="5"/>
      <c r="C730" s="48"/>
    </row>
    <row r="731">
      <c r="A731" s="28"/>
      <c r="B731" s="5"/>
      <c r="C731" s="48"/>
    </row>
    <row r="732">
      <c r="A732" s="28"/>
      <c r="B732" s="5"/>
      <c r="C732" s="48"/>
    </row>
    <row r="733">
      <c r="A733" s="28"/>
      <c r="B733" s="5"/>
      <c r="C733" s="48"/>
    </row>
    <row r="734">
      <c r="A734" s="28"/>
      <c r="B734" s="5"/>
      <c r="C734" s="48"/>
    </row>
    <row r="735">
      <c r="A735" s="28"/>
      <c r="B735" s="5"/>
      <c r="C735" s="48"/>
    </row>
    <row r="736">
      <c r="A736" s="28"/>
      <c r="B736" s="5"/>
      <c r="C736" s="48"/>
    </row>
    <row r="737">
      <c r="A737" s="28"/>
      <c r="B737" s="5"/>
      <c r="C737" s="48"/>
    </row>
    <row r="738">
      <c r="A738" s="28"/>
      <c r="B738" s="5"/>
      <c r="C738" s="48"/>
    </row>
    <row r="739">
      <c r="A739" s="28"/>
      <c r="B739" s="5"/>
      <c r="C739" s="48"/>
    </row>
    <row r="740">
      <c r="A740" s="28"/>
      <c r="B740" s="5"/>
      <c r="C740" s="48"/>
    </row>
    <row r="741">
      <c r="A741" s="28"/>
      <c r="B741" s="5"/>
      <c r="C741" s="48"/>
    </row>
    <row r="742">
      <c r="A742" s="28"/>
      <c r="B742" s="5"/>
      <c r="C742" s="48"/>
    </row>
    <row r="743">
      <c r="A743" s="28"/>
      <c r="B743" s="5"/>
      <c r="C743" s="48"/>
    </row>
    <row r="744">
      <c r="A744" s="28"/>
      <c r="B744" s="5"/>
      <c r="C744" s="48"/>
    </row>
    <row r="745">
      <c r="A745" s="28"/>
      <c r="B745" s="5"/>
      <c r="C745" s="48"/>
    </row>
    <row r="746">
      <c r="A746" s="28"/>
      <c r="B746" s="5"/>
      <c r="C746" s="48"/>
    </row>
    <row r="747">
      <c r="A747" s="28"/>
      <c r="B747" s="5"/>
      <c r="C747" s="48"/>
    </row>
    <row r="748">
      <c r="A748" s="28"/>
      <c r="B748" s="5"/>
      <c r="C748" s="48"/>
    </row>
    <row r="749">
      <c r="A749" s="28"/>
      <c r="B749" s="5"/>
      <c r="C749" s="48"/>
    </row>
    <row r="750">
      <c r="A750" s="28"/>
      <c r="B750" s="5"/>
      <c r="C750" s="48"/>
    </row>
    <row r="751">
      <c r="A751" s="28"/>
      <c r="B751" s="5"/>
      <c r="C751" s="48"/>
    </row>
    <row r="752">
      <c r="A752" s="28"/>
      <c r="B752" s="5"/>
      <c r="C752" s="48"/>
    </row>
    <row r="753">
      <c r="A753" s="28"/>
      <c r="B753" s="5"/>
      <c r="C753" s="48"/>
    </row>
    <row r="754">
      <c r="A754" s="28"/>
      <c r="B754" s="5"/>
      <c r="C754" s="48"/>
    </row>
    <row r="755">
      <c r="A755" s="28"/>
      <c r="B755" s="5"/>
      <c r="C755" s="48"/>
    </row>
    <row r="756">
      <c r="A756" s="28"/>
      <c r="B756" s="5"/>
      <c r="C756" s="48"/>
    </row>
    <row r="757">
      <c r="A757" s="28"/>
      <c r="B757" s="5"/>
      <c r="C757" s="48"/>
    </row>
    <row r="758">
      <c r="A758" s="28"/>
      <c r="B758" s="5"/>
      <c r="C758" s="48"/>
    </row>
    <row r="759">
      <c r="A759" s="28"/>
      <c r="B759" s="5"/>
      <c r="C759" s="48"/>
    </row>
    <row r="760">
      <c r="A760" s="28"/>
      <c r="B760" s="5"/>
      <c r="C760" s="48"/>
    </row>
    <row r="761">
      <c r="A761" s="28"/>
      <c r="B761" s="5"/>
      <c r="C761" s="48"/>
    </row>
    <row r="762">
      <c r="A762" s="28"/>
      <c r="B762" s="5"/>
      <c r="C762" s="48"/>
    </row>
    <row r="763">
      <c r="A763" s="28"/>
      <c r="B763" s="5"/>
      <c r="C763" s="48"/>
    </row>
    <row r="764">
      <c r="A764" s="28"/>
      <c r="B764" s="5"/>
      <c r="C764" s="48"/>
    </row>
    <row r="765">
      <c r="A765" s="28"/>
      <c r="B765" s="5"/>
      <c r="C765" s="48"/>
    </row>
    <row r="766">
      <c r="A766" s="28"/>
      <c r="B766" s="5"/>
      <c r="C766" s="48"/>
    </row>
    <row r="767">
      <c r="A767" s="28"/>
      <c r="B767" s="5"/>
      <c r="C767" s="48"/>
    </row>
    <row r="768">
      <c r="A768" s="28"/>
      <c r="B768" s="5"/>
      <c r="C768" s="48"/>
    </row>
    <row r="769">
      <c r="A769" s="28"/>
      <c r="B769" s="5"/>
      <c r="C769" s="48"/>
    </row>
    <row r="770">
      <c r="A770" s="28"/>
      <c r="B770" s="5"/>
      <c r="C770" s="48"/>
    </row>
    <row r="771">
      <c r="A771" s="28"/>
      <c r="B771" s="5"/>
      <c r="C771" s="48"/>
    </row>
    <row r="772">
      <c r="A772" s="28"/>
      <c r="B772" s="5"/>
      <c r="C772" s="48"/>
    </row>
    <row r="773">
      <c r="A773" s="28"/>
      <c r="B773" s="5"/>
      <c r="C773" s="48"/>
    </row>
    <row r="774">
      <c r="A774" s="28"/>
      <c r="B774" s="5"/>
      <c r="C774" s="48"/>
    </row>
    <row r="775">
      <c r="A775" s="28"/>
      <c r="B775" s="5"/>
      <c r="C775" s="48"/>
    </row>
    <row r="776">
      <c r="A776" s="28"/>
      <c r="B776" s="5"/>
      <c r="C776" s="48"/>
    </row>
    <row r="777">
      <c r="A777" s="28"/>
      <c r="B777" s="5"/>
      <c r="C777" s="48"/>
    </row>
    <row r="778">
      <c r="A778" s="28"/>
      <c r="B778" s="5"/>
      <c r="C778" s="48"/>
    </row>
    <row r="779">
      <c r="A779" s="28"/>
      <c r="B779" s="5"/>
      <c r="C779" s="48"/>
    </row>
    <row r="780">
      <c r="A780" s="28"/>
      <c r="B780" s="5"/>
      <c r="C780" s="48"/>
    </row>
    <row r="781">
      <c r="A781" s="28"/>
      <c r="B781" s="5"/>
      <c r="C781" s="48"/>
    </row>
    <row r="782">
      <c r="A782" s="28"/>
      <c r="B782" s="5"/>
      <c r="C782" s="48"/>
    </row>
    <row r="783">
      <c r="A783" s="28"/>
      <c r="B783" s="5"/>
      <c r="C783" s="48"/>
    </row>
    <row r="784">
      <c r="A784" s="28"/>
      <c r="B784" s="5"/>
      <c r="C784" s="48"/>
    </row>
    <row r="785">
      <c r="A785" s="28"/>
      <c r="B785" s="5"/>
      <c r="C785" s="48"/>
    </row>
    <row r="786">
      <c r="A786" s="28"/>
      <c r="B786" s="5"/>
      <c r="C786" s="48"/>
    </row>
    <row r="787">
      <c r="A787" s="28"/>
      <c r="B787" s="5"/>
      <c r="C787" s="48"/>
    </row>
    <row r="788">
      <c r="A788" s="28"/>
      <c r="B788" s="5"/>
      <c r="C788" s="48"/>
    </row>
    <row r="789">
      <c r="A789" s="28"/>
      <c r="B789" s="5"/>
      <c r="C789" s="48"/>
    </row>
    <row r="790">
      <c r="A790" s="28"/>
      <c r="B790" s="5"/>
      <c r="C790" s="48"/>
    </row>
    <row r="791">
      <c r="A791" s="28"/>
      <c r="B791" s="5"/>
      <c r="C791" s="48"/>
    </row>
    <row r="792">
      <c r="A792" s="28"/>
      <c r="B792" s="5"/>
      <c r="C792" s="48"/>
    </row>
    <row r="793">
      <c r="A793" s="28"/>
      <c r="B793" s="5"/>
      <c r="C793" s="48"/>
    </row>
    <row r="794">
      <c r="A794" s="28"/>
      <c r="B794" s="5"/>
      <c r="C794" s="48"/>
    </row>
    <row r="795">
      <c r="A795" s="28"/>
      <c r="B795" s="5"/>
      <c r="C795" s="48"/>
    </row>
    <row r="796">
      <c r="A796" s="28"/>
      <c r="B796" s="5"/>
      <c r="C796" s="48"/>
    </row>
    <row r="797">
      <c r="A797" s="28"/>
      <c r="B797" s="5"/>
      <c r="C797" s="48"/>
    </row>
    <row r="798">
      <c r="A798" s="28"/>
      <c r="B798" s="5"/>
      <c r="C798" s="48"/>
    </row>
    <row r="799">
      <c r="A799" s="28"/>
      <c r="B799" s="5"/>
      <c r="C799" s="48"/>
    </row>
    <row r="800">
      <c r="A800" s="28"/>
      <c r="B800" s="5"/>
      <c r="C800" s="48"/>
    </row>
    <row r="801">
      <c r="A801" s="28"/>
      <c r="B801" s="5"/>
      <c r="C801" s="48"/>
    </row>
    <row r="802">
      <c r="A802" s="28"/>
      <c r="B802" s="5"/>
      <c r="C802" s="48"/>
    </row>
    <row r="803">
      <c r="A803" s="28"/>
      <c r="B803" s="5"/>
      <c r="C803" s="48"/>
    </row>
    <row r="804">
      <c r="A804" s="28"/>
      <c r="B804" s="5"/>
      <c r="C804" s="48"/>
    </row>
    <row r="805">
      <c r="A805" s="28"/>
      <c r="B805" s="5"/>
      <c r="C805" s="48"/>
    </row>
    <row r="806">
      <c r="A806" s="28"/>
      <c r="B806" s="5"/>
      <c r="C806" s="48"/>
    </row>
    <row r="807">
      <c r="A807" s="28"/>
      <c r="B807" s="5"/>
      <c r="C807" s="48"/>
    </row>
    <row r="808">
      <c r="A808" s="28"/>
      <c r="B808" s="5"/>
      <c r="C808" s="48"/>
    </row>
    <row r="809">
      <c r="A809" s="28"/>
      <c r="B809" s="5"/>
      <c r="C809" s="48"/>
    </row>
    <row r="810">
      <c r="A810" s="28"/>
      <c r="B810" s="5"/>
      <c r="C810" s="48"/>
    </row>
    <row r="811">
      <c r="A811" s="28"/>
      <c r="B811" s="5"/>
      <c r="C811" s="48"/>
    </row>
    <row r="812">
      <c r="A812" s="28"/>
      <c r="B812" s="5"/>
      <c r="C812" s="48"/>
    </row>
    <row r="813">
      <c r="A813" s="28"/>
      <c r="B813" s="5"/>
      <c r="C813" s="48"/>
    </row>
    <row r="814">
      <c r="A814" s="28"/>
      <c r="B814" s="5"/>
      <c r="C814" s="48"/>
    </row>
    <row r="815">
      <c r="A815" s="28"/>
      <c r="B815" s="5"/>
      <c r="C815" s="48"/>
    </row>
    <row r="816">
      <c r="A816" s="28"/>
      <c r="B816" s="5"/>
      <c r="C816" s="48"/>
    </row>
    <row r="817">
      <c r="A817" s="28"/>
      <c r="B817" s="5"/>
      <c r="C817" s="48"/>
    </row>
    <row r="818">
      <c r="A818" s="28"/>
      <c r="B818" s="5"/>
      <c r="C818" s="48"/>
    </row>
    <row r="819">
      <c r="A819" s="28"/>
      <c r="B819" s="5"/>
      <c r="C819" s="48"/>
    </row>
    <row r="820">
      <c r="A820" s="28"/>
      <c r="B820" s="5"/>
      <c r="C820" s="48"/>
    </row>
    <row r="821">
      <c r="A821" s="28"/>
      <c r="B821" s="5"/>
      <c r="C821" s="48"/>
    </row>
    <row r="822">
      <c r="A822" s="28"/>
      <c r="B822" s="5"/>
      <c r="C822" s="48"/>
    </row>
    <row r="823">
      <c r="A823" s="28"/>
      <c r="B823" s="5"/>
      <c r="C823" s="48"/>
    </row>
    <row r="824">
      <c r="A824" s="28"/>
      <c r="B824" s="5"/>
      <c r="C824" s="48"/>
    </row>
    <row r="825">
      <c r="A825" s="28"/>
      <c r="B825" s="5"/>
      <c r="C825" s="48"/>
    </row>
    <row r="826">
      <c r="A826" s="28"/>
      <c r="B826" s="5"/>
      <c r="C826" s="48"/>
    </row>
    <row r="827">
      <c r="A827" s="28"/>
      <c r="B827" s="5"/>
      <c r="C827" s="48"/>
    </row>
    <row r="828">
      <c r="A828" s="28"/>
      <c r="B828" s="5"/>
      <c r="C828" s="48"/>
    </row>
    <row r="829">
      <c r="A829" s="28"/>
      <c r="B829" s="5"/>
      <c r="C829" s="48"/>
    </row>
    <row r="830">
      <c r="A830" s="28"/>
      <c r="B830" s="5"/>
      <c r="C830" s="48"/>
    </row>
    <row r="831">
      <c r="A831" s="28"/>
      <c r="B831" s="5"/>
      <c r="C831" s="48"/>
    </row>
    <row r="832">
      <c r="A832" s="28"/>
      <c r="B832" s="5"/>
      <c r="C832" s="48"/>
    </row>
    <row r="833">
      <c r="A833" s="28"/>
      <c r="B833" s="5"/>
      <c r="C833" s="48"/>
    </row>
    <row r="834">
      <c r="A834" s="28"/>
      <c r="B834" s="5"/>
      <c r="C834" s="48"/>
    </row>
    <row r="835">
      <c r="A835" s="28"/>
      <c r="B835" s="5"/>
      <c r="C835" s="48"/>
    </row>
    <row r="836">
      <c r="A836" s="28"/>
      <c r="B836" s="5"/>
      <c r="C836" s="48"/>
    </row>
    <row r="837">
      <c r="A837" s="28"/>
      <c r="B837" s="5"/>
      <c r="C837" s="48"/>
    </row>
    <row r="838">
      <c r="A838" s="28"/>
      <c r="B838" s="5"/>
      <c r="C838" s="48"/>
    </row>
    <row r="839">
      <c r="A839" s="28"/>
      <c r="B839" s="5"/>
      <c r="C839" s="48"/>
    </row>
    <row r="840">
      <c r="A840" s="28"/>
      <c r="B840" s="5"/>
      <c r="C840" s="48"/>
    </row>
    <row r="841">
      <c r="A841" s="28"/>
      <c r="B841" s="5"/>
      <c r="C841" s="48"/>
    </row>
    <row r="842">
      <c r="A842" s="28"/>
      <c r="B842" s="5"/>
      <c r="C842" s="48"/>
    </row>
    <row r="843">
      <c r="A843" s="28"/>
      <c r="B843" s="5"/>
      <c r="C843" s="48"/>
    </row>
    <row r="844">
      <c r="A844" s="28"/>
      <c r="B844" s="5"/>
      <c r="C844" s="48"/>
    </row>
    <row r="845">
      <c r="A845" s="28"/>
      <c r="B845" s="5"/>
      <c r="C845" s="48"/>
    </row>
    <row r="846">
      <c r="A846" s="28"/>
      <c r="B846" s="5"/>
      <c r="C846" s="48"/>
    </row>
    <row r="847">
      <c r="A847" s="28"/>
      <c r="B847" s="5"/>
      <c r="C847" s="48"/>
    </row>
    <row r="848">
      <c r="A848" s="28"/>
      <c r="B848" s="5"/>
      <c r="C848" s="48"/>
    </row>
    <row r="849">
      <c r="A849" s="28"/>
      <c r="B849" s="5"/>
      <c r="C849" s="48"/>
    </row>
    <row r="850">
      <c r="A850" s="28"/>
      <c r="B850" s="5"/>
      <c r="C850" s="48"/>
    </row>
    <row r="851">
      <c r="A851" s="28"/>
      <c r="B851" s="5"/>
      <c r="C851" s="48"/>
    </row>
    <row r="852">
      <c r="A852" s="28"/>
      <c r="B852" s="5"/>
      <c r="C852" s="48"/>
    </row>
    <row r="853">
      <c r="A853" s="28"/>
      <c r="B853" s="5"/>
      <c r="C853" s="48"/>
    </row>
    <row r="854">
      <c r="A854" s="28"/>
      <c r="B854" s="5"/>
      <c r="C854" s="48"/>
    </row>
    <row r="855">
      <c r="A855" s="28"/>
      <c r="B855" s="5"/>
      <c r="C855" s="48"/>
    </row>
    <row r="856">
      <c r="A856" s="28"/>
      <c r="B856" s="5"/>
      <c r="C856" s="48"/>
    </row>
    <row r="857">
      <c r="A857" s="28"/>
      <c r="B857" s="5"/>
      <c r="C857" s="48"/>
    </row>
    <row r="858">
      <c r="A858" s="28"/>
      <c r="B858" s="5"/>
      <c r="C858" s="48"/>
    </row>
    <row r="859">
      <c r="A859" s="28"/>
      <c r="B859" s="5"/>
      <c r="C859" s="48"/>
    </row>
    <row r="860">
      <c r="A860" s="28"/>
      <c r="B860" s="5"/>
      <c r="C860" s="48"/>
    </row>
    <row r="861">
      <c r="A861" s="28"/>
      <c r="B861" s="5"/>
      <c r="C861" s="48"/>
    </row>
    <row r="862">
      <c r="A862" s="28"/>
      <c r="B862" s="5"/>
      <c r="C862" s="48"/>
    </row>
    <row r="863">
      <c r="A863" s="28"/>
      <c r="B863" s="5"/>
      <c r="C863" s="48"/>
    </row>
    <row r="864">
      <c r="A864" s="28"/>
      <c r="B864" s="5"/>
      <c r="C864" s="48"/>
    </row>
    <row r="865">
      <c r="A865" s="28"/>
      <c r="B865" s="5"/>
      <c r="C865" s="48"/>
    </row>
    <row r="866">
      <c r="A866" s="28"/>
      <c r="B866" s="5"/>
      <c r="C866" s="48"/>
    </row>
    <row r="867">
      <c r="A867" s="28"/>
      <c r="B867" s="5"/>
      <c r="C867" s="48"/>
    </row>
    <row r="868">
      <c r="A868" s="28"/>
      <c r="B868" s="5"/>
      <c r="C868" s="48"/>
    </row>
    <row r="869">
      <c r="A869" s="28"/>
      <c r="B869" s="5"/>
      <c r="C869" s="48"/>
    </row>
    <row r="870">
      <c r="A870" s="28"/>
      <c r="B870" s="5"/>
      <c r="C870" s="48"/>
    </row>
    <row r="871">
      <c r="A871" s="28"/>
      <c r="B871" s="5"/>
      <c r="C871" s="48"/>
    </row>
    <row r="872">
      <c r="A872" s="28"/>
      <c r="B872" s="5"/>
      <c r="C872" s="48"/>
    </row>
    <row r="873">
      <c r="A873" s="28"/>
      <c r="B873" s="5"/>
      <c r="C873" s="48"/>
    </row>
    <row r="874">
      <c r="A874" s="28"/>
      <c r="B874" s="5"/>
      <c r="C874" s="48"/>
    </row>
    <row r="875">
      <c r="A875" s="28"/>
      <c r="B875" s="5"/>
      <c r="C875" s="48"/>
    </row>
    <row r="876">
      <c r="A876" s="28"/>
      <c r="B876" s="5"/>
      <c r="C876" s="48"/>
    </row>
    <row r="877">
      <c r="A877" s="28"/>
      <c r="B877" s="5"/>
      <c r="C877" s="48"/>
    </row>
    <row r="878">
      <c r="A878" s="28"/>
      <c r="B878" s="5"/>
      <c r="C878" s="48"/>
    </row>
    <row r="879">
      <c r="A879" s="28"/>
      <c r="B879" s="5"/>
      <c r="C879" s="48"/>
    </row>
    <row r="880">
      <c r="A880" s="28"/>
      <c r="B880" s="5"/>
      <c r="C880" s="48"/>
    </row>
    <row r="881">
      <c r="A881" s="28"/>
      <c r="B881" s="5"/>
      <c r="C881" s="48"/>
    </row>
    <row r="882">
      <c r="A882" s="28"/>
      <c r="B882" s="5"/>
      <c r="C882" s="48"/>
    </row>
    <row r="883">
      <c r="A883" s="28"/>
      <c r="B883" s="5"/>
      <c r="C883" s="48"/>
    </row>
    <row r="884">
      <c r="A884" s="28"/>
      <c r="B884" s="5"/>
      <c r="C884" s="48"/>
    </row>
    <row r="885">
      <c r="A885" s="28"/>
      <c r="B885" s="5"/>
      <c r="C885" s="48"/>
    </row>
    <row r="886">
      <c r="A886" s="28"/>
      <c r="B886" s="5"/>
      <c r="C886" s="48"/>
    </row>
    <row r="887">
      <c r="A887" s="28"/>
      <c r="B887" s="5"/>
      <c r="C887" s="48"/>
    </row>
    <row r="888">
      <c r="A888" s="28"/>
      <c r="B888" s="5"/>
      <c r="C888" s="48"/>
    </row>
    <row r="889">
      <c r="A889" s="28"/>
      <c r="B889" s="5"/>
      <c r="C889" s="48"/>
    </row>
    <row r="890">
      <c r="A890" s="28"/>
      <c r="B890" s="5"/>
      <c r="C890" s="48"/>
    </row>
    <row r="891">
      <c r="A891" s="28"/>
      <c r="B891" s="5"/>
      <c r="C891" s="48"/>
    </row>
    <row r="892">
      <c r="A892" s="28"/>
      <c r="B892" s="5"/>
      <c r="C892" s="48"/>
    </row>
    <row r="893">
      <c r="A893" s="28"/>
      <c r="B893" s="5"/>
      <c r="C893" s="48"/>
    </row>
    <row r="894">
      <c r="A894" s="28"/>
      <c r="B894" s="5"/>
      <c r="C894" s="48"/>
    </row>
    <row r="895">
      <c r="A895" s="28"/>
      <c r="B895" s="5"/>
      <c r="C895" s="48"/>
    </row>
    <row r="896">
      <c r="A896" s="28"/>
      <c r="B896" s="5"/>
      <c r="C896" s="48"/>
    </row>
    <row r="897">
      <c r="A897" s="28"/>
      <c r="B897" s="5"/>
      <c r="C897" s="48"/>
    </row>
    <row r="898">
      <c r="A898" s="28"/>
      <c r="B898" s="5"/>
      <c r="C898" s="48"/>
    </row>
    <row r="899">
      <c r="A899" s="28"/>
      <c r="B899" s="5"/>
      <c r="C899" s="48"/>
    </row>
    <row r="900">
      <c r="A900" s="28"/>
      <c r="B900" s="5"/>
      <c r="C900" s="48"/>
    </row>
    <row r="901">
      <c r="A901" s="28"/>
      <c r="B901" s="5"/>
      <c r="C901" s="48"/>
    </row>
    <row r="902">
      <c r="A902" s="28"/>
      <c r="B902" s="5"/>
      <c r="C902" s="48"/>
    </row>
    <row r="903">
      <c r="A903" s="28"/>
      <c r="B903" s="5"/>
      <c r="C903" s="48"/>
    </row>
    <row r="904">
      <c r="A904" s="28"/>
      <c r="B904" s="5"/>
      <c r="C904" s="48"/>
    </row>
    <row r="905">
      <c r="A905" s="28"/>
      <c r="B905" s="5"/>
      <c r="C905" s="48"/>
    </row>
    <row r="906">
      <c r="A906" s="28"/>
      <c r="B906" s="5"/>
      <c r="C906" s="48"/>
    </row>
    <row r="907">
      <c r="A907" s="28"/>
      <c r="B907" s="5"/>
      <c r="C907" s="48"/>
    </row>
    <row r="908">
      <c r="A908" s="28"/>
      <c r="B908" s="5"/>
      <c r="C908" s="48"/>
    </row>
    <row r="909">
      <c r="A909" s="28"/>
      <c r="B909" s="5"/>
      <c r="C909" s="48"/>
    </row>
    <row r="910">
      <c r="A910" s="28"/>
      <c r="B910" s="5"/>
      <c r="C910" s="48"/>
    </row>
    <row r="911">
      <c r="A911" s="28"/>
      <c r="B911" s="5"/>
      <c r="C911" s="48"/>
    </row>
    <row r="912">
      <c r="A912" s="28"/>
      <c r="B912" s="5"/>
      <c r="C912" s="48"/>
    </row>
    <row r="913">
      <c r="A913" s="28"/>
      <c r="B913" s="5"/>
      <c r="C913" s="48"/>
    </row>
    <row r="914">
      <c r="A914" s="28"/>
      <c r="B914" s="5"/>
      <c r="C914" s="48"/>
    </row>
    <row r="915">
      <c r="A915" s="28"/>
      <c r="B915" s="5"/>
      <c r="C915" s="48"/>
    </row>
    <row r="916">
      <c r="A916" s="28"/>
      <c r="B916" s="5"/>
      <c r="C916" s="48"/>
    </row>
    <row r="917">
      <c r="A917" s="28"/>
      <c r="B917" s="5"/>
      <c r="C917" s="48"/>
    </row>
    <row r="918">
      <c r="A918" s="28"/>
      <c r="B918" s="5"/>
      <c r="C918" s="48"/>
    </row>
    <row r="919">
      <c r="A919" s="28"/>
      <c r="B919" s="5"/>
      <c r="C919" s="48"/>
    </row>
    <row r="920">
      <c r="A920" s="28"/>
      <c r="B920" s="5"/>
      <c r="C920" s="48"/>
    </row>
    <row r="921">
      <c r="A921" s="28"/>
      <c r="B921" s="5"/>
      <c r="C921" s="48"/>
    </row>
    <row r="922">
      <c r="A922" s="28"/>
      <c r="B922" s="5"/>
      <c r="C922" s="48"/>
    </row>
    <row r="923">
      <c r="A923" s="28"/>
      <c r="B923" s="5"/>
      <c r="C923" s="48"/>
    </row>
    <row r="924">
      <c r="A924" s="28"/>
      <c r="B924" s="5"/>
      <c r="C924" s="48"/>
    </row>
    <row r="925">
      <c r="A925" s="28"/>
      <c r="B925" s="5"/>
      <c r="C925" s="48"/>
    </row>
    <row r="926">
      <c r="A926" s="28"/>
      <c r="B926" s="5"/>
      <c r="C926" s="48"/>
    </row>
    <row r="927">
      <c r="A927" s="28"/>
      <c r="B927" s="5"/>
      <c r="C927" s="48"/>
    </row>
    <row r="928">
      <c r="A928" s="28"/>
      <c r="B928" s="5"/>
      <c r="C928" s="48"/>
    </row>
    <row r="929">
      <c r="A929" s="28"/>
      <c r="B929" s="5"/>
      <c r="C929" s="48"/>
    </row>
    <row r="930">
      <c r="A930" s="28"/>
      <c r="B930" s="5"/>
      <c r="C930" s="48"/>
    </row>
    <row r="931">
      <c r="A931" s="28"/>
      <c r="B931" s="5"/>
      <c r="C931" s="48"/>
    </row>
    <row r="932">
      <c r="A932" s="28"/>
      <c r="B932" s="5"/>
      <c r="C932" s="48"/>
    </row>
    <row r="933">
      <c r="A933" s="28"/>
      <c r="B933" s="5"/>
      <c r="C933" s="48"/>
    </row>
    <row r="934">
      <c r="A934" s="28"/>
      <c r="B934" s="5"/>
      <c r="C934" s="48"/>
    </row>
    <row r="935">
      <c r="A935" s="28"/>
      <c r="B935" s="5"/>
      <c r="C935" s="48"/>
    </row>
    <row r="936">
      <c r="A936" s="28"/>
      <c r="B936" s="5"/>
      <c r="C936" s="48"/>
    </row>
    <row r="937">
      <c r="A937" s="28"/>
      <c r="B937" s="5"/>
      <c r="C937" s="48"/>
    </row>
    <row r="938">
      <c r="A938" s="28"/>
      <c r="B938" s="5"/>
      <c r="C938" s="48"/>
    </row>
    <row r="939">
      <c r="A939" s="28"/>
      <c r="B939" s="5"/>
      <c r="C939" s="48"/>
    </row>
    <row r="940">
      <c r="A940" s="28"/>
      <c r="B940" s="5"/>
      <c r="C940" s="48"/>
    </row>
    <row r="941">
      <c r="A941" s="28"/>
      <c r="B941" s="5"/>
      <c r="C941" s="48"/>
    </row>
    <row r="942">
      <c r="A942" s="28"/>
      <c r="B942" s="5"/>
      <c r="C942" s="48"/>
    </row>
    <row r="943">
      <c r="A943" s="28"/>
      <c r="B943" s="5"/>
      <c r="C943" s="48"/>
    </row>
    <row r="944">
      <c r="A944" s="28"/>
      <c r="B944" s="5"/>
      <c r="C944" s="48"/>
    </row>
    <row r="945">
      <c r="A945" s="28"/>
      <c r="B945" s="5"/>
      <c r="C945" s="48"/>
    </row>
    <row r="946">
      <c r="A946" s="28"/>
      <c r="B946" s="5"/>
      <c r="C946" s="48"/>
    </row>
    <row r="947">
      <c r="A947" s="28"/>
      <c r="B947" s="5"/>
      <c r="C947" s="48"/>
    </row>
    <row r="948">
      <c r="A948" s="28"/>
      <c r="B948" s="5"/>
      <c r="C948" s="48"/>
    </row>
    <row r="949">
      <c r="A949" s="28"/>
      <c r="B949" s="5"/>
      <c r="C949" s="48"/>
    </row>
    <row r="950">
      <c r="A950" s="28"/>
      <c r="B950" s="5"/>
      <c r="C950" s="48"/>
    </row>
    <row r="951">
      <c r="A951" s="28"/>
      <c r="B951" s="5"/>
      <c r="C951" s="48"/>
    </row>
    <row r="952">
      <c r="A952" s="28"/>
      <c r="B952" s="5"/>
      <c r="C952" s="48"/>
    </row>
    <row r="953">
      <c r="A953" s="28"/>
      <c r="B953" s="5"/>
      <c r="C953" s="48"/>
    </row>
    <row r="954">
      <c r="A954" s="28"/>
      <c r="B954" s="5"/>
      <c r="C954" s="48"/>
    </row>
    <row r="955">
      <c r="A955" s="28"/>
      <c r="B955" s="5"/>
      <c r="C955" s="48"/>
    </row>
    <row r="956">
      <c r="A956" s="28"/>
      <c r="B956" s="5"/>
      <c r="C956" s="48"/>
    </row>
    <row r="957">
      <c r="A957" s="28"/>
      <c r="B957" s="5"/>
      <c r="C957" s="48"/>
    </row>
    <row r="958">
      <c r="A958" s="28"/>
      <c r="B958" s="5"/>
      <c r="C958" s="48"/>
    </row>
    <row r="959">
      <c r="A959" s="28"/>
      <c r="B959" s="5"/>
      <c r="C959" s="48"/>
    </row>
    <row r="960">
      <c r="A960" s="28"/>
      <c r="B960" s="5"/>
      <c r="C960" s="48"/>
    </row>
    <row r="961">
      <c r="A961" s="28"/>
      <c r="B961" s="5"/>
      <c r="C961" s="48"/>
    </row>
    <row r="962">
      <c r="A962" s="28"/>
      <c r="B962" s="5"/>
      <c r="C962" s="48"/>
    </row>
    <row r="963">
      <c r="A963" s="28"/>
      <c r="B963" s="5"/>
      <c r="C963" s="48"/>
    </row>
    <row r="964">
      <c r="A964" s="28"/>
      <c r="B964" s="5"/>
      <c r="C964" s="48"/>
    </row>
    <row r="965">
      <c r="A965" s="28"/>
      <c r="B965" s="5"/>
      <c r="C965" s="48"/>
    </row>
    <row r="966">
      <c r="A966" s="28"/>
      <c r="B966" s="5"/>
      <c r="C966" s="48"/>
    </row>
    <row r="967">
      <c r="A967" s="28"/>
      <c r="B967" s="5"/>
      <c r="C967" s="48"/>
    </row>
    <row r="968">
      <c r="A968" s="28"/>
      <c r="B968" s="5"/>
      <c r="C968" s="48"/>
    </row>
    <row r="969">
      <c r="A969" s="28"/>
      <c r="B969" s="5"/>
      <c r="C969" s="48"/>
    </row>
    <row r="970">
      <c r="A970" s="28"/>
      <c r="B970" s="5"/>
      <c r="C970" s="48"/>
    </row>
    <row r="971">
      <c r="A971" s="28"/>
      <c r="B971" s="5"/>
      <c r="C971" s="48"/>
    </row>
    <row r="972">
      <c r="A972" s="28"/>
      <c r="B972" s="5"/>
      <c r="C972" s="48"/>
    </row>
    <row r="973">
      <c r="A973" s="28"/>
      <c r="B973" s="5"/>
      <c r="C973" s="48"/>
    </row>
    <row r="974">
      <c r="A974" s="28"/>
      <c r="B974" s="5"/>
      <c r="C974" s="48"/>
    </row>
    <row r="975">
      <c r="A975" s="28"/>
      <c r="B975" s="5"/>
      <c r="C975" s="48"/>
    </row>
    <row r="976">
      <c r="A976" s="28"/>
      <c r="B976" s="5"/>
      <c r="C976" s="48"/>
    </row>
    <row r="977">
      <c r="A977" s="28"/>
      <c r="B977" s="5"/>
      <c r="C977" s="48"/>
    </row>
    <row r="978">
      <c r="A978" s="28"/>
      <c r="B978" s="5"/>
      <c r="C978" s="48"/>
    </row>
    <row r="979">
      <c r="A979" s="28"/>
      <c r="B979" s="5"/>
      <c r="C979" s="48"/>
    </row>
    <row r="980">
      <c r="A980" s="28"/>
      <c r="B980" s="5"/>
      <c r="C980" s="48"/>
    </row>
    <row r="981">
      <c r="A981" s="28"/>
      <c r="B981" s="5"/>
      <c r="C981" s="48"/>
    </row>
    <row r="982">
      <c r="A982" s="28"/>
      <c r="B982" s="5"/>
      <c r="C982" s="48"/>
    </row>
    <row r="983">
      <c r="A983" s="28"/>
      <c r="B983" s="5"/>
      <c r="C983" s="48"/>
    </row>
    <row r="984">
      <c r="A984" s="28"/>
      <c r="B984" s="5"/>
      <c r="C984" s="48"/>
    </row>
    <row r="985">
      <c r="A985" s="28"/>
      <c r="B985" s="5"/>
      <c r="C985" s="48"/>
    </row>
    <row r="986">
      <c r="A986" s="28"/>
      <c r="B986" s="5"/>
      <c r="C986" s="48"/>
    </row>
    <row r="987">
      <c r="A987" s="28"/>
      <c r="B987" s="5"/>
      <c r="C987" s="48"/>
    </row>
    <row r="988">
      <c r="A988" s="28"/>
      <c r="B988" s="5"/>
      <c r="C988" s="48"/>
    </row>
    <row r="989">
      <c r="A989" s="28"/>
      <c r="B989" s="5"/>
      <c r="C989" s="48"/>
    </row>
    <row r="990">
      <c r="A990" s="28"/>
      <c r="B990" s="5"/>
      <c r="C990" s="48"/>
    </row>
    <row r="991">
      <c r="A991" s="28"/>
      <c r="B991" s="5"/>
      <c r="C991" s="48"/>
    </row>
    <row r="992">
      <c r="A992" s="28"/>
      <c r="B992" s="5"/>
      <c r="C992" s="48"/>
    </row>
    <row r="993">
      <c r="A993" s="28"/>
      <c r="B993" s="5"/>
      <c r="C993" s="48"/>
    </row>
    <row r="994">
      <c r="A994" s="28"/>
      <c r="B994" s="5"/>
      <c r="C994" s="48"/>
    </row>
    <row r="995">
      <c r="A995" s="28"/>
      <c r="B995" s="5"/>
      <c r="C995" s="48"/>
    </row>
    <row r="996">
      <c r="A996" s="28"/>
      <c r="B996" s="5"/>
      <c r="C996" s="48"/>
    </row>
    <row r="997">
      <c r="A997" s="28"/>
      <c r="B997" s="5"/>
      <c r="C997" s="48"/>
    </row>
    <row r="998">
      <c r="A998" s="28"/>
      <c r="B998" s="5"/>
      <c r="C998" s="48"/>
    </row>
    <row r="999">
      <c r="A999" s="28"/>
      <c r="B999" s="5"/>
      <c r="C999" s="48"/>
    </row>
    <row r="1000">
      <c r="A1000" s="28"/>
      <c r="B1000" s="5"/>
      <c r="C1000" s="4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0"/>
    <col customWidth="1" min="2" max="2" width="29.63"/>
    <col customWidth="1" min="3" max="3" width="86.0"/>
    <col customWidth="1" min="4" max="4" width="30.75"/>
    <col customWidth="1" min="5" max="5" width="78.0"/>
    <col customWidth="1" min="6" max="6" width="19.88"/>
    <col customWidth="1" min="7" max="7" width="13.63"/>
  </cols>
  <sheetData>
    <row r="1">
      <c r="A1" s="1" t="s">
        <v>0</v>
      </c>
      <c r="B1" s="52" t="s">
        <v>1</v>
      </c>
      <c r="C1" s="34" t="s">
        <v>2</v>
      </c>
      <c r="D1" s="2" t="s">
        <v>3</v>
      </c>
      <c r="E1" s="3" t="s">
        <v>4</v>
      </c>
      <c r="F1" s="3" t="s">
        <v>3</v>
      </c>
      <c r="G1" s="3"/>
    </row>
    <row r="2">
      <c r="A2" s="16" t="s">
        <v>703</v>
      </c>
      <c r="B2" s="16" t="s">
        <v>704</v>
      </c>
      <c r="C2" s="38" t="s">
        <v>705</v>
      </c>
      <c r="D2" s="8">
        <v>0.0</v>
      </c>
      <c r="E2" s="8" t="s">
        <v>706</v>
      </c>
      <c r="F2" s="8">
        <v>1.0</v>
      </c>
    </row>
    <row r="3">
      <c r="A3" s="16" t="s">
        <v>707</v>
      </c>
      <c r="B3" s="16" t="s">
        <v>708</v>
      </c>
      <c r="C3" s="38" t="s">
        <v>709</v>
      </c>
      <c r="D3" s="8">
        <v>0.0</v>
      </c>
      <c r="E3" s="8" t="s">
        <v>710</v>
      </c>
      <c r="F3" s="8">
        <v>1.0</v>
      </c>
    </row>
    <row r="4">
      <c r="A4" s="23" t="s">
        <v>711</v>
      </c>
      <c r="B4" s="16" t="s">
        <v>712</v>
      </c>
      <c r="C4" s="38" t="s">
        <v>713</v>
      </c>
      <c r="D4" s="8">
        <v>0.0</v>
      </c>
      <c r="E4" s="8" t="s">
        <v>714</v>
      </c>
      <c r="F4" s="8">
        <v>0.0</v>
      </c>
    </row>
    <row r="5">
      <c r="A5" s="16" t="s">
        <v>715</v>
      </c>
      <c r="B5" s="16" t="s">
        <v>716</v>
      </c>
      <c r="C5" s="38" t="s">
        <v>717</v>
      </c>
      <c r="D5" s="8">
        <v>1.0</v>
      </c>
    </row>
    <row r="6">
      <c r="A6" s="16" t="s">
        <v>718</v>
      </c>
      <c r="B6" s="16" t="s">
        <v>719</v>
      </c>
      <c r="C6" s="38" t="s">
        <v>720</v>
      </c>
      <c r="D6" s="8">
        <v>1.0</v>
      </c>
    </row>
    <row r="7">
      <c r="A7" s="16" t="s">
        <v>721</v>
      </c>
      <c r="B7" s="16" t="s">
        <v>722</v>
      </c>
      <c r="C7" s="38" t="s">
        <v>723</v>
      </c>
      <c r="D7" s="8">
        <v>1.0</v>
      </c>
    </row>
    <row r="8">
      <c r="A8" s="16" t="s">
        <v>724</v>
      </c>
      <c r="B8" s="16" t="s">
        <v>725</v>
      </c>
      <c r="C8" s="38" t="s">
        <v>726</v>
      </c>
      <c r="D8" s="8">
        <v>1.0</v>
      </c>
    </row>
    <row r="9">
      <c r="A9" s="16" t="s">
        <v>727</v>
      </c>
      <c r="B9" s="16" t="s">
        <v>728</v>
      </c>
      <c r="C9" s="38" t="s">
        <v>729</v>
      </c>
      <c r="D9" s="8">
        <v>1.0</v>
      </c>
    </row>
    <row r="10">
      <c r="A10" s="16" t="s">
        <v>730</v>
      </c>
      <c r="B10" s="16" t="s">
        <v>731</v>
      </c>
      <c r="C10" s="38" t="s">
        <v>732</v>
      </c>
      <c r="D10" s="8">
        <v>0.0</v>
      </c>
      <c r="E10" s="8" t="s">
        <v>733</v>
      </c>
      <c r="F10" s="8">
        <v>1.0</v>
      </c>
    </row>
    <row r="11">
      <c r="A11" s="16" t="s">
        <v>734</v>
      </c>
      <c r="B11" s="16" t="s">
        <v>735</v>
      </c>
      <c r="C11" s="38" t="s">
        <v>736</v>
      </c>
      <c r="D11" s="8">
        <v>1.0</v>
      </c>
    </row>
    <row r="12">
      <c r="A12" s="16" t="s">
        <v>737</v>
      </c>
      <c r="B12" s="16" t="s">
        <v>738</v>
      </c>
      <c r="C12" s="38" t="s">
        <v>739</v>
      </c>
      <c r="D12" s="8">
        <v>1.0</v>
      </c>
    </row>
    <row r="13">
      <c r="A13" s="16" t="s">
        <v>740</v>
      </c>
      <c r="B13" s="16" t="s">
        <v>741</v>
      </c>
      <c r="C13" s="38" t="s">
        <v>742</v>
      </c>
      <c r="D13" s="8">
        <v>1.0</v>
      </c>
    </row>
    <row r="14">
      <c r="A14" s="16" t="s">
        <v>743</v>
      </c>
      <c r="B14" s="16" t="s">
        <v>744</v>
      </c>
      <c r="C14" s="38" t="s">
        <v>745</v>
      </c>
      <c r="D14" s="8">
        <v>1.0</v>
      </c>
    </row>
    <row r="15">
      <c r="A15" s="16" t="s">
        <v>746</v>
      </c>
      <c r="B15" s="16" t="s">
        <v>747</v>
      </c>
      <c r="C15" s="38" t="s">
        <v>748</v>
      </c>
      <c r="D15" s="8">
        <v>1.0</v>
      </c>
      <c r="E15" s="8" t="s">
        <v>749</v>
      </c>
      <c r="F15" s="8">
        <v>1.0</v>
      </c>
    </row>
    <row r="16">
      <c r="A16" s="16" t="s">
        <v>750</v>
      </c>
      <c r="B16" s="16" t="s">
        <v>751</v>
      </c>
      <c r="C16" s="38" t="s">
        <v>752</v>
      </c>
      <c r="D16" s="8">
        <v>1.0</v>
      </c>
    </row>
    <row r="17">
      <c r="A17" s="16" t="s">
        <v>753</v>
      </c>
      <c r="B17" s="16" t="s">
        <v>754</v>
      </c>
      <c r="C17" s="38" t="s">
        <v>755</v>
      </c>
      <c r="D17" s="8">
        <v>1.0</v>
      </c>
      <c r="E17" s="8" t="s">
        <v>756</v>
      </c>
      <c r="F17" s="8">
        <v>1.0</v>
      </c>
    </row>
    <row r="18">
      <c r="A18" s="16" t="s">
        <v>757</v>
      </c>
      <c r="B18" s="16" t="s">
        <v>758</v>
      </c>
      <c r="C18" s="38" t="s">
        <v>759</v>
      </c>
      <c r="D18" s="8">
        <v>0.0</v>
      </c>
      <c r="E18" s="8" t="s">
        <v>760</v>
      </c>
      <c r="F18" s="8">
        <v>1.0</v>
      </c>
    </row>
    <row r="19">
      <c r="A19" s="16" t="s">
        <v>761</v>
      </c>
      <c r="B19" s="16" t="s">
        <v>762</v>
      </c>
      <c r="C19" s="38" t="s">
        <v>763</v>
      </c>
      <c r="D19" s="8">
        <v>1.0</v>
      </c>
    </row>
    <row r="20">
      <c r="A20" s="16" t="s">
        <v>764</v>
      </c>
      <c r="B20" s="16" t="s">
        <v>765</v>
      </c>
      <c r="C20" s="38" t="s">
        <v>766</v>
      </c>
      <c r="D20" s="8">
        <v>1.0</v>
      </c>
    </row>
    <row r="21">
      <c r="A21" s="16" t="s">
        <v>767</v>
      </c>
      <c r="B21" s="16" t="s">
        <v>768</v>
      </c>
      <c r="C21" s="38" t="s">
        <v>769</v>
      </c>
      <c r="D21" s="8">
        <v>1.0</v>
      </c>
    </row>
    <row r="22">
      <c r="A22" s="16" t="s">
        <v>770</v>
      </c>
      <c r="B22" s="16" t="s">
        <v>771</v>
      </c>
      <c r="C22" s="38" t="s">
        <v>772</v>
      </c>
      <c r="D22" s="8">
        <v>1.0</v>
      </c>
    </row>
    <row r="23">
      <c r="A23" s="16" t="s">
        <v>773</v>
      </c>
      <c r="B23" s="16" t="s">
        <v>774</v>
      </c>
      <c r="C23" s="42" t="s">
        <v>775</v>
      </c>
    </row>
    <row r="24">
      <c r="A24" s="16" t="s">
        <v>776</v>
      </c>
      <c r="B24" s="16" t="s">
        <v>777</v>
      </c>
      <c r="C24" s="42" t="s">
        <v>778</v>
      </c>
      <c r="D24" s="8">
        <v>0.0</v>
      </c>
      <c r="E24" s="8" t="s">
        <v>779</v>
      </c>
    </row>
    <row r="25">
      <c r="A25" s="16" t="s">
        <v>780</v>
      </c>
      <c r="B25" s="16" t="s">
        <v>781</v>
      </c>
      <c r="C25" s="42" t="s">
        <v>782</v>
      </c>
      <c r="D25" s="8">
        <v>0.0</v>
      </c>
    </row>
    <row r="26">
      <c r="A26" s="16" t="s">
        <v>783</v>
      </c>
      <c r="B26" s="16" t="s">
        <v>784</v>
      </c>
      <c r="C26" s="42" t="s">
        <v>785</v>
      </c>
      <c r="D26" s="8">
        <v>1.0</v>
      </c>
    </row>
    <row r="27">
      <c r="A27" s="16" t="s">
        <v>786</v>
      </c>
      <c r="B27" s="16" t="s">
        <v>787</v>
      </c>
      <c r="C27" s="42" t="s">
        <v>788</v>
      </c>
      <c r="D27" s="8">
        <v>1.0</v>
      </c>
    </row>
    <row r="28">
      <c r="A28" s="16" t="s">
        <v>789</v>
      </c>
      <c r="B28" s="16" t="s">
        <v>790</v>
      </c>
      <c r="C28" s="42" t="s">
        <v>791</v>
      </c>
      <c r="D28" s="8">
        <v>0.0</v>
      </c>
      <c r="E28" s="8" t="s">
        <v>792</v>
      </c>
      <c r="F28" s="8">
        <v>1.0</v>
      </c>
    </row>
    <row r="29">
      <c r="A29" s="16" t="s">
        <v>793</v>
      </c>
      <c r="B29" s="16" t="s">
        <v>794</v>
      </c>
      <c r="C29" s="42" t="s">
        <v>795</v>
      </c>
      <c r="D29" s="8">
        <v>0.0</v>
      </c>
      <c r="E29" s="8" t="s">
        <v>796</v>
      </c>
      <c r="F29" s="8">
        <v>1.0</v>
      </c>
    </row>
    <row r="30">
      <c r="A30" s="16" t="s">
        <v>797</v>
      </c>
      <c r="B30" s="16" t="s">
        <v>798</v>
      </c>
      <c r="C30" s="42" t="s">
        <v>799</v>
      </c>
      <c r="D30" s="8">
        <v>1.0</v>
      </c>
    </row>
    <row r="31">
      <c r="A31" s="16" t="s">
        <v>800</v>
      </c>
      <c r="B31" s="16" t="s">
        <v>801</v>
      </c>
      <c r="C31" s="42" t="s">
        <v>802</v>
      </c>
      <c r="D31" s="8">
        <v>0.0</v>
      </c>
      <c r="E31" s="8" t="s">
        <v>803</v>
      </c>
      <c r="F31" s="8">
        <v>0.0</v>
      </c>
    </row>
    <row r="32">
      <c r="A32" s="16" t="s">
        <v>804</v>
      </c>
      <c r="B32" s="16" t="s">
        <v>805</v>
      </c>
      <c r="C32" s="42" t="s">
        <v>806</v>
      </c>
    </row>
    <row r="33">
      <c r="A33" s="16" t="s">
        <v>807</v>
      </c>
      <c r="B33" s="16" t="s">
        <v>808</v>
      </c>
      <c r="C33" s="42" t="s">
        <v>809</v>
      </c>
      <c r="D33" s="8">
        <v>1.0</v>
      </c>
      <c r="E33" s="8" t="s">
        <v>810</v>
      </c>
      <c r="F33" s="8">
        <v>1.0</v>
      </c>
    </row>
    <row r="34">
      <c r="A34" s="16" t="s">
        <v>811</v>
      </c>
      <c r="B34" s="16" t="s">
        <v>812</v>
      </c>
      <c r="C34" s="42" t="s">
        <v>813</v>
      </c>
      <c r="D34" s="8">
        <v>0.0</v>
      </c>
      <c r="E34" s="8" t="s">
        <v>814</v>
      </c>
      <c r="F34" s="8">
        <v>0.0</v>
      </c>
    </row>
    <row r="35">
      <c r="A35" s="16" t="s">
        <v>815</v>
      </c>
      <c r="B35" s="16" t="s">
        <v>816</v>
      </c>
      <c r="C35" s="42" t="s">
        <v>817</v>
      </c>
      <c r="D35" s="8">
        <v>1.0</v>
      </c>
    </row>
    <row r="36">
      <c r="A36" s="16" t="s">
        <v>818</v>
      </c>
      <c r="B36" s="16" t="s">
        <v>819</v>
      </c>
      <c r="C36" s="42" t="s">
        <v>820</v>
      </c>
      <c r="D36" s="8">
        <v>1.0</v>
      </c>
    </row>
    <row r="37">
      <c r="A37" s="16" t="s">
        <v>821</v>
      </c>
      <c r="B37" s="16" t="s">
        <v>822</v>
      </c>
      <c r="C37" s="42" t="s">
        <v>823</v>
      </c>
      <c r="D37" s="8">
        <v>1.0</v>
      </c>
    </row>
    <row r="38">
      <c r="A38" s="16" t="s">
        <v>824</v>
      </c>
      <c r="B38" s="16" t="s">
        <v>825</v>
      </c>
      <c r="C38" s="42" t="s">
        <v>826</v>
      </c>
      <c r="D38" s="8">
        <v>1.0</v>
      </c>
    </row>
    <row r="39">
      <c r="A39" s="16" t="s">
        <v>827</v>
      </c>
      <c r="B39" s="16" t="s">
        <v>828</v>
      </c>
      <c r="C39" s="42" t="s">
        <v>829</v>
      </c>
      <c r="D39" s="8">
        <v>1.0</v>
      </c>
    </row>
    <row r="40">
      <c r="A40" s="16" t="s">
        <v>830</v>
      </c>
      <c r="B40" s="16" t="s">
        <v>831</v>
      </c>
      <c r="C40" s="42" t="s">
        <v>832</v>
      </c>
      <c r="D40" s="8">
        <v>1.0</v>
      </c>
    </row>
    <row r="41">
      <c r="A41" s="16" t="s">
        <v>833</v>
      </c>
      <c r="B41" s="16" t="s">
        <v>834</v>
      </c>
      <c r="C41" s="42" t="s">
        <v>835</v>
      </c>
      <c r="D41" s="8">
        <v>1.0</v>
      </c>
    </row>
    <row r="42">
      <c r="A42" s="16" t="s">
        <v>836</v>
      </c>
      <c r="B42" s="16" t="s">
        <v>837</v>
      </c>
      <c r="C42" s="42" t="s">
        <v>838</v>
      </c>
      <c r="D42" s="8">
        <v>1.0</v>
      </c>
    </row>
    <row r="43">
      <c r="A43" s="16" t="s">
        <v>839</v>
      </c>
      <c r="B43" s="16" t="s">
        <v>840</v>
      </c>
      <c r="C43" s="42" t="s">
        <v>841</v>
      </c>
      <c r="D43" s="8">
        <v>1.0</v>
      </c>
    </row>
    <row r="44">
      <c r="A44" s="16" t="s">
        <v>842</v>
      </c>
      <c r="B44" s="16" t="s">
        <v>843</v>
      </c>
      <c r="C44" s="42" t="s">
        <v>844</v>
      </c>
      <c r="D44" s="8">
        <v>1.0</v>
      </c>
    </row>
    <row r="45">
      <c r="A45" s="16" t="s">
        <v>845</v>
      </c>
      <c r="B45" s="16" t="s">
        <v>846</v>
      </c>
      <c r="C45" s="42" t="s">
        <v>847</v>
      </c>
      <c r="D45" s="8">
        <v>1.0</v>
      </c>
    </row>
    <row r="46">
      <c r="A46" s="16" t="s">
        <v>848</v>
      </c>
      <c r="B46" s="16" t="s">
        <v>849</v>
      </c>
      <c r="C46" s="42" t="s">
        <v>850</v>
      </c>
      <c r="D46" s="8">
        <v>0.0</v>
      </c>
      <c r="E46" s="8" t="s">
        <v>851</v>
      </c>
      <c r="F46" s="8">
        <v>1.0</v>
      </c>
    </row>
    <row r="47">
      <c r="A47" s="16" t="s">
        <v>852</v>
      </c>
      <c r="B47" s="16" t="s">
        <v>853</v>
      </c>
      <c r="C47" s="42" t="s">
        <v>854</v>
      </c>
      <c r="D47" s="8">
        <v>1.0</v>
      </c>
    </row>
    <row r="48">
      <c r="A48" s="16" t="s">
        <v>855</v>
      </c>
      <c r="B48" s="16" t="s">
        <v>856</v>
      </c>
      <c r="C48" s="42" t="s">
        <v>857</v>
      </c>
      <c r="D48" s="8">
        <v>1.0</v>
      </c>
    </row>
    <row r="49">
      <c r="A49" s="16" t="s">
        <v>858</v>
      </c>
      <c r="B49" s="16" t="s">
        <v>859</v>
      </c>
      <c r="C49" s="42" t="s">
        <v>860</v>
      </c>
      <c r="D49" s="8">
        <v>1.0</v>
      </c>
    </row>
    <row r="50">
      <c r="A50" s="16" t="s">
        <v>861</v>
      </c>
      <c r="B50" s="16" t="s">
        <v>862</v>
      </c>
      <c r="C50" s="42" t="s">
        <v>863</v>
      </c>
      <c r="D50" s="8">
        <v>1.0</v>
      </c>
    </row>
    <row r="51">
      <c r="A51" s="16" t="s">
        <v>864</v>
      </c>
      <c r="B51" s="16" t="s">
        <v>865</v>
      </c>
      <c r="C51" s="42" t="s">
        <v>866</v>
      </c>
      <c r="D51" s="8">
        <v>1.0</v>
      </c>
      <c r="E51" s="8" t="s">
        <v>867</v>
      </c>
      <c r="F51" s="8">
        <v>1.0</v>
      </c>
    </row>
    <row r="52">
      <c r="A52" s="16" t="s">
        <v>868</v>
      </c>
      <c r="B52" s="16" t="s">
        <v>869</v>
      </c>
      <c r="C52" s="42" t="s">
        <v>870</v>
      </c>
      <c r="D52" s="8">
        <v>1.0</v>
      </c>
    </row>
    <row r="53">
      <c r="A53" s="16" t="s">
        <v>871</v>
      </c>
      <c r="B53" s="16" t="s">
        <v>872</v>
      </c>
      <c r="C53" s="42" t="s">
        <v>873</v>
      </c>
      <c r="D53" s="8">
        <v>0.0</v>
      </c>
      <c r="E53" s="8" t="s">
        <v>874</v>
      </c>
      <c r="F53" s="8">
        <v>0.0</v>
      </c>
    </row>
    <row r="54">
      <c r="A54" s="16" t="s">
        <v>875</v>
      </c>
      <c r="B54" s="16" t="s">
        <v>876</v>
      </c>
      <c r="C54" s="42" t="s">
        <v>877</v>
      </c>
      <c r="D54" s="8">
        <v>0.0</v>
      </c>
      <c r="E54" s="8" t="s">
        <v>878</v>
      </c>
      <c r="F54" s="8">
        <v>1.0</v>
      </c>
    </row>
    <row r="55">
      <c r="A55" s="16" t="s">
        <v>879</v>
      </c>
      <c r="B55" s="16" t="s">
        <v>880</v>
      </c>
      <c r="C55" s="42" t="s">
        <v>881</v>
      </c>
      <c r="D55" s="8">
        <v>0.0</v>
      </c>
      <c r="E55" s="8" t="s">
        <v>882</v>
      </c>
      <c r="F55" s="8">
        <v>1.0</v>
      </c>
    </row>
    <row r="56">
      <c r="A56" s="16" t="s">
        <v>883</v>
      </c>
      <c r="B56" s="16" t="s">
        <v>884</v>
      </c>
      <c r="C56" s="42" t="s">
        <v>885</v>
      </c>
      <c r="D56" s="8">
        <v>1.0</v>
      </c>
      <c r="E56" s="8" t="s">
        <v>886</v>
      </c>
      <c r="F56" s="8">
        <v>1.0</v>
      </c>
    </row>
    <row r="57">
      <c r="A57" s="16" t="s">
        <v>887</v>
      </c>
      <c r="B57" s="16" t="s">
        <v>888</v>
      </c>
      <c r="C57" s="42" t="s">
        <v>889</v>
      </c>
      <c r="D57" s="8">
        <v>1.0</v>
      </c>
    </row>
    <row r="58">
      <c r="A58" s="16" t="s">
        <v>890</v>
      </c>
      <c r="B58" s="16" t="s">
        <v>891</v>
      </c>
      <c r="C58" s="42" t="s">
        <v>892</v>
      </c>
      <c r="D58" s="8">
        <v>0.0</v>
      </c>
      <c r="E58" s="8" t="s">
        <v>893</v>
      </c>
      <c r="F58" s="8">
        <v>1.0</v>
      </c>
    </row>
    <row r="59">
      <c r="A59" s="16" t="s">
        <v>894</v>
      </c>
      <c r="B59" s="16" t="s">
        <v>895</v>
      </c>
      <c r="C59" s="42" t="s">
        <v>896</v>
      </c>
      <c r="D59" s="8">
        <v>0.0</v>
      </c>
      <c r="E59" s="8" t="s">
        <v>897</v>
      </c>
      <c r="F59" s="8">
        <v>1.0</v>
      </c>
    </row>
    <row r="60">
      <c r="A60" s="16" t="s">
        <v>898</v>
      </c>
      <c r="B60" s="16" t="s">
        <v>899</v>
      </c>
      <c r="C60" s="42" t="s">
        <v>900</v>
      </c>
      <c r="D60" s="8">
        <v>1.0</v>
      </c>
    </row>
    <row r="61">
      <c r="A61" s="16" t="s">
        <v>901</v>
      </c>
      <c r="B61" s="16" t="s">
        <v>902</v>
      </c>
      <c r="C61" s="42" t="s">
        <v>903</v>
      </c>
      <c r="D61" s="8">
        <v>1.0</v>
      </c>
    </row>
    <row r="62">
      <c r="A62" s="16" t="s">
        <v>904</v>
      </c>
      <c r="B62" s="16" t="s">
        <v>905</v>
      </c>
      <c r="C62" s="42" t="s">
        <v>906</v>
      </c>
      <c r="D62" s="8">
        <v>1.0</v>
      </c>
    </row>
    <row r="63">
      <c r="A63" s="16" t="s">
        <v>907</v>
      </c>
      <c r="B63" s="16" t="s">
        <v>908</v>
      </c>
      <c r="C63" s="42" t="s">
        <v>909</v>
      </c>
      <c r="D63" s="8">
        <v>1.0</v>
      </c>
    </row>
    <row r="64">
      <c r="A64" s="16" t="s">
        <v>910</v>
      </c>
      <c r="B64" s="16" t="s">
        <v>911</v>
      </c>
      <c r="C64" s="42" t="s">
        <v>912</v>
      </c>
      <c r="D64" s="8">
        <v>1.0</v>
      </c>
    </row>
    <row r="65">
      <c r="A65" s="16" t="s">
        <v>913</v>
      </c>
      <c r="B65" s="16" t="s">
        <v>914</v>
      </c>
      <c r="C65" s="42" t="s">
        <v>915</v>
      </c>
      <c r="D65" s="8">
        <v>1.0</v>
      </c>
    </row>
    <row r="66">
      <c r="A66" s="16" t="s">
        <v>916</v>
      </c>
      <c r="B66" s="16" t="s">
        <v>917</v>
      </c>
      <c r="C66" s="42" t="s">
        <v>918</v>
      </c>
      <c r="D66" s="8">
        <v>1.0</v>
      </c>
    </row>
    <row r="67">
      <c r="A67" s="16" t="s">
        <v>919</v>
      </c>
      <c r="B67" s="16" t="s">
        <v>920</v>
      </c>
      <c r="C67" s="42" t="s">
        <v>921</v>
      </c>
      <c r="D67" s="8">
        <v>1.0</v>
      </c>
    </row>
    <row r="68">
      <c r="A68" s="16" t="s">
        <v>922</v>
      </c>
      <c r="B68" s="16" t="s">
        <v>923</v>
      </c>
      <c r="C68" s="42" t="s">
        <v>924</v>
      </c>
      <c r="D68" s="8">
        <v>1.0</v>
      </c>
    </row>
    <row r="69">
      <c r="A69" s="16" t="s">
        <v>925</v>
      </c>
      <c r="B69" s="16" t="s">
        <v>926</v>
      </c>
      <c r="C69" s="42" t="s">
        <v>927</v>
      </c>
      <c r="D69" s="8">
        <v>0.0</v>
      </c>
      <c r="E69" s="8" t="s">
        <v>928</v>
      </c>
      <c r="F69" s="8">
        <v>1.0</v>
      </c>
    </row>
    <row r="70">
      <c r="A70" s="16" t="s">
        <v>929</v>
      </c>
      <c r="B70" s="16" t="s">
        <v>930</v>
      </c>
      <c r="C70" s="42" t="s">
        <v>931</v>
      </c>
      <c r="D70" s="8">
        <v>0.0</v>
      </c>
      <c r="E70" s="8" t="s">
        <v>932</v>
      </c>
      <c r="F70" s="8">
        <v>1.0</v>
      </c>
    </row>
    <row r="71">
      <c r="A71" s="16" t="s">
        <v>933</v>
      </c>
      <c r="B71" s="16" t="s">
        <v>934</v>
      </c>
      <c r="C71" s="42" t="s">
        <v>935</v>
      </c>
      <c r="D71" s="8">
        <v>1.0</v>
      </c>
    </row>
    <row r="72">
      <c r="A72" s="16" t="s">
        <v>936</v>
      </c>
      <c r="B72" s="16" t="s">
        <v>937</v>
      </c>
      <c r="C72" s="42" t="s">
        <v>938</v>
      </c>
      <c r="D72" s="8">
        <v>1.0</v>
      </c>
    </row>
    <row r="73">
      <c r="A73" s="16" t="s">
        <v>939</v>
      </c>
      <c r="B73" s="16" t="s">
        <v>940</v>
      </c>
      <c r="C73" s="42" t="s">
        <v>941</v>
      </c>
    </row>
    <row r="74">
      <c r="A74" s="16" t="s">
        <v>942</v>
      </c>
      <c r="B74" s="16" t="s">
        <v>943</v>
      </c>
      <c r="C74" s="42" t="s">
        <v>944</v>
      </c>
    </row>
    <row r="75">
      <c r="A75" s="16" t="s">
        <v>945</v>
      </c>
      <c r="B75" s="16" t="s">
        <v>946</v>
      </c>
      <c r="C75" s="42" t="s">
        <v>947</v>
      </c>
      <c r="D75" s="8">
        <v>1.0</v>
      </c>
    </row>
    <row r="76">
      <c r="A76" s="16" t="s">
        <v>948</v>
      </c>
      <c r="B76" s="16" t="s">
        <v>949</v>
      </c>
      <c r="C76" s="42" t="s">
        <v>950</v>
      </c>
      <c r="D76" s="8">
        <v>1.0</v>
      </c>
    </row>
    <row r="77">
      <c r="A77" s="16" t="s">
        <v>951</v>
      </c>
      <c r="B77" s="16" t="s">
        <v>952</v>
      </c>
      <c r="C77" s="42" t="s">
        <v>953</v>
      </c>
      <c r="D77" s="8">
        <v>1.0</v>
      </c>
      <c r="E77" s="8" t="s">
        <v>954</v>
      </c>
      <c r="F77" s="8">
        <v>1.0</v>
      </c>
    </row>
    <row r="78">
      <c r="A78" s="16" t="s">
        <v>955</v>
      </c>
      <c r="B78" s="16" t="s">
        <v>956</v>
      </c>
      <c r="C78" s="42" t="s">
        <v>957</v>
      </c>
      <c r="D78" s="8">
        <v>1.0</v>
      </c>
    </row>
    <row r="79">
      <c r="A79" s="16" t="s">
        <v>958</v>
      </c>
      <c r="B79" s="16" t="s">
        <v>959</v>
      </c>
      <c r="C79" s="42" t="s">
        <v>960</v>
      </c>
      <c r="D79" s="8">
        <v>1.0</v>
      </c>
    </row>
    <row r="80">
      <c r="A80" s="16" t="s">
        <v>961</v>
      </c>
      <c r="B80" s="16" t="s">
        <v>962</v>
      </c>
      <c r="C80" s="42" t="s">
        <v>963</v>
      </c>
      <c r="D80" s="8">
        <v>1.0</v>
      </c>
    </row>
    <row r="81">
      <c r="A81" s="16" t="s">
        <v>964</v>
      </c>
      <c r="B81" s="16" t="s">
        <v>965</v>
      </c>
      <c r="C81" s="42" t="s">
        <v>966</v>
      </c>
      <c r="D81" s="8">
        <v>1.0</v>
      </c>
    </row>
    <row r="82">
      <c r="A82" s="16" t="s">
        <v>967</v>
      </c>
      <c r="B82" s="16" t="s">
        <v>968</v>
      </c>
      <c r="C82" s="42" t="s">
        <v>969</v>
      </c>
      <c r="D82" s="8">
        <v>1.0</v>
      </c>
    </row>
    <row r="83">
      <c r="A83" s="16" t="s">
        <v>970</v>
      </c>
      <c r="B83" s="16" t="s">
        <v>971</v>
      </c>
      <c r="C83" s="42" t="s">
        <v>972</v>
      </c>
      <c r="D83" s="8">
        <v>1.0</v>
      </c>
    </row>
    <row r="84">
      <c r="A84" s="16" t="s">
        <v>973</v>
      </c>
      <c r="B84" s="16" t="s">
        <v>974</v>
      </c>
      <c r="C84" s="42" t="s">
        <v>975</v>
      </c>
      <c r="D84" s="8">
        <v>0.0</v>
      </c>
      <c r="E84" s="8" t="s">
        <v>976</v>
      </c>
      <c r="F84" s="8">
        <v>1.0</v>
      </c>
    </row>
    <row r="85">
      <c r="A85" s="16" t="s">
        <v>977</v>
      </c>
      <c r="B85" s="16" t="s">
        <v>978</v>
      </c>
      <c r="C85" s="42" t="s">
        <v>979</v>
      </c>
      <c r="D85" s="8">
        <v>1.0</v>
      </c>
    </row>
    <row r="86">
      <c r="A86" s="16" t="s">
        <v>980</v>
      </c>
      <c r="B86" s="16" t="s">
        <v>981</v>
      </c>
      <c r="C86" s="42" t="s">
        <v>982</v>
      </c>
      <c r="D86" s="8">
        <v>1.0</v>
      </c>
    </row>
    <row r="87">
      <c r="A87" s="16" t="s">
        <v>983</v>
      </c>
      <c r="B87" s="16" t="s">
        <v>984</v>
      </c>
      <c r="C87" s="42" t="s">
        <v>985</v>
      </c>
      <c r="D87" s="8">
        <v>1.0</v>
      </c>
    </row>
    <row r="88">
      <c r="A88" s="16" t="s">
        <v>986</v>
      </c>
      <c r="B88" s="16" t="s">
        <v>987</v>
      </c>
      <c r="C88" s="42" t="s">
        <v>988</v>
      </c>
      <c r="D88" s="8">
        <v>1.0</v>
      </c>
    </row>
    <row r="89">
      <c r="A89" s="16" t="s">
        <v>989</v>
      </c>
      <c r="B89" s="16" t="s">
        <v>990</v>
      </c>
      <c r="C89" s="42" t="s">
        <v>991</v>
      </c>
      <c r="D89" s="8">
        <v>0.0</v>
      </c>
      <c r="E89" s="8" t="s">
        <v>992</v>
      </c>
      <c r="F89" s="8">
        <v>1.0</v>
      </c>
    </row>
    <row r="90">
      <c r="A90" s="16" t="s">
        <v>993</v>
      </c>
      <c r="B90" s="16" t="s">
        <v>994</v>
      </c>
      <c r="C90" s="42" t="s">
        <v>995</v>
      </c>
      <c r="D90" s="8">
        <v>1.0</v>
      </c>
    </row>
    <row r="91">
      <c r="A91" s="16" t="s">
        <v>996</v>
      </c>
      <c r="B91" s="16" t="s">
        <v>997</v>
      </c>
      <c r="C91" s="42" t="s">
        <v>998</v>
      </c>
      <c r="D91" s="8">
        <v>1.0</v>
      </c>
    </row>
    <row r="92">
      <c r="A92" s="16" t="s">
        <v>999</v>
      </c>
      <c r="B92" s="16" t="s">
        <v>1000</v>
      </c>
      <c r="C92" s="42" t="s">
        <v>1001</v>
      </c>
      <c r="D92" s="8">
        <v>1.0</v>
      </c>
    </row>
    <row r="93">
      <c r="A93" s="16" t="s">
        <v>1002</v>
      </c>
      <c r="B93" s="16" t="s">
        <v>1003</v>
      </c>
      <c r="C93" s="42" t="s">
        <v>1004</v>
      </c>
      <c r="D93" s="8">
        <v>1.0</v>
      </c>
    </row>
    <row r="94">
      <c r="A94" s="28"/>
      <c r="B94" s="16"/>
      <c r="C94" s="53"/>
      <c r="D94" s="29">
        <f>sum(D1:D93)</f>
        <v>67</v>
      </c>
      <c r="F94" s="29">
        <f>SUM(F2:F93)</f>
        <v>21</v>
      </c>
    </row>
    <row r="95">
      <c r="A95" s="28"/>
      <c r="B95" s="54"/>
      <c r="C95" s="53"/>
      <c r="D95" s="29">
        <f>67/92</f>
        <v>0.7282608696</v>
      </c>
      <c r="F95" s="29">
        <f>(67+21)/92</f>
        <v>0.9565217391</v>
      </c>
    </row>
    <row r="96">
      <c r="A96" s="28"/>
      <c r="B96" s="55"/>
      <c r="C96" s="53"/>
      <c r="D96" s="8"/>
    </row>
    <row r="97">
      <c r="A97" s="28"/>
      <c r="B97" s="55"/>
      <c r="C97" s="42"/>
    </row>
    <row r="98">
      <c r="A98" s="28"/>
      <c r="B98" s="55"/>
      <c r="C98" s="42"/>
    </row>
    <row r="99">
      <c r="A99" s="28"/>
      <c r="B99" s="55"/>
      <c r="C99" s="42"/>
    </row>
    <row r="100">
      <c r="A100" s="28"/>
      <c r="B100" s="56"/>
      <c r="C100" s="53"/>
    </row>
    <row r="101">
      <c r="A101" s="28"/>
      <c r="B101" s="57"/>
      <c r="C101" s="42"/>
    </row>
    <row r="102">
      <c r="A102" s="28"/>
      <c r="B102" s="57"/>
      <c r="C102" s="53"/>
    </row>
    <row r="103">
      <c r="A103" s="28"/>
      <c r="B103" s="58"/>
      <c r="C103" s="53"/>
    </row>
    <row r="104">
      <c r="A104" s="28"/>
      <c r="B104" s="16"/>
      <c r="C104" s="53"/>
    </row>
    <row r="105">
      <c r="A105" s="28"/>
      <c r="B105" s="16"/>
      <c r="C105" s="53"/>
    </row>
    <row r="106">
      <c r="A106" s="28"/>
      <c r="B106" s="16"/>
      <c r="C106" s="53"/>
    </row>
    <row r="107">
      <c r="A107" s="28"/>
      <c r="B107" s="16"/>
      <c r="C107" s="53"/>
    </row>
    <row r="108">
      <c r="A108" s="28"/>
      <c r="B108" s="16"/>
      <c r="C108" s="53"/>
    </row>
    <row r="109">
      <c r="A109" s="28"/>
      <c r="B109" s="16"/>
      <c r="C109" s="53"/>
    </row>
    <row r="110">
      <c r="A110" s="28"/>
      <c r="B110" s="16"/>
      <c r="C110" s="53"/>
    </row>
    <row r="111">
      <c r="A111" s="28"/>
      <c r="B111" s="16"/>
      <c r="C111" s="53"/>
    </row>
    <row r="112">
      <c r="A112" s="28"/>
      <c r="B112" s="16"/>
      <c r="C112" s="53"/>
    </row>
    <row r="113">
      <c r="A113" s="28"/>
      <c r="B113" s="16"/>
      <c r="C113" s="53"/>
    </row>
    <row r="114">
      <c r="A114" s="28"/>
      <c r="B114" s="16"/>
      <c r="C114" s="53"/>
    </row>
    <row r="115">
      <c r="A115" s="28"/>
      <c r="B115" s="16"/>
      <c r="C115" s="53"/>
    </row>
    <row r="116">
      <c r="A116" s="28"/>
      <c r="B116" s="16"/>
      <c r="C116" s="53"/>
    </row>
    <row r="117">
      <c r="A117" s="28"/>
      <c r="B117" s="16"/>
      <c r="C117" s="53"/>
    </row>
    <row r="118">
      <c r="A118" s="28"/>
      <c r="B118" s="16"/>
      <c r="C118" s="53"/>
    </row>
    <row r="119">
      <c r="A119" s="28"/>
      <c r="B119" s="16"/>
      <c r="C119" s="53"/>
    </row>
    <row r="120">
      <c r="A120" s="28"/>
      <c r="B120" s="16"/>
      <c r="C120" s="53"/>
    </row>
    <row r="121">
      <c r="A121" s="28"/>
      <c r="B121" s="16"/>
      <c r="C121" s="53"/>
    </row>
    <row r="122">
      <c r="A122" s="28"/>
      <c r="B122" s="16"/>
      <c r="C122" s="53"/>
    </row>
    <row r="123">
      <c r="A123" s="28"/>
      <c r="B123" s="16"/>
      <c r="C123" s="53"/>
    </row>
    <row r="124">
      <c r="A124" s="28"/>
      <c r="B124" s="16"/>
      <c r="C124" s="53"/>
    </row>
    <row r="125">
      <c r="A125" s="28"/>
      <c r="B125" s="16"/>
      <c r="C125" s="53"/>
    </row>
    <row r="126">
      <c r="A126" s="28"/>
      <c r="B126" s="16"/>
      <c r="C126" s="53"/>
    </row>
    <row r="127">
      <c r="A127" s="28"/>
      <c r="B127" s="16"/>
      <c r="C127" s="53"/>
    </row>
    <row r="128">
      <c r="A128" s="28"/>
      <c r="B128" s="16"/>
      <c r="C128" s="53"/>
    </row>
    <row r="129">
      <c r="A129" s="28"/>
      <c r="B129" s="16"/>
      <c r="C129" s="53"/>
    </row>
    <row r="130">
      <c r="A130" s="28"/>
      <c r="B130" s="16"/>
      <c r="C130" s="53"/>
    </row>
    <row r="131">
      <c r="A131" s="28"/>
      <c r="B131" s="16"/>
      <c r="C131" s="53"/>
    </row>
    <row r="132">
      <c r="A132" s="28"/>
      <c r="B132" s="16"/>
      <c r="C132" s="53"/>
    </row>
    <row r="133">
      <c r="A133" s="28"/>
      <c r="B133" s="16"/>
      <c r="C133" s="53"/>
    </row>
    <row r="134">
      <c r="A134" s="28"/>
      <c r="B134" s="16"/>
      <c r="C134" s="53"/>
    </row>
    <row r="135">
      <c r="A135" s="28"/>
      <c r="B135" s="16"/>
      <c r="C135" s="53"/>
    </row>
    <row r="136">
      <c r="A136" s="28"/>
      <c r="B136" s="16"/>
      <c r="C136" s="53"/>
    </row>
    <row r="137">
      <c r="A137" s="28"/>
      <c r="B137" s="16"/>
      <c r="C137" s="53"/>
    </row>
    <row r="138">
      <c r="A138" s="28"/>
      <c r="B138" s="16"/>
      <c r="C138" s="53"/>
    </row>
    <row r="139">
      <c r="A139" s="28"/>
      <c r="B139" s="16"/>
      <c r="C139" s="53"/>
    </row>
    <row r="140">
      <c r="A140" s="28"/>
      <c r="B140" s="16"/>
      <c r="C140" s="53"/>
    </row>
    <row r="141">
      <c r="A141" s="28"/>
      <c r="B141" s="16"/>
      <c r="C141" s="53"/>
    </row>
    <row r="142">
      <c r="A142" s="28"/>
      <c r="B142" s="16"/>
      <c r="C142" s="53"/>
    </row>
    <row r="143">
      <c r="A143" s="28"/>
      <c r="B143" s="16"/>
      <c r="C143" s="53"/>
    </row>
    <row r="144">
      <c r="A144" s="28"/>
      <c r="B144" s="16"/>
      <c r="C144" s="53"/>
    </row>
    <row r="145">
      <c r="A145" s="28"/>
      <c r="B145" s="16"/>
      <c r="C145" s="53"/>
    </row>
    <row r="146">
      <c r="A146" s="28"/>
      <c r="B146" s="16"/>
      <c r="C146" s="53"/>
    </row>
    <row r="147">
      <c r="A147" s="28"/>
      <c r="B147" s="16"/>
      <c r="C147" s="53"/>
    </row>
    <row r="148">
      <c r="A148" s="28"/>
      <c r="B148" s="16"/>
      <c r="C148" s="53"/>
    </row>
    <row r="149">
      <c r="A149" s="28"/>
      <c r="B149" s="16"/>
      <c r="C149" s="53"/>
    </row>
    <row r="150">
      <c r="A150" s="28"/>
      <c r="B150" s="16"/>
      <c r="C150" s="53"/>
    </row>
    <row r="151">
      <c r="A151" s="28"/>
      <c r="B151" s="16"/>
      <c r="C151" s="53"/>
    </row>
    <row r="152">
      <c r="A152" s="28"/>
      <c r="B152" s="16"/>
      <c r="C152" s="53"/>
    </row>
    <row r="153">
      <c r="A153" s="28"/>
      <c r="B153" s="16"/>
      <c r="C153" s="53"/>
    </row>
    <row r="154">
      <c r="A154" s="28"/>
      <c r="B154" s="16"/>
      <c r="C154" s="53"/>
    </row>
    <row r="155">
      <c r="A155" s="28"/>
      <c r="B155" s="16"/>
      <c r="C155" s="53"/>
    </row>
    <row r="156">
      <c r="A156" s="28"/>
      <c r="B156" s="16"/>
      <c r="C156" s="53"/>
    </row>
    <row r="157">
      <c r="A157" s="28"/>
      <c r="B157" s="16"/>
      <c r="C157" s="53"/>
    </row>
    <row r="158">
      <c r="A158" s="28"/>
      <c r="B158" s="16"/>
      <c r="C158" s="53"/>
    </row>
    <row r="159">
      <c r="A159" s="28"/>
      <c r="B159" s="16"/>
      <c r="C159" s="53"/>
    </row>
    <row r="160">
      <c r="A160" s="28"/>
      <c r="B160" s="16"/>
      <c r="C160" s="53"/>
    </row>
    <row r="161">
      <c r="A161" s="28"/>
      <c r="B161" s="16"/>
      <c r="C161" s="53"/>
    </row>
    <row r="162">
      <c r="A162" s="28"/>
      <c r="B162" s="16"/>
      <c r="C162" s="53"/>
    </row>
    <row r="163">
      <c r="A163" s="28"/>
      <c r="B163" s="16"/>
      <c r="C163" s="53"/>
    </row>
    <row r="164">
      <c r="A164" s="28"/>
      <c r="B164" s="16"/>
      <c r="C164" s="53"/>
    </row>
    <row r="165">
      <c r="A165" s="28"/>
      <c r="B165" s="16"/>
      <c r="C165" s="53"/>
    </row>
    <row r="166">
      <c r="A166" s="28"/>
      <c r="B166" s="16"/>
      <c r="C166" s="53"/>
    </row>
    <row r="167">
      <c r="A167" s="28"/>
      <c r="B167" s="16"/>
      <c r="C167" s="53"/>
    </row>
    <row r="168">
      <c r="A168" s="28"/>
      <c r="B168" s="16"/>
      <c r="C168" s="53"/>
    </row>
    <row r="169">
      <c r="A169" s="28"/>
      <c r="B169" s="16"/>
      <c r="C169" s="53"/>
    </row>
    <row r="170">
      <c r="A170" s="28"/>
      <c r="B170" s="16"/>
      <c r="C170" s="53"/>
    </row>
    <row r="171">
      <c r="A171" s="28"/>
      <c r="B171" s="16"/>
      <c r="C171" s="53"/>
    </row>
    <row r="172">
      <c r="A172" s="28"/>
      <c r="B172" s="16"/>
      <c r="C172" s="53"/>
    </row>
    <row r="173">
      <c r="A173" s="28"/>
      <c r="B173" s="16"/>
      <c r="C173" s="53"/>
    </row>
    <row r="174">
      <c r="A174" s="28"/>
      <c r="B174" s="16"/>
      <c r="C174" s="53"/>
    </row>
    <row r="175">
      <c r="A175" s="28"/>
      <c r="B175" s="16"/>
      <c r="C175" s="53"/>
    </row>
    <row r="176">
      <c r="A176" s="28"/>
      <c r="B176" s="16"/>
      <c r="C176" s="53"/>
    </row>
    <row r="177">
      <c r="A177" s="28"/>
      <c r="B177" s="16"/>
      <c r="C177" s="53"/>
    </row>
    <row r="178">
      <c r="A178" s="28"/>
      <c r="B178" s="16"/>
      <c r="C178" s="53"/>
    </row>
    <row r="179">
      <c r="A179" s="28"/>
      <c r="B179" s="16"/>
      <c r="C179" s="53"/>
    </row>
    <row r="180">
      <c r="A180" s="28"/>
      <c r="B180" s="16"/>
      <c r="C180" s="53"/>
    </row>
    <row r="181">
      <c r="A181" s="28"/>
      <c r="B181" s="16"/>
      <c r="C181" s="53"/>
    </row>
    <row r="182">
      <c r="A182" s="28"/>
      <c r="B182" s="16"/>
      <c r="C182" s="53"/>
    </row>
    <row r="183">
      <c r="A183" s="28"/>
      <c r="B183" s="16"/>
      <c r="C183" s="53"/>
    </row>
    <row r="184">
      <c r="A184" s="28"/>
      <c r="B184" s="16"/>
      <c r="C184" s="53"/>
    </row>
    <row r="185">
      <c r="A185" s="28"/>
      <c r="B185" s="16"/>
      <c r="C185" s="53"/>
    </row>
    <row r="186">
      <c r="A186" s="28"/>
      <c r="B186" s="16"/>
      <c r="C186" s="53"/>
    </row>
    <row r="187">
      <c r="A187" s="28"/>
      <c r="B187" s="16"/>
      <c r="C187" s="53"/>
    </row>
    <row r="188">
      <c r="A188" s="28"/>
      <c r="B188" s="16"/>
      <c r="C188" s="53"/>
    </row>
    <row r="189">
      <c r="A189" s="28"/>
      <c r="B189" s="16"/>
      <c r="C189" s="53"/>
    </row>
    <row r="190">
      <c r="A190" s="28"/>
      <c r="B190" s="16"/>
      <c r="C190" s="53"/>
    </row>
    <row r="191">
      <c r="A191" s="28"/>
      <c r="B191" s="16"/>
      <c r="C191" s="53"/>
    </row>
    <row r="192">
      <c r="A192" s="28"/>
      <c r="B192" s="16"/>
      <c r="C192" s="53"/>
    </row>
    <row r="193">
      <c r="A193" s="28"/>
      <c r="B193" s="16"/>
      <c r="C193" s="53"/>
    </row>
    <row r="194">
      <c r="A194" s="28"/>
      <c r="B194" s="16"/>
      <c r="C194" s="53"/>
    </row>
    <row r="195">
      <c r="A195" s="28"/>
      <c r="B195" s="16"/>
      <c r="C195" s="53"/>
    </row>
    <row r="196">
      <c r="A196" s="28"/>
      <c r="B196" s="16"/>
      <c r="C196" s="53"/>
    </row>
    <row r="197">
      <c r="A197" s="28"/>
      <c r="B197" s="16"/>
      <c r="C197" s="53"/>
    </row>
    <row r="198">
      <c r="A198" s="28"/>
      <c r="B198" s="16"/>
      <c r="C198" s="53"/>
    </row>
    <row r="199">
      <c r="A199" s="28"/>
      <c r="B199" s="16"/>
      <c r="C199" s="53"/>
    </row>
    <row r="200">
      <c r="A200" s="28"/>
      <c r="B200" s="16"/>
      <c r="C200" s="53"/>
    </row>
    <row r="201">
      <c r="A201" s="28"/>
      <c r="B201" s="16"/>
      <c r="C201" s="53"/>
    </row>
    <row r="202">
      <c r="A202" s="28"/>
      <c r="B202" s="16"/>
      <c r="C202" s="53"/>
    </row>
    <row r="203">
      <c r="A203" s="28"/>
      <c r="B203" s="16"/>
      <c r="C203" s="53"/>
    </row>
    <row r="204">
      <c r="A204" s="28"/>
      <c r="B204" s="16"/>
      <c r="C204" s="53"/>
    </row>
    <row r="205">
      <c r="A205" s="28"/>
      <c r="B205" s="16"/>
      <c r="C205" s="53"/>
    </row>
    <row r="206">
      <c r="A206" s="28"/>
      <c r="B206" s="16"/>
      <c r="C206" s="53"/>
    </row>
    <row r="207">
      <c r="A207" s="28"/>
      <c r="B207" s="16"/>
      <c r="C207" s="53"/>
    </row>
    <row r="208">
      <c r="A208" s="28"/>
      <c r="B208" s="16"/>
      <c r="C208" s="53"/>
    </row>
    <row r="209">
      <c r="A209" s="28"/>
      <c r="B209" s="16"/>
      <c r="C209" s="53"/>
    </row>
    <row r="210">
      <c r="A210" s="28"/>
      <c r="B210" s="16"/>
      <c r="C210" s="53"/>
    </row>
    <row r="211">
      <c r="A211" s="28"/>
      <c r="B211" s="16"/>
      <c r="C211" s="53"/>
    </row>
    <row r="212">
      <c r="A212" s="28"/>
      <c r="B212" s="16"/>
      <c r="C212" s="53"/>
    </row>
    <row r="213">
      <c r="A213" s="28"/>
      <c r="B213" s="16"/>
      <c r="C213" s="53"/>
    </row>
    <row r="214">
      <c r="A214" s="28"/>
      <c r="B214" s="16"/>
      <c r="C214" s="53"/>
    </row>
    <row r="215">
      <c r="A215" s="28"/>
      <c r="B215" s="16"/>
      <c r="C215" s="53"/>
    </row>
    <row r="216">
      <c r="A216" s="28"/>
      <c r="B216" s="16"/>
      <c r="C216" s="53"/>
    </row>
    <row r="217">
      <c r="A217" s="28"/>
      <c r="B217" s="16"/>
      <c r="C217" s="53"/>
    </row>
    <row r="218">
      <c r="A218" s="28"/>
      <c r="B218" s="16"/>
      <c r="C218" s="53"/>
    </row>
    <row r="219">
      <c r="A219" s="28"/>
      <c r="B219" s="16"/>
      <c r="C219" s="53"/>
    </row>
    <row r="220">
      <c r="A220" s="28"/>
      <c r="B220" s="16"/>
      <c r="C220" s="53"/>
    </row>
    <row r="221">
      <c r="A221" s="28"/>
      <c r="B221" s="16"/>
      <c r="C221" s="53"/>
    </row>
    <row r="222">
      <c r="A222" s="28"/>
      <c r="B222" s="16"/>
      <c r="C222" s="53"/>
    </row>
    <row r="223">
      <c r="A223" s="28"/>
      <c r="B223" s="16"/>
      <c r="C223" s="53"/>
    </row>
    <row r="224">
      <c r="A224" s="28"/>
      <c r="B224" s="16"/>
      <c r="C224" s="53"/>
    </row>
    <row r="225">
      <c r="A225" s="28"/>
      <c r="B225" s="16"/>
      <c r="C225" s="53"/>
    </row>
    <row r="226">
      <c r="A226" s="28"/>
      <c r="B226" s="16"/>
      <c r="C226" s="53"/>
    </row>
    <row r="227">
      <c r="A227" s="28"/>
      <c r="B227" s="16"/>
      <c r="C227" s="53"/>
    </row>
    <row r="228">
      <c r="A228" s="28"/>
      <c r="B228" s="16"/>
      <c r="C228" s="53"/>
    </row>
    <row r="229">
      <c r="A229" s="28"/>
      <c r="B229" s="16"/>
      <c r="C229" s="53"/>
    </row>
    <row r="230">
      <c r="A230" s="28"/>
      <c r="B230" s="16"/>
      <c r="C230" s="53"/>
    </row>
    <row r="231">
      <c r="A231" s="28"/>
      <c r="B231" s="16"/>
      <c r="C231" s="53"/>
    </row>
    <row r="232">
      <c r="A232" s="28"/>
      <c r="B232" s="16"/>
      <c r="C232" s="53"/>
    </row>
    <row r="233">
      <c r="A233" s="28"/>
      <c r="B233" s="16"/>
      <c r="C233" s="53"/>
    </row>
    <row r="234">
      <c r="A234" s="28"/>
      <c r="B234" s="16"/>
      <c r="C234" s="53"/>
    </row>
    <row r="235">
      <c r="A235" s="28"/>
      <c r="B235" s="16"/>
      <c r="C235" s="53"/>
    </row>
    <row r="236">
      <c r="A236" s="28"/>
      <c r="B236" s="16"/>
      <c r="C236" s="53"/>
    </row>
    <row r="237">
      <c r="A237" s="28"/>
      <c r="B237" s="16"/>
      <c r="C237" s="53"/>
    </row>
    <row r="238">
      <c r="A238" s="28"/>
      <c r="B238" s="16"/>
      <c r="C238" s="53"/>
    </row>
    <row r="239">
      <c r="A239" s="28"/>
      <c r="B239" s="16"/>
      <c r="C239" s="53"/>
    </row>
    <row r="240">
      <c r="A240" s="28"/>
      <c r="B240" s="16"/>
      <c r="C240" s="53"/>
    </row>
    <row r="241">
      <c r="A241" s="28"/>
      <c r="B241" s="16"/>
      <c r="C241" s="53"/>
    </row>
    <row r="242">
      <c r="A242" s="28"/>
      <c r="B242" s="16"/>
      <c r="C242" s="53"/>
    </row>
    <row r="243">
      <c r="A243" s="28"/>
      <c r="B243" s="16"/>
      <c r="C243" s="53"/>
    </row>
    <row r="244">
      <c r="A244" s="28"/>
      <c r="B244" s="16"/>
      <c r="C244" s="53"/>
    </row>
    <row r="245">
      <c r="A245" s="28"/>
      <c r="B245" s="16"/>
      <c r="C245" s="53"/>
    </row>
    <row r="246">
      <c r="A246" s="28"/>
      <c r="B246" s="16"/>
      <c r="C246" s="53"/>
    </row>
    <row r="247">
      <c r="A247" s="28"/>
      <c r="B247" s="16"/>
      <c r="C247" s="53"/>
    </row>
    <row r="248">
      <c r="A248" s="28"/>
      <c r="B248" s="16"/>
      <c r="C248" s="53"/>
    </row>
    <row r="249">
      <c r="A249" s="28"/>
      <c r="B249" s="16"/>
      <c r="C249" s="53"/>
    </row>
    <row r="250">
      <c r="A250" s="28"/>
      <c r="B250" s="16"/>
      <c r="C250" s="53"/>
    </row>
    <row r="251">
      <c r="A251" s="28"/>
      <c r="B251" s="16"/>
      <c r="C251" s="53"/>
    </row>
    <row r="252">
      <c r="A252" s="28"/>
      <c r="B252" s="16"/>
      <c r="C252" s="53"/>
    </row>
    <row r="253">
      <c r="A253" s="28"/>
      <c r="B253" s="16"/>
      <c r="C253" s="53"/>
    </row>
    <row r="254">
      <c r="A254" s="28"/>
      <c r="B254" s="16"/>
      <c r="C254" s="53"/>
    </row>
    <row r="255">
      <c r="A255" s="28"/>
      <c r="B255" s="16"/>
      <c r="C255" s="53"/>
    </row>
    <row r="256">
      <c r="A256" s="28"/>
      <c r="B256" s="16"/>
      <c r="C256" s="53"/>
    </row>
    <row r="257">
      <c r="A257" s="28"/>
      <c r="B257" s="16"/>
      <c r="C257" s="53"/>
    </row>
    <row r="258">
      <c r="A258" s="28"/>
      <c r="B258" s="16"/>
      <c r="C258" s="53"/>
    </row>
    <row r="259">
      <c r="A259" s="28"/>
      <c r="B259" s="16"/>
      <c r="C259" s="53"/>
    </row>
    <row r="260">
      <c r="A260" s="28"/>
      <c r="B260" s="16"/>
      <c r="C260" s="53"/>
    </row>
    <row r="261">
      <c r="A261" s="28"/>
      <c r="B261" s="16"/>
      <c r="C261" s="53"/>
    </row>
    <row r="262">
      <c r="A262" s="28"/>
      <c r="B262" s="16"/>
      <c r="C262" s="53"/>
    </row>
    <row r="263">
      <c r="A263" s="28"/>
      <c r="B263" s="16"/>
      <c r="C263" s="53"/>
    </row>
    <row r="264">
      <c r="A264" s="28"/>
      <c r="B264" s="16"/>
      <c r="C264" s="53"/>
    </row>
    <row r="265">
      <c r="A265" s="28"/>
      <c r="B265" s="16"/>
      <c r="C265" s="53"/>
    </row>
    <row r="266">
      <c r="A266" s="28"/>
      <c r="B266" s="16"/>
      <c r="C266" s="53"/>
    </row>
    <row r="267">
      <c r="A267" s="28"/>
      <c r="B267" s="16"/>
      <c r="C267" s="53"/>
    </row>
    <row r="268">
      <c r="A268" s="28"/>
      <c r="B268" s="16"/>
      <c r="C268" s="53"/>
    </row>
    <row r="269">
      <c r="A269" s="28"/>
      <c r="B269" s="16"/>
      <c r="C269" s="53"/>
    </row>
    <row r="270">
      <c r="A270" s="28"/>
      <c r="B270" s="16"/>
      <c r="C270" s="53"/>
    </row>
    <row r="271">
      <c r="A271" s="28"/>
      <c r="B271" s="16"/>
      <c r="C271" s="53"/>
    </row>
    <row r="272">
      <c r="A272" s="28"/>
      <c r="B272" s="16"/>
      <c r="C272" s="53"/>
    </row>
    <row r="273">
      <c r="A273" s="28"/>
      <c r="B273" s="16"/>
      <c r="C273" s="53"/>
    </row>
    <row r="274">
      <c r="A274" s="28"/>
      <c r="B274" s="16"/>
      <c r="C274" s="53"/>
    </row>
    <row r="275">
      <c r="A275" s="28"/>
      <c r="B275" s="16"/>
      <c r="C275" s="53"/>
    </row>
    <row r="276">
      <c r="A276" s="28"/>
      <c r="B276" s="16"/>
      <c r="C276" s="53"/>
    </row>
    <row r="277">
      <c r="A277" s="28"/>
      <c r="B277" s="16"/>
      <c r="C277" s="53"/>
    </row>
    <row r="278">
      <c r="A278" s="28"/>
      <c r="B278" s="16"/>
      <c r="C278" s="53"/>
    </row>
    <row r="279">
      <c r="A279" s="28"/>
      <c r="B279" s="16"/>
      <c r="C279" s="53"/>
    </row>
    <row r="280">
      <c r="A280" s="28"/>
      <c r="B280" s="16"/>
      <c r="C280" s="53"/>
    </row>
    <row r="281">
      <c r="A281" s="28"/>
      <c r="B281" s="16"/>
      <c r="C281" s="53"/>
    </row>
    <row r="282">
      <c r="A282" s="28"/>
      <c r="B282" s="16"/>
      <c r="C282" s="53"/>
    </row>
    <row r="283">
      <c r="A283" s="28"/>
      <c r="B283" s="16"/>
      <c r="C283" s="53"/>
    </row>
    <row r="284">
      <c r="A284" s="28"/>
      <c r="B284" s="16"/>
      <c r="C284" s="53"/>
    </row>
    <row r="285">
      <c r="A285" s="28"/>
      <c r="B285" s="16"/>
      <c r="C285" s="53"/>
    </row>
    <row r="286">
      <c r="A286" s="28"/>
      <c r="B286" s="16"/>
      <c r="C286" s="53"/>
    </row>
    <row r="287">
      <c r="A287" s="28"/>
      <c r="B287" s="16"/>
      <c r="C287" s="53"/>
    </row>
    <row r="288">
      <c r="A288" s="28"/>
      <c r="B288" s="16"/>
      <c r="C288" s="53"/>
    </row>
    <row r="289">
      <c r="A289" s="28"/>
      <c r="B289" s="16"/>
      <c r="C289" s="53"/>
    </row>
    <row r="290">
      <c r="A290" s="28"/>
      <c r="B290" s="16"/>
      <c r="C290" s="53"/>
    </row>
    <row r="291">
      <c r="A291" s="28"/>
      <c r="B291" s="16"/>
      <c r="C291" s="53"/>
    </row>
    <row r="292">
      <c r="A292" s="28"/>
      <c r="B292" s="16"/>
      <c r="C292" s="53"/>
    </row>
    <row r="293">
      <c r="A293" s="28"/>
      <c r="B293" s="16"/>
      <c r="C293" s="53"/>
    </row>
    <row r="294">
      <c r="A294" s="28"/>
      <c r="B294" s="16"/>
      <c r="C294" s="53"/>
    </row>
    <row r="295">
      <c r="A295" s="28"/>
      <c r="B295" s="16"/>
      <c r="C295" s="53"/>
    </row>
    <row r="296">
      <c r="A296" s="28"/>
      <c r="B296" s="16"/>
      <c r="C296" s="53"/>
    </row>
    <row r="297">
      <c r="A297" s="28"/>
      <c r="B297" s="16"/>
      <c r="C297" s="53"/>
    </row>
    <row r="298">
      <c r="A298" s="28"/>
      <c r="B298" s="16"/>
      <c r="C298" s="53"/>
    </row>
    <row r="299">
      <c r="A299" s="28"/>
      <c r="B299" s="16"/>
      <c r="C299" s="53"/>
    </row>
    <row r="300">
      <c r="A300" s="28"/>
      <c r="B300" s="16"/>
      <c r="C300" s="53"/>
    </row>
    <row r="301">
      <c r="A301" s="28"/>
      <c r="B301" s="16"/>
      <c r="C301" s="53"/>
    </row>
    <row r="302">
      <c r="A302" s="28"/>
      <c r="B302" s="16"/>
      <c r="C302" s="53"/>
    </row>
    <row r="303">
      <c r="A303" s="28"/>
      <c r="B303" s="16"/>
      <c r="C303" s="53"/>
    </row>
    <row r="304">
      <c r="A304" s="28"/>
      <c r="B304" s="16"/>
      <c r="C304" s="53"/>
    </row>
    <row r="305">
      <c r="A305" s="28"/>
      <c r="B305" s="16"/>
      <c r="C305" s="53"/>
    </row>
    <row r="306">
      <c r="A306" s="28"/>
      <c r="B306" s="16"/>
      <c r="C306" s="53"/>
    </row>
    <row r="307">
      <c r="A307" s="28"/>
      <c r="B307" s="16"/>
      <c r="C307" s="53"/>
    </row>
    <row r="308">
      <c r="A308" s="28"/>
      <c r="B308" s="16"/>
      <c r="C308" s="53"/>
    </row>
    <row r="309">
      <c r="A309" s="28"/>
      <c r="B309" s="16"/>
      <c r="C309" s="53"/>
    </row>
    <row r="310">
      <c r="A310" s="28"/>
      <c r="B310" s="16"/>
      <c r="C310" s="53"/>
    </row>
    <row r="311">
      <c r="A311" s="28"/>
      <c r="B311" s="16"/>
      <c r="C311" s="53"/>
    </row>
    <row r="312">
      <c r="A312" s="28"/>
      <c r="B312" s="16"/>
      <c r="C312" s="53"/>
    </row>
    <row r="313">
      <c r="A313" s="28"/>
      <c r="B313" s="16"/>
      <c r="C313" s="53"/>
    </row>
    <row r="314">
      <c r="A314" s="28"/>
      <c r="B314" s="16"/>
      <c r="C314" s="53"/>
    </row>
    <row r="315">
      <c r="A315" s="28"/>
      <c r="B315" s="16"/>
      <c r="C315" s="53"/>
    </row>
    <row r="316">
      <c r="A316" s="28"/>
      <c r="B316" s="16"/>
      <c r="C316" s="53"/>
    </row>
    <row r="317">
      <c r="A317" s="28"/>
      <c r="B317" s="16"/>
      <c r="C317" s="53"/>
    </row>
    <row r="318">
      <c r="A318" s="28"/>
      <c r="B318" s="16"/>
      <c r="C318" s="53"/>
    </row>
    <row r="319">
      <c r="A319" s="28"/>
      <c r="B319" s="16"/>
      <c r="C319" s="53"/>
    </row>
    <row r="320">
      <c r="A320" s="28"/>
      <c r="B320" s="16"/>
      <c r="C320" s="53"/>
    </row>
    <row r="321">
      <c r="A321" s="28"/>
      <c r="B321" s="16"/>
      <c r="C321" s="53"/>
    </row>
    <row r="322">
      <c r="A322" s="28"/>
      <c r="B322" s="16"/>
      <c r="C322" s="53"/>
    </row>
    <row r="323">
      <c r="A323" s="28"/>
      <c r="B323" s="16"/>
      <c r="C323" s="53"/>
    </row>
    <row r="324">
      <c r="A324" s="28"/>
      <c r="B324" s="16"/>
      <c r="C324" s="53"/>
    </row>
    <row r="325">
      <c r="A325" s="28"/>
      <c r="B325" s="16"/>
      <c r="C325" s="53"/>
    </row>
    <row r="326">
      <c r="A326" s="28"/>
      <c r="B326" s="16"/>
      <c r="C326" s="53"/>
    </row>
    <row r="327">
      <c r="A327" s="28"/>
      <c r="B327" s="16"/>
      <c r="C327" s="53"/>
    </row>
    <row r="328">
      <c r="A328" s="28"/>
      <c r="B328" s="16"/>
      <c r="C328" s="53"/>
    </row>
    <row r="329">
      <c r="A329" s="28"/>
      <c r="B329" s="16"/>
      <c r="C329" s="53"/>
    </row>
    <row r="330">
      <c r="A330" s="28"/>
      <c r="B330" s="16"/>
      <c r="C330" s="53"/>
    </row>
    <row r="331">
      <c r="A331" s="28"/>
      <c r="B331" s="16"/>
      <c r="C331" s="53"/>
    </row>
    <row r="332">
      <c r="A332" s="28"/>
      <c r="B332" s="16"/>
      <c r="C332" s="53"/>
    </row>
    <row r="333">
      <c r="A333" s="28"/>
      <c r="B333" s="16"/>
      <c r="C333" s="53"/>
    </row>
    <row r="334">
      <c r="A334" s="28"/>
      <c r="B334" s="16"/>
      <c r="C334" s="53"/>
    </row>
    <row r="335">
      <c r="A335" s="28"/>
      <c r="B335" s="16"/>
      <c r="C335" s="53"/>
    </row>
    <row r="336">
      <c r="A336" s="28"/>
      <c r="B336" s="16"/>
      <c r="C336" s="53"/>
    </row>
    <row r="337">
      <c r="A337" s="28"/>
      <c r="B337" s="16"/>
      <c r="C337" s="53"/>
    </row>
    <row r="338">
      <c r="A338" s="28"/>
      <c r="B338" s="16"/>
      <c r="C338" s="53"/>
    </row>
    <row r="339">
      <c r="A339" s="28"/>
      <c r="B339" s="16"/>
      <c r="C339" s="53"/>
    </row>
    <row r="340">
      <c r="A340" s="28"/>
      <c r="B340" s="16"/>
      <c r="C340" s="53"/>
    </row>
    <row r="341">
      <c r="A341" s="28"/>
      <c r="B341" s="16"/>
      <c r="C341" s="53"/>
    </row>
    <row r="342">
      <c r="A342" s="28"/>
      <c r="B342" s="16"/>
      <c r="C342" s="53"/>
    </row>
    <row r="343">
      <c r="A343" s="28"/>
      <c r="B343" s="16"/>
      <c r="C343" s="53"/>
    </row>
    <row r="344">
      <c r="A344" s="28"/>
      <c r="B344" s="16"/>
      <c r="C344" s="53"/>
    </row>
    <row r="345">
      <c r="A345" s="28"/>
      <c r="B345" s="16"/>
      <c r="C345" s="53"/>
    </row>
    <row r="346">
      <c r="A346" s="28"/>
      <c r="B346" s="16"/>
      <c r="C346" s="53"/>
    </row>
    <row r="347">
      <c r="A347" s="28"/>
      <c r="B347" s="16"/>
      <c r="C347" s="53"/>
    </row>
    <row r="348">
      <c r="A348" s="28"/>
      <c r="B348" s="16"/>
      <c r="C348" s="53"/>
    </row>
    <row r="349">
      <c r="A349" s="28"/>
      <c r="B349" s="16"/>
      <c r="C349" s="53"/>
    </row>
    <row r="350">
      <c r="A350" s="28"/>
      <c r="B350" s="16"/>
      <c r="C350" s="53"/>
    </row>
    <row r="351">
      <c r="A351" s="28"/>
      <c r="B351" s="16"/>
      <c r="C351" s="53"/>
    </row>
    <row r="352">
      <c r="A352" s="28"/>
      <c r="B352" s="16"/>
      <c r="C352" s="53"/>
    </row>
    <row r="353">
      <c r="A353" s="28"/>
      <c r="B353" s="16"/>
      <c r="C353" s="53"/>
    </row>
    <row r="354">
      <c r="A354" s="28"/>
      <c r="B354" s="16"/>
      <c r="C354" s="53"/>
    </row>
    <row r="355">
      <c r="A355" s="28"/>
      <c r="B355" s="16"/>
      <c r="C355" s="53"/>
    </row>
    <row r="356">
      <c r="A356" s="28"/>
      <c r="B356" s="16"/>
      <c r="C356" s="53"/>
    </row>
    <row r="357">
      <c r="A357" s="28"/>
      <c r="B357" s="16"/>
      <c r="C357" s="53"/>
    </row>
    <row r="358">
      <c r="A358" s="28"/>
      <c r="B358" s="16"/>
      <c r="C358" s="53"/>
    </row>
    <row r="359">
      <c r="A359" s="28"/>
      <c r="B359" s="16"/>
      <c r="C359" s="53"/>
    </row>
    <row r="360">
      <c r="A360" s="28"/>
      <c r="B360" s="16"/>
      <c r="C360" s="53"/>
    </row>
    <row r="361">
      <c r="A361" s="28"/>
      <c r="B361" s="16"/>
      <c r="C361" s="53"/>
    </row>
    <row r="362">
      <c r="A362" s="28"/>
      <c r="B362" s="16"/>
      <c r="C362" s="53"/>
    </row>
    <row r="363">
      <c r="A363" s="28"/>
      <c r="B363" s="16"/>
      <c r="C363" s="53"/>
    </row>
    <row r="364">
      <c r="A364" s="28"/>
      <c r="B364" s="16"/>
      <c r="C364" s="53"/>
    </row>
    <row r="365">
      <c r="A365" s="28"/>
      <c r="B365" s="16"/>
      <c r="C365" s="53"/>
    </row>
    <row r="366">
      <c r="A366" s="28"/>
      <c r="B366" s="16"/>
      <c r="C366" s="53"/>
    </row>
    <row r="367">
      <c r="A367" s="28"/>
      <c r="B367" s="16"/>
      <c r="C367" s="53"/>
    </row>
    <row r="368">
      <c r="A368" s="28"/>
      <c r="B368" s="16"/>
      <c r="C368" s="53"/>
    </row>
    <row r="369">
      <c r="A369" s="28"/>
      <c r="B369" s="16"/>
      <c r="C369" s="53"/>
    </row>
    <row r="370">
      <c r="A370" s="28"/>
      <c r="B370" s="16"/>
      <c r="C370" s="53"/>
    </row>
    <row r="371">
      <c r="A371" s="28"/>
      <c r="B371" s="16"/>
      <c r="C371" s="53"/>
    </row>
    <row r="372">
      <c r="A372" s="28"/>
      <c r="B372" s="16"/>
      <c r="C372" s="53"/>
    </row>
    <row r="373">
      <c r="A373" s="28"/>
      <c r="B373" s="16"/>
      <c r="C373" s="53"/>
    </row>
    <row r="374">
      <c r="A374" s="28"/>
      <c r="B374" s="16"/>
      <c r="C374" s="53"/>
    </row>
    <row r="375">
      <c r="A375" s="28"/>
      <c r="B375" s="16"/>
      <c r="C375" s="53"/>
    </row>
    <row r="376">
      <c r="A376" s="28"/>
      <c r="B376" s="16"/>
      <c r="C376" s="53"/>
    </row>
    <row r="377">
      <c r="A377" s="28"/>
      <c r="B377" s="16"/>
      <c r="C377" s="53"/>
    </row>
    <row r="378">
      <c r="A378" s="28"/>
      <c r="B378" s="16"/>
      <c r="C378" s="53"/>
    </row>
    <row r="379">
      <c r="A379" s="28"/>
      <c r="B379" s="16"/>
      <c r="C379" s="53"/>
    </row>
    <row r="380">
      <c r="A380" s="28"/>
      <c r="B380" s="16"/>
      <c r="C380" s="53"/>
    </row>
    <row r="381">
      <c r="A381" s="28"/>
      <c r="B381" s="16"/>
      <c r="C381" s="53"/>
    </row>
    <row r="382">
      <c r="A382" s="28"/>
      <c r="B382" s="16"/>
      <c r="C382" s="53"/>
    </row>
    <row r="383">
      <c r="A383" s="28"/>
      <c r="B383" s="16"/>
      <c r="C383" s="53"/>
    </row>
    <row r="384">
      <c r="A384" s="28"/>
      <c r="B384" s="16"/>
      <c r="C384" s="53"/>
    </row>
    <row r="385">
      <c r="A385" s="28"/>
      <c r="B385" s="16"/>
      <c r="C385" s="53"/>
    </row>
    <row r="386">
      <c r="A386" s="28"/>
      <c r="B386" s="16"/>
      <c r="C386" s="53"/>
    </row>
    <row r="387">
      <c r="A387" s="28"/>
      <c r="B387" s="16"/>
      <c r="C387" s="53"/>
    </row>
    <row r="388">
      <c r="A388" s="28"/>
      <c r="B388" s="16"/>
      <c r="C388" s="53"/>
    </row>
    <row r="389">
      <c r="A389" s="28"/>
      <c r="B389" s="16"/>
      <c r="C389" s="53"/>
    </row>
    <row r="390">
      <c r="A390" s="28"/>
      <c r="B390" s="16"/>
      <c r="C390" s="53"/>
    </row>
    <row r="391">
      <c r="A391" s="28"/>
      <c r="B391" s="16"/>
      <c r="C391" s="53"/>
    </row>
    <row r="392">
      <c r="A392" s="28"/>
      <c r="B392" s="16"/>
      <c r="C392" s="53"/>
    </row>
    <row r="393">
      <c r="A393" s="28"/>
      <c r="B393" s="16"/>
      <c r="C393" s="53"/>
    </row>
    <row r="394">
      <c r="A394" s="28"/>
      <c r="B394" s="16"/>
      <c r="C394" s="53"/>
    </row>
    <row r="395">
      <c r="A395" s="28"/>
      <c r="B395" s="16"/>
      <c r="C395" s="53"/>
    </row>
    <row r="396">
      <c r="A396" s="28"/>
      <c r="B396" s="16"/>
      <c r="C396" s="53"/>
    </row>
    <row r="397">
      <c r="A397" s="28"/>
      <c r="B397" s="16"/>
      <c r="C397" s="53"/>
    </row>
    <row r="398">
      <c r="A398" s="28"/>
      <c r="B398" s="16"/>
      <c r="C398" s="53"/>
    </row>
    <row r="399">
      <c r="A399" s="28"/>
      <c r="B399" s="16"/>
      <c r="C399" s="53"/>
    </row>
    <row r="400">
      <c r="A400" s="28"/>
      <c r="B400" s="16"/>
      <c r="C400" s="53"/>
    </row>
    <row r="401">
      <c r="A401" s="28"/>
      <c r="B401" s="16"/>
      <c r="C401" s="53"/>
    </row>
    <row r="402">
      <c r="A402" s="28"/>
      <c r="B402" s="16"/>
      <c r="C402" s="53"/>
    </row>
    <row r="403">
      <c r="A403" s="28"/>
      <c r="B403" s="16"/>
      <c r="C403" s="53"/>
    </row>
    <row r="404">
      <c r="A404" s="28"/>
      <c r="B404" s="16"/>
      <c r="C404" s="53"/>
    </row>
    <row r="405">
      <c r="A405" s="28"/>
      <c r="B405" s="16"/>
      <c r="C405" s="53"/>
    </row>
    <row r="406">
      <c r="A406" s="28"/>
      <c r="B406" s="16"/>
      <c r="C406" s="53"/>
    </row>
    <row r="407">
      <c r="A407" s="28"/>
      <c r="B407" s="16"/>
      <c r="C407" s="53"/>
    </row>
    <row r="408">
      <c r="A408" s="28"/>
      <c r="B408" s="16"/>
      <c r="C408" s="53"/>
    </row>
    <row r="409">
      <c r="A409" s="28"/>
      <c r="B409" s="16"/>
      <c r="C409" s="53"/>
    </row>
    <row r="410">
      <c r="A410" s="28"/>
      <c r="B410" s="16"/>
      <c r="C410" s="53"/>
    </row>
    <row r="411">
      <c r="A411" s="28"/>
      <c r="B411" s="16"/>
      <c r="C411" s="53"/>
    </row>
    <row r="412">
      <c r="A412" s="28"/>
      <c r="B412" s="16"/>
      <c r="C412" s="53"/>
    </row>
    <row r="413">
      <c r="A413" s="28"/>
      <c r="B413" s="16"/>
      <c r="C413" s="53"/>
    </row>
    <row r="414">
      <c r="A414" s="28"/>
      <c r="B414" s="16"/>
      <c r="C414" s="53"/>
    </row>
    <row r="415">
      <c r="A415" s="28"/>
      <c r="B415" s="16"/>
      <c r="C415" s="53"/>
    </row>
    <row r="416">
      <c r="A416" s="28"/>
      <c r="B416" s="16"/>
      <c r="C416" s="53"/>
    </row>
    <row r="417">
      <c r="A417" s="28"/>
      <c r="B417" s="16"/>
      <c r="C417" s="53"/>
    </row>
    <row r="418">
      <c r="A418" s="28"/>
      <c r="B418" s="16"/>
      <c r="C418" s="53"/>
    </row>
    <row r="419">
      <c r="A419" s="28"/>
      <c r="B419" s="16"/>
      <c r="C419" s="53"/>
    </row>
    <row r="420">
      <c r="A420" s="28"/>
      <c r="B420" s="16"/>
      <c r="C420" s="53"/>
    </row>
    <row r="421">
      <c r="A421" s="28"/>
      <c r="B421" s="16"/>
      <c r="C421" s="53"/>
    </row>
    <row r="422">
      <c r="A422" s="28"/>
      <c r="B422" s="16"/>
      <c r="C422" s="53"/>
    </row>
    <row r="423">
      <c r="A423" s="28"/>
      <c r="B423" s="16"/>
      <c r="C423" s="53"/>
    </row>
    <row r="424">
      <c r="A424" s="28"/>
      <c r="B424" s="16"/>
      <c r="C424" s="53"/>
    </row>
    <row r="425">
      <c r="A425" s="28"/>
      <c r="B425" s="16"/>
      <c r="C425" s="53"/>
    </row>
    <row r="426">
      <c r="A426" s="28"/>
      <c r="B426" s="16"/>
      <c r="C426" s="53"/>
    </row>
    <row r="427">
      <c r="A427" s="28"/>
      <c r="B427" s="16"/>
      <c r="C427" s="53"/>
    </row>
    <row r="428">
      <c r="A428" s="28"/>
      <c r="B428" s="16"/>
      <c r="C428" s="53"/>
    </row>
    <row r="429">
      <c r="A429" s="28"/>
      <c r="B429" s="16"/>
      <c r="C429" s="53"/>
    </row>
    <row r="430">
      <c r="A430" s="28"/>
      <c r="B430" s="16"/>
      <c r="C430" s="53"/>
    </row>
    <row r="431">
      <c r="A431" s="28"/>
      <c r="B431" s="16"/>
      <c r="C431" s="53"/>
    </row>
    <row r="432">
      <c r="A432" s="28"/>
      <c r="B432" s="16"/>
      <c r="C432" s="53"/>
    </row>
    <row r="433">
      <c r="A433" s="28"/>
      <c r="B433" s="16"/>
      <c r="C433" s="53"/>
    </row>
    <row r="434">
      <c r="A434" s="28"/>
      <c r="B434" s="16"/>
      <c r="C434" s="53"/>
    </row>
    <row r="435">
      <c r="A435" s="28"/>
      <c r="B435" s="16"/>
      <c r="C435" s="53"/>
    </row>
    <row r="436">
      <c r="A436" s="28"/>
      <c r="B436" s="16"/>
      <c r="C436" s="53"/>
    </row>
    <row r="437">
      <c r="A437" s="28"/>
      <c r="B437" s="16"/>
      <c r="C437" s="53"/>
    </row>
    <row r="438">
      <c r="A438" s="28"/>
      <c r="B438" s="16"/>
      <c r="C438" s="53"/>
    </row>
    <row r="439">
      <c r="A439" s="28"/>
      <c r="B439" s="16"/>
      <c r="C439" s="53"/>
    </row>
    <row r="440">
      <c r="A440" s="28"/>
      <c r="B440" s="16"/>
      <c r="C440" s="53"/>
    </row>
    <row r="441">
      <c r="A441" s="28"/>
      <c r="B441" s="16"/>
      <c r="C441" s="53"/>
    </row>
    <row r="442">
      <c r="A442" s="28"/>
      <c r="B442" s="16"/>
      <c r="C442" s="53"/>
    </row>
    <row r="443">
      <c r="A443" s="28"/>
      <c r="B443" s="16"/>
      <c r="C443" s="53"/>
    </row>
    <row r="444">
      <c r="A444" s="28"/>
      <c r="B444" s="16"/>
      <c r="C444" s="53"/>
    </row>
    <row r="445">
      <c r="A445" s="28"/>
      <c r="B445" s="16"/>
      <c r="C445" s="53"/>
    </row>
    <row r="446">
      <c r="A446" s="28"/>
      <c r="B446" s="16"/>
      <c r="C446" s="53"/>
    </row>
    <row r="447">
      <c r="A447" s="28"/>
      <c r="B447" s="16"/>
      <c r="C447" s="53"/>
    </row>
    <row r="448">
      <c r="A448" s="28"/>
      <c r="B448" s="16"/>
      <c r="C448" s="53"/>
    </row>
    <row r="449">
      <c r="A449" s="28"/>
      <c r="B449" s="16"/>
      <c r="C449" s="53"/>
    </row>
    <row r="450">
      <c r="A450" s="28"/>
      <c r="B450" s="16"/>
      <c r="C450" s="53"/>
    </row>
    <row r="451">
      <c r="A451" s="28"/>
      <c r="B451" s="16"/>
      <c r="C451" s="53"/>
    </row>
    <row r="452">
      <c r="A452" s="28"/>
      <c r="B452" s="16"/>
      <c r="C452" s="53"/>
    </row>
    <row r="453">
      <c r="A453" s="28"/>
      <c r="B453" s="16"/>
      <c r="C453" s="53"/>
    </row>
    <row r="454">
      <c r="A454" s="28"/>
      <c r="B454" s="16"/>
      <c r="C454" s="53"/>
    </row>
    <row r="455">
      <c r="A455" s="28"/>
      <c r="B455" s="16"/>
      <c r="C455" s="53"/>
    </row>
    <row r="456">
      <c r="A456" s="28"/>
      <c r="B456" s="16"/>
      <c r="C456" s="53"/>
    </row>
    <row r="457">
      <c r="A457" s="28"/>
      <c r="B457" s="16"/>
      <c r="C457" s="53"/>
    </row>
    <row r="458">
      <c r="A458" s="28"/>
      <c r="B458" s="16"/>
      <c r="C458" s="53"/>
    </row>
    <row r="459">
      <c r="A459" s="28"/>
      <c r="B459" s="16"/>
      <c r="C459" s="53"/>
    </row>
    <row r="460">
      <c r="A460" s="28"/>
      <c r="B460" s="16"/>
      <c r="C460" s="53"/>
    </row>
    <row r="461">
      <c r="A461" s="28"/>
      <c r="B461" s="16"/>
      <c r="C461" s="53"/>
    </row>
    <row r="462">
      <c r="A462" s="28"/>
      <c r="B462" s="16"/>
      <c r="C462" s="53"/>
    </row>
    <row r="463">
      <c r="A463" s="28"/>
      <c r="B463" s="16"/>
      <c r="C463" s="53"/>
    </row>
    <row r="464">
      <c r="A464" s="28"/>
      <c r="B464" s="16"/>
      <c r="C464" s="53"/>
    </row>
    <row r="465">
      <c r="A465" s="28"/>
      <c r="B465" s="16"/>
      <c r="C465" s="53"/>
    </row>
    <row r="466">
      <c r="A466" s="28"/>
      <c r="B466" s="16"/>
      <c r="C466" s="53"/>
    </row>
    <row r="467">
      <c r="A467" s="28"/>
      <c r="B467" s="16"/>
      <c r="C467" s="53"/>
    </row>
    <row r="468">
      <c r="A468" s="28"/>
      <c r="B468" s="16"/>
      <c r="C468" s="53"/>
    </row>
    <row r="469">
      <c r="A469" s="28"/>
      <c r="B469" s="16"/>
      <c r="C469" s="53"/>
    </row>
    <row r="470">
      <c r="A470" s="28"/>
      <c r="B470" s="16"/>
      <c r="C470" s="53"/>
    </row>
    <row r="471">
      <c r="A471" s="28"/>
      <c r="B471" s="16"/>
      <c r="C471" s="53"/>
    </row>
    <row r="472">
      <c r="A472" s="28"/>
      <c r="B472" s="16"/>
      <c r="C472" s="53"/>
    </row>
    <row r="473">
      <c r="A473" s="28"/>
      <c r="B473" s="16"/>
      <c r="C473" s="53"/>
    </row>
    <row r="474">
      <c r="A474" s="28"/>
      <c r="B474" s="16"/>
      <c r="C474" s="53"/>
    </row>
    <row r="475">
      <c r="A475" s="28"/>
      <c r="B475" s="16"/>
      <c r="C475" s="53"/>
    </row>
    <row r="476">
      <c r="A476" s="28"/>
      <c r="B476" s="16"/>
      <c r="C476" s="53"/>
    </row>
    <row r="477">
      <c r="A477" s="28"/>
      <c r="B477" s="16"/>
      <c r="C477" s="53"/>
    </row>
    <row r="478">
      <c r="A478" s="28"/>
      <c r="B478" s="16"/>
      <c r="C478" s="53"/>
    </row>
    <row r="479">
      <c r="A479" s="28"/>
      <c r="B479" s="16"/>
      <c r="C479" s="53"/>
    </row>
    <row r="480">
      <c r="A480" s="28"/>
      <c r="B480" s="16"/>
      <c r="C480" s="53"/>
    </row>
    <row r="481">
      <c r="A481" s="28"/>
      <c r="B481" s="16"/>
      <c r="C481" s="53"/>
    </row>
    <row r="482">
      <c r="A482" s="28"/>
      <c r="B482" s="16"/>
      <c r="C482" s="53"/>
    </row>
    <row r="483">
      <c r="A483" s="28"/>
      <c r="B483" s="16"/>
      <c r="C483" s="53"/>
    </row>
    <row r="484">
      <c r="A484" s="28"/>
      <c r="B484" s="16"/>
      <c r="C484" s="53"/>
    </row>
    <row r="485">
      <c r="A485" s="28"/>
      <c r="B485" s="16"/>
      <c r="C485" s="53"/>
    </row>
    <row r="486">
      <c r="A486" s="28"/>
      <c r="B486" s="16"/>
      <c r="C486" s="53"/>
    </row>
    <row r="487">
      <c r="A487" s="28"/>
      <c r="B487" s="16"/>
      <c r="C487" s="53"/>
    </row>
    <row r="488">
      <c r="A488" s="28"/>
      <c r="B488" s="16"/>
      <c r="C488" s="53"/>
    </row>
    <row r="489">
      <c r="A489" s="28"/>
      <c r="B489" s="16"/>
      <c r="C489" s="53"/>
    </row>
    <row r="490">
      <c r="A490" s="28"/>
      <c r="B490" s="16"/>
      <c r="C490" s="53"/>
    </row>
    <row r="491">
      <c r="A491" s="28"/>
      <c r="B491" s="16"/>
      <c r="C491" s="53"/>
    </row>
    <row r="492">
      <c r="A492" s="28"/>
      <c r="B492" s="16"/>
      <c r="C492" s="53"/>
    </row>
    <row r="493">
      <c r="A493" s="28"/>
      <c r="B493" s="16"/>
      <c r="C493" s="53"/>
    </row>
    <row r="494">
      <c r="A494" s="28"/>
      <c r="B494" s="16"/>
      <c r="C494" s="53"/>
    </row>
    <row r="495">
      <c r="A495" s="28"/>
      <c r="B495" s="16"/>
      <c r="C495" s="53"/>
    </row>
    <row r="496">
      <c r="A496" s="28"/>
      <c r="B496" s="16"/>
      <c r="C496" s="53"/>
    </row>
    <row r="497">
      <c r="A497" s="28"/>
      <c r="B497" s="16"/>
      <c r="C497" s="53"/>
    </row>
    <row r="498">
      <c r="A498" s="28"/>
      <c r="B498" s="16"/>
      <c r="C498" s="53"/>
    </row>
    <row r="499">
      <c r="A499" s="28"/>
      <c r="B499" s="16"/>
      <c r="C499" s="53"/>
    </row>
    <row r="500">
      <c r="A500" s="28"/>
      <c r="B500" s="16"/>
      <c r="C500" s="53"/>
    </row>
    <row r="501">
      <c r="A501" s="28"/>
      <c r="B501" s="16"/>
      <c r="C501" s="53"/>
    </row>
    <row r="502">
      <c r="A502" s="28"/>
      <c r="B502" s="16"/>
      <c r="C502" s="53"/>
    </row>
    <row r="503">
      <c r="A503" s="28"/>
      <c r="B503" s="16"/>
      <c r="C503" s="53"/>
    </row>
    <row r="504">
      <c r="A504" s="28"/>
      <c r="B504" s="16"/>
      <c r="C504" s="53"/>
    </row>
    <row r="505">
      <c r="A505" s="28"/>
      <c r="B505" s="16"/>
      <c r="C505" s="53"/>
    </row>
    <row r="506">
      <c r="A506" s="28"/>
      <c r="B506" s="16"/>
      <c r="C506" s="53"/>
    </row>
    <row r="507">
      <c r="A507" s="28"/>
      <c r="B507" s="16"/>
      <c r="C507" s="53"/>
    </row>
    <row r="508">
      <c r="A508" s="28"/>
      <c r="B508" s="16"/>
      <c r="C508" s="53"/>
    </row>
    <row r="509">
      <c r="A509" s="28"/>
      <c r="B509" s="16"/>
      <c r="C509" s="53"/>
    </row>
    <row r="510">
      <c r="A510" s="28"/>
      <c r="B510" s="16"/>
      <c r="C510" s="53"/>
    </row>
    <row r="511">
      <c r="A511" s="28"/>
      <c r="B511" s="16"/>
      <c r="C511" s="53"/>
    </row>
    <row r="512">
      <c r="A512" s="28"/>
      <c r="B512" s="16"/>
      <c r="C512" s="53"/>
    </row>
    <row r="513">
      <c r="A513" s="28"/>
      <c r="B513" s="16"/>
      <c r="C513" s="53"/>
    </row>
    <row r="514">
      <c r="A514" s="28"/>
      <c r="B514" s="16"/>
      <c r="C514" s="53"/>
    </row>
    <row r="515">
      <c r="A515" s="28"/>
      <c r="B515" s="16"/>
      <c r="C515" s="53"/>
    </row>
    <row r="516">
      <c r="A516" s="28"/>
      <c r="B516" s="16"/>
      <c r="C516" s="53"/>
    </row>
    <row r="517">
      <c r="A517" s="28"/>
      <c r="B517" s="16"/>
      <c r="C517" s="53"/>
    </row>
    <row r="518">
      <c r="A518" s="28"/>
      <c r="B518" s="16"/>
      <c r="C518" s="53"/>
    </row>
    <row r="519">
      <c r="A519" s="28"/>
      <c r="B519" s="16"/>
      <c r="C519" s="53"/>
    </row>
    <row r="520">
      <c r="A520" s="28"/>
      <c r="B520" s="16"/>
      <c r="C520" s="53"/>
    </row>
    <row r="521">
      <c r="A521" s="28"/>
      <c r="B521" s="16"/>
      <c r="C521" s="53"/>
    </row>
    <row r="522">
      <c r="A522" s="28"/>
      <c r="B522" s="16"/>
      <c r="C522" s="53"/>
    </row>
    <row r="523">
      <c r="A523" s="28"/>
      <c r="B523" s="16"/>
      <c r="C523" s="53"/>
    </row>
    <row r="524">
      <c r="A524" s="28"/>
      <c r="B524" s="16"/>
      <c r="C524" s="53"/>
    </row>
    <row r="525">
      <c r="A525" s="28"/>
      <c r="B525" s="16"/>
      <c r="C525" s="53"/>
    </row>
    <row r="526">
      <c r="A526" s="28"/>
      <c r="B526" s="16"/>
      <c r="C526" s="53"/>
    </row>
    <row r="527">
      <c r="A527" s="28"/>
      <c r="B527" s="16"/>
      <c r="C527" s="53"/>
    </row>
    <row r="528">
      <c r="A528" s="28"/>
      <c r="B528" s="16"/>
      <c r="C528" s="53"/>
    </row>
    <row r="529">
      <c r="A529" s="28"/>
      <c r="B529" s="16"/>
      <c r="C529" s="53"/>
    </row>
    <row r="530">
      <c r="A530" s="28"/>
      <c r="B530" s="16"/>
      <c r="C530" s="53"/>
    </row>
    <row r="531">
      <c r="A531" s="28"/>
      <c r="B531" s="16"/>
      <c r="C531" s="53"/>
    </row>
    <row r="532">
      <c r="A532" s="28"/>
      <c r="B532" s="16"/>
      <c r="C532" s="53"/>
    </row>
    <row r="533">
      <c r="A533" s="28"/>
      <c r="B533" s="16"/>
      <c r="C533" s="53"/>
    </row>
    <row r="534">
      <c r="A534" s="28"/>
      <c r="B534" s="16"/>
      <c r="C534" s="53"/>
    </row>
    <row r="535">
      <c r="A535" s="28"/>
      <c r="B535" s="16"/>
      <c r="C535" s="53"/>
    </row>
    <row r="536">
      <c r="A536" s="28"/>
      <c r="B536" s="16"/>
      <c r="C536" s="53"/>
    </row>
    <row r="537">
      <c r="A537" s="28"/>
      <c r="B537" s="16"/>
      <c r="C537" s="53"/>
    </row>
    <row r="538">
      <c r="A538" s="28"/>
      <c r="B538" s="16"/>
      <c r="C538" s="53"/>
    </row>
    <row r="539">
      <c r="A539" s="28"/>
      <c r="B539" s="16"/>
      <c r="C539" s="53"/>
    </row>
    <row r="540">
      <c r="A540" s="28"/>
      <c r="B540" s="16"/>
      <c r="C540" s="53"/>
    </row>
    <row r="541">
      <c r="A541" s="28"/>
      <c r="B541" s="16"/>
      <c r="C541" s="53"/>
    </row>
    <row r="542">
      <c r="A542" s="28"/>
      <c r="B542" s="16"/>
      <c r="C542" s="53"/>
    </row>
    <row r="543">
      <c r="A543" s="28"/>
      <c r="B543" s="16"/>
      <c r="C543" s="53"/>
    </row>
    <row r="544">
      <c r="A544" s="28"/>
      <c r="B544" s="16"/>
      <c r="C544" s="53"/>
    </row>
    <row r="545">
      <c r="A545" s="28"/>
      <c r="B545" s="16"/>
      <c r="C545" s="53"/>
    </row>
    <row r="546">
      <c r="A546" s="28"/>
      <c r="B546" s="16"/>
      <c r="C546" s="53"/>
    </row>
    <row r="547">
      <c r="A547" s="28"/>
      <c r="B547" s="16"/>
      <c r="C547" s="53"/>
    </row>
    <row r="548">
      <c r="A548" s="28"/>
      <c r="B548" s="16"/>
      <c r="C548" s="53"/>
    </row>
    <row r="549">
      <c r="A549" s="28"/>
      <c r="B549" s="16"/>
      <c r="C549" s="53"/>
    </row>
    <row r="550">
      <c r="A550" s="28"/>
      <c r="B550" s="16"/>
      <c r="C550" s="53"/>
    </row>
    <row r="551">
      <c r="A551" s="28"/>
      <c r="B551" s="16"/>
      <c r="C551" s="53"/>
    </row>
    <row r="552">
      <c r="A552" s="28"/>
      <c r="B552" s="16"/>
      <c r="C552" s="53"/>
    </row>
    <row r="553">
      <c r="A553" s="28"/>
      <c r="B553" s="16"/>
      <c r="C553" s="53"/>
    </row>
    <row r="554">
      <c r="A554" s="28"/>
      <c r="B554" s="16"/>
      <c r="C554" s="53"/>
    </row>
    <row r="555">
      <c r="A555" s="28"/>
      <c r="B555" s="16"/>
      <c r="C555" s="53"/>
    </row>
    <row r="556">
      <c r="A556" s="28"/>
      <c r="B556" s="16"/>
      <c r="C556" s="53"/>
    </row>
    <row r="557">
      <c r="A557" s="28"/>
      <c r="B557" s="16"/>
      <c r="C557" s="53"/>
    </row>
    <row r="558">
      <c r="A558" s="28"/>
      <c r="B558" s="16"/>
      <c r="C558" s="53"/>
    </row>
    <row r="559">
      <c r="A559" s="28"/>
      <c r="B559" s="16"/>
      <c r="C559" s="53"/>
    </row>
    <row r="560">
      <c r="A560" s="28"/>
      <c r="B560" s="16"/>
      <c r="C560" s="53"/>
    </row>
    <row r="561">
      <c r="A561" s="28"/>
      <c r="B561" s="16"/>
      <c r="C561" s="53"/>
    </row>
    <row r="562">
      <c r="A562" s="28"/>
      <c r="B562" s="16"/>
      <c r="C562" s="53"/>
    </row>
    <row r="563">
      <c r="A563" s="28"/>
      <c r="B563" s="16"/>
      <c r="C563" s="53"/>
    </row>
    <row r="564">
      <c r="A564" s="28"/>
      <c r="B564" s="16"/>
      <c r="C564" s="53"/>
    </row>
    <row r="565">
      <c r="A565" s="28"/>
      <c r="B565" s="16"/>
      <c r="C565" s="53"/>
    </row>
    <row r="566">
      <c r="A566" s="28"/>
      <c r="B566" s="16"/>
      <c r="C566" s="53"/>
    </row>
    <row r="567">
      <c r="A567" s="28"/>
      <c r="B567" s="16"/>
      <c r="C567" s="53"/>
    </row>
    <row r="568">
      <c r="A568" s="28"/>
      <c r="B568" s="16"/>
      <c r="C568" s="53"/>
    </row>
    <row r="569">
      <c r="A569" s="28"/>
      <c r="B569" s="16"/>
      <c r="C569" s="53"/>
    </row>
    <row r="570">
      <c r="A570" s="28"/>
      <c r="B570" s="16"/>
      <c r="C570" s="53"/>
    </row>
    <row r="571">
      <c r="A571" s="28"/>
      <c r="B571" s="16"/>
      <c r="C571" s="53"/>
    </row>
    <row r="572">
      <c r="A572" s="28"/>
      <c r="B572" s="16"/>
      <c r="C572" s="53"/>
    </row>
    <row r="573">
      <c r="A573" s="28"/>
      <c r="B573" s="16"/>
      <c r="C573" s="53"/>
    </row>
    <row r="574">
      <c r="A574" s="28"/>
      <c r="B574" s="16"/>
      <c r="C574" s="53"/>
    </row>
    <row r="575">
      <c r="A575" s="28"/>
      <c r="B575" s="16"/>
      <c r="C575" s="53"/>
    </row>
    <row r="576">
      <c r="A576" s="28"/>
      <c r="B576" s="16"/>
      <c r="C576" s="53"/>
    </row>
    <row r="577">
      <c r="A577" s="28"/>
      <c r="B577" s="16"/>
      <c r="C577" s="53"/>
    </row>
    <row r="578">
      <c r="A578" s="28"/>
      <c r="B578" s="16"/>
      <c r="C578" s="53"/>
    </row>
    <row r="579">
      <c r="A579" s="28"/>
      <c r="B579" s="16"/>
      <c r="C579" s="53"/>
    </row>
    <row r="580">
      <c r="A580" s="28"/>
      <c r="B580" s="16"/>
      <c r="C580" s="53"/>
    </row>
    <row r="581">
      <c r="A581" s="28"/>
      <c r="B581" s="16"/>
      <c r="C581" s="53"/>
    </row>
    <row r="582">
      <c r="A582" s="28"/>
      <c r="B582" s="16"/>
      <c r="C582" s="53"/>
    </row>
    <row r="583">
      <c r="A583" s="28"/>
      <c r="B583" s="16"/>
      <c r="C583" s="53"/>
    </row>
    <row r="584">
      <c r="A584" s="28"/>
      <c r="B584" s="16"/>
      <c r="C584" s="53"/>
    </row>
    <row r="585">
      <c r="A585" s="28"/>
      <c r="B585" s="16"/>
      <c r="C585" s="53"/>
    </row>
    <row r="586">
      <c r="A586" s="28"/>
      <c r="B586" s="16"/>
      <c r="C586" s="53"/>
    </row>
    <row r="587">
      <c r="A587" s="28"/>
      <c r="B587" s="16"/>
      <c r="C587" s="53"/>
    </row>
    <row r="588">
      <c r="A588" s="28"/>
      <c r="B588" s="16"/>
      <c r="C588" s="53"/>
    </row>
    <row r="589">
      <c r="A589" s="28"/>
      <c r="B589" s="16"/>
      <c r="C589" s="53"/>
    </row>
    <row r="590">
      <c r="A590" s="28"/>
      <c r="B590" s="16"/>
      <c r="C590" s="53"/>
    </row>
    <row r="591">
      <c r="A591" s="28"/>
      <c r="B591" s="16"/>
      <c r="C591" s="53"/>
    </row>
    <row r="592">
      <c r="A592" s="28"/>
      <c r="B592" s="16"/>
      <c r="C592" s="53"/>
    </row>
    <row r="593">
      <c r="A593" s="28"/>
      <c r="B593" s="16"/>
      <c r="C593" s="53"/>
    </row>
    <row r="594">
      <c r="A594" s="28"/>
      <c r="B594" s="16"/>
      <c r="C594" s="53"/>
    </row>
    <row r="595">
      <c r="A595" s="28"/>
      <c r="B595" s="16"/>
      <c r="C595" s="53"/>
    </row>
    <row r="596">
      <c r="A596" s="28"/>
      <c r="B596" s="16"/>
      <c r="C596" s="53"/>
    </row>
    <row r="597">
      <c r="A597" s="28"/>
      <c r="B597" s="16"/>
      <c r="C597" s="53"/>
    </row>
    <row r="598">
      <c r="A598" s="28"/>
      <c r="B598" s="16"/>
      <c r="C598" s="53"/>
    </row>
    <row r="599">
      <c r="A599" s="28"/>
      <c r="B599" s="16"/>
      <c r="C599" s="53"/>
    </row>
    <row r="600">
      <c r="A600" s="28"/>
      <c r="B600" s="16"/>
      <c r="C600" s="53"/>
    </row>
    <row r="601">
      <c r="A601" s="28"/>
      <c r="B601" s="16"/>
      <c r="C601" s="53"/>
    </row>
    <row r="602">
      <c r="A602" s="28"/>
      <c r="B602" s="16"/>
      <c r="C602" s="53"/>
    </row>
    <row r="603">
      <c r="A603" s="28"/>
      <c r="B603" s="16"/>
      <c r="C603" s="53"/>
    </row>
    <row r="604">
      <c r="A604" s="28"/>
      <c r="B604" s="16"/>
      <c r="C604" s="53"/>
    </row>
    <row r="605">
      <c r="A605" s="28"/>
      <c r="B605" s="16"/>
      <c r="C605" s="53"/>
    </row>
    <row r="606">
      <c r="A606" s="28"/>
      <c r="B606" s="16"/>
      <c r="C606" s="53"/>
    </row>
    <row r="607">
      <c r="A607" s="28"/>
      <c r="B607" s="16"/>
      <c r="C607" s="53"/>
    </row>
    <row r="608">
      <c r="A608" s="28"/>
      <c r="B608" s="16"/>
      <c r="C608" s="53"/>
    </row>
    <row r="609">
      <c r="A609" s="28"/>
      <c r="B609" s="16"/>
      <c r="C609" s="53"/>
    </row>
    <row r="610">
      <c r="A610" s="28"/>
      <c r="B610" s="16"/>
      <c r="C610" s="53"/>
    </row>
    <row r="611">
      <c r="A611" s="28"/>
      <c r="B611" s="16"/>
      <c r="C611" s="53"/>
    </row>
    <row r="612">
      <c r="A612" s="28"/>
      <c r="B612" s="16"/>
      <c r="C612" s="53"/>
    </row>
    <row r="613">
      <c r="A613" s="28"/>
      <c r="B613" s="16"/>
      <c r="C613" s="53"/>
    </row>
    <row r="614">
      <c r="A614" s="28"/>
      <c r="B614" s="16"/>
      <c r="C614" s="53"/>
    </row>
    <row r="615">
      <c r="A615" s="28"/>
      <c r="B615" s="16"/>
      <c r="C615" s="53"/>
    </row>
    <row r="616">
      <c r="A616" s="28"/>
      <c r="B616" s="16"/>
      <c r="C616" s="53"/>
    </row>
    <row r="617">
      <c r="A617" s="28"/>
      <c r="B617" s="16"/>
      <c r="C617" s="53"/>
    </row>
    <row r="618">
      <c r="A618" s="28"/>
      <c r="B618" s="16"/>
      <c r="C618" s="53"/>
    </row>
    <row r="619">
      <c r="A619" s="28"/>
      <c r="B619" s="16"/>
      <c r="C619" s="53"/>
    </row>
    <row r="620">
      <c r="A620" s="28"/>
      <c r="B620" s="16"/>
      <c r="C620" s="53"/>
    </row>
    <row r="621">
      <c r="A621" s="28"/>
      <c r="B621" s="16"/>
      <c r="C621" s="53"/>
    </row>
    <row r="622">
      <c r="A622" s="28"/>
      <c r="B622" s="16"/>
      <c r="C622" s="53"/>
    </row>
    <row r="623">
      <c r="A623" s="28"/>
      <c r="B623" s="16"/>
      <c r="C623" s="53"/>
    </row>
    <row r="624">
      <c r="A624" s="28"/>
      <c r="B624" s="16"/>
      <c r="C624" s="53"/>
    </row>
    <row r="625">
      <c r="A625" s="28"/>
      <c r="B625" s="16"/>
      <c r="C625" s="53"/>
    </row>
    <row r="626">
      <c r="A626" s="28"/>
      <c r="B626" s="16"/>
      <c r="C626" s="53"/>
    </row>
    <row r="627">
      <c r="A627" s="28"/>
      <c r="B627" s="16"/>
      <c r="C627" s="53"/>
    </row>
    <row r="628">
      <c r="A628" s="28"/>
      <c r="B628" s="16"/>
      <c r="C628" s="53"/>
    </row>
    <row r="629">
      <c r="A629" s="28"/>
      <c r="B629" s="16"/>
      <c r="C629" s="53"/>
    </row>
    <row r="630">
      <c r="A630" s="28"/>
      <c r="B630" s="16"/>
      <c r="C630" s="53"/>
    </row>
    <row r="631">
      <c r="A631" s="28"/>
      <c r="B631" s="16"/>
      <c r="C631" s="53"/>
    </row>
    <row r="632">
      <c r="A632" s="28"/>
      <c r="B632" s="16"/>
      <c r="C632" s="53"/>
    </row>
    <row r="633">
      <c r="A633" s="28"/>
      <c r="B633" s="16"/>
      <c r="C633" s="53"/>
    </row>
    <row r="634">
      <c r="A634" s="28"/>
      <c r="B634" s="16"/>
      <c r="C634" s="53"/>
    </row>
    <row r="635">
      <c r="A635" s="28"/>
      <c r="B635" s="16"/>
      <c r="C635" s="53"/>
    </row>
    <row r="636">
      <c r="A636" s="28"/>
      <c r="B636" s="16"/>
      <c r="C636" s="53"/>
    </row>
    <row r="637">
      <c r="A637" s="28"/>
      <c r="B637" s="16"/>
      <c r="C637" s="53"/>
    </row>
    <row r="638">
      <c r="A638" s="28"/>
      <c r="B638" s="16"/>
      <c r="C638" s="53"/>
    </row>
    <row r="639">
      <c r="A639" s="28"/>
      <c r="B639" s="16"/>
      <c r="C639" s="53"/>
    </row>
    <row r="640">
      <c r="A640" s="28"/>
      <c r="B640" s="16"/>
      <c r="C640" s="53"/>
    </row>
    <row r="641">
      <c r="A641" s="28"/>
      <c r="B641" s="16"/>
      <c r="C641" s="53"/>
    </row>
    <row r="642">
      <c r="A642" s="28"/>
      <c r="B642" s="16"/>
      <c r="C642" s="53"/>
    </row>
    <row r="643">
      <c r="A643" s="28"/>
      <c r="B643" s="16"/>
      <c r="C643" s="53"/>
    </row>
    <row r="644">
      <c r="A644" s="28"/>
      <c r="B644" s="16"/>
      <c r="C644" s="53"/>
    </row>
    <row r="645">
      <c r="A645" s="28"/>
      <c r="B645" s="16"/>
      <c r="C645" s="53"/>
    </row>
    <row r="646">
      <c r="A646" s="28"/>
      <c r="B646" s="16"/>
      <c r="C646" s="53"/>
    </row>
    <row r="647">
      <c r="A647" s="28"/>
      <c r="B647" s="16"/>
      <c r="C647" s="53"/>
    </row>
    <row r="648">
      <c r="A648" s="28"/>
      <c r="B648" s="16"/>
      <c r="C648" s="53"/>
    </row>
    <row r="649">
      <c r="A649" s="28"/>
      <c r="B649" s="16"/>
      <c r="C649" s="53"/>
    </row>
    <row r="650">
      <c r="A650" s="28"/>
      <c r="B650" s="16"/>
      <c r="C650" s="53"/>
    </row>
    <row r="651">
      <c r="A651" s="28"/>
      <c r="B651" s="16"/>
      <c r="C651" s="53"/>
    </row>
    <row r="652">
      <c r="A652" s="28"/>
      <c r="B652" s="16"/>
      <c r="C652" s="53"/>
    </row>
    <row r="653">
      <c r="A653" s="28"/>
      <c r="B653" s="16"/>
      <c r="C653" s="53"/>
    </row>
    <row r="654">
      <c r="A654" s="28"/>
      <c r="B654" s="16"/>
      <c r="C654" s="53"/>
    </row>
    <row r="655">
      <c r="A655" s="28"/>
      <c r="B655" s="16"/>
      <c r="C655" s="53"/>
    </row>
    <row r="656">
      <c r="A656" s="28"/>
      <c r="B656" s="16"/>
      <c r="C656" s="53"/>
    </row>
    <row r="657">
      <c r="A657" s="28"/>
      <c r="B657" s="16"/>
      <c r="C657" s="53"/>
    </row>
    <row r="658">
      <c r="A658" s="28"/>
      <c r="B658" s="16"/>
      <c r="C658" s="53"/>
    </row>
    <row r="659">
      <c r="A659" s="28"/>
      <c r="B659" s="16"/>
      <c r="C659" s="53"/>
    </row>
    <row r="660">
      <c r="A660" s="28"/>
      <c r="B660" s="16"/>
      <c r="C660" s="53"/>
    </row>
    <row r="661">
      <c r="A661" s="28"/>
      <c r="B661" s="16"/>
      <c r="C661" s="53"/>
    </row>
    <row r="662">
      <c r="A662" s="28"/>
      <c r="B662" s="16"/>
      <c r="C662" s="53"/>
    </row>
    <row r="663">
      <c r="A663" s="28"/>
      <c r="B663" s="16"/>
      <c r="C663" s="53"/>
    </row>
    <row r="664">
      <c r="A664" s="28"/>
      <c r="B664" s="16"/>
      <c r="C664" s="53"/>
    </row>
    <row r="665">
      <c r="A665" s="28"/>
      <c r="B665" s="16"/>
      <c r="C665" s="53"/>
    </row>
    <row r="666">
      <c r="A666" s="28"/>
      <c r="B666" s="16"/>
      <c r="C666" s="53"/>
    </row>
    <row r="667">
      <c r="A667" s="28"/>
      <c r="B667" s="16"/>
      <c r="C667" s="53"/>
    </row>
    <row r="668">
      <c r="A668" s="28"/>
      <c r="B668" s="16"/>
      <c r="C668" s="53"/>
    </row>
    <row r="669">
      <c r="A669" s="28"/>
      <c r="B669" s="16"/>
      <c r="C669" s="53"/>
    </row>
    <row r="670">
      <c r="A670" s="28"/>
      <c r="B670" s="16"/>
      <c r="C670" s="53"/>
    </row>
    <row r="671">
      <c r="A671" s="28"/>
      <c r="B671" s="16"/>
      <c r="C671" s="53"/>
    </row>
    <row r="672">
      <c r="A672" s="28"/>
      <c r="B672" s="16"/>
      <c r="C672" s="53"/>
    </row>
    <row r="673">
      <c r="A673" s="28"/>
      <c r="B673" s="16"/>
      <c r="C673" s="53"/>
    </row>
    <row r="674">
      <c r="A674" s="28"/>
      <c r="B674" s="16"/>
      <c r="C674" s="53"/>
    </row>
    <row r="675">
      <c r="A675" s="28"/>
      <c r="B675" s="16"/>
      <c r="C675" s="53"/>
    </row>
    <row r="676">
      <c r="A676" s="28"/>
      <c r="B676" s="16"/>
      <c r="C676" s="53"/>
    </row>
    <row r="677">
      <c r="A677" s="28"/>
      <c r="B677" s="16"/>
      <c r="C677" s="53"/>
    </row>
    <row r="678">
      <c r="A678" s="28"/>
      <c r="B678" s="16"/>
      <c r="C678" s="53"/>
    </row>
    <row r="679">
      <c r="A679" s="28"/>
      <c r="B679" s="16"/>
      <c r="C679" s="53"/>
    </row>
    <row r="680">
      <c r="A680" s="28"/>
      <c r="B680" s="16"/>
      <c r="C680" s="53"/>
    </row>
    <row r="681">
      <c r="A681" s="28"/>
      <c r="B681" s="16"/>
      <c r="C681" s="53"/>
    </row>
    <row r="682">
      <c r="A682" s="28"/>
      <c r="B682" s="16"/>
      <c r="C682" s="53"/>
    </row>
    <row r="683">
      <c r="A683" s="28"/>
      <c r="B683" s="16"/>
      <c r="C683" s="53"/>
    </row>
    <row r="684">
      <c r="A684" s="28"/>
      <c r="B684" s="16"/>
      <c r="C684" s="53"/>
    </row>
    <row r="685">
      <c r="A685" s="28"/>
      <c r="B685" s="16"/>
      <c r="C685" s="53"/>
    </row>
    <row r="686">
      <c r="A686" s="28"/>
      <c r="B686" s="16"/>
      <c r="C686" s="53"/>
    </row>
    <row r="687">
      <c r="A687" s="28"/>
      <c r="B687" s="16"/>
      <c r="C687" s="53"/>
    </row>
    <row r="688">
      <c r="A688" s="28"/>
      <c r="B688" s="16"/>
      <c r="C688" s="53"/>
    </row>
    <row r="689">
      <c r="A689" s="28"/>
      <c r="B689" s="16"/>
      <c r="C689" s="53"/>
    </row>
    <row r="690">
      <c r="A690" s="28"/>
      <c r="B690" s="16"/>
      <c r="C690" s="53"/>
    </row>
    <row r="691">
      <c r="A691" s="28"/>
      <c r="B691" s="16"/>
      <c r="C691" s="53"/>
    </row>
    <row r="692">
      <c r="A692" s="28"/>
      <c r="B692" s="16"/>
      <c r="C692" s="53"/>
    </row>
    <row r="693">
      <c r="A693" s="28"/>
      <c r="B693" s="16"/>
      <c r="C693" s="53"/>
    </row>
    <row r="694">
      <c r="A694" s="28"/>
      <c r="B694" s="16"/>
      <c r="C694" s="53"/>
    </row>
    <row r="695">
      <c r="A695" s="28"/>
      <c r="B695" s="16"/>
      <c r="C695" s="53"/>
    </row>
    <row r="696">
      <c r="A696" s="28"/>
      <c r="B696" s="16"/>
      <c r="C696" s="53"/>
    </row>
    <row r="697">
      <c r="A697" s="28"/>
      <c r="B697" s="16"/>
      <c r="C697" s="53"/>
    </row>
    <row r="698">
      <c r="A698" s="28"/>
      <c r="B698" s="16"/>
      <c r="C698" s="53"/>
    </row>
    <row r="699">
      <c r="A699" s="28"/>
      <c r="B699" s="16"/>
      <c r="C699" s="53"/>
    </row>
    <row r="700">
      <c r="A700" s="28"/>
      <c r="B700" s="16"/>
      <c r="C700" s="53"/>
    </row>
    <row r="701">
      <c r="A701" s="28"/>
      <c r="B701" s="16"/>
      <c r="C701" s="53"/>
    </row>
    <row r="702">
      <c r="A702" s="28"/>
      <c r="B702" s="16"/>
      <c r="C702" s="53"/>
    </row>
    <row r="703">
      <c r="A703" s="28"/>
      <c r="B703" s="16"/>
      <c r="C703" s="53"/>
    </row>
    <row r="704">
      <c r="A704" s="28"/>
      <c r="B704" s="16"/>
      <c r="C704" s="53"/>
    </row>
    <row r="705">
      <c r="A705" s="28"/>
      <c r="B705" s="16"/>
      <c r="C705" s="53"/>
    </row>
    <row r="706">
      <c r="A706" s="28"/>
      <c r="B706" s="16"/>
      <c r="C706" s="53"/>
    </row>
    <row r="707">
      <c r="A707" s="28"/>
      <c r="B707" s="16"/>
      <c r="C707" s="53"/>
    </row>
    <row r="708">
      <c r="A708" s="28"/>
      <c r="B708" s="16"/>
      <c r="C708" s="53"/>
    </row>
    <row r="709">
      <c r="A709" s="28"/>
      <c r="B709" s="16"/>
      <c r="C709" s="53"/>
    </row>
    <row r="710">
      <c r="A710" s="28"/>
      <c r="B710" s="16"/>
      <c r="C710" s="53"/>
    </row>
    <row r="711">
      <c r="A711" s="28"/>
      <c r="B711" s="16"/>
      <c r="C711" s="53"/>
    </row>
    <row r="712">
      <c r="A712" s="28"/>
      <c r="B712" s="16"/>
      <c r="C712" s="53"/>
    </row>
    <row r="713">
      <c r="A713" s="28"/>
      <c r="B713" s="16"/>
      <c r="C713" s="53"/>
    </row>
    <row r="714">
      <c r="A714" s="28"/>
      <c r="B714" s="16"/>
      <c r="C714" s="53"/>
    </row>
    <row r="715">
      <c r="A715" s="28"/>
      <c r="B715" s="16"/>
      <c r="C715" s="53"/>
    </row>
    <row r="716">
      <c r="A716" s="28"/>
      <c r="B716" s="16"/>
      <c r="C716" s="53"/>
    </row>
    <row r="717">
      <c r="A717" s="28"/>
      <c r="B717" s="16"/>
      <c r="C717" s="53"/>
    </row>
    <row r="718">
      <c r="A718" s="28"/>
      <c r="B718" s="16"/>
      <c r="C718" s="53"/>
    </row>
    <row r="719">
      <c r="A719" s="28"/>
      <c r="B719" s="16"/>
      <c r="C719" s="53"/>
    </row>
    <row r="720">
      <c r="A720" s="28"/>
      <c r="B720" s="16"/>
      <c r="C720" s="53"/>
    </row>
    <row r="721">
      <c r="A721" s="28"/>
      <c r="B721" s="16"/>
      <c r="C721" s="53"/>
    </row>
    <row r="722">
      <c r="A722" s="28"/>
      <c r="B722" s="16"/>
      <c r="C722" s="53"/>
    </row>
    <row r="723">
      <c r="A723" s="28"/>
      <c r="B723" s="16"/>
      <c r="C723" s="53"/>
    </row>
    <row r="724">
      <c r="A724" s="28"/>
      <c r="B724" s="16"/>
      <c r="C724" s="53"/>
    </row>
    <row r="725">
      <c r="A725" s="28"/>
      <c r="B725" s="16"/>
      <c r="C725" s="53"/>
    </row>
    <row r="726">
      <c r="A726" s="28"/>
      <c r="B726" s="16"/>
      <c r="C726" s="53"/>
    </row>
    <row r="727">
      <c r="A727" s="28"/>
      <c r="B727" s="16"/>
      <c r="C727" s="53"/>
    </row>
    <row r="728">
      <c r="A728" s="28"/>
      <c r="B728" s="16"/>
      <c r="C728" s="53"/>
    </row>
    <row r="729">
      <c r="A729" s="28"/>
      <c r="B729" s="16"/>
      <c r="C729" s="53"/>
    </row>
    <row r="730">
      <c r="A730" s="28"/>
      <c r="B730" s="16"/>
      <c r="C730" s="53"/>
    </row>
    <row r="731">
      <c r="A731" s="28"/>
      <c r="B731" s="16"/>
      <c r="C731" s="53"/>
    </row>
    <row r="732">
      <c r="A732" s="28"/>
      <c r="B732" s="16"/>
      <c r="C732" s="53"/>
    </row>
    <row r="733">
      <c r="A733" s="28"/>
      <c r="B733" s="16"/>
      <c r="C733" s="53"/>
    </row>
    <row r="734">
      <c r="A734" s="28"/>
      <c r="B734" s="16"/>
      <c r="C734" s="53"/>
    </row>
    <row r="735">
      <c r="A735" s="28"/>
      <c r="B735" s="16"/>
      <c r="C735" s="53"/>
    </row>
    <row r="736">
      <c r="A736" s="28"/>
      <c r="B736" s="16"/>
      <c r="C736" s="53"/>
    </row>
    <row r="737">
      <c r="A737" s="28"/>
      <c r="B737" s="16"/>
      <c r="C737" s="53"/>
    </row>
    <row r="738">
      <c r="A738" s="28"/>
      <c r="B738" s="16"/>
      <c r="C738" s="53"/>
    </row>
    <row r="739">
      <c r="A739" s="28"/>
      <c r="B739" s="16"/>
      <c r="C739" s="53"/>
    </row>
    <row r="740">
      <c r="A740" s="28"/>
      <c r="B740" s="16"/>
      <c r="C740" s="53"/>
    </row>
    <row r="741">
      <c r="A741" s="28"/>
      <c r="B741" s="16"/>
      <c r="C741" s="53"/>
    </row>
    <row r="742">
      <c r="A742" s="28"/>
      <c r="B742" s="16"/>
      <c r="C742" s="53"/>
    </row>
    <row r="743">
      <c r="A743" s="28"/>
      <c r="B743" s="16"/>
      <c r="C743" s="53"/>
    </row>
    <row r="744">
      <c r="A744" s="28"/>
      <c r="B744" s="16"/>
      <c r="C744" s="53"/>
    </row>
    <row r="745">
      <c r="A745" s="28"/>
      <c r="B745" s="16"/>
      <c r="C745" s="53"/>
    </row>
    <row r="746">
      <c r="A746" s="28"/>
      <c r="B746" s="16"/>
      <c r="C746" s="53"/>
    </row>
    <row r="747">
      <c r="A747" s="28"/>
      <c r="B747" s="16"/>
      <c r="C747" s="53"/>
    </row>
    <row r="748">
      <c r="A748" s="28"/>
      <c r="B748" s="16"/>
      <c r="C748" s="53"/>
    </row>
    <row r="749">
      <c r="A749" s="28"/>
      <c r="B749" s="16"/>
      <c r="C749" s="53"/>
    </row>
    <row r="750">
      <c r="A750" s="28"/>
      <c r="B750" s="16"/>
      <c r="C750" s="53"/>
    </row>
    <row r="751">
      <c r="A751" s="28"/>
      <c r="B751" s="16"/>
      <c r="C751" s="53"/>
    </row>
    <row r="752">
      <c r="A752" s="28"/>
      <c r="B752" s="16"/>
      <c r="C752" s="53"/>
    </row>
    <row r="753">
      <c r="A753" s="28"/>
      <c r="B753" s="16"/>
      <c r="C753" s="53"/>
    </row>
    <row r="754">
      <c r="A754" s="28"/>
      <c r="B754" s="16"/>
      <c r="C754" s="53"/>
    </row>
    <row r="755">
      <c r="A755" s="28"/>
      <c r="B755" s="16"/>
      <c r="C755" s="53"/>
    </row>
    <row r="756">
      <c r="A756" s="28"/>
      <c r="B756" s="16"/>
      <c r="C756" s="53"/>
    </row>
    <row r="757">
      <c r="A757" s="28"/>
      <c r="B757" s="16"/>
      <c r="C757" s="53"/>
    </row>
    <row r="758">
      <c r="A758" s="28"/>
      <c r="B758" s="16"/>
      <c r="C758" s="53"/>
    </row>
    <row r="759">
      <c r="A759" s="28"/>
      <c r="B759" s="16"/>
      <c r="C759" s="53"/>
    </row>
    <row r="760">
      <c r="A760" s="28"/>
      <c r="B760" s="16"/>
      <c r="C760" s="53"/>
    </row>
    <row r="761">
      <c r="A761" s="28"/>
      <c r="B761" s="16"/>
      <c r="C761" s="53"/>
    </row>
    <row r="762">
      <c r="A762" s="28"/>
      <c r="B762" s="16"/>
      <c r="C762" s="53"/>
    </row>
    <row r="763">
      <c r="A763" s="28"/>
      <c r="B763" s="16"/>
      <c r="C763" s="53"/>
    </row>
    <row r="764">
      <c r="A764" s="28"/>
      <c r="B764" s="16"/>
      <c r="C764" s="53"/>
    </row>
    <row r="765">
      <c r="A765" s="28"/>
      <c r="B765" s="16"/>
      <c r="C765" s="53"/>
    </row>
    <row r="766">
      <c r="A766" s="28"/>
      <c r="B766" s="16"/>
      <c r="C766" s="53"/>
    </row>
    <row r="767">
      <c r="A767" s="28"/>
      <c r="B767" s="16"/>
      <c r="C767" s="53"/>
    </row>
    <row r="768">
      <c r="A768" s="28"/>
      <c r="B768" s="16"/>
      <c r="C768" s="53"/>
    </row>
    <row r="769">
      <c r="A769" s="28"/>
      <c r="B769" s="16"/>
      <c r="C769" s="53"/>
    </row>
    <row r="770">
      <c r="A770" s="28"/>
      <c r="B770" s="16"/>
      <c r="C770" s="53"/>
    </row>
    <row r="771">
      <c r="A771" s="28"/>
      <c r="B771" s="16"/>
      <c r="C771" s="53"/>
    </row>
    <row r="772">
      <c r="A772" s="28"/>
      <c r="B772" s="16"/>
      <c r="C772" s="53"/>
    </row>
    <row r="773">
      <c r="A773" s="28"/>
      <c r="B773" s="16"/>
      <c r="C773" s="53"/>
    </row>
    <row r="774">
      <c r="A774" s="28"/>
      <c r="B774" s="16"/>
      <c r="C774" s="53"/>
    </row>
    <row r="775">
      <c r="A775" s="28"/>
      <c r="B775" s="16"/>
      <c r="C775" s="53"/>
    </row>
    <row r="776">
      <c r="A776" s="28"/>
      <c r="B776" s="16"/>
      <c r="C776" s="53"/>
    </row>
    <row r="777">
      <c r="A777" s="28"/>
      <c r="B777" s="16"/>
      <c r="C777" s="53"/>
    </row>
    <row r="778">
      <c r="A778" s="28"/>
      <c r="B778" s="16"/>
      <c r="C778" s="53"/>
    </row>
    <row r="779">
      <c r="A779" s="28"/>
      <c r="B779" s="16"/>
      <c r="C779" s="53"/>
    </row>
    <row r="780">
      <c r="A780" s="28"/>
      <c r="B780" s="16"/>
      <c r="C780" s="53"/>
    </row>
    <row r="781">
      <c r="A781" s="28"/>
      <c r="B781" s="16"/>
      <c r="C781" s="53"/>
    </row>
    <row r="782">
      <c r="A782" s="28"/>
      <c r="B782" s="16"/>
      <c r="C782" s="53"/>
    </row>
    <row r="783">
      <c r="A783" s="28"/>
      <c r="B783" s="16"/>
      <c r="C783" s="53"/>
    </row>
    <row r="784">
      <c r="A784" s="28"/>
      <c r="B784" s="16"/>
      <c r="C784" s="53"/>
    </row>
    <row r="785">
      <c r="A785" s="28"/>
      <c r="B785" s="16"/>
      <c r="C785" s="53"/>
    </row>
    <row r="786">
      <c r="A786" s="28"/>
      <c r="B786" s="16"/>
      <c r="C786" s="53"/>
    </row>
    <row r="787">
      <c r="A787" s="28"/>
      <c r="B787" s="16"/>
      <c r="C787" s="53"/>
    </row>
    <row r="788">
      <c r="A788" s="28"/>
      <c r="B788" s="16"/>
      <c r="C788" s="53"/>
    </row>
    <row r="789">
      <c r="A789" s="28"/>
      <c r="B789" s="16"/>
      <c r="C789" s="53"/>
    </row>
    <row r="790">
      <c r="A790" s="28"/>
      <c r="B790" s="16"/>
      <c r="C790" s="53"/>
    </row>
    <row r="791">
      <c r="A791" s="28"/>
      <c r="B791" s="16"/>
      <c r="C791" s="53"/>
    </row>
    <row r="792">
      <c r="A792" s="28"/>
      <c r="B792" s="16"/>
      <c r="C792" s="53"/>
    </row>
    <row r="793">
      <c r="A793" s="28"/>
      <c r="B793" s="16"/>
      <c r="C793" s="53"/>
    </row>
    <row r="794">
      <c r="A794" s="28"/>
      <c r="B794" s="16"/>
      <c r="C794" s="53"/>
    </row>
    <row r="795">
      <c r="A795" s="28"/>
      <c r="B795" s="16"/>
      <c r="C795" s="53"/>
    </row>
    <row r="796">
      <c r="A796" s="28"/>
      <c r="B796" s="16"/>
      <c r="C796" s="53"/>
    </row>
    <row r="797">
      <c r="A797" s="28"/>
      <c r="B797" s="16"/>
      <c r="C797" s="53"/>
    </row>
    <row r="798">
      <c r="A798" s="28"/>
      <c r="B798" s="16"/>
      <c r="C798" s="53"/>
    </row>
    <row r="799">
      <c r="A799" s="28"/>
      <c r="B799" s="16"/>
      <c r="C799" s="53"/>
    </row>
    <row r="800">
      <c r="A800" s="28"/>
      <c r="B800" s="16"/>
      <c r="C800" s="53"/>
    </row>
    <row r="801">
      <c r="A801" s="28"/>
      <c r="B801" s="16"/>
      <c r="C801" s="53"/>
    </row>
    <row r="802">
      <c r="A802" s="28"/>
      <c r="B802" s="16"/>
      <c r="C802" s="53"/>
    </row>
    <row r="803">
      <c r="A803" s="28"/>
      <c r="B803" s="16"/>
      <c r="C803" s="53"/>
    </row>
    <row r="804">
      <c r="A804" s="28"/>
      <c r="B804" s="16"/>
      <c r="C804" s="53"/>
    </row>
    <row r="805">
      <c r="A805" s="28"/>
      <c r="B805" s="16"/>
      <c r="C805" s="53"/>
    </row>
    <row r="806">
      <c r="A806" s="28"/>
      <c r="B806" s="16"/>
      <c r="C806" s="53"/>
    </row>
    <row r="807">
      <c r="A807" s="28"/>
      <c r="B807" s="16"/>
      <c r="C807" s="53"/>
    </row>
    <row r="808">
      <c r="A808" s="28"/>
      <c r="B808" s="16"/>
      <c r="C808" s="53"/>
    </row>
    <row r="809">
      <c r="A809" s="28"/>
      <c r="B809" s="16"/>
      <c r="C809" s="53"/>
    </row>
    <row r="810">
      <c r="A810" s="28"/>
      <c r="B810" s="16"/>
      <c r="C810" s="53"/>
    </row>
    <row r="811">
      <c r="A811" s="28"/>
      <c r="B811" s="16"/>
      <c r="C811" s="53"/>
    </row>
    <row r="812">
      <c r="A812" s="28"/>
      <c r="B812" s="16"/>
      <c r="C812" s="53"/>
    </row>
    <row r="813">
      <c r="A813" s="28"/>
      <c r="B813" s="16"/>
      <c r="C813" s="53"/>
    </row>
    <row r="814">
      <c r="A814" s="28"/>
      <c r="B814" s="16"/>
      <c r="C814" s="53"/>
    </row>
    <row r="815">
      <c r="A815" s="28"/>
      <c r="B815" s="16"/>
      <c r="C815" s="53"/>
    </row>
    <row r="816">
      <c r="A816" s="28"/>
      <c r="B816" s="16"/>
      <c r="C816" s="53"/>
    </row>
    <row r="817">
      <c r="A817" s="28"/>
      <c r="B817" s="16"/>
      <c r="C817" s="53"/>
    </row>
    <row r="818">
      <c r="A818" s="28"/>
      <c r="B818" s="16"/>
      <c r="C818" s="53"/>
    </row>
    <row r="819">
      <c r="A819" s="28"/>
      <c r="B819" s="16"/>
      <c r="C819" s="53"/>
    </row>
    <row r="820">
      <c r="A820" s="28"/>
      <c r="B820" s="16"/>
      <c r="C820" s="53"/>
    </row>
    <row r="821">
      <c r="A821" s="28"/>
      <c r="B821" s="16"/>
      <c r="C821" s="53"/>
    </row>
    <row r="822">
      <c r="A822" s="28"/>
      <c r="B822" s="16"/>
      <c r="C822" s="53"/>
    </row>
    <row r="823">
      <c r="A823" s="28"/>
      <c r="B823" s="16"/>
      <c r="C823" s="53"/>
    </row>
    <row r="824">
      <c r="A824" s="28"/>
      <c r="B824" s="16"/>
      <c r="C824" s="53"/>
    </row>
    <row r="825">
      <c r="A825" s="28"/>
      <c r="B825" s="16"/>
      <c r="C825" s="53"/>
    </row>
    <row r="826">
      <c r="A826" s="28"/>
      <c r="B826" s="16"/>
      <c r="C826" s="53"/>
    </row>
    <row r="827">
      <c r="A827" s="28"/>
      <c r="B827" s="16"/>
      <c r="C827" s="53"/>
    </row>
    <row r="828">
      <c r="A828" s="28"/>
      <c r="B828" s="16"/>
      <c r="C828" s="53"/>
    </row>
    <row r="829">
      <c r="A829" s="28"/>
      <c r="B829" s="16"/>
      <c r="C829" s="53"/>
    </row>
    <row r="830">
      <c r="A830" s="28"/>
      <c r="B830" s="16"/>
      <c r="C830" s="53"/>
    </row>
    <row r="831">
      <c r="A831" s="28"/>
      <c r="B831" s="16"/>
      <c r="C831" s="53"/>
    </row>
    <row r="832">
      <c r="A832" s="28"/>
      <c r="B832" s="16"/>
      <c r="C832" s="53"/>
    </row>
    <row r="833">
      <c r="A833" s="28"/>
      <c r="B833" s="16"/>
      <c r="C833" s="53"/>
    </row>
    <row r="834">
      <c r="A834" s="28"/>
      <c r="B834" s="16"/>
      <c r="C834" s="53"/>
    </row>
    <row r="835">
      <c r="A835" s="28"/>
      <c r="B835" s="16"/>
      <c r="C835" s="53"/>
    </row>
    <row r="836">
      <c r="A836" s="28"/>
      <c r="B836" s="16"/>
      <c r="C836" s="53"/>
    </row>
    <row r="837">
      <c r="A837" s="28"/>
      <c r="B837" s="16"/>
      <c r="C837" s="53"/>
    </row>
    <row r="838">
      <c r="A838" s="28"/>
      <c r="B838" s="16"/>
      <c r="C838" s="53"/>
    </row>
    <row r="839">
      <c r="A839" s="28"/>
      <c r="B839" s="16"/>
      <c r="C839" s="53"/>
    </row>
    <row r="840">
      <c r="A840" s="28"/>
      <c r="B840" s="16"/>
      <c r="C840" s="53"/>
    </row>
    <row r="841">
      <c r="A841" s="28"/>
      <c r="B841" s="16"/>
      <c r="C841" s="53"/>
    </row>
    <row r="842">
      <c r="A842" s="28"/>
      <c r="B842" s="16"/>
      <c r="C842" s="53"/>
    </row>
    <row r="843">
      <c r="A843" s="28"/>
      <c r="B843" s="16"/>
      <c r="C843" s="53"/>
    </row>
    <row r="844">
      <c r="A844" s="28"/>
      <c r="B844" s="16"/>
      <c r="C844" s="53"/>
    </row>
    <row r="845">
      <c r="A845" s="28"/>
      <c r="B845" s="16"/>
      <c r="C845" s="53"/>
    </row>
    <row r="846">
      <c r="A846" s="28"/>
      <c r="B846" s="16"/>
      <c r="C846" s="53"/>
    </row>
    <row r="847">
      <c r="A847" s="28"/>
      <c r="B847" s="16"/>
      <c r="C847" s="53"/>
    </row>
    <row r="848">
      <c r="A848" s="28"/>
      <c r="B848" s="16"/>
      <c r="C848" s="53"/>
    </row>
    <row r="849">
      <c r="A849" s="28"/>
      <c r="B849" s="16"/>
      <c r="C849" s="53"/>
    </row>
    <row r="850">
      <c r="A850" s="28"/>
      <c r="B850" s="16"/>
      <c r="C850" s="53"/>
    </row>
    <row r="851">
      <c r="A851" s="28"/>
      <c r="B851" s="16"/>
      <c r="C851" s="53"/>
    </row>
    <row r="852">
      <c r="A852" s="28"/>
      <c r="B852" s="16"/>
      <c r="C852" s="53"/>
    </row>
    <row r="853">
      <c r="A853" s="28"/>
      <c r="B853" s="16"/>
      <c r="C853" s="53"/>
    </row>
    <row r="854">
      <c r="A854" s="28"/>
      <c r="B854" s="16"/>
      <c r="C854" s="53"/>
    </row>
    <row r="855">
      <c r="A855" s="28"/>
      <c r="B855" s="16"/>
      <c r="C855" s="53"/>
    </row>
    <row r="856">
      <c r="A856" s="28"/>
      <c r="B856" s="16"/>
      <c r="C856" s="53"/>
    </row>
    <row r="857">
      <c r="A857" s="28"/>
      <c r="B857" s="16"/>
      <c r="C857" s="53"/>
    </row>
    <row r="858">
      <c r="A858" s="28"/>
      <c r="B858" s="16"/>
      <c r="C858" s="53"/>
    </row>
    <row r="859">
      <c r="A859" s="28"/>
      <c r="B859" s="16"/>
      <c r="C859" s="53"/>
    </row>
    <row r="860">
      <c r="A860" s="28"/>
      <c r="B860" s="16"/>
      <c r="C860" s="53"/>
    </row>
    <row r="861">
      <c r="A861" s="28"/>
      <c r="B861" s="16"/>
      <c r="C861" s="53"/>
    </row>
    <row r="862">
      <c r="A862" s="28"/>
      <c r="B862" s="16"/>
      <c r="C862" s="53"/>
    </row>
    <row r="863">
      <c r="A863" s="28"/>
      <c r="B863" s="16"/>
      <c r="C863" s="53"/>
    </row>
    <row r="864">
      <c r="A864" s="28"/>
      <c r="B864" s="16"/>
      <c r="C864" s="53"/>
    </row>
    <row r="865">
      <c r="A865" s="28"/>
      <c r="B865" s="16"/>
      <c r="C865" s="53"/>
    </row>
    <row r="866">
      <c r="A866" s="28"/>
      <c r="B866" s="16"/>
      <c r="C866" s="53"/>
    </row>
    <row r="867">
      <c r="A867" s="28"/>
      <c r="B867" s="16"/>
      <c r="C867" s="53"/>
    </row>
    <row r="868">
      <c r="A868" s="28"/>
      <c r="B868" s="16"/>
      <c r="C868" s="53"/>
    </row>
    <row r="869">
      <c r="A869" s="28"/>
      <c r="B869" s="16"/>
      <c r="C869" s="53"/>
    </row>
    <row r="870">
      <c r="A870" s="28"/>
      <c r="B870" s="16"/>
      <c r="C870" s="53"/>
    </row>
    <row r="871">
      <c r="A871" s="28"/>
      <c r="B871" s="16"/>
      <c r="C871" s="53"/>
    </row>
    <row r="872">
      <c r="A872" s="28"/>
      <c r="B872" s="16"/>
      <c r="C872" s="53"/>
    </row>
    <row r="873">
      <c r="A873" s="28"/>
      <c r="B873" s="16"/>
      <c r="C873" s="53"/>
    </row>
    <row r="874">
      <c r="A874" s="28"/>
      <c r="B874" s="16"/>
      <c r="C874" s="53"/>
    </row>
    <row r="875">
      <c r="A875" s="28"/>
      <c r="B875" s="16"/>
      <c r="C875" s="53"/>
    </row>
    <row r="876">
      <c r="A876" s="28"/>
      <c r="B876" s="16"/>
      <c r="C876" s="53"/>
    </row>
    <row r="877">
      <c r="A877" s="28"/>
      <c r="B877" s="16"/>
      <c r="C877" s="53"/>
    </row>
    <row r="878">
      <c r="A878" s="28"/>
      <c r="B878" s="16"/>
      <c r="C878" s="53"/>
    </row>
    <row r="879">
      <c r="A879" s="28"/>
      <c r="B879" s="16"/>
      <c r="C879" s="53"/>
    </row>
    <row r="880">
      <c r="A880" s="28"/>
      <c r="B880" s="16"/>
      <c r="C880" s="53"/>
    </row>
    <row r="881">
      <c r="A881" s="28"/>
      <c r="B881" s="16"/>
      <c r="C881" s="53"/>
    </row>
    <row r="882">
      <c r="A882" s="28"/>
      <c r="B882" s="16"/>
      <c r="C882" s="53"/>
    </row>
    <row r="883">
      <c r="A883" s="28"/>
      <c r="B883" s="16"/>
      <c r="C883" s="53"/>
    </row>
    <row r="884">
      <c r="A884" s="28"/>
      <c r="B884" s="16"/>
      <c r="C884" s="53"/>
    </row>
    <row r="885">
      <c r="A885" s="28"/>
      <c r="B885" s="16"/>
      <c r="C885" s="53"/>
    </row>
    <row r="886">
      <c r="A886" s="28"/>
      <c r="B886" s="16"/>
      <c r="C886" s="53"/>
    </row>
    <row r="887">
      <c r="A887" s="28"/>
      <c r="B887" s="16"/>
      <c r="C887" s="53"/>
    </row>
    <row r="888">
      <c r="A888" s="28"/>
      <c r="B888" s="16"/>
      <c r="C888" s="53"/>
    </row>
    <row r="889">
      <c r="A889" s="28"/>
      <c r="B889" s="16"/>
      <c r="C889" s="53"/>
    </row>
    <row r="890">
      <c r="A890" s="28"/>
      <c r="B890" s="16"/>
      <c r="C890" s="53"/>
    </row>
    <row r="891">
      <c r="A891" s="28"/>
      <c r="B891" s="16"/>
      <c r="C891" s="53"/>
    </row>
    <row r="892">
      <c r="A892" s="28"/>
      <c r="B892" s="16"/>
      <c r="C892" s="53"/>
    </row>
    <row r="893">
      <c r="A893" s="28"/>
      <c r="B893" s="16"/>
      <c r="C893" s="53"/>
    </row>
    <row r="894">
      <c r="A894" s="28"/>
      <c r="B894" s="16"/>
      <c r="C894" s="53"/>
    </row>
    <row r="895">
      <c r="A895" s="28"/>
      <c r="B895" s="16"/>
      <c r="C895" s="53"/>
    </row>
    <row r="896">
      <c r="A896" s="28"/>
      <c r="B896" s="16"/>
      <c r="C896" s="53"/>
    </row>
    <row r="897">
      <c r="A897" s="28"/>
      <c r="B897" s="16"/>
      <c r="C897" s="53"/>
    </row>
    <row r="898">
      <c r="A898" s="28"/>
      <c r="B898" s="16"/>
      <c r="C898" s="53"/>
    </row>
    <row r="899">
      <c r="A899" s="28"/>
      <c r="B899" s="16"/>
      <c r="C899" s="53"/>
    </row>
    <row r="900">
      <c r="A900" s="28"/>
      <c r="B900" s="16"/>
      <c r="C900" s="53"/>
    </row>
    <row r="901">
      <c r="A901" s="28"/>
      <c r="B901" s="16"/>
      <c r="C901" s="53"/>
    </row>
    <row r="902">
      <c r="A902" s="28"/>
      <c r="B902" s="16"/>
      <c r="C902" s="53"/>
    </row>
    <row r="903">
      <c r="A903" s="28"/>
      <c r="B903" s="16"/>
      <c r="C903" s="53"/>
    </row>
    <row r="904">
      <c r="A904" s="28"/>
      <c r="B904" s="16"/>
      <c r="C904" s="53"/>
    </row>
    <row r="905">
      <c r="A905" s="28"/>
      <c r="B905" s="16"/>
      <c r="C905" s="53"/>
    </row>
    <row r="906">
      <c r="A906" s="28"/>
      <c r="B906" s="16"/>
      <c r="C906" s="53"/>
    </row>
    <row r="907">
      <c r="A907" s="28"/>
      <c r="B907" s="16"/>
      <c r="C907" s="53"/>
    </row>
    <row r="908">
      <c r="A908" s="28"/>
      <c r="B908" s="16"/>
      <c r="C908" s="53"/>
    </row>
    <row r="909">
      <c r="A909" s="28"/>
      <c r="B909" s="16"/>
      <c r="C909" s="53"/>
    </row>
    <row r="910">
      <c r="A910" s="28"/>
      <c r="B910" s="16"/>
      <c r="C910" s="53"/>
    </row>
    <row r="911">
      <c r="A911" s="28"/>
      <c r="B911" s="16"/>
      <c r="C911" s="53"/>
    </row>
    <row r="912">
      <c r="A912" s="28"/>
      <c r="B912" s="16"/>
      <c r="C912" s="53"/>
    </row>
    <row r="913">
      <c r="A913" s="28"/>
      <c r="B913" s="16"/>
      <c r="C913" s="53"/>
    </row>
    <row r="914">
      <c r="A914" s="28"/>
      <c r="B914" s="16"/>
      <c r="C914" s="53"/>
    </row>
    <row r="915">
      <c r="A915" s="28"/>
      <c r="B915" s="16"/>
      <c r="C915" s="53"/>
    </row>
    <row r="916">
      <c r="A916" s="28"/>
      <c r="B916" s="16"/>
      <c r="C916" s="53"/>
    </row>
    <row r="917">
      <c r="A917" s="28"/>
      <c r="B917" s="16"/>
      <c r="C917" s="53"/>
    </row>
    <row r="918">
      <c r="A918" s="28"/>
      <c r="B918" s="16"/>
      <c r="C918" s="53"/>
    </row>
    <row r="919">
      <c r="A919" s="28"/>
      <c r="B919" s="16"/>
      <c r="C919" s="53"/>
    </row>
    <row r="920">
      <c r="A920" s="28"/>
      <c r="B920" s="16"/>
      <c r="C920" s="53"/>
    </row>
    <row r="921">
      <c r="A921" s="28"/>
      <c r="B921" s="16"/>
      <c r="C921" s="53"/>
    </row>
    <row r="922">
      <c r="A922" s="28"/>
      <c r="B922" s="16"/>
      <c r="C922" s="53"/>
    </row>
    <row r="923">
      <c r="A923" s="28"/>
      <c r="B923" s="16"/>
      <c r="C923" s="53"/>
    </row>
    <row r="924">
      <c r="A924" s="28"/>
      <c r="B924" s="16"/>
      <c r="C924" s="53"/>
    </row>
    <row r="925">
      <c r="A925" s="28"/>
      <c r="B925" s="16"/>
      <c r="C925" s="53"/>
    </row>
    <row r="926">
      <c r="A926" s="28"/>
      <c r="B926" s="16"/>
      <c r="C926" s="53"/>
    </row>
    <row r="927">
      <c r="A927" s="28"/>
      <c r="B927" s="16"/>
      <c r="C927" s="53"/>
    </row>
    <row r="928">
      <c r="A928" s="28"/>
      <c r="B928" s="16"/>
      <c r="C928" s="53"/>
    </row>
    <row r="929">
      <c r="A929" s="28"/>
      <c r="B929" s="16"/>
      <c r="C929" s="53"/>
    </row>
    <row r="930">
      <c r="A930" s="28"/>
      <c r="B930" s="16"/>
      <c r="C930" s="53"/>
    </row>
    <row r="931">
      <c r="A931" s="28"/>
      <c r="B931" s="16"/>
      <c r="C931" s="53"/>
    </row>
    <row r="932">
      <c r="A932" s="28"/>
      <c r="B932" s="16"/>
      <c r="C932" s="53"/>
    </row>
    <row r="933">
      <c r="A933" s="28"/>
      <c r="B933" s="16"/>
      <c r="C933" s="53"/>
    </row>
    <row r="934">
      <c r="A934" s="28"/>
      <c r="B934" s="16"/>
      <c r="C934" s="53"/>
    </row>
    <row r="935">
      <c r="A935" s="28"/>
      <c r="B935" s="16"/>
      <c r="C935" s="53"/>
    </row>
    <row r="936">
      <c r="A936" s="28"/>
      <c r="B936" s="16"/>
      <c r="C936" s="53"/>
    </row>
    <row r="937">
      <c r="A937" s="28"/>
      <c r="B937" s="16"/>
      <c r="C937" s="53"/>
    </row>
    <row r="938">
      <c r="A938" s="28"/>
      <c r="B938" s="16"/>
      <c r="C938" s="53"/>
    </row>
    <row r="939">
      <c r="A939" s="28"/>
      <c r="B939" s="16"/>
      <c r="C939" s="53"/>
    </row>
    <row r="940">
      <c r="A940" s="28"/>
      <c r="B940" s="16"/>
      <c r="C940" s="53"/>
    </row>
    <row r="941">
      <c r="A941" s="28"/>
      <c r="B941" s="16"/>
      <c r="C941" s="53"/>
    </row>
    <row r="942">
      <c r="A942" s="28"/>
      <c r="B942" s="16"/>
      <c r="C942" s="53"/>
    </row>
    <row r="943">
      <c r="A943" s="28"/>
      <c r="B943" s="16"/>
      <c r="C943" s="53"/>
    </row>
    <row r="944">
      <c r="A944" s="28"/>
      <c r="B944" s="16"/>
      <c r="C944" s="53"/>
    </row>
    <row r="945">
      <c r="A945" s="28"/>
      <c r="B945" s="16"/>
      <c r="C945" s="53"/>
    </row>
    <row r="946">
      <c r="A946" s="28"/>
      <c r="B946" s="16"/>
      <c r="C946" s="53"/>
    </row>
    <row r="947">
      <c r="A947" s="28"/>
      <c r="B947" s="16"/>
      <c r="C947" s="53"/>
    </row>
    <row r="948">
      <c r="A948" s="28"/>
      <c r="B948" s="16"/>
      <c r="C948" s="53"/>
    </row>
    <row r="949">
      <c r="A949" s="28"/>
      <c r="B949" s="16"/>
      <c r="C949" s="53"/>
    </row>
    <row r="950">
      <c r="A950" s="28"/>
      <c r="B950" s="16"/>
      <c r="C950" s="53"/>
    </row>
    <row r="951">
      <c r="A951" s="28"/>
      <c r="B951" s="16"/>
      <c r="C951" s="53"/>
    </row>
    <row r="952">
      <c r="A952" s="28"/>
      <c r="B952" s="16"/>
      <c r="C952" s="53"/>
    </row>
    <row r="953">
      <c r="A953" s="28"/>
      <c r="B953" s="16"/>
      <c r="C953" s="53"/>
    </row>
    <row r="954">
      <c r="A954" s="28"/>
      <c r="B954" s="16"/>
      <c r="C954" s="53"/>
    </row>
    <row r="955">
      <c r="A955" s="28"/>
      <c r="B955" s="16"/>
      <c r="C955" s="53"/>
    </row>
    <row r="956">
      <c r="A956" s="28"/>
      <c r="B956" s="16"/>
      <c r="C956" s="53"/>
    </row>
    <row r="957">
      <c r="A957" s="28"/>
      <c r="B957" s="16"/>
      <c r="C957" s="53"/>
    </row>
    <row r="958">
      <c r="A958" s="28"/>
      <c r="B958" s="16"/>
      <c r="C958" s="53"/>
    </row>
    <row r="959">
      <c r="A959" s="28"/>
      <c r="B959" s="16"/>
      <c r="C959" s="53"/>
    </row>
    <row r="960">
      <c r="A960" s="28"/>
      <c r="B960" s="16"/>
      <c r="C960" s="53"/>
    </row>
    <row r="961">
      <c r="A961" s="28"/>
      <c r="B961" s="16"/>
      <c r="C961" s="53"/>
    </row>
    <row r="962">
      <c r="A962" s="28"/>
      <c r="B962" s="16"/>
      <c r="C962" s="53"/>
    </row>
    <row r="963">
      <c r="A963" s="28"/>
      <c r="B963" s="16"/>
      <c r="C963" s="53"/>
    </row>
    <row r="964">
      <c r="A964" s="28"/>
      <c r="B964" s="16"/>
      <c r="C964" s="53"/>
    </row>
    <row r="965">
      <c r="A965" s="28"/>
      <c r="B965" s="16"/>
      <c r="C965" s="53"/>
    </row>
    <row r="966">
      <c r="A966" s="28"/>
      <c r="B966" s="16"/>
      <c r="C966" s="53"/>
    </row>
    <row r="967">
      <c r="A967" s="28"/>
      <c r="B967" s="16"/>
      <c r="C967" s="53"/>
    </row>
    <row r="968">
      <c r="A968" s="28"/>
      <c r="B968" s="16"/>
      <c r="C968" s="53"/>
    </row>
    <row r="969">
      <c r="A969" s="28"/>
      <c r="B969" s="16"/>
      <c r="C969" s="53"/>
    </row>
    <row r="970">
      <c r="A970" s="28"/>
      <c r="B970" s="16"/>
      <c r="C970" s="53"/>
    </row>
    <row r="971">
      <c r="A971" s="28"/>
      <c r="B971" s="16"/>
      <c r="C971" s="53"/>
    </row>
    <row r="972">
      <c r="A972" s="28"/>
      <c r="B972" s="16"/>
      <c r="C972" s="53"/>
    </row>
    <row r="973">
      <c r="A973" s="28"/>
      <c r="B973" s="16"/>
      <c r="C973" s="53"/>
    </row>
    <row r="974">
      <c r="A974" s="28"/>
      <c r="B974" s="16"/>
      <c r="C974" s="53"/>
    </row>
    <row r="975">
      <c r="A975" s="28"/>
      <c r="B975" s="16"/>
      <c r="C975" s="53"/>
    </row>
    <row r="976">
      <c r="A976" s="28"/>
      <c r="B976" s="16"/>
      <c r="C976" s="53"/>
    </row>
    <row r="977">
      <c r="A977" s="28"/>
      <c r="B977" s="16"/>
      <c r="C977" s="53"/>
    </row>
    <row r="978">
      <c r="A978" s="28"/>
      <c r="B978" s="16"/>
      <c r="C978" s="53"/>
    </row>
    <row r="979">
      <c r="A979" s="28"/>
      <c r="B979" s="16"/>
      <c r="C979" s="53"/>
    </row>
    <row r="980">
      <c r="A980" s="28"/>
      <c r="B980" s="16"/>
      <c r="C980" s="53"/>
    </row>
    <row r="981">
      <c r="A981" s="28"/>
      <c r="B981" s="16"/>
      <c r="C981" s="53"/>
    </row>
    <row r="982">
      <c r="A982" s="28"/>
      <c r="B982" s="16"/>
      <c r="C982" s="53"/>
    </row>
    <row r="983">
      <c r="A983" s="28"/>
      <c r="B983" s="16"/>
      <c r="C983" s="53"/>
    </row>
    <row r="984">
      <c r="A984" s="28"/>
      <c r="B984" s="16"/>
      <c r="C984" s="53"/>
    </row>
    <row r="985">
      <c r="A985" s="28"/>
      <c r="B985" s="16"/>
      <c r="C985" s="53"/>
    </row>
    <row r="986">
      <c r="A986" s="28"/>
      <c r="B986" s="16"/>
      <c r="C986" s="53"/>
    </row>
    <row r="987">
      <c r="A987" s="28"/>
      <c r="B987" s="16"/>
      <c r="C987" s="53"/>
    </row>
    <row r="988">
      <c r="A988" s="28"/>
      <c r="B988" s="16"/>
      <c r="C988" s="53"/>
    </row>
    <row r="989">
      <c r="A989" s="28"/>
      <c r="B989" s="16"/>
      <c r="C989" s="53"/>
    </row>
    <row r="990">
      <c r="A990" s="28"/>
      <c r="B990" s="16"/>
      <c r="C990" s="53"/>
    </row>
    <row r="991">
      <c r="A991" s="28"/>
      <c r="B991" s="16"/>
      <c r="C991" s="53"/>
    </row>
    <row r="992">
      <c r="A992" s="28"/>
      <c r="B992" s="16"/>
      <c r="C992" s="53"/>
    </row>
    <row r="993">
      <c r="A993" s="28"/>
      <c r="B993" s="16"/>
      <c r="C993" s="53"/>
    </row>
    <row r="994">
      <c r="A994" s="28"/>
      <c r="B994" s="16"/>
      <c r="C994" s="53"/>
    </row>
    <row r="995">
      <c r="A995" s="28"/>
      <c r="B995" s="16"/>
      <c r="C995" s="53"/>
    </row>
    <row r="996">
      <c r="A996" s="28"/>
      <c r="B996" s="16"/>
      <c r="C996" s="53"/>
    </row>
    <row r="997">
      <c r="A997" s="28"/>
      <c r="B997" s="16"/>
      <c r="C997" s="53"/>
    </row>
    <row r="998">
      <c r="A998" s="28"/>
      <c r="B998" s="16"/>
      <c r="C998" s="53"/>
    </row>
    <row r="999">
      <c r="A999" s="28"/>
      <c r="B999" s="16"/>
      <c r="C999" s="53"/>
    </row>
    <row r="1000">
      <c r="A1000" s="28"/>
      <c r="B1000" s="16"/>
      <c r="C1000" s="5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2" max="2" width="32.25"/>
    <col customWidth="1" min="3" max="3" width="31.25"/>
    <col customWidth="1" min="4" max="4" width="14.88"/>
    <col customWidth="1" min="5" max="5" width="14.38"/>
  </cols>
  <sheetData>
    <row r="2">
      <c r="B2" s="59"/>
      <c r="C2" s="60" t="s">
        <v>1005</v>
      </c>
      <c r="D2" s="61" t="s">
        <v>1006</v>
      </c>
      <c r="E2" s="61" t="s">
        <v>1007</v>
      </c>
      <c r="F2" s="62" t="s">
        <v>1008</v>
      </c>
    </row>
    <row r="3">
      <c r="A3" s="8"/>
      <c r="B3" s="63" t="s">
        <v>1009</v>
      </c>
      <c r="C3" s="8">
        <v>54.0</v>
      </c>
      <c r="D3" s="8">
        <v>31.0</v>
      </c>
      <c r="E3" s="8">
        <v>67.0</v>
      </c>
      <c r="F3" s="64">
        <f t="shared" ref="F3:F6" si="1">SUM(C3:E3)</f>
        <v>152</v>
      </c>
    </row>
    <row r="4">
      <c r="B4" s="63" t="s">
        <v>1010</v>
      </c>
      <c r="C4" s="8">
        <v>40.0</v>
      </c>
      <c r="D4" s="8">
        <v>47.0</v>
      </c>
      <c r="E4" s="8">
        <v>21.0</v>
      </c>
      <c r="F4" s="64">
        <f t="shared" si="1"/>
        <v>108</v>
      </c>
    </row>
    <row r="5">
      <c r="B5" s="63" t="s">
        <v>1011</v>
      </c>
      <c r="C5" s="8">
        <f t="shared" ref="C5:E5" si="2">SUM(C3:C4)</f>
        <v>94</v>
      </c>
      <c r="D5" s="29">
        <f t="shared" si="2"/>
        <v>78</v>
      </c>
      <c r="E5" s="8">
        <f t="shared" si="2"/>
        <v>88</v>
      </c>
      <c r="F5" s="64">
        <f t="shared" si="1"/>
        <v>260</v>
      </c>
    </row>
    <row r="6">
      <c r="B6" s="63" t="s">
        <v>1012</v>
      </c>
      <c r="C6" s="8">
        <v>102.0</v>
      </c>
      <c r="D6" s="8">
        <v>100.0</v>
      </c>
      <c r="E6" s="8">
        <v>92.0</v>
      </c>
      <c r="F6" s="64">
        <f t="shared" si="1"/>
        <v>294</v>
      </c>
    </row>
    <row r="7">
      <c r="B7" s="64"/>
      <c r="F7" s="64"/>
    </row>
    <row r="8">
      <c r="A8" s="8"/>
      <c r="B8" s="65" t="s">
        <v>1013</v>
      </c>
      <c r="C8" s="66">
        <f t="shared" ref="C8:F8" si="3">C3/C6</f>
        <v>0.5294117647</v>
      </c>
      <c r="D8" s="29">
        <f t="shared" si="3"/>
        <v>0.31</v>
      </c>
      <c r="E8" s="67">
        <f t="shared" si="3"/>
        <v>0.7282608696</v>
      </c>
      <c r="F8" s="67">
        <f t="shared" si="3"/>
        <v>0.5170068027</v>
      </c>
    </row>
    <row r="9">
      <c r="B9" s="68" t="s">
        <v>1014</v>
      </c>
      <c r="C9" s="69">
        <f t="shared" ref="C9:F9" si="4">C5/C6</f>
        <v>0.9215686275</v>
      </c>
      <c r="D9" s="70">
        <f t="shared" si="4"/>
        <v>0.78</v>
      </c>
      <c r="E9" s="71">
        <f t="shared" si="4"/>
        <v>0.9565217391</v>
      </c>
      <c r="F9" s="71">
        <f t="shared" si="4"/>
        <v>0.8843537415</v>
      </c>
    </row>
  </sheetData>
  <drawing r:id="rId1"/>
</worksheet>
</file>